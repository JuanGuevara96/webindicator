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1.xml" ContentType="application/vnd.openxmlformats-officedocument.themeOverrid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2.xml" ContentType="application/vnd.openxmlformats-officedocument.themeOverrid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3.xml" ContentType="application/vnd.openxmlformats-officedocument.themeOverrid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4.xml" ContentType="application/vnd.openxmlformats-officedocument.themeOverrid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5.xml" ContentType="application/vnd.openxmlformats-officedocument.themeOverrid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heme/themeOverride6.xml" ContentType="application/vnd.openxmlformats-officedocument.themeOverrid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7.xml" ContentType="application/vnd.openxmlformats-officedocument.themeOverrid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inetpub\wwwroot\webindicator\files\CORPORATIVO\"/>
    </mc:Choice>
  </mc:AlternateContent>
  <bookViews>
    <workbookView xWindow="0" yWindow="0" windowWidth="14360" windowHeight="5330" tabRatio="799" firstSheet="3" activeTab="9"/>
  </bookViews>
  <sheets>
    <sheet name="Inicio" sheetId="5" r:id="rId1"/>
    <sheet name="TablasER" sheetId="1" r:id="rId2"/>
    <sheet name="TablasERxDiv" sheetId="8" r:id="rId3"/>
    <sheet name="variacion" sheetId="18" r:id="rId4"/>
    <sheet name="division" sheetId="17" r:id="rId5"/>
    <sheet name="ajustes" sheetId="16" r:id="rId6"/>
    <sheet name="proyeccion" sheetId="19" r:id="rId7"/>
    <sheet name="mxn-dll" sheetId="15" r:id="rId8"/>
    <sheet name="Costos_Gastos" sheetId="6" r:id="rId9"/>
    <sheet name="Tendencias" sheetId="4" r:id="rId10"/>
    <sheet name="FE" sheetId="12" r:id="rId11"/>
    <sheet name="BG" sheetId="9" r:id="rId12"/>
    <sheet name="BDER_sig" sheetId="20" r:id="rId13"/>
    <sheet name="BDER" sheetId="7" r:id="rId14"/>
    <sheet name="BDBG" sheetId="10" r:id="rId15"/>
    <sheet name="BDFE" sheetId="11" r:id="rId16"/>
    <sheet name="ELIM" sheetId="14" r:id="rId17"/>
    <sheet name="otros" sheetId="13" r:id="rId18"/>
  </sheets>
  <functionGroups builtInGroupCount="18"/>
  <externalReferences>
    <externalReference r:id="rId19"/>
  </externalReferences>
  <definedNames>
    <definedName name="_xlnm._FilterDatabase" localSheetId="14" hidden="1">BDBG!$A$1:$J$1621</definedName>
    <definedName name="_xlnm._FilterDatabase" localSheetId="13" hidden="1">BDER!$A$1:$T$664</definedName>
    <definedName name="_xlnm._FilterDatabase" localSheetId="15" hidden="1">BDFE!$A$1:$G$1931</definedName>
    <definedName name="_xlnm._FilterDatabase" localSheetId="1" hidden="1">TablasER!$A$1:$Q$143</definedName>
    <definedName name="aa_rng_alimeu">TablasER!$AM$4:$AM$25</definedName>
    <definedName name="aa_rng_inmoeu">TablasER!$AO$4:$AO$25</definedName>
    <definedName name="anexo">otros!$A$1:$I$24</definedName>
    <definedName name="bg_activos">BG!$B$2:$I$30</definedName>
    <definedName name="bg_pasivos">BG!$B$32:$I$56</definedName>
    <definedName name="c_realvsproyeccionvsppto">variacion!$Y$2:$AN$24</definedName>
    <definedName name="capital">Inicio!$B$7</definedName>
    <definedName name="capital_acum">Inicio!$C$7</definedName>
    <definedName name="div_er_acum_alimeu">TablasERxDiv!$BG$31:$BS$51</definedName>
    <definedName name="div_er_acum_alimmx">TablasERxDiv!$N$31:$AB$53</definedName>
    <definedName name="div_er_acum_auto">TablasERxDiv!$B$30:$L$53</definedName>
    <definedName name="div_er_acum_energ">TablasERxDiv!$AE$30:$AU$53</definedName>
    <definedName name="div_er_acum_inmeu">TablasERxDiv!$BU$31:$CG$51</definedName>
    <definedName name="div_er_acum_inmmx">TablasERxDiv!$AW$31:$BE$53</definedName>
    <definedName name="div_er_alimeu">TablasERxDiv!$BG$4:$BQ$24</definedName>
    <definedName name="div_er_alimmx">TablasERxDiv!$N$4:$AB$26</definedName>
    <definedName name="div_er_auto">TablasERxDiv!$B$3:$L$26</definedName>
    <definedName name="div_er_energ">TablasERxDiv!$AE$3:$AU$26</definedName>
    <definedName name="div_er_inmeu">TablasERxDiv!$BU$4:$CG$24</definedName>
    <definedName name="div_er_inmmx">TablasERxDiv!$AW$4:$BE$26</definedName>
    <definedName name="EC_Costos">Costos_Gastos!$P$2:$P$14</definedName>
    <definedName name="EC_Costos_Gra">Costos_Gastos!$P$2:$P$14</definedName>
    <definedName name="EC_Costos_Imp">Costos_Gastos!$A$4:$H$7</definedName>
    <definedName name="EC_Gastos">Costos_Gastos!$P$20:$P$40</definedName>
    <definedName name="EC_Gastos_Imp">Costos_Gastos!$A$21:$H$24</definedName>
    <definedName name="er_c">TablasER!$AX$3:$BH$25</definedName>
    <definedName name="er_c_acum">TablasER!$AX$40:$BH$62</definedName>
    <definedName name="er_div_acum_dll">TablasER!$B$108:$P$135</definedName>
    <definedName name="er_div_acum_pesos">TablasER!$B$40:$P$71</definedName>
    <definedName name="er_div_dll">TablasER!$B$76:$P$103</definedName>
    <definedName name="er_div_pesos">TablasER!$B$3:$P$34</definedName>
    <definedName name="fe_alimeu">FE!$B$195:$M$235</definedName>
    <definedName name="fe_alimeu_acum">FE!$B$243:$L$283</definedName>
    <definedName name="fe_alimmx">FE!$B$99:$M$139</definedName>
    <definedName name="fe_alimmx_acum">FE!$B$147:$M$187</definedName>
    <definedName name="fe_auto">FE!$B$3:$M$43</definedName>
    <definedName name="fe_auto_acum">FE!$B$51:$M$91</definedName>
    <definedName name="fe_energ">FE!$B$389:$M$432</definedName>
    <definedName name="fe_energ_acum">FE!$B$440:$M$483</definedName>
    <definedName name="fe_exelco">FE!$B$601:$L$644</definedName>
    <definedName name="fe_exelco_acum">FE!$B$651:$L$694</definedName>
    <definedName name="fe_inmoeu">FE!$B$292:$M$332</definedName>
    <definedName name="fe_inmoeu_acum">FE!$B$340:$M$380</definedName>
    <definedName name="fe_inmomx">FE!$B$492:$M$538</definedName>
    <definedName name="fe_inmomx_acum">FE!$B$546:$M$592</definedName>
    <definedName name="intereses">Inicio!$B$6</definedName>
    <definedName name="intereses_acum">Inicio!$C$6</definedName>
    <definedName name="mes_alimeu">Tendencias!$P$108:$P$114</definedName>
    <definedName name="mes_alimmx">Tendencias!$P$51:$P$57</definedName>
    <definedName name="mes_aut">Tendencias!$P$70:$P$76</definedName>
    <definedName name="Mes_cierre">Inicio!$B$1</definedName>
    <definedName name="mes_energ">Tendencias!$P$34:$P$40</definedName>
    <definedName name="mes_inmeu">Tendencias!$P$123:$P$129</definedName>
    <definedName name="mes_inmmx">Tendencias!$P$90:$P$96</definedName>
    <definedName name="mes_rng_alimeu">TablasER!$G$4:$G$34</definedName>
    <definedName name="mes_rng_inmoeu">TablasER!$I$4:$I$34</definedName>
    <definedName name="Mes_sig">Inicio!$B$2</definedName>
    <definedName name="NUM_MES">[1]INICIO!$D$7</definedName>
    <definedName name="ppto_rng_alimeu">TablasER!$W$4:$W$25</definedName>
    <definedName name="ppto_rng_inmoeu">TablasER!$Y$4:$Y$25</definedName>
    <definedName name="proyeccion_div_mes">variacion!$BL$2:$BZ$24</definedName>
    <definedName name="proyeccion_div_mes_sig">variacion!$BL$27:$BZ$49</definedName>
    <definedName name="proyeccion_mes_sig">variacion!$AZ$2:$BJ$24</definedName>
    <definedName name="rng_102_600">BDER!$B$222:$P$242</definedName>
    <definedName name="rng_102_610">BDBG!$B$542:$I$594</definedName>
    <definedName name="rng_108_600">BDER!$B$244:$P$264</definedName>
    <definedName name="rng_108_610">BDBG!$B$596:$I$648</definedName>
    <definedName name="rng_109_600">BDER!$B$266:$P$286</definedName>
    <definedName name="rng_109_610">BDBG!$B$650:$I$702</definedName>
    <definedName name="rng_201_600">BDER!$B$2:$L$22</definedName>
    <definedName name="rng_201_605">BDFE!$B$2:$F$71</definedName>
    <definedName name="rng_201_610">BDBG!$B$2:$I$54</definedName>
    <definedName name="rng_202_600">BDER!$B$24:$L$44</definedName>
    <definedName name="rng_202_605">BDFE!$B$73:$F$142</definedName>
    <definedName name="rng_202_610">BDBG!$B$56:$I$108</definedName>
    <definedName name="rng_203_600">BDER!$B$46:$L$66</definedName>
    <definedName name="rng_203_603">BDFE!$B$144:$F$213</definedName>
    <definedName name="rng_203_610">BDBG!$B$110:$I$162</definedName>
    <definedName name="rng_204_600">BDER!$B$68:$L$88</definedName>
    <definedName name="rng_204_605">BDFE!$B$215:$F$284</definedName>
    <definedName name="rng_204_610">BDBG!$B$164:$I$216</definedName>
    <definedName name="rng_208_600">BDER!$B$90:$L$110</definedName>
    <definedName name="rng_208_605">BDFE!$B$286:$F$355</definedName>
    <definedName name="rng_208_610">BDBG!$B$218:$I$270</definedName>
    <definedName name="rng_301_600">BDER!$B$288:$Q$308</definedName>
    <definedName name="rng_301_605">BDFE!$B$708:$F$779</definedName>
    <definedName name="rng_301_610">BDBG!$B$704:$I$756</definedName>
    <definedName name="rng_303_600">BDER!$B$310:$Q$330</definedName>
    <definedName name="rng_303_605">BDFE!$B$781:$F$852</definedName>
    <definedName name="rng_303_610">BDBG!$B$758:$I$811</definedName>
    <definedName name="rng_305_600">BDER!$B$332:$I$352</definedName>
    <definedName name="rng_305_605">BDFE!$B$854:$F$925</definedName>
    <definedName name="rng_305_610">BDBG!$B$813:$I$865</definedName>
    <definedName name="rng_307_600">BDER!$B$354:$Q$374</definedName>
    <definedName name="rng_307_605">BDFE!$B$927:$F$998</definedName>
    <definedName name="rng_307_610">BDBG!$B$867:$I$919</definedName>
    <definedName name="rng_309_600">BDER!$B$376:$Q$396</definedName>
    <definedName name="rng_309_605">BDFE!$B$1000:$F$1071</definedName>
    <definedName name="rng_309_610">BDBG!$B$921:$I$973</definedName>
    <definedName name="rng_312_600">BDER!$B$398:$Q$418</definedName>
    <definedName name="rng_312_605">BDFE!$B$1073:$F$1144</definedName>
    <definedName name="rng_312_610">BDBG!$B$975:$I$1027</definedName>
    <definedName name="rng_503_600">BDER!$B$134:$S$154</definedName>
    <definedName name="rng_503_605">BDFE!$B$428:$F$496</definedName>
    <definedName name="rng_503_610">BDBG!$B$326:$I$378</definedName>
    <definedName name="rng_506_600">BDER!$B$156:$S$176</definedName>
    <definedName name="rng_506_605">BDFE!$B$498:$F$566</definedName>
    <definedName name="rng_506_610">BDBG!$B$380:$I$432</definedName>
    <definedName name="rng_508_600">BDER!$B$178:$S$198</definedName>
    <definedName name="rng_508_605">BDFE!$B$568:$F$636</definedName>
    <definedName name="rng_508_610">BDBG!$B$434:$I$486</definedName>
    <definedName name="rng_512_600">BDER!$B$200:$S$220</definedName>
    <definedName name="rng_512_605">BDFE!$B$638:$F$706</definedName>
    <definedName name="rng_512_610">BDBG!$B$488:$I$540</definedName>
    <definedName name="rng_602_600">BDER!$B$112:$L$132</definedName>
    <definedName name="rng_602_605">BDFE!$B$357:$F$426</definedName>
    <definedName name="rng_602_610">BDBG!$B$272:$I$324</definedName>
    <definedName name="rng_613_600">BDER!$B$420:$S$440</definedName>
    <definedName name="rng_613_610">BDBG!$B$1029:$I$1081</definedName>
    <definedName name="rng_613_650">BDFE!$B$1146:$F$1209</definedName>
    <definedName name="rng_615_600">BDER!$B$442:$S$462</definedName>
    <definedName name="rng_615_610">BDBG!$B$1083:$I$1135</definedName>
    <definedName name="rng_615_650">BDFE!$B$1211:$F$1274</definedName>
    <definedName name="rng_804_600">BDER!$B$464:$P$485</definedName>
    <definedName name="rng_804_605">BDFE!$B$1276:$F$1347</definedName>
    <definedName name="rng_804_610">BDBG!$B$1137:$I$1189</definedName>
    <definedName name="rng_805_600">BDER!$B$487:$P$508</definedName>
    <definedName name="rng_805_605">BDFE!$B$1349:$F$1420</definedName>
    <definedName name="rng_805_610">BDBG!$B$1191:$I$1243</definedName>
    <definedName name="rng_807_600">BDER!$B$510:$P$530</definedName>
    <definedName name="rng_807_605">BDFE!$B$1422:$F$1493</definedName>
    <definedName name="rng_807_610">BDBG!$B$1245:$I$1297</definedName>
    <definedName name="rng_808_600">BDER!$B$532:$P$552</definedName>
    <definedName name="rng_808_605">BDFE!$B$1495:$F$1566</definedName>
    <definedName name="rng_808_610">BDBG!$B$1299:$I$1351</definedName>
    <definedName name="rng_811_600">BDER!$B$554:$P$575</definedName>
    <definedName name="rng_811_605">BDFE!$B$1568:$F$1639</definedName>
    <definedName name="rng_811_610">BDBG!$B$1353:$I$1405</definedName>
    <definedName name="rng_812_600">BDER!$B$577:$P$597</definedName>
    <definedName name="rng_812_605">BDFE!$B$1641:$F$1712</definedName>
    <definedName name="rng_812_610">BDBG!$B$1407:$I$1459</definedName>
    <definedName name="rng_813_600">BDER!$B$599:$P$620</definedName>
    <definedName name="rng_813_605">BDFE!$B$1714:$F$1785</definedName>
    <definedName name="rng_813_610">BDBG!$B$1461:$I$1513</definedName>
    <definedName name="rng_816_600">BDER!$B$622:$P$642</definedName>
    <definedName name="rng_816_605">BDFE!$B$1787:$F$1858</definedName>
    <definedName name="rng_816_610">BDBG!$B$1515:$I$1567</definedName>
    <definedName name="rng_817_600">BDER!$B$644:$P$664</definedName>
    <definedName name="rng_817_605">BDFE!$B$1860:$F$1931</definedName>
    <definedName name="rng_817_610">BDBG!$B$1569:$I$1621</definedName>
    <definedName name="TC_MES">Inicio!$B$4</definedName>
    <definedName name="TC_MES_ACT">[1]INICIO!$E$8</definedName>
    <definedName name="TC_PROM">Inicio!$B$5</definedName>
    <definedName name="tend_alimentoseu">Tendencias!$A$107:$M$114</definedName>
    <definedName name="tend_alimentosmx">Tendencias!$A$50:$M$57</definedName>
    <definedName name="tend_automotriz">Tendencias!$A$69:$M$76</definedName>
    <definedName name="tend_energeticos">Tendencias!$A$33:$M$40</definedName>
    <definedName name="tend_exelco">Tendencias!$A$3:$M$10</definedName>
    <definedName name="tend_inmobiliaria">Tendencias!$A$89:$M$96</definedName>
    <definedName name="tend_inmobiliariaeu">Tendencias!$A$122:$M$129</definedName>
    <definedName name="tend_mex_eu">Tendencias!$B$186:$I$211</definedName>
    <definedName name="titulo_102_600">BDER!$A$221:$Q$221</definedName>
    <definedName name="titulo_102_610">BDBG!$A$541:$J$541</definedName>
    <definedName name="titulo_108_600">BDER!$A$243:$Q$243</definedName>
    <definedName name="titulo_108_610">BDBG!$A$595:$J$595</definedName>
    <definedName name="titulo_109_600">BDER!$A$265:$Q$265</definedName>
    <definedName name="titulo_109_610">BDBG!$A$649:$J$649</definedName>
    <definedName name="titulo_201_600">BDER!$A$1:$M$1</definedName>
    <definedName name="titulo_201_605">BDFE!$A$1:$G$1</definedName>
    <definedName name="titulo_201_610">BDBG!$A$1:$J$1</definedName>
    <definedName name="titulo_202_600">BDER!$A$23:$M$23</definedName>
    <definedName name="titulo_202_605">BDFE!$A$72:$G$72</definedName>
    <definedName name="titulo_202_610">BDBG!$A$55:$J$55</definedName>
    <definedName name="titulo_203_600">BDER!$A$45:$M$45</definedName>
    <definedName name="titulo_203_603">BDFE!$A$143:$G$143</definedName>
    <definedName name="titulo_203_610">BDBG!$A$109:$J$109</definedName>
    <definedName name="titulo_204_600">BDER!$A$67:$M$67</definedName>
    <definedName name="titulo_204_605">BDFE!$A$214:$G$214</definedName>
    <definedName name="titulo_204_610">BDBG!$A$163:$J$163</definedName>
    <definedName name="titulo_208_600">BDER!$A$89:$M$89</definedName>
    <definedName name="titulo_208_605">BDFE!$A$285:$G$285</definedName>
    <definedName name="titulo_208_610">BDBG!$A$217:$J$217</definedName>
    <definedName name="titulo_301_600">BDER!$A$287:$R$287</definedName>
    <definedName name="titulo_301_605">BDFE!$A$707:$G$707</definedName>
    <definedName name="titulo_301_610">BDBG!$A$703:$J$703</definedName>
    <definedName name="titulo_303_600">BDER!$A$309:$R$309</definedName>
    <definedName name="titulo_303_605">BDFE!$A$780:$G$780</definedName>
    <definedName name="titulo_303_610">BDBG!$A$757:$J$757</definedName>
    <definedName name="titulo_305_600">BDER!$A$331:$J$331</definedName>
    <definedName name="titulo_305_605">BDFE!$A$853:$G$853</definedName>
    <definedName name="titulo_305_610">BDBG!$A$812:$J$812</definedName>
    <definedName name="titulo_307_600">BDER!$A$353:$R$353</definedName>
    <definedName name="titulo_307_605">BDFE!$A$926:$G$926</definedName>
    <definedName name="titulo_307_610">BDBG!$A$866:$J$866</definedName>
    <definedName name="titulo_309_600">BDER!$A$375:$R$375</definedName>
    <definedName name="titulo_309_605">BDFE!$A$999:$G$999</definedName>
    <definedName name="titulo_309_610">BDBG!$A$920:$J$920</definedName>
    <definedName name="titulo_312_600">BDER!$A$397:$R$397</definedName>
    <definedName name="titulo_312_605">BDFE!$A$1072:$G$1072</definedName>
    <definedName name="titulo_312_610">BDBG!$A$974:$J$974</definedName>
    <definedName name="titulo_503_600">BDER!$A$133:$T$133</definedName>
    <definedName name="titulo_503_605">BDFE!$A$427:$G$427</definedName>
    <definedName name="titulo_503_610">BDBG!$A$325:$J$325</definedName>
    <definedName name="titulo_506_600">BDER!$A$155:$T$155</definedName>
    <definedName name="titulo_506_605">BDFE!$A$497:$G$497</definedName>
    <definedName name="titulo_506_610">BDBG!$A$379:$J$379</definedName>
    <definedName name="titulo_508_600">BDER!$A$177:$T$177</definedName>
    <definedName name="titulo_508_605">BDFE!$A$567:$G$567</definedName>
    <definedName name="titulo_508_610">BDBG!$A$433:$J$433</definedName>
    <definedName name="titulo_512_600">BDER!$A$199:$T$199</definedName>
    <definedName name="titulo_512_605">BDFE!$A$637:$G$637</definedName>
    <definedName name="titulo_512_610">BDBG!$A$487:$J$487</definedName>
    <definedName name="titulo_602_600">BDER!$A$111:$M$111</definedName>
    <definedName name="titulo_602_605">BDFE!$A$356:$G$356</definedName>
    <definedName name="titulo_602_610">BDBG!$A$271:$J$271</definedName>
    <definedName name="titulo_613_600">BDER!$A$419:$T$419</definedName>
    <definedName name="titulo_613_610">BDBG!$A$1028:$J$1028</definedName>
    <definedName name="titulo_613_650">BDFE!$A$1145:$G$1145</definedName>
    <definedName name="titulo_615_600">BDER!$A$441:$T$441</definedName>
    <definedName name="titulo_615_610">BDBG!$A$1082:$J$1082</definedName>
    <definedName name="titulo_615_650">BDFE!$A$1210:$G$1210</definedName>
    <definedName name="titulo_804_600">BDER!$A$463:$Q$463</definedName>
    <definedName name="titulo_804_605">BDFE!$A$1275:$G$1275</definedName>
    <definedName name="titulo_804_610">BDBG!$A$1136:$J$1136</definedName>
    <definedName name="titulo_805_600">BDER!$A$486:$Q$486</definedName>
    <definedName name="titulo_805_605">BDFE!$A$1348:$G$1348</definedName>
    <definedName name="titulo_805_610">BDBG!$A$1190:$J$1190</definedName>
    <definedName name="titulo_807_600">BDER!$A$509:$Q$509</definedName>
    <definedName name="titulo_807_605">BDFE!$A$1421:$G$1421</definedName>
    <definedName name="titulo_807_610">BDBG!$A$1244:$J$1244</definedName>
    <definedName name="titulo_808_600">BDER!$A$531:$Q$531</definedName>
    <definedName name="titulo_808_605">BDFE!$A$1494:$G$1494</definedName>
    <definedName name="titulo_808_610">BDBG!$A$1298:$J$1298</definedName>
    <definedName name="titulo_811_600">BDER!$A$553:$Q$553</definedName>
    <definedName name="titulo_811_605">BDFE!$A$1567:$G$1567</definedName>
    <definedName name="titulo_811_610">BDBG!$A$1352:$J$1352</definedName>
    <definedName name="titulo_812_600">BDER!$A$576:$Q$576</definedName>
    <definedName name="titulo_812_605">BDFE!$A$1640:$G$1640</definedName>
    <definedName name="titulo_812_610">BDBG!$A$1406:$J$1406</definedName>
    <definedName name="titulo_813_600">BDER!$A$598:$Q$598</definedName>
    <definedName name="titulo_813_605">BDFE!$A$1713:$G$1713</definedName>
    <definedName name="titulo_813_610">BDBG!$A$1460:$J$1460</definedName>
    <definedName name="titulo_816_600">BDER!$A$621:$Q$621</definedName>
    <definedName name="titulo_816_605">BDFE!$A$1786:$G$1786</definedName>
    <definedName name="titulo_816_610">BDBG!$A$1514:$J$1514</definedName>
    <definedName name="titulo_817_600">BDER!$A$643:$Q$643</definedName>
    <definedName name="titulo_817_605">BDFE!$A$1859:$G$1859</definedName>
    <definedName name="titulo_817_610">BDBG!$A$1568:$J$1568</definedName>
    <definedName name="var_ppto_divs">variacion!$B$3:$V$25</definedName>
    <definedName name="var_py_divs">variacion!$B$29:$V$51</definedName>
    <definedName name="var_realvsppto">variacion!$B$2:$V$25</definedName>
    <definedName name="var_realvsproyeccion">variacion!$B$28:$V$51</definedName>
    <definedName name="Z_B1EDEF4C_89DF_4126_A83B_947936932253_.wvu.Cols" localSheetId="8" hidden="1">Costos_Gastos!$I:$L</definedName>
    <definedName name="Z_B1EDEF4C_89DF_4126_A83B_947936932253_.wvu.PrintArea" localSheetId="8" hidden="1">Costos_Gastos!$A$1:$L$43</definedName>
    <definedName name="Z_B1EDEF4C_89DF_4126_A83B_947936932253_.wvu.PrintArea" localSheetId="9" hidden="1">Tendencias!#REF!</definedName>
    <definedName name="Z_B1EDEF4C_89DF_4126_A83B_947936932253_.wvu.Rows" localSheetId="9" hidden="1">Tendencias!$225:$302,Tendencias!$316:$392,Tendencias!$410:$454,Tendencias!$473:$487,Tendencias!$503:$534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8" i="4" l="1"/>
  <c r="AR31" i="8" l="1"/>
  <c r="AR4" i="8"/>
  <c r="B165" i="4" l="1"/>
  <c r="C165" i="4"/>
  <c r="D165" i="4"/>
  <c r="E165" i="4"/>
  <c r="F165" i="4"/>
  <c r="G165" i="4"/>
  <c r="J165" i="4"/>
  <c r="K165" i="4"/>
  <c r="L165" i="4"/>
  <c r="M165" i="4"/>
  <c r="H165" i="4"/>
  <c r="I167" i="4"/>
  <c r="B153" i="4"/>
  <c r="C153" i="4"/>
  <c r="D153" i="4"/>
  <c r="E153" i="4"/>
  <c r="F153" i="4"/>
  <c r="G153" i="4"/>
  <c r="I165" i="4"/>
  <c r="O21" i="4"/>
  <c r="N20" i="4"/>
  <c r="N18" i="4"/>
  <c r="B1" i="5" l="1"/>
  <c r="A180" i="4"/>
  <c r="A167" i="4"/>
  <c r="A155" i="4"/>
  <c r="A129" i="4"/>
  <c r="A114" i="4"/>
  <c r="A96" i="4"/>
  <c r="A76" i="4"/>
  <c r="A57" i="4"/>
  <c r="A40" i="4"/>
  <c r="A4" i="4" l="1"/>
  <c r="A174" i="4" s="1"/>
  <c r="N34" i="4"/>
  <c r="A5" i="4"/>
  <c r="A124" i="4" s="1"/>
  <c r="A8" i="4"/>
  <c r="A55" i="4" s="1"/>
  <c r="A9" i="4"/>
  <c r="A113" i="4" s="1"/>
  <c r="A23" i="6"/>
  <c r="A6" i="4"/>
  <c r="A176" i="4" s="1"/>
  <c r="A7" i="4"/>
  <c r="A152" i="4" s="1"/>
  <c r="A24" i="6"/>
  <c r="A5" i="6"/>
  <c r="A6" i="6"/>
  <c r="A7" i="6"/>
  <c r="A22" i="6"/>
  <c r="A51" i="4" l="1"/>
  <c r="A90" i="4"/>
  <c r="A153" i="4"/>
  <c r="A128" i="4"/>
  <c r="A70" i="4"/>
  <c r="A165" i="4"/>
  <c r="A108" i="4"/>
  <c r="A72" i="4"/>
  <c r="A38" i="4"/>
  <c r="A161" i="4"/>
  <c r="A125" i="4"/>
  <c r="A94" i="4"/>
  <c r="A75" i="4"/>
  <c r="A112" i="4"/>
  <c r="A123" i="4"/>
  <c r="A34" i="4"/>
  <c r="A39" i="4"/>
  <c r="A74" i="4"/>
  <c r="A149" i="4"/>
  <c r="A56" i="4"/>
  <c r="A175" i="4"/>
  <c r="A35" i="4"/>
  <c r="A166" i="4"/>
  <c r="A179" i="4"/>
  <c r="A52" i="4"/>
  <c r="A36" i="4"/>
  <c r="A154" i="4"/>
  <c r="A110" i="4"/>
  <c r="A109" i="4"/>
  <c r="A162" i="4"/>
  <c r="A53" i="4"/>
  <c r="A91" i="4"/>
  <c r="A126" i="4"/>
  <c r="A71" i="4"/>
  <c r="A150" i="4"/>
  <c r="A95" i="4"/>
  <c r="A151" i="4"/>
  <c r="B207" i="4" s="1"/>
  <c r="A73" i="4"/>
  <c r="A37" i="4"/>
  <c r="A163" i="4"/>
  <c r="A92" i="4"/>
  <c r="A93" i="4"/>
  <c r="A111" i="4"/>
  <c r="A54" i="4"/>
  <c r="A127" i="4"/>
  <c r="A178" i="4"/>
  <c r="A164" i="4"/>
  <c r="A177" i="4"/>
  <c r="B2" i="5" l="1"/>
  <c r="BW47" i="18" l="1"/>
  <c r="BW46" i="18"/>
  <c r="BW42" i="18"/>
  <c r="BW41" i="18"/>
  <c r="BW40" i="18"/>
  <c r="BW39" i="18"/>
  <c r="BW38" i="18"/>
  <c r="BW34" i="18"/>
  <c r="BW33" i="18"/>
  <c r="BW32" i="18"/>
  <c r="BW29" i="18"/>
  <c r="BW28" i="18"/>
  <c r="BU47" i="18"/>
  <c r="BU46" i="18"/>
  <c r="BU42" i="18"/>
  <c r="BU41" i="18"/>
  <c r="BU40" i="18"/>
  <c r="BU39" i="18"/>
  <c r="BU38" i="18"/>
  <c r="BU34" i="18"/>
  <c r="BU33" i="18"/>
  <c r="BU32" i="18"/>
  <c r="BU29" i="18"/>
  <c r="BU28" i="18"/>
  <c r="BS47" i="18"/>
  <c r="BS46" i="18"/>
  <c r="BS42" i="18"/>
  <c r="BS41" i="18"/>
  <c r="BS40" i="18"/>
  <c r="BS39" i="18"/>
  <c r="BS38" i="18"/>
  <c r="BS34" i="18"/>
  <c r="BS33" i="18"/>
  <c r="BS32" i="18"/>
  <c r="BS29" i="18"/>
  <c r="BS28" i="18"/>
  <c r="BQ47" i="18"/>
  <c r="BQ46" i="18"/>
  <c r="BQ42" i="18"/>
  <c r="BQ41" i="18"/>
  <c r="BQ40" i="18"/>
  <c r="BQ39" i="18"/>
  <c r="BQ38" i="18"/>
  <c r="BQ34" i="18"/>
  <c r="BQ33" i="18"/>
  <c r="BQ32" i="18"/>
  <c r="BQ29" i="18"/>
  <c r="BQ28" i="18"/>
  <c r="BO47" i="18"/>
  <c r="BO46" i="18"/>
  <c r="BO42" i="18"/>
  <c r="BO41" i="18"/>
  <c r="BO40" i="18"/>
  <c r="BO39" i="18"/>
  <c r="BO38" i="18"/>
  <c r="BO34" i="18"/>
  <c r="BO33" i="18"/>
  <c r="BO32" i="18"/>
  <c r="BO29" i="18"/>
  <c r="BO28" i="18"/>
  <c r="BZ49" i="18"/>
  <c r="BX49" i="18"/>
  <c r="BV49" i="18"/>
  <c r="BT49" i="18"/>
  <c r="BR49" i="18"/>
  <c r="BP49" i="18"/>
  <c r="BN49" i="18"/>
  <c r="BZ48" i="18"/>
  <c r="BX48" i="18"/>
  <c r="BV48" i="18"/>
  <c r="BT48" i="18"/>
  <c r="BR48" i="18"/>
  <c r="BP48" i="18"/>
  <c r="BN48" i="18"/>
  <c r="BZ47" i="18"/>
  <c r="BX47" i="18"/>
  <c r="BV47" i="18"/>
  <c r="BT47" i="18"/>
  <c r="BR47" i="18"/>
  <c r="BP47" i="18"/>
  <c r="BN47" i="18"/>
  <c r="BZ46" i="18"/>
  <c r="BX46" i="18"/>
  <c r="BV46" i="18"/>
  <c r="BT46" i="18"/>
  <c r="BR46" i="18"/>
  <c r="BP46" i="18"/>
  <c r="BN46" i="18"/>
  <c r="BZ44" i="18"/>
  <c r="BX44" i="18"/>
  <c r="BV44" i="18"/>
  <c r="BT44" i="18"/>
  <c r="BR44" i="18"/>
  <c r="BP44" i="18"/>
  <c r="BN44" i="18"/>
  <c r="BZ43" i="18"/>
  <c r="BX43" i="18"/>
  <c r="BV43" i="18"/>
  <c r="BT43" i="18"/>
  <c r="BR43" i="18"/>
  <c r="BP43" i="18"/>
  <c r="BN43" i="18"/>
  <c r="BZ42" i="18"/>
  <c r="BX42" i="18"/>
  <c r="BV42" i="18"/>
  <c r="BT42" i="18"/>
  <c r="BR42" i="18"/>
  <c r="BP42" i="18"/>
  <c r="BN42" i="18"/>
  <c r="BZ41" i="18"/>
  <c r="BX41" i="18"/>
  <c r="BV41" i="18"/>
  <c r="BT41" i="18"/>
  <c r="BR41" i="18"/>
  <c r="BP41" i="18"/>
  <c r="BN41" i="18"/>
  <c r="BZ40" i="18"/>
  <c r="BX40" i="18"/>
  <c r="BV40" i="18"/>
  <c r="BT40" i="18"/>
  <c r="BR40" i="18"/>
  <c r="BP40" i="18"/>
  <c r="BN40" i="18"/>
  <c r="BZ39" i="18"/>
  <c r="BX39" i="18"/>
  <c r="BV39" i="18"/>
  <c r="BT39" i="18"/>
  <c r="BR39" i="18"/>
  <c r="BP39" i="18"/>
  <c r="BN39" i="18"/>
  <c r="BZ38" i="18"/>
  <c r="BX38" i="18"/>
  <c r="BV38" i="18"/>
  <c r="BT38" i="18"/>
  <c r="BR38" i="18"/>
  <c r="BP38" i="18"/>
  <c r="BN38" i="18"/>
  <c r="BZ36" i="18"/>
  <c r="BX36" i="18"/>
  <c r="BV36" i="18"/>
  <c r="BT36" i="18"/>
  <c r="BR36" i="18"/>
  <c r="BP36" i="18"/>
  <c r="BN36" i="18"/>
  <c r="BZ35" i="18"/>
  <c r="BX35" i="18"/>
  <c r="BV35" i="18"/>
  <c r="BT35" i="18"/>
  <c r="BR35" i="18"/>
  <c r="BP35" i="18"/>
  <c r="BN35" i="18"/>
  <c r="BZ34" i="18"/>
  <c r="BX34" i="18"/>
  <c r="BV34" i="18"/>
  <c r="BT34" i="18"/>
  <c r="BR34" i="18"/>
  <c r="BP34" i="18"/>
  <c r="BN34" i="18"/>
  <c r="BZ33" i="18"/>
  <c r="BX33" i="18"/>
  <c r="BV33" i="18"/>
  <c r="BT33" i="18"/>
  <c r="BR33" i="18"/>
  <c r="BP33" i="18"/>
  <c r="BN33" i="18"/>
  <c r="BZ32" i="18"/>
  <c r="BX32" i="18"/>
  <c r="BV32" i="18"/>
  <c r="BT32" i="18"/>
  <c r="BR32" i="18"/>
  <c r="BP32" i="18"/>
  <c r="BN32" i="18"/>
  <c r="BZ30" i="18"/>
  <c r="BX30" i="18"/>
  <c r="BV30" i="18"/>
  <c r="BT30" i="18"/>
  <c r="BR30" i="18"/>
  <c r="BP30" i="18"/>
  <c r="BN30" i="18"/>
  <c r="BZ29" i="18"/>
  <c r="BX29" i="18"/>
  <c r="BV29" i="18"/>
  <c r="BT29" i="18"/>
  <c r="BR29" i="18"/>
  <c r="BP29" i="18"/>
  <c r="BN29" i="18"/>
  <c r="BZ28" i="18"/>
  <c r="BX28" i="18"/>
  <c r="BV28" i="18"/>
  <c r="BT28" i="18"/>
  <c r="BR28" i="18"/>
  <c r="BP28" i="18"/>
  <c r="BN28" i="18"/>
  <c r="BQ35" i="18" l="1"/>
  <c r="BY28" i="18"/>
  <c r="BA3" i="18" s="1"/>
  <c r="BQ30" i="18"/>
  <c r="BQ36" i="18" s="1"/>
  <c r="BS35" i="18"/>
  <c r="BU30" i="18"/>
  <c r="BU43" i="18"/>
  <c r="BY29" i="18"/>
  <c r="BA4" i="18" s="1"/>
  <c r="BU35" i="18"/>
  <c r="BO43" i="18"/>
  <c r="BW43" i="18"/>
  <c r="BY41" i="18"/>
  <c r="BA16" i="18" s="1"/>
  <c r="BY46" i="18"/>
  <c r="BA21" i="18" s="1"/>
  <c r="BO30" i="18"/>
  <c r="BW30" i="18"/>
  <c r="BY32" i="18"/>
  <c r="BA7" i="18" s="1"/>
  <c r="BS30" i="18"/>
  <c r="BS36" i="18" s="1"/>
  <c r="BS43" i="18"/>
  <c r="BO35" i="18"/>
  <c r="BW35" i="18"/>
  <c r="BQ43" i="18"/>
  <c r="BY42" i="18"/>
  <c r="BA17" i="18" s="1"/>
  <c r="BY47" i="18"/>
  <c r="BA22" i="18" s="1"/>
  <c r="BY34" i="18"/>
  <c r="BA9" i="18" s="1"/>
  <c r="BY40" i="18"/>
  <c r="BA15" i="18" s="1"/>
  <c r="BY39" i="18"/>
  <c r="BA14" i="18" s="1"/>
  <c r="BY33" i="18"/>
  <c r="BA8" i="18" s="1"/>
  <c r="BY38" i="18"/>
  <c r="BA13" i="18" s="1"/>
  <c r="BO22" i="18"/>
  <c r="BO21" i="18"/>
  <c r="BO17" i="18"/>
  <c r="BO16" i="18"/>
  <c r="BO15" i="18"/>
  <c r="BO14" i="18"/>
  <c r="BO13" i="18"/>
  <c r="BO9" i="18"/>
  <c r="BO8" i="18"/>
  <c r="BO7" i="18"/>
  <c r="BO4" i="18"/>
  <c r="BO3" i="18"/>
  <c r="BW22" i="18"/>
  <c r="BW21" i="18"/>
  <c r="BW17" i="18"/>
  <c r="BW16" i="18"/>
  <c r="BW15" i="18"/>
  <c r="BW14" i="18"/>
  <c r="BW13" i="18"/>
  <c r="BW9" i="18"/>
  <c r="BW8" i="18"/>
  <c r="BW7" i="18"/>
  <c r="BW4" i="18"/>
  <c r="BW3" i="18"/>
  <c r="BX4" i="18" s="1"/>
  <c r="BS21" i="18"/>
  <c r="BS17" i="18"/>
  <c r="L44" i="18" s="1"/>
  <c r="BS16" i="18"/>
  <c r="BS15" i="18"/>
  <c r="BS14" i="18"/>
  <c r="BS13" i="18"/>
  <c r="BS9" i="18"/>
  <c r="BS8" i="18"/>
  <c r="BS7" i="18"/>
  <c r="BS4" i="18"/>
  <c r="BS3" i="18"/>
  <c r="BT7" i="18" s="1"/>
  <c r="BS22" i="18"/>
  <c r="BU21" i="18"/>
  <c r="BU17" i="18"/>
  <c r="BU16" i="18"/>
  <c r="BU15" i="18"/>
  <c r="BU14" i="18"/>
  <c r="BU13" i="18"/>
  <c r="BU9" i="18"/>
  <c r="BU8" i="18"/>
  <c r="BU7" i="18"/>
  <c r="BU4" i="18"/>
  <c r="BU3" i="18"/>
  <c r="BU22" i="18"/>
  <c r="BQ22" i="18"/>
  <c r="BQ21" i="18"/>
  <c r="BQ17" i="18"/>
  <c r="I44" i="18" s="1"/>
  <c r="J44" i="18" s="1"/>
  <c r="BQ16" i="18"/>
  <c r="BQ15" i="18"/>
  <c r="BQ14" i="18"/>
  <c r="BQ13" i="18"/>
  <c r="I40" i="18" s="1"/>
  <c r="J40" i="18" s="1"/>
  <c r="BQ9" i="18"/>
  <c r="BQ8" i="18"/>
  <c r="BQ7" i="18"/>
  <c r="BQ4" i="18"/>
  <c r="BQ3" i="18"/>
  <c r="BR10" i="18" s="1"/>
  <c r="BN3" i="18"/>
  <c r="BR23" i="18"/>
  <c r="BX22" i="18"/>
  <c r="BR19" i="18"/>
  <c r="BR15" i="18"/>
  <c r="BR14" i="18"/>
  <c r="BY3" i="18" l="1"/>
  <c r="BU36" i="18"/>
  <c r="BU44" i="18" s="1"/>
  <c r="BU48" i="18" s="1"/>
  <c r="BT16" i="18"/>
  <c r="BT5" i="18"/>
  <c r="BV21" i="18"/>
  <c r="BR4" i="18"/>
  <c r="BP14" i="18"/>
  <c r="AD4" i="18"/>
  <c r="BQ10" i="18"/>
  <c r="BT21" i="18"/>
  <c r="BT8" i="18"/>
  <c r="BR9" i="18"/>
  <c r="BR24" i="18"/>
  <c r="BS18" i="18"/>
  <c r="L40" i="18"/>
  <c r="BS10" i="18"/>
  <c r="BX21" i="18"/>
  <c r="BQ44" i="18"/>
  <c r="BQ48" i="18" s="1"/>
  <c r="BQ49" i="18"/>
  <c r="BY43" i="18"/>
  <c r="BA18" i="18" s="1"/>
  <c r="BU10" i="18"/>
  <c r="BT17" i="18"/>
  <c r="M44" i="18" s="1"/>
  <c r="BT9" i="18"/>
  <c r="BR18" i="18"/>
  <c r="BT23" i="18"/>
  <c r="BQ18" i="18"/>
  <c r="BU18" i="18"/>
  <c r="BW18" i="18"/>
  <c r="BO10" i="18"/>
  <c r="BY35" i="18"/>
  <c r="BA10" i="18" s="1"/>
  <c r="BT3" i="18"/>
  <c r="BT19" i="18"/>
  <c r="BO18" i="18"/>
  <c r="BY30" i="18"/>
  <c r="BA5" i="18" s="1"/>
  <c r="BW36" i="18"/>
  <c r="BT13" i="18"/>
  <c r="BR5" i="18"/>
  <c r="BN14" i="18"/>
  <c r="BT22" i="18"/>
  <c r="BW10" i="18"/>
  <c r="BO36" i="18"/>
  <c r="BS49" i="18"/>
  <c r="BS44" i="18"/>
  <c r="BS48" i="18" s="1"/>
  <c r="BW5" i="18"/>
  <c r="BX18" i="18"/>
  <c r="BX10" i="18"/>
  <c r="BO5" i="18"/>
  <c r="BR8" i="18"/>
  <c r="BR13" i="18"/>
  <c r="BX16" i="18"/>
  <c r="BR21" i="18"/>
  <c r="BQ5" i="18"/>
  <c r="BR7" i="18"/>
  <c r="BR16" i="18"/>
  <c r="BX24" i="18"/>
  <c r="BR3" i="18"/>
  <c r="BR11" i="18"/>
  <c r="BX19" i="18"/>
  <c r="BX3" i="18"/>
  <c r="BR17" i="18"/>
  <c r="BR22" i="18"/>
  <c r="BS5" i="18"/>
  <c r="BX14" i="18"/>
  <c r="BX8" i="18"/>
  <c r="BX5" i="18"/>
  <c r="BU5" i="18"/>
  <c r="BP17" i="18"/>
  <c r="BP5" i="18"/>
  <c r="BP11" i="18"/>
  <c r="BP3" i="18"/>
  <c r="BP15" i="18"/>
  <c r="BP21" i="18"/>
  <c r="BP24" i="18"/>
  <c r="BP9" i="18"/>
  <c r="BP13" i="18"/>
  <c r="BP18" i="18"/>
  <c r="BP23" i="18"/>
  <c r="BP7" i="18"/>
  <c r="BP22" i="18"/>
  <c r="BP4" i="18"/>
  <c r="BP10" i="18"/>
  <c r="BP19" i="18"/>
  <c r="BP16" i="18"/>
  <c r="BP8" i="18"/>
  <c r="BY17" i="18"/>
  <c r="AD18" i="18" s="1"/>
  <c r="BX15" i="18"/>
  <c r="BX7" i="18"/>
  <c r="BX13" i="18"/>
  <c r="BY16" i="18"/>
  <c r="AD17" i="18" s="1"/>
  <c r="BY15" i="18"/>
  <c r="AD16" i="18" s="1"/>
  <c r="BT4" i="18"/>
  <c r="BT18" i="18"/>
  <c r="BV17" i="18"/>
  <c r="BV23" i="18"/>
  <c r="BV11" i="18"/>
  <c r="BV19" i="18"/>
  <c r="BV9" i="18"/>
  <c r="BV14" i="18"/>
  <c r="BV24" i="18"/>
  <c r="BV16" i="18"/>
  <c r="BV22" i="18"/>
  <c r="BV18" i="18"/>
  <c r="BV8" i="18"/>
  <c r="BV10" i="18"/>
  <c r="BV13" i="18"/>
  <c r="BV4" i="18"/>
  <c r="BV7" i="18"/>
  <c r="BV3" i="18"/>
  <c r="BV5" i="18"/>
  <c r="BV15" i="18"/>
  <c r="BY14" i="18"/>
  <c r="AD15" i="18" s="1"/>
  <c r="BY4" i="18"/>
  <c r="AD5" i="18" s="1"/>
  <c r="BX9" i="18"/>
  <c r="BX11" i="18"/>
  <c r="BX17" i="18"/>
  <c r="BX23" i="18"/>
  <c r="BY9" i="18"/>
  <c r="AD10" i="18" s="1"/>
  <c r="BY13" i="18"/>
  <c r="AD14" i="18" s="1"/>
  <c r="BT11" i="18"/>
  <c r="BT15" i="18"/>
  <c r="BT24" i="18"/>
  <c r="BT10" i="18"/>
  <c r="BT14" i="18"/>
  <c r="BY8" i="18"/>
  <c r="AD9" i="18" s="1"/>
  <c r="BY22" i="18"/>
  <c r="BY21" i="18"/>
  <c r="AD22" i="18" s="1"/>
  <c r="BY7" i="18"/>
  <c r="AD8" i="18" s="1"/>
  <c r="BN9" i="18"/>
  <c r="BN18" i="18"/>
  <c r="BN4" i="18"/>
  <c r="BN8" i="18"/>
  <c r="BN13" i="18"/>
  <c r="BN17" i="18"/>
  <c r="BN22" i="18"/>
  <c r="BN7" i="18"/>
  <c r="BN16" i="18"/>
  <c r="BN21" i="18"/>
  <c r="BN10" i="18"/>
  <c r="BN15" i="18"/>
  <c r="BU49" i="18" l="1"/>
  <c r="M40" i="18"/>
  <c r="BS11" i="18"/>
  <c r="AD6" i="18"/>
  <c r="AD11" i="18"/>
  <c r="AD19" i="18"/>
  <c r="BY10" i="18"/>
  <c r="BY18" i="18"/>
  <c r="BQ11" i="18"/>
  <c r="BO11" i="18"/>
  <c r="BU11" i="18"/>
  <c r="BU19" i="18" s="1"/>
  <c r="BN5" i="18"/>
  <c r="BY36" i="18"/>
  <c r="BA11" i="18" s="1"/>
  <c r="BW11" i="18"/>
  <c r="BO49" i="18"/>
  <c r="BO44" i="18"/>
  <c r="BO48" i="18" s="1"/>
  <c r="BW44" i="18"/>
  <c r="BW48" i="18" s="1"/>
  <c r="BW49" i="18"/>
  <c r="BS24" i="18"/>
  <c r="BS19" i="18"/>
  <c r="BB18" i="18"/>
  <c r="BZ15" i="18"/>
  <c r="BZ8" i="18"/>
  <c r="BZ14" i="18"/>
  <c r="BZ4" i="18"/>
  <c r="BZ22" i="18"/>
  <c r="BZ13" i="18"/>
  <c r="BZ3" i="18"/>
  <c r="BZ21" i="18"/>
  <c r="BZ10" i="18"/>
  <c r="BZ18" i="18"/>
  <c r="BZ9" i="18"/>
  <c r="BZ17" i="18"/>
  <c r="BZ16" i="18"/>
  <c r="BZ7" i="18"/>
  <c r="BY5" i="18"/>
  <c r="BZ5" i="18" s="1"/>
  <c r="BB17" i="18"/>
  <c r="BB8" i="18"/>
  <c r="BB16" i="18"/>
  <c r="BB7" i="18"/>
  <c r="BB14" i="18"/>
  <c r="BB19" i="18"/>
  <c r="BB24" i="18"/>
  <c r="BB15" i="18"/>
  <c r="BB5" i="18"/>
  <c r="BB23" i="18"/>
  <c r="BB4" i="18"/>
  <c r="BB9" i="18"/>
  <c r="BB3" i="18"/>
  <c r="BB13" i="18"/>
  <c r="BB21" i="18"/>
  <c r="BB11" i="18"/>
  <c r="BB10" i="18"/>
  <c r="AD12" i="18" l="1"/>
  <c r="AD24" i="18" s="1"/>
  <c r="BO19" i="18"/>
  <c r="BY11" i="18"/>
  <c r="BZ11" i="18" s="1"/>
  <c r="BU24" i="18"/>
  <c r="BW19" i="18"/>
  <c r="BW24" i="18"/>
  <c r="BO24" i="18"/>
  <c r="BQ19" i="18"/>
  <c r="BU23" i="18"/>
  <c r="BQ24" i="18"/>
  <c r="BS23" i="18"/>
  <c r="BN24" i="18"/>
  <c r="BN19" i="18"/>
  <c r="BN11" i="18"/>
  <c r="BY49" i="18"/>
  <c r="BA24" i="18" s="1"/>
  <c r="BY44" i="18"/>
  <c r="BA19" i="18" s="1"/>
  <c r="BY48" i="18"/>
  <c r="BA23" i="18" s="1"/>
  <c r="BB22" i="18"/>
  <c r="AS47" i="18"/>
  <c r="AT47" i="18"/>
  <c r="AU47" i="18"/>
  <c r="AV47" i="18"/>
  <c r="AW47" i="18"/>
  <c r="AS48" i="18"/>
  <c r="AT48" i="18"/>
  <c r="AU48" i="18"/>
  <c r="AV48" i="18"/>
  <c r="AW48" i="18"/>
  <c r="AS49" i="18"/>
  <c r="AT49" i="18"/>
  <c r="AU49" i="18"/>
  <c r="AV49" i="18"/>
  <c r="AW49" i="18"/>
  <c r="AS46" i="18"/>
  <c r="AT46" i="18"/>
  <c r="AU46" i="18"/>
  <c r="AV46" i="18"/>
  <c r="AW46" i="18"/>
  <c r="AS39" i="18"/>
  <c r="AT39" i="18"/>
  <c r="AU39" i="18"/>
  <c r="AV39" i="18"/>
  <c r="AW39" i="18"/>
  <c r="AS40" i="18"/>
  <c r="AT40" i="18"/>
  <c r="AU40" i="18"/>
  <c r="AV40" i="18"/>
  <c r="AW40" i="18"/>
  <c r="AS41" i="18"/>
  <c r="AT41" i="18"/>
  <c r="AU41" i="18"/>
  <c r="AV41" i="18"/>
  <c r="AW41" i="18"/>
  <c r="AS42" i="18"/>
  <c r="AT42" i="18"/>
  <c r="AU42" i="18"/>
  <c r="AV42" i="18"/>
  <c r="AW42" i="18"/>
  <c r="AS43" i="18"/>
  <c r="AT43" i="18"/>
  <c r="AU43" i="18"/>
  <c r="AV43" i="18"/>
  <c r="AW43" i="18"/>
  <c r="AS44" i="18"/>
  <c r="AT44" i="18"/>
  <c r="AU44" i="18"/>
  <c r="AV44" i="18"/>
  <c r="AW44" i="18"/>
  <c r="AS38" i="18"/>
  <c r="AT38" i="18"/>
  <c r="AU38" i="18"/>
  <c r="AV38" i="18"/>
  <c r="AW38" i="18"/>
  <c r="AS33" i="18"/>
  <c r="AT33" i="18"/>
  <c r="AU33" i="18"/>
  <c r="AV33" i="18"/>
  <c r="AW33" i="18"/>
  <c r="AS34" i="18"/>
  <c r="AT34" i="18"/>
  <c r="AU34" i="18"/>
  <c r="AV34" i="18"/>
  <c r="AW34" i="18"/>
  <c r="AS35" i="18"/>
  <c r="AT35" i="18"/>
  <c r="AU35" i="18"/>
  <c r="AV35" i="18"/>
  <c r="AW35" i="18"/>
  <c r="AS36" i="18"/>
  <c r="AT36" i="18"/>
  <c r="AU36" i="18"/>
  <c r="AV36" i="18"/>
  <c r="AW36" i="18"/>
  <c r="AS32" i="18"/>
  <c r="AT32" i="18"/>
  <c r="AU32" i="18"/>
  <c r="AV32" i="18"/>
  <c r="AW32" i="18"/>
  <c r="AT30" i="18"/>
  <c r="AS29" i="18"/>
  <c r="AT29" i="18"/>
  <c r="AU29" i="18"/>
  <c r="AV29" i="18"/>
  <c r="AW29" i="18"/>
  <c r="AS30" i="18"/>
  <c r="AU30" i="18"/>
  <c r="AV30" i="18"/>
  <c r="AW30" i="18"/>
  <c r="AW28" i="18"/>
  <c r="AV28" i="18"/>
  <c r="AU28" i="18"/>
  <c r="AT28" i="18"/>
  <c r="AS28" i="18"/>
  <c r="AW3" i="18"/>
  <c r="AV3" i="18"/>
  <c r="AU3" i="18"/>
  <c r="AT3" i="18"/>
  <c r="AS3" i="18"/>
  <c r="BY19" i="18" l="1"/>
  <c r="BZ19" i="18" s="1"/>
  <c r="AD20" i="18"/>
  <c r="AD23" i="18" s="1"/>
  <c r="AX28" i="18"/>
  <c r="BE3" i="18" s="1"/>
  <c r="AX3" i="18"/>
  <c r="AX46" i="18"/>
  <c r="AX39" i="18"/>
  <c r="BE14" i="18" s="1"/>
  <c r="BJ14" i="18" s="1"/>
  <c r="BW23" i="18"/>
  <c r="AX41" i="18"/>
  <c r="BE16" i="18" s="1"/>
  <c r="BJ16" i="18" s="1"/>
  <c r="BE21" i="18"/>
  <c r="BJ21" i="18" s="1"/>
  <c r="BY24" i="18"/>
  <c r="BZ24" i="18" s="1"/>
  <c r="BQ23" i="18"/>
  <c r="BO23" i="18"/>
  <c r="BN23" i="18"/>
  <c r="AX49" i="18"/>
  <c r="BE24" i="18" s="1"/>
  <c r="BJ24" i="18" s="1"/>
  <c r="AX30" i="18"/>
  <c r="BE5" i="18" s="1"/>
  <c r="BJ5" i="18" s="1"/>
  <c r="AX32" i="18"/>
  <c r="BE7" i="18" s="1"/>
  <c r="BI7" i="18" s="1"/>
  <c r="AX38" i="18"/>
  <c r="BE13" i="18" s="1"/>
  <c r="BJ13" i="18" s="1"/>
  <c r="AX43" i="18"/>
  <c r="BE18" i="18" s="1"/>
  <c r="BJ18" i="18" s="1"/>
  <c r="BI14" i="18"/>
  <c r="BJ7" i="18"/>
  <c r="AX34" i="18"/>
  <c r="BE9" i="18" s="1"/>
  <c r="AX33" i="18"/>
  <c r="BE8" i="18" s="1"/>
  <c r="AX42" i="18"/>
  <c r="BE17" i="18" s="1"/>
  <c r="AX29" i="18"/>
  <c r="BE4" i="18" s="1"/>
  <c r="AX40" i="18"/>
  <c r="BE15" i="18" s="1"/>
  <c r="AX35" i="18"/>
  <c r="BE10" i="18" s="1"/>
  <c r="AX48" i="18"/>
  <c r="BE23" i="18" s="1"/>
  <c r="AX47" i="18"/>
  <c r="BE22" i="18" s="1"/>
  <c r="AX36" i="18"/>
  <c r="BE11" i="18" s="1"/>
  <c r="AX44" i="18"/>
  <c r="BE19" i="18" s="1"/>
  <c r="AT22" i="18"/>
  <c r="AT23" i="18"/>
  <c r="AT24" i="18"/>
  <c r="AT14" i="18"/>
  <c r="AT15" i="18"/>
  <c r="AT16" i="18"/>
  <c r="AT17" i="18"/>
  <c r="AT18" i="18"/>
  <c r="AT19" i="18"/>
  <c r="AT21" i="18"/>
  <c r="AT13" i="18"/>
  <c r="AT8" i="18"/>
  <c r="AT9" i="18"/>
  <c r="AT10" i="18"/>
  <c r="AT11" i="18"/>
  <c r="AT7" i="18"/>
  <c r="AT5" i="18"/>
  <c r="AT4" i="18"/>
  <c r="AS22" i="18"/>
  <c r="AU22" i="18"/>
  <c r="AV22" i="18"/>
  <c r="AW22" i="18"/>
  <c r="AS23" i="18"/>
  <c r="AU23" i="18"/>
  <c r="AV23" i="18"/>
  <c r="AW23" i="18"/>
  <c r="AS24" i="18"/>
  <c r="AU24" i="18"/>
  <c r="AV24" i="18"/>
  <c r="AW24" i="18"/>
  <c r="AS21" i="18"/>
  <c r="AU21" i="18"/>
  <c r="AV21" i="18"/>
  <c r="AW21" i="18"/>
  <c r="AS14" i="18"/>
  <c r="AU14" i="18"/>
  <c r="AV14" i="18"/>
  <c r="AW14" i="18"/>
  <c r="AS15" i="18"/>
  <c r="AU15" i="18"/>
  <c r="AV15" i="18"/>
  <c r="AW15" i="18"/>
  <c r="AS16" i="18"/>
  <c r="AU16" i="18"/>
  <c r="AV16" i="18"/>
  <c r="AW16" i="18"/>
  <c r="AS17" i="18"/>
  <c r="AU17" i="18"/>
  <c r="AV17" i="18"/>
  <c r="AW17" i="18"/>
  <c r="AS18" i="18"/>
  <c r="AU18" i="18"/>
  <c r="AV18" i="18"/>
  <c r="AW18" i="18"/>
  <c r="AS19" i="18"/>
  <c r="AU19" i="18"/>
  <c r="AV19" i="18"/>
  <c r="AW19" i="18"/>
  <c r="AS13" i="18"/>
  <c r="AU13" i="18"/>
  <c r="AV13" i="18"/>
  <c r="AW13" i="18"/>
  <c r="AS8" i="18"/>
  <c r="AU8" i="18"/>
  <c r="AV8" i="18"/>
  <c r="AW8" i="18"/>
  <c r="AS9" i="18"/>
  <c r="AU9" i="18"/>
  <c r="AV9" i="18"/>
  <c r="AW9" i="18"/>
  <c r="AS10" i="18"/>
  <c r="AU10" i="18"/>
  <c r="AV10" i="18"/>
  <c r="AW10" i="18"/>
  <c r="AS11" i="18"/>
  <c r="AU11" i="18"/>
  <c r="AV11" i="18"/>
  <c r="AW11" i="18"/>
  <c r="AW7" i="18"/>
  <c r="AV7" i="18"/>
  <c r="AU7" i="18"/>
  <c r="AS7" i="18"/>
  <c r="AW5" i="18"/>
  <c r="AV5" i="18"/>
  <c r="AU5" i="18"/>
  <c r="AS5" i="18"/>
  <c r="AU4" i="18"/>
  <c r="AV4" i="18"/>
  <c r="AW4" i="18"/>
  <c r="AS4" i="18"/>
  <c r="AX4" i="18" s="1"/>
  <c r="AS4" i="20"/>
  <c r="AX13" i="18" l="1"/>
  <c r="BI16" i="18"/>
  <c r="BI21" i="18"/>
  <c r="BI5" i="18"/>
  <c r="BI18" i="18"/>
  <c r="BC13" i="18"/>
  <c r="BG13" i="18" s="1"/>
  <c r="AX16" i="18"/>
  <c r="BC16" i="18" s="1"/>
  <c r="BH16" i="18" s="1"/>
  <c r="AX24" i="18"/>
  <c r="BC24" i="18" s="1"/>
  <c r="BH24" i="18" s="1"/>
  <c r="AX7" i="18"/>
  <c r="BC7" i="18" s="1"/>
  <c r="BG7" i="18" s="1"/>
  <c r="AX17" i="18"/>
  <c r="BC17" i="18" s="1"/>
  <c r="BH17" i="18" s="1"/>
  <c r="AX21" i="18"/>
  <c r="BC21" i="18" s="1"/>
  <c r="BH21" i="18" s="1"/>
  <c r="BY23" i="18"/>
  <c r="BZ23" i="18" s="1"/>
  <c r="AX18" i="18"/>
  <c r="BC18" i="18" s="1"/>
  <c r="BH18" i="18" s="1"/>
  <c r="BI24" i="18"/>
  <c r="BI13" i="18"/>
  <c r="AX15" i="18"/>
  <c r="BC15" i="18" s="1"/>
  <c r="BJ15" i="18"/>
  <c r="BI15" i="18"/>
  <c r="BI10" i="18"/>
  <c r="BJ10" i="18"/>
  <c r="AX11" i="18"/>
  <c r="BC11" i="18" s="1"/>
  <c r="BJ4" i="18"/>
  <c r="BI4" i="18"/>
  <c r="BC4" i="18"/>
  <c r="AX5" i="18"/>
  <c r="BC5" i="18" s="1"/>
  <c r="BF24" i="18"/>
  <c r="BF15" i="18"/>
  <c r="BF5" i="18"/>
  <c r="BF13" i="18"/>
  <c r="BF21" i="18"/>
  <c r="BF3" i="18"/>
  <c r="BF16" i="18"/>
  <c r="BF7" i="18"/>
  <c r="BF23" i="18"/>
  <c r="BF14" i="18"/>
  <c r="BF4" i="18"/>
  <c r="BF22" i="18"/>
  <c r="BF11" i="18"/>
  <c r="BF17" i="18"/>
  <c r="BF19" i="18"/>
  <c r="BF10" i="18"/>
  <c r="BF18" i="18"/>
  <c r="BF9" i="18"/>
  <c r="BF8" i="18"/>
  <c r="BJ3" i="18"/>
  <c r="BI3" i="18"/>
  <c r="BJ17" i="18"/>
  <c r="BI17" i="18"/>
  <c r="AX19" i="18"/>
  <c r="BC19" i="18" s="1"/>
  <c r="BJ19" i="18"/>
  <c r="BI19" i="18"/>
  <c r="BJ22" i="18"/>
  <c r="BI22" i="18"/>
  <c r="BI8" i="18"/>
  <c r="BJ8" i="18"/>
  <c r="AX22" i="18"/>
  <c r="BC22" i="18" s="1"/>
  <c r="BI11" i="18"/>
  <c r="BJ11" i="18"/>
  <c r="BJ23" i="18"/>
  <c r="BI23" i="18"/>
  <c r="BI9" i="18"/>
  <c r="BJ9" i="18"/>
  <c r="AX23" i="18"/>
  <c r="BC23" i="18" s="1"/>
  <c r="AX14" i="18"/>
  <c r="BC14" i="18" s="1"/>
  <c r="AX8" i="18"/>
  <c r="BC8" i="18" s="1"/>
  <c r="AX9" i="18"/>
  <c r="BC9" i="18" s="1"/>
  <c r="AX10" i="18"/>
  <c r="BC10" i="18" s="1"/>
  <c r="BC3" i="18"/>
  <c r="BH13" i="18" l="1"/>
  <c r="BG24" i="18"/>
  <c r="BG18" i="18"/>
  <c r="BG16" i="18"/>
  <c r="BH7" i="18"/>
  <c r="BG21" i="18"/>
  <c r="BG17" i="18"/>
  <c r="BG14" i="18"/>
  <c r="BH14" i="18"/>
  <c r="BH11" i="18"/>
  <c r="BG11" i="18"/>
  <c r="BH15" i="18"/>
  <c r="BG15" i="18"/>
  <c r="BG19" i="18"/>
  <c r="BH19" i="18"/>
  <c r="BH5" i="18"/>
  <c r="BG5" i="18"/>
  <c r="BD3" i="18"/>
  <c r="BD10" i="18"/>
  <c r="BD18" i="18"/>
  <c r="BD9" i="18"/>
  <c r="BD7" i="18"/>
  <c r="BD24" i="18"/>
  <c r="BD5" i="18"/>
  <c r="BD11" i="18"/>
  <c r="BD17" i="18"/>
  <c r="BD8" i="18"/>
  <c r="BD16" i="18"/>
  <c r="BD15" i="18"/>
  <c r="BD21" i="18"/>
  <c r="BD23" i="18"/>
  <c r="BD14" i="18"/>
  <c r="BD4" i="18"/>
  <c r="BD22" i="18"/>
  <c r="BD13" i="18"/>
  <c r="BD19" i="18"/>
  <c r="BG3" i="18"/>
  <c r="BH3" i="18"/>
  <c r="BG4" i="18"/>
  <c r="BH4" i="18"/>
  <c r="BG8" i="18"/>
  <c r="BH8" i="18"/>
  <c r="BH23" i="18"/>
  <c r="BG23" i="18"/>
  <c r="BH22" i="18"/>
  <c r="BG22" i="18"/>
  <c r="BG10" i="18"/>
  <c r="BH10" i="18"/>
  <c r="BG9" i="18"/>
  <c r="BH9" i="18"/>
  <c r="AC4" i="1" l="1"/>
  <c r="Y77" i="1" l="1"/>
  <c r="AO128" i="1"/>
  <c r="AO127" i="1"/>
  <c r="AO123" i="1"/>
  <c r="AO122" i="1"/>
  <c r="AO121" i="1"/>
  <c r="AO120" i="1"/>
  <c r="AO119" i="1"/>
  <c r="AO115" i="1"/>
  <c r="AO114" i="1"/>
  <c r="AO113" i="1"/>
  <c r="AO110" i="1"/>
  <c r="AO109" i="1"/>
  <c r="AM109" i="1"/>
  <c r="Y123" i="1"/>
  <c r="Y122" i="1"/>
  <c r="Y128" i="1"/>
  <c r="Y127" i="1"/>
  <c r="Y121" i="1"/>
  <c r="Y120" i="1"/>
  <c r="Y119" i="1"/>
  <c r="Y115" i="1"/>
  <c r="Y114" i="1"/>
  <c r="Y113" i="1"/>
  <c r="Y110" i="1"/>
  <c r="Y109" i="1"/>
  <c r="AO96" i="1"/>
  <c r="AO95" i="1"/>
  <c r="AO91" i="1"/>
  <c r="AO90" i="1"/>
  <c r="AO89" i="1"/>
  <c r="AO88" i="1"/>
  <c r="AO87" i="1"/>
  <c r="AO83" i="1"/>
  <c r="AO82" i="1"/>
  <c r="AO81" i="1"/>
  <c r="AO78" i="1"/>
  <c r="AO77" i="1"/>
  <c r="Y96" i="1"/>
  <c r="Y95" i="1"/>
  <c r="Y91" i="1"/>
  <c r="Y90" i="1"/>
  <c r="Y89" i="1"/>
  <c r="Y88" i="1"/>
  <c r="Y87" i="1"/>
  <c r="Y83" i="1"/>
  <c r="Y82" i="1"/>
  <c r="Y81" i="1"/>
  <c r="Y78" i="1"/>
  <c r="Y124" i="1" l="1"/>
  <c r="Y92" i="1"/>
  <c r="AO92" i="1"/>
  <c r="AO124" i="1"/>
  <c r="E311" i="12"/>
  <c r="E359" i="12"/>
  <c r="G24" i="9" l="1"/>
  <c r="AP32" i="8"/>
  <c r="AP5" i="8"/>
  <c r="AE19" i="18" l="1"/>
  <c r="AE11" i="18"/>
  <c r="AE6" i="18"/>
  <c r="AE22" i="18"/>
  <c r="AE18" i="18"/>
  <c r="AE17" i="18"/>
  <c r="AE16" i="18"/>
  <c r="AE15" i="18"/>
  <c r="AE14" i="18"/>
  <c r="AE10" i="18"/>
  <c r="AE9" i="18"/>
  <c r="AE8" i="18"/>
  <c r="AE5" i="18"/>
  <c r="AE4" i="18"/>
  <c r="AE24" i="18" l="1"/>
  <c r="AE12" i="18"/>
  <c r="AE20" i="18" l="1"/>
  <c r="AE23" i="18" l="1"/>
  <c r="O19" i="4" l="1"/>
  <c r="J155" i="4" l="1"/>
  <c r="J154" i="4"/>
  <c r="J153" i="4"/>
  <c r="J151" i="4"/>
  <c r="J150" i="4"/>
  <c r="K161" i="4"/>
  <c r="J161" i="4"/>
  <c r="L161" i="4"/>
  <c r="M161" i="4"/>
  <c r="AJ37" i="8" l="1"/>
  <c r="AH37" i="8"/>
  <c r="AJ10" i="8"/>
  <c r="AH10" i="8"/>
  <c r="AR37" i="8" l="1"/>
  <c r="AL10" i="8"/>
  <c r="AL37" i="8"/>
  <c r="AF37" i="8"/>
  <c r="AR10" i="8"/>
  <c r="AP10" i="8"/>
  <c r="AF10" i="8"/>
  <c r="AR32" i="8" l="1"/>
  <c r="AR5" i="8"/>
  <c r="AL32" i="8" l="1"/>
  <c r="AJ32" i="8"/>
  <c r="AH32" i="8"/>
  <c r="AF32" i="8"/>
  <c r="AL5" i="8"/>
  <c r="AJ5" i="8"/>
  <c r="AH5" i="8"/>
  <c r="AF5" i="8"/>
  <c r="P57" i="4" l="1"/>
  <c r="P56" i="4"/>
  <c r="C7" i="5" l="1"/>
  <c r="C6" i="5"/>
  <c r="B7" i="5"/>
  <c r="Q31" i="1" s="1"/>
  <c r="B6" i="5"/>
  <c r="B4" i="5"/>
  <c r="B5" i="5"/>
  <c r="Q68" i="1" l="1"/>
  <c r="AO10" i="1"/>
  <c r="Y55" i="1"/>
  <c r="Y9" i="1"/>
  <c r="Y52" i="1"/>
  <c r="AO60" i="1"/>
  <c r="Y59" i="1"/>
  <c r="Y60" i="1"/>
  <c r="Y47" i="1"/>
  <c r="AO52" i="1"/>
  <c r="Y18" i="1"/>
  <c r="L18" i="18" s="1"/>
  <c r="M18" i="18" s="1"/>
  <c r="AO14" i="1"/>
  <c r="AO41" i="1"/>
  <c r="AO16" i="1"/>
  <c r="Y51" i="1"/>
  <c r="AO46" i="1"/>
  <c r="Y10" i="1"/>
  <c r="Y46" i="1"/>
  <c r="AO42" i="1"/>
  <c r="Y5" i="1"/>
  <c r="Y22" i="1"/>
  <c r="Y23" i="1"/>
  <c r="AO55" i="1"/>
  <c r="AO47" i="1"/>
  <c r="AO23" i="1"/>
  <c r="Y17" i="1"/>
  <c r="AO22" i="1"/>
  <c r="Y8" i="1"/>
  <c r="Y41" i="1"/>
  <c r="AO15" i="1"/>
  <c r="AO53" i="1"/>
  <c r="AO4" i="1"/>
  <c r="AO9" i="1"/>
  <c r="Y42" i="1"/>
  <c r="Y14" i="1"/>
  <c r="Y45" i="1"/>
  <c r="AO5" i="1"/>
  <c r="AO17" i="1"/>
  <c r="Y53" i="1"/>
  <c r="Y16" i="1"/>
  <c r="AO59" i="1"/>
  <c r="AO51" i="1"/>
  <c r="Y54" i="1"/>
  <c r="AO18" i="1"/>
  <c r="Y15" i="1"/>
  <c r="AO45" i="1"/>
  <c r="Y4" i="1"/>
  <c r="AO8" i="1"/>
  <c r="AO54" i="1"/>
  <c r="Y56" i="1" l="1"/>
  <c r="AO19" i="1"/>
  <c r="Y19" i="1"/>
  <c r="L14" i="18"/>
  <c r="M14" i="18" s="1"/>
  <c r="AO56" i="1"/>
  <c r="P129" i="4"/>
  <c r="P128" i="4"/>
  <c r="P114" i="4"/>
  <c r="P113" i="4"/>
  <c r="P96" i="4"/>
  <c r="P95" i="4"/>
  <c r="P40" i="4"/>
  <c r="P39" i="4"/>
  <c r="I441" i="12"/>
  <c r="H441" i="12"/>
  <c r="G441" i="12"/>
  <c r="F441" i="12"/>
  <c r="E441" i="12"/>
  <c r="I390" i="12"/>
  <c r="H390" i="12"/>
  <c r="G390" i="12"/>
  <c r="F390" i="12"/>
  <c r="E390" i="12"/>
  <c r="I479" i="12"/>
  <c r="H479" i="12"/>
  <c r="G479" i="12"/>
  <c r="F479" i="12"/>
  <c r="E479" i="12"/>
  <c r="I428" i="12"/>
  <c r="H428" i="12"/>
  <c r="F428" i="12"/>
  <c r="E428" i="12"/>
  <c r="G428" i="12"/>
  <c r="J479" i="12" l="1"/>
  <c r="J428" i="12"/>
  <c r="AP33" i="8" l="1"/>
  <c r="M70" i="1" l="1"/>
  <c r="M68" i="1"/>
  <c r="K70" i="1"/>
  <c r="K68" i="1"/>
  <c r="E70" i="1"/>
  <c r="E68" i="1"/>
  <c r="M52" i="1"/>
  <c r="M51" i="1"/>
  <c r="K52" i="1"/>
  <c r="K51" i="1"/>
  <c r="E52" i="1"/>
  <c r="E51" i="1"/>
  <c r="M33" i="1" l="1"/>
  <c r="K33" i="1"/>
  <c r="I33" i="1"/>
  <c r="G33" i="1"/>
  <c r="E33" i="1"/>
  <c r="M31" i="1"/>
  <c r="K31" i="1"/>
  <c r="I31" i="1"/>
  <c r="G31" i="1"/>
  <c r="E31" i="1"/>
  <c r="M15" i="1"/>
  <c r="K15" i="1"/>
  <c r="I15" i="1"/>
  <c r="G15" i="1"/>
  <c r="E15" i="1"/>
  <c r="M14" i="1"/>
  <c r="K14" i="1"/>
  <c r="I14" i="1"/>
  <c r="G14" i="1"/>
  <c r="E14" i="1"/>
  <c r="O31" i="1" l="1"/>
  <c r="O15" i="1"/>
  <c r="BJ15" i="8"/>
  <c r="O14" i="1" l="1"/>
  <c r="AN32" i="8"/>
  <c r="AT32" i="8" l="1"/>
  <c r="AP45" i="8"/>
  <c r="C5" i="8" l="1"/>
  <c r="BV49" i="8" l="1"/>
  <c r="BV48" i="8"/>
  <c r="BV44" i="8"/>
  <c r="BV43" i="8"/>
  <c r="BV42" i="8"/>
  <c r="BV38" i="8"/>
  <c r="BV37" i="8"/>
  <c r="BV36" i="8"/>
  <c r="BV33" i="8"/>
  <c r="BV32" i="8"/>
  <c r="BV22" i="8"/>
  <c r="BV21" i="8"/>
  <c r="BV17" i="8"/>
  <c r="BV16" i="8"/>
  <c r="BV15" i="8"/>
  <c r="BV11" i="8"/>
  <c r="BV10" i="8"/>
  <c r="BV9" i="8"/>
  <c r="BV6" i="8"/>
  <c r="BV5" i="8"/>
  <c r="I375" i="12" l="1"/>
  <c r="I374" i="12"/>
  <c r="I373" i="12"/>
  <c r="I372" i="12"/>
  <c r="I371" i="12"/>
  <c r="I370" i="12"/>
  <c r="I369" i="12"/>
  <c r="I368" i="12"/>
  <c r="I367" i="12"/>
  <c r="I366" i="12"/>
  <c r="I365" i="12"/>
  <c r="I364" i="12"/>
  <c r="I363" i="12"/>
  <c r="I359" i="12"/>
  <c r="I358" i="12"/>
  <c r="I357" i="12"/>
  <c r="I356" i="12"/>
  <c r="I355" i="12"/>
  <c r="I354" i="12"/>
  <c r="I350" i="12"/>
  <c r="I349" i="12"/>
  <c r="I348" i="12"/>
  <c r="I347" i="12"/>
  <c r="I346" i="12"/>
  <c r="I345" i="12"/>
  <c r="I344" i="12"/>
  <c r="I341" i="12"/>
  <c r="I327" i="12"/>
  <c r="I326" i="12"/>
  <c r="I325" i="12"/>
  <c r="I324" i="12"/>
  <c r="I323" i="12"/>
  <c r="I322" i="12"/>
  <c r="I321" i="12"/>
  <c r="I320" i="12"/>
  <c r="I319" i="12"/>
  <c r="I318" i="12"/>
  <c r="I317" i="12"/>
  <c r="I316" i="12"/>
  <c r="I315" i="12"/>
  <c r="I311" i="12"/>
  <c r="I310" i="12"/>
  <c r="I309" i="12"/>
  <c r="I308" i="12"/>
  <c r="I307" i="12"/>
  <c r="I306" i="12"/>
  <c r="I302" i="12"/>
  <c r="I301" i="12"/>
  <c r="I300" i="12"/>
  <c r="I299" i="12"/>
  <c r="I298" i="12"/>
  <c r="I297" i="12"/>
  <c r="I296" i="12"/>
  <c r="I293" i="12"/>
  <c r="G19" i="9"/>
  <c r="C115" i="4" l="1"/>
  <c r="I36" i="8" l="1"/>
  <c r="CD49" i="8" l="1"/>
  <c r="CD48" i="8"/>
  <c r="CD44" i="8"/>
  <c r="CD43" i="8"/>
  <c r="CD42" i="8"/>
  <c r="CD38" i="8"/>
  <c r="CD37" i="8"/>
  <c r="CD36" i="8"/>
  <c r="CD33" i="8"/>
  <c r="CD32" i="8"/>
  <c r="CD5" i="8"/>
  <c r="CB49" i="8"/>
  <c r="CB48" i="8"/>
  <c r="CB44" i="8"/>
  <c r="CB43" i="8"/>
  <c r="CB42" i="8"/>
  <c r="CB38" i="8"/>
  <c r="CB37" i="8"/>
  <c r="CB36" i="8"/>
  <c r="CB33" i="8"/>
  <c r="CB32" i="8"/>
  <c r="CB22" i="8"/>
  <c r="BZ48" i="8"/>
  <c r="BZ49" i="8"/>
  <c r="BZ44" i="8"/>
  <c r="BZ43" i="8"/>
  <c r="BZ42" i="8"/>
  <c r="BZ38" i="8"/>
  <c r="BZ37" i="8"/>
  <c r="BZ36" i="8"/>
  <c r="BZ33" i="8"/>
  <c r="BZ32" i="8"/>
  <c r="BZ22" i="8"/>
  <c r="BX49" i="8"/>
  <c r="BX48" i="8"/>
  <c r="BX44" i="8"/>
  <c r="BX43" i="8"/>
  <c r="BX42" i="8"/>
  <c r="BX38" i="8"/>
  <c r="BX37" i="8"/>
  <c r="BX36" i="8"/>
  <c r="BX33" i="8"/>
  <c r="BX32" i="8"/>
  <c r="BH49" i="8"/>
  <c r="BH48" i="8"/>
  <c r="BH44" i="8"/>
  <c r="BH43" i="8"/>
  <c r="BH42" i="8"/>
  <c r="BH38" i="8"/>
  <c r="BH37" i="8"/>
  <c r="BH36" i="8"/>
  <c r="BH33" i="8"/>
  <c r="BH32" i="8"/>
  <c r="BP49" i="8"/>
  <c r="BP48" i="8"/>
  <c r="BP44" i="8"/>
  <c r="BP43" i="8"/>
  <c r="BP42" i="8"/>
  <c r="BP38" i="8"/>
  <c r="BP37" i="8"/>
  <c r="BP36" i="8"/>
  <c r="BP33" i="8"/>
  <c r="BP32" i="8"/>
  <c r="BN22" i="8"/>
  <c r="BN49" i="8"/>
  <c r="BN48" i="8"/>
  <c r="BN44" i="8"/>
  <c r="BN43" i="8"/>
  <c r="BN42" i="8"/>
  <c r="BN38" i="8"/>
  <c r="BN37" i="8"/>
  <c r="BN36" i="8"/>
  <c r="BN33" i="8"/>
  <c r="BN32" i="8"/>
  <c r="BL21" i="8"/>
  <c r="BL49" i="8"/>
  <c r="BL48" i="8"/>
  <c r="BL44" i="8"/>
  <c r="BL43" i="8"/>
  <c r="BL42" i="8"/>
  <c r="BL38" i="8"/>
  <c r="BL37" i="8"/>
  <c r="BL36" i="8"/>
  <c r="BL33" i="8"/>
  <c r="BL32" i="8"/>
  <c r="BJ22" i="8"/>
  <c r="BJ49" i="8"/>
  <c r="BJ48" i="8"/>
  <c r="BJ44" i="8"/>
  <c r="BJ43" i="8"/>
  <c r="BJ42" i="8"/>
  <c r="BJ38" i="8"/>
  <c r="BJ37" i="8"/>
  <c r="BJ36" i="8"/>
  <c r="BJ33" i="8"/>
  <c r="BJ32" i="8"/>
  <c r="BH22" i="8"/>
  <c r="CD22" i="8"/>
  <c r="CD21" i="8"/>
  <c r="CD17" i="8"/>
  <c r="CD16" i="8"/>
  <c r="CD15" i="8"/>
  <c r="CD11" i="8"/>
  <c r="CD10" i="8"/>
  <c r="CD9" i="8"/>
  <c r="CD6" i="8"/>
  <c r="CB21" i="8"/>
  <c r="CB17" i="8"/>
  <c r="CB16" i="8"/>
  <c r="CB15" i="8"/>
  <c r="CB11" i="8"/>
  <c r="CB10" i="8"/>
  <c r="CB9" i="8"/>
  <c r="CB6" i="8"/>
  <c r="CB5" i="8"/>
  <c r="BZ21" i="8"/>
  <c r="BZ17" i="8"/>
  <c r="BZ16" i="8"/>
  <c r="BZ15" i="8"/>
  <c r="BZ11" i="8"/>
  <c r="BZ10" i="8"/>
  <c r="BZ9" i="8"/>
  <c r="BZ6" i="8"/>
  <c r="BZ5" i="8"/>
  <c r="BX22" i="8"/>
  <c r="BX21" i="8"/>
  <c r="BX17" i="8"/>
  <c r="BX16" i="8"/>
  <c r="BX15" i="8"/>
  <c r="BX11" i="8"/>
  <c r="BX10" i="8"/>
  <c r="BX9" i="8"/>
  <c r="BX6" i="8"/>
  <c r="BX5" i="8"/>
  <c r="BN21" i="8"/>
  <c r="BN17" i="8"/>
  <c r="BN16" i="8"/>
  <c r="BN15" i="8"/>
  <c r="BN11" i="8"/>
  <c r="BN10" i="8"/>
  <c r="BN9" i="8"/>
  <c r="BN6" i="8"/>
  <c r="BN5" i="8"/>
  <c r="BL22" i="8"/>
  <c r="BL17" i="8"/>
  <c r="BL16" i="8"/>
  <c r="BL15" i="8"/>
  <c r="BL11" i="8"/>
  <c r="BL10" i="8"/>
  <c r="BL9" i="8"/>
  <c r="BL6" i="8"/>
  <c r="BL5" i="8"/>
  <c r="BJ21" i="8"/>
  <c r="BJ17" i="8"/>
  <c r="BJ16" i="8"/>
  <c r="BJ11" i="8"/>
  <c r="BJ10" i="8"/>
  <c r="BJ9" i="8"/>
  <c r="BJ6" i="8"/>
  <c r="BJ5" i="8"/>
  <c r="BH21" i="8"/>
  <c r="BH17" i="8"/>
  <c r="BH15" i="8"/>
  <c r="BH16" i="8"/>
  <c r="BH11" i="8"/>
  <c r="BH10" i="8"/>
  <c r="BH9" i="8"/>
  <c r="BH6" i="8"/>
  <c r="BH5" i="8"/>
  <c r="BA51" i="8"/>
  <c r="BA50" i="8"/>
  <c r="BA46" i="8"/>
  <c r="BA45" i="8"/>
  <c r="BA44" i="8"/>
  <c r="BA43" i="8"/>
  <c r="BA42" i="8"/>
  <c r="BA38" i="8"/>
  <c r="BA37" i="8"/>
  <c r="BA36" i="8"/>
  <c r="BA33" i="8"/>
  <c r="BA32" i="8"/>
  <c r="BA24" i="8"/>
  <c r="BA23" i="8"/>
  <c r="BA19" i="8"/>
  <c r="BA18" i="8"/>
  <c r="BA17" i="8"/>
  <c r="BA16" i="8"/>
  <c r="BA15" i="8"/>
  <c r="BA11" i="8"/>
  <c r="BA10" i="8"/>
  <c r="BA9" i="8"/>
  <c r="BA6" i="8"/>
  <c r="BA5" i="8"/>
  <c r="AY51" i="8"/>
  <c r="AY50" i="8"/>
  <c r="AY46" i="8"/>
  <c r="AY45" i="8"/>
  <c r="AY44" i="8"/>
  <c r="AY43" i="8"/>
  <c r="AY42" i="8"/>
  <c r="AY38" i="8"/>
  <c r="AY37" i="8"/>
  <c r="AY36" i="8"/>
  <c r="AY33" i="8"/>
  <c r="AY32" i="8"/>
  <c r="AY24" i="8"/>
  <c r="AY23" i="8"/>
  <c r="AY19" i="8"/>
  <c r="AY18" i="8"/>
  <c r="AY17" i="8"/>
  <c r="AY16" i="8"/>
  <c r="AY15" i="8"/>
  <c r="AY11" i="8"/>
  <c r="AY10" i="8"/>
  <c r="AY9" i="8"/>
  <c r="AY6" i="8"/>
  <c r="AY5" i="8"/>
  <c r="AP51" i="8"/>
  <c r="AP50" i="8"/>
  <c r="AP46" i="8"/>
  <c r="AP44" i="8"/>
  <c r="AP43" i="8"/>
  <c r="AP42" i="8"/>
  <c r="AP38" i="8"/>
  <c r="AP37" i="8"/>
  <c r="AP36" i="8"/>
  <c r="AP31" i="8"/>
  <c r="AP24" i="8"/>
  <c r="AR51" i="8"/>
  <c r="AR50" i="8"/>
  <c r="AR46" i="8"/>
  <c r="AR45" i="8"/>
  <c r="AR44" i="8"/>
  <c r="AR43" i="8"/>
  <c r="AR42" i="8"/>
  <c r="AR38" i="8"/>
  <c r="AR36" i="8"/>
  <c r="AR33" i="8"/>
  <c r="AR24" i="8"/>
  <c r="AR23" i="8"/>
  <c r="AR19" i="8"/>
  <c r="AR18" i="8"/>
  <c r="AR17" i="8"/>
  <c r="AR16" i="8"/>
  <c r="AR15" i="8"/>
  <c r="AR11" i="8"/>
  <c r="AR9" i="8"/>
  <c r="AR6" i="8"/>
  <c r="AP23" i="8"/>
  <c r="AP19" i="8"/>
  <c r="AP18" i="8"/>
  <c r="AP17" i="8"/>
  <c r="AP16" i="8"/>
  <c r="AP15" i="8"/>
  <c r="AP11" i="8"/>
  <c r="AP9" i="8"/>
  <c r="AP6" i="8"/>
  <c r="AP4" i="8"/>
  <c r="AN51" i="8"/>
  <c r="AN50" i="8"/>
  <c r="AN46" i="8"/>
  <c r="AN45" i="8"/>
  <c r="AN44" i="8"/>
  <c r="AN43" i="8"/>
  <c r="AN42" i="8"/>
  <c r="AN38" i="8"/>
  <c r="AN37" i="8"/>
  <c r="AN36" i="8"/>
  <c r="AN33" i="8"/>
  <c r="AN31" i="8"/>
  <c r="AN24" i="8"/>
  <c r="AN23" i="8"/>
  <c r="AN19" i="8"/>
  <c r="AN18" i="8"/>
  <c r="AN17" i="8"/>
  <c r="AN16" i="8"/>
  <c r="AN15" i="8"/>
  <c r="AN11" i="8"/>
  <c r="AN10" i="8"/>
  <c r="AN9" i="8"/>
  <c r="AN6" i="8"/>
  <c r="AN5" i="8"/>
  <c r="AN4" i="8"/>
  <c r="AL51" i="8"/>
  <c r="AL50" i="8"/>
  <c r="AL46" i="8"/>
  <c r="AL45" i="8"/>
  <c r="AL44" i="8"/>
  <c r="AL43" i="8"/>
  <c r="AL42" i="8"/>
  <c r="AL38" i="8"/>
  <c r="AL36" i="8"/>
  <c r="AL33" i="8"/>
  <c r="AL31" i="8"/>
  <c r="AL24" i="8"/>
  <c r="AL23" i="8"/>
  <c r="AL19" i="8"/>
  <c r="AL18" i="8"/>
  <c r="AL17" i="8"/>
  <c r="AL16" i="8"/>
  <c r="AL15" i="8"/>
  <c r="AL11" i="8"/>
  <c r="AL9" i="8"/>
  <c r="AL6" i="8"/>
  <c r="AL4" i="8"/>
  <c r="AF51" i="8"/>
  <c r="AF50" i="8"/>
  <c r="AF46" i="8"/>
  <c r="AF45" i="8"/>
  <c r="AF44" i="8"/>
  <c r="AF43" i="8"/>
  <c r="AF42" i="8"/>
  <c r="AF38" i="8"/>
  <c r="AF36" i="8"/>
  <c r="AF33" i="8"/>
  <c r="AF31" i="8"/>
  <c r="AF24" i="8"/>
  <c r="AJ51" i="8"/>
  <c r="AJ50" i="8"/>
  <c r="AJ46" i="8"/>
  <c r="AJ45" i="8"/>
  <c r="AJ44" i="8"/>
  <c r="AJ43" i="8"/>
  <c r="AJ42" i="8"/>
  <c r="AJ38" i="8"/>
  <c r="AJ36" i="8"/>
  <c r="AJ33" i="8"/>
  <c r="AJ24" i="8"/>
  <c r="AJ23" i="8"/>
  <c r="AJ19" i="8"/>
  <c r="AJ18" i="8"/>
  <c r="AJ17" i="8"/>
  <c r="AJ16" i="8"/>
  <c r="AJ15" i="8"/>
  <c r="AJ11" i="8"/>
  <c r="AJ9" i="8"/>
  <c r="AJ6" i="8"/>
  <c r="AJ31" i="8"/>
  <c r="AH51" i="8"/>
  <c r="AH50" i="8"/>
  <c r="AH46" i="8"/>
  <c r="AH45" i="8"/>
  <c r="AH44" i="8"/>
  <c r="AH43" i="8"/>
  <c r="AH42" i="8"/>
  <c r="AH38" i="8"/>
  <c r="AH36" i="8"/>
  <c r="AH33" i="8"/>
  <c r="AH31" i="8"/>
  <c r="AH23" i="8"/>
  <c r="AH24" i="8"/>
  <c r="AH19" i="8"/>
  <c r="AH18" i="8"/>
  <c r="AH17" i="8"/>
  <c r="AH16" i="8"/>
  <c r="AH15" i="8"/>
  <c r="AH11" i="8"/>
  <c r="AH9" i="8"/>
  <c r="AH6" i="8"/>
  <c r="AH4" i="8"/>
  <c r="AF23" i="8"/>
  <c r="AF19" i="8"/>
  <c r="AF18" i="8"/>
  <c r="AF17" i="8"/>
  <c r="AF16" i="8"/>
  <c r="AF15" i="8"/>
  <c r="AF11" i="8"/>
  <c r="AF9" i="8"/>
  <c r="AF6" i="8"/>
  <c r="AF4" i="8"/>
  <c r="AJ4" i="8"/>
  <c r="Y51" i="8"/>
  <c r="Y50" i="8"/>
  <c r="Y46" i="8"/>
  <c r="Y45" i="8"/>
  <c r="Y44" i="8"/>
  <c r="Y43" i="8"/>
  <c r="Y42" i="8"/>
  <c r="Y38" i="8"/>
  <c r="Y37" i="8"/>
  <c r="Y36" i="8"/>
  <c r="Y33" i="8"/>
  <c r="Y32" i="8"/>
  <c r="Y5" i="8"/>
  <c r="W51" i="8"/>
  <c r="W50" i="8"/>
  <c r="W46" i="8"/>
  <c r="W45" i="8"/>
  <c r="W44" i="8"/>
  <c r="W43" i="8"/>
  <c r="W42" i="8"/>
  <c r="W38" i="8"/>
  <c r="W37" i="8"/>
  <c r="W36" i="8"/>
  <c r="W33" i="8"/>
  <c r="W32" i="8"/>
  <c r="W34" i="8" s="1"/>
  <c r="W5" i="8"/>
  <c r="U51" i="8"/>
  <c r="U50" i="8"/>
  <c r="U46" i="8"/>
  <c r="U45" i="8"/>
  <c r="U44" i="8"/>
  <c r="U43" i="8"/>
  <c r="U42" i="8"/>
  <c r="U38" i="8"/>
  <c r="U37" i="8"/>
  <c r="U36" i="8"/>
  <c r="U33" i="8"/>
  <c r="U32" i="8"/>
  <c r="U5" i="8"/>
  <c r="S51" i="8"/>
  <c r="S50" i="8"/>
  <c r="S46" i="8"/>
  <c r="S45" i="8"/>
  <c r="S44" i="8"/>
  <c r="S43" i="8"/>
  <c r="S42" i="8"/>
  <c r="S38" i="8"/>
  <c r="S37" i="8"/>
  <c r="S36" i="8"/>
  <c r="S33" i="8"/>
  <c r="S32" i="8"/>
  <c r="S5" i="8"/>
  <c r="Q51" i="8"/>
  <c r="Q50" i="8"/>
  <c r="Q46" i="8"/>
  <c r="Q45" i="8"/>
  <c r="Q44" i="8"/>
  <c r="Q43" i="8"/>
  <c r="Q42" i="8"/>
  <c r="Q38" i="8"/>
  <c r="Q37" i="8"/>
  <c r="Q36" i="8"/>
  <c r="Q33" i="8"/>
  <c r="Q32" i="8"/>
  <c r="Q5" i="8"/>
  <c r="O51" i="8"/>
  <c r="O50" i="8"/>
  <c r="O46" i="8"/>
  <c r="O45" i="8"/>
  <c r="O44" i="8"/>
  <c r="O43" i="8"/>
  <c r="O42" i="8"/>
  <c r="O38" i="8"/>
  <c r="O37" i="8"/>
  <c r="O36" i="8"/>
  <c r="O33" i="8"/>
  <c r="O32" i="8"/>
  <c r="Y24" i="8"/>
  <c r="Y23" i="8"/>
  <c r="Y19" i="8"/>
  <c r="Y18" i="8"/>
  <c r="Y17" i="8"/>
  <c r="Y16" i="8"/>
  <c r="Y15" i="8"/>
  <c r="Y11" i="8"/>
  <c r="Y10" i="8"/>
  <c r="Y9" i="8"/>
  <c r="Y6" i="8"/>
  <c r="W24" i="8"/>
  <c r="W23" i="8"/>
  <c r="W19" i="8"/>
  <c r="W18" i="8"/>
  <c r="W17" i="8"/>
  <c r="W16" i="8"/>
  <c r="W15" i="8"/>
  <c r="W11" i="8"/>
  <c r="W10" i="8"/>
  <c r="W9" i="8"/>
  <c r="W6" i="8"/>
  <c r="U24" i="8"/>
  <c r="U23" i="8"/>
  <c r="U19" i="8"/>
  <c r="U18" i="8"/>
  <c r="U17" i="8"/>
  <c r="U16" i="8"/>
  <c r="U15" i="8"/>
  <c r="U11" i="8"/>
  <c r="U10" i="8"/>
  <c r="U9" i="8"/>
  <c r="U6" i="8"/>
  <c r="S24" i="8"/>
  <c r="S23" i="8"/>
  <c r="S19" i="8"/>
  <c r="S18" i="8"/>
  <c r="S17" i="8"/>
  <c r="S16" i="8"/>
  <c r="S15" i="8"/>
  <c r="S11" i="8"/>
  <c r="S10" i="8"/>
  <c r="S9" i="8"/>
  <c r="S6" i="8"/>
  <c r="Q24" i="8"/>
  <c r="I32" i="8"/>
  <c r="Q23" i="8"/>
  <c r="Q19" i="8"/>
  <c r="Q18" i="8"/>
  <c r="Q17" i="8"/>
  <c r="Q16" i="8"/>
  <c r="Q15" i="8"/>
  <c r="Q11" i="8"/>
  <c r="Q10" i="8"/>
  <c r="Q9" i="8"/>
  <c r="Q6" i="8"/>
  <c r="O24" i="8"/>
  <c r="O23" i="8"/>
  <c r="O19" i="8"/>
  <c r="O18" i="8"/>
  <c r="O17" i="8"/>
  <c r="O16" i="8"/>
  <c r="O15" i="8"/>
  <c r="O11" i="8"/>
  <c r="O10" i="8"/>
  <c r="O9" i="8"/>
  <c r="O6" i="8"/>
  <c r="O5" i="8"/>
  <c r="O20" i="8" l="1"/>
  <c r="AT33" i="8"/>
  <c r="AT44" i="8"/>
  <c r="AT45" i="8"/>
  <c r="AT36" i="8"/>
  <c r="AT50" i="8"/>
  <c r="AT46" i="8"/>
  <c r="AT37" i="8"/>
  <c r="AT51" i="8"/>
  <c r="AT38" i="8"/>
  <c r="AT4" i="8"/>
  <c r="AT42" i="8"/>
  <c r="AH39" i="8"/>
  <c r="AT43" i="8"/>
  <c r="AR39" i="8"/>
  <c r="Q34" i="8"/>
  <c r="W39" i="8"/>
  <c r="AP39" i="8"/>
  <c r="AT31" i="8"/>
  <c r="Y20" i="8"/>
  <c r="S39" i="8"/>
  <c r="U20" i="8"/>
  <c r="I51" i="8"/>
  <c r="I50" i="8"/>
  <c r="I46" i="8"/>
  <c r="I45" i="8"/>
  <c r="I44" i="8"/>
  <c r="I43" i="8"/>
  <c r="I42" i="8"/>
  <c r="I38" i="8"/>
  <c r="I37" i="8"/>
  <c r="I33" i="8"/>
  <c r="I31" i="8"/>
  <c r="G51" i="8"/>
  <c r="G50" i="8"/>
  <c r="G46" i="8"/>
  <c r="G45" i="8"/>
  <c r="G44" i="8"/>
  <c r="G43" i="8"/>
  <c r="G42" i="8"/>
  <c r="G38" i="8"/>
  <c r="G37" i="8"/>
  <c r="G36" i="8"/>
  <c r="G33" i="8"/>
  <c r="G32" i="8"/>
  <c r="G31" i="8"/>
  <c r="E31" i="8"/>
  <c r="I24" i="8"/>
  <c r="I23" i="8"/>
  <c r="I19" i="8"/>
  <c r="I18" i="8"/>
  <c r="I17" i="8"/>
  <c r="I16" i="8"/>
  <c r="I15" i="8"/>
  <c r="I11" i="8"/>
  <c r="I10" i="8"/>
  <c r="I9" i="8"/>
  <c r="I6" i="8"/>
  <c r="I5" i="8"/>
  <c r="I4" i="8"/>
  <c r="G24" i="8"/>
  <c r="G23" i="8"/>
  <c r="G19" i="8"/>
  <c r="G18" i="8"/>
  <c r="G17" i="8"/>
  <c r="G16" i="8"/>
  <c r="G15" i="8"/>
  <c r="G11" i="8"/>
  <c r="G10" i="8"/>
  <c r="G9" i="8"/>
  <c r="G6" i="8"/>
  <c r="G5" i="8"/>
  <c r="G4" i="8"/>
  <c r="E24" i="8"/>
  <c r="E23" i="8"/>
  <c r="E19" i="8"/>
  <c r="E18" i="8"/>
  <c r="E17" i="8"/>
  <c r="E16" i="8"/>
  <c r="E15" i="8"/>
  <c r="E11" i="8"/>
  <c r="E10" i="8"/>
  <c r="E9" i="8"/>
  <c r="E6" i="8"/>
  <c r="E5" i="8"/>
  <c r="E4" i="8"/>
  <c r="E51" i="8"/>
  <c r="E50" i="8"/>
  <c r="E46" i="8"/>
  <c r="E45" i="8"/>
  <c r="E44" i="8"/>
  <c r="E43" i="8"/>
  <c r="E42" i="8"/>
  <c r="E38" i="8"/>
  <c r="E37" i="8"/>
  <c r="E36" i="8"/>
  <c r="E33" i="8"/>
  <c r="E32" i="8"/>
  <c r="C51" i="8"/>
  <c r="C50" i="8"/>
  <c r="C46" i="8"/>
  <c r="C45" i="8"/>
  <c r="C44" i="8"/>
  <c r="C43" i="8"/>
  <c r="C42" i="8"/>
  <c r="C38" i="8"/>
  <c r="C37" i="8"/>
  <c r="C36" i="8"/>
  <c r="C33" i="8"/>
  <c r="C32" i="8"/>
  <c r="C4" i="8"/>
  <c r="C31" i="8"/>
  <c r="C24" i="8"/>
  <c r="C23" i="8"/>
  <c r="C19" i="8"/>
  <c r="C18" i="8"/>
  <c r="C17" i="8"/>
  <c r="C16" i="8"/>
  <c r="C15" i="8"/>
  <c r="C11" i="8"/>
  <c r="C10" i="8"/>
  <c r="C9" i="8"/>
  <c r="C6" i="8"/>
  <c r="AT39" i="8" l="1"/>
  <c r="K4" i="8"/>
  <c r="K31" i="8"/>
  <c r="G34" i="8"/>
  <c r="E39" i="8"/>
  <c r="G47" i="8"/>
  <c r="BV18" i="8"/>
  <c r="E12" i="8"/>
  <c r="D35" i="9"/>
  <c r="D36" i="9"/>
  <c r="F43" i="9"/>
  <c r="F4" i="9" l="1"/>
  <c r="G54" i="9"/>
  <c r="G53" i="9"/>
  <c r="G52" i="9"/>
  <c r="G51" i="9"/>
  <c r="G50" i="9"/>
  <c r="G49" i="9"/>
  <c r="G46" i="9"/>
  <c r="G43" i="9"/>
  <c r="G42" i="9"/>
  <c r="G41" i="9"/>
  <c r="G40" i="9"/>
  <c r="G38" i="9"/>
  <c r="G37" i="9"/>
  <c r="G36" i="9"/>
  <c r="G35" i="9"/>
  <c r="G34" i="9"/>
  <c r="G28" i="9"/>
  <c r="G26" i="9"/>
  <c r="G25" i="9"/>
  <c r="G23" i="9"/>
  <c r="G20" i="9"/>
  <c r="G18" i="9"/>
  <c r="G17" i="9"/>
  <c r="G16" i="9"/>
  <c r="G15" i="9"/>
  <c r="G14" i="9"/>
  <c r="G13" i="9"/>
  <c r="G10" i="9"/>
  <c r="G9" i="9"/>
  <c r="G8" i="9"/>
  <c r="G7" i="9"/>
  <c r="G6" i="9"/>
  <c r="G5" i="9"/>
  <c r="G4" i="9"/>
  <c r="E54" i="9" l="1"/>
  <c r="E53" i="9"/>
  <c r="E52" i="9"/>
  <c r="E51" i="9"/>
  <c r="E50" i="9"/>
  <c r="E49" i="9"/>
  <c r="E43" i="9"/>
  <c r="E46" i="9"/>
  <c r="E45" i="9"/>
  <c r="E44" i="9"/>
  <c r="E42" i="9"/>
  <c r="E38" i="9"/>
  <c r="E37" i="9"/>
  <c r="E36" i="9"/>
  <c r="E35" i="9"/>
  <c r="E34" i="9"/>
  <c r="E28" i="9"/>
  <c r="E26" i="9"/>
  <c r="E25" i="9"/>
  <c r="F23" i="9"/>
  <c r="E23" i="9"/>
  <c r="E21" i="9"/>
  <c r="E20" i="9"/>
  <c r="E19" i="9"/>
  <c r="E18" i="9"/>
  <c r="E17" i="9"/>
  <c r="E16" i="9"/>
  <c r="E15" i="9"/>
  <c r="E14" i="9"/>
  <c r="E13" i="9"/>
  <c r="G11" i="9"/>
  <c r="E10" i="9"/>
  <c r="E9" i="9"/>
  <c r="E8" i="9"/>
  <c r="E7" i="9"/>
  <c r="E6" i="9"/>
  <c r="E5" i="9"/>
  <c r="E4" i="9"/>
  <c r="E11" i="9" l="1"/>
  <c r="G55" i="9"/>
  <c r="E55" i="9"/>
  <c r="G39" i="9"/>
  <c r="E39" i="9"/>
  <c r="E47" i="9"/>
  <c r="G29" i="9"/>
  <c r="G30" i="9" s="1"/>
  <c r="E29" i="9"/>
  <c r="E30" i="9" l="1"/>
  <c r="E56" i="9"/>
  <c r="G47" i="9"/>
  <c r="G56" i="9" s="1"/>
  <c r="M134" i="1" l="1"/>
  <c r="K134" i="1"/>
  <c r="E134" i="1"/>
  <c r="M132" i="1"/>
  <c r="K132" i="1"/>
  <c r="E132" i="1"/>
  <c r="BR49" i="8" l="1"/>
  <c r="BR43" i="8"/>
  <c r="BR42" i="8"/>
  <c r="BR37" i="8"/>
  <c r="BR36" i="8"/>
  <c r="BR48" i="8"/>
  <c r="BR44" i="8"/>
  <c r="BR38" i="8"/>
  <c r="BR33" i="8"/>
  <c r="BR32" i="8"/>
  <c r="BJ18" i="8"/>
  <c r="BN18" i="8"/>
  <c r="BH18" i="8"/>
  <c r="CD45" i="8"/>
  <c r="CB45" i="8"/>
  <c r="BZ45" i="8"/>
  <c r="BX45" i="8"/>
  <c r="BV45" i="8"/>
  <c r="CD39" i="8"/>
  <c r="CB39" i="8"/>
  <c r="BZ39" i="8"/>
  <c r="BZ40" i="8" s="1"/>
  <c r="BZ51" i="8" s="1"/>
  <c r="BX39" i="8"/>
  <c r="BV39" i="8"/>
  <c r="CD34" i="8"/>
  <c r="CB34" i="8"/>
  <c r="BZ34" i="8"/>
  <c r="BX34" i="8"/>
  <c r="BV34" i="8"/>
  <c r="CD18" i="8"/>
  <c r="CB18" i="8"/>
  <c r="BZ18" i="8"/>
  <c r="BX18" i="8"/>
  <c r="CD12" i="8"/>
  <c r="CB12" i="8"/>
  <c r="BZ12" i="8"/>
  <c r="BX12" i="8"/>
  <c r="BV12" i="8"/>
  <c r="CD7" i="8"/>
  <c r="CB7" i="8"/>
  <c r="BZ7" i="8"/>
  <c r="BX7" i="8"/>
  <c r="BV7" i="8"/>
  <c r="BP45" i="8"/>
  <c r="BN45" i="8"/>
  <c r="BL45" i="8"/>
  <c r="BJ45" i="8"/>
  <c r="BP39" i="8"/>
  <c r="BN39" i="8"/>
  <c r="BL39" i="8"/>
  <c r="BJ39" i="8"/>
  <c r="BP34" i="8"/>
  <c r="BN34" i="8"/>
  <c r="BL34" i="8"/>
  <c r="BJ34" i="8"/>
  <c r="CD40" i="8" l="1"/>
  <c r="CD51" i="8" s="1"/>
  <c r="BL40" i="8"/>
  <c r="BL51" i="8" s="1"/>
  <c r="BP40" i="8"/>
  <c r="BP51" i="8" s="1"/>
  <c r="CD46" i="8"/>
  <c r="CD50" i="8" s="1"/>
  <c r="CB40" i="8"/>
  <c r="BZ46" i="8"/>
  <c r="BZ50" i="8" s="1"/>
  <c r="BV40" i="8"/>
  <c r="BV51" i="8" s="1"/>
  <c r="BX40" i="8"/>
  <c r="BX51" i="8" s="1"/>
  <c r="BN40" i="8"/>
  <c r="BN51" i="8" s="1"/>
  <c r="BJ40" i="8"/>
  <c r="BJ51" i="8" s="1"/>
  <c r="CD13" i="8"/>
  <c r="CD24" i="8" s="1"/>
  <c r="CB13" i="8"/>
  <c r="CB24" i="8" s="1"/>
  <c r="BZ13" i="8"/>
  <c r="BZ24" i="8" s="1"/>
  <c r="BX13" i="8"/>
  <c r="BX24" i="8" s="1"/>
  <c r="BV13" i="8"/>
  <c r="BV24" i="8" s="1"/>
  <c r="BH45" i="8"/>
  <c r="BH39" i="8"/>
  <c r="BR45" i="8"/>
  <c r="BR39" i="8"/>
  <c r="BR34" i="8"/>
  <c r="BH34" i="8"/>
  <c r="BP15" i="8"/>
  <c r="BL18" i="8"/>
  <c r="BL46" i="8" l="1"/>
  <c r="BL50" i="8" s="1"/>
  <c r="BP46" i="8"/>
  <c r="BP50" i="8" s="1"/>
  <c r="G19" i="1"/>
  <c r="I41" i="18" s="1"/>
  <c r="J41" i="18" s="1"/>
  <c r="CB51" i="8"/>
  <c r="CB46" i="8"/>
  <c r="CB50" i="8" s="1"/>
  <c r="BV46" i="8"/>
  <c r="BX46" i="8"/>
  <c r="BX50" i="8" s="1"/>
  <c r="BN46" i="8"/>
  <c r="BN50" i="8" s="1"/>
  <c r="BJ46" i="8"/>
  <c r="BJ50" i="8" s="1"/>
  <c r="BR40" i="8"/>
  <c r="BR51" i="8" s="1"/>
  <c r="CD19" i="8"/>
  <c r="CD23" i="8" s="1"/>
  <c r="CB19" i="8"/>
  <c r="CB23" i="8" s="1"/>
  <c r="BZ19" i="8"/>
  <c r="BZ23" i="8" s="1"/>
  <c r="BX19" i="8"/>
  <c r="BX23" i="8" s="1"/>
  <c r="BV19" i="8"/>
  <c r="BV23" i="8" s="1"/>
  <c r="BH40" i="8"/>
  <c r="BH51" i="8" s="1"/>
  <c r="BR46" i="8" l="1"/>
  <c r="BR50" i="8" s="1"/>
  <c r="BH46" i="8"/>
  <c r="BH50" i="8" s="1"/>
  <c r="BN12" i="8" l="1"/>
  <c r="BL12" i="8"/>
  <c r="BJ12" i="8"/>
  <c r="BH12" i="8"/>
  <c r="BN7" i="8"/>
  <c r="BL7" i="8"/>
  <c r="BL13" i="8" s="1"/>
  <c r="BJ7" i="8"/>
  <c r="BH7" i="8"/>
  <c r="BA47" i="8"/>
  <c r="AY47" i="8"/>
  <c r="BA39" i="8"/>
  <c r="AY39" i="8"/>
  <c r="BA34" i="8"/>
  <c r="AY34" i="8"/>
  <c r="BA20" i="8"/>
  <c r="AY20" i="8"/>
  <c r="BA12" i="8"/>
  <c r="AY12" i="8"/>
  <c r="BA7" i="8"/>
  <c r="AY7" i="8"/>
  <c r="AY13" i="8" s="1"/>
  <c r="AY26" i="8" s="1"/>
  <c r="AR47" i="8"/>
  <c r="AP47" i="8"/>
  <c r="AN47" i="8"/>
  <c r="AL47" i="8"/>
  <c r="AJ47" i="8"/>
  <c r="AH47" i="8"/>
  <c r="AF47" i="8"/>
  <c r="AN39" i="8"/>
  <c r="AL39" i="8"/>
  <c r="AJ39" i="8"/>
  <c r="AF39" i="8"/>
  <c r="AR34" i="8"/>
  <c r="AP34" i="8"/>
  <c r="AN34" i="8"/>
  <c r="AL34" i="8"/>
  <c r="AJ34" i="8"/>
  <c r="AH34" i="8"/>
  <c r="AF34" i="8"/>
  <c r="AR20" i="8"/>
  <c r="AP20" i="8"/>
  <c r="AN20" i="8"/>
  <c r="AL20" i="8"/>
  <c r="AJ20" i="8"/>
  <c r="AH20" i="8"/>
  <c r="AF20" i="8"/>
  <c r="AR12" i="8"/>
  <c r="AS12" i="8" s="1"/>
  <c r="AP12" i="8"/>
  <c r="AQ12" i="8" s="1"/>
  <c r="AN12" i="8"/>
  <c r="AO12" i="8" s="1"/>
  <c r="AL12" i="8"/>
  <c r="AJ12" i="8"/>
  <c r="AK12" i="8" s="1"/>
  <c r="AH12" i="8"/>
  <c r="AI12" i="8" s="1"/>
  <c r="AF12" i="8"/>
  <c r="AG12" i="8" s="1"/>
  <c r="AR7" i="8"/>
  <c r="AP7" i="8"/>
  <c r="AN7" i="8"/>
  <c r="AL7" i="8"/>
  <c r="AJ7" i="8"/>
  <c r="AH7" i="8"/>
  <c r="AF7" i="8"/>
  <c r="Y47" i="8"/>
  <c r="W47" i="8"/>
  <c r="U47" i="8"/>
  <c r="S47" i="8"/>
  <c r="Q47" i="8"/>
  <c r="O47" i="8"/>
  <c r="Y39" i="8"/>
  <c r="U39" i="8"/>
  <c r="Q39" i="8"/>
  <c r="O39" i="8"/>
  <c r="Y34" i="8"/>
  <c r="U34" i="8"/>
  <c r="S34" i="8"/>
  <c r="O34" i="8"/>
  <c r="Y12" i="8"/>
  <c r="W12" i="8"/>
  <c r="U12" i="8"/>
  <c r="S12" i="8"/>
  <c r="Q12" i="8"/>
  <c r="O12" i="8"/>
  <c r="Y7" i="8"/>
  <c r="W7" i="8"/>
  <c r="U7" i="8"/>
  <c r="S7" i="8"/>
  <c r="Q7" i="8"/>
  <c r="O7" i="8"/>
  <c r="W20" i="8"/>
  <c r="S20" i="8"/>
  <c r="Q20" i="8"/>
  <c r="I20" i="8"/>
  <c r="G20" i="8"/>
  <c r="E20" i="8"/>
  <c r="C20" i="8"/>
  <c r="I47" i="8"/>
  <c r="E47" i="8"/>
  <c r="C47" i="8"/>
  <c r="O13" i="8" l="1"/>
  <c r="AL40" i="8"/>
  <c r="AL53" i="8" s="1"/>
  <c r="AN13" i="8"/>
  <c r="AR13" i="8"/>
  <c r="AR26" i="8" s="1"/>
  <c r="U13" i="8"/>
  <c r="U26" i="8" s="1"/>
  <c r="AF13" i="8"/>
  <c r="AF21" i="8" s="1"/>
  <c r="AF25" i="8" s="1"/>
  <c r="Y40" i="8"/>
  <c r="Y53" i="8" s="1"/>
  <c r="BA13" i="8"/>
  <c r="BA26" i="8" s="1"/>
  <c r="BN13" i="8"/>
  <c r="BL24" i="8"/>
  <c r="BL19" i="8"/>
  <c r="BL23" i="8" s="1"/>
  <c r="BJ13" i="8"/>
  <c r="BH13" i="8"/>
  <c r="BH24" i="8" s="1"/>
  <c r="BA40" i="8"/>
  <c r="BA53" i="8" s="1"/>
  <c r="AY40" i="8"/>
  <c r="AY53" i="8" s="1"/>
  <c r="AY21" i="8"/>
  <c r="AY25" i="8" s="1"/>
  <c r="AP40" i="8"/>
  <c r="AR40" i="8"/>
  <c r="AR53" i="8" s="1"/>
  <c r="AP13" i="8"/>
  <c r="AQ13" i="8" s="1"/>
  <c r="AN40" i="8"/>
  <c r="AN21" i="8"/>
  <c r="AN25" i="8" s="1"/>
  <c r="AL13" i="8"/>
  <c r="AF40" i="8"/>
  <c r="AJ40" i="8"/>
  <c r="AJ53" i="8" s="1"/>
  <c r="AJ13" i="8"/>
  <c r="AK13" i="8" s="1"/>
  <c r="AH40" i="8"/>
  <c r="AH53" i="8" s="1"/>
  <c r="AH13" i="8"/>
  <c r="AI13" i="8" s="1"/>
  <c r="W40" i="8"/>
  <c r="W53" i="8" s="1"/>
  <c r="U40" i="8"/>
  <c r="U53" i="8" s="1"/>
  <c r="S40" i="8"/>
  <c r="Q40" i="8"/>
  <c r="Q53" i="8" s="1"/>
  <c r="O40" i="8"/>
  <c r="O53" i="8" s="1"/>
  <c r="Y13" i="8"/>
  <c r="Y26" i="8" s="1"/>
  <c r="W13" i="8"/>
  <c r="W26" i="8" s="1"/>
  <c r="S13" i="8"/>
  <c r="S26" i="8" s="1"/>
  <c r="Q13" i="8"/>
  <c r="Q21" i="8" s="1"/>
  <c r="Q25" i="8" s="1"/>
  <c r="AM12" i="8"/>
  <c r="BH19" i="8" l="1"/>
  <c r="BH23" i="8" s="1"/>
  <c r="U21" i="8"/>
  <c r="U25" i="8" s="1"/>
  <c r="O21" i="8"/>
  <c r="O25" i="8" s="1"/>
  <c r="O26" i="8"/>
  <c r="AH26" i="8"/>
  <c r="AJ48" i="8"/>
  <c r="AJ52" i="8" s="1"/>
  <c r="AK52" i="8" s="1"/>
  <c r="AH21" i="8"/>
  <c r="AH25" i="8" s="1"/>
  <c r="S21" i="8"/>
  <c r="S25" i="8" s="1"/>
  <c r="AL48" i="8"/>
  <c r="AL52" i="8" s="1"/>
  <c r="AM52" i="8" s="1"/>
  <c r="AN26" i="8"/>
  <c r="AO13" i="8"/>
  <c r="AR48" i="8"/>
  <c r="AR52" i="8" s="1"/>
  <c r="AS52" i="8" s="1"/>
  <c r="AP53" i="8"/>
  <c r="AP48" i="8"/>
  <c r="AP52" i="8" s="1"/>
  <c r="AQ52" i="8" s="1"/>
  <c r="AF26" i="8"/>
  <c r="Y48" i="8"/>
  <c r="Y52" i="8" s="1"/>
  <c r="AG13" i="8"/>
  <c r="BA21" i="8"/>
  <c r="BA25" i="8" s="1"/>
  <c r="AS13" i="8"/>
  <c r="AR21" i="8"/>
  <c r="AR25" i="8" s="1"/>
  <c r="BN24" i="8"/>
  <c r="BN19" i="8"/>
  <c r="BN23" i="8" s="1"/>
  <c r="BJ24" i="8"/>
  <c r="BJ19" i="8"/>
  <c r="BJ23" i="8" s="1"/>
  <c r="BA48" i="8"/>
  <c r="BA52" i="8" s="1"/>
  <c r="AY48" i="8"/>
  <c r="AY52" i="8" s="1"/>
  <c r="AP26" i="8"/>
  <c r="AP21" i="8"/>
  <c r="AP25" i="8" s="1"/>
  <c r="AN48" i="8"/>
  <c r="AN52" i="8" s="1"/>
  <c r="AO52" i="8" s="1"/>
  <c r="AN53" i="8"/>
  <c r="AM13" i="8"/>
  <c r="AL21" i="8"/>
  <c r="AL25" i="8" s="1"/>
  <c r="AL26" i="8"/>
  <c r="AF48" i="8"/>
  <c r="AF52" i="8" s="1"/>
  <c r="AG52" i="8" s="1"/>
  <c r="AF53" i="8"/>
  <c r="AJ26" i="8"/>
  <c r="AJ21" i="8"/>
  <c r="AJ25" i="8" s="1"/>
  <c r="AH48" i="8"/>
  <c r="AH52" i="8" s="1"/>
  <c r="AI52" i="8" s="1"/>
  <c r="W48" i="8"/>
  <c r="W52" i="8" s="1"/>
  <c r="U48" i="8"/>
  <c r="U52" i="8" s="1"/>
  <c r="S53" i="8"/>
  <c r="S48" i="8"/>
  <c r="S52" i="8" s="1"/>
  <c r="Q48" i="8"/>
  <c r="Q52" i="8" s="1"/>
  <c r="O48" i="8"/>
  <c r="O52" i="8" s="1"/>
  <c r="Y21" i="8"/>
  <c r="Y25" i="8" s="1"/>
  <c r="W21" i="8"/>
  <c r="W25" i="8" s="1"/>
  <c r="Q26" i="8"/>
  <c r="I39" i="8"/>
  <c r="G39" i="8"/>
  <c r="I34" i="8"/>
  <c r="E34" i="8"/>
  <c r="I12" i="8"/>
  <c r="G12" i="8"/>
  <c r="I7" i="8"/>
  <c r="G7" i="8"/>
  <c r="E7" i="8"/>
  <c r="I40" i="8" l="1"/>
  <c r="I53" i="8" s="1"/>
  <c r="G40" i="8"/>
  <c r="G53" i="8" s="1"/>
  <c r="I13" i="8"/>
  <c r="G13" i="8"/>
  <c r="E13" i="8"/>
  <c r="E40" i="8"/>
  <c r="E53" i="8" s="1"/>
  <c r="AZ37" i="8"/>
  <c r="G48" i="8" l="1"/>
  <c r="G52" i="8" s="1"/>
  <c r="I48" i="8"/>
  <c r="I52" i="8" s="1"/>
  <c r="I26" i="8"/>
  <c r="I21" i="8"/>
  <c r="I25" i="8" s="1"/>
  <c r="G26" i="8"/>
  <c r="G21" i="8"/>
  <c r="G25" i="8" s="1"/>
  <c r="E21" i="8"/>
  <c r="E25" i="8" s="1"/>
  <c r="E26" i="8"/>
  <c r="E48" i="8"/>
  <c r="E52" i="8" s="1"/>
  <c r="K5" i="8" l="1"/>
  <c r="C39" i="8" l="1"/>
  <c r="C34" i="8"/>
  <c r="C12" i="8"/>
  <c r="C7" i="8"/>
  <c r="D4" i="1" l="1"/>
  <c r="D31" i="1"/>
  <c r="D33" i="1"/>
  <c r="C40" i="8"/>
  <c r="C48" i="8" s="1"/>
  <c r="C52" i="8" s="1"/>
  <c r="C13" i="8"/>
  <c r="AC37" i="8"/>
  <c r="AA37" i="8" s="1"/>
  <c r="E46" i="1" s="1"/>
  <c r="E114" i="1" s="1"/>
  <c r="AC36" i="8"/>
  <c r="AA36" i="8" s="1"/>
  <c r="AC33" i="8"/>
  <c r="AA33" i="8" s="1"/>
  <c r="E42" i="1" s="1"/>
  <c r="E110" i="1" s="1"/>
  <c r="AC32" i="8"/>
  <c r="AA32" i="8" s="1"/>
  <c r="AA11" i="8"/>
  <c r="AC10" i="8"/>
  <c r="AA10" i="8" s="1"/>
  <c r="AC9" i="8"/>
  <c r="AA9" i="8" s="1"/>
  <c r="F34" i="18" s="1"/>
  <c r="AC6" i="8"/>
  <c r="AA6" i="8" s="1"/>
  <c r="AC5" i="8"/>
  <c r="AA5" i="8" s="1"/>
  <c r="F30" i="18" s="1"/>
  <c r="E9" i="1" l="1"/>
  <c r="F35" i="18"/>
  <c r="G35" i="18" s="1"/>
  <c r="C21" i="8"/>
  <c r="C25" i="8" s="1"/>
  <c r="C26" i="8"/>
  <c r="G34" i="18"/>
  <c r="E10" i="1"/>
  <c r="F36" i="18"/>
  <c r="G36" i="18" s="1"/>
  <c r="G30" i="18"/>
  <c r="E5" i="1"/>
  <c r="F31" i="18"/>
  <c r="G31" i="18" s="1"/>
  <c r="C53" i="8"/>
  <c r="E45" i="1"/>
  <c r="E113" i="1" s="1"/>
  <c r="E41" i="1"/>
  <c r="AA34" i="8"/>
  <c r="E8" i="1"/>
  <c r="AA12" i="8"/>
  <c r="E4" i="1"/>
  <c r="AA7" i="8"/>
  <c r="F32" i="18" s="1"/>
  <c r="G32" i="18" s="1"/>
  <c r="F244" i="12"/>
  <c r="F37" i="18" l="1"/>
  <c r="G37" i="18" s="1"/>
  <c r="D8" i="6"/>
  <c r="E82" i="1"/>
  <c r="E77" i="1"/>
  <c r="F33" i="1"/>
  <c r="F31" i="1"/>
  <c r="F42" i="1"/>
  <c r="F41" i="1"/>
  <c r="E109" i="1"/>
  <c r="AA13" i="8"/>
  <c r="AA26" i="8" l="1"/>
  <c r="F51" i="18" s="1"/>
  <c r="G51" i="18" s="1"/>
  <c r="F38" i="18"/>
  <c r="G38" i="18" s="1"/>
  <c r="M174" i="4"/>
  <c r="F10" i="6" l="1"/>
  <c r="F9" i="6"/>
  <c r="BI34" i="8" l="1"/>
  <c r="BI32" i="8"/>
  <c r="F209" i="12" l="1"/>
  <c r="H482" i="12" l="1"/>
  <c r="G482" i="12"/>
  <c r="F482" i="12"/>
  <c r="E482" i="12"/>
  <c r="I431" i="12"/>
  <c r="H431" i="12"/>
  <c r="G431" i="12"/>
  <c r="F431" i="12"/>
  <c r="E431" i="12"/>
  <c r="H90" i="12" l="1"/>
  <c r="F42" i="12"/>
  <c r="E42" i="12"/>
  <c r="H42" i="12"/>
  <c r="I379" i="12" l="1"/>
  <c r="H379" i="12"/>
  <c r="H331" i="12"/>
  <c r="G379" i="12"/>
  <c r="F379" i="12"/>
  <c r="E379" i="12"/>
  <c r="I331" i="12"/>
  <c r="H690" i="12"/>
  <c r="J690" i="12" s="1"/>
  <c r="H640" i="12"/>
  <c r="J640" i="12" s="1"/>
  <c r="I482" i="12"/>
  <c r="I477" i="12"/>
  <c r="H477" i="12"/>
  <c r="G477" i="12"/>
  <c r="F477" i="12"/>
  <c r="E477" i="12"/>
  <c r="I476" i="12"/>
  <c r="H476" i="12"/>
  <c r="G476" i="12"/>
  <c r="F476" i="12"/>
  <c r="E476" i="12"/>
  <c r="I475" i="12"/>
  <c r="H475" i="12"/>
  <c r="G475" i="12"/>
  <c r="F475" i="12"/>
  <c r="E475" i="12"/>
  <c r="I474" i="12"/>
  <c r="H474" i="12"/>
  <c r="G474" i="12"/>
  <c r="F474" i="12"/>
  <c r="E474" i="12"/>
  <c r="I473" i="12"/>
  <c r="H473" i="12"/>
  <c r="G473" i="12"/>
  <c r="F473" i="12"/>
  <c r="E473" i="12"/>
  <c r="I472" i="12"/>
  <c r="H472" i="12"/>
  <c r="G472" i="12"/>
  <c r="F472" i="12"/>
  <c r="E472" i="12"/>
  <c r="I471" i="12"/>
  <c r="H471" i="12"/>
  <c r="G471" i="12"/>
  <c r="F471" i="12"/>
  <c r="E471" i="12"/>
  <c r="I470" i="12"/>
  <c r="H470" i="12"/>
  <c r="G470" i="12"/>
  <c r="F470" i="12"/>
  <c r="E470" i="12"/>
  <c r="I469" i="12"/>
  <c r="H469" i="12"/>
  <c r="G469" i="12"/>
  <c r="F469" i="12"/>
  <c r="E469" i="12"/>
  <c r="I468" i="12"/>
  <c r="H468" i="12"/>
  <c r="G468" i="12"/>
  <c r="F468" i="12"/>
  <c r="E468" i="12"/>
  <c r="I467" i="12"/>
  <c r="H467" i="12"/>
  <c r="G467" i="12"/>
  <c r="F467" i="12"/>
  <c r="E467" i="12"/>
  <c r="I466" i="12"/>
  <c r="H466" i="12"/>
  <c r="G466" i="12"/>
  <c r="F466" i="12"/>
  <c r="E466" i="12"/>
  <c r="I465" i="12"/>
  <c r="H465" i="12"/>
  <c r="G465" i="12"/>
  <c r="F465" i="12"/>
  <c r="E465" i="12"/>
  <c r="I464" i="12"/>
  <c r="H464" i="12"/>
  <c r="G464" i="12"/>
  <c r="F464" i="12"/>
  <c r="E464" i="12"/>
  <c r="I463" i="12"/>
  <c r="H463" i="12"/>
  <c r="G463" i="12"/>
  <c r="F463" i="12"/>
  <c r="E463" i="12"/>
  <c r="I459" i="12"/>
  <c r="H459" i="12"/>
  <c r="G459" i="12"/>
  <c r="F459" i="12"/>
  <c r="E459" i="12"/>
  <c r="I458" i="12"/>
  <c r="H458" i="12"/>
  <c r="G458" i="12"/>
  <c r="F458" i="12"/>
  <c r="E458" i="12"/>
  <c r="I457" i="12"/>
  <c r="H457" i="12"/>
  <c r="G457" i="12"/>
  <c r="F457" i="12"/>
  <c r="E457" i="12"/>
  <c r="I456" i="12"/>
  <c r="H456" i="12"/>
  <c r="G456" i="12"/>
  <c r="F456" i="12"/>
  <c r="E456" i="12"/>
  <c r="I455" i="12"/>
  <c r="H455" i="12"/>
  <c r="G455" i="12"/>
  <c r="F455" i="12"/>
  <c r="E455" i="12"/>
  <c r="I454" i="12"/>
  <c r="H454" i="12"/>
  <c r="G454" i="12"/>
  <c r="F454" i="12"/>
  <c r="E454" i="12"/>
  <c r="I450" i="12"/>
  <c r="H450" i="12"/>
  <c r="G450" i="12"/>
  <c r="F450" i="12"/>
  <c r="E450" i="12"/>
  <c r="I449" i="12"/>
  <c r="H449" i="12"/>
  <c r="G449" i="12"/>
  <c r="F449" i="12"/>
  <c r="E449" i="12"/>
  <c r="I448" i="12"/>
  <c r="H448" i="12"/>
  <c r="G448" i="12"/>
  <c r="F448" i="12"/>
  <c r="E448" i="12"/>
  <c r="I447" i="12"/>
  <c r="H447" i="12"/>
  <c r="G447" i="12"/>
  <c r="F447" i="12"/>
  <c r="E447" i="12"/>
  <c r="I446" i="12"/>
  <c r="H446" i="12"/>
  <c r="G446" i="12"/>
  <c r="F446" i="12"/>
  <c r="E446" i="12"/>
  <c r="I445" i="12"/>
  <c r="H445" i="12"/>
  <c r="G445" i="12"/>
  <c r="F445" i="12"/>
  <c r="E445" i="12"/>
  <c r="I444" i="12"/>
  <c r="H444" i="12"/>
  <c r="G444" i="12"/>
  <c r="F444" i="12"/>
  <c r="E444" i="12"/>
  <c r="I426" i="12"/>
  <c r="H426" i="12"/>
  <c r="G426" i="12"/>
  <c r="F426" i="12"/>
  <c r="E426" i="12"/>
  <c r="I407" i="12"/>
  <c r="H407" i="12"/>
  <c r="G407" i="12"/>
  <c r="F407" i="12"/>
  <c r="E407" i="12"/>
  <c r="I399" i="12"/>
  <c r="H399" i="12"/>
  <c r="G399" i="12"/>
  <c r="F399" i="12"/>
  <c r="E399" i="12"/>
  <c r="I398" i="12"/>
  <c r="H398" i="12"/>
  <c r="G398" i="12"/>
  <c r="F398" i="12"/>
  <c r="E398" i="12"/>
  <c r="I396" i="12"/>
  <c r="H396" i="12"/>
  <c r="G396" i="12"/>
  <c r="F396" i="12"/>
  <c r="E396" i="12"/>
  <c r="I394" i="12"/>
  <c r="H394" i="12"/>
  <c r="G394" i="12"/>
  <c r="F394" i="12"/>
  <c r="E394" i="12"/>
  <c r="I425" i="12"/>
  <c r="I424" i="12"/>
  <c r="I423" i="12"/>
  <c r="I422" i="12"/>
  <c r="I421" i="12"/>
  <c r="I420" i="12"/>
  <c r="I419" i="12"/>
  <c r="I418" i="12"/>
  <c r="I417" i="12"/>
  <c r="I416" i="12"/>
  <c r="I415" i="12"/>
  <c r="I414" i="12"/>
  <c r="I413" i="12"/>
  <c r="I412" i="12"/>
  <c r="I408" i="12"/>
  <c r="I406" i="12"/>
  <c r="I405" i="12"/>
  <c r="I404" i="12"/>
  <c r="I403" i="12"/>
  <c r="I397" i="12"/>
  <c r="I395" i="12"/>
  <c r="I393" i="12"/>
  <c r="H425" i="12"/>
  <c r="H424" i="12"/>
  <c r="H423" i="12"/>
  <c r="H422" i="12"/>
  <c r="H421" i="12"/>
  <c r="H420" i="12"/>
  <c r="H419" i="12"/>
  <c r="H418" i="12"/>
  <c r="H417" i="12"/>
  <c r="H416" i="12"/>
  <c r="H415" i="12"/>
  <c r="H414" i="12"/>
  <c r="H413" i="12"/>
  <c r="H412" i="12"/>
  <c r="H408" i="12"/>
  <c r="H406" i="12"/>
  <c r="H405" i="12"/>
  <c r="H404" i="12"/>
  <c r="H403" i="12"/>
  <c r="H397" i="12"/>
  <c r="H395" i="12"/>
  <c r="H393" i="12"/>
  <c r="G425" i="12"/>
  <c r="G424" i="12"/>
  <c r="G423" i="12"/>
  <c r="G422" i="12"/>
  <c r="G421" i="12"/>
  <c r="G420" i="12"/>
  <c r="G419" i="12"/>
  <c r="G418" i="12"/>
  <c r="G417" i="12"/>
  <c r="G416" i="12"/>
  <c r="G415" i="12"/>
  <c r="G414" i="12"/>
  <c r="G413" i="12"/>
  <c r="G412" i="12"/>
  <c r="G408" i="12"/>
  <c r="G406" i="12"/>
  <c r="G405" i="12"/>
  <c r="G404" i="12"/>
  <c r="G403" i="12"/>
  <c r="G397" i="12"/>
  <c r="G395" i="12"/>
  <c r="G393" i="12"/>
  <c r="J431" i="12"/>
  <c r="H643" i="12" s="1"/>
  <c r="F425" i="12"/>
  <c r="F424" i="12"/>
  <c r="F423" i="12"/>
  <c r="F422" i="12"/>
  <c r="F421" i="12"/>
  <c r="F420" i="12"/>
  <c r="F419" i="12"/>
  <c r="F418" i="12"/>
  <c r="F417" i="12"/>
  <c r="F416" i="12"/>
  <c r="F415" i="12"/>
  <c r="F414" i="12"/>
  <c r="F413" i="12"/>
  <c r="F412" i="12"/>
  <c r="F408" i="12"/>
  <c r="F406" i="12"/>
  <c r="F405" i="12"/>
  <c r="F404" i="12"/>
  <c r="F403" i="12"/>
  <c r="F397" i="12"/>
  <c r="F395" i="12"/>
  <c r="F393" i="12"/>
  <c r="E425" i="12"/>
  <c r="E424" i="12"/>
  <c r="E423" i="12"/>
  <c r="E422" i="12"/>
  <c r="E421" i="12"/>
  <c r="E420" i="12"/>
  <c r="E419" i="12"/>
  <c r="E418" i="12"/>
  <c r="E417" i="12"/>
  <c r="E416" i="12"/>
  <c r="E415" i="12"/>
  <c r="E414" i="12"/>
  <c r="E413" i="12"/>
  <c r="E412" i="12"/>
  <c r="E408" i="12"/>
  <c r="E406" i="12"/>
  <c r="E405" i="12"/>
  <c r="E404" i="12"/>
  <c r="E403" i="12"/>
  <c r="E397" i="12"/>
  <c r="E395" i="12"/>
  <c r="E393" i="12"/>
  <c r="G331" i="12"/>
  <c r="F331" i="12"/>
  <c r="E331" i="12"/>
  <c r="H375" i="12"/>
  <c r="G375" i="12"/>
  <c r="F375" i="12"/>
  <c r="E375" i="12"/>
  <c r="H374" i="12"/>
  <c r="G374" i="12"/>
  <c r="F374" i="12"/>
  <c r="E374" i="12"/>
  <c r="H373" i="12"/>
  <c r="G373" i="12"/>
  <c r="F373" i="12"/>
  <c r="E373" i="12"/>
  <c r="H372" i="12"/>
  <c r="G372" i="12"/>
  <c r="F372" i="12"/>
  <c r="E372" i="12"/>
  <c r="H371" i="12"/>
  <c r="G371" i="12"/>
  <c r="F371" i="12"/>
  <c r="E371" i="12"/>
  <c r="H370" i="12"/>
  <c r="G370" i="12"/>
  <c r="F370" i="12"/>
  <c r="E370" i="12"/>
  <c r="H369" i="12"/>
  <c r="G369" i="12"/>
  <c r="F369" i="12"/>
  <c r="E369" i="12"/>
  <c r="H368" i="12"/>
  <c r="G368" i="12"/>
  <c r="F368" i="12"/>
  <c r="E368" i="12"/>
  <c r="H367" i="12"/>
  <c r="G367" i="12"/>
  <c r="F367" i="12"/>
  <c r="E367" i="12"/>
  <c r="H366" i="12"/>
  <c r="G366" i="12"/>
  <c r="F366" i="12"/>
  <c r="E366" i="12"/>
  <c r="H365" i="12"/>
  <c r="G365" i="12"/>
  <c r="F365" i="12"/>
  <c r="E365" i="12"/>
  <c r="H364" i="12"/>
  <c r="G364" i="12"/>
  <c r="F364" i="12"/>
  <c r="E364" i="12"/>
  <c r="H363" i="12"/>
  <c r="G363" i="12"/>
  <c r="F363" i="12"/>
  <c r="E363" i="12"/>
  <c r="H359" i="12"/>
  <c r="G359" i="12"/>
  <c r="F359" i="12"/>
  <c r="H358" i="12"/>
  <c r="G358" i="12"/>
  <c r="F358" i="12"/>
  <c r="E358" i="12"/>
  <c r="H357" i="12"/>
  <c r="G357" i="12"/>
  <c r="F357" i="12"/>
  <c r="E357" i="12"/>
  <c r="H356" i="12"/>
  <c r="G356" i="12"/>
  <c r="F356" i="12"/>
  <c r="E356" i="12"/>
  <c r="H355" i="12"/>
  <c r="G355" i="12"/>
  <c r="F355" i="12"/>
  <c r="E355" i="12"/>
  <c r="H354" i="12"/>
  <c r="G354" i="12"/>
  <c r="F354" i="12"/>
  <c r="E354" i="12"/>
  <c r="H350" i="12"/>
  <c r="G350" i="12"/>
  <c r="F350" i="12"/>
  <c r="E350" i="12"/>
  <c r="H349" i="12"/>
  <c r="G349" i="12"/>
  <c r="F349" i="12"/>
  <c r="E349" i="12"/>
  <c r="H348" i="12"/>
  <c r="G348" i="12"/>
  <c r="F348" i="12"/>
  <c r="E348" i="12"/>
  <c r="H347" i="12"/>
  <c r="G347" i="12"/>
  <c r="F347" i="12"/>
  <c r="E347" i="12"/>
  <c r="H346" i="12"/>
  <c r="G346" i="12"/>
  <c r="F346" i="12"/>
  <c r="E346" i="12"/>
  <c r="H345" i="12"/>
  <c r="G345" i="12"/>
  <c r="F345" i="12"/>
  <c r="E345" i="12"/>
  <c r="H344" i="12"/>
  <c r="G344" i="12"/>
  <c r="F344" i="12"/>
  <c r="E344" i="12"/>
  <c r="H341" i="12"/>
  <c r="G341" i="12"/>
  <c r="F341" i="12"/>
  <c r="E341" i="12"/>
  <c r="H327" i="12"/>
  <c r="G327" i="12"/>
  <c r="F327" i="12"/>
  <c r="E327" i="12"/>
  <c r="H310" i="12"/>
  <c r="G310" i="12"/>
  <c r="F310" i="12"/>
  <c r="E310" i="12"/>
  <c r="H326" i="12"/>
  <c r="H325" i="12"/>
  <c r="H324" i="12"/>
  <c r="H323" i="12"/>
  <c r="H322" i="12"/>
  <c r="H321" i="12"/>
  <c r="H320" i="12"/>
  <c r="H319" i="12"/>
  <c r="H318" i="12"/>
  <c r="H317" i="12"/>
  <c r="H316" i="12"/>
  <c r="H315" i="12"/>
  <c r="G326" i="12"/>
  <c r="G325" i="12"/>
  <c r="G324" i="12"/>
  <c r="G323" i="12"/>
  <c r="G322" i="12"/>
  <c r="G321" i="12"/>
  <c r="G320" i="12"/>
  <c r="G319" i="12"/>
  <c r="G318" i="12"/>
  <c r="G317" i="12"/>
  <c r="G316" i="12"/>
  <c r="G315" i="12"/>
  <c r="F326" i="12"/>
  <c r="F325" i="12"/>
  <c r="F324" i="12"/>
  <c r="F323" i="12"/>
  <c r="F322" i="12"/>
  <c r="F321" i="12"/>
  <c r="F320" i="12"/>
  <c r="F319" i="12"/>
  <c r="F318" i="12"/>
  <c r="F317" i="12"/>
  <c r="F316" i="12"/>
  <c r="F315" i="12"/>
  <c r="E326" i="12"/>
  <c r="E325" i="12"/>
  <c r="E324" i="12"/>
  <c r="E323" i="12"/>
  <c r="E322" i="12"/>
  <c r="E321" i="12"/>
  <c r="E320" i="12"/>
  <c r="E319" i="12"/>
  <c r="E318" i="12"/>
  <c r="E317" i="12"/>
  <c r="E316" i="12"/>
  <c r="E315" i="12"/>
  <c r="H311" i="12"/>
  <c r="H309" i="12"/>
  <c r="H308" i="12"/>
  <c r="H307" i="12"/>
  <c r="H306" i="12"/>
  <c r="G311" i="12"/>
  <c r="G309" i="12"/>
  <c r="G308" i="12"/>
  <c r="G307" i="12"/>
  <c r="G306" i="12"/>
  <c r="F311" i="12"/>
  <c r="F309" i="12"/>
  <c r="F308" i="12"/>
  <c r="F307" i="12"/>
  <c r="F306" i="12"/>
  <c r="E309" i="12"/>
  <c r="E308" i="12"/>
  <c r="E307" i="12"/>
  <c r="E306" i="12"/>
  <c r="H302" i="12"/>
  <c r="G302" i="12"/>
  <c r="F302" i="12"/>
  <c r="E302" i="12"/>
  <c r="H301" i="12"/>
  <c r="G301" i="12"/>
  <c r="F301" i="12"/>
  <c r="E301" i="12"/>
  <c r="E298" i="12"/>
  <c r="H297" i="12"/>
  <c r="G297" i="12"/>
  <c r="F297" i="12"/>
  <c r="E297" i="12"/>
  <c r="H293" i="12"/>
  <c r="G293" i="12"/>
  <c r="F293" i="12"/>
  <c r="E293" i="12"/>
  <c r="J371" i="12" l="1"/>
  <c r="G682" i="12" s="1"/>
  <c r="J390" i="12"/>
  <c r="H602" i="12" s="1"/>
  <c r="J293" i="12"/>
  <c r="G602" i="12" s="1"/>
  <c r="J404" i="12"/>
  <c r="H616" i="12" s="1"/>
  <c r="J421" i="12"/>
  <c r="H633" i="12" s="1"/>
  <c r="J482" i="12"/>
  <c r="H693" i="12" s="1"/>
  <c r="J316" i="12"/>
  <c r="G625" i="12" s="1"/>
  <c r="J350" i="12"/>
  <c r="G661" i="12" s="1"/>
  <c r="J364" i="12"/>
  <c r="G675" i="12" s="1"/>
  <c r="J366" i="12"/>
  <c r="G677" i="12" s="1"/>
  <c r="J374" i="12"/>
  <c r="G685" i="12" s="1"/>
  <c r="J406" i="12"/>
  <c r="H618" i="12" s="1"/>
  <c r="J457" i="12"/>
  <c r="H668" i="12" s="1"/>
  <c r="J468" i="12"/>
  <c r="H679" i="12" s="1"/>
  <c r="J476" i="12"/>
  <c r="H687" i="12" s="1"/>
  <c r="J687" i="12" s="1"/>
  <c r="J419" i="12"/>
  <c r="H631" i="12" s="1"/>
  <c r="J412" i="12"/>
  <c r="H624" i="12" s="1"/>
  <c r="J422" i="12"/>
  <c r="H634" i="12" s="1"/>
  <c r="G360" i="12"/>
  <c r="J413" i="12"/>
  <c r="H625" i="12" s="1"/>
  <c r="J414" i="12"/>
  <c r="H626" i="12" s="1"/>
  <c r="J306" i="12"/>
  <c r="G615" i="12" s="1"/>
  <c r="J310" i="12"/>
  <c r="G619" i="12" s="1"/>
  <c r="J397" i="12"/>
  <c r="H609" i="12" s="1"/>
  <c r="J321" i="12"/>
  <c r="G630" i="12" s="1"/>
  <c r="J317" i="12"/>
  <c r="G626" i="12" s="1"/>
  <c r="J415" i="12"/>
  <c r="H627" i="12" s="1"/>
  <c r="H376" i="12"/>
  <c r="J416" i="12"/>
  <c r="H628" i="12" s="1"/>
  <c r="J424" i="12"/>
  <c r="H636" i="12" s="1"/>
  <c r="J417" i="12"/>
  <c r="H629" i="12" s="1"/>
  <c r="J425" i="12"/>
  <c r="H637" i="12" s="1"/>
  <c r="J637" i="12" s="1"/>
  <c r="J448" i="12"/>
  <c r="H659" i="12" s="1"/>
  <c r="J464" i="12"/>
  <c r="H675" i="12" s="1"/>
  <c r="J467" i="12"/>
  <c r="H678" i="12" s="1"/>
  <c r="J470" i="12"/>
  <c r="H681" i="12" s="1"/>
  <c r="J308" i="12"/>
  <c r="G617" i="12" s="1"/>
  <c r="J325" i="12"/>
  <c r="G634" i="12" s="1"/>
  <c r="J403" i="12"/>
  <c r="H615" i="12" s="1"/>
  <c r="J423" i="12"/>
  <c r="H635" i="12" s="1"/>
  <c r="J311" i="12"/>
  <c r="G620" i="12" s="1"/>
  <c r="J315" i="12"/>
  <c r="G624" i="12" s="1"/>
  <c r="J323" i="12"/>
  <c r="G632" i="12" s="1"/>
  <c r="J327" i="12"/>
  <c r="G638" i="12" s="1"/>
  <c r="J346" i="12"/>
  <c r="G657" i="12" s="1"/>
  <c r="J348" i="12"/>
  <c r="G659" i="12" s="1"/>
  <c r="J357" i="12"/>
  <c r="G668" i="12" s="1"/>
  <c r="J359" i="12"/>
  <c r="G670" i="12" s="1"/>
  <c r="J368" i="12"/>
  <c r="G679" i="12" s="1"/>
  <c r="E409" i="12"/>
  <c r="J418" i="12"/>
  <c r="H630" i="12" s="1"/>
  <c r="J408" i="12"/>
  <c r="H620" i="12" s="1"/>
  <c r="J395" i="12"/>
  <c r="H607" i="12" s="1"/>
  <c r="J393" i="12"/>
  <c r="H605" i="12" s="1"/>
  <c r="J420" i="12"/>
  <c r="H632" i="12" s="1"/>
  <c r="J405" i="12"/>
  <c r="H617" i="12" s="1"/>
  <c r="J446" i="12"/>
  <c r="H657" i="12" s="1"/>
  <c r="F478" i="12"/>
  <c r="I478" i="12"/>
  <c r="J466" i="12"/>
  <c r="H677" i="12" s="1"/>
  <c r="H478" i="12"/>
  <c r="J471" i="12"/>
  <c r="H682" i="12" s="1"/>
  <c r="J472" i="12"/>
  <c r="H683" i="12" s="1"/>
  <c r="J474" i="12"/>
  <c r="H685" i="12" s="1"/>
  <c r="J456" i="12"/>
  <c r="H667" i="12" s="1"/>
  <c r="J459" i="12"/>
  <c r="H670" i="12" s="1"/>
  <c r="J465" i="12"/>
  <c r="H676" i="12" s="1"/>
  <c r="J473" i="12"/>
  <c r="H684" i="12" s="1"/>
  <c r="J475" i="12"/>
  <c r="H686" i="12" s="1"/>
  <c r="J354" i="12"/>
  <c r="G665" i="12" s="1"/>
  <c r="H460" i="12"/>
  <c r="J367" i="12"/>
  <c r="G678" i="12" s="1"/>
  <c r="J455" i="12"/>
  <c r="H666" i="12" s="1"/>
  <c r="J379" i="12"/>
  <c r="G693" i="12" s="1"/>
  <c r="J469" i="12"/>
  <c r="H680" i="12" s="1"/>
  <c r="J463" i="12"/>
  <c r="H674" i="12" s="1"/>
  <c r="J454" i="12"/>
  <c r="H665" i="12" s="1"/>
  <c r="G478" i="12"/>
  <c r="J477" i="12"/>
  <c r="H688" i="12" s="1"/>
  <c r="J426" i="12"/>
  <c r="I460" i="12"/>
  <c r="J407" i="12"/>
  <c r="G460" i="12"/>
  <c r="F460" i="12"/>
  <c r="J458" i="12"/>
  <c r="J450" i="12"/>
  <c r="H661" i="12" s="1"/>
  <c r="J399" i="12"/>
  <c r="H611" i="12" s="1"/>
  <c r="F451" i="12"/>
  <c r="I451" i="12"/>
  <c r="J449" i="12"/>
  <c r="H660" i="12" s="1"/>
  <c r="J398" i="12"/>
  <c r="H610" i="12" s="1"/>
  <c r="J396" i="12"/>
  <c r="H608" i="12" s="1"/>
  <c r="H451" i="12"/>
  <c r="J447" i="12"/>
  <c r="H658" i="12" s="1"/>
  <c r="F400" i="12"/>
  <c r="G451" i="12"/>
  <c r="J394" i="12"/>
  <c r="H606" i="12" s="1"/>
  <c r="J445" i="12"/>
  <c r="H656" i="12" s="1"/>
  <c r="E451" i="12"/>
  <c r="E460" i="12"/>
  <c r="E478" i="12"/>
  <c r="J444" i="12"/>
  <c r="H655" i="12" s="1"/>
  <c r="J441" i="12"/>
  <c r="I427" i="12"/>
  <c r="I409" i="12"/>
  <c r="I400" i="12"/>
  <c r="H427" i="12"/>
  <c r="G409" i="12"/>
  <c r="G400" i="12"/>
  <c r="F427" i="12"/>
  <c r="F409" i="12"/>
  <c r="E427" i="12"/>
  <c r="E400" i="12"/>
  <c r="G427" i="12"/>
  <c r="H409" i="12"/>
  <c r="H400" i="12"/>
  <c r="J373" i="12"/>
  <c r="G684" i="12" s="1"/>
  <c r="J372" i="12"/>
  <c r="G683" i="12" s="1"/>
  <c r="J370" i="12"/>
  <c r="G681" i="12" s="1"/>
  <c r="J369" i="12"/>
  <c r="G680" i="12" s="1"/>
  <c r="J341" i="12"/>
  <c r="G652" i="12" s="1"/>
  <c r="J356" i="12"/>
  <c r="G667" i="12" s="1"/>
  <c r="J355" i="12"/>
  <c r="G666" i="12" s="1"/>
  <c r="G376" i="12"/>
  <c r="F376" i="12"/>
  <c r="J375" i="12"/>
  <c r="G688" i="12" s="1"/>
  <c r="E376" i="12"/>
  <c r="H360" i="12"/>
  <c r="J365" i="12"/>
  <c r="G676" i="12" s="1"/>
  <c r="F360" i="12"/>
  <c r="J358" i="12"/>
  <c r="G669" i="12" s="1"/>
  <c r="G351" i="12"/>
  <c r="F351" i="12"/>
  <c r="H351" i="12"/>
  <c r="J344" i="12"/>
  <c r="G655" i="12" s="1"/>
  <c r="E351" i="12"/>
  <c r="J349" i="12"/>
  <c r="G660" i="12" s="1"/>
  <c r="J347" i="12"/>
  <c r="G658" i="12" s="1"/>
  <c r="J363" i="12"/>
  <c r="G674" i="12" s="1"/>
  <c r="E360" i="12"/>
  <c r="H300" i="12"/>
  <c r="H299" i="12"/>
  <c r="H298" i="12"/>
  <c r="H296" i="12"/>
  <c r="G300" i="12"/>
  <c r="G299" i="12"/>
  <c r="G298" i="12"/>
  <c r="G296" i="12"/>
  <c r="F300" i="12"/>
  <c r="F299" i="12"/>
  <c r="F298" i="12"/>
  <c r="F296" i="12"/>
  <c r="E300" i="12"/>
  <c r="E299" i="12"/>
  <c r="E296" i="12"/>
  <c r="J331" i="12"/>
  <c r="G643" i="12" s="1"/>
  <c r="J326" i="12"/>
  <c r="G635" i="12" s="1"/>
  <c r="J324" i="12"/>
  <c r="G633" i="12" s="1"/>
  <c r="J322" i="12"/>
  <c r="G631" i="12" s="1"/>
  <c r="J320" i="12"/>
  <c r="G629" i="12" s="1"/>
  <c r="J319" i="12"/>
  <c r="G628" i="12" s="1"/>
  <c r="J318" i="12"/>
  <c r="G627" i="12" s="1"/>
  <c r="J309" i="12"/>
  <c r="G618" i="12" s="1"/>
  <c r="J307" i="12"/>
  <c r="G616" i="12" s="1"/>
  <c r="I430" i="12" l="1"/>
  <c r="E430" i="12"/>
  <c r="I481" i="12"/>
  <c r="I483" i="12" s="1"/>
  <c r="G430" i="12"/>
  <c r="F430" i="12"/>
  <c r="F432" i="12" s="1"/>
  <c r="G481" i="12"/>
  <c r="G483" i="12" s="1"/>
  <c r="E481" i="12"/>
  <c r="E483" i="12" s="1"/>
  <c r="H481" i="12"/>
  <c r="H483" i="12" s="1"/>
  <c r="H430" i="12"/>
  <c r="H432" i="12" s="1"/>
  <c r="F481" i="12"/>
  <c r="F483" i="12" s="1"/>
  <c r="H652" i="12"/>
  <c r="J298" i="12"/>
  <c r="G607" i="12" s="1"/>
  <c r="I360" i="12"/>
  <c r="G378" i="12"/>
  <c r="G380" i="12" s="1"/>
  <c r="I376" i="12"/>
  <c r="J299" i="12"/>
  <c r="G608" i="12" s="1"/>
  <c r="J300" i="12"/>
  <c r="G609" i="12" s="1"/>
  <c r="J296" i="12"/>
  <c r="G605" i="12" s="1"/>
  <c r="J409" i="12"/>
  <c r="H621" i="12" s="1"/>
  <c r="H619" i="12"/>
  <c r="J427" i="12"/>
  <c r="H638" i="12"/>
  <c r="J478" i="12"/>
  <c r="H689" i="12" s="1"/>
  <c r="J460" i="12"/>
  <c r="H671" i="12" s="1"/>
  <c r="H669" i="12"/>
  <c r="J400" i="12"/>
  <c r="J451" i="12"/>
  <c r="I432" i="12"/>
  <c r="G432" i="12"/>
  <c r="E432" i="12"/>
  <c r="H378" i="12"/>
  <c r="H380" i="12" s="1"/>
  <c r="F378" i="12"/>
  <c r="F380" i="12" s="1"/>
  <c r="J360" i="12"/>
  <c r="G671" i="12" s="1"/>
  <c r="I351" i="12"/>
  <c r="E378" i="12"/>
  <c r="E380" i="12" s="1"/>
  <c r="J345" i="12"/>
  <c r="G656" i="12" s="1"/>
  <c r="J376" i="12"/>
  <c r="G689" i="12" s="1"/>
  <c r="J301" i="12"/>
  <c r="G610" i="12" s="1"/>
  <c r="J302" i="12"/>
  <c r="G611" i="12" s="1"/>
  <c r="J297" i="12"/>
  <c r="G606" i="12" s="1"/>
  <c r="J481" i="12" l="1"/>
  <c r="H639" i="12"/>
  <c r="J430" i="12"/>
  <c r="I378" i="12"/>
  <c r="I380" i="12" s="1"/>
  <c r="J351" i="12"/>
  <c r="G662" i="12" s="1"/>
  <c r="H612" i="12"/>
  <c r="H662" i="12"/>
  <c r="H312" i="12"/>
  <c r="F328" i="12"/>
  <c r="J312" i="12"/>
  <c r="G621" i="12" s="1"/>
  <c r="I312" i="12"/>
  <c r="J328" i="12"/>
  <c r="G639" i="12" s="1"/>
  <c r="I328" i="12"/>
  <c r="J303" i="12"/>
  <c r="G612" i="12" s="1"/>
  <c r="I303" i="12"/>
  <c r="E328" i="12"/>
  <c r="E312" i="12"/>
  <c r="E303" i="12"/>
  <c r="J186" i="12"/>
  <c r="I186" i="12"/>
  <c r="H186" i="12"/>
  <c r="G186" i="12"/>
  <c r="F186" i="12"/>
  <c r="E186" i="12"/>
  <c r="J182" i="12"/>
  <c r="I182" i="12"/>
  <c r="H182" i="12"/>
  <c r="G182" i="12"/>
  <c r="F182" i="12"/>
  <c r="E182" i="12"/>
  <c r="J181" i="12"/>
  <c r="I181" i="12"/>
  <c r="H181" i="12"/>
  <c r="G181" i="12"/>
  <c r="F181" i="12"/>
  <c r="E181" i="12"/>
  <c r="J180" i="12"/>
  <c r="I180" i="12"/>
  <c r="H180" i="12"/>
  <c r="G180" i="12"/>
  <c r="F180" i="12"/>
  <c r="E180" i="12"/>
  <c r="J179" i="12"/>
  <c r="I179" i="12"/>
  <c r="H179" i="12"/>
  <c r="G179" i="12"/>
  <c r="F179" i="12"/>
  <c r="E179" i="12"/>
  <c r="J178" i="12"/>
  <c r="I178" i="12"/>
  <c r="H178" i="12"/>
  <c r="G178" i="12"/>
  <c r="F178" i="12"/>
  <c r="E178" i="12"/>
  <c r="J177" i="12"/>
  <c r="I177" i="12"/>
  <c r="H177" i="12"/>
  <c r="G177" i="12"/>
  <c r="F177" i="12"/>
  <c r="E177" i="12"/>
  <c r="J176" i="12"/>
  <c r="I176" i="12"/>
  <c r="H176" i="12"/>
  <c r="G176" i="12"/>
  <c r="F176" i="12"/>
  <c r="E176" i="12"/>
  <c r="J175" i="12"/>
  <c r="I175" i="12"/>
  <c r="H175" i="12"/>
  <c r="G175" i="12"/>
  <c r="F175" i="12"/>
  <c r="E175" i="12"/>
  <c r="J174" i="12"/>
  <c r="I174" i="12"/>
  <c r="H174" i="12"/>
  <c r="G174" i="12"/>
  <c r="F174" i="12"/>
  <c r="E174" i="12"/>
  <c r="J173" i="12"/>
  <c r="I173" i="12"/>
  <c r="H173" i="12"/>
  <c r="G173" i="12"/>
  <c r="F173" i="12"/>
  <c r="E173" i="12"/>
  <c r="J172" i="12"/>
  <c r="I172" i="12"/>
  <c r="H172" i="12"/>
  <c r="G172" i="12"/>
  <c r="F172" i="12"/>
  <c r="E172" i="12"/>
  <c r="J171" i="12"/>
  <c r="I171" i="12"/>
  <c r="H171" i="12"/>
  <c r="G171" i="12"/>
  <c r="F171" i="12"/>
  <c r="E171" i="12"/>
  <c r="J170" i="12"/>
  <c r="I170" i="12"/>
  <c r="H170" i="12"/>
  <c r="G170" i="12"/>
  <c r="F170" i="12"/>
  <c r="E170" i="12"/>
  <c r="J166" i="12"/>
  <c r="I166" i="12"/>
  <c r="H166" i="12"/>
  <c r="G166" i="12"/>
  <c r="F166" i="12"/>
  <c r="E166" i="12"/>
  <c r="J165" i="12"/>
  <c r="I165" i="12"/>
  <c r="H165" i="12"/>
  <c r="G165" i="12"/>
  <c r="F165" i="12"/>
  <c r="E165" i="12"/>
  <c r="J164" i="12"/>
  <c r="I164" i="12"/>
  <c r="H164" i="12"/>
  <c r="G164" i="12"/>
  <c r="F164" i="12"/>
  <c r="E164" i="12"/>
  <c r="J163" i="12"/>
  <c r="I163" i="12"/>
  <c r="H163" i="12"/>
  <c r="G163" i="12"/>
  <c r="F163" i="12"/>
  <c r="E163" i="12"/>
  <c r="J162" i="12"/>
  <c r="I162" i="12"/>
  <c r="H162" i="12"/>
  <c r="G162" i="12"/>
  <c r="F162" i="12"/>
  <c r="E162" i="12"/>
  <c r="J161" i="12"/>
  <c r="I161" i="12"/>
  <c r="H161" i="12"/>
  <c r="G161" i="12"/>
  <c r="F161" i="12"/>
  <c r="E161" i="12"/>
  <c r="J157" i="12"/>
  <c r="I157" i="12"/>
  <c r="H157" i="12"/>
  <c r="G157" i="12"/>
  <c r="F157" i="12"/>
  <c r="E157" i="12"/>
  <c r="J156" i="12"/>
  <c r="I156" i="12"/>
  <c r="H156" i="12"/>
  <c r="G156" i="12"/>
  <c r="F156" i="12"/>
  <c r="E156" i="12"/>
  <c r="J155" i="12"/>
  <c r="I155" i="12"/>
  <c r="H155" i="12"/>
  <c r="G155" i="12"/>
  <c r="F155" i="12"/>
  <c r="E155" i="12"/>
  <c r="J154" i="12"/>
  <c r="I154" i="12"/>
  <c r="H154" i="12"/>
  <c r="G154" i="12"/>
  <c r="F154" i="12"/>
  <c r="E154" i="12"/>
  <c r="J153" i="12"/>
  <c r="I153" i="12"/>
  <c r="H153" i="12"/>
  <c r="G153" i="12"/>
  <c r="F153" i="12"/>
  <c r="E153" i="12"/>
  <c r="J152" i="12"/>
  <c r="I152" i="12"/>
  <c r="H152" i="12"/>
  <c r="G152" i="12"/>
  <c r="F152" i="12"/>
  <c r="E152" i="12"/>
  <c r="J151" i="12"/>
  <c r="I151" i="12"/>
  <c r="H151" i="12"/>
  <c r="G151" i="12"/>
  <c r="F151" i="12"/>
  <c r="E151" i="12"/>
  <c r="J148" i="12"/>
  <c r="I148" i="12"/>
  <c r="H148" i="12"/>
  <c r="G148" i="12"/>
  <c r="F148" i="12"/>
  <c r="E148" i="12"/>
  <c r="J138" i="12"/>
  <c r="I138" i="12"/>
  <c r="H138" i="12"/>
  <c r="G138" i="12"/>
  <c r="F138" i="12"/>
  <c r="E138" i="12"/>
  <c r="J134" i="12"/>
  <c r="I134" i="12"/>
  <c r="H134" i="12"/>
  <c r="G134" i="12"/>
  <c r="F134" i="12"/>
  <c r="E134" i="12"/>
  <c r="J117" i="12"/>
  <c r="I117" i="12"/>
  <c r="H117" i="12"/>
  <c r="G117" i="12"/>
  <c r="F117" i="12"/>
  <c r="E117" i="12"/>
  <c r="J109" i="12"/>
  <c r="I109" i="12"/>
  <c r="H109" i="12"/>
  <c r="G109" i="12"/>
  <c r="F109" i="12"/>
  <c r="E109" i="12"/>
  <c r="J108" i="12"/>
  <c r="I108" i="12"/>
  <c r="H108" i="12"/>
  <c r="G108" i="12"/>
  <c r="F108" i="12"/>
  <c r="E108" i="12"/>
  <c r="J106" i="12"/>
  <c r="I106" i="12"/>
  <c r="H106" i="12"/>
  <c r="G106" i="12"/>
  <c r="F106" i="12"/>
  <c r="E106" i="12"/>
  <c r="E105" i="12"/>
  <c r="J104" i="12"/>
  <c r="I104" i="12"/>
  <c r="H104" i="12"/>
  <c r="G104" i="12"/>
  <c r="F104" i="12"/>
  <c r="E104" i="12"/>
  <c r="J100" i="12"/>
  <c r="I100" i="12"/>
  <c r="H100" i="12"/>
  <c r="G100" i="12"/>
  <c r="F100" i="12"/>
  <c r="E100" i="12"/>
  <c r="J133" i="12"/>
  <c r="J132" i="12"/>
  <c r="J131" i="12"/>
  <c r="J130" i="12"/>
  <c r="J129" i="12"/>
  <c r="J128" i="12"/>
  <c r="J127" i="12"/>
  <c r="J126" i="12"/>
  <c r="J125" i="12"/>
  <c r="J124" i="12"/>
  <c r="J123" i="12"/>
  <c r="J122" i="12"/>
  <c r="J118" i="12"/>
  <c r="J116" i="12"/>
  <c r="J115" i="12"/>
  <c r="J114" i="12"/>
  <c r="J113" i="12"/>
  <c r="J107" i="12"/>
  <c r="J105" i="12"/>
  <c r="J103" i="12"/>
  <c r="I133" i="12"/>
  <c r="I132" i="12"/>
  <c r="I131" i="12"/>
  <c r="I130" i="12"/>
  <c r="I129" i="12"/>
  <c r="I128" i="12"/>
  <c r="I127" i="12"/>
  <c r="I126" i="12"/>
  <c r="I125" i="12"/>
  <c r="I124" i="12"/>
  <c r="I123" i="12"/>
  <c r="I122" i="12"/>
  <c r="I118" i="12"/>
  <c r="I116" i="12"/>
  <c r="I115" i="12"/>
  <c r="I114" i="12"/>
  <c r="I113" i="12"/>
  <c r="I107" i="12"/>
  <c r="I105" i="12"/>
  <c r="I103" i="12"/>
  <c r="H133" i="12"/>
  <c r="H132" i="12"/>
  <c r="H131" i="12"/>
  <c r="H130" i="12"/>
  <c r="H129" i="12"/>
  <c r="H128" i="12"/>
  <c r="H127" i="12"/>
  <c r="H126" i="12"/>
  <c r="H125" i="12"/>
  <c r="H124" i="12"/>
  <c r="H123" i="12"/>
  <c r="H122" i="12"/>
  <c r="H118" i="12"/>
  <c r="H116" i="12"/>
  <c r="H115" i="12"/>
  <c r="H114" i="12"/>
  <c r="H113" i="12"/>
  <c r="H107" i="12"/>
  <c r="H105" i="12"/>
  <c r="H103" i="12"/>
  <c r="G133" i="12"/>
  <c r="G132" i="12"/>
  <c r="G131" i="12"/>
  <c r="G130" i="12"/>
  <c r="G129" i="12"/>
  <c r="G128" i="12"/>
  <c r="G127" i="12"/>
  <c r="G126" i="12"/>
  <c r="G125" i="12"/>
  <c r="G124" i="12"/>
  <c r="G123" i="12"/>
  <c r="G122" i="12"/>
  <c r="G118" i="12"/>
  <c r="G116" i="12"/>
  <c r="G115" i="12"/>
  <c r="G114" i="12"/>
  <c r="G113" i="12"/>
  <c r="G107" i="12"/>
  <c r="G105" i="12"/>
  <c r="G103" i="12"/>
  <c r="K164" i="12" l="1"/>
  <c r="E668" i="12" s="1"/>
  <c r="K177" i="12"/>
  <c r="E681" i="12" s="1"/>
  <c r="K161" i="12"/>
  <c r="E665" i="12" s="1"/>
  <c r="K171" i="12"/>
  <c r="E675" i="12" s="1"/>
  <c r="K100" i="12"/>
  <c r="E602" i="12" s="1"/>
  <c r="K170" i="12"/>
  <c r="E674" i="12" s="1"/>
  <c r="K173" i="12"/>
  <c r="E677" i="12" s="1"/>
  <c r="K178" i="12"/>
  <c r="E682" i="12" s="1"/>
  <c r="K181" i="12"/>
  <c r="E685" i="12" s="1"/>
  <c r="J119" i="12"/>
  <c r="I330" i="12"/>
  <c r="J378" i="12"/>
  <c r="G692" i="12" s="1"/>
  <c r="K162" i="12"/>
  <c r="E666" i="12" s="1"/>
  <c r="K155" i="12"/>
  <c r="E659" i="12" s="1"/>
  <c r="K175" i="12"/>
  <c r="E679" i="12" s="1"/>
  <c r="K172" i="12"/>
  <c r="E676" i="12" s="1"/>
  <c r="K176" i="12"/>
  <c r="E680" i="12" s="1"/>
  <c r="K179" i="12"/>
  <c r="E683" i="12" s="1"/>
  <c r="K180" i="12"/>
  <c r="E684" i="12" s="1"/>
  <c r="J483" i="12"/>
  <c r="H694" i="12" s="1"/>
  <c r="H692" i="12"/>
  <c r="K163" i="12"/>
  <c r="E667" i="12" s="1"/>
  <c r="K174" i="12"/>
  <c r="E678" i="12" s="1"/>
  <c r="J432" i="12"/>
  <c r="H644" i="12" s="1"/>
  <c r="H642" i="12"/>
  <c r="K166" i="12"/>
  <c r="E670" i="12" s="1"/>
  <c r="E330" i="12"/>
  <c r="E332" i="12" s="1"/>
  <c r="H328" i="12"/>
  <c r="H303" i="12"/>
  <c r="G328" i="12"/>
  <c r="G312" i="12"/>
  <c r="G303" i="12"/>
  <c r="F312" i="12"/>
  <c r="F303" i="12"/>
  <c r="K151" i="12"/>
  <c r="E655" i="12" s="1"/>
  <c r="K148" i="12"/>
  <c r="E652" i="12" s="1"/>
  <c r="K186" i="12"/>
  <c r="E693" i="12" s="1"/>
  <c r="K182" i="12"/>
  <c r="E688" i="12" s="1"/>
  <c r="K165" i="12"/>
  <c r="E669" i="12" s="1"/>
  <c r="K157" i="12"/>
  <c r="E661" i="12" s="1"/>
  <c r="K156" i="12"/>
  <c r="E660" i="12" s="1"/>
  <c r="K154" i="12"/>
  <c r="E658" i="12" s="1"/>
  <c r="K153" i="12"/>
  <c r="E657" i="12" s="1"/>
  <c r="K152" i="12"/>
  <c r="E656" i="12" s="1"/>
  <c r="K138" i="12"/>
  <c r="E643" i="12" s="1"/>
  <c r="J380" i="12" l="1"/>
  <c r="G694" i="12" s="1"/>
  <c r="J330" i="12"/>
  <c r="G642" i="12" s="1"/>
  <c r="H330" i="12"/>
  <c r="H332" i="12" s="1"/>
  <c r="I332" i="12"/>
  <c r="G330" i="12"/>
  <c r="G332" i="12" s="1"/>
  <c r="F330" i="12"/>
  <c r="F332" i="12" s="1"/>
  <c r="J332" i="12" l="1"/>
  <c r="G644" i="12" s="1"/>
  <c r="F133" i="12" l="1"/>
  <c r="F132" i="12"/>
  <c r="F131" i="12"/>
  <c r="F130" i="12"/>
  <c r="F129" i="12"/>
  <c r="F128" i="12"/>
  <c r="F127" i="12"/>
  <c r="F126" i="12"/>
  <c r="F125" i="12"/>
  <c r="F124" i="12"/>
  <c r="F123" i="12"/>
  <c r="F122" i="12"/>
  <c r="F118" i="12"/>
  <c r="F116" i="12"/>
  <c r="F115" i="12"/>
  <c r="F114" i="12"/>
  <c r="F113" i="12"/>
  <c r="F107" i="12"/>
  <c r="F103" i="12"/>
  <c r="F105" i="12"/>
  <c r="E133" i="12"/>
  <c r="E132" i="12"/>
  <c r="E131" i="12"/>
  <c r="E130" i="12"/>
  <c r="E129" i="12"/>
  <c r="E128" i="12"/>
  <c r="E127" i="12"/>
  <c r="E126" i="12"/>
  <c r="E125" i="12"/>
  <c r="E124" i="12"/>
  <c r="E123" i="12"/>
  <c r="E122" i="12"/>
  <c r="E118" i="12"/>
  <c r="E116" i="12"/>
  <c r="E115" i="12"/>
  <c r="E114" i="12"/>
  <c r="E113" i="12"/>
  <c r="E107" i="12"/>
  <c r="E103" i="12"/>
  <c r="G135" i="12"/>
  <c r="H135" i="12"/>
  <c r="I135" i="12"/>
  <c r="J135" i="12"/>
  <c r="E537" i="12"/>
  <c r="F537" i="12"/>
  <c r="F591" i="12"/>
  <c r="E591" i="12"/>
  <c r="F587" i="12"/>
  <c r="G585" i="12"/>
  <c r="I685" i="12" s="1"/>
  <c r="G584" i="12"/>
  <c r="I684" i="12" s="1"/>
  <c r="G583" i="12"/>
  <c r="I683" i="12" s="1"/>
  <c r="G582" i="12"/>
  <c r="I682" i="12" s="1"/>
  <c r="G581" i="12"/>
  <c r="I681" i="12" s="1"/>
  <c r="G565" i="12"/>
  <c r="I666" i="12" s="1"/>
  <c r="E587" i="12"/>
  <c r="F586" i="12"/>
  <c r="E586" i="12"/>
  <c r="F580" i="12"/>
  <c r="E580" i="12"/>
  <c r="F579" i="12"/>
  <c r="E579" i="12"/>
  <c r="F578" i="12"/>
  <c r="E578" i="12"/>
  <c r="F577" i="12"/>
  <c r="E577" i="12"/>
  <c r="F576" i="12"/>
  <c r="E576" i="12"/>
  <c r="F575" i="12"/>
  <c r="E575" i="12"/>
  <c r="F574" i="12"/>
  <c r="E574" i="12"/>
  <c r="F573" i="12"/>
  <c r="E573" i="12"/>
  <c r="F569" i="12"/>
  <c r="E569" i="12"/>
  <c r="F568" i="12"/>
  <c r="E568" i="12"/>
  <c r="F567" i="12"/>
  <c r="E567" i="12"/>
  <c r="F566" i="12"/>
  <c r="E566" i="12"/>
  <c r="F564" i="12"/>
  <c r="E564" i="12"/>
  <c r="F560" i="12"/>
  <c r="E560" i="12"/>
  <c r="F559" i="12"/>
  <c r="E559" i="12"/>
  <c r="F558" i="12"/>
  <c r="E558" i="12"/>
  <c r="F557" i="12"/>
  <c r="E557" i="12"/>
  <c r="F556" i="12"/>
  <c r="E556" i="12"/>
  <c r="F555" i="12"/>
  <c r="E555" i="12"/>
  <c r="F554" i="12"/>
  <c r="E554" i="12"/>
  <c r="F553" i="12"/>
  <c r="E553" i="12"/>
  <c r="F552" i="12"/>
  <c r="E552" i="12"/>
  <c r="F551" i="12"/>
  <c r="E551" i="12"/>
  <c r="F550" i="12"/>
  <c r="E550" i="12"/>
  <c r="F547" i="12"/>
  <c r="E547" i="12"/>
  <c r="F533" i="12"/>
  <c r="E533" i="12"/>
  <c r="F506" i="12"/>
  <c r="E506" i="12"/>
  <c r="F504" i="12"/>
  <c r="E504" i="12"/>
  <c r="F503" i="12"/>
  <c r="E503" i="12"/>
  <c r="F499" i="12"/>
  <c r="E499" i="12"/>
  <c r="F493" i="12"/>
  <c r="E493" i="12"/>
  <c r="G531" i="12"/>
  <c r="I635" i="12" s="1"/>
  <c r="G530" i="12"/>
  <c r="I634" i="12" s="1"/>
  <c r="G529" i="12"/>
  <c r="I633" i="12" s="1"/>
  <c r="G528" i="12"/>
  <c r="I632" i="12" s="1"/>
  <c r="G527" i="12"/>
  <c r="I631" i="12" s="1"/>
  <c r="G511" i="12"/>
  <c r="I616" i="12" s="1"/>
  <c r="F532" i="12"/>
  <c r="F526" i="12"/>
  <c r="F525" i="12"/>
  <c r="F524" i="12"/>
  <c r="F523" i="12"/>
  <c r="F522" i="12"/>
  <c r="F521" i="12"/>
  <c r="F520" i="12"/>
  <c r="F519" i="12"/>
  <c r="E532" i="12"/>
  <c r="E526" i="12"/>
  <c r="E525" i="12"/>
  <c r="E524" i="12"/>
  <c r="E523" i="12"/>
  <c r="E522" i="12"/>
  <c r="E521" i="12"/>
  <c r="E520" i="12"/>
  <c r="E519" i="12"/>
  <c r="F515" i="12"/>
  <c r="F514" i="12"/>
  <c r="F513" i="12"/>
  <c r="F512" i="12"/>
  <c r="F510" i="12"/>
  <c r="E515" i="12"/>
  <c r="E514" i="12"/>
  <c r="E513" i="12"/>
  <c r="E512" i="12"/>
  <c r="E510" i="12"/>
  <c r="F505" i="12"/>
  <c r="F502" i="12"/>
  <c r="F501" i="12"/>
  <c r="F500" i="12"/>
  <c r="F498" i="12"/>
  <c r="F497" i="12"/>
  <c r="F496" i="12"/>
  <c r="E505" i="12"/>
  <c r="E502" i="12"/>
  <c r="E501" i="12"/>
  <c r="E500" i="12"/>
  <c r="E498" i="12"/>
  <c r="E497" i="12"/>
  <c r="E496" i="12"/>
  <c r="G523" i="12" l="1"/>
  <c r="I627" i="12" s="1"/>
  <c r="G503" i="12"/>
  <c r="I610" i="12" s="1"/>
  <c r="G547" i="12"/>
  <c r="I652" i="12" s="1"/>
  <c r="G553" i="12"/>
  <c r="I658" i="12" s="1"/>
  <c r="G557" i="12"/>
  <c r="I660" i="12" s="1"/>
  <c r="G569" i="12"/>
  <c r="I670" i="12" s="1"/>
  <c r="G576" i="12"/>
  <c r="I676" i="12" s="1"/>
  <c r="G580" i="12"/>
  <c r="I680" i="12" s="1"/>
  <c r="G525" i="12"/>
  <c r="I629" i="12" s="1"/>
  <c r="G566" i="12"/>
  <c r="I667" i="12" s="1"/>
  <c r="G573" i="12"/>
  <c r="G577" i="12"/>
  <c r="I677" i="12" s="1"/>
  <c r="G586" i="12"/>
  <c r="I686" i="12" s="1"/>
  <c r="J686" i="12" s="1"/>
  <c r="G515" i="12"/>
  <c r="I620" i="12" s="1"/>
  <c r="K124" i="12"/>
  <c r="E626" i="12" s="1"/>
  <c r="G510" i="12"/>
  <c r="I615" i="12" s="1"/>
  <c r="G505" i="12"/>
  <c r="G587" i="12"/>
  <c r="I688" i="12" s="1"/>
  <c r="G520" i="12"/>
  <c r="I624" i="12" s="1"/>
  <c r="G522" i="12"/>
  <c r="I626" i="12" s="1"/>
  <c r="G524" i="12"/>
  <c r="I628" i="12" s="1"/>
  <c r="G497" i="12"/>
  <c r="I606" i="12" s="1"/>
  <c r="G514" i="12"/>
  <c r="I619" i="12" s="1"/>
  <c r="G500" i="12"/>
  <c r="G521" i="12"/>
  <c r="I625" i="12" s="1"/>
  <c r="G499" i="12"/>
  <c r="I608" i="12" s="1"/>
  <c r="G533" i="12"/>
  <c r="I638" i="12" s="1"/>
  <c r="G568" i="12"/>
  <c r="I669" i="12" s="1"/>
  <c r="G575" i="12"/>
  <c r="I675" i="12" s="1"/>
  <c r="G579" i="12"/>
  <c r="I679" i="12" s="1"/>
  <c r="E570" i="12"/>
  <c r="G512" i="12"/>
  <c r="I617" i="12" s="1"/>
  <c r="G526" i="12"/>
  <c r="G496" i="12"/>
  <c r="I605" i="12" s="1"/>
  <c r="G519" i="12"/>
  <c r="G532" i="12"/>
  <c r="I636" i="12" s="1"/>
  <c r="J636" i="12" s="1"/>
  <c r="G552" i="12"/>
  <c r="I657" i="12" s="1"/>
  <c r="G556" i="12"/>
  <c r="I659" i="12" s="1"/>
  <c r="G560" i="12"/>
  <c r="G498" i="12"/>
  <c r="I607" i="12" s="1"/>
  <c r="F516" i="12"/>
  <c r="E561" i="12"/>
  <c r="G501" i="12"/>
  <c r="G502" i="12"/>
  <c r="I609" i="12" s="1"/>
  <c r="G513" i="12"/>
  <c r="G550" i="12"/>
  <c r="I655" i="12" s="1"/>
  <c r="G554" i="12"/>
  <c r="G558" i="12"/>
  <c r="I661" i="12" s="1"/>
  <c r="G493" i="12"/>
  <c r="I602" i="12" s="1"/>
  <c r="G551" i="12"/>
  <c r="I656" i="12" s="1"/>
  <c r="G555" i="12"/>
  <c r="G559" i="12"/>
  <c r="G567" i="12"/>
  <c r="I668" i="12" s="1"/>
  <c r="G574" i="12"/>
  <c r="I674" i="12" s="1"/>
  <c r="G578" i="12"/>
  <c r="I678" i="12" s="1"/>
  <c r="K129" i="12"/>
  <c r="E631" i="12" s="1"/>
  <c r="G564" i="12"/>
  <c r="I665" i="12" s="1"/>
  <c r="E588" i="12"/>
  <c r="K134" i="12"/>
  <c r="E638" i="12" s="1"/>
  <c r="K131" i="12"/>
  <c r="E633" i="12" s="1"/>
  <c r="K132" i="12"/>
  <c r="E634" i="12" s="1"/>
  <c r="K130" i="12"/>
  <c r="E632" i="12" s="1"/>
  <c r="K128" i="12"/>
  <c r="E630" i="12" s="1"/>
  <c r="K126" i="12"/>
  <c r="E628" i="12" s="1"/>
  <c r="K125" i="12"/>
  <c r="E627" i="12" s="1"/>
  <c r="K122" i="12"/>
  <c r="E624" i="12" s="1"/>
  <c r="K133" i="12"/>
  <c r="E635" i="12" s="1"/>
  <c r="K123" i="12"/>
  <c r="E625" i="12" s="1"/>
  <c r="K127" i="12"/>
  <c r="E629" i="12" s="1"/>
  <c r="F135" i="12"/>
  <c r="E135" i="12"/>
  <c r="G537" i="12"/>
  <c r="I643" i="12" s="1"/>
  <c r="G591" i="12"/>
  <c r="I693" i="12" s="1"/>
  <c r="F570" i="12"/>
  <c r="F588" i="12"/>
  <c r="G506" i="12"/>
  <c r="G504" i="12"/>
  <c r="I611" i="12" s="1"/>
  <c r="F561" i="12"/>
  <c r="F507" i="12"/>
  <c r="E534" i="12"/>
  <c r="E516" i="12"/>
  <c r="E507" i="12"/>
  <c r="F534" i="12"/>
  <c r="E590" i="12" l="1"/>
  <c r="E592" i="12" s="1"/>
  <c r="G516" i="12"/>
  <c r="I621" i="12" s="1"/>
  <c r="I618" i="12"/>
  <c r="G588" i="12"/>
  <c r="I689" i="12" s="1"/>
  <c r="I630" i="12"/>
  <c r="G534" i="12"/>
  <c r="I639" i="12" s="1"/>
  <c r="F590" i="12"/>
  <c r="F592" i="12" s="1"/>
  <c r="G570" i="12"/>
  <c r="I671" i="12" s="1"/>
  <c r="K135" i="12"/>
  <c r="E639" i="12" s="1"/>
  <c r="G561" i="12"/>
  <c r="G507" i="12"/>
  <c r="I612" i="12" s="1"/>
  <c r="F536" i="12"/>
  <c r="F538" i="12" s="1"/>
  <c r="E536" i="12"/>
  <c r="E538" i="12" s="1"/>
  <c r="G590" i="12" l="1"/>
  <c r="I662" i="12"/>
  <c r="G536" i="12"/>
  <c r="I642" i="12" s="1"/>
  <c r="G592" i="12" l="1"/>
  <c r="I694" i="12" s="1"/>
  <c r="I692" i="12"/>
  <c r="G538" i="12"/>
  <c r="I644" i="12" s="1"/>
  <c r="H282" i="12"/>
  <c r="G282" i="12"/>
  <c r="F282" i="12"/>
  <c r="E282" i="12"/>
  <c r="H278" i="12"/>
  <c r="G278" i="12"/>
  <c r="F278" i="12"/>
  <c r="E278" i="12"/>
  <c r="H277" i="12"/>
  <c r="G277" i="12"/>
  <c r="F277" i="12"/>
  <c r="E277" i="12"/>
  <c r="H276" i="12"/>
  <c r="G276" i="12"/>
  <c r="F276" i="12"/>
  <c r="E276" i="12"/>
  <c r="H275" i="12"/>
  <c r="G275" i="12"/>
  <c r="F275" i="12"/>
  <c r="E275" i="12"/>
  <c r="H274" i="12"/>
  <c r="G274" i="12"/>
  <c r="F274" i="12"/>
  <c r="E274" i="12"/>
  <c r="H273" i="12"/>
  <c r="G273" i="12"/>
  <c r="F273" i="12"/>
  <c r="E273" i="12"/>
  <c r="H272" i="12"/>
  <c r="G272" i="12"/>
  <c r="F272" i="12"/>
  <c r="E272" i="12"/>
  <c r="H271" i="12"/>
  <c r="G271" i="12"/>
  <c r="F271" i="12"/>
  <c r="E271" i="12"/>
  <c r="H270" i="12"/>
  <c r="G270" i="12"/>
  <c r="F270" i="12"/>
  <c r="E270" i="12"/>
  <c r="H269" i="12"/>
  <c r="G269" i="12"/>
  <c r="F269" i="12"/>
  <c r="E269" i="12"/>
  <c r="H268" i="12"/>
  <c r="G268" i="12"/>
  <c r="F268" i="12"/>
  <c r="E268" i="12"/>
  <c r="H267" i="12"/>
  <c r="G267" i="12"/>
  <c r="F267" i="12"/>
  <c r="E267" i="12"/>
  <c r="H266" i="12"/>
  <c r="G266" i="12"/>
  <c r="F266" i="12"/>
  <c r="E266" i="12"/>
  <c r="I266" i="12" s="1"/>
  <c r="H262" i="12"/>
  <c r="G262" i="12"/>
  <c r="F262" i="12"/>
  <c r="E262" i="12"/>
  <c r="H261" i="12"/>
  <c r="G261" i="12"/>
  <c r="F261" i="12"/>
  <c r="E261" i="12"/>
  <c r="H260" i="12"/>
  <c r="G260" i="12"/>
  <c r="F260" i="12"/>
  <c r="E260" i="12"/>
  <c r="H259" i="12"/>
  <c r="G259" i="12"/>
  <c r="F259" i="12"/>
  <c r="E259" i="12"/>
  <c r="H258" i="12"/>
  <c r="G258" i="12"/>
  <c r="F258" i="12"/>
  <c r="E258" i="12"/>
  <c r="H257" i="12"/>
  <c r="G257" i="12"/>
  <c r="F257" i="12"/>
  <c r="E257" i="12"/>
  <c r="I257" i="12" s="1"/>
  <c r="H253" i="12"/>
  <c r="G253" i="12"/>
  <c r="F253" i="12"/>
  <c r="E253" i="12"/>
  <c r="H252" i="12"/>
  <c r="G252" i="12"/>
  <c r="F252" i="12"/>
  <c r="E252" i="12"/>
  <c r="H251" i="12"/>
  <c r="G251" i="12"/>
  <c r="F251" i="12"/>
  <c r="E251" i="12"/>
  <c r="H250" i="12"/>
  <c r="G250" i="12"/>
  <c r="F250" i="12"/>
  <c r="E250" i="12"/>
  <c r="H249" i="12"/>
  <c r="G249" i="12"/>
  <c r="F249" i="12"/>
  <c r="E249" i="12"/>
  <c r="H248" i="12"/>
  <c r="G248" i="12"/>
  <c r="F248" i="12"/>
  <c r="E248" i="12"/>
  <c r="I248" i="12" s="1"/>
  <c r="H247" i="12"/>
  <c r="G247" i="12"/>
  <c r="F247" i="12"/>
  <c r="E247" i="12"/>
  <c r="H244" i="12"/>
  <c r="G244" i="12"/>
  <c r="E244" i="12"/>
  <c r="H196" i="12"/>
  <c r="G196" i="12"/>
  <c r="F196" i="12"/>
  <c r="E196" i="12"/>
  <c r="H230" i="12"/>
  <c r="G230" i="12"/>
  <c r="F230" i="12"/>
  <c r="E230" i="12"/>
  <c r="E214" i="12"/>
  <c r="H213" i="12"/>
  <c r="G213" i="12"/>
  <c r="F213" i="12"/>
  <c r="E213" i="12"/>
  <c r="H205" i="12"/>
  <c r="H204" i="12"/>
  <c r="G205" i="12"/>
  <c r="G204" i="12"/>
  <c r="F205" i="12"/>
  <c r="F204" i="12"/>
  <c r="E205" i="12"/>
  <c r="E204" i="12"/>
  <c r="E203" i="12"/>
  <c r="H202" i="12"/>
  <c r="G202" i="12"/>
  <c r="F202" i="12"/>
  <c r="E202" i="12"/>
  <c r="H201" i="12"/>
  <c r="G201" i="12"/>
  <c r="F201" i="12"/>
  <c r="E201" i="12"/>
  <c r="H200" i="12"/>
  <c r="G200" i="12"/>
  <c r="F200" i="12"/>
  <c r="E200" i="12"/>
  <c r="H229" i="12"/>
  <c r="H228" i="12"/>
  <c r="H227" i="12"/>
  <c r="H226" i="12"/>
  <c r="H225" i="12"/>
  <c r="H224" i="12"/>
  <c r="H223" i="12"/>
  <c r="H222" i="12"/>
  <c r="H221" i="12"/>
  <c r="H220" i="12"/>
  <c r="H219" i="12"/>
  <c r="H218" i="12"/>
  <c r="H214" i="12"/>
  <c r="H212" i="12"/>
  <c r="H211" i="12"/>
  <c r="H210" i="12"/>
  <c r="H209" i="12"/>
  <c r="H203" i="12"/>
  <c r="H234" i="12"/>
  <c r="F234" i="12"/>
  <c r="G234" i="12"/>
  <c r="G229" i="12"/>
  <c r="G228" i="12"/>
  <c r="G227" i="12"/>
  <c r="G226" i="12"/>
  <c r="G225" i="12"/>
  <c r="G224" i="12"/>
  <c r="G223" i="12"/>
  <c r="G222" i="12"/>
  <c r="G221" i="12"/>
  <c r="G220" i="12"/>
  <c r="G219" i="12"/>
  <c r="G218" i="12"/>
  <c r="G214" i="12"/>
  <c r="G212" i="12"/>
  <c r="G211" i="12"/>
  <c r="G210" i="12"/>
  <c r="G209" i="12"/>
  <c r="G203" i="12"/>
  <c r="F229" i="12"/>
  <c r="F228" i="12"/>
  <c r="F227" i="12"/>
  <c r="F226" i="12"/>
  <c r="F225" i="12"/>
  <c r="F224" i="12"/>
  <c r="F223" i="12"/>
  <c r="F222" i="12"/>
  <c r="F221" i="12"/>
  <c r="F220" i="12"/>
  <c r="F219" i="12"/>
  <c r="F218" i="12"/>
  <c r="F214" i="12"/>
  <c r="F212" i="12"/>
  <c r="F211" i="12"/>
  <c r="F210" i="12"/>
  <c r="F203" i="12"/>
  <c r="E234" i="12"/>
  <c r="E229" i="12"/>
  <c r="E228" i="12"/>
  <c r="E227" i="12"/>
  <c r="E226" i="12"/>
  <c r="E225" i="12"/>
  <c r="E224" i="12"/>
  <c r="E223" i="12"/>
  <c r="E222" i="12"/>
  <c r="E221" i="12"/>
  <c r="E220" i="12"/>
  <c r="E219" i="12"/>
  <c r="E218" i="12"/>
  <c r="E212" i="12"/>
  <c r="E211" i="12"/>
  <c r="E210" i="12"/>
  <c r="E209" i="12"/>
  <c r="H199" i="12"/>
  <c r="G199" i="12"/>
  <c r="F199" i="12"/>
  <c r="E199" i="12"/>
  <c r="I252" i="12" l="1"/>
  <c r="I261" i="12"/>
  <c r="I204" i="12"/>
  <c r="F610" i="12" s="1"/>
  <c r="I250" i="12"/>
  <c r="I259" i="12"/>
  <c r="I268" i="12"/>
  <c r="I249" i="12"/>
  <c r="F657" i="12" s="1"/>
  <c r="I251" i="12"/>
  <c r="F659" i="12" s="1"/>
  <c r="I260" i="12"/>
  <c r="F668" i="12" s="1"/>
  <c r="I269" i="12"/>
  <c r="F677" i="12" s="1"/>
  <c r="I273" i="12"/>
  <c r="F681" i="12" s="1"/>
  <c r="I282" i="12"/>
  <c r="F693" i="12" s="1"/>
  <c r="I196" i="12"/>
  <c r="I258" i="12"/>
  <c r="F666" i="12" s="1"/>
  <c r="I277" i="12"/>
  <c r="F685" i="12" s="1"/>
  <c r="I247" i="12"/>
  <c r="F655" i="12" s="1"/>
  <c r="I253" i="12"/>
  <c r="F661" i="12" s="1"/>
  <c r="I262" i="12"/>
  <c r="F670" i="12" s="1"/>
  <c r="I267" i="12"/>
  <c r="F675" i="12" s="1"/>
  <c r="I271" i="12"/>
  <c r="F679" i="12" s="1"/>
  <c r="I275" i="12"/>
  <c r="F683" i="12" s="1"/>
  <c r="I270" i="12"/>
  <c r="F678" i="12" s="1"/>
  <c r="I272" i="12"/>
  <c r="F680" i="12" s="1"/>
  <c r="I274" i="12"/>
  <c r="F682" i="12" s="1"/>
  <c r="I276" i="12"/>
  <c r="F684" i="12" s="1"/>
  <c r="I278" i="12"/>
  <c r="F688" i="12" s="1"/>
  <c r="I244" i="12"/>
  <c r="I205" i="12"/>
  <c r="F611" i="12" s="1"/>
  <c r="F656" i="12"/>
  <c r="J656" i="12" s="1"/>
  <c r="F658" i="12"/>
  <c r="F660" i="12"/>
  <c r="F665" i="12"/>
  <c r="F667" i="12"/>
  <c r="F669" i="12"/>
  <c r="F674" i="12"/>
  <c r="F676" i="12"/>
  <c r="F652" i="12"/>
  <c r="I230" i="12"/>
  <c r="F638" i="12" s="1"/>
  <c r="J638" i="12" s="1"/>
  <c r="I199" i="12"/>
  <c r="F605" i="12" s="1"/>
  <c r="I218" i="12"/>
  <c r="F624" i="12" s="1"/>
  <c r="J624" i="12" s="1"/>
  <c r="I226" i="12"/>
  <c r="F632" i="12" s="1"/>
  <c r="J632" i="12" s="1"/>
  <c r="I221" i="12"/>
  <c r="F627" i="12" s="1"/>
  <c r="J627" i="12" s="1"/>
  <c r="I222" i="12"/>
  <c r="F628" i="12" s="1"/>
  <c r="J628" i="12" s="1"/>
  <c r="F602" i="12"/>
  <c r="J602" i="12" s="1"/>
  <c r="I209" i="12"/>
  <c r="F615" i="12" s="1"/>
  <c r="I234" i="12"/>
  <c r="F643" i="12" s="1"/>
  <c r="J643" i="12" s="1"/>
  <c r="I210" i="12"/>
  <c r="F616" i="12" s="1"/>
  <c r="I229" i="12"/>
  <c r="F635" i="12" s="1"/>
  <c r="J635" i="12" s="1"/>
  <c r="I213" i="12"/>
  <c r="F619" i="12" s="1"/>
  <c r="I223" i="12"/>
  <c r="F629" i="12" s="1"/>
  <c r="J629" i="12" s="1"/>
  <c r="I211" i="12"/>
  <c r="F617" i="12" s="1"/>
  <c r="I224" i="12"/>
  <c r="F630" i="12" s="1"/>
  <c r="J630" i="12" s="1"/>
  <c r="I200" i="12"/>
  <c r="F606" i="12" s="1"/>
  <c r="I202" i="12"/>
  <c r="F608" i="12" s="1"/>
  <c r="I212" i="12"/>
  <c r="F618" i="12" s="1"/>
  <c r="I225" i="12"/>
  <c r="F631" i="12" s="1"/>
  <c r="J631" i="12" s="1"/>
  <c r="I214" i="12"/>
  <c r="F620" i="12" s="1"/>
  <c r="I219" i="12"/>
  <c r="F625" i="12" s="1"/>
  <c r="J625" i="12" s="1"/>
  <c r="I227" i="12"/>
  <c r="F633" i="12" s="1"/>
  <c r="J633" i="12" s="1"/>
  <c r="I220" i="12"/>
  <c r="F626" i="12" s="1"/>
  <c r="J626" i="12" s="1"/>
  <c r="I228" i="12"/>
  <c r="F634" i="12" s="1"/>
  <c r="J634" i="12" s="1"/>
  <c r="I201" i="12"/>
  <c r="F607" i="12" s="1"/>
  <c r="I203" i="12"/>
  <c r="F609" i="12" s="1"/>
  <c r="E254" i="12"/>
  <c r="F215" i="12"/>
  <c r="E263" i="12"/>
  <c r="E279" i="12"/>
  <c r="E231" i="12"/>
  <c r="F279" i="12" l="1"/>
  <c r="G279" i="12"/>
  <c r="G263" i="12"/>
  <c r="F263" i="12"/>
  <c r="G254" i="12"/>
  <c r="F254" i="12"/>
  <c r="G231" i="12"/>
  <c r="F231" i="12"/>
  <c r="G215" i="12"/>
  <c r="G206" i="12"/>
  <c r="F206" i="12"/>
  <c r="F233" i="12" l="1"/>
  <c r="F235" i="12" s="1"/>
  <c r="E206" i="12"/>
  <c r="F281" i="12"/>
  <c r="F283" i="12" s="1"/>
  <c r="G233" i="12"/>
  <c r="G235" i="12" s="1"/>
  <c r="G281" i="12"/>
  <c r="G283" i="12" s="1"/>
  <c r="H206" i="12"/>
  <c r="E215" i="12"/>
  <c r="H231" i="12"/>
  <c r="I231" i="12" s="1"/>
  <c r="F639" i="12" s="1"/>
  <c r="J639" i="12" s="1"/>
  <c r="H215" i="12"/>
  <c r="H254" i="12"/>
  <c r="I254" i="12" s="1"/>
  <c r="H263" i="12"/>
  <c r="I263" i="12" s="1"/>
  <c r="H279" i="12"/>
  <c r="I279" i="12" s="1"/>
  <c r="E281" i="12"/>
  <c r="E283" i="12" s="1"/>
  <c r="F689" i="12" l="1"/>
  <c r="F671" i="12"/>
  <c r="F662" i="12"/>
  <c r="I206" i="12"/>
  <c r="F612" i="12" s="1"/>
  <c r="I215" i="12"/>
  <c r="F621" i="12" s="1"/>
  <c r="H281" i="12"/>
  <c r="H283" i="12" s="1"/>
  <c r="E233" i="12"/>
  <c r="E235" i="12" s="1"/>
  <c r="I281" i="12"/>
  <c r="F692" i="12" s="1"/>
  <c r="H233" i="12"/>
  <c r="H235" i="12" s="1"/>
  <c r="I233" i="12" l="1"/>
  <c r="F642" i="12" s="1"/>
  <c r="I283" i="12"/>
  <c r="F694" i="12" s="1"/>
  <c r="K118" i="12"/>
  <c r="E620" i="12" s="1"/>
  <c r="J620" i="12" s="1"/>
  <c r="K117" i="12"/>
  <c r="E619" i="12" s="1"/>
  <c r="J619" i="12" s="1"/>
  <c r="K116" i="12"/>
  <c r="E618" i="12" s="1"/>
  <c r="J618" i="12" s="1"/>
  <c r="K115" i="12"/>
  <c r="E617" i="12" s="1"/>
  <c r="J617" i="12" s="1"/>
  <c r="K114" i="12"/>
  <c r="E616" i="12" s="1"/>
  <c r="J616" i="12" s="1"/>
  <c r="K113" i="12"/>
  <c r="E615" i="12" s="1"/>
  <c r="J615" i="12" s="1"/>
  <c r="K109" i="12"/>
  <c r="E611" i="12" s="1"/>
  <c r="J611" i="12" s="1"/>
  <c r="K108" i="12"/>
  <c r="E610" i="12" s="1"/>
  <c r="J610" i="12" s="1"/>
  <c r="K107" i="12"/>
  <c r="E609" i="12" s="1"/>
  <c r="J609" i="12" s="1"/>
  <c r="K106" i="12"/>
  <c r="E608" i="12" s="1"/>
  <c r="J608" i="12" s="1"/>
  <c r="K105" i="12"/>
  <c r="E607" i="12" s="1"/>
  <c r="J607" i="12" s="1"/>
  <c r="K104" i="12"/>
  <c r="E606" i="12" s="1"/>
  <c r="J606" i="12" s="1"/>
  <c r="K103" i="12"/>
  <c r="E605" i="12" s="1"/>
  <c r="J605" i="12" s="1"/>
  <c r="H110" i="12"/>
  <c r="J110" i="12"/>
  <c r="J158" i="12"/>
  <c r="F110" i="12"/>
  <c r="E110" i="12"/>
  <c r="H183" i="12"/>
  <c r="H167" i="12"/>
  <c r="F119" i="12"/>
  <c r="H86" i="12"/>
  <c r="G86" i="12"/>
  <c r="F86" i="12"/>
  <c r="E86" i="12"/>
  <c r="H38" i="12"/>
  <c r="G38" i="12"/>
  <c r="F38" i="12"/>
  <c r="E38" i="12"/>
  <c r="H4" i="12"/>
  <c r="G4" i="12"/>
  <c r="F4" i="12"/>
  <c r="E4" i="12"/>
  <c r="H52" i="12"/>
  <c r="G52" i="12"/>
  <c r="F52" i="12"/>
  <c r="G90" i="12"/>
  <c r="F90" i="12"/>
  <c r="E90" i="12"/>
  <c r="G42" i="12"/>
  <c r="E52" i="12"/>
  <c r="H85" i="12"/>
  <c r="G85" i="12"/>
  <c r="F85" i="12"/>
  <c r="E85" i="12"/>
  <c r="H84" i="12"/>
  <c r="G84" i="12"/>
  <c r="F84" i="12"/>
  <c r="E84" i="12"/>
  <c r="H83" i="12"/>
  <c r="G83" i="12"/>
  <c r="F83" i="12"/>
  <c r="E83" i="12"/>
  <c r="H82" i="12"/>
  <c r="G82" i="12"/>
  <c r="F82" i="12"/>
  <c r="E82" i="12"/>
  <c r="H81" i="12"/>
  <c r="G81" i="12"/>
  <c r="F81" i="12"/>
  <c r="E81" i="12"/>
  <c r="H80" i="12"/>
  <c r="G80" i="12"/>
  <c r="F80" i="12"/>
  <c r="E80" i="12"/>
  <c r="H79" i="12"/>
  <c r="G79" i="12"/>
  <c r="F79" i="12"/>
  <c r="E79" i="12"/>
  <c r="H78" i="12"/>
  <c r="G78" i="12"/>
  <c r="F78" i="12"/>
  <c r="E78" i="12"/>
  <c r="H77" i="12"/>
  <c r="G77" i="12"/>
  <c r="F77" i="12"/>
  <c r="E77" i="12"/>
  <c r="H76" i="12"/>
  <c r="G76" i="12"/>
  <c r="F76" i="12"/>
  <c r="E76" i="12"/>
  <c r="H75" i="12"/>
  <c r="G75" i="12"/>
  <c r="F75" i="12"/>
  <c r="E75" i="12"/>
  <c r="H74" i="12"/>
  <c r="G74" i="12"/>
  <c r="F74" i="12"/>
  <c r="E74" i="12"/>
  <c r="H70" i="12"/>
  <c r="G70" i="12"/>
  <c r="F70" i="12"/>
  <c r="E70" i="12"/>
  <c r="H69" i="12"/>
  <c r="G69" i="12"/>
  <c r="F69" i="12"/>
  <c r="E69" i="12"/>
  <c r="H68" i="12"/>
  <c r="G68" i="12"/>
  <c r="F68" i="12"/>
  <c r="E68" i="12"/>
  <c r="H67" i="12"/>
  <c r="G67" i="12"/>
  <c r="F67" i="12"/>
  <c r="E67" i="12"/>
  <c r="H66" i="12"/>
  <c r="G66" i="12"/>
  <c r="F66" i="12"/>
  <c r="E66" i="12"/>
  <c r="H65" i="12"/>
  <c r="G65" i="12"/>
  <c r="F65" i="12"/>
  <c r="E65" i="12"/>
  <c r="H61" i="12"/>
  <c r="G61" i="12"/>
  <c r="F61" i="12"/>
  <c r="E61" i="12"/>
  <c r="H60" i="12"/>
  <c r="G60" i="12"/>
  <c r="F60" i="12"/>
  <c r="E60" i="12"/>
  <c r="H59" i="12"/>
  <c r="G59" i="12"/>
  <c r="F59" i="12"/>
  <c r="E59" i="12"/>
  <c r="H58" i="12"/>
  <c r="G58" i="12"/>
  <c r="F58" i="12"/>
  <c r="E58" i="12"/>
  <c r="H57" i="12"/>
  <c r="G57" i="12"/>
  <c r="F57" i="12"/>
  <c r="E57" i="12"/>
  <c r="H56" i="12"/>
  <c r="G56" i="12"/>
  <c r="F56" i="12"/>
  <c r="E56" i="12"/>
  <c r="H55" i="12"/>
  <c r="G55" i="12"/>
  <c r="F55" i="12"/>
  <c r="E55" i="12"/>
  <c r="H22" i="12"/>
  <c r="G22" i="12"/>
  <c r="F22" i="12"/>
  <c r="E22" i="12"/>
  <c r="H21" i="12"/>
  <c r="G21" i="12"/>
  <c r="F21" i="12"/>
  <c r="E21" i="12"/>
  <c r="H18" i="12"/>
  <c r="H17" i="12"/>
  <c r="F20" i="12"/>
  <c r="F19" i="12"/>
  <c r="F18" i="12"/>
  <c r="F17" i="12"/>
  <c r="H10" i="12"/>
  <c r="G10" i="12"/>
  <c r="F10" i="12"/>
  <c r="E10" i="12"/>
  <c r="H12" i="12"/>
  <c r="G12" i="12"/>
  <c r="F12" i="12"/>
  <c r="E12" i="12"/>
  <c r="H13" i="12"/>
  <c r="G13" i="12"/>
  <c r="F13" i="12"/>
  <c r="E13" i="12"/>
  <c r="H8" i="12"/>
  <c r="G8" i="12"/>
  <c r="F8" i="12"/>
  <c r="E8" i="12"/>
  <c r="I235" i="12" l="1"/>
  <c r="F644" i="12" s="1"/>
  <c r="I56" i="12"/>
  <c r="I58" i="12"/>
  <c r="J658" i="12" s="1"/>
  <c r="I60" i="12"/>
  <c r="J660" i="12" s="1"/>
  <c r="G87" i="12"/>
  <c r="E87" i="12"/>
  <c r="K167" i="12"/>
  <c r="E671" i="12" s="1"/>
  <c r="J671" i="12" s="1"/>
  <c r="I65" i="12"/>
  <c r="J665" i="12" s="1"/>
  <c r="I67" i="12"/>
  <c r="J667" i="12" s="1"/>
  <c r="I69" i="12"/>
  <c r="J669" i="12" s="1"/>
  <c r="F87" i="12"/>
  <c r="H87" i="12"/>
  <c r="I57" i="12"/>
  <c r="J657" i="12" s="1"/>
  <c r="I68" i="12"/>
  <c r="J668" i="12" s="1"/>
  <c r="I81" i="12"/>
  <c r="J681" i="12" s="1"/>
  <c r="I55" i="12"/>
  <c r="J655" i="12" s="1"/>
  <c r="I59" i="12"/>
  <c r="J659" i="12" s="1"/>
  <c r="I66" i="12"/>
  <c r="J666" i="12" s="1"/>
  <c r="I70" i="12"/>
  <c r="J670" i="12" s="1"/>
  <c r="I75" i="12"/>
  <c r="J675" i="12" s="1"/>
  <c r="I79" i="12"/>
  <c r="J679" i="12" s="1"/>
  <c r="I83" i="12"/>
  <c r="J683" i="12" s="1"/>
  <c r="I61" i="12"/>
  <c r="J661" i="12" s="1"/>
  <c r="K183" i="12"/>
  <c r="E689" i="12" s="1"/>
  <c r="J689" i="12" s="1"/>
  <c r="K110" i="12"/>
  <c r="E612" i="12" s="1"/>
  <c r="J612" i="12" s="1"/>
  <c r="K119" i="12"/>
  <c r="E621" i="12" s="1"/>
  <c r="J621" i="12" s="1"/>
  <c r="K158" i="12"/>
  <c r="E662" i="12" s="1"/>
  <c r="J662" i="12" s="1"/>
  <c r="J183" i="12"/>
  <c r="J167" i="12"/>
  <c r="G119" i="12"/>
  <c r="I76" i="12"/>
  <c r="J676" i="12" s="1"/>
  <c r="I78" i="12"/>
  <c r="J678" i="12" s="1"/>
  <c r="I80" i="12"/>
  <c r="J680" i="12" s="1"/>
  <c r="I82" i="12"/>
  <c r="J682" i="12" s="1"/>
  <c r="I84" i="12"/>
  <c r="J684" i="12" s="1"/>
  <c r="I110" i="12"/>
  <c r="H119" i="12"/>
  <c r="F137" i="12"/>
  <c r="F139" i="12" s="1"/>
  <c r="F167" i="12"/>
  <c r="I183" i="12"/>
  <c r="E167" i="12"/>
  <c r="I119" i="12"/>
  <c r="I90" i="12"/>
  <c r="J693" i="12" s="1"/>
  <c r="G110" i="12"/>
  <c r="F158" i="12"/>
  <c r="I158" i="12"/>
  <c r="E183" i="12"/>
  <c r="G158" i="12"/>
  <c r="F183" i="12"/>
  <c r="I77" i="12"/>
  <c r="J677" i="12" s="1"/>
  <c r="I85" i="12"/>
  <c r="J685" i="12" s="1"/>
  <c r="H158" i="12"/>
  <c r="H185" i="12" s="1"/>
  <c r="H187" i="12" s="1"/>
  <c r="G183" i="12"/>
  <c r="G167" i="12"/>
  <c r="E119" i="12"/>
  <c r="E158" i="12"/>
  <c r="I167" i="12"/>
  <c r="I86" i="12"/>
  <c r="J688" i="12" s="1"/>
  <c r="I52" i="12"/>
  <c r="J652" i="12" s="1"/>
  <c r="I74" i="12"/>
  <c r="J674" i="12" s="1"/>
  <c r="F71" i="12"/>
  <c r="G71" i="12"/>
  <c r="H71" i="12"/>
  <c r="E71" i="12"/>
  <c r="G62" i="12"/>
  <c r="E62" i="12"/>
  <c r="H62" i="12"/>
  <c r="F62" i="12"/>
  <c r="K137" i="12" l="1"/>
  <c r="K185" i="12"/>
  <c r="H89" i="12"/>
  <c r="H91" i="12" s="1"/>
  <c r="H137" i="12"/>
  <c r="H139" i="12" s="1"/>
  <c r="F89" i="12"/>
  <c r="F91" i="12" s="1"/>
  <c r="E185" i="12"/>
  <c r="E187" i="12" s="1"/>
  <c r="F185" i="12"/>
  <c r="F187" i="12" s="1"/>
  <c r="G185" i="12"/>
  <c r="G187" i="12" s="1"/>
  <c r="G137" i="12"/>
  <c r="G139" i="12" s="1"/>
  <c r="J137" i="12"/>
  <c r="J139" i="12" s="1"/>
  <c r="I87" i="12"/>
  <c r="E89" i="12"/>
  <c r="E91" i="12" s="1"/>
  <c r="E137" i="12"/>
  <c r="E139" i="12" s="1"/>
  <c r="I185" i="12"/>
  <c r="I187" i="12" s="1"/>
  <c r="I137" i="12"/>
  <c r="I139" i="12" s="1"/>
  <c r="G89" i="12"/>
  <c r="G91" i="12" s="1"/>
  <c r="I71" i="12"/>
  <c r="I62" i="12"/>
  <c r="K187" i="12" l="1"/>
  <c r="E694" i="12" s="1"/>
  <c r="E692" i="12"/>
  <c r="J692" i="12" s="1"/>
  <c r="K139" i="12"/>
  <c r="E644" i="12" s="1"/>
  <c r="E642" i="12"/>
  <c r="J642" i="12" s="1"/>
  <c r="J185" i="12"/>
  <c r="J187" i="12" s="1"/>
  <c r="I89" i="12"/>
  <c r="I4" i="12"/>
  <c r="I12" i="12"/>
  <c r="I10" i="12"/>
  <c r="G37" i="12"/>
  <c r="G36" i="12"/>
  <c r="G35" i="12"/>
  <c r="G34" i="12"/>
  <c r="G33" i="12"/>
  <c r="G32" i="12"/>
  <c r="G31" i="12"/>
  <c r="G30" i="12"/>
  <c r="G29" i="12"/>
  <c r="G28" i="12"/>
  <c r="G27" i="12"/>
  <c r="G26" i="12"/>
  <c r="I22" i="12"/>
  <c r="I21" i="12"/>
  <c r="G20" i="12"/>
  <c r="G19" i="12"/>
  <c r="G18" i="12"/>
  <c r="G17" i="12"/>
  <c r="I13" i="12"/>
  <c r="G9" i="12"/>
  <c r="G7" i="12"/>
  <c r="G11" i="12"/>
  <c r="I8" i="12"/>
  <c r="I38" i="12"/>
  <c r="H37" i="12"/>
  <c r="H36" i="12"/>
  <c r="H35" i="12"/>
  <c r="H34" i="12"/>
  <c r="H33" i="12"/>
  <c r="H32" i="12"/>
  <c r="H31" i="12"/>
  <c r="H30" i="12"/>
  <c r="H29" i="12"/>
  <c r="H28" i="12"/>
  <c r="H27" i="12"/>
  <c r="H26" i="12"/>
  <c r="H20" i="12"/>
  <c r="H19" i="12"/>
  <c r="H11" i="12"/>
  <c r="H9" i="12"/>
  <c r="H7" i="12"/>
  <c r="I91" i="12" l="1"/>
  <c r="J694" i="12"/>
  <c r="H39" i="12"/>
  <c r="G39" i="12"/>
  <c r="H23" i="12"/>
  <c r="G23" i="12"/>
  <c r="H14" i="12"/>
  <c r="G14" i="12"/>
  <c r="E37" i="12"/>
  <c r="E36" i="12"/>
  <c r="E35" i="12"/>
  <c r="E34" i="12"/>
  <c r="E33" i="12"/>
  <c r="E32" i="12"/>
  <c r="E31" i="12"/>
  <c r="E30" i="12"/>
  <c r="E29" i="12"/>
  <c r="E28" i="12"/>
  <c r="E27" i="12"/>
  <c r="E26" i="12"/>
  <c r="E20" i="12"/>
  <c r="I20" i="12" s="1"/>
  <c r="E19" i="12"/>
  <c r="I19" i="12" s="1"/>
  <c r="E18" i="12"/>
  <c r="I18" i="12" s="1"/>
  <c r="E17" i="12"/>
  <c r="I17" i="12" s="1"/>
  <c r="E9" i="12"/>
  <c r="E7" i="12"/>
  <c r="E11" i="12"/>
  <c r="F37" i="12"/>
  <c r="F36" i="12"/>
  <c r="F35" i="12"/>
  <c r="F34" i="12"/>
  <c r="F33" i="12"/>
  <c r="F32" i="12"/>
  <c r="F31" i="12"/>
  <c r="F29" i="12"/>
  <c r="F28" i="12"/>
  <c r="F27" i="12"/>
  <c r="F26" i="12"/>
  <c r="F30" i="12"/>
  <c r="F11" i="12"/>
  <c r="F9" i="12"/>
  <c r="F7" i="12"/>
  <c r="F23" i="12"/>
  <c r="I34" i="12" l="1"/>
  <c r="I31" i="12"/>
  <c r="F39" i="12"/>
  <c r="I32" i="12"/>
  <c r="I28" i="12"/>
  <c r="E39" i="12"/>
  <c r="I26" i="12"/>
  <c r="I27" i="12"/>
  <c r="I35" i="12"/>
  <c r="I7" i="12"/>
  <c r="I36" i="12"/>
  <c r="F14" i="12"/>
  <c r="I9" i="12"/>
  <c r="I29" i="12"/>
  <c r="I37" i="12"/>
  <c r="I23" i="12"/>
  <c r="E14" i="12"/>
  <c r="I11" i="12"/>
  <c r="I30" i="12"/>
  <c r="I33" i="12"/>
  <c r="I42" i="12"/>
  <c r="G41" i="12"/>
  <c r="G43" i="12" s="1"/>
  <c r="H41" i="12"/>
  <c r="H43" i="12" s="1"/>
  <c r="E23" i="12"/>
  <c r="I14" i="12" l="1"/>
  <c r="I39" i="12"/>
  <c r="E41" i="12"/>
  <c r="E43" i="12" s="1"/>
  <c r="F41" i="12"/>
  <c r="F43" i="12" s="1"/>
  <c r="I41" i="12" l="1"/>
  <c r="J644" i="12" s="1"/>
  <c r="I43" i="12" l="1"/>
  <c r="F57" i="9"/>
  <c r="F54" i="9"/>
  <c r="F53" i="9"/>
  <c r="F52" i="9"/>
  <c r="F51" i="9"/>
  <c r="F50" i="9"/>
  <c r="F49" i="9"/>
  <c r="F46" i="9"/>
  <c r="F45" i="9"/>
  <c r="F44" i="9"/>
  <c r="F42" i="9"/>
  <c r="F41" i="9"/>
  <c r="F40" i="9"/>
  <c r="F38" i="9"/>
  <c r="F37" i="9"/>
  <c r="F36" i="9"/>
  <c r="F35" i="9"/>
  <c r="F34" i="9"/>
  <c r="F28" i="9"/>
  <c r="F26" i="9"/>
  <c r="F25" i="9"/>
  <c r="F22" i="9"/>
  <c r="F21" i="9"/>
  <c r="F20" i="9"/>
  <c r="F19" i="9"/>
  <c r="F18" i="9"/>
  <c r="F17" i="9"/>
  <c r="F16" i="9"/>
  <c r="F15" i="9"/>
  <c r="F14" i="9"/>
  <c r="F13" i="9"/>
  <c r="F10" i="9"/>
  <c r="F9" i="9"/>
  <c r="F8" i="9"/>
  <c r="F7" i="9"/>
  <c r="F6" i="9"/>
  <c r="F5" i="9"/>
  <c r="E57" i="9"/>
  <c r="E40" i="9"/>
  <c r="E22" i="9"/>
  <c r="F29" i="9" l="1"/>
  <c r="F47" i="9"/>
  <c r="F55" i="9"/>
  <c r="F11" i="9"/>
  <c r="F39" i="9"/>
  <c r="G57" i="9"/>
  <c r="G45" i="9"/>
  <c r="G44" i="9"/>
  <c r="G22" i="9"/>
  <c r="G21" i="9"/>
  <c r="L19" i="9"/>
  <c r="K19" i="9"/>
  <c r="G3" i="9"/>
  <c r="E3" i="9"/>
  <c r="F3" i="9"/>
  <c r="H57" i="9"/>
  <c r="H54" i="9"/>
  <c r="H53" i="9"/>
  <c r="H52" i="9"/>
  <c r="H51" i="9"/>
  <c r="H50" i="9"/>
  <c r="H49" i="9"/>
  <c r="H46" i="9"/>
  <c r="H45" i="9"/>
  <c r="H44" i="9"/>
  <c r="H43" i="9"/>
  <c r="H42" i="9"/>
  <c r="H41" i="9"/>
  <c r="H40" i="9"/>
  <c r="H38" i="9"/>
  <c r="H37" i="9"/>
  <c r="H36" i="9"/>
  <c r="H35" i="9"/>
  <c r="H34" i="9"/>
  <c r="H28" i="9"/>
  <c r="H26" i="9"/>
  <c r="H25" i="9"/>
  <c r="H24" i="9"/>
  <c r="H23" i="9"/>
  <c r="H22" i="9"/>
  <c r="H21" i="9"/>
  <c r="H20" i="9"/>
  <c r="H19" i="9"/>
  <c r="H18" i="9"/>
  <c r="H17" i="9"/>
  <c r="H16" i="9"/>
  <c r="H15" i="9"/>
  <c r="H14" i="9"/>
  <c r="H13" i="9"/>
  <c r="H10" i="9"/>
  <c r="H9" i="9"/>
  <c r="H8" i="9"/>
  <c r="H7" i="9"/>
  <c r="H6" i="9"/>
  <c r="H5" i="9"/>
  <c r="H4" i="9"/>
  <c r="H3" i="9"/>
  <c r="D57" i="9"/>
  <c r="D54" i="9"/>
  <c r="D53" i="9"/>
  <c r="D52" i="9"/>
  <c r="D51" i="9"/>
  <c r="D50" i="9"/>
  <c r="D49" i="9"/>
  <c r="D46" i="9"/>
  <c r="D45" i="9"/>
  <c r="D44" i="9"/>
  <c r="D43" i="9"/>
  <c r="D42" i="9"/>
  <c r="D41" i="9"/>
  <c r="D40" i="9"/>
  <c r="D38" i="9"/>
  <c r="D37" i="9"/>
  <c r="D34" i="9"/>
  <c r="D28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0" i="9"/>
  <c r="D9" i="9"/>
  <c r="D8" i="9"/>
  <c r="D7" i="9"/>
  <c r="D6" i="9"/>
  <c r="D5" i="9"/>
  <c r="D4" i="9"/>
  <c r="D3" i="9"/>
  <c r="I53" i="9" l="1"/>
  <c r="I19" i="9"/>
  <c r="H47" i="9"/>
  <c r="I45" i="9"/>
  <c r="I5" i="9"/>
  <c r="I37" i="9"/>
  <c r="D29" i="9"/>
  <c r="H29" i="9"/>
  <c r="F30" i="9"/>
  <c r="F56" i="9"/>
  <c r="D11" i="9"/>
  <c r="D55" i="9"/>
  <c r="H11" i="9"/>
  <c r="D47" i="9"/>
  <c r="H55" i="9"/>
  <c r="I45" i="12"/>
  <c r="D39" i="9"/>
  <c r="H39" i="9"/>
  <c r="I23" i="9"/>
  <c r="I41" i="9"/>
  <c r="I49" i="9"/>
  <c r="I8" i="9"/>
  <c r="I16" i="9"/>
  <c r="I34" i="9"/>
  <c r="I7" i="9"/>
  <c r="I15" i="9"/>
  <c r="I57" i="9"/>
  <c r="I9" i="9"/>
  <c r="I17" i="9"/>
  <c r="I4" i="9"/>
  <c r="I20" i="9"/>
  <c r="I28" i="9"/>
  <c r="I38" i="9"/>
  <c r="I46" i="9"/>
  <c r="I54" i="9"/>
  <c r="I21" i="9"/>
  <c r="I13" i="9"/>
  <c r="I6" i="9"/>
  <c r="I14" i="9"/>
  <c r="I22" i="9"/>
  <c r="I40" i="9"/>
  <c r="I24" i="9"/>
  <c r="I42" i="9"/>
  <c r="I50" i="9"/>
  <c r="I25" i="9"/>
  <c r="I43" i="9"/>
  <c r="I35" i="9"/>
  <c r="I51" i="9"/>
  <c r="I10" i="9"/>
  <c r="I18" i="9"/>
  <c r="I26" i="9"/>
  <c r="I36" i="9"/>
  <c r="I44" i="9"/>
  <c r="I52" i="9"/>
  <c r="BI48" i="8"/>
  <c r="BI49" i="8"/>
  <c r="BI51" i="8"/>
  <c r="BI50" i="8"/>
  <c r="BI46" i="8"/>
  <c r="BI45" i="8"/>
  <c r="BI44" i="8"/>
  <c r="BI43" i="8"/>
  <c r="BI42" i="8"/>
  <c r="BI40" i="8"/>
  <c r="BI39" i="8"/>
  <c r="BI38" i="8"/>
  <c r="BI37" i="8"/>
  <c r="BI36" i="8"/>
  <c r="BI33" i="8"/>
  <c r="AO53" i="8"/>
  <c r="AO51" i="8"/>
  <c r="AO50" i="8"/>
  <c r="AO48" i="8"/>
  <c r="AO47" i="8"/>
  <c r="AO46" i="8"/>
  <c r="AO45" i="8"/>
  <c r="AO44" i="8"/>
  <c r="AO43" i="8"/>
  <c r="AO42" i="8"/>
  <c r="AO40" i="8"/>
  <c r="AO39" i="8"/>
  <c r="AO38" i="8"/>
  <c r="AO37" i="8"/>
  <c r="AO36" i="8"/>
  <c r="AO34" i="8"/>
  <c r="AO33" i="8"/>
  <c r="AO32" i="8"/>
  <c r="AO26" i="8"/>
  <c r="AO25" i="8"/>
  <c r="AO24" i="8"/>
  <c r="AO23" i="8"/>
  <c r="AO21" i="8"/>
  <c r="AO20" i="8"/>
  <c r="AO19" i="8"/>
  <c r="AO18" i="8"/>
  <c r="AO17" i="8"/>
  <c r="AO16" i="8"/>
  <c r="AO15" i="8"/>
  <c r="AO11" i="8"/>
  <c r="AO10" i="8"/>
  <c r="AO9" i="8"/>
  <c r="AO7" i="8"/>
  <c r="AO6" i="8"/>
  <c r="AO5" i="8"/>
  <c r="H32" i="8"/>
  <c r="R32" i="8"/>
  <c r="V32" i="8"/>
  <c r="X12" i="8"/>
  <c r="X21" i="8"/>
  <c r="AS5" i="8"/>
  <c r="AI37" i="8"/>
  <c r="CE17" i="8"/>
  <c r="CA16" i="8"/>
  <c r="BK16" i="8"/>
  <c r="AM60" i="1"/>
  <c r="AM59" i="1"/>
  <c r="AM55" i="1"/>
  <c r="AM54" i="1"/>
  <c r="AM53" i="1"/>
  <c r="AM52" i="1"/>
  <c r="AM51" i="1"/>
  <c r="AM46" i="1"/>
  <c r="AM47" i="1"/>
  <c r="AM45" i="1"/>
  <c r="AM42" i="1"/>
  <c r="AM41" i="1"/>
  <c r="W60" i="1"/>
  <c r="W59" i="1"/>
  <c r="W55" i="1"/>
  <c r="W54" i="1"/>
  <c r="W53" i="1"/>
  <c r="W52" i="1"/>
  <c r="W51" i="1"/>
  <c r="W47" i="1"/>
  <c r="W46" i="1"/>
  <c r="W45" i="1"/>
  <c r="W42" i="1"/>
  <c r="W41" i="1"/>
  <c r="AM23" i="1"/>
  <c r="AM22" i="1"/>
  <c r="AM18" i="1"/>
  <c r="AM17" i="1"/>
  <c r="AM16" i="1"/>
  <c r="AM15" i="1"/>
  <c r="AM14" i="1"/>
  <c r="AM10" i="1"/>
  <c r="AM9" i="1"/>
  <c r="AM8" i="1"/>
  <c r="AM5" i="1"/>
  <c r="E10" i="6" s="1"/>
  <c r="AM4" i="1"/>
  <c r="W23" i="1"/>
  <c r="W22" i="1"/>
  <c r="W18" i="1"/>
  <c r="I18" i="18" s="1"/>
  <c r="J18" i="18" s="1"/>
  <c r="W17" i="1"/>
  <c r="W16" i="1"/>
  <c r="W15" i="1"/>
  <c r="I15" i="18" s="1"/>
  <c r="J15" i="18" s="1"/>
  <c r="W14" i="1"/>
  <c r="W10" i="1"/>
  <c r="W9" i="1"/>
  <c r="W8" i="1"/>
  <c r="W5" i="1"/>
  <c r="E9" i="6" s="1"/>
  <c r="W4" i="1"/>
  <c r="H30" i="9" l="1"/>
  <c r="D30" i="9"/>
  <c r="AM56" i="1"/>
  <c r="W56" i="1"/>
  <c r="AM19" i="1"/>
  <c r="W19" i="1"/>
  <c r="I14" i="18"/>
  <c r="J14" i="18" s="1"/>
  <c r="H56" i="9"/>
  <c r="D56" i="9"/>
  <c r="I11" i="9"/>
  <c r="I55" i="9"/>
  <c r="I39" i="9"/>
  <c r="I29" i="9"/>
  <c r="I47" i="9"/>
  <c r="BV50" i="8"/>
  <c r="BW50" i="8" s="1"/>
  <c r="BW44" i="8"/>
  <c r="BP5" i="8"/>
  <c r="G4" i="1" s="1"/>
  <c r="I30" i="18" s="1"/>
  <c r="BW16" i="8"/>
  <c r="CF15" i="8"/>
  <c r="CC43" i="8"/>
  <c r="CE43" i="8"/>
  <c r="CE33" i="8"/>
  <c r="BY44" i="8"/>
  <c r="CE7" i="8"/>
  <c r="CC7" i="8"/>
  <c r="CE16" i="8"/>
  <c r="CE51" i="8"/>
  <c r="BY16" i="8"/>
  <c r="CE9" i="8"/>
  <c r="CE18" i="8"/>
  <c r="CE34" i="8"/>
  <c r="CE44" i="8"/>
  <c r="CE10" i="8"/>
  <c r="CE19" i="8"/>
  <c r="CE36" i="8"/>
  <c r="CE45" i="8"/>
  <c r="CC16" i="8"/>
  <c r="CC17" i="8"/>
  <c r="CE11" i="8"/>
  <c r="CE21" i="8"/>
  <c r="CE37" i="8"/>
  <c r="CE46" i="8"/>
  <c r="CC33" i="8"/>
  <c r="CE12" i="8"/>
  <c r="CE22" i="8"/>
  <c r="CE38" i="8"/>
  <c r="CE48" i="8"/>
  <c r="CE13" i="8"/>
  <c r="CE23" i="8"/>
  <c r="CE39" i="8"/>
  <c r="CE49" i="8"/>
  <c r="CC51" i="8"/>
  <c r="CE5" i="8"/>
  <c r="CE15" i="8"/>
  <c r="CE24" i="8"/>
  <c r="CE40" i="8"/>
  <c r="CE50" i="8"/>
  <c r="CA43" i="8"/>
  <c r="CE6" i="8"/>
  <c r="CE32" i="8"/>
  <c r="CE42" i="8"/>
  <c r="BO16" i="8"/>
  <c r="CC9" i="8"/>
  <c r="CC18" i="8"/>
  <c r="CC34" i="8"/>
  <c r="CC44" i="8"/>
  <c r="CA7" i="8"/>
  <c r="CC10" i="8"/>
  <c r="CC19" i="8"/>
  <c r="CC36" i="8"/>
  <c r="CC45" i="8"/>
  <c r="CA17" i="8"/>
  <c r="CC11" i="8"/>
  <c r="CC21" i="8"/>
  <c r="CC37" i="8"/>
  <c r="CC46" i="8"/>
  <c r="CA33" i="8"/>
  <c r="CC12" i="8"/>
  <c r="CC22" i="8"/>
  <c r="CC38" i="8"/>
  <c r="CC48" i="8"/>
  <c r="CC13" i="8"/>
  <c r="CC23" i="8"/>
  <c r="CC39" i="8"/>
  <c r="CC49" i="8"/>
  <c r="CC5" i="8"/>
  <c r="CC15" i="8"/>
  <c r="CC24" i="8"/>
  <c r="CC40" i="8"/>
  <c r="CC50" i="8"/>
  <c r="CA51" i="8"/>
  <c r="CC6" i="8"/>
  <c r="CC32" i="8"/>
  <c r="CC42" i="8"/>
  <c r="BW7" i="8"/>
  <c r="CA9" i="8"/>
  <c r="CA18" i="8"/>
  <c r="CA34" i="8"/>
  <c r="CA44" i="8"/>
  <c r="BY33" i="8"/>
  <c r="CA10" i="8"/>
  <c r="CA19" i="8"/>
  <c r="CA36" i="8"/>
  <c r="CA45" i="8"/>
  <c r="BY34" i="8"/>
  <c r="CA11" i="8"/>
  <c r="CA21" i="8"/>
  <c r="CA37" i="8"/>
  <c r="CA46" i="8"/>
  <c r="BY43" i="8"/>
  <c r="CA12" i="8"/>
  <c r="CA22" i="8"/>
  <c r="CA38" i="8"/>
  <c r="CA48" i="8"/>
  <c r="CA13" i="8"/>
  <c r="CA23" i="8"/>
  <c r="CA39" i="8"/>
  <c r="CA49" i="8"/>
  <c r="CA5" i="8"/>
  <c r="CA15" i="8"/>
  <c r="CA24" i="8"/>
  <c r="CA40" i="8"/>
  <c r="CA50" i="8"/>
  <c r="BY51" i="8"/>
  <c r="CA6" i="8"/>
  <c r="CA32" i="8"/>
  <c r="CA42" i="8"/>
  <c r="BY17" i="8"/>
  <c r="BW17" i="8"/>
  <c r="BY10" i="8"/>
  <c r="BY19" i="8"/>
  <c r="BY36" i="8"/>
  <c r="BY45" i="8"/>
  <c r="BW43" i="8"/>
  <c r="BW33" i="8"/>
  <c r="BW18" i="8"/>
  <c r="BY11" i="8"/>
  <c r="BY21" i="8"/>
  <c r="BY37" i="8"/>
  <c r="BY46" i="8"/>
  <c r="BW51" i="8"/>
  <c r="BW9" i="8"/>
  <c r="BW34" i="8"/>
  <c r="BY12" i="8"/>
  <c r="BY22" i="8"/>
  <c r="BY38" i="8"/>
  <c r="BY48" i="8"/>
  <c r="BY18" i="8"/>
  <c r="BY13" i="8"/>
  <c r="BY23" i="8"/>
  <c r="BY39" i="8"/>
  <c r="BY49" i="8"/>
  <c r="BY7" i="8"/>
  <c r="BY9" i="8"/>
  <c r="BY5" i="8"/>
  <c r="BY15" i="8"/>
  <c r="BY24" i="8"/>
  <c r="BY40" i="8"/>
  <c r="BY50" i="8"/>
  <c r="BY6" i="8"/>
  <c r="BY32" i="8"/>
  <c r="BY42" i="8"/>
  <c r="BO51" i="8"/>
  <c r="BW10" i="8"/>
  <c r="BW19" i="8"/>
  <c r="BW36" i="8"/>
  <c r="BW45" i="8"/>
  <c r="BQ51" i="8"/>
  <c r="BW11" i="8"/>
  <c r="BW21" i="8"/>
  <c r="BW37" i="8"/>
  <c r="BW46" i="8"/>
  <c r="BW12" i="8"/>
  <c r="BW22" i="8"/>
  <c r="BW38" i="8"/>
  <c r="BW48" i="8"/>
  <c r="BW13" i="8"/>
  <c r="BW23" i="8"/>
  <c r="BW39" i="8"/>
  <c r="BW49" i="8"/>
  <c r="BW5" i="8"/>
  <c r="BW24" i="8"/>
  <c r="BW40" i="8"/>
  <c r="BW6" i="8"/>
  <c r="BW32" i="8"/>
  <c r="BW42" i="8"/>
  <c r="BO9" i="8"/>
  <c r="BO18" i="8"/>
  <c r="BQ34" i="8"/>
  <c r="BQ44" i="8"/>
  <c r="BM16" i="8"/>
  <c r="BM17" i="8"/>
  <c r="BM51" i="8"/>
  <c r="BO33" i="8"/>
  <c r="BO43" i="8"/>
  <c r="BO7" i="8"/>
  <c r="BO17" i="8"/>
  <c r="BQ33" i="8"/>
  <c r="BQ43" i="8"/>
  <c r="BO10" i="8"/>
  <c r="BO19" i="8"/>
  <c r="BQ36" i="8"/>
  <c r="BQ45" i="8"/>
  <c r="BI16" i="8"/>
  <c r="BO11" i="8"/>
  <c r="BO21" i="8"/>
  <c r="BQ37" i="8"/>
  <c r="BQ46" i="8"/>
  <c r="BO12" i="8"/>
  <c r="BO22" i="8"/>
  <c r="BQ38" i="8"/>
  <c r="BQ48" i="8"/>
  <c r="BM7" i="8"/>
  <c r="BO13" i="8"/>
  <c r="BO23" i="8"/>
  <c r="BQ39" i="8"/>
  <c r="BQ49" i="8"/>
  <c r="BO5" i="8"/>
  <c r="BO15" i="8"/>
  <c r="BO24" i="8"/>
  <c r="BQ40" i="8"/>
  <c r="BQ50" i="8"/>
  <c r="BO6" i="8"/>
  <c r="BQ32" i="8"/>
  <c r="BQ42" i="8"/>
  <c r="BK17" i="8"/>
  <c r="BM33" i="8"/>
  <c r="BM43" i="8"/>
  <c r="BM9" i="8"/>
  <c r="BM18" i="8"/>
  <c r="BO34" i="8"/>
  <c r="BO44" i="8"/>
  <c r="BM10" i="8"/>
  <c r="BM19" i="8"/>
  <c r="BO36" i="8"/>
  <c r="BO45" i="8"/>
  <c r="BM11" i="8"/>
  <c r="BM21" i="8"/>
  <c r="BO37" i="8"/>
  <c r="BO46" i="8"/>
  <c r="BM12" i="8"/>
  <c r="BM22" i="8"/>
  <c r="BO38" i="8"/>
  <c r="BO48" i="8"/>
  <c r="BK7" i="8"/>
  <c r="BM13" i="8"/>
  <c r="BM23" i="8"/>
  <c r="BO39" i="8"/>
  <c r="BO49" i="8"/>
  <c r="BM5" i="8"/>
  <c r="BM15" i="8"/>
  <c r="BM24" i="8"/>
  <c r="BO40" i="8"/>
  <c r="BO50" i="8"/>
  <c r="BK51" i="8"/>
  <c r="BM6" i="8"/>
  <c r="BO32" i="8"/>
  <c r="BO42" i="8"/>
  <c r="BK9" i="8"/>
  <c r="BK18" i="8"/>
  <c r="BM34" i="8"/>
  <c r="BM44" i="8"/>
  <c r="BK10" i="8"/>
  <c r="BK19" i="8"/>
  <c r="BM36" i="8"/>
  <c r="BM45" i="8"/>
  <c r="BK11" i="8"/>
  <c r="BK21" i="8"/>
  <c r="BM37" i="8"/>
  <c r="BM46" i="8"/>
  <c r="BI7" i="8"/>
  <c r="BK12" i="8"/>
  <c r="BK22" i="8"/>
  <c r="BM38" i="8"/>
  <c r="BM48" i="8"/>
  <c r="BI17" i="8"/>
  <c r="BK13" i="8"/>
  <c r="BK23" i="8"/>
  <c r="BM39" i="8"/>
  <c r="BM49" i="8"/>
  <c r="BK5" i="8"/>
  <c r="BK15" i="8"/>
  <c r="BK24" i="8"/>
  <c r="BM40" i="8"/>
  <c r="BM50" i="8"/>
  <c r="BK6" i="8"/>
  <c r="BM32" i="8"/>
  <c r="BM42" i="8"/>
  <c r="BK33" i="8"/>
  <c r="BI9" i="8"/>
  <c r="BI18" i="8"/>
  <c r="BK34" i="8"/>
  <c r="BK44" i="8"/>
  <c r="BI10" i="8"/>
  <c r="BI19" i="8"/>
  <c r="BK36" i="8"/>
  <c r="BK45" i="8"/>
  <c r="BK43" i="8"/>
  <c r="BI11" i="8"/>
  <c r="BI21" i="8"/>
  <c r="BK37" i="8"/>
  <c r="BK46" i="8"/>
  <c r="BI12" i="8"/>
  <c r="BI22" i="8"/>
  <c r="BK38" i="8"/>
  <c r="BK48" i="8"/>
  <c r="BI13" i="8"/>
  <c r="BI23" i="8"/>
  <c r="BK39" i="8"/>
  <c r="BK49" i="8"/>
  <c r="BI5" i="8"/>
  <c r="BI15" i="8"/>
  <c r="BI24" i="8"/>
  <c r="BK40" i="8"/>
  <c r="BK50" i="8"/>
  <c r="BI6" i="8"/>
  <c r="BK32" i="8"/>
  <c r="BK42" i="8"/>
  <c r="BB19" i="8"/>
  <c r="BB10" i="8"/>
  <c r="BB42" i="8"/>
  <c r="BB52" i="8"/>
  <c r="BB43" i="8"/>
  <c r="BB33" i="8"/>
  <c r="BB48" i="8"/>
  <c r="BB39" i="8"/>
  <c r="AZ53" i="8"/>
  <c r="BB20" i="8"/>
  <c r="BB51" i="8"/>
  <c r="BB38" i="8"/>
  <c r="BB25" i="8"/>
  <c r="BB16" i="8"/>
  <c r="BB6" i="8"/>
  <c r="BB23" i="8"/>
  <c r="BB18" i="8"/>
  <c r="BB47" i="8"/>
  <c r="BB24" i="8"/>
  <c r="AS18" i="8"/>
  <c r="AZ45" i="8"/>
  <c r="BB32" i="8"/>
  <c r="AZ20" i="8"/>
  <c r="AZ47" i="8"/>
  <c r="AZ38" i="8"/>
  <c r="AS53" i="8"/>
  <c r="BB21" i="8"/>
  <c r="BB12" i="8"/>
  <c r="BB5" i="8"/>
  <c r="BB37" i="8"/>
  <c r="BB9" i="8"/>
  <c r="BB13" i="8"/>
  <c r="BB53" i="8"/>
  <c r="BB15" i="8"/>
  <c r="BB46" i="8"/>
  <c r="AZ36" i="8"/>
  <c r="BB36" i="8"/>
  <c r="BB45" i="8"/>
  <c r="AS20" i="8"/>
  <c r="BB7" i="8"/>
  <c r="BB17" i="8"/>
  <c r="BB26" i="8"/>
  <c r="BB40" i="8"/>
  <c r="BB50" i="8"/>
  <c r="AQ37" i="8"/>
  <c r="BB11" i="8"/>
  <c r="BB34" i="8"/>
  <c r="BB44" i="8"/>
  <c r="AZ12" i="8"/>
  <c r="AZ21" i="8"/>
  <c r="AZ13" i="8"/>
  <c r="AZ23" i="8"/>
  <c r="AZ46" i="8"/>
  <c r="AS23" i="8"/>
  <c r="AZ6" i="8"/>
  <c r="AZ16" i="8"/>
  <c r="AZ25" i="8"/>
  <c r="AZ39" i="8"/>
  <c r="AZ48" i="8"/>
  <c r="AZ7" i="8"/>
  <c r="AZ17" i="8"/>
  <c r="AZ26" i="8"/>
  <c r="AZ40" i="8"/>
  <c r="AZ50" i="8"/>
  <c r="AZ24" i="8"/>
  <c r="AZ9" i="8"/>
  <c r="AZ18" i="8"/>
  <c r="AZ32" i="8"/>
  <c r="AZ42" i="8"/>
  <c r="AZ51" i="8"/>
  <c r="AZ5" i="8"/>
  <c r="AZ10" i="8"/>
  <c r="AZ19" i="8"/>
  <c r="AZ33" i="8"/>
  <c r="AZ43" i="8"/>
  <c r="AZ52" i="8"/>
  <c r="AZ15" i="8"/>
  <c r="AZ11" i="8"/>
  <c r="AZ34" i="8"/>
  <c r="AZ44" i="8"/>
  <c r="AM42" i="8"/>
  <c r="AS19" i="8"/>
  <c r="AQ39" i="8"/>
  <c r="AS24" i="8"/>
  <c r="AS10" i="8"/>
  <c r="AQ53" i="8"/>
  <c r="AS6" i="8"/>
  <c r="AS9" i="8"/>
  <c r="AS25" i="8"/>
  <c r="AQ44" i="8"/>
  <c r="AQ34" i="8"/>
  <c r="AS16" i="8"/>
  <c r="AS15" i="8"/>
  <c r="AQ48" i="8"/>
  <c r="AS21" i="8"/>
  <c r="AS36" i="8"/>
  <c r="AS45" i="8"/>
  <c r="AQ20" i="8"/>
  <c r="AQ23" i="8"/>
  <c r="AS38" i="8"/>
  <c r="AS47" i="8"/>
  <c r="AS46" i="8"/>
  <c r="AS39" i="8"/>
  <c r="AS48" i="8"/>
  <c r="AS7" i="8"/>
  <c r="AS17" i="8"/>
  <c r="AS26" i="8"/>
  <c r="AS40" i="8"/>
  <c r="AS50" i="8"/>
  <c r="AS32" i="8"/>
  <c r="AS42" i="8"/>
  <c r="AS51" i="8"/>
  <c r="AS37" i="8"/>
  <c r="AS33" i="8"/>
  <c r="AS43" i="8"/>
  <c r="AQ46" i="8"/>
  <c r="AS11" i="8"/>
  <c r="AS34" i="8"/>
  <c r="AS44" i="8"/>
  <c r="AQ21" i="8"/>
  <c r="AQ36" i="8"/>
  <c r="AQ45" i="8"/>
  <c r="AQ5" i="8"/>
  <c r="AQ15" i="8"/>
  <c r="AQ24" i="8"/>
  <c r="AQ38" i="8"/>
  <c r="AQ47" i="8"/>
  <c r="AQ6" i="8"/>
  <c r="AQ16" i="8"/>
  <c r="AQ25" i="8"/>
  <c r="AQ7" i="8"/>
  <c r="AQ17" i="8"/>
  <c r="AQ26" i="8"/>
  <c r="AQ40" i="8"/>
  <c r="AQ50" i="8"/>
  <c r="AK25" i="8"/>
  <c r="AK20" i="8"/>
  <c r="AK16" i="8"/>
  <c r="AK11" i="8"/>
  <c r="AQ9" i="8"/>
  <c r="AQ18" i="8"/>
  <c r="AQ32" i="8"/>
  <c r="AQ42" i="8"/>
  <c r="AQ51" i="8"/>
  <c r="AQ10" i="8"/>
  <c r="AQ19" i="8"/>
  <c r="AQ33" i="8"/>
  <c r="AQ43" i="8"/>
  <c r="AQ11" i="8"/>
  <c r="AM20" i="8"/>
  <c r="AK19" i="8"/>
  <c r="AM38" i="8"/>
  <c r="AK45" i="8"/>
  <c r="Z17" i="8"/>
  <c r="AK10" i="8"/>
  <c r="AK6" i="8"/>
  <c r="AM18" i="8"/>
  <c r="AM23" i="8"/>
  <c r="AM24" i="8"/>
  <c r="AM51" i="8"/>
  <c r="AI20" i="8"/>
  <c r="AM32" i="8"/>
  <c r="AG24" i="8"/>
  <c r="AM5" i="8"/>
  <c r="AM37" i="8"/>
  <c r="AM9" i="8"/>
  <c r="AM53" i="8"/>
  <c r="AM46" i="8"/>
  <c r="AK53" i="8"/>
  <c r="AM15" i="8"/>
  <c r="AM47" i="8"/>
  <c r="AK18" i="8"/>
  <c r="AK5" i="8"/>
  <c r="AK36" i="8"/>
  <c r="AM21" i="8"/>
  <c r="AM36" i="8"/>
  <c r="AM45" i="8"/>
  <c r="AM6" i="8"/>
  <c r="AM16" i="8"/>
  <c r="AM25" i="8"/>
  <c r="AM39" i="8"/>
  <c r="AM48" i="8"/>
  <c r="AK15" i="8"/>
  <c r="AM7" i="8"/>
  <c r="AM17" i="8"/>
  <c r="AM26" i="8"/>
  <c r="AM40" i="8"/>
  <c r="AM50" i="8"/>
  <c r="AI46" i="8"/>
  <c r="AK21" i="8"/>
  <c r="AM10" i="8"/>
  <c r="AM19" i="8"/>
  <c r="AM33" i="8"/>
  <c r="AM43" i="8"/>
  <c r="AG37" i="8"/>
  <c r="AI45" i="8"/>
  <c r="AK24" i="8"/>
  <c r="AM11" i="8"/>
  <c r="AM34" i="8"/>
  <c r="AM44" i="8"/>
  <c r="AG34" i="8"/>
  <c r="AK23" i="8"/>
  <c r="AK37" i="8"/>
  <c r="AK46" i="8"/>
  <c r="AG39" i="8"/>
  <c r="AG32" i="8"/>
  <c r="AK38" i="8"/>
  <c r="AK47" i="8"/>
  <c r="AG53" i="8"/>
  <c r="AG15" i="8"/>
  <c r="Z45" i="8"/>
  <c r="AK39" i="8"/>
  <c r="AK48" i="8"/>
  <c r="AK7" i="8"/>
  <c r="AK17" i="8"/>
  <c r="AK26" i="8"/>
  <c r="AK40" i="8"/>
  <c r="AK50" i="8"/>
  <c r="V23" i="8"/>
  <c r="AI21" i="8"/>
  <c r="AK9" i="8"/>
  <c r="AK32" i="8"/>
  <c r="AK42" i="8"/>
  <c r="AK51" i="8"/>
  <c r="AG33" i="8"/>
  <c r="AI23" i="8"/>
  <c r="AK33" i="8"/>
  <c r="AK43" i="8"/>
  <c r="AG44" i="8"/>
  <c r="AG48" i="8"/>
  <c r="AI53" i="8"/>
  <c r="Z36" i="8"/>
  <c r="AI36" i="8"/>
  <c r="AK34" i="8"/>
  <c r="AK44" i="8"/>
  <c r="AI5" i="8"/>
  <c r="AI15" i="8"/>
  <c r="AI24" i="8"/>
  <c r="AI38" i="8"/>
  <c r="AI47" i="8"/>
  <c r="AG51" i="8"/>
  <c r="AG10" i="8"/>
  <c r="AG38" i="8"/>
  <c r="AI6" i="8"/>
  <c r="AI16" i="8"/>
  <c r="AI25" i="8"/>
  <c r="AI39" i="8"/>
  <c r="AI48" i="8"/>
  <c r="AG43" i="8"/>
  <c r="AI7" i="8"/>
  <c r="AI17" i="8"/>
  <c r="AI26" i="8"/>
  <c r="AI40" i="8"/>
  <c r="AI50" i="8"/>
  <c r="AG46" i="8"/>
  <c r="AI9" i="8"/>
  <c r="AI18" i="8"/>
  <c r="AI32" i="8"/>
  <c r="AI42" i="8"/>
  <c r="AI51" i="8"/>
  <c r="AG20" i="8"/>
  <c r="AG19" i="8"/>
  <c r="AG47" i="8"/>
  <c r="AI10" i="8"/>
  <c r="AI19" i="8"/>
  <c r="AI33" i="8"/>
  <c r="AI43" i="8"/>
  <c r="AG23" i="8"/>
  <c r="AG5" i="8"/>
  <c r="AI11" i="8"/>
  <c r="AI34" i="8"/>
  <c r="AI44" i="8"/>
  <c r="Z24" i="8"/>
  <c r="AG21" i="8"/>
  <c r="AG36" i="8"/>
  <c r="AG45" i="8"/>
  <c r="Z5" i="8"/>
  <c r="AG6" i="8"/>
  <c r="AG16" i="8"/>
  <c r="AG25" i="8"/>
  <c r="Z10" i="8"/>
  <c r="AG7" i="8"/>
  <c r="AG17" i="8"/>
  <c r="AG26" i="8"/>
  <c r="AG40" i="8"/>
  <c r="AG50" i="8"/>
  <c r="Z12" i="8"/>
  <c r="AG9" i="8"/>
  <c r="AG18" i="8"/>
  <c r="AG42" i="8"/>
  <c r="Z15" i="8"/>
  <c r="Z19" i="8"/>
  <c r="AG11" i="8"/>
  <c r="Z53" i="8"/>
  <c r="Z20" i="8"/>
  <c r="Z21" i="8"/>
  <c r="V5" i="8"/>
  <c r="V24" i="8"/>
  <c r="Z7" i="8"/>
  <c r="Z26" i="8"/>
  <c r="V15" i="8"/>
  <c r="Z13" i="8"/>
  <c r="Z23" i="8"/>
  <c r="Z37" i="8"/>
  <c r="Z46" i="8"/>
  <c r="Z38" i="8"/>
  <c r="Z47" i="8"/>
  <c r="R13" i="8"/>
  <c r="X20" i="8"/>
  <c r="Z6" i="8"/>
  <c r="Z16" i="8"/>
  <c r="Z25" i="8"/>
  <c r="Z39" i="8"/>
  <c r="Z48" i="8"/>
  <c r="Z40" i="8"/>
  <c r="Z50" i="8"/>
  <c r="T21" i="8"/>
  <c r="Z9" i="8"/>
  <c r="Z18" i="8"/>
  <c r="Z32" i="8"/>
  <c r="Z42" i="8"/>
  <c r="Z51" i="8"/>
  <c r="Z33" i="8"/>
  <c r="Z43" i="8"/>
  <c r="Z52" i="8"/>
  <c r="Z11" i="8"/>
  <c r="Z34" i="8"/>
  <c r="Z44" i="8"/>
  <c r="T18" i="8"/>
  <c r="T9" i="8"/>
  <c r="X13" i="8"/>
  <c r="X23" i="8"/>
  <c r="X5" i="8"/>
  <c r="X15" i="8"/>
  <c r="X24" i="8"/>
  <c r="T25" i="8"/>
  <c r="T16" i="8"/>
  <c r="T6" i="8"/>
  <c r="T7" i="8"/>
  <c r="X6" i="8"/>
  <c r="X16" i="8"/>
  <c r="X25" i="8"/>
  <c r="T12" i="8"/>
  <c r="X7" i="8"/>
  <c r="X17" i="8"/>
  <c r="X26" i="8"/>
  <c r="T26" i="8"/>
  <c r="X9" i="8"/>
  <c r="X18" i="8"/>
  <c r="X32" i="8"/>
  <c r="X10" i="8"/>
  <c r="X19" i="8"/>
  <c r="T20" i="8"/>
  <c r="T11" i="8"/>
  <c r="V20" i="8"/>
  <c r="V13" i="8"/>
  <c r="X11" i="8"/>
  <c r="R20" i="8"/>
  <c r="V12" i="8"/>
  <c r="V21" i="8"/>
  <c r="R7" i="8"/>
  <c r="V6" i="8"/>
  <c r="V16" i="8"/>
  <c r="V25" i="8"/>
  <c r="R26" i="8"/>
  <c r="V7" i="8"/>
  <c r="V17" i="8"/>
  <c r="V26" i="8"/>
  <c r="V9" i="8"/>
  <c r="V18" i="8"/>
  <c r="V10" i="8"/>
  <c r="V19" i="8"/>
  <c r="P24" i="8"/>
  <c r="T19" i="8"/>
  <c r="T17" i="8"/>
  <c r="V11" i="8"/>
  <c r="T13" i="8"/>
  <c r="T23" i="8"/>
  <c r="P5" i="8"/>
  <c r="T5" i="8"/>
  <c r="T15" i="8"/>
  <c r="T24" i="8"/>
  <c r="T32" i="8"/>
  <c r="P23" i="8"/>
  <c r="P13" i="8"/>
  <c r="R17" i="8"/>
  <c r="T10" i="8"/>
  <c r="R23" i="8"/>
  <c r="R12" i="8"/>
  <c r="R21" i="8"/>
  <c r="R5" i="8"/>
  <c r="R15" i="8"/>
  <c r="R24" i="8"/>
  <c r="P20" i="8"/>
  <c r="R6" i="8"/>
  <c r="R16" i="8"/>
  <c r="R25" i="8"/>
  <c r="R9" i="8"/>
  <c r="R18" i="8"/>
  <c r="R10" i="8"/>
  <c r="R19" i="8"/>
  <c r="P15" i="8"/>
  <c r="R11" i="8"/>
  <c r="P12" i="8"/>
  <c r="P21" i="8"/>
  <c r="P6" i="8"/>
  <c r="P16" i="8"/>
  <c r="P25" i="8"/>
  <c r="P7" i="8"/>
  <c r="P17" i="8"/>
  <c r="P26" i="8"/>
  <c r="P9" i="8"/>
  <c r="P18" i="8"/>
  <c r="P32" i="8"/>
  <c r="P10" i="8"/>
  <c r="P19" i="8"/>
  <c r="J20" i="8"/>
  <c r="P11" i="8"/>
  <c r="H20" i="8"/>
  <c r="H13" i="8"/>
  <c r="J13" i="8"/>
  <c r="J23" i="8"/>
  <c r="F12" i="8"/>
  <c r="H23" i="8"/>
  <c r="J5" i="8"/>
  <c r="J15" i="8"/>
  <c r="J24" i="8"/>
  <c r="J21" i="8"/>
  <c r="J7" i="8"/>
  <c r="J17" i="8"/>
  <c r="J26" i="8"/>
  <c r="J6" i="8"/>
  <c r="J16" i="8"/>
  <c r="J25" i="8"/>
  <c r="J9" i="8"/>
  <c r="J18" i="8"/>
  <c r="J32" i="8"/>
  <c r="J10" i="8"/>
  <c r="J19" i="8"/>
  <c r="J12" i="8"/>
  <c r="J11" i="8"/>
  <c r="H12" i="8"/>
  <c r="H21" i="8"/>
  <c r="H5" i="8"/>
  <c r="H15" i="8"/>
  <c r="H24" i="8"/>
  <c r="H6" i="8"/>
  <c r="H16" i="8"/>
  <c r="H25" i="8"/>
  <c r="H7" i="8"/>
  <c r="H17" i="8"/>
  <c r="H26" i="8"/>
  <c r="H9" i="8"/>
  <c r="H18" i="8"/>
  <c r="H10" i="8"/>
  <c r="H19" i="8"/>
  <c r="H11" i="8"/>
  <c r="F21" i="8"/>
  <c r="F20" i="8"/>
  <c r="AA24" i="8"/>
  <c r="AT23" i="8"/>
  <c r="AA15" i="8"/>
  <c r="F13" i="8"/>
  <c r="F23" i="8"/>
  <c r="AT24" i="8"/>
  <c r="AT19" i="8"/>
  <c r="AT15" i="8"/>
  <c r="O40" i="18" s="1"/>
  <c r="P40" i="18" s="1"/>
  <c r="AT11" i="8"/>
  <c r="F5" i="8"/>
  <c r="F15" i="8"/>
  <c r="F24" i="8"/>
  <c r="F6" i="8"/>
  <c r="F16" i="8"/>
  <c r="F25" i="8"/>
  <c r="AT17" i="8"/>
  <c r="F7" i="8"/>
  <c r="F17" i="8"/>
  <c r="F26" i="8"/>
  <c r="K57" i="1"/>
  <c r="K42" i="1"/>
  <c r="K110" i="1" s="1"/>
  <c r="F9" i="8"/>
  <c r="F18" i="8"/>
  <c r="F32" i="8"/>
  <c r="F10" i="8"/>
  <c r="F19" i="8"/>
  <c r="F11" i="8"/>
  <c r="K56" i="1"/>
  <c r="K120" i="1" s="1"/>
  <c r="AT18" i="8"/>
  <c r="AT16" i="8"/>
  <c r="AT9" i="8"/>
  <c r="O34" i="18" s="1"/>
  <c r="P34" i="18" s="1"/>
  <c r="AT10" i="8"/>
  <c r="AT5" i="8"/>
  <c r="O30" i="18" s="1"/>
  <c r="P30" i="18" s="1"/>
  <c r="AT6" i="8"/>
  <c r="K63" i="1"/>
  <c r="K127" i="1" s="1"/>
  <c r="AA16" i="8"/>
  <c r="AA17" i="8"/>
  <c r="CF42" i="8"/>
  <c r="CF32" i="8"/>
  <c r="K59" i="1"/>
  <c r="K123" i="1" s="1"/>
  <c r="K47" i="1"/>
  <c r="K115" i="1" s="1"/>
  <c r="AA18" i="8"/>
  <c r="K46" i="1"/>
  <c r="K114" i="1" s="1"/>
  <c r="AA19" i="8"/>
  <c r="K58" i="1"/>
  <c r="K64" i="1"/>
  <c r="K128" i="1" s="1"/>
  <c r="AA23" i="8"/>
  <c r="CF22" i="8"/>
  <c r="I27" i="1" s="1"/>
  <c r="CF10" i="8"/>
  <c r="I9" i="1" s="1"/>
  <c r="L35" i="18" s="1"/>
  <c r="M35" i="18" s="1"/>
  <c r="CF48" i="8"/>
  <c r="CF38" i="8"/>
  <c r="CF6" i="8"/>
  <c r="I5" i="1" s="1"/>
  <c r="CF11" i="8"/>
  <c r="I10" i="1" s="1"/>
  <c r="CF49" i="8"/>
  <c r="CF5" i="8"/>
  <c r="CF36" i="8"/>
  <c r="CF9" i="8"/>
  <c r="CF16" i="8"/>
  <c r="I20" i="1" s="1"/>
  <c r="CF43" i="8"/>
  <c r="CF33" i="8"/>
  <c r="CF37" i="8"/>
  <c r="CF21" i="8"/>
  <c r="I26" i="1" s="1"/>
  <c r="CF17" i="8"/>
  <c r="I21" i="1" s="1"/>
  <c r="BP11" i="8"/>
  <c r="G10" i="1" s="1"/>
  <c r="BP22" i="8"/>
  <c r="G27" i="1" s="1"/>
  <c r="BP6" i="8"/>
  <c r="G5" i="1" s="1"/>
  <c r="BP16" i="8"/>
  <c r="BP10" i="8"/>
  <c r="G9" i="1" s="1"/>
  <c r="I35" i="18" s="1"/>
  <c r="J35" i="18" s="1"/>
  <c r="BP17" i="8"/>
  <c r="G21" i="1" s="1"/>
  <c r="BP21" i="8"/>
  <c r="G26" i="1" s="1"/>
  <c r="BP9" i="8"/>
  <c r="BC33" i="8"/>
  <c r="M42" i="1" s="1"/>
  <c r="M110" i="1" s="1"/>
  <c r="BC51" i="8"/>
  <c r="M64" i="1" s="1"/>
  <c r="M128" i="1" s="1"/>
  <c r="BC42" i="8"/>
  <c r="BC32" i="8"/>
  <c r="BC17" i="8"/>
  <c r="BC9" i="8"/>
  <c r="R34" i="18" s="1"/>
  <c r="BC6" i="8"/>
  <c r="BC16" i="8"/>
  <c r="BC11" i="8"/>
  <c r="BC24" i="8"/>
  <c r="BC43" i="8"/>
  <c r="M56" i="1" s="1"/>
  <c r="M120" i="1" s="1"/>
  <c r="BC37" i="8"/>
  <c r="M46" i="1" s="1"/>
  <c r="M114" i="1" s="1"/>
  <c r="BC19" i="8"/>
  <c r="BC18" i="8"/>
  <c r="BC50" i="8"/>
  <c r="M63" i="1" s="1"/>
  <c r="M127" i="1" s="1"/>
  <c r="BC45" i="8"/>
  <c r="M58" i="1" s="1"/>
  <c r="M122" i="1" s="1"/>
  <c r="BC36" i="8"/>
  <c r="BC44" i="8"/>
  <c r="M57" i="1" s="1"/>
  <c r="M121" i="1" s="1"/>
  <c r="BC46" i="8"/>
  <c r="M59" i="1" s="1"/>
  <c r="M123" i="1" s="1"/>
  <c r="BC23" i="8"/>
  <c r="BC5" i="8"/>
  <c r="R30" i="18" s="1"/>
  <c r="S30" i="18" s="1"/>
  <c r="BC10" i="8"/>
  <c r="BC15" i="8"/>
  <c r="R40" i="18" s="1"/>
  <c r="S40" i="18" s="1"/>
  <c r="BC38" i="8"/>
  <c r="M47" i="1" s="1"/>
  <c r="M115" i="1" s="1"/>
  <c r="X51" i="8"/>
  <c r="X52" i="8"/>
  <c r="X53" i="8"/>
  <c r="V51" i="8"/>
  <c r="V52" i="8"/>
  <c r="V53" i="8"/>
  <c r="T51" i="8"/>
  <c r="T52" i="8"/>
  <c r="T53" i="8"/>
  <c r="R51" i="8"/>
  <c r="R52" i="8"/>
  <c r="R53" i="8"/>
  <c r="P51" i="8"/>
  <c r="P52" i="8"/>
  <c r="P53" i="8"/>
  <c r="X50" i="8"/>
  <c r="V50" i="8"/>
  <c r="T50" i="8"/>
  <c r="R50" i="8"/>
  <c r="P50" i="8"/>
  <c r="X43" i="8"/>
  <c r="X44" i="8"/>
  <c r="X45" i="8"/>
  <c r="X46" i="8"/>
  <c r="X47" i="8"/>
  <c r="X48" i="8"/>
  <c r="V43" i="8"/>
  <c r="V44" i="8"/>
  <c r="V45" i="8"/>
  <c r="V46" i="8"/>
  <c r="V47" i="8"/>
  <c r="V48" i="8"/>
  <c r="T43" i="8"/>
  <c r="T44" i="8"/>
  <c r="T45" i="8"/>
  <c r="T46" i="8"/>
  <c r="T47" i="8"/>
  <c r="T48" i="8"/>
  <c r="R43" i="8"/>
  <c r="R44" i="8"/>
  <c r="R45" i="8"/>
  <c r="R46" i="8"/>
  <c r="R47" i="8"/>
  <c r="R48" i="8"/>
  <c r="P43" i="8"/>
  <c r="P44" i="8"/>
  <c r="P45" i="8"/>
  <c r="P46" i="8"/>
  <c r="P47" i="8"/>
  <c r="P48" i="8"/>
  <c r="X42" i="8"/>
  <c r="V42" i="8"/>
  <c r="T42" i="8"/>
  <c r="R42" i="8"/>
  <c r="P42" i="8"/>
  <c r="P36" i="8"/>
  <c r="X37" i="8"/>
  <c r="X38" i="8"/>
  <c r="X39" i="8"/>
  <c r="X40" i="8"/>
  <c r="V37" i="8"/>
  <c r="V38" i="8"/>
  <c r="V39" i="8"/>
  <c r="V40" i="8"/>
  <c r="T37" i="8"/>
  <c r="T38" i="8"/>
  <c r="T39" i="8"/>
  <c r="T40" i="8"/>
  <c r="R37" i="8"/>
  <c r="R38" i="8"/>
  <c r="R39" i="8"/>
  <c r="R40" i="8"/>
  <c r="P37" i="8"/>
  <c r="P38" i="8"/>
  <c r="P39" i="8"/>
  <c r="P40" i="8"/>
  <c r="X36" i="8"/>
  <c r="V36" i="8"/>
  <c r="T36" i="8"/>
  <c r="R36" i="8"/>
  <c r="X33" i="8"/>
  <c r="X34" i="8"/>
  <c r="V33" i="8"/>
  <c r="V34" i="8"/>
  <c r="T33" i="8"/>
  <c r="T34" i="8"/>
  <c r="R33" i="8"/>
  <c r="R34" i="8"/>
  <c r="P33" i="8"/>
  <c r="P34" i="8"/>
  <c r="F51" i="8"/>
  <c r="H51" i="8"/>
  <c r="J51" i="8"/>
  <c r="F52" i="8"/>
  <c r="H52" i="8"/>
  <c r="J52" i="8"/>
  <c r="F53" i="8"/>
  <c r="H53" i="8"/>
  <c r="J53" i="8"/>
  <c r="F43" i="8"/>
  <c r="H43" i="8"/>
  <c r="J43" i="8"/>
  <c r="F44" i="8"/>
  <c r="H44" i="8"/>
  <c r="J44" i="8"/>
  <c r="F45" i="8"/>
  <c r="H45" i="8"/>
  <c r="J45" i="8"/>
  <c r="F46" i="8"/>
  <c r="H46" i="8"/>
  <c r="J46" i="8"/>
  <c r="F47" i="8"/>
  <c r="H47" i="8"/>
  <c r="J47" i="8"/>
  <c r="F48" i="8"/>
  <c r="H48" i="8"/>
  <c r="J48" i="8"/>
  <c r="F37" i="8"/>
  <c r="H37" i="8"/>
  <c r="J37" i="8"/>
  <c r="F38" i="8"/>
  <c r="H38" i="8"/>
  <c r="J38" i="8"/>
  <c r="F39" i="8"/>
  <c r="H39" i="8"/>
  <c r="J39" i="8"/>
  <c r="F40" i="8"/>
  <c r="H40" i="8"/>
  <c r="J40" i="8"/>
  <c r="F33" i="8"/>
  <c r="H33" i="8"/>
  <c r="J33" i="8"/>
  <c r="F34" i="8"/>
  <c r="H34" i="8"/>
  <c r="J34" i="8"/>
  <c r="J50" i="8"/>
  <c r="H50" i="8"/>
  <c r="F50" i="8"/>
  <c r="J42" i="8"/>
  <c r="H42" i="8"/>
  <c r="F42" i="8"/>
  <c r="J36" i="8"/>
  <c r="H36" i="8"/>
  <c r="F36" i="8"/>
  <c r="K32" i="8"/>
  <c r="K6" i="8"/>
  <c r="K10" i="8"/>
  <c r="K11" i="8"/>
  <c r="K9" i="8"/>
  <c r="K16" i="8"/>
  <c r="K17" i="8"/>
  <c r="K18" i="8"/>
  <c r="K19" i="8"/>
  <c r="K15" i="8"/>
  <c r="K23" i="8"/>
  <c r="M5" i="1" l="1"/>
  <c r="R31" i="18"/>
  <c r="S31" i="18" s="1"/>
  <c r="K27" i="1"/>
  <c r="O49" i="18"/>
  <c r="P49" i="18" s="1"/>
  <c r="M9" i="1"/>
  <c r="R35" i="18"/>
  <c r="S35" i="18" s="1"/>
  <c r="M21" i="1"/>
  <c r="R43" i="18"/>
  <c r="S43" i="18" s="1"/>
  <c r="S34" i="18"/>
  <c r="I17" i="18"/>
  <c r="J17" i="18" s="1"/>
  <c r="I43" i="18"/>
  <c r="J43" i="18" s="1"/>
  <c r="L10" i="18"/>
  <c r="M10" i="18" s="1"/>
  <c r="L36" i="18"/>
  <c r="M36" i="18" s="1"/>
  <c r="E20" i="1"/>
  <c r="F42" i="18"/>
  <c r="G42" i="18" s="1"/>
  <c r="K21" i="1"/>
  <c r="O43" i="18"/>
  <c r="P43" i="18" s="1"/>
  <c r="M10" i="1"/>
  <c r="R36" i="18"/>
  <c r="S36" i="18" s="1"/>
  <c r="K19" i="1"/>
  <c r="O41" i="18"/>
  <c r="P41" i="18" s="1"/>
  <c r="M22" i="1"/>
  <c r="R44" i="18"/>
  <c r="S44" i="18" s="1"/>
  <c r="M20" i="1"/>
  <c r="R42" i="18"/>
  <c r="S42" i="18" s="1"/>
  <c r="L5" i="18"/>
  <c r="M5" i="18" s="1"/>
  <c r="L31" i="18"/>
  <c r="M31" i="18" s="1"/>
  <c r="E22" i="1"/>
  <c r="F44" i="18"/>
  <c r="G44" i="18" s="1"/>
  <c r="E19" i="1"/>
  <c r="F41" i="18"/>
  <c r="G41" i="18" s="1"/>
  <c r="M26" i="1"/>
  <c r="R48" i="18"/>
  <c r="S48" i="18" s="1"/>
  <c r="AA20" i="8"/>
  <c r="F45" i="18" s="1"/>
  <c r="G45" i="18" s="1"/>
  <c r="F40" i="18"/>
  <c r="G40" i="18" s="1"/>
  <c r="I22" i="18"/>
  <c r="J22" i="18" s="1"/>
  <c r="I48" i="18"/>
  <c r="J48" i="18" s="1"/>
  <c r="L22" i="18"/>
  <c r="M22" i="18" s="1"/>
  <c r="L48" i="18"/>
  <c r="M48" i="18" s="1"/>
  <c r="I5" i="18"/>
  <c r="J5" i="18" s="1"/>
  <c r="I31" i="18"/>
  <c r="J31" i="18" s="1"/>
  <c r="L16" i="18"/>
  <c r="M16" i="18" s="1"/>
  <c r="L42" i="18"/>
  <c r="M42" i="18" s="1"/>
  <c r="E21" i="1"/>
  <c r="F43" i="18"/>
  <c r="G43" i="18" s="1"/>
  <c r="K5" i="1"/>
  <c r="O5" i="1" s="1"/>
  <c r="O31" i="18"/>
  <c r="P31" i="18" s="1"/>
  <c r="K26" i="1"/>
  <c r="O48" i="18"/>
  <c r="P48" i="18" s="1"/>
  <c r="M27" i="1"/>
  <c r="R49" i="18"/>
  <c r="S49" i="18" s="1"/>
  <c r="I23" i="18"/>
  <c r="J23" i="18" s="1"/>
  <c r="I49" i="18"/>
  <c r="J49" i="18" s="1"/>
  <c r="K10" i="1"/>
  <c r="O36" i="18"/>
  <c r="P36" i="18" s="1"/>
  <c r="E27" i="1"/>
  <c r="F49" i="18"/>
  <c r="G49" i="18" s="1"/>
  <c r="I4" i="18"/>
  <c r="J4" i="18" s="1"/>
  <c r="J30" i="18"/>
  <c r="I10" i="18"/>
  <c r="J10" i="18" s="1"/>
  <c r="I36" i="18"/>
  <c r="J36" i="18" s="1"/>
  <c r="L23" i="18"/>
  <c r="M23" i="18" s="1"/>
  <c r="L49" i="18"/>
  <c r="M49" i="18" s="1"/>
  <c r="K9" i="1"/>
  <c r="O35" i="18"/>
  <c r="P35" i="18" s="1"/>
  <c r="K20" i="1"/>
  <c r="O42" i="18"/>
  <c r="P42" i="18" s="1"/>
  <c r="M19" i="1"/>
  <c r="R41" i="18"/>
  <c r="S41" i="18" s="1"/>
  <c r="L17" i="18"/>
  <c r="M17" i="18" s="1"/>
  <c r="L43" i="18"/>
  <c r="M43" i="18" s="1"/>
  <c r="E26" i="1"/>
  <c r="F48" i="18"/>
  <c r="G48" i="18" s="1"/>
  <c r="K22" i="1"/>
  <c r="O44" i="18"/>
  <c r="P44" i="18" s="1"/>
  <c r="I82" i="1"/>
  <c r="L9" i="18"/>
  <c r="M9" i="18" s="1"/>
  <c r="G82" i="1"/>
  <c r="I9" i="18"/>
  <c r="J9" i="18" s="1"/>
  <c r="K121" i="1"/>
  <c r="K122" i="1"/>
  <c r="I30" i="9"/>
  <c r="CF45" i="8"/>
  <c r="CG45" i="8" s="1"/>
  <c r="CF39" i="8"/>
  <c r="CG39" i="8" s="1"/>
  <c r="CF34" i="8"/>
  <c r="I19" i="1"/>
  <c r="L41" i="18" s="1"/>
  <c r="M41" i="18" s="1"/>
  <c r="CF18" i="8"/>
  <c r="CG18" i="8" s="1"/>
  <c r="I8" i="1"/>
  <c r="CF12" i="8"/>
  <c r="CG12" i="8" s="1"/>
  <c r="F8" i="6"/>
  <c r="I4" i="1"/>
  <c r="CF7" i="8"/>
  <c r="CG7" i="8" s="1"/>
  <c r="G20" i="1"/>
  <c r="BP18" i="8"/>
  <c r="BQ18" i="8" s="1"/>
  <c r="G8" i="1"/>
  <c r="BP12" i="8"/>
  <c r="BQ12" i="8" s="1"/>
  <c r="E8" i="6"/>
  <c r="BP7" i="8"/>
  <c r="BQ7" i="8" s="1"/>
  <c r="M55" i="1"/>
  <c r="BC47" i="8"/>
  <c r="BD47" i="8" s="1"/>
  <c r="M45" i="1"/>
  <c r="M113" i="1" s="1"/>
  <c r="BC39" i="8"/>
  <c r="BD39" i="8" s="1"/>
  <c r="M41" i="1"/>
  <c r="M109" i="1" s="1"/>
  <c r="BC34" i="8"/>
  <c r="M18" i="1"/>
  <c r="BC20" i="8"/>
  <c r="M8" i="1"/>
  <c r="BC12" i="8"/>
  <c r="BD12" i="8" s="1"/>
  <c r="M4" i="1"/>
  <c r="R4" i="18" s="1"/>
  <c r="S4" i="18" s="1"/>
  <c r="BC7" i="8"/>
  <c r="K55" i="1"/>
  <c r="AT47" i="8"/>
  <c r="AU47" i="8" s="1"/>
  <c r="K45" i="1"/>
  <c r="K113" i="1" s="1"/>
  <c r="AU39" i="8"/>
  <c r="K41" i="1"/>
  <c r="K109" i="1" s="1"/>
  <c r="AT34" i="8"/>
  <c r="AU34" i="8" s="1"/>
  <c r="K18" i="1"/>
  <c r="AT20" i="8"/>
  <c r="K8" i="1"/>
  <c r="AT12" i="8"/>
  <c r="K4" i="1"/>
  <c r="AT7" i="8"/>
  <c r="E18" i="1"/>
  <c r="AA21" i="8"/>
  <c r="K12" i="8"/>
  <c r="L12" i="8" s="1"/>
  <c r="K7" i="8"/>
  <c r="I56" i="9"/>
  <c r="K20" i="8"/>
  <c r="CF44" i="8"/>
  <c r="CG44" i="8" s="1"/>
  <c r="BW15" i="8"/>
  <c r="CG16" i="8"/>
  <c r="CG6" i="8"/>
  <c r="CG15" i="8"/>
  <c r="CG5" i="8"/>
  <c r="CG22" i="8"/>
  <c r="CG21" i="8"/>
  <c r="CG11" i="8"/>
  <c r="CG10" i="8"/>
  <c r="CG17" i="8"/>
  <c r="CG9" i="8"/>
  <c r="CG42" i="8"/>
  <c r="CG32" i="8"/>
  <c r="CG49" i="8"/>
  <c r="CG48" i="8"/>
  <c r="CG38" i="8"/>
  <c r="CG37" i="8"/>
  <c r="CG36" i="8"/>
  <c r="CG33" i="8"/>
  <c r="CG43" i="8"/>
  <c r="BQ16" i="8"/>
  <c r="BQ6" i="8"/>
  <c r="BQ15" i="8"/>
  <c r="BQ5" i="8"/>
  <c r="BQ22" i="8"/>
  <c r="BQ21" i="8"/>
  <c r="BQ11" i="8"/>
  <c r="BQ10" i="8"/>
  <c r="BQ9" i="8"/>
  <c r="BQ17" i="8"/>
  <c r="BS51" i="8"/>
  <c r="BS42" i="8"/>
  <c r="BS32" i="8"/>
  <c r="BS50" i="8"/>
  <c r="BS40" i="8"/>
  <c r="BS49" i="8"/>
  <c r="BS39" i="8"/>
  <c r="BS48" i="8"/>
  <c r="BS38" i="8"/>
  <c r="BS34" i="8"/>
  <c r="BS46" i="8"/>
  <c r="BS37" i="8"/>
  <c r="BS44" i="8"/>
  <c r="BS45" i="8"/>
  <c r="BS36" i="8"/>
  <c r="BS43" i="8"/>
  <c r="BS33" i="8"/>
  <c r="BD11" i="8"/>
  <c r="BD19" i="8"/>
  <c r="BD10" i="8"/>
  <c r="BD18" i="8"/>
  <c r="BD9" i="8"/>
  <c r="BD23" i="8"/>
  <c r="BD17" i="8"/>
  <c r="BD16" i="8"/>
  <c r="BD6" i="8"/>
  <c r="BD24" i="8"/>
  <c r="BD15" i="8"/>
  <c r="BD5" i="8"/>
  <c r="BD44" i="8"/>
  <c r="BD34" i="8"/>
  <c r="BD43" i="8"/>
  <c r="BD33" i="8"/>
  <c r="BD51" i="8"/>
  <c r="BD42" i="8"/>
  <c r="BD32" i="8"/>
  <c r="BD50" i="8"/>
  <c r="BD46" i="8"/>
  <c r="BD37" i="8"/>
  <c r="BD38" i="8"/>
  <c r="BD45" i="8"/>
  <c r="BD36" i="8"/>
  <c r="AU44" i="8"/>
  <c r="AU43" i="8"/>
  <c r="AU33" i="8"/>
  <c r="AU51" i="8"/>
  <c r="AU42" i="8"/>
  <c r="AU32" i="8"/>
  <c r="AU50" i="8"/>
  <c r="AU38" i="8"/>
  <c r="AU36" i="8"/>
  <c r="AU46" i="8"/>
  <c r="AU37" i="8"/>
  <c r="AU45" i="8"/>
  <c r="AU11" i="8"/>
  <c r="AU19" i="8"/>
  <c r="AU10" i="8"/>
  <c r="AU18" i="8"/>
  <c r="AU9" i="8"/>
  <c r="AU17" i="8"/>
  <c r="AU16" i="8"/>
  <c r="AU6" i="8"/>
  <c r="AU24" i="8"/>
  <c r="AU15" i="8"/>
  <c r="AU5" i="8"/>
  <c r="AU23" i="8"/>
  <c r="AB11" i="8"/>
  <c r="AB19" i="8"/>
  <c r="AB10" i="8"/>
  <c r="AB18" i="8"/>
  <c r="AB9" i="8"/>
  <c r="AB26" i="8"/>
  <c r="AB17" i="8"/>
  <c r="AB7" i="8"/>
  <c r="AB16" i="8"/>
  <c r="AB6" i="8"/>
  <c r="AB24" i="8"/>
  <c r="AB15" i="8"/>
  <c r="AB5" i="8"/>
  <c r="AB23" i="8"/>
  <c r="AB13" i="8"/>
  <c r="AB12" i="8"/>
  <c r="AB32" i="8"/>
  <c r="K33" i="8"/>
  <c r="K37" i="8"/>
  <c r="K45" i="8"/>
  <c r="K43" i="8"/>
  <c r="L11" i="8"/>
  <c r="L19" i="8"/>
  <c r="L10" i="8"/>
  <c r="L18" i="8"/>
  <c r="L9" i="8"/>
  <c r="L17" i="8"/>
  <c r="L16" i="8"/>
  <c r="L6" i="8"/>
  <c r="L15" i="8"/>
  <c r="L5" i="8"/>
  <c r="L23" i="8"/>
  <c r="L32" i="8"/>
  <c r="K38" i="8"/>
  <c r="K46" i="8"/>
  <c r="K44" i="8"/>
  <c r="K51" i="8"/>
  <c r="K42" i="8"/>
  <c r="K50" i="8"/>
  <c r="K36" i="8"/>
  <c r="D51" i="8"/>
  <c r="D42" i="8"/>
  <c r="D32" i="8"/>
  <c r="D50" i="8"/>
  <c r="D40" i="8"/>
  <c r="D48" i="8"/>
  <c r="D39" i="8"/>
  <c r="D47" i="8"/>
  <c r="D38" i="8"/>
  <c r="D46" i="8"/>
  <c r="D37" i="8"/>
  <c r="D45" i="8"/>
  <c r="D36" i="8"/>
  <c r="D53" i="8"/>
  <c r="D44" i="8"/>
  <c r="D34" i="8"/>
  <c r="D52" i="8"/>
  <c r="D43" i="8"/>
  <c r="D33" i="8"/>
  <c r="D26" i="8"/>
  <c r="D16" i="8"/>
  <c r="D6" i="8"/>
  <c r="D25" i="8"/>
  <c r="D15" i="8"/>
  <c r="D5" i="8"/>
  <c r="D13" i="8"/>
  <c r="D18" i="8"/>
  <c r="D23" i="8"/>
  <c r="D12" i="8"/>
  <c r="D21" i="8"/>
  <c r="D11" i="8"/>
  <c r="D20" i="8"/>
  <c r="D10" i="8"/>
  <c r="D19" i="8"/>
  <c r="D9" i="8"/>
  <c r="D17" i="8"/>
  <c r="D7" i="8"/>
  <c r="AB34" i="8"/>
  <c r="AB33" i="8"/>
  <c r="AA38" i="8"/>
  <c r="AB37" i="8"/>
  <c r="AA44" i="8"/>
  <c r="AA50" i="8"/>
  <c r="AA51" i="8"/>
  <c r="AA43" i="8"/>
  <c r="AB36" i="8"/>
  <c r="AA42" i="8"/>
  <c r="AA46" i="8"/>
  <c r="AA45" i="8"/>
  <c r="O4" i="1" l="1"/>
  <c r="AU12" i="8"/>
  <c r="O37" i="18"/>
  <c r="P37" i="18" s="1"/>
  <c r="L8" i="18"/>
  <c r="M8" i="18" s="1"/>
  <c r="L34" i="18"/>
  <c r="O20" i="1"/>
  <c r="U35" i="18"/>
  <c r="V35" i="18" s="1"/>
  <c r="U44" i="18"/>
  <c r="V44" i="18" s="1"/>
  <c r="M82" i="1"/>
  <c r="G8" i="6"/>
  <c r="U41" i="18"/>
  <c r="V41" i="18" s="1"/>
  <c r="M23" i="1"/>
  <c r="AU20" i="8"/>
  <c r="O45" i="18"/>
  <c r="P45" i="18" s="1"/>
  <c r="BD7" i="8"/>
  <c r="R32" i="18"/>
  <c r="S32" i="18" s="1"/>
  <c r="K82" i="1"/>
  <c r="U48" i="18"/>
  <c r="V48" i="18" s="1"/>
  <c r="I8" i="18"/>
  <c r="J8" i="18" s="1"/>
  <c r="I34" i="18"/>
  <c r="K23" i="1"/>
  <c r="I16" i="18"/>
  <c r="J16" i="18" s="1"/>
  <c r="I42" i="18"/>
  <c r="J42" i="18" s="1"/>
  <c r="U31" i="18"/>
  <c r="V31" i="18" s="1"/>
  <c r="R37" i="18"/>
  <c r="S37" i="18" s="1"/>
  <c r="U40" i="18"/>
  <c r="AA25" i="8"/>
  <c r="F46" i="18"/>
  <c r="G46" i="18" s="1"/>
  <c r="L4" i="18"/>
  <c r="M4" i="18" s="1"/>
  <c r="L30" i="18"/>
  <c r="U43" i="18"/>
  <c r="V43" i="18" s="1"/>
  <c r="AU7" i="8"/>
  <c r="O32" i="18"/>
  <c r="P32" i="18" s="1"/>
  <c r="BD20" i="8"/>
  <c r="R45" i="18"/>
  <c r="S45" i="18" s="1"/>
  <c r="U36" i="18"/>
  <c r="V36" i="18" s="1"/>
  <c r="H8" i="6"/>
  <c r="I23" i="1"/>
  <c r="L15" i="18"/>
  <c r="M15" i="18" s="1"/>
  <c r="L31" i="1"/>
  <c r="L33" i="1"/>
  <c r="L15" i="1"/>
  <c r="H33" i="1"/>
  <c r="H31" i="1"/>
  <c r="J31" i="1"/>
  <c r="J33" i="1"/>
  <c r="N31" i="1"/>
  <c r="N33" i="1"/>
  <c r="G23" i="1"/>
  <c r="K13" i="8"/>
  <c r="L7" i="8"/>
  <c r="K119" i="1"/>
  <c r="K60" i="1"/>
  <c r="K21" i="8"/>
  <c r="E23" i="1"/>
  <c r="M119" i="1"/>
  <c r="M60" i="1"/>
  <c r="CF40" i="8"/>
  <c r="CG40" i="8" s="1"/>
  <c r="CG34" i="8"/>
  <c r="CF13" i="8"/>
  <c r="CG13" i="8" s="1"/>
  <c r="I11" i="1"/>
  <c r="BP13" i="8"/>
  <c r="BQ13" i="8" s="1"/>
  <c r="H4" i="1"/>
  <c r="H5" i="1"/>
  <c r="BC40" i="8"/>
  <c r="BD40" i="8" s="1"/>
  <c r="BC13" i="8"/>
  <c r="AT13" i="8"/>
  <c r="AT40" i="8"/>
  <c r="AU40" i="8" s="1"/>
  <c r="L26" i="1"/>
  <c r="L27" i="1"/>
  <c r="AB51" i="8"/>
  <c r="E64" i="1"/>
  <c r="E128" i="1" s="1"/>
  <c r="AB50" i="8"/>
  <c r="E63" i="1"/>
  <c r="E127" i="1" s="1"/>
  <c r="AB46" i="8"/>
  <c r="E59" i="1"/>
  <c r="E123" i="1" s="1"/>
  <c r="AB45" i="8"/>
  <c r="E58" i="1"/>
  <c r="AB44" i="8"/>
  <c r="E57" i="1"/>
  <c r="AB43" i="8"/>
  <c r="E56" i="1"/>
  <c r="E120" i="1" s="1"/>
  <c r="AB42" i="8"/>
  <c r="E55" i="1"/>
  <c r="AA47" i="8"/>
  <c r="AB47" i="8" s="1"/>
  <c r="AB38" i="8"/>
  <c r="E47" i="1"/>
  <c r="E115" i="1" s="1"/>
  <c r="AA39" i="8"/>
  <c r="AB20" i="8"/>
  <c r="AB21" i="8"/>
  <c r="L51" i="8"/>
  <c r="L50" i="8"/>
  <c r="L46" i="8"/>
  <c r="L45" i="8"/>
  <c r="L43" i="8"/>
  <c r="L42" i="8"/>
  <c r="K47" i="8"/>
  <c r="L38" i="8"/>
  <c r="L37" i="8"/>
  <c r="L33" i="8"/>
  <c r="K34" i="8"/>
  <c r="L34" i="8" s="1"/>
  <c r="L20" i="8"/>
  <c r="L36" i="8"/>
  <c r="K39" i="8"/>
  <c r="L44" i="8"/>
  <c r="K24" i="8"/>
  <c r="AB25" i="8" l="1"/>
  <c r="F50" i="18"/>
  <c r="G50" i="18" s="1"/>
  <c r="M34" i="18"/>
  <c r="L37" i="18"/>
  <c r="M37" i="18" s="1"/>
  <c r="L24" i="8"/>
  <c r="AU13" i="8"/>
  <c r="O38" i="18"/>
  <c r="P38" i="18" s="1"/>
  <c r="J34" i="18"/>
  <c r="I37" i="18"/>
  <c r="J37" i="18" s="1"/>
  <c r="U34" i="18"/>
  <c r="V34" i="18" s="1"/>
  <c r="BD13" i="8"/>
  <c r="R38" i="18"/>
  <c r="S38" i="18" s="1"/>
  <c r="M30" i="18"/>
  <c r="U30" i="18"/>
  <c r="V30" i="18" s="1"/>
  <c r="I19" i="18"/>
  <c r="J19" i="18" s="1"/>
  <c r="I45" i="18"/>
  <c r="J45" i="18" s="1"/>
  <c r="V40" i="18"/>
  <c r="K25" i="8"/>
  <c r="L19" i="18"/>
  <c r="M19" i="18" s="1"/>
  <c r="L45" i="18"/>
  <c r="M45" i="18" s="1"/>
  <c r="U42" i="18"/>
  <c r="V42" i="18" s="1"/>
  <c r="L21" i="8"/>
  <c r="E122" i="1"/>
  <c r="E121" i="1"/>
  <c r="K26" i="8"/>
  <c r="L13" i="8"/>
  <c r="BC26" i="8"/>
  <c r="E119" i="1"/>
  <c r="E60" i="1"/>
  <c r="CF46" i="8"/>
  <c r="CF51" i="8"/>
  <c r="CG51" i="8" s="1"/>
  <c r="CF24" i="8"/>
  <c r="CG24" i="8" s="1"/>
  <c r="CF19" i="8"/>
  <c r="CF23" i="8" s="1"/>
  <c r="CG23" i="8" s="1"/>
  <c r="BP19" i="8"/>
  <c r="BP23" i="8" s="1"/>
  <c r="BQ23" i="8" s="1"/>
  <c r="BP24" i="8"/>
  <c r="BQ24" i="8" s="1"/>
  <c r="BC48" i="8"/>
  <c r="BC52" i="8" s="1"/>
  <c r="BD52" i="8" s="1"/>
  <c r="BC53" i="8"/>
  <c r="BD53" i="8" s="1"/>
  <c r="BC21" i="8"/>
  <c r="AT21" i="8"/>
  <c r="AT26" i="8"/>
  <c r="AT48" i="8"/>
  <c r="AT52" i="8" s="1"/>
  <c r="AU52" i="8" s="1"/>
  <c r="AT53" i="8"/>
  <c r="AU53" i="8" s="1"/>
  <c r="AA40" i="8"/>
  <c r="AB39" i="8"/>
  <c r="K40" i="8"/>
  <c r="K48" i="8" s="1"/>
  <c r="L39" i="8"/>
  <c r="L47" i="8"/>
  <c r="D24" i="8"/>
  <c r="I96" i="1"/>
  <c r="I95" i="1"/>
  <c r="I92" i="1"/>
  <c r="I91" i="1"/>
  <c r="I90" i="1"/>
  <c r="I89" i="1"/>
  <c r="I88" i="1"/>
  <c r="I87" i="1"/>
  <c r="I83" i="1"/>
  <c r="I81" i="1"/>
  <c r="I78" i="1"/>
  <c r="I77" i="1"/>
  <c r="G96" i="1"/>
  <c r="G95" i="1"/>
  <c r="G88" i="1"/>
  <c r="G92" i="1"/>
  <c r="G91" i="1"/>
  <c r="G90" i="1"/>
  <c r="G89" i="1"/>
  <c r="G87" i="1"/>
  <c r="G83" i="1"/>
  <c r="G81" i="1"/>
  <c r="G78" i="1"/>
  <c r="G77" i="1"/>
  <c r="BD26" i="8" l="1"/>
  <c r="R51" i="18"/>
  <c r="S51" i="18" s="1"/>
  <c r="U49" i="18"/>
  <c r="V49" i="18" s="1"/>
  <c r="AU26" i="8"/>
  <c r="O51" i="18"/>
  <c r="P51" i="18" s="1"/>
  <c r="AT25" i="8"/>
  <c r="O46" i="18"/>
  <c r="P46" i="18" s="1"/>
  <c r="L26" i="8"/>
  <c r="L25" i="8"/>
  <c r="BC25" i="8"/>
  <c r="R46" i="18"/>
  <c r="S46" i="18" s="1"/>
  <c r="U45" i="18"/>
  <c r="V45" i="18" s="1"/>
  <c r="U37" i="18"/>
  <c r="V37" i="18" s="1"/>
  <c r="BQ19" i="8"/>
  <c r="CG46" i="8"/>
  <c r="CF50" i="8"/>
  <c r="CG50" i="8" s="1"/>
  <c r="CG19" i="8"/>
  <c r="BD48" i="8"/>
  <c r="BD21" i="8"/>
  <c r="AU21" i="8"/>
  <c r="AU48" i="8"/>
  <c r="AA53" i="8"/>
  <c r="AB53" i="8" s="1"/>
  <c r="AA48" i="8"/>
  <c r="AB40" i="8"/>
  <c r="K53" i="8"/>
  <c r="L53" i="8" s="1"/>
  <c r="L40" i="8"/>
  <c r="K52" i="8"/>
  <c r="L52" i="8" s="1"/>
  <c r="L48" i="8"/>
  <c r="J89" i="1"/>
  <c r="H82" i="1"/>
  <c r="H91" i="1"/>
  <c r="J82" i="1"/>
  <c r="J91" i="1"/>
  <c r="H89" i="1"/>
  <c r="H83" i="1"/>
  <c r="H92" i="1"/>
  <c r="J83" i="1"/>
  <c r="J92" i="1"/>
  <c r="H95" i="1"/>
  <c r="J95" i="1"/>
  <c r="H77" i="1"/>
  <c r="H87" i="1"/>
  <c r="H96" i="1"/>
  <c r="J77" i="1"/>
  <c r="J87" i="1"/>
  <c r="J96" i="1"/>
  <c r="H78" i="1"/>
  <c r="H88" i="1"/>
  <c r="J78" i="1"/>
  <c r="J88" i="1"/>
  <c r="H81" i="1"/>
  <c r="H90" i="1"/>
  <c r="J81" i="1"/>
  <c r="J90" i="1"/>
  <c r="AM128" i="1"/>
  <c r="AM127" i="1"/>
  <c r="AM120" i="1"/>
  <c r="AM121" i="1"/>
  <c r="AM122" i="1"/>
  <c r="AM123" i="1"/>
  <c r="AM119" i="1"/>
  <c r="AM114" i="1"/>
  <c r="AM115" i="1"/>
  <c r="AM113" i="1"/>
  <c r="AM110" i="1"/>
  <c r="AM96" i="1"/>
  <c r="AM95" i="1"/>
  <c r="AM88" i="1"/>
  <c r="AM89" i="1"/>
  <c r="AM90" i="1"/>
  <c r="AM91" i="1"/>
  <c r="AM87" i="1"/>
  <c r="AM82" i="1"/>
  <c r="AM83" i="1"/>
  <c r="AM81" i="1"/>
  <c r="AM78" i="1"/>
  <c r="AM77" i="1"/>
  <c r="W128" i="1"/>
  <c r="W127" i="1"/>
  <c r="W120" i="1"/>
  <c r="W121" i="1"/>
  <c r="W122" i="1"/>
  <c r="W123" i="1"/>
  <c r="W119" i="1"/>
  <c r="W114" i="1"/>
  <c r="W115" i="1"/>
  <c r="W113" i="1"/>
  <c r="W110" i="1"/>
  <c r="W109" i="1"/>
  <c r="W96" i="1"/>
  <c r="W95" i="1"/>
  <c r="W88" i="1"/>
  <c r="W89" i="1"/>
  <c r="W90" i="1"/>
  <c r="W91" i="1"/>
  <c r="W87" i="1"/>
  <c r="W82" i="1"/>
  <c r="W83" i="1"/>
  <c r="W81" i="1"/>
  <c r="Z96" i="1"/>
  <c r="W124" i="1" l="1"/>
  <c r="AU25" i="8"/>
  <c r="O50" i="18"/>
  <c r="P50" i="18" s="1"/>
  <c r="AM124" i="1"/>
  <c r="BD25" i="8"/>
  <c r="R50" i="18"/>
  <c r="S50" i="18" s="1"/>
  <c r="W92" i="1"/>
  <c r="AM92" i="1"/>
  <c r="AA52" i="8"/>
  <c r="AB52" i="8" s="1"/>
  <c r="AB48" i="8"/>
  <c r="X114" i="1"/>
  <c r="AN128" i="1"/>
  <c r="AP110" i="1"/>
  <c r="AO84" i="1"/>
  <c r="AP84" i="1" s="1"/>
  <c r="Z78" i="1"/>
  <c r="AE89" i="1"/>
  <c r="Z77" i="1"/>
  <c r="Z88" i="1"/>
  <c r="Z127" i="1"/>
  <c r="Z115" i="1"/>
  <c r="AP92" i="1"/>
  <c r="Z83" i="1"/>
  <c r="W116" i="1"/>
  <c r="X116" i="1" s="1"/>
  <c r="Z122" i="1"/>
  <c r="Z121" i="1"/>
  <c r="W84" i="1"/>
  <c r="AP109" i="1"/>
  <c r="X123" i="1"/>
  <c r="W111" i="1"/>
  <c r="X111" i="1" s="1"/>
  <c r="Z89" i="1"/>
  <c r="AP91" i="1"/>
  <c r="AP77" i="1"/>
  <c r="Z90" i="1"/>
  <c r="AM84" i="1"/>
  <c r="AN84" i="1" s="1"/>
  <c r="AP78" i="1"/>
  <c r="AO79" i="1"/>
  <c r="AP79" i="1" s="1"/>
  <c r="Z95" i="1"/>
  <c r="Z128" i="1"/>
  <c r="AP82" i="1"/>
  <c r="AP87" i="1"/>
  <c r="Z120" i="1"/>
  <c r="X120" i="1"/>
  <c r="AP88" i="1"/>
  <c r="AP96" i="1"/>
  <c r="Y84" i="1"/>
  <c r="Z84" i="1" s="1"/>
  <c r="Z81" i="1"/>
  <c r="Z110" i="1"/>
  <c r="AN96" i="1"/>
  <c r="AN110" i="1"/>
  <c r="AN120" i="1"/>
  <c r="AN78" i="1"/>
  <c r="AN88" i="1"/>
  <c r="Z87" i="1"/>
  <c r="Y111" i="1"/>
  <c r="Z111" i="1" s="1"/>
  <c r="X127" i="1"/>
  <c r="Z119" i="1"/>
  <c r="AN89" i="1"/>
  <c r="AP95" i="1"/>
  <c r="AP121" i="1"/>
  <c r="AP113" i="1"/>
  <c r="AP120" i="1"/>
  <c r="AP128" i="1"/>
  <c r="AP119" i="1"/>
  <c r="AP114" i="1"/>
  <c r="AP122" i="1"/>
  <c r="AP127" i="1"/>
  <c r="AP124" i="1"/>
  <c r="AP115" i="1"/>
  <c r="AP123" i="1"/>
  <c r="AN121" i="1"/>
  <c r="X119" i="1"/>
  <c r="X128" i="1"/>
  <c r="AN81" i="1"/>
  <c r="AN90" i="1"/>
  <c r="AN113" i="1"/>
  <c r="AN122" i="1"/>
  <c r="AN82" i="1"/>
  <c r="AN91" i="1"/>
  <c r="AN114" i="1"/>
  <c r="AN123" i="1"/>
  <c r="Z114" i="1"/>
  <c r="AN83" i="1"/>
  <c r="AN92" i="1"/>
  <c r="AP89" i="1"/>
  <c r="AN115" i="1"/>
  <c r="AN124" i="1"/>
  <c r="X110" i="1"/>
  <c r="X109" i="1"/>
  <c r="X121" i="1"/>
  <c r="Y79" i="1"/>
  <c r="Z91" i="1"/>
  <c r="Z92" i="1"/>
  <c r="X113" i="1"/>
  <c r="X122" i="1"/>
  <c r="Z109" i="1"/>
  <c r="Z123" i="1"/>
  <c r="AP81" i="1"/>
  <c r="AP90" i="1"/>
  <c r="AN95" i="1"/>
  <c r="AN127" i="1"/>
  <c r="AM79" i="1"/>
  <c r="Z82" i="1"/>
  <c r="X115" i="1"/>
  <c r="AN77" i="1"/>
  <c r="AN87" i="1"/>
  <c r="AP83" i="1"/>
  <c r="AN109" i="1"/>
  <c r="AN119" i="1"/>
  <c r="Y116" i="1"/>
  <c r="Z116" i="1" s="1"/>
  <c r="Z113" i="1"/>
  <c r="W78" i="1"/>
  <c r="AE78" i="1" s="1"/>
  <c r="W77" i="1"/>
  <c r="X4" i="1"/>
  <c r="AU96" i="1"/>
  <c r="AU95" i="1"/>
  <c r="AU91" i="1"/>
  <c r="AU90" i="1"/>
  <c r="AU89" i="1"/>
  <c r="AU88" i="1"/>
  <c r="AU87" i="1"/>
  <c r="AU83" i="1"/>
  <c r="AU82" i="1"/>
  <c r="AU81" i="1"/>
  <c r="AU78" i="1"/>
  <c r="AU77" i="1"/>
  <c r="AE96" i="1"/>
  <c r="AE95" i="1"/>
  <c r="AE91" i="1"/>
  <c r="AE90" i="1"/>
  <c r="AE88" i="1"/>
  <c r="AE87" i="1"/>
  <c r="AE83" i="1"/>
  <c r="AE82" i="1"/>
  <c r="AE81" i="1"/>
  <c r="AU128" i="1"/>
  <c r="AE128" i="1"/>
  <c r="AE127" i="1"/>
  <c r="AU123" i="1"/>
  <c r="AE123" i="1"/>
  <c r="AE122" i="1"/>
  <c r="AU121" i="1"/>
  <c r="AE121" i="1"/>
  <c r="X124" i="1"/>
  <c r="AE120" i="1"/>
  <c r="AU115" i="1"/>
  <c r="AO116" i="1"/>
  <c r="AP116" i="1" s="1"/>
  <c r="AU113" i="1"/>
  <c r="AE113" i="1"/>
  <c r="AE110" i="1"/>
  <c r="AO111" i="1"/>
  <c r="AP111" i="1" s="1"/>
  <c r="X41" i="1"/>
  <c r="Z41" i="1"/>
  <c r="W43" i="1"/>
  <c r="Y43" i="1"/>
  <c r="X45" i="1"/>
  <c r="Z45" i="1"/>
  <c r="X47" i="1"/>
  <c r="X52" i="1"/>
  <c r="X54" i="1"/>
  <c r="Z54" i="1"/>
  <c r="X59" i="1"/>
  <c r="Z59" i="1"/>
  <c r="X60" i="1"/>
  <c r="Z60" i="1"/>
  <c r="AA4" i="1"/>
  <c r="O4" i="18" s="1"/>
  <c r="P4" i="18" s="1"/>
  <c r="AM85" i="1" l="1"/>
  <c r="AN85" i="1" s="1"/>
  <c r="X56" i="1"/>
  <c r="AO85" i="1"/>
  <c r="Y48" i="1"/>
  <c r="Y49" i="1" s="1"/>
  <c r="Z49" i="1" s="1"/>
  <c r="X42" i="1"/>
  <c r="AE92" i="1"/>
  <c r="AU79" i="1"/>
  <c r="Y85" i="1"/>
  <c r="Z85" i="1" s="1"/>
  <c r="W48" i="1"/>
  <c r="X48" i="1" s="1"/>
  <c r="AE77" i="1"/>
  <c r="AE79" i="1" s="1"/>
  <c r="X95" i="1"/>
  <c r="X84" i="1"/>
  <c r="X89" i="1"/>
  <c r="X91" i="1"/>
  <c r="X82" i="1"/>
  <c r="X90" i="1"/>
  <c r="X81" i="1"/>
  <c r="X88" i="1"/>
  <c r="X78" i="1"/>
  <c r="X87" i="1"/>
  <c r="X77" i="1"/>
  <c r="X83" i="1"/>
  <c r="X96" i="1"/>
  <c r="Z56" i="1"/>
  <c r="X92" i="1"/>
  <c r="W79" i="1"/>
  <c r="W85" i="1" s="1"/>
  <c r="Z79" i="1"/>
  <c r="AN79" i="1"/>
  <c r="AU84" i="1"/>
  <c r="AU92" i="1"/>
  <c r="AO117" i="1"/>
  <c r="AP117" i="1" s="1"/>
  <c r="AE84" i="1"/>
  <c r="W117" i="1"/>
  <c r="AE115" i="1"/>
  <c r="AU110" i="1"/>
  <c r="AE111" i="1"/>
  <c r="AM116" i="1"/>
  <c r="AN116" i="1" s="1"/>
  <c r="AU114" i="1"/>
  <c r="AU109" i="1"/>
  <c r="AM111" i="1"/>
  <c r="AN111" i="1" s="1"/>
  <c r="AE109" i="1"/>
  <c r="AE114" i="1"/>
  <c r="AE119" i="1"/>
  <c r="AU120" i="1"/>
  <c r="AU122" i="1"/>
  <c r="AU127" i="1"/>
  <c r="AU119" i="1"/>
  <c r="Z124" i="1"/>
  <c r="Z52" i="1"/>
  <c r="Z47" i="1"/>
  <c r="Z42" i="1"/>
  <c r="Z55" i="1"/>
  <c r="Z53" i="1"/>
  <c r="Z51" i="1"/>
  <c r="Z46" i="1"/>
  <c r="Z43" i="1"/>
  <c r="X55" i="1"/>
  <c r="X53" i="1"/>
  <c r="X51" i="1"/>
  <c r="X46" i="1"/>
  <c r="X43" i="1"/>
  <c r="P125" i="4"/>
  <c r="P110" i="4"/>
  <c r="P109" i="4"/>
  <c r="P124" i="4"/>
  <c r="P90" i="4"/>
  <c r="P35" i="4"/>
  <c r="Y98" i="1" l="1"/>
  <c r="Z98" i="1" s="1"/>
  <c r="Z48" i="1"/>
  <c r="AM93" i="1"/>
  <c r="AM97" i="1" s="1"/>
  <c r="AN97" i="1" s="1"/>
  <c r="AM98" i="1"/>
  <c r="AN98" i="1" s="1"/>
  <c r="Y93" i="1"/>
  <c r="Z93" i="1" s="1"/>
  <c r="W49" i="1"/>
  <c r="W57" i="1" s="1"/>
  <c r="W61" i="1" s="1"/>
  <c r="X61" i="1" s="1"/>
  <c r="AU85" i="1"/>
  <c r="AU98" i="1" s="1"/>
  <c r="Y62" i="1"/>
  <c r="Z62" i="1" s="1"/>
  <c r="AO98" i="1"/>
  <c r="AP98" i="1" s="1"/>
  <c r="AP85" i="1"/>
  <c r="AO93" i="1"/>
  <c r="X79" i="1"/>
  <c r="W98" i="1"/>
  <c r="X98" i="1" s="1"/>
  <c r="W93" i="1"/>
  <c r="X85" i="1"/>
  <c r="Y57" i="1"/>
  <c r="Y61" i="1" s="1"/>
  <c r="Z61" i="1" s="1"/>
  <c r="W130" i="1"/>
  <c r="X130" i="1" s="1"/>
  <c r="X117" i="1"/>
  <c r="AO130" i="1"/>
  <c r="AP130" i="1" s="1"/>
  <c r="AO125" i="1"/>
  <c r="AU116" i="1"/>
  <c r="W125" i="1"/>
  <c r="AE85" i="1"/>
  <c r="AE98" i="1" s="1"/>
  <c r="AU124" i="1"/>
  <c r="AM117" i="1"/>
  <c r="AE116" i="1"/>
  <c r="AU111" i="1"/>
  <c r="AE124" i="1"/>
  <c r="Y117" i="1"/>
  <c r="Z117" i="1" s="1"/>
  <c r="X57" i="1" l="1"/>
  <c r="W62" i="1"/>
  <c r="X62" i="1" s="1"/>
  <c r="Y97" i="1"/>
  <c r="Z97" i="1" s="1"/>
  <c r="X49" i="1"/>
  <c r="AN93" i="1"/>
  <c r="AU93" i="1"/>
  <c r="AU97" i="1" s="1"/>
  <c r="Z57" i="1"/>
  <c r="AO97" i="1"/>
  <c r="AP97" i="1" s="1"/>
  <c r="AP93" i="1"/>
  <c r="AE93" i="1"/>
  <c r="AE97" i="1" s="1"/>
  <c r="W97" i="1"/>
  <c r="X97" i="1" s="1"/>
  <c r="X93" i="1"/>
  <c r="AO129" i="1"/>
  <c r="AP129" i="1" s="1"/>
  <c r="AP125" i="1"/>
  <c r="AU117" i="1"/>
  <c r="AU130" i="1" s="1"/>
  <c r="AN117" i="1"/>
  <c r="W129" i="1"/>
  <c r="X129" i="1" s="1"/>
  <c r="X125" i="1"/>
  <c r="AM130" i="1"/>
  <c r="AN130" i="1" s="1"/>
  <c r="AM125" i="1"/>
  <c r="AN125" i="1" s="1"/>
  <c r="Y130" i="1"/>
  <c r="Z130" i="1" s="1"/>
  <c r="Y125" i="1"/>
  <c r="Z125" i="1" s="1"/>
  <c r="AE117" i="1"/>
  <c r="AU125" i="1" l="1"/>
  <c r="AU129" i="1" s="1"/>
  <c r="AM129" i="1"/>
  <c r="AN129" i="1" s="1"/>
  <c r="AE130" i="1"/>
  <c r="AE125" i="1"/>
  <c r="Y129" i="1"/>
  <c r="Z129" i="1" s="1"/>
  <c r="P112" i="4"/>
  <c r="P127" i="4"/>
  <c r="H149" i="4"/>
  <c r="AE129" i="1" l="1"/>
  <c r="I210" i="4" l="1"/>
  <c r="I207" i="4"/>
  <c r="I209" i="4"/>
  <c r="I205" i="4"/>
  <c r="I211" i="4"/>
  <c r="I208" i="4"/>
  <c r="I206" i="4"/>
  <c r="AC5" i="15"/>
  <c r="I41" i="1" s="1"/>
  <c r="I109" i="1" s="1"/>
  <c r="N5" i="15"/>
  <c r="G41" i="1" s="1"/>
  <c r="G109" i="1" s="1"/>
  <c r="AC87" i="15"/>
  <c r="AC78" i="15"/>
  <c r="AC68" i="15"/>
  <c r="AC55" i="15"/>
  <c r="AC46" i="15"/>
  <c r="AC33" i="15"/>
  <c r="AC24" i="15"/>
  <c r="AC15" i="15"/>
  <c r="I51" i="1" s="1"/>
  <c r="N87" i="15"/>
  <c r="N78" i="15"/>
  <c r="N68" i="15"/>
  <c r="N55" i="15"/>
  <c r="N46" i="15"/>
  <c r="N33" i="15"/>
  <c r="N24" i="15"/>
  <c r="N15" i="15"/>
  <c r="G51" i="1" s="1"/>
  <c r="N32" i="15"/>
  <c r="G68" i="1" s="1"/>
  <c r="N14" i="15"/>
  <c r="N66" i="15"/>
  <c r="N44" i="15"/>
  <c r="N12" i="15"/>
  <c r="AC61" i="15"/>
  <c r="AC30" i="15"/>
  <c r="N84" i="15"/>
  <c r="N61" i="15"/>
  <c r="N21" i="15"/>
  <c r="G57" i="1" s="1"/>
  <c r="N41" i="15"/>
  <c r="AC34" i="15"/>
  <c r="I70" i="1" s="1"/>
  <c r="I134" i="1" s="1"/>
  <c r="N70" i="15"/>
  <c r="N6" i="15"/>
  <c r="G42" i="1" s="1"/>
  <c r="G110" i="1" s="1"/>
  <c r="AC86" i="15"/>
  <c r="AC77" i="15"/>
  <c r="AC67" i="15"/>
  <c r="AC54" i="15"/>
  <c r="AC45" i="15"/>
  <c r="AC32" i="15"/>
  <c r="I68" i="1" s="1"/>
  <c r="I132" i="1" s="1"/>
  <c r="AC23" i="15"/>
  <c r="I59" i="1" s="1"/>
  <c r="I123" i="1" s="1"/>
  <c r="AC14" i="15"/>
  <c r="N86" i="15"/>
  <c r="N77" i="15"/>
  <c r="N67" i="15"/>
  <c r="N54" i="15"/>
  <c r="N45" i="15"/>
  <c r="N23" i="15"/>
  <c r="G59" i="1" s="1"/>
  <c r="G123" i="1" s="1"/>
  <c r="N76" i="15"/>
  <c r="N31" i="15"/>
  <c r="AC74" i="15"/>
  <c r="AC21" i="15"/>
  <c r="I57" i="1" s="1"/>
  <c r="I121" i="1" s="1"/>
  <c r="N52" i="15"/>
  <c r="N11" i="15"/>
  <c r="G47" i="1" s="1"/>
  <c r="G115" i="1" s="1"/>
  <c r="AC56" i="15"/>
  <c r="N56" i="15"/>
  <c r="AC85" i="15"/>
  <c r="AC76" i="15"/>
  <c r="AC66" i="15"/>
  <c r="AC53" i="15"/>
  <c r="AC44" i="15"/>
  <c r="AC31" i="15"/>
  <c r="AC22" i="15"/>
  <c r="I58" i="1" s="1"/>
  <c r="I122" i="1" s="1"/>
  <c r="AC12" i="15"/>
  <c r="N85" i="15"/>
  <c r="N53" i="15"/>
  <c r="N22" i="15"/>
  <c r="G58" i="1" s="1"/>
  <c r="AC42" i="15"/>
  <c r="N74" i="15"/>
  <c r="N30" i="15"/>
  <c r="N20" i="15"/>
  <c r="G56" i="1" s="1"/>
  <c r="AC16" i="15"/>
  <c r="I52" i="1" s="1"/>
  <c r="N34" i="15"/>
  <c r="G70" i="1" s="1"/>
  <c r="G134" i="1" s="1"/>
  <c r="AC84" i="15"/>
  <c r="AC52" i="15"/>
  <c r="AC11" i="15"/>
  <c r="I47" i="1" s="1"/>
  <c r="I115" i="1" s="1"/>
  <c r="N42" i="15"/>
  <c r="N29" i="15"/>
  <c r="AC25" i="15"/>
  <c r="N25" i="15"/>
  <c r="AC82" i="15"/>
  <c r="AC73" i="15"/>
  <c r="AC60" i="15"/>
  <c r="AC51" i="15"/>
  <c r="AC41" i="15"/>
  <c r="AC29" i="15"/>
  <c r="AC20" i="15"/>
  <c r="I56" i="1" s="1"/>
  <c r="I120" i="1" s="1"/>
  <c r="AC10" i="15"/>
  <c r="I46" i="1" s="1"/>
  <c r="N82" i="15"/>
  <c r="N73" i="15"/>
  <c r="N60" i="15"/>
  <c r="N51" i="15"/>
  <c r="N10" i="15"/>
  <c r="G46" i="1" s="1"/>
  <c r="N47" i="15"/>
  <c r="AC81" i="15"/>
  <c r="AC72" i="15"/>
  <c r="AC59" i="15"/>
  <c r="AC50" i="15"/>
  <c r="AC40" i="15"/>
  <c r="AC28" i="15"/>
  <c r="I64" i="1" s="1"/>
  <c r="I128" i="1" s="1"/>
  <c r="AC19" i="15"/>
  <c r="I55" i="1" s="1"/>
  <c r="AC9" i="15"/>
  <c r="I45" i="1" s="1"/>
  <c r="I113" i="1" s="1"/>
  <c r="N81" i="15"/>
  <c r="N72" i="15"/>
  <c r="N59" i="15"/>
  <c r="N50" i="15"/>
  <c r="N40" i="15"/>
  <c r="N28" i="15"/>
  <c r="G64" i="1" s="1"/>
  <c r="G128" i="1" s="1"/>
  <c r="N19" i="15"/>
  <c r="G55" i="1" s="1"/>
  <c r="N9" i="15"/>
  <c r="G45" i="1" s="1"/>
  <c r="G113" i="1" s="1"/>
  <c r="N27" i="15"/>
  <c r="G63" i="1" s="1"/>
  <c r="G127" i="1" s="1"/>
  <c r="N7" i="15"/>
  <c r="AC70" i="15"/>
  <c r="AC6" i="15"/>
  <c r="I42" i="1" s="1"/>
  <c r="I110" i="1" s="1"/>
  <c r="AC80" i="15"/>
  <c r="AC71" i="15"/>
  <c r="AC58" i="15"/>
  <c r="AC48" i="15"/>
  <c r="AC35" i="15"/>
  <c r="AC27" i="15"/>
  <c r="I63" i="1" s="1"/>
  <c r="I127" i="1" s="1"/>
  <c r="AC17" i="15"/>
  <c r="AC7" i="15"/>
  <c r="N80" i="15"/>
  <c r="N71" i="15"/>
  <c r="N58" i="15"/>
  <c r="N48" i="15"/>
  <c r="N35" i="15"/>
  <c r="N17" i="15"/>
  <c r="AC79" i="15"/>
  <c r="AC47" i="15"/>
  <c r="N79" i="15"/>
  <c r="N16" i="15"/>
  <c r="G52" i="1" s="1"/>
  <c r="N92" i="4"/>
  <c r="N91" i="4"/>
  <c r="N54" i="4"/>
  <c r="N71" i="4"/>
  <c r="N70" i="4"/>
  <c r="N52" i="4"/>
  <c r="N73" i="4"/>
  <c r="N90" i="4"/>
  <c r="N53" i="4"/>
  <c r="N37" i="4"/>
  <c r="N55" i="4"/>
  <c r="N35" i="4"/>
  <c r="N51" i="4"/>
  <c r="N38" i="4"/>
  <c r="N93" i="4"/>
  <c r="N74" i="4"/>
  <c r="N94" i="4"/>
  <c r="N75" i="4"/>
  <c r="N36" i="4"/>
  <c r="N72" i="4"/>
  <c r="O57" i="1" l="1"/>
  <c r="O68" i="1"/>
  <c r="G121" i="1"/>
  <c r="G122" i="1"/>
  <c r="O58" i="1"/>
  <c r="G132" i="1"/>
  <c r="G120" i="1"/>
  <c r="O56" i="1"/>
  <c r="I114" i="1"/>
  <c r="G119" i="1"/>
  <c r="G60" i="1"/>
  <c r="G124" i="1" s="1"/>
  <c r="I60" i="1"/>
  <c r="I119" i="1"/>
  <c r="G114" i="1"/>
  <c r="G6" i="1"/>
  <c r="I32" i="18" s="1"/>
  <c r="J8" i="1"/>
  <c r="M6" i="1"/>
  <c r="G11" i="1"/>
  <c r="H9" i="1"/>
  <c r="I84" i="1"/>
  <c r="J84" i="1" s="1"/>
  <c r="H14" i="1"/>
  <c r="J51" i="1" s="1"/>
  <c r="N14" i="1"/>
  <c r="H15" i="1"/>
  <c r="O52" i="1" s="1"/>
  <c r="N15" i="1"/>
  <c r="N18" i="1"/>
  <c r="H19" i="1"/>
  <c r="N20" i="1"/>
  <c r="H21" i="1"/>
  <c r="N22" i="1"/>
  <c r="H23" i="1"/>
  <c r="H26" i="1"/>
  <c r="N27" i="1"/>
  <c r="O33" i="1"/>
  <c r="D51" i="1"/>
  <c r="H55" i="1"/>
  <c r="H41" i="1"/>
  <c r="J41" i="1"/>
  <c r="L41" i="1"/>
  <c r="N52" i="1"/>
  <c r="G43" i="1"/>
  <c r="G111" i="1" s="1"/>
  <c r="J42" i="1"/>
  <c r="I43" i="1"/>
  <c r="I111" i="1" s="1"/>
  <c r="H45" i="1"/>
  <c r="J45" i="1"/>
  <c r="H46" i="1"/>
  <c r="J46" i="1"/>
  <c r="G48" i="1"/>
  <c r="J47" i="1"/>
  <c r="I48" i="1"/>
  <c r="H52" i="1"/>
  <c r="J55" i="1"/>
  <c r="H56" i="1"/>
  <c r="J56" i="1"/>
  <c r="H57" i="1"/>
  <c r="J57" i="1"/>
  <c r="H58" i="1"/>
  <c r="J58" i="1"/>
  <c r="J59" i="1"/>
  <c r="H63" i="1"/>
  <c r="J63" i="1"/>
  <c r="J64" i="1"/>
  <c r="J32" i="18" l="1"/>
  <c r="G79" i="1"/>
  <c r="H79" i="1" s="1"/>
  <c r="H60" i="1"/>
  <c r="J48" i="1"/>
  <c r="I116" i="1"/>
  <c r="H48" i="1"/>
  <c r="G116" i="1"/>
  <c r="F15" i="1"/>
  <c r="E6" i="1"/>
  <c r="N5" i="1"/>
  <c r="H5" i="6" s="1"/>
  <c r="L4" i="1"/>
  <c r="D9" i="1"/>
  <c r="F27" i="1"/>
  <c r="D20" i="1"/>
  <c r="F18" i="1"/>
  <c r="F14" i="1"/>
  <c r="H51" i="1" s="1"/>
  <c r="D8" i="1"/>
  <c r="F20" i="1"/>
  <c r="L58" i="1"/>
  <c r="L63" i="1"/>
  <c r="N56" i="1"/>
  <c r="L52" i="1"/>
  <c r="L21" i="1"/>
  <c r="L64" i="1"/>
  <c r="L45" i="1"/>
  <c r="D14" i="1"/>
  <c r="F8" i="1"/>
  <c r="L46" i="1"/>
  <c r="D26" i="1"/>
  <c r="F22" i="1"/>
  <c r="D19" i="1"/>
  <c r="O18" i="1"/>
  <c r="D47" i="1"/>
  <c r="D52" i="1"/>
  <c r="D58" i="1"/>
  <c r="D55" i="1"/>
  <c r="D41" i="1"/>
  <c r="O22" i="1"/>
  <c r="D46" i="1"/>
  <c r="O59" i="1"/>
  <c r="O123" i="1" s="1"/>
  <c r="K43" i="1"/>
  <c r="D45" i="1"/>
  <c r="M11" i="1"/>
  <c r="L9" i="1"/>
  <c r="O120" i="1"/>
  <c r="O55" i="1"/>
  <c r="O21" i="1"/>
  <c r="L14" i="1"/>
  <c r="D64" i="1"/>
  <c r="D56" i="1"/>
  <c r="L23" i="1"/>
  <c r="L20" i="1"/>
  <c r="O8" i="1"/>
  <c r="O64" i="1"/>
  <c r="O128" i="1" s="1"/>
  <c r="O46" i="1"/>
  <c r="D59" i="1"/>
  <c r="O41" i="1"/>
  <c r="O109" i="1" s="1"/>
  <c r="D21" i="1"/>
  <c r="O19" i="1"/>
  <c r="D15" i="1"/>
  <c r="E11" i="1"/>
  <c r="L8" i="1"/>
  <c r="P34" i="4"/>
  <c r="D63" i="1"/>
  <c r="O121" i="1"/>
  <c r="L56" i="1"/>
  <c r="L55" i="1"/>
  <c r="E48" i="1"/>
  <c r="N10" i="1"/>
  <c r="K11" i="1"/>
  <c r="L59" i="1"/>
  <c r="F57" i="1"/>
  <c r="D23" i="1"/>
  <c r="F5" i="1"/>
  <c r="D5" i="6" s="1"/>
  <c r="P51" i="4"/>
  <c r="M48" i="1"/>
  <c r="O27" i="1"/>
  <c r="O26" i="1"/>
  <c r="D57" i="1"/>
  <c r="F10" i="1"/>
  <c r="O9" i="1"/>
  <c r="D5" i="1"/>
  <c r="I50" i="1"/>
  <c r="J50" i="1" s="1"/>
  <c r="H11" i="1"/>
  <c r="G84" i="1"/>
  <c r="H84" i="1" s="1"/>
  <c r="H6" i="1"/>
  <c r="G13" i="1"/>
  <c r="G16" i="1" s="1"/>
  <c r="I38" i="18" s="1"/>
  <c r="D27" i="1"/>
  <c r="J26" i="1"/>
  <c r="N23" i="1"/>
  <c r="F23" i="1"/>
  <c r="L22" i="1"/>
  <c r="D22" i="1"/>
  <c r="J21" i="1"/>
  <c r="H20" i="1"/>
  <c r="N19" i="1"/>
  <c r="F19" i="1"/>
  <c r="L18" i="1"/>
  <c r="D18" i="1"/>
  <c r="L10" i="1"/>
  <c r="D10" i="1"/>
  <c r="J9" i="1"/>
  <c r="H8" i="1"/>
  <c r="N6" i="1"/>
  <c r="L5" i="1"/>
  <c r="G5" i="6" s="1"/>
  <c r="J4" i="1"/>
  <c r="J27" i="1"/>
  <c r="J22" i="1"/>
  <c r="L19" i="1"/>
  <c r="J18" i="1"/>
  <c r="J10" i="1"/>
  <c r="N8" i="1"/>
  <c r="J5" i="1"/>
  <c r="F5" i="6" s="1"/>
  <c r="K6" i="1"/>
  <c r="H27" i="1"/>
  <c r="N26" i="1"/>
  <c r="F26" i="1"/>
  <c r="J23" i="1"/>
  <c r="H22" i="1"/>
  <c r="N21" i="1"/>
  <c r="F21" i="1"/>
  <c r="J19" i="1"/>
  <c r="H18" i="1"/>
  <c r="J15" i="1"/>
  <c r="J14" i="1"/>
  <c r="J11" i="1"/>
  <c r="H10" i="1"/>
  <c r="N9" i="1"/>
  <c r="F9" i="1"/>
  <c r="E5" i="6"/>
  <c r="N4" i="1"/>
  <c r="F4" i="1"/>
  <c r="O10" i="1"/>
  <c r="I6" i="1"/>
  <c r="L32" i="18" s="1"/>
  <c r="M32" i="18" s="1"/>
  <c r="J20" i="1"/>
  <c r="H43" i="1"/>
  <c r="G50" i="1"/>
  <c r="G53" i="1" s="1"/>
  <c r="G117" i="1" s="1"/>
  <c r="O63" i="1"/>
  <c r="O127" i="1" s="1"/>
  <c r="O122" i="1"/>
  <c r="N51" i="1"/>
  <c r="L47" i="1"/>
  <c r="L42" i="1"/>
  <c r="D42" i="1"/>
  <c r="H64" i="1"/>
  <c r="N63" i="1"/>
  <c r="F63" i="1"/>
  <c r="H59" i="1"/>
  <c r="N58" i="1"/>
  <c r="F58" i="1"/>
  <c r="L57" i="1"/>
  <c r="J52" i="1"/>
  <c r="L51" i="1"/>
  <c r="O45" i="1"/>
  <c r="O113" i="1" s="1"/>
  <c r="M43" i="1"/>
  <c r="E43" i="1"/>
  <c r="E111" i="1" s="1"/>
  <c r="F45" i="1"/>
  <c r="F56" i="1"/>
  <c r="N45" i="1"/>
  <c r="N64" i="1"/>
  <c r="F64" i="1"/>
  <c r="N59" i="1"/>
  <c r="F59" i="1"/>
  <c r="N55" i="1"/>
  <c r="F55" i="1"/>
  <c r="K48" i="1"/>
  <c r="K116" i="1" s="1"/>
  <c r="F52" i="1"/>
  <c r="H47" i="1"/>
  <c r="N46" i="1"/>
  <c r="F46" i="1"/>
  <c r="J43" i="1"/>
  <c r="H42" i="1"/>
  <c r="N41" i="1"/>
  <c r="O47" i="1"/>
  <c r="O115" i="1" s="1"/>
  <c r="O42" i="1"/>
  <c r="O110" i="1" s="1"/>
  <c r="N47" i="1"/>
  <c r="N42" i="1"/>
  <c r="F51" i="1"/>
  <c r="F47" i="1"/>
  <c r="N57" i="1"/>
  <c r="O102" i="1"/>
  <c r="O100" i="1"/>
  <c r="M102" i="1"/>
  <c r="M100" i="1"/>
  <c r="K102" i="1"/>
  <c r="K100" i="1"/>
  <c r="I102" i="1"/>
  <c r="J102" i="1" s="1"/>
  <c r="I100" i="1"/>
  <c r="J100" i="1" s="1"/>
  <c r="G102" i="1"/>
  <c r="H102" i="1" s="1"/>
  <c r="G100" i="1"/>
  <c r="H100" i="1" s="1"/>
  <c r="E102" i="1"/>
  <c r="E100" i="1"/>
  <c r="AS60" i="1"/>
  <c r="AS59" i="1"/>
  <c r="AQ60" i="1"/>
  <c r="AQ59" i="1"/>
  <c r="AK60" i="1"/>
  <c r="AK59" i="1"/>
  <c r="AS52" i="1"/>
  <c r="AS53" i="1"/>
  <c r="AS54" i="1"/>
  <c r="AS55" i="1"/>
  <c r="AS51" i="1"/>
  <c r="AQ52" i="1"/>
  <c r="AQ53" i="1"/>
  <c r="AQ54" i="1"/>
  <c r="AQ55" i="1"/>
  <c r="AQ51" i="1"/>
  <c r="AQ56" i="1" s="1"/>
  <c r="AK52" i="1"/>
  <c r="AK53" i="1"/>
  <c r="AK54" i="1"/>
  <c r="AK55" i="1"/>
  <c r="AK51" i="1"/>
  <c r="AS46" i="1"/>
  <c r="AS47" i="1"/>
  <c r="AS45" i="1"/>
  <c r="AQ46" i="1"/>
  <c r="AQ47" i="1"/>
  <c r="AQ45" i="1"/>
  <c r="AK46" i="1"/>
  <c r="AK47" i="1"/>
  <c r="AS42" i="1"/>
  <c r="AS41" i="1"/>
  <c r="AQ41" i="1"/>
  <c r="AK45" i="1"/>
  <c r="AQ42" i="1"/>
  <c r="AK42" i="1"/>
  <c r="AK41" i="1"/>
  <c r="AC60" i="1"/>
  <c r="AC59" i="1"/>
  <c r="AA60" i="1"/>
  <c r="AA59" i="1"/>
  <c r="U60" i="1"/>
  <c r="U59" i="1"/>
  <c r="U52" i="1"/>
  <c r="U53" i="1"/>
  <c r="U54" i="1"/>
  <c r="U55" i="1"/>
  <c r="U51" i="1"/>
  <c r="AC46" i="1"/>
  <c r="AC47" i="1"/>
  <c r="AC45" i="1"/>
  <c r="AC42" i="1"/>
  <c r="AC41" i="1"/>
  <c r="AA46" i="1"/>
  <c r="AA47" i="1"/>
  <c r="AA45" i="1"/>
  <c r="AA42" i="1"/>
  <c r="AA41" i="1"/>
  <c r="AC52" i="1"/>
  <c r="AC53" i="1"/>
  <c r="AC54" i="1"/>
  <c r="AC55" i="1"/>
  <c r="AC51" i="1"/>
  <c r="AA52" i="1"/>
  <c r="AA53" i="1"/>
  <c r="AA54" i="1"/>
  <c r="AA55" i="1"/>
  <c r="AA51" i="1"/>
  <c r="U46" i="1"/>
  <c r="U47" i="1"/>
  <c r="U45" i="1"/>
  <c r="U42" i="1"/>
  <c r="U41" i="1"/>
  <c r="AS23" i="1"/>
  <c r="AS22" i="1"/>
  <c r="AQ23" i="1"/>
  <c r="AQ22" i="1"/>
  <c r="AK23" i="1"/>
  <c r="AK22" i="1"/>
  <c r="AQ15" i="1"/>
  <c r="AQ16" i="1"/>
  <c r="AQ17" i="1"/>
  <c r="AQ18" i="1"/>
  <c r="AQ14" i="1"/>
  <c r="AK15" i="1"/>
  <c r="AK16" i="1"/>
  <c r="AK17" i="1"/>
  <c r="AK18" i="1"/>
  <c r="AK14" i="1"/>
  <c r="AS15" i="1"/>
  <c r="AS16" i="1"/>
  <c r="AS17" i="1"/>
  <c r="AS18" i="1"/>
  <c r="AS14" i="1"/>
  <c r="AS9" i="1"/>
  <c r="AS10" i="1"/>
  <c r="AS8" i="1"/>
  <c r="AS5" i="1"/>
  <c r="H10" i="6" s="1"/>
  <c r="AS4" i="1"/>
  <c r="P92" i="4" s="1"/>
  <c r="AQ9" i="1"/>
  <c r="AQ10" i="1"/>
  <c r="AQ8" i="1"/>
  <c r="AQ5" i="1"/>
  <c r="G10" i="6" s="1"/>
  <c r="AQ4" i="1"/>
  <c r="P36" i="4" s="1"/>
  <c r="AK9" i="1"/>
  <c r="AK10" i="1"/>
  <c r="AK8" i="1"/>
  <c r="AK5" i="1"/>
  <c r="D10" i="6" s="1"/>
  <c r="AK4" i="1"/>
  <c r="P53" i="4" s="1"/>
  <c r="AC23" i="1"/>
  <c r="R23" i="18" s="1"/>
  <c r="S23" i="18" s="1"/>
  <c r="AC22" i="1"/>
  <c r="R22" i="18" s="1"/>
  <c r="S22" i="18" s="1"/>
  <c r="AA23" i="1"/>
  <c r="O23" i="18" s="1"/>
  <c r="P23" i="18" s="1"/>
  <c r="AA22" i="1"/>
  <c r="O22" i="18" s="1"/>
  <c r="P22" i="18" s="1"/>
  <c r="U23" i="1"/>
  <c r="F23" i="18" s="1"/>
  <c r="G23" i="18" s="1"/>
  <c r="U22" i="1"/>
  <c r="F22" i="18" s="1"/>
  <c r="G22" i="18" s="1"/>
  <c r="AC15" i="1"/>
  <c r="R15" i="18" s="1"/>
  <c r="S15" i="18" s="1"/>
  <c r="AC16" i="1"/>
  <c r="R16" i="18" s="1"/>
  <c r="S16" i="18" s="1"/>
  <c r="AC17" i="1"/>
  <c r="R17" i="18" s="1"/>
  <c r="S17" i="18" s="1"/>
  <c r="AC18" i="1"/>
  <c r="R18" i="18" s="1"/>
  <c r="S18" i="18" s="1"/>
  <c r="AC14" i="1"/>
  <c r="AA15" i="1"/>
  <c r="O15" i="18" s="1"/>
  <c r="P15" i="18" s="1"/>
  <c r="AA16" i="1"/>
  <c r="O16" i="18" s="1"/>
  <c r="P16" i="18" s="1"/>
  <c r="AA17" i="1"/>
  <c r="O17" i="18" s="1"/>
  <c r="P17" i="18" s="1"/>
  <c r="AA18" i="1"/>
  <c r="O18" i="18" s="1"/>
  <c r="P18" i="18" s="1"/>
  <c r="AA14" i="1"/>
  <c r="U15" i="1"/>
  <c r="F15" i="18" s="1"/>
  <c r="G15" i="18" s="1"/>
  <c r="U16" i="1"/>
  <c r="F16" i="18" s="1"/>
  <c r="G16" i="18" s="1"/>
  <c r="U17" i="1"/>
  <c r="F17" i="18" s="1"/>
  <c r="G17" i="18" s="1"/>
  <c r="U18" i="1"/>
  <c r="F18" i="18" s="1"/>
  <c r="G18" i="18" s="1"/>
  <c r="U14" i="1"/>
  <c r="AC9" i="1"/>
  <c r="R9" i="18" s="1"/>
  <c r="S9" i="18" s="1"/>
  <c r="AC10" i="1"/>
  <c r="R10" i="18" s="1"/>
  <c r="S10" i="18" s="1"/>
  <c r="AC8" i="1"/>
  <c r="R8" i="18" s="1"/>
  <c r="S8" i="18" s="1"/>
  <c r="AC5" i="1"/>
  <c r="P91" i="4"/>
  <c r="AA5" i="1"/>
  <c r="AA9" i="1"/>
  <c r="O9" i="18" s="1"/>
  <c r="P9" i="18" s="1"/>
  <c r="AA10" i="1"/>
  <c r="O10" i="18" s="1"/>
  <c r="P10" i="18" s="1"/>
  <c r="AA8" i="1"/>
  <c r="O8" i="18" s="1"/>
  <c r="P8" i="18" s="1"/>
  <c r="U9" i="1"/>
  <c r="F9" i="18" s="1"/>
  <c r="G9" i="18" s="1"/>
  <c r="U10" i="1"/>
  <c r="F10" i="18" s="1"/>
  <c r="G10" i="18" s="1"/>
  <c r="U8" i="1"/>
  <c r="F8" i="18" s="1"/>
  <c r="G8" i="18" s="1"/>
  <c r="U5" i="1"/>
  <c r="U4" i="1"/>
  <c r="K77" i="1"/>
  <c r="M96" i="1"/>
  <c r="M95" i="1"/>
  <c r="K96" i="1"/>
  <c r="K95" i="1"/>
  <c r="E96" i="1"/>
  <c r="E95" i="1"/>
  <c r="M92" i="1"/>
  <c r="K92" i="1"/>
  <c r="E92" i="1"/>
  <c r="M88" i="1"/>
  <c r="M89" i="1"/>
  <c r="M90" i="1"/>
  <c r="M91" i="1"/>
  <c r="M87" i="1"/>
  <c r="K88" i="1"/>
  <c r="K89" i="1"/>
  <c r="K90" i="1"/>
  <c r="K91" i="1"/>
  <c r="K87" i="1"/>
  <c r="E88" i="1"/>
  <c r="E89" i="1"/>
  <c r="E90" i="1"/>
  <c r="E91" i="1"/>
  <c r="E87" i="1"/>
  <c r="M83" i="1"/>
  <c r="M81" i="1"/>
  <c r="K83" i="1"/>
  <c r="K81" i="1"/>
  <c r="E83" i="1"/>
  <c r="E81" i="1"/>
  <c r="M77" i="1"/>
  <c r="K78" i="1"/>
  <c r="P123" i="4"/>
  <c r="P108" i="4"/>
  <c r="E78" i="1"/>
  <c r="AK19" i="1" l="1"/>
  <c r="AY10" i="1"/>
  <c r="AA10" i="18" s="1"/>
  <c r="AJ10" i="18" s="1"/>
  <c r="AK10" i="18" s="1"/>
  <c r="O23" i="1"/>
  <c r="AQ19" i="1"/>
  <c r="U56" i="1"/>
  <c r="AS56" i="1"/>
  <c r="P52" i="4"/>
  <c r="F4" i="18"/>
  <c r="G4" i="18" s="1"/>
  <c r="AC19" i="1"/>
  <c r="R19" i="18" s="1"/>
  <c r="S19" i="18" s="1"/>
  <c r="R14" i="18"/>
  <c r="S14" i="18" s="1"/>
  <c r="AS19" i="1"/>
  <c r="J38" i="18"/>
  <c r="D9" i="6"/>
  <c r="F5" i="18"/>
  <c r="G5" i="18" s="1"/>
  <c r="L11" i="1"/>
  <c r="F6" i="1"/>
  <c r="G9" i="6"/>
  <c r="O5" i="18"/>
  <c r="P5" i="18" s="1"/>
  <c r="AA19" i="1"/>
  <c r="O19" i="18" s="1"/>
  <c r="P19" i="18" s="1"/>
  <c r="O14" i="18"/>
  <c r="P14" i="18" s="1"/>
  <c r="AC56" i="1"/>
  <c r="U32" i="18"/>
  <c r="V32" i="18" s="1"/>
  <c r="H9" i="6"/>
  <c r="R5" i="18"/>
  <c r="S5" i="18" s="1"/>
  <c r="AK56" i="1"/>
  <c r="D11" i="1"/>
  <c r="M13" i="1"/>
  <c r="U19" i="1"/>
  <c r="F19" i="18" s="1"/>
  <c r="G19" i="18" s="1"/>
  <c r="F14" i="18"/>
  <c r="G14" i="18" s="1"/>
  <c r="AA56" i="1"/>
  <c r="E13" i="1"/>
  <c r="O82" i="1"/>
  <c r="P33" i="1"/>
  <c r="P31" i="1"/>
  <c r="P23" i="1"/>
  <c r="O119" i="1"/>
  <c r="O60" i="1"/>
  <c r="N60" i="1"/>
  <c r="M124" i="1"/>
  <c r="N48" i="1"/>
  <c r="M116" i="1"/>
  <c r="N43" i="1"/>
  <c r="M111" i="1"/>
  <c r="L60" i="1"/>
  <c r="K124" i="1"/>
  <c r="L43" i="1"/>
  <c r="K111" i="1"/>
  <c r="F60" i="1"/>
  <c r="E124" i="1"/>
  <c r="F48" i="1"/>
  <c r="E116" i="1"/>
  <c r="J60" i="1"/>
  <c r="I124" i="1"/>
  <c r="G85" i="1"/>
  <c r="H85" i="1" s="1"/>
  <c r="G24" i="1"/>
  <c r="I46" i="18" s="1"/>
  <c r="J46" i="18" s="1"/>
  <c r="G29" i="1"/>
  <c r="I51" i="18" s="1"/>
  <c r="J51" i="18" s="1"/>
  <c r="D60" i="1"/>
  <c r="D43" i="1"/>
  <c r="F11" i="1"/>
  <c r="E16" i="1"/>
  <c r="D6" i="1"/>
  <c r="O51" i="1"/>
  <c r="P51" i="1" s="1"/>
  <c r="N11" i="1"/>
  <c r="P46" i="1"/>
  <c r="P64" i="1"/>
  <c r="P57" i="1"/>
  <c r="P59" i="1"/>
  <c r="P55" i="1"/>
  <c r="P41" i="1"/>
  <c r="O43" i="1"/>
  <c r="P63" i="1"/>
  <c r="P52" i="1"/>
  <c r="P47" i="1"/>
  <c r="M50" i="1"/>
  <c r="M53" i="1" s="1"/>
  <c r="P56" i="1"/>
  <c r="E50" i="1"/>
  <c r="E53" i="1" s="1"/>
  <c r="N13" i="1"/>
  <c r="M16" i="1"/>
  <c r="I53" i="1"/>
  <c r="I117" i="1" s="1"/>
  <c r="D122" i="1"/>
  <c r="D113" i="1"/>
  <c r="D110" i="1"/>
  <c r="D121" i="1"/>
  <c r="D128" i="1"/>
  <c r="D119" i="1"/>
  <c r="D109" i="1"/>
  <c r="D134" i="1"/>
  <c r="D115" i="1"/>
  <c r="D132" i="1"/>
  <c r="D123" i="1"/>
  <c r="D114" i="1"/>
  <c r="N90" i="1"/>
  <c r="N81" i="1"/>
  <c r="N88" i="1"/>
  <c r="N89" i="1"/>
  <c r="N96" i="1"/>
  <c r="N87" i="1"/>
  <c r="N77" i="1"/>
  <c r="N95" i="1"/>
  <c r="N102" i="1"/>
  <c r="N92" i="1"/>
  <c r="N83" i="1"/>
  <c r="N100" i="1"/>
  <c r="N91" i="1"/>
  <c r="N82" i="1"/>
  <c r="AE23" i="1"/>
  <c r="U23" i="18" s="1"/>
  <c r="V23" i="18" s="1"/>
  <c r="P42" i="1"/>
  <c r="D90" i="1"/>
  <c r="D81" i="1"/>
  <c r="D88" i="1"/>
  <c r="D78" i="1"/>
  <c r="D96" i="1"/>
  <c r="D87" i="1"/>
  <c r="D77" i="1"/>
  <c r="D95" i="1"/>
  <c r="D102" i="1"/>
  <c r="D92" i="1"/>
  <c r="D83" i="1"/>
  <c r="D100" i="1"/>
  <c r="D91" i="1"/>
  <c r="D82" i="1"/>
  <c r="D89" i="1"/>
  <c r="F90" i="1"/>
  <c r="F81" i="1"/>
  <c r="F88" i="1"/>
  <c r="F78" i="1"/>
  <c r="F96" i="1"/>
  <c r="F87" i="1"/>
  <c r="F77" i="1"/>
  <c r="F95" i="1"/>
  <c r="F102" i="1"/>
  <c r="F92" i="1"/>
  <c r="F83" i="1"/>
  <c r="F100" i="1"/>
  <c r="F91" i="1"/>
  <c r="F82" i="1"/>
  <c r="F89" i="1"/>
  <c r="L90" i="1"/>
  <c r="L81" i="1"/>
  <c r="L89" i="1"/>
  <c r="L88" i="1"/>
  <c r="L78" i="1"/>
  <c r="L96" i="1"/>
  <c r="L87" i="1"/>
  <c r="L77" i="1"/>
  <c r="L95" i="1"/>
  <c r="L102" i="1"/>
  <c r="L92" i="1"/>
  <c r="L83" i="1"/>
  <c r="L100" i="1"/>
  <c r="L91" i="1"/>
  <c r="L82" i="1"/>
  <c r="W6" i="1"/>
  <c r="I6" i="18" s="1"/>
  <c r="J6" i="18" s="1"/>
  <c r="H115" i="1"/>
  <c r="H132" i="1"/>
  <c r="H123" i="1"/>
  <c r="H114" i="1"/>
  <c r="H122" i="1"/>
  <c r="H113" i="1"/>
  <c r="H109" i="1"/>
  <c r="H134" i="1"/>
  <c r="H121" i="1"/>
  <c r="H128" i="1"/>
  <c r="H127" i="1"/>
  <c r="H120" i="1"/>
  <c r="H110" i="1"/>
  <c r="H119" i="1"/>
  <c r="J128" i="1"/>
  <c r="J119" i="1"/>
  <c r="J109" i="1"/>
  <c r="J127" i="1"/>
  <c r="J121" i="1"/>
  <c r="J115" i="1"/>
  <c r="J132" i="1"/>
  <c r="J123" i="1"/>
  <c r="J114" i="1"/>
  <c r="J122" i="1"/>
  <c r="J113" i="1"/>
  <c r="J120" i="1"/>
  <c r="J110" i="1"/>
  <c r="J134" i="1"/>
  <c r="I13" i="1"/>
  <c r="I16" i="1" s="1"/>
  <c r="L38" i="18" s="1"/>
  <c r="M38" i="18" s="1"/>
  <c r="I79" i="1"/>
  <c r="J79" i="1" s="1"/>
  <c r="J6" i="1"/>
  <c r="H16" i="1"/>
  <c r="H13" i="1"/>
  <c r="O11" i="1"/>
  <c r="P19" i="1"/>
  <c r="P5" i="1"/>
  <c r="P10" i="1"/>
  <c r="P18" i="1"/>
  <c r="P22" i="1"/>
  <c r="P27" i="1"/>
  <c r="P4" i="1"/>
  <c r="P9" i="1"/>
  <c r="P21" i="1"/>
  <c r="P26" i="1"/>
  <c r="P8" i="1"/>
  <c r="P14" i="1"/>
  <c r="P15" i="1"/>
  <c r="P20" i="1"/>
  <c r="O6" i="1"/>
  <c r="K13" i="1"/>
  <c r="L6" i="1"/>
  <c r="P58" i="1"/>
  <c r="F43" i="1"/>
  <c r="D48" i="1"/>
  <c r="O48" i="1"/>
  <c r="H50" i="1"/>
  <c r="G66" i="1"/>
  <c r="G130" i="1" s="1"/>
  <c r="K50" i="1"/>
  <c r="L48" i="1"/>
  <c r="P45" i="1"/>
  <c r="AE22" i="1"/>
  <c r="U22" i="18" s="1"/>
  <c r="V22" i="18" s="1"/>
  <c r="D120" i="1"/>
  <c r="AN5" i="1"/>
  <c r="E7" i="6" s="1"/>
  <c r="M78" i="1"/>
  <c r="N78" i="1" s="1"/>
  <c r="D68" i="1"/>
  <c r="D127" i="1"/>
  <c r="D70" i="1"/>
  <c r="U38" i="18" l="1"/>
  <c r="P11" i="1"/>
  <c r="G28" i="1"/>
  <c r="I50" i="18" s="1"/>
  <c r="J50" i="18" s="1"/>
  <c r="P6" i="1"/>
  <c r="AY46" i="1"/>
  <c r="N53" i="1"/>
  <c r="M117" i="1"/>
  <c r="M66" i="1"/>
  <c r="O114" i="1"/>
  <c r="J16" i="1"/>
  <c r="I29" i="1"/>
  <c r="L51" i="18" s="1"/>
  <c r="M51" i="18" s="1"/>
  <c r="I24" i="1"/>
  <c r="G98" i="1"/>
  <c r="H29" i="1"/>
  <c r="H28" i="1"/>
  <c r="P60" i="1"/>
  <c r="O124" i="1"/>
  <c r="E61" i="1"/>
  <c r="E65" i="1" s="1"/>
  <c r="E67" i="1" s="1"/>
  <c r="E69" i="1" s="1"/>
  <c r="E117" i="1"/>
  <c r="E66" i="1"/>
  <c r="P48" i="1"/>
  <c r="O116" i="1"/>
  <c r="P43" i="1"/>
  <c r="O111" i="1"/>
  <c r="I61" i="1"/>
  <c r="I125" i="1" s="1"/>
  <c r="I66" i="1"/>
  <c r="I130" i="1" s="1"/>
  <c r="H66" i="1"/>
  <c r="H130" i="1"/>
  <c r="M29" i="1"/>
  <c r="M24" i="1"/>
  <c r="M28" i="1" s="1"/>
  <c r="F53" i="1"/>
  <c r="J53" i="1"/>
  <c r="N50" i="1"/>
  <c r="M61" i="1"/>
  <c r="F50" i="1"/>
  <c r="N16" i="1"/>
  <c r="F13" i="1"/>
  <c r="D13" i="1"/>
  <c r="N122" i="1"/>
  <c r="N113" i="1"/>
  <c r="N120" i="1"/>
  <c r="N110" i="1"/>
  <c r="N128" i="1"/>
  <c r="N119" i="1"/>
  <c r="N109" i="1"/>
  <c r="N121" i="1"/>
  <c r="N127" i="1"/>
  <c r="N134" i="1"/>
  <c r="N115" i="1"/>
  <c r="N132" i="1"/>
  <c r="N123" i="1"/>
  <c r="N114" i="1"/>
  <c r="J13" i="1"/>
  <c r="F122" i="1"/>
  <c r="F113" i="1"/>
  <c r="F120" i="1"/>
  <c r="F110" i="1"/>
  <c r="F128" i="1"/>
  <c r="F119" i="1"/>
  <c r="F109" i="1"/>
  <c r="F121" i="1"/>
  <c r="F127" i="1"/>
  <c r="F134" i="1"/>
  <c r="F115" i="1"/>
  <c r="F132" i="1"/>
  <c r="F123" i="1"/>
  <c r="F114" i="1"/>
  <c r="L122" i="1"/>
  <c r="L113" i="1"/>
  <c r="L120" i="1"/>
  <c r="L110" i="1"/>
  <c r="L128" i="1"/>
  <c r="L119" i="1"/>
  <c r="L109" i="1"/>
  <c r="L121" i="1"/>
  <c r="L127" i="1"/>
  <c r="L134" i="1"/>
  <c r="L115" i="1"/>
  <c r="L132" i="1"/>
  <c r="L123" i="1"/>
  <c r="L114" i="1"/>
  <c r="O50" i="1"/>
  <c r="O53" i="1" s="1"/>
  <c r="I85" i="1"/>
  <c r="J85" i="1" s="1"/>
  <c r="H24" i="1"/>
  <c r="G93" i="1"/>
  <c r="H93" i="1" s="1"/>
  <c r="K16" i="1"/>
  <c r="L13" i="1"/>
  <c r="O13" i="1"/>
  <c r="O16" i="1" s="1"/>
  <c r="L50" i="1"/>
  <c r="K53" i="1"/>
  <c r="D50" i="1"/>
  <c r="H53" i="1"/>
  <c r="G61" i="1"/>
  <c r="G125" i="1" s="1"/>
  <c r="AT60" i="1"/>
  <c r="AT59" i="1"/>
  <c r="AR60" i="1"/>
  <c r="AR59" i="1"/>
  <c r="AP60" i="1"/>
  <c r="AP59" i="1"/>
  <c r="AN60" i="1"/>
  <c r="AN59" i="1"/>
  <c r="AL60" i="1"/>
  <c r="AL59" i="1"/>
  <c r="AJ60" i="1"/>
  <c r="AJ59" i="1"/>
  <c r="AT55" i="1"/>
  <c r="AT54" i="1"/>
  <c r="AT53" i="1"/>
  <c r="AT52" i="1"/>
  <c r="AT51" i="1"/>
  <c r="AT47" i="1"/>
  <c r="AT46" i="1"/>
  <c r="AT45" i="1"/>
  <c r="AT42" i="1"/>
  <c r="AT41" i="1"/>
  <c r="AR55" i="1"/>
  <c r="AR54" i="1"/>
  <c r="AR53" i="1"/>
  <c r="AR52" i="1"/>
  <c r="AR51" i="1"/>
  <c r="AR47" i="1"/>
  <c r="AR46" i="1"/>
  <c r="AR45" i="1"/>
  <c r="AR42" i="1"/>
  <c r="AR41" i="1"/>
  <c r="AP55" i="1"/>
  <c r="AP54" i="1"/>
  <c r="AP53" i="1"/>
  <c r="AP52" i="1"/>
  <c r="AP51" i="1"/>
  <c r="AP47" i="1"/>
  <c r="AP46" i="1"/>
  <c r="AP45" i="1"/>
  <c r="AP42" i="1"/>
  <c r="AP41" i="1"/>
  <c r="AN55" i="1"/>
  <c r="AN54" i="1"/>
  <c r="AN53" i="1"/>
  <c r="AN52" i="1"/>
  <c r="AN51" i="1"/>
  <c r="AN47" i="1"/>
  <c r="AN46" i="1"/>
  <c r="AN45" i="1"/>
  <c r="AN42" i="1"/>
  <c r="AN41" i="1"/>
  <c r="AL55" i="1"/>
  <c r="AL54" i="1"/>
  <c r="AL53" i="1"/>
  <c r="AL52" i="1"/>
  <c r="AL51" i="1"/>
  <c r="AL47" i="1"/>
  <c r="AL46" i="1"/>
  <c r="AL45" i="1"/>
  <c r="AL42" i="1"/>
  <c r="AL41" i="1"/>
  <c r="AJ55" i="1"/>
  <c r="AJ54" i="1"/>
  <c r="AJ53" i="1"/>
  <c r="AJ52" i="1"/>
  <c r="AJ51" i="1"/>
  <c r="AJ47" i="1"/>
  <c r="AJ46" i="1"/>
  <c r="AJ45" i="1"/>
  <c r="AJ42" i="1"/>
  <c r="AJ41" i="1"/>
  <c r="AU53" i="1"/>
  <c r="AS48" i="1"/>
  <c r="AT48" i="1" s="1"/>
  <c r="AQ48" i="1"/>
  <c r="AR48" i="1" s="1"/>
  <c r="AK48" i="1"/>
  <c r="AL48" i="1" s="1"/>
  <c r="AJ48" i="1"/>
  <c r="AJ43" i="1"/>
  <c r="AK43" i="1"/>
  <c r="AL43" i="1" s="1"/>
  <c r="AQ43" i="1"/>
  <c r="AR43" i="1" s="1"/>
  <c r="AS43" i="1"/>
  <c r="AT43" i="1" s="1"/>
  <c r="AS11" i="1"/>
  <c r="AQ11" i="1"/>
  <c r="AO11" i="1"/>
  <c r="AM11" i="1"/>
  <c r="AK11" i="1"/>
  <c r="V8" i="1"/>
  <c r="AS6" i="1"/>
  <c r="AT6" i="1" s="1"/>
  <c r="AQ6" i="1"/>
  <c r="AR6" i="1" s="1"/>
  <c r="AK6" i="1"/>
  <c r="AL6" i="1" s="1"/>
  <c r="AT5" i="1"/>
  <c r="H7" i="6" s="1"/>
  <c r="AT4" i="1"/>
  <c r="AT8" i="1"/>
  <c r="AT10" i="1"/>
  <c r="AT9" i="1"/>
  <c r="AT18" i="1"/>
  <c r="AT17" i="1"/>
  <c r="AT16" i="1"/>
  <c r="AT15" i="1"/>
  <c r="AT14" i="1"/>
  <c r="AT23" i="1"/>
  <c r="AT22" i="1"/>
  <c r="AR23" i="1"/>
  <c r="AR22" i="1"/>
  <c r="AR18" i="1"/>
  <c r="AR17" i="1"/>
  <c r="AR16" i="1"/>
  <c r="AR15" i="1"/>
  <c r="AR14" i="1"/>
  <c r="AR10" i="1"/>
  <c r="AR9" i="1"/>
  <c r="AR8" i="1"/>
  <c r="AR5" i="1"/>
  <c r="G7" i="6" s="1"/>
  <c r="AR4" i="1"/>
  <c r="AP4" i="1"/>
  <c r="AP10" i="1"/>
  <c r="AP9" i="1"/>
  <c r="AP8" i="1"/>
  <c r="AP18" i="1"/>
  <c r="AP17" i="1"/>
  <c r="AP16" i="1"/>
  <c r="AP15" i="1"/>
  <c r="AP14" i="1"/>
  <c r="AP23" i="1"/>
  <c r="AP22" i="1"/>
  <c r="AN23" i="1"/>
  <c r="AN22" i="1"/>
  <c r="AN18" i="1"/>
  <c r="AN17" i="1"/>
  <c r="AN16" i="1"/>
  <c r="AN15" i="1"/>
  <c r="AN14" i="1"/>
  <c r="AN10" i="1"/>
  <c r="AN9" i="1"/>
  <c r="AN8" i="1"/>
  <c r="AN4" i="1"/>
  <c r="AL5" i="1"/>
  <c r="D7" i="6" s="1"/>
  <c r="AL4" i="1"/>
  <c r="AL10" i="1"/>
  <c r="AL9" i="1"/>
  <c r="AL8" i="1"/>
  <c r="AL18" i="1"/>
  <c r="AL17" i="1"/>
  <c r="AL16" i="1"/>
  <c r="AL15" i="1"/>
  <c r="AL14" i="1"/>
  <c r="AL23" i="1"/>
  <c r="AL22" i="1"/>
  <c r="AJ23" i="1"/>
  <c r="AJ22" i="1"/>
  <c r="AJ18" i="1"/>
  <c r="AJ17" i="1"/>
  <c r="AJ16" i="1"/>
  <c r="AJ15" i="1"/>
  <c r="AJ14" i="1"/>
  <c r="AJ10" i="1"/>
  <c r="AJ9" i="1"/>
  <c r="AJ8" i="1"/>
  <c r="AJ5" i="1"/>
  <c r="AJ4" i="1"/>
  <c r="AU23" i="1"/>
  <c r="AU16" i="1"/>
  <c r="AJ19" i="1"/>
  <c r="G97" i="1" l="1"/>
  <c r="H97" i="1" s="1"/>
  <c r="G30" i="1"/>
  <c r="H30" i="1" s="1"/>
  <c r="I28" i="1"/>
  <c r="L50" i="18" s="1"/>
  <c r="M50" i="18" s="1"/>
  <c r="L46" i="18"/>
  <c r="M46" i="18" s="1"/>
  <c r="O24" i="1"/>
  <c r="O28" i="1" s="1"/>
  <c r="O30" i="1" s="1"/>
  <c r="O29" i="1"/>
  <c r="V38" i="18"/>
  <c r="U51" i="18"/>
  <c r="V51" i="18" s="1"/>
  <c r="U46" i="18"/>
  <c r="D29" i="1"/>
  <c r="D16" i="1"/>
  <c r="D98" i="1"/>
  <c r="M130" i="1"/>
  <c r="N130" i="1" s="1"/>
  <c r="N66" i="1"/>
  <c r="N61" i="1"/>
  <c r="M125" i="1"/>
  <c r="M65" i="1"/>
  <c r="K117" i="1"/>
  <c r="K66" i="1"/>
  <c r="K29" i="1"/>
  <c r="K24" i="1"/>
  <c r="I30" i="1"/>
  <c r="J30" i="1" s="1"/>
  <c r="I97" i="1"/>
  <c r="J97" i="1" s="1"/>
  <c r="J28" i="1"/>
  <c r="I98" i="1"/>
  <c r="J29" i="1"/>
  <c r="G32" i="1"/>
  <c r="H32" i="1" s="1"/>
  <c r="G99" i="1"/>
  <c r="H99" i="1" s="1"/>
  <c r="H98" i="1"/>
  <c r="P111" i="4"/>
  <c r="E29" i="1"/>
  <c r="E24" i="1"/>
  <c r="E28" i="1" s="1"/>
  <c r="E30" i="1" s="1"/>
  <c r="F30" i="1" s="1"/>
  <c r="E130" i="1"/>
  <c r="F130" i="1" s="1"/>
  <c r="F66" i="1"/>
  <c r="F61" i="1"/>
  <c r="E125" i="1"/>
  <c r="O66" i="1"/>
  <c r="O117" i="1"/>
  <c r="J66" i="1"/>
  <c r="J130" i="1"/>
  <c r="J61" i="1"/>
  <c r="I65" i="1"/>
  <c r="I129" i="1" s="1"/>
  <c r="H61" i="1"/>
  <c r="G65" i="1"/>
  <c r="G129" i="1" s="1"/>
  <c r="M30" i="1"/>
  <c r="N30" i="1" s="1"/>
  <c r="N28" i="1"/>
  <c r="M97" i="1"/>
  <c r="N97" i="1" s="1"/>
  <c r="P93" i="4"/>
  <c r="N29" i="1"/>
  <c r="M98" i="1"/>
  <c r="N98" i="1" s="1"/>
  <c r="N24" i="1"/>
  <c r="F16" i="1"/>
  <c r="P50" i="1"/>
  <c r="J24" i="1"/>
  <c r="I93" i="1"/>
  <c r="J93" i="1" s="1"/>
  <c r="L16" i="1"/>
  <c r="P13" i="1"/>
  <c r="L53" i="1"/>
  <c r="K61" i="1"/>
  <c r="D53" i="1"/>
  <c r="O61" i="1"/>
  <c r="O65" i="1" s="1"/>
  <c r="P53" i="1"/>
  <c r="AL11" i="1"/>
  <c r="D24" i="6" s="1"/>
  <c r="D27" i="6"/>
  <c r="AN11" i="1"/>
  <c r="E27" i="6"/>
  <c r="AJ11" i="1"/>
  <c r="AP11" i="1"/>
  <c r="F27" i="6"/>
  <c r="AO6" i="1"/>
  <c r="AR11" i="1"/>
  <c r="G27" i="6"/>
  <c r="AT11" i="1"/>
  <c r="H27" i="6"/>
  <c r="AP5" i="1"/>
  <c r="F7" i="6" s="1"/>
  <c r="AJ6" i="1"/>
  <c r="AQ49" i="1"/>
  <c r="AR49" i="1" s="1"/>
  <c r="AS49" i="1"/>
  <c r="AK49" i="1"/>
  <c r="AL49" i="1" s="1"/>
  <c r="AJ49" i="1"/>
  <c r="AS12" i="1"/>
  <c r="AT12" i="1" s="1"/>
  <c r="AQ12" i="1"/>
  <c r="AR12" i="1" s="1"/>
  <c r="AK12" i="1"/>
  <c r="AL12" i="1" s="1"/>
  <c r="V46" i="18" l="1"/>
  <c r="U50" i="18"/>
  <c r="V50" i="18" s="1"/>
  <c r="K28" i="1"/>
  <c r="L29" i="1"/>
  <c r="D24" i="1"/>
  <c r="M67" i="1"/>
  <c r="M129" i="1"/>
  <c r="N129" i="1" s="1"/>
  <c r="N65" i="1"/>
  <c r="L61" i="1"/>
  <c r="K125" i="1"/>
  <c r="K65" i="1"/>
  <c r="K130" i="1"/>
  <c r="L130" i="1" s="1"/>
  <c r="L66" i="1"/>
  <c r="L24" i="1"/>
  <c r="P37" i="4"/>
  <c r="K98" i="1"/>
  <c r="L98" i="1" s="1"/>
  <c r="J98" i="1"/>
  <c r="P126" i="4"/>
  <c r="I32" i="1"/>
  <c r="J32" i="1" s="1"/>
  <c r="I99" i="1"/>
  <c r="J99" i="1" s="1"/>
  <c r="G34" i="1"/>
  <c r="H34" i="1" s="1"/>
  <c r="G101" i="1"/>
  <c r="H101" i="1" s="1"/>
  <c r="F24" i="1"/>
  <c r="E97" i="1"/>
  <c r="F97" i="1" s="1"/>
  <c r="F28" i="1"/>
  <c r="F29" i="1"/>
  <c r="P54" i="4"/>
  <c r="E98" i="1"/>
  <c r="F98" i="1" s="1"/>
  <c r="E129" i="1"/>
  <c r="F129" i="1" s="1"/>
  <c r="F65" i="1"/>
  <c r="O125" i="1"/>
  <c r="P66" i="1"/>
  <c r="O130" i="1"/>
  <c r="D61" i="1"/>
  <c r="D130" i="1"/>
  <c r="D66" i="1"/>
  <c r="I67" i="1"/>
  <c r="J65" i="1"/>
  <c r="J129" i="1"/>
  <c r="G67" i="1"/>
  <c r="H65" i="1"/>
  <c r="H129" i="1"/>
  <c r="M32" i="1"/>
  <c r="N32" i="1" s="1"/>
  <c r="M99" i="1"/>
  <c r="N99" i="1" s="1"/>
  <c r="AP6" i="1"/>
  <c r="AO12" i="1"/>
  <c r="P16" i="1"/>
  <c r="P61" i="1"/>
  <c r="AJ12" i="1"/>
  <c r="AJ20" i="1"/>
  <c r="AT49" i="1"/>
  <c r="AS62" i="1"/>
  <c r="AE60" i="1"/>
  <c r="AE59" i="1"/>
  <c r="AC48" i="1"/>
  <c r="U48" i="1"/>
  <c r="AD4" i="1"/>
  <c r="V4" i="1"/>
  <c r="Z8" i="1"/>
  <c r="Z4" i="1"/>
  <c r="Z23" i="1"/>
  <c r="Z15" i="1"/>
  <c r="Z17" i="1"/>
  <c r="X17" i="1"/>
  <c r="X18" i="1"/>
  <c r="O70" i="1"/>
  <c r="O134" i="1" s="1"/>
  <c r="O132" i="1"/>
  <c r="Z5" i="1"/>
  <c r="F6" i="6" s="1"/>
  <c r="N68" i="1"/>
  <c r="G131" i="1" l="1"/>
  <c r="H131" i="1" s="1"/>
  <c r="P29" i="1"/>
  <c r="K97" i="1"/>
  <c r="L97" i="1" s="1"/>
  <c r="L28" i="1"/>
  <c r="K30" i="1"/>
  <c r="L30" i="1" s="1"/>
  <c r="D30" i="1"/>
  <c r="D97" i="1"/>
  <c r="D28" i="1"/>
  <c r="M131" i="1"/>
  <c r="N67" i="1"/>
  <c r="K67" i="1"/>
  <c r="O67" i="1" s="1"/>
  <c r="O131" i="1" s="1"/>
  <c r="K129" i="1"/>
  <c r="L129" i="1" s="1"/>
  <c r="L65" i="1"/>
  <c r="K99" i="1"/>
  <c r="L99" i="1" s="1"/>
  <c r="I34" i="1"/>
  <c r="J34" i="1" s="1"/>
  <c r="I101" i="1"/>
  <c r="J101" i="1" s="1"/>
  <c r="J67" i="1"/>
  <c r="I131" i="1"/>
  <c r="G103" i="1"/>
  <c r="H103" i="1" s="1"/>
  <c r="E32" i="1"/>
  <c r="F32" i="1" s="1"/>
  <c r="E99" i="1"/>
  <c r="F99" i="1" s="1"/>
  <c r="E131" i="1"/>
  <c r="F131" i="1" s="1"/>
  <c r="F67" i="1"/>
  <c r="D129" i="1"/>
  <c r="D65" i="1"/>
  <c r="O129" i="1"/>
  <c r="H67" i="1"/>
  <c r="G69" i="1"/>
  <c r="M34" i="1"/>
  <c r="N34" i="1" s="1"/>
  <c r="M101" i="1"/>
  <c r="N101" i="1" s="1"/>
  <c r="P24" i="1"/>
  <c r="P65" i="1"/>
  <c r="AD5" i="1"/>
  <c r="H6" i="6" s="1"/>
  <c r="AD18" i="1"/>
  <c r="AD17" i="1"/>
  <c r="AD8" i="1"/>
  <c r="AB56" i="1"/>
  <c r="AD16" i="1"/>
  <c r="AD22" i="1"/>
  <c r="AD10" i="1"/>
  <c r="AD15" i="1"/>
  <c r="AD23" i="1"/>
  <c r="AD9" i="1"/>
  <c r="T23" i="1"/>
  <c r="U43" i="1"/>
  <c r="V43" i="1" s="1"/>
  <c r="V55" i="1"/>
  <c r="V46" i="1"/>
  <c r="V54" i="1"/>
  <c r="V45" i="1"/>
  <c r="V47" i="1"/>
  <c r="V53" i="1"/>
  <c r="V52" i="1"/>
  <c r="V42" i="1"/>
  <c r="V60" i="1"/>
  <c r="V51" i="1"/>
  <c r="V41" i="1"/>
  <c r="V59" i="1"/>
  <c r="V48" i="1"/>
  <c r="T59" i="1"/>
  <c r="T51" i="1"/>
  <c r="T47" i="1"/>
  <c r="T53" i="1"/>
  <c r="T55" i="1"/>
  <c r="T46" i="1"/>
  <c r="T60" i="1"/>
  <c r="T54" i="1"/>
  <c r="T45" i="1"/>
  <c r="T41" i="1"/>
  <c r="T52" i="1"/>
  <c r="T42" i="1"/>
  <c r="X9" i="1"/>
  <c r="AE41" i="1"/>
  <c r="AB54" i="1"/>
  <c r="AB45" i="1"/>
  <c r="AB53" i="1"/>
  <c r="AB52" i="1"/>
  <c r="AB42" i="1"/>
  <c r="AB60" i="1"/>
  <c r="AB51" i="1"/>
  <c r="AB41" i="1"/>
  <c r="AB59" i="1"/>
  <c r="AB55" i="1"/>
  <c r="AB46" i="1"/>
  <c r="AB47" i="1"/>
  <c r="AD60" i="1"/>
  <c r="AD51" i="1"/>
  <c r="AD41" i="1"/>
  <c r="AD59" i="1"/>
  <c r="AD48" i="1"/>
  <c r="AD47" i="1"/>
  <c r="AD55" i="1"/>
  <c r="AD46" i="1"/>
  <c r="AD54" i="1"/>
  <c r="AD45" i="1"/>
  <c r="AD52" i="1"/>
  <c r="AD53" i="1"/>
  <c r="AD42" i="1"/>
  <c r="X8" i="1"/>
  <c r="AB22" i="1"/>
  <c r="X16" i="1"/>
  <c r="AE51" i="1"/>
  <c r="X22" i="1"/>
  <c r="Z22" i="1"/>
  <c r="T17" i="1"/>
  <c r="AC43" i="1"/>
  <c r="AC49" i="1" s="1"/>
  <c r="AC62" i="1" s="1"/>
  <c r="AD62" i="1" s="1"/>
  <c r="T48" i="1"/>
  <c r="AA48" i="1"/>
  <c r="AB48" i="1" s="1"/>
  <c r="AE16" i="1"/>
  <c r="AD14" i="1"/>
  <c r="AA43" i="1"/>
  <c r="AB43" i="1" s="1"/>
  <c r="AE53" i="1"/>
  <c r="AE52" i="1"/>
  <c r="AE55" i="1"/>
  <c r="T56" i="1"/>
  <c r="Z14" i="1"/>
  <c r="AE46" i="1"/>
  <c r="AE47" i="1"/>
  <c r="AE45" i="1"/>
  <c r="AE42" i="1"/>
  <c r="AB4" i="1"/>
  <c r="AB14" i="1"/>
  <c r="AB23" i="1"/>
  <c r="AB5" i="1"/>
  <c r="G6" i="6" s="1"/>
  <c r="AB15" i="1"/>
  <c r="AB16" i="1"/>
  <c r="AB8" i="1"/>
  <c r="AB9" i="1"/>
  <c r="AB18" i="1"/>
  <c r="AB17" i="1"/>
  <c r="AB10" i="1"/>
  <c r="Z16" i="1"/>
  <c r="Z9" i="1"/>
  <c r="Z18" i="1"/>
  <c r="Z10" i="1"/>
  <c r="X10" i="1"/>
  <c r="X23" i="1"/>
  <c r="X5" i="1"/>
  <c r="E6" i="6" s="1"/>
  <c r="X15" i="1"/>
  <c r="V19" i="1"/>
  <c r="V12" i="1"/>
  <c r="V22" i="1"/>
  <c r="V18" i="1"/>
  <c r="V11" i="1"/>
  <c r="D23" i="6" s="1"/>
  <c r="V14" i="1"/>
  <c r="V23" i="1"/>
  <c r="V5" i="1"/>
  <c r="D6" i="6" s="1"/>
  <c r="V15" i="1"/>
  <c r="V24" i="1"/>
  <c r="V9" i="1"/>
  <c r="V10" i="1"/>
  <c r="V20" i="1"/>
  <c r="V6" i="1"/>
  <c r="V16" i="1"/>
  <c r="V25" i="1"/>
  <c r="V17" i="1"/>
  <c r="T4" i="1"/>
  <c r="T10" i="1"/>
  <c r="T14" i="1"/>
  <c r="T16" i="1"/>
  <c r="T5" i="1"/>
  <c r="T15" i="1"/>
  <c r="T8" i="1"/>
  <c r="T18" i="1"/>
  <c r="T9" i="1"/>
  <c r="T22" i="1"/>
  <c r="AE54" i="1"/>
  <c r="BA22" i="1"/>
  <c r="AG22" i="18" s="1"/>
  <c r="BA23" i="1"/>
  <c r="AA6" i="1"/>
  <c r="AC6" i="1"/>
  <c r="U6" i="1"/>
  <c r="F6" i="18" s="1"/>
  <c r="G6" i="18" s="1"/>
  <c r="AD19" i="1"/>
  <c r="W11" i="1"/>
  <c r="I11" i="18" s="1"/>
  <c r="J11" i="18" s="1"/>
  <c r="Y6" i="1"/>
  <c r="U11" i="1"/>
  <c r="AE8" i="1"/>
  <c r="AE10" i="1"/>
  <c r="X6" i="1"/>
  <c r="AE5" i="1"/>
  <c r="AE9" i="1"/>
  <c r="AC11" i="1"/>
  <c r="AE4" i="1"/>
  <c r="U4" i="18" s="1"/>
  <c r="Y11" i="1"/>
  <c r="O81" i="1"/>
  <c r="AE17" i="1"/>
  <c r="AA11" i="1"/>
  <c r="O78" i="1"/>
  <c r="AE18" i="1"/>
  <c r="O91" i="1"/>
  <c r="O77" i="1"/>
  <c r="O90" i="1"/>
  <c r="O89" i="1"/>
  <c r="O96" i="1"/>
  <c r="O95" i="1"/>
  <c r="D111" i="1"/>
  <c r="O83" i="1"/>
  <c r="O88" i="1"/>
  <c r="AE15" i="1"/>
  <c r="O87" i="1"/>
  <c r="J68" i="1"/>
  <c r="L68" i="1"/>
  <c r="N70" i="1"/>
  <c r="L70" i="1"/>
  <c r="F68" i="1"/>
  <c r="H68" i="1"/>
  <c r="J70" i="1"/>
  <c r="H70" i="1"/>
  <c r="F70" i="1"/>
  <c r="N111" i="1"/>
  <c r="H26" i="6" l="1"/>
  <c r="R11" i="18"/>
  <c r="S11" i="18" s="1"/>
  <c r="G26" i="6"/>
  <c r="O11" i="18"/>
  <c r="P11" i="18" s="1"/>
  <c r="T6" i="1"/>
  <c r="AB6" i="1"/>
  <c r="O6" i="18"/>
  <c r="P6" i="18" s="1"/>
  <c r="K32" i="1"/>
  <c r="L32" i="1" s="1"/>
  <c r="V4" i="18"/>
  <c r="D26" i="6"/>
  <c r="F11" i="18"/>
  <c r="G11" i="18" s="1"/>
  <c r="AE56" i="1"/>
  <c r="AD6" i="1"/>
  <c r="R6" i="18"/>
  <c r="S6" i="18" s="1"/>
  <c r="BA15" i="1"/>
  <c r="AG15" i="18" s="1"/>
  <c r="U15" i="18"/>
  <c r="V15" i="18" s="1"/>
  <c r="BA18" i="1"/>
  <c r="U18" i="18"/>
  <c r="V18" i="18" s="1"/>
  <c r="BA16" i="1"/>
  <c r="AG16" i="18" s="1"/>
  <c r="U16" i="18"/>
  <c r="V16" i="18" s="1"/>
  <c r="BA17" i="1"/>
  <c r="AG17" i="18" s="1"/>
  <c r="U17" i="18"/>
  <c r="V17" i="18" s="1"/>
  <c r="BA8" i="1"/>
  <c r="AG8" i="18" s="1"/>
  <c r="U8" i="18"/>
  <c r="V8" i="18" s="1"/>
  <c r="Z11" i="1"/>
  <c r="L11" i="18"/>
  <c r="M11" i="18" s="1"/>
  <c r="BA10" i="1"/>
  <c r="AG10" i="18" s="1"/>
  <c r="AM10" i="18" s="1"/>
  <c r="AN10" i="18" s="1"/>
  <c r="U10" i="18"/>
  <c r="V10" i="18" s="1"/>
  <c r="BA9" i="1"/>
  <c r="AG9" i="18" s="1"/>
  <c r="U9" i="18"/>
  <c r="V9" i="18" s="1"/>
  <c r="BA5" i="1"/>
  <c r="AG5" i="18" s="1"/>
  <c r="U5" i="18"/>
  <c r="V5" i="18" s="1"/>
  <c r="Z6" i="1"/>
  <c r="L6" i="18"/>
  <c r="M6" i="18" s="1"/>
  <c r="P30" i="1"/>
  <c r="D32" i="1"/>
  <c r="D99" i="1"/>
  <c r="K131" i="1"/>
  <c r="L131" i="1" s="1"/>
  <c r="L67" i="1"/>
  <c r="K34" i="1"/>
  <c r="L34" i="1" s="1"/>
  <c r="I103" i="1"/>
  <c r="J103" i="1" s="1"/>
  <c r="P67" i="1"/>
  <c r="G133" i="1"/>
  <c r="H133" i="1" s="1"/>
  <c r="E34" i="1"/>
  <c r="F34" i="1" s="1"/>
  <c r="E101" i="1"/>
  <c r="F101" i="1" s="1"/>
  <c r="D131" i="1"/>
  <c r="D67" i="1"/>
  <c r="M103" i="1"/>
  <c r="N103" i="1" s="1"/>
  <c r="P28" i="1"/>
  <c r="P90" i="1"/>
  <c r="P81" i="1"/>
  <c r="P88" i="1"/>
  <c r="P78" i="1"/>
  <c r="P96" i="1"/>
  <c r="P87" i="1"/>
  <c r="P77" i="1"/>
  <c r="P95" i="1"/>
  <c r="P102" i="1"/>
  <c r="P83" i="1"/>
  <c r="P89" i="1"/>
  <c r="P100" i="1"/>
  <c r="P91" i="1"/>
  <c r="P82" i="1"/>
  <c r="P128" i="1"/>
  <c r="P119" i="1"/>
  <c r="P109" i="1"/>
  <c r="P134" i="1"/>
  <c r="P121" i="1"/>
  <c r="P115" i="1"/>
  <c r="P132" i="1"/>
  <c r="P123" i="1"/>
  <c r="P114" i="1"/>
  <c r="P122" i="1"/>
  <c r="P113" i="1"/>
  <c r="P130" i="1"/>
  <c r="P120" i="1"/>
  <c r="P110" i="1"/>
  <c r="P127" i="1"/>
  <c r="AF127" i="1"/>
  <c r="AF113" i="1"/>
  <c r="AF110" i="1"/>
  <c r="AF122" i="1"/>
  <c r="AF120" i="1"/>
  <c r="AF128" i="1"/>
  <c r="AF121" i="1"/>
  <c r="AF123" i="1"/>
  <c r="AF115" i="1"/>
  <c r="AF111" i="1"/>
  <c r="AF119" i="1"/>
  <c r="AF114" i="1"/>
  <c r="AF109" i="1"/>
  <c r="AF124" i="1"/>
  <c r="AF116" i="1"/>
  <c r="AF117" i="1"/>
  <c r="AF125" i="1"/>
  <c r="AF130" i="1"/>
  <c r="AF129" i="1"/>
  <c r="AF89" i="1"/>
  <c r="AF77" i="1"/>
  <c r="AF87" i="1"/>
  <c r="AF82" i="1"/>
  <c r="AF95" i="1"/>
  <c r="AF78" i="1"/>
  <c r="AF84" i="1"/>
  <c r="AF83" i="1"/>
  <c r="AF96" i="1"/>
  <c r="AF88" i="1"/>
  <c r="AF79" i="1"/>
  <c r="AF91" i="1"/>
  <c r="AF81" i="1"/>
  <c r="AF90" i="1"/>
  <c r="AF92" i="1"/>
  <c r="AF85" i="1"/>
  <c r="AF93" i="1"/>
  <c r="AF98" i="1"/>
  <c r="AF97" i="1"/>
  <c r="AD43" i="1"/>
  <c r="AD49" i="1"/>
  <c r="N131" i="1"/>
  <c r="L116" i="1"/>
  <c r="D79" i="1"/>
  <c r="D116" i="1"/>
  <c r="F116" i="1"/>
  <c r="H111" i="1"/>
  <c r="N116" i="1"/>
  <c r="F26" i="6"/>
  <c r="L111" i="1"/>
  <c r="D84" i="1"/>
  <c r="T11" i="1"/>
  <c r="D124" i="1"/>
  <c r="F111" i="1"/>
  <c r="X11" i="1"/>
  <c r="E26" i="6"/>
  <c r="F124" i="1"/>
  <c r="L124" i="1"/>
  <c r="K69" i="1"/>
  <c r="H124" i="1"/>
  <c r="N124" i="1"/>
  <c r="J131" i="1"/>
  <c r="U49" i="1"/>
  <c r="U62" i="1" s="1"/>
  <c r="V62" i="1" s="1"/>
  <c r="AC57" i="1"/>
  <c r="AC61" i="1" s="1"/>
  <c r="AD61" i="1" s="1"/>
  <c r="T62" i="1"/>
  <c r="AE43" i="1"/>
  <c r="V56" i="1"/>
  <c r="AA49" i="1"/>
  <c r="AD56" i="1"/>
  <c r="AF59" i="1"/>
  <c r="AF47" i="1"/>
  <c r="AF46" i="1"/>
  <c r="AF45" i="1"/>
  <c r="AF52" i="1"/>
  <c r="AF55" i="1"/>
  <c r="AF51" i="1"/>
  <c r="AF54" i="1"/>
  <c r="AF42" i="1"/>
  <c r="AF53" i="1"/>
  <c r="AF41" i="1"/>
  <c r="AF60" i="1"/>
  <c r="T43" i="1"/>
  <c r="AE48" i="1"/>
  <c r="AC12" i="1"/>
  <c r="AD11" i="1"/>
  <c r="AA12" i="1"/>
  <c r="AB11" i="1"/>
  <c r="BA4" i="1"/>
  <c r="AG4" i="18" s="1"/>
  <c r="AF10" i="1"/>
  <c r="AF18" i="1"/>
  <c r="AF9" i="1"/>
  <c r="AF17" i="1"/>
  <c r="AF8" i="1"/>
  <c r="AF16" i="1"/>
  <c r="AF15" i="1"/>
  <c r="AF5" i="1"/>
  <c r="AF23" i="1"/>
  <c r="AF4" i="1"/>
  <c r="AF22" i="1"/>
  <c r="AE6" i="1"/>
  <c r="W12" i="1"/>
  <c r="I12" i="18" s="1"/>
  <c r="J12" i="18" s="1"/>
  <c r="Y12" i="1"/>
  <c r="U12" i="1"/>
  <c r="F12" i="18" s="1"/>
  <c r="G12" i="18" s="1"/>
  <c r="AE11" i="1"/>
  <c r="E133" i="1"/>
  <c r="P68" i="1"/>
  <c r="P70" i="1"/>
  <c r="J111" i="1"/>
  <c r="K101" i="1" l="1"/>
  <c r="L101" i="1" s="1"/>
  <c r="AA25" i="1"/>
  <c r="O25" i="18" s="1"/>
  <c r="P25" i="18" s="1"/>
  <c r="O12" i="18"/>
  <c r="P12" i="18" s="1"/>
  <c r="BF18" i="1"/>
  <c r="AG18" i="18"/>
  <c r="AH16" i="18"/>
  <c r="AH4" i="18"/>
  <c r="AH15" i="18"/>
  <c r="AH10" i="18"/>
  <c r="AH9" i="18"/>
  <c r="AH22" i="18"/>
  <c r="AH8" i="18"/>
  <c r="AH17" i="18"/>
  <c r="AH18" i="18"/>
  <c r="AH5" i="18"/>
  <c r="AD12" i="1"/>
  <c r="R12" i="18"/>
  <c r="S12" i="18" s="1"/>
  <c r="BA11" i="1"/>
  <c r="BB11" i="1" s="1"/>
  <c r="B23" i="6" s="1"/>
  <c r="U11" i="18"/>
  <c r="V11" i="18" s="1"/>
  <c r="BA6" i="1"/>
  <c r="U6" i="18"/>
  <c r="V6" i="18" s="1"/>
  <c r="Z12" i="1"/>
  <c r="L12" i="18"/>
  <c r="M12" i="18" s="1"/>
  <c r="D34" i="1"/>
  <c r="D101" i="1"/>
  <c r="K133" i="1"/>
  <c r="L133" i="1" s="1"/>
  <c r="K103" i="1"/>
  <c r="L103" i="1" s="1"/>
  <c r="E103" i="1"/>
  <c r="F103" i="1" s="1"/>
  <c r="D133" i="1"/>
  <c r="O32" i="1"/>
  <c r="P32" i="1" s="1"/>
  <c r="O99" i="1"/>
  <c r="P99" i="1" s="1"/>
  <c r="X12" i="1"/>
  <c r="W20" i="1"/>
  <c r="I20" i="18" s="1"/>
  <c r="J20" i="18" s="1"/>
  <c r="AF56" i="1"/>
  <c r="AF48" i="1"/>
  <c r="AF43" i="1"/>
  <c r="AB25" i="1"/>
  <c r="P38" i="4"/>
  <c r="L69" i="1"/>
  <c r="P111" i="1"/>
  <c r="V49" i="1"/>
  <c r="D85" i="1"/>
  <c r="H116" i="1"/>
  <c r="U57" i="1"/>
  <c r="U61" i="1" s="1"/>
  <c r="V61" i="1" s="1"/>
  <c r="J116" i="1"/>
  <c r="K71" i="1"/>
  <c r="K135" i="1" s="1"/>
  <c r="E71" i="1"/>
  <c r="E135" i="1" s="1"/>
  <c r="F133" i="1"/>
  <c r="J124" i="1"/>
  <c r="P124" i="1"/>
  <c r="AD57" i="1"/>
  <c r="T57" i="1"/>
  <c r="D69" i="1"/>
  <c r="AC25" i="1"/>
  <c r="R25" i="18" s="1"/>
  <c r="S25" i="18" s="1"/>
  <c r="T49" i="1"/>
  <c r="AB12" i="1"/>
  <c r="AA62" i="1"/>
  <c r="AB62" i="1" s="1"/>
  <c r="AB49" i="1"/>
  <c r="AA57" i="1"/>
  <c r="AC20" i="1"/>
  <c r="AE49" i="1"/>
  <c r="AF11" i="1"/>
  <c r="AF6" i="1"/>
  <c r="AE12" i="1"/>
  <c r="U12" i="18" s="1"/>
  <c r="V12" i="18" s="1"/>
  <c r="BB22" i="1"/>
  <c r="BB10" i="1"/>
  <c r="BB18" i="1"/>
  <c r="BB9" i="1"/>
  <c r="BB17" i="1"/>
  <c r="BB8" i="1"/>
  <c r="BB15" i="1"/>
  <c r="BB5" i="1"/>
  <c r="BB23" i="1"/>
  <c r="BB4" i="1"/>
  <c r="BB16" i="1"/>
  <c r="T12" i="1"/>
  <c r="F69" i="1"/>
  <c r="BB6" i="1" l="1"/>
  <c r="AG6" i="18"/>
  <c r="AH6" i="18" s="1"/>
  <c r="B26" i="6"/>
  <c r="AG11" i="18"/>
  <c r="AH11" i="18" s="1"/>
  <c r="AD20" i="1"/>
  <c r="R20" i="18"/>
  <c r="S20" i="18" s="1"/>
  <c r="D103" i="1"/>
  <c r="O101" i="1"/>
  <c r="P101" i="1" s="1"/>
  <c r="O34" i="1"/>
  <c r="P34" i="1" s="1"/>
  <c r="T25" i="1"/>
  <c r="AD25" i="1"/>
  <c r="P94" i="4"/>
  <c r="AF49" i="1"/>
  <c r="T61" i="1"/>
  <c r="D117" i="1"/>
  <c r="F117" i="1"/>
  <c r="D71" i="1"/>
  <c r="D135" i="1"/>
  <c r="V57" i="1"/>
  <c r="F71" i="1"/>
  <c r="F135" i="1"/>
  <c r="L117" i="1"/>
  <c r="N117" i="1"/>
  <c r="L71" i="1"/>
  <c r="L135" i="1"/>
  <c r="D93" i="1"/>
  <c r="AC24" i="1"/>
  <c r="AA61" i="1"/>
  <c r="AB61" i="1" s="1"/>
  <c r="AB57" i="1"/>
  <c r="AE62" i="1"/>
  <c r="AE57" i="1"/>
  <c r="BA12" i="1"/>
  <c r="AF12" i="1"/>
  <c r="BB12" i="1" l="1"/>
  <c r="AG12" i="18"/>
  <c r="AH12" i="18" s="1"/>
  <c r="AD24" i="1"/>
  <c r="R24" i="18"/>
  <c r="S24" i="18" s="1"/>
  <c r="O103" i="1"/>
  <c r="P103" i="1" s="1"/>
  <c r="AF62" i="1"/>
  <c r="L125" i="1"/>
  <c r="N125" i="1"/>
  <c r="J117" i="1"/>
  <c r="H117" i="1"/>
  <c r="F125" i="1"/>
  <c r="D125" i="1"/>
  <c r="AE61" i="1"/>
  <c r="AF57" i="1"/>
  <c r="M69" i="1"/>
  <c r="M133" i="1" s="1"/>
  <c r="AF61" i="1" l="1"/>
  <c r="H125" i="1"/>
  <c r="J125" i="1"/>
  <c r="N69" i="1"/>
  <c r="N133" i="1"/>
  <c r="M71" i="1"/>
  <c r="M135" i="1" s="1"/>
  <c r="N71" i="1" l="1"/>
  <c r="N135" i="1"/>
  <c r="I69" i="1"/>
  <c r="I133" i="1" s="1"/>
  <c r="J69" i="1" l="1"/>
  <c r="J133" i="1"/>
  <c r="I71" i="1"/>
  <c r="I135" i="1" s="1"/>
  <c r="H69" i="1"/>
  <c r="J71" i="1" l="1"/>
  <c r="J135" i="1"/>
  <c r="G71" i="1"/>
  <c r="G135" i="1" s="1"/>
  <c r="H71" i="1" l="1"/>
  <c r="H135" i="1"/>
  <c r="K79" i="1" l="1"/>
  <c r="L79" i="1" s="1"/>
  <c r="M79" i="1"/>
  <c r="N79" i="1" s="1"/>
  <c r="K84" i="1"/>
  <c r="L84" i="1" s="1"/>
  <c r="E84" i="1" l="1"/>
  <c r="F84" i="1" s="1"/>
  <c r="M84" i="1"/>
  <c r="N84" i="1" s="1"/>
  <c r="P116" i="1"/>
  <c r="P117" i="1" l="1"/>
  <c r="P125" i="1" l="1"/>
  <c r="P129" i="1"/>
  <c r="P131" i="1" l="1"/>
  <c r="O69" i="1" l="1"/>
  <c r="O133" i="1" l="1"/>
  <c r="P133" i="1" s="1"/>
  <c r="O71" i="1"/>
  <c r="O135" i="1" s="1"/>
  <c r="P69" i="1"/>
  <c r="P71" i="1" l="1"/>
  <c r="P135" i="1"/>
  <c r="E79" i="1"/>
  <c r="F79" i="1" s="1"/>
  <c r="H24" i="6"/>
  <c r="G24" i="6"/>
  <c r="F24" i="6"/>
  <c r="E24" i="6"/>
  <c r="Z4" i="6"/>
  <c r="AA4" i="6"/>
  <c r="Z5" i="6"/>
  <c r="AB5" i="6"/>
  <c r="AD5" i="6"/>
  <c r="AF5" i="6"/>
  <c r="AH5" i="6"/>
  <c r="AJ5" i="6"/>
  <c r="Z6" i="6"/>
  <c r="AB6" i="6"/>
  <c r="AD6" i="6"/>
  <c r="AF6" i="6"/>
  <c r="AH6" i="6"/>
  <c r="AJ6" i="6"/>
  <c r="I10" i="6"/>
  <c r="I9" i="6"/>
  <c r="J6" i="6"/>
  <c r="L6" i="6"/>
  <c r="Z7" i="6" l="1"/>
  <c r="B8" i="6"/>
  <c r="B9" i="6"/>
  <c r="B10" i="6"/>
  <c r="M27" i="6"/>
  <c r="M24" i="6"/>
  <c r="M8" i="6"/>
  <c r="M10" i="6" l="1"/>
  <c r="M9" i="6"/>
  <c r="I149" i="4" l="1"/>
  <c r="B149" i="4"/>
  <c r="B24" i="4"/>
  <c r="C24" i="4"/>
  <c r="D24" i="4"/>
  <c r="E24" i="4"/>
  <c r="F24" i="4"/>
  <c r="G24" i="4"/>
  <c r="H24" i="4"/>
  <c r="M180" i="4" l="1"/>
  <c r="L180" i="4"/>
  <c r="K180" i="4"/>
  <c r="J180" i="4"/>
  <c r="I180" i="4"/>
  <c r="G180" i="4"/>
  <c r="B180" i="4"/>
  <c r="G178" i="4"/>
  <c r="F178" i="4"/>
  <c r="E178" i="4"/>
  <c r="D178" i="4"/>
  <c r="C178" i="4"/>
  <c r="B178" i="4"/>
  <c r="M177" i="4"/>
  <c r="L177" i="4"/>
  <c r="K177" i="4"/>
  <c r="J177" i="4"/>
  <c r="I177" i="4"/>
  <c r="G177" i="4"/>
  <c r="F177" i="4"/>
  <c r="E177" i="4"/>
  <c r="D177" i="4"/>
  <c r="C177" i="4"/>
  <c r="B177" i="4"/>
  <c r="M176" i="4"/>
  <c r="L176" i="4"/>
  <c r="K176" i="4"/>
  <c r="J176" i="4"/>
  <c r="I176" i="4"/>
  <c r="G176" i="4"/>
  <c r="F176" i="4"/>
  <c r="E176" i="4"/>
  <c r="D176" i="4"/>
  <c r="C176" i="4"/>
  <c r="B176" i="4"/>
  <c r="G175" i="4"/>
  <c r="F175" i="4"/>
  <c r="E175" i="4"/>
  <c r="D175" i="4"/>
  <c r="C175" i="4"/>
  <c r="B175" i="4"/>
  <c r="L174" i="4"/>
  <c r="K174" i="4"/>
  <c r="J174" i="4"/>
  <c r="I174" i="4"/>
  <c r="G174" i="4"/>
  <c r="F174" i="4"/>
  <c r="E174" i="4"/>
  <c r="D174" i="4"/>
  <c r="C174" i="4"/>
  <c r="B174" i="4"/>
  <c r="A169" i="4"/>
  <c r="A168" i="4"/>
  <c r="F162" i="4"/>
  <c r="E162" i="4"/>
  <c r="E169" i="4" s="1"/>
  <c r="D150" i="4"/>
  <c r="D157" i="4" s="1"/>
  <c r="C162" i="4"/>
  <c r="B162" i="4"/>
  <c r="B169" i="4" s="1"/>
  <c r="L163" i="4"/>
  <c r="I151" i="4"/>
  <c r="G151" i="4"/>
  <c r="F163" i="4"/>
  <c r="E151" i="4"/>
  <c r="D151" i="4"/>
  <c r="M150" i="4"/>
  <c r="K153" i="4"/>
  <c r="J162" i="4"/>
  <c r="I162" i="4"/>
  <c r="M155" i="4"/>
  <c r="L152" i="4"/>
  <c r="I164" i="4"/>
  <c r="G154" i="4"/>
  <c r="E167" i="4"/>
  <c r="D166" i="4"/>
  <c r="G131" i="4"/>
  <c r="F131" i="4"/>
  <c r="E131" i="4"/>
  <c r="D131" i="4"/>
  <c r="C131" i="4"/>
  <c r="B131" i="4"/>
  <c r="M130" i="4"/>
  <c r="L130" i="4"/>
  <c r="K130" i="4"/>
  <c r="J130" i="4"/>
  <c r="I130" i="4"/>
  <c r="G130" i="4"/>
  <c r="F130" i="4"/>
  <c r="E130" i="4"/>
  <c r="D130" i="4"/>
  <c r="C130" i="4"/>
  <c r="B130" i="4"/>
  <c r="G167" i="4"/>
  <c r="I131" i="4"/>
  <c r="L116" i="4"/>
  <c r="K116" i="4"/>
  <c r="G116" i="4"/>
  <c r="F116" i="4"/>
  <c r="E116" i="4"/>
  <c r="D116" i="4"/>
  <c r="C116" i="4"/>
  <c r="B116" i="4"/>
  <c r="M115" i="4"/>
  <c r="L115" i="4"/>
  <c r="K115" i="4"/>
  <c r="J115" i="4"/>
  <c r="I115" i="4"/>
  <c r="G115" i="4"/>
  <c r="F115" i="4"/>
  <c r="E115" i="4"/>
  <c r="D115" i="4"/>
  <c r="B115" i="4"/>
  <c r="I116" i="4"/>
  <c r="B205" i="4"/>
  <c r="G205" i="4" s="1"/>
  <c r="M98" i="4"/>
  <c r="K98" i="4"/>
  <c r="G98" i="4"/>
  <c r="F98" i="4"/>
  <c r="E98" i="4"/>
  <c r="D98" i="4"/>
  <c r="C98" i="4"/>
  <c r="B98" i="4"/>
  <c r="M97" i="4"/>
  <c r="L97" i="4"/>
  <c r="K97" i="4"/>
  <c r="J97" i="4"/>
  <c r="I97" i="4"/>
  <c r="G97" i="4"/>
  <c r="F97" i="4"/>
  <c r="E97" i="4"/>
  <c r="D97" i="4"/>
  <c r="C97" i="4"/>
  <c r="B97" i="4"/>
  <c r="N95" i="4"/>
  <c r="H98" i="4"/>
  <c r="L78" i="4"/>
  <c r="I78" i="4"/>
  <c r="G78" i="4"/>
  <c r="F78" i="4"/>
  <c r="E78" i="4"/>
  <c r="D78" i="4"/>
  <c r="C78" i="4"/>
  <c r="B78" i="4"/>
  <c r="M77" i="4"/>
  <c r="L77" i="4"/>
  <c r="K77" i="4"/>
  <c r="J77" i="4"/>
  <c r="I77" i="4"/>
  <c r="G77" i="4"/>
  <c r="F77" i="4"/>
  <c r="E77" i="4"/>
  <c r="D77" i="4"/>
  <c r="C77" i="4"/>
  <c r="B77" i="4"/>
  <c r="H78" i="4"/>
  <c r="G59" i="4"/>
  <c r="F59" i="4"/>
  <c r="E59" i="4"/>
  <c r="D59" i="4"/>
  <c r="C59" i="4"/>
  <c r="B59" i="4"/>
  <c r="M58" i="4"/>
  <c r="L58" i="4"/>
  <c r="K58" i="4"/>
  <c r="J58" i="4"/>
  <c r="I58" i="4"/>
  <c r="G58" i="4"/>
  <c r="F58" i="4"/>
  <c r="E58" i="4"/>
  <c r="D58" i="4"/>
  <c r="C58" i="4"/>
  <c r="B58" i="4"/>
  <c r="M178" i="4"/>
  <c r="K178" i="4"/>
  <c r="H58" i="4"/>
  <c r="L42" i="4"/>
  <c r="J42" i="4"/>
  <c r="I42" i="4"/>
  <c r="H42" i="4"/>
  <c r="G42" i="4"/>
  <c r="F42" i="4"/>
  <c r="E42" i="4"/>
  <c r="D42" i="4"/>
  <c r="C42" i="4"/>
  <c r="B42" i="4"/>
  <c r="M41" i="4"/>
  <c r="L41" i="4"/>
  <c r="J41" i="4"/>
  <c r="I41" i="4"/>
  <c r="G41" i="4"/>
  <c r="F41" i="4"/>
  <c r="E41" i="4"/>
  <c r="D41" i="4"/>
  <c r="C41" i="4"/>
  <c r="B41" i="4"/>
  <c r="K42" i="4"/>
  <c r="M179" i="4"/>
  <c r="K179" i="4"/>
  <c r="J179" i="4"/>
  <c r="I179" i="4"/>
  <c r="F8" i="4"/>
  <c r="E8" i="4"/>
  <c r="D8" i="4"/>
  <c r="C8" i="4"/>
  <c r="B8" i="4"/>
  <c r="D208" i="4" l="1"/>
  <c r="D300" i="4" s="1"/>
  <c r="D211" i="4"/>
  <c r="D205" i="4"/>
  <c r="O174" i="4"/>
  <c r="O176" i="4"/>
  <c r="D207" i="4"/>
  <c r="K150" i="4"/>
  <c r="K157" i="4" s="1"/>
  <c r="F152" i="4"/>
  <c r="H155" i="4"/>
  <c r="E154" i="4"/>
  <c r="H174" i="4"/>
  <c r="H115" i="4"/>
  <c r="H150" i="4"/>
  <c r="E180" i="4"/>
  <c r="J8" i="4"/>
  <c r="E149" i="4"/>
  <c r="F154" i="4"/>
  <c r="M162" i="4"/>
  <c r="M5" i="4" s="1"/>
  <c r="I152" i="4"/>
  <c r="I7" i="4" s="1"/>
  <c r="M152" i="4"/>
  <c r="B181" i="4"/>
  <c r="G182" i="4"/>
  <c r="H97" i="4"/>
  <c r="H164" i="4"/>
  <c r="I153" i="4"/>
  <c r="D60" i="4"/>
  <c r="E155" i="4"/>
  <c r="F181" i="4"/>
  <c r="E150" i="4"/>
  <c r="E5" i="4" s="1"/>
  <c r="E12" i="4" s="1"/>
  <c r="D163" i="4"/>
  <c r="D6" i="4" s="1"/>
  <c r="D182" i="4"/>
  <c r="H180" i="4"/>
  <c r="H151" i="4"/>
  <c r="F150" i="4"/>
  <c r="G166" i="4"/>
  <c r="G9" i="4" s="1"/>
  <c r="G163" i="4"/>
  <c r="G6" i="4" s="1"/>
  <c r="I166" i="4"/>
  <c r="F151" i="4"/>
  <c r="F6" i="4" s="1"/>
  <c r="D161" i="4"/>
  <c r="H163" i="4"/>
  <c r="F149" i="4"/>
  <c r="D152" i="4"/>
  <c r="I154" i="4"/>
  <c r="F161" i="4"/>
  <c r="F164" i="4"/>
  <c r="D167" i="4"/>
  <c r="G149" i="4"/>
  <c r="E152" i="4"/>
  <c r="L154" i="4"/>
  <c r="I161" i="4"/>
  <c r="J181" i="4"/>
  <c r="B150" i="4"/>
  <c r="F155" i="4"/>
  <c r="F166" i="4"/>
  <c r="K8" i="4"/>
  <c r="J78" i="4"/>
  <c r="D154" i="4"/>
  <c r="L179" i="4"/>
  <c r="M175" i="4"/>
  <c r="M182" i="4" s="1"/>
  <c r="G207" i="4"/>
  <c r="K131" i="4"/>
  <c r="J5" i="4"/>
  <c r="H41" i="4"/>
  <c r="H77" i="4"/>
  <c r="M153" i="4"/>
  <c r="M116" i="4"/>
  <c r="L131" i="4"/>
  <c r="H161" i="4"/>
  <c r="H175" i="4"/>
  <c r="K41" i="4"/>
  <c r="I178" i="4"/>
  <c r="I59" i="4"/>
  <c r="C180" i="4"/>
  <c r="H59" i="4"/>
  <c r="J98" i="4"/>
  <c r="I98" i="4"/>
  <c r="L150" i="4"/>
  <c r="B208" i="4"/>
  <c r="G208" i="4" s="1"/>
  <c r="M131" i="4"/>
  <c r="F167" i="4"/>
  <c r="B166" i="4"/>
  <c r="B161" i="4"/>
  <c r="B4" i="4" s="1"/>
  <c r="B155" i="4"/>
  <c r="B167" i="4"/>
  <c r="B164" i="4"/>
  <c r="B152" i="4"/>
  <c r="J166" i="4"/>
  <c r="J152" i="4"/>
  <c r="J167" i="4"/>
  <c r="J10" i="4" s="1"/>
  <c r="J164" i="4"/>
  <c r="J149" i="4"/>
  <c r="B151" i="4"/>
  <c r="B163" i="4"/>
  <c r="J163" i="4"/>
  <c r="F169" i="4"/>
  <c r="J178" i="4"/>
  <c r="D209" i="4" s="1"/>
  <c r="G179" i="4"/>
  <c r="J59" i="4"/>
  <c r="M78" i="4"/>
  <c r="L162" i="4"/>
  <c r="C167" i="4"/>
  <c r="C152" i="4"/>
  <c r="C164" i="4"/>
  <c r="C166" i="4"/>
  <c r="C161" i="4"/>
  <c r="C149" i="4"/>
  <c r="C155" i="4"/>
  <c r="K167" i="4"/>
  <c r="K152" i="4"/>
  <c r="K155" i="4"/>
  <c r="K154" i="4"/>
  <c r="K164" i="4"/>
  <c r="K149" i="4"/>
  <c r="K166" i="4"/>
  <c r="C163" i="4"/>
  <c r="C151" i="4"/>
  <c r="K163" i="4"/>
  <c r="K151" i="4"/>
  <c r="G150" i="4"/>
  <c r="M42" i="4"/>
  <c r="I175" i="4"/>
  <c r="K59" i="4"/>
  <c r="K78" i="4"/>
  <c r="L98" i="4"/>
  <c r="H153" i="4"/>
  <c r="H130" i="4"/>
  <c r="H177" i="4"/>
  <c r="H178" i="4"/>
  <c r="J175" i="4"/>
  <c r="L178" i="4"/>
  <c r="L59" i="4"/>
  <c r="B206" i="4"/>
  <c r="G206" i="4" s="1"/>
  <c r="L151" i="4"/>
  <c r="B210" i="4"/>
  <c r="G210" i="4" s="1"/>
  <c r="H116" i="4"/>
  <c r="H176" i="4"/>
  <c r="C179" i="4"/>
  <c r="K175" i="4"/>
  <c r="K182" i="4" s="1"/>
  <c r="B179" i="4"/>
  <c r="D210" i="4" s="1"/>
  <c r="M59" i="4"/>
  <c r="B154" i="4"/>
  <c r="G181" i="4"/>
  <c r="C182" i="4"/>
  <c r="L175" i="4"/>
  <c r="I150" i="4"/>
  <c r="C154" i="4"/>
  <c r="H162" i="4"/>
  <c r="G162" i="4"/>
  <c r="B182" i="4"/>
  <c r="H152" i="4"/>
  <c r="J116" i="4"/>
  <c r="I163" i="4"/>
  <c r="C150" i="4"/>
  <c r="E163" i="4"/>
  <c r="E164" i="4"/>
  <c r="D181" i="4"/>
  <c r="D149" i="4"/>
  <c r="D164" i="4"/>
  <c r="D155" i="4"/>
  <c r="L149" i="4"/>
  <c r="L156" i="4" s="1"/>
  <c r="L164" i="4"/>
  <c r="L155" i="4"/>
  <c r="G152" i="4"/>
  <c r="J169" i="4"/>
  <c r="I181" i="4"/>
  <c r="H154" i="4"/>
  <c r="H166" i="4"/>
  <c r="H167" i="4"/>
  <c r="H131" i="4"/>
  <c r="E161" i="4"/>
  <c r="E166" i="4"/>
  <c r="M166" i="4"/>
  <c r="M154" i="4"/>
  <c r="M151" i="4"/>
  <c r="L166" i="4"/>
  <c r="L167" i="4"/>
  <c r="E182" i="4"/>
  <c r="L153" i="4"/>
  <c r="K162" i="4"/>
  <c r="J131" i="4"/>
  <c r="M149" i="4"/>
  <c r="M163" i="4"/>
  <c r="M164" i="4"/>
  <c r="M167" i="4"/>
  <c r="C181" i="4"/>
  <c r="K181" i="4"/>
  <c r="F182" i="4"/>
  <c r="L181" i="4"/>
  <c r="B209" i="4"/>
  <c r="G209" i="4" s="1"/>
  <c r="G161" i="4"/>
  <c r="G164" i="4"/>
  <c r="G155" i="4"/>
  <c r="D162" i="4"/>
  <c r="C169" i="4"/>
  <c r="E181" i="4"/>
  <c r="M181" i="4"/>
  <c r="I155" i="4"/>
  <c r="I168" i="4" l="1"/>
  <c r="I4" i="4"/>
  <c r="I11" i="4" s="1"/>
  <c r="I9" i="4"/>
  <c r="O175" i="4"/>
  <c r="D206" i="4"/>
  <c r="N21" i="4"/>
  <c r="B9" i="4"/>
  <c r="I157" i="4"/>
  <c r="K5" i="4"/>
  <c r="K12" i="4" s="1"/>
  <c r="B10" i="4"/>
  <c r="F7" i="4"/>
  <c r="E156" i="4"/>
  <c r="E179" i="4"/>
  <c r="E10" i="4"/>
  <c r="H179" i="4"/>
  <c r="M169" i="4"/>
  <c r="H7" i="4"/>
  <c r="E157" i="4"/>
  <c r="M156" i="4"/>
  <c r="F168" i="4"/>
  <c r="D156" i="4"/>
  <c r="H6" i="4"/>
  <c r="D180" i="4"/>
  <c r="D10" i="4"/>
  <c r="F4" i="4"/>
  <c r="F157" i="4"/>
  <c r="F5" i="4"/>
  <c r="F12" i="4" s="1"/>
  <c r="I5" i="4"/>
  <c r="I12" i="4" s="1"/>
  <c r="F180" i="4"/>
  <c r="B157" i="4"/>
  <c r="B5" i="4"/>
  <c r="B12" i="4" s="1"/>
  <c r="F156" i="4"/>
  <c r="E4" i="4"/>
  <c r="L6" i="4"/>
  <c r="G169" i="4"/>
  <c r="G8" i="4"/>
  <c r="L157" i="4"/>
  <c r="L8" i="4"/>
  <c r="K6" i="4"/>
  <c r="C168" i="4"/>
  <c r="B6" i="4"/>
  <c r="M4" i="4"/>
  <c r="I156" i="4"/>
  <c r="I6" i="4"/>
  <c r="J12" i="4"/>
  <c r="K10" i="4"/>
  <c r="C156" i="4"/>
  <c r="C7" i="4"/>
  <c r="J4" i="4"/>
  <c r="B156" i="4"/>
  <c r="B7" i="4"/>
  <c r="F10" i="4"/>
  <c r="J168" i="4"/>
  <c r="M9" i="4"/>
  <c r="L5" i="4"/>
  <c r="H9" i="4"/>
  <c r="H10" i="4"/>
  <c r="C9" i="4"/>
  <c r="C6" i="4"/>
  <c r="K156" i="4"/>
  <c r="K7" i="4"/>
  <c r="H4" i="4"/>
  <c r="G168" i="4"/>
  <c r="M10" i="4"/>
  <c r="L10" i="4"/>
  <c r="D301" i="4"/>
  <c r="D302" i="4" s="1"/>
  <c r="H182" i="4"/>
  <c r="B168" i="4"/>
  <c r="D169" i="4"/>
  <c r="D5" i="4"/>
  <c r="G4" i="4"/>
  <c r="M168" i="4"/>
  <c r="M7" i="4"/>
  <c r="L168" i="4"/>
  <c r="L7" i="4"/>
  <c r="I169" i="4"/>
  <c r="H156" i="4"/>
  <c r="L182" i="4"/>
  <c r="H181" i="4"/>
  <c r="C10" i="4"/>
  <c r="J182" i="4"/>
  <c r="L169" i="4"/>
  <c r="H168" i="4"/>
  <c r="M6" i="4"/>
  <c r="G156" i="4"/>
  <c r="G7" i="4"/>
  <c r="G10" i="4"/>
  <c r="L4" i="4"/>
  <c r="E168" i="4"/>
  <c r="E7" i="4"/>
  <c r="H169" i="4"/>
  <c r="H157" i="4"/>
  <c r="C4" i="4"/>
  <c r="J156" i="4"/>
  <c r="J7" i="4"/>
  <c r="J157" i="4"/>
  <c r="H5" i="4"/>
  <c r="I10" i="4"/>
  <c r="E6" i="4"/>
  <c r="G157" i="4"/>
  <c r="G5" i="4"/>
  <c r="K4" i="4"/>
  <c r="J6" i="4"/>
  <c r="H8" i="4"/>
  <c r="J9" i="4"/>
  <c r="I182" i="4"/>
  <c r="D168" i="4"/>
  <c r="D7" i="4"/>
  <c r="K168" i="4"/>
  <c r="L9" i="4"/>
  <c r="D4" i="4"/>
  <c r="C157" i="4"/>
  <c r="C5" i="4"/>
  <c r="K9" i="4"/>
  <c r="M157" i="4"/>
  <c r="M8" i="4"/>
  <c r="K169" i="4"/>
  <c r="D179" i="4" l="1"/>
  <c r="N56" i="4"/>
  <c r="N39" i="4"/>
  <c r="F11" i="4"/>
  <c r="E9" i="4"/>
  <c r="D9" i="4"/>
  <c r="H11" i="4"/>
  <c r="F9" i="4"/>
  <c r="F179" i="4"/>
  <c r="L12" i="4"/>
  <c r="K11" i="4"/>
  <c r="H12" i="4"/>
  <c r="E11" i="4"/>
  <c r="C12" i="4"/>
  <c r="D11" i="4"/>
  <c r="D12" i="4"/>
  <c r="C11" i="4"/>
  <c r="M12" i="4"/>
  <c r="J11" i="4"/>
  <c r="G11" i="4"/>
  <c r="L11" i="4"/>
  <c r="B11" i="4"/>
  <c r="G12" i="4"/>
  <c r="M11" i="4"/>
  <c r="AU4" i="1" l="1"/>
  <c r="AB4" i="6"/>
  <c r="AJ56" i="1"/>
  <c r="AM6" i="1"/>
  <c r="AN6" i="1" s="1"/>
  <c r="Z19" i="1"/>
  <c r="X19" i="1"/>
  <c r="H23" i="6"/>
  <c r="G23" i="6"/>
  <c r="F23" i="6"/>
  <c r="E23" i="6"/>
  <c r="AB7" i="6" l="1"/>
  <c r="D25" i="6" s="1"/>
  <c r="AV96" i="1"/>
  <c r="AV87" i="1"/>
  <c r="AV91" i="1"/>
  <c r="AV82" i="1"/>
  <c r="AV89" i="1"/>
  <c r="AV77" i="1"/>
  <c r="AV79" i="1"/>
  <c r="AV90" i="1"/>
  <c r="AV83" i="1"/>
  <c r="AV92" i="1"/>
  <c r="AV81" i="1"/>
  <c r="AV95" i="1"/>
  <c r="AV78" i="1"/>
  <c r="AV88" i="1"/>
  <c r="AV84" i="1"/>
  <c r="AV85" i="1"/>
  <c r="AV98" i="1"/>
  <c r="AV93" i="1"/>
  <c r="AV97" i="1"/>
  <c r="AV23" i="1"/>
  <c r="AV16" i="1"/>
  <c r="AV4" i="1"/>
  <c r="M7" i="6"/>
  <c r="M23" i="6"/>
  <c r="K6" i="6"/>
  <c r="I6" i="6"/>
  <c r="AK25" i="1"/>
  <c r="AL25" i="1" s="1"/>
  <c r="AJ62" i="1"/>
  <c r="AQ62" i="1"/>
  <c r="AR62" i="1" s="1"/>
  <c r="AR56" i="1"/>
  <c r="AU22" i="1"/>
  <c r="BC22" i="1" s="1"/>
  <c r="AO48" i="1"/>
  <c r="AP48" i="1" s="1"/>
  <c r="AU47" i="1"/>
  <c r="AM12" i="1"/>
  <c r="AN12" i="1" s="1"/>
  <c r="AJ25" i="1"/>
  <c r="AS25" i="1"/>
  <c r="AT25" i="1" s="1"/>
  <c r="BC16" i="1"/>
  <c r="AU54" i="1"/>
  <c r="AN56" i="1"/>
  <c r="AU46" i="1"/>
  <c r="AU17" i="1"/>
  <c r="BC17" i="1" s="1"/>
  <c r="AO43" i="1"/>
  <c r="AP43" i="1" s="1"/>
  <c r="AN19" i="1"/>
  <c r="AT62" i="1"/>
  <c r="AU5" i="1"/>
  <c r="BC5" i="1" s="1"/>
  <c r="AU42" i="1"/>
  <c r="AU45" i="1"/>
  <c r="AK62" i="1"/>
  <c r="AL62" i="1" s="1"/>
  <c r="AU8" i="1"/>
  <c r="AV8" i="1" s="1"/>
  <c r="AU9" i="1"/>
  <c r="BC9" i="1" s="1"/>
  <c r="AU10" i="1"/>
  <c r="BC10" i="1" s="1"/>
  <c r="AQ25" i="1"/>
  <c r="AR25" i="1" s="1"/>
  <c r="AJ24" i="1"/>
  <c r="AU14" i="1"/>
  <c r="AU55" i="1"/>
  <c r="AU59" i="1"/>
  <c r="AU60" i="1"/>
  <c r="AP56" i="1"/>
  <c r="AU52" i="1"/>
  <c r="AU18" i="1"/>
  <c r="BC18" i="1" s="1"/>
  <c r="BH18" i="1" s="1"/>
  <c r="BC23" i="1"/>
  <c r="AU15" i="1"/>
  <c r="BC15" i="1" s="1"/>
  <c r="AM43" i="1"/>
  <c r="AN43" i="1" s="1"/>
  <c r="AM48" i="1"/>
  <c r="AN48" i="1" s="1"/>
  <c r="AU51" i="1"/>
  <c r="AP12" i="1"/>
  <c r="BC4" i="1"/>
  <c r="AP19" i="1"/>
  <c r="U25" i="1"/>
  <c r="U20" i="1"/>
  <c r="M26" i="6"/>
  <c r="P55" i="4" l="1"/>
  <c r="F25" i="18"/>
  <c r="G25" i="18" s="1"/>
  <c r="BC14" i="1"/>
  <c r="AU19" i="1"/>
  <c r="BC51" i="1"/>
  <c r="AU56" i="1"/>
  <c r="BC56" i="1" s="1"/>
  <c r="U24" i="1"/>
  <c r="F24" i="18" s="1"/>
  <c r="G24" i="18" s="1"/>
  <c r="F20" i="18"/>
  <c r="G20" i="18" s="1"/>
  <c r="M6" i="6"/>
  <c r="BD16" i="1"/>
  <c r="BD23" i="1"/>
  <c r="BD14" i="1"/>
  <c r="BD4" i="1"/>
  <c r="BD18" i="1"/>
  <c r="BD9" i="1"/>
  <c r="BD10" i="1"/>
  <c r="BD5" i="1"/>
  <c r="B7" i="6" s="1"/>
  <c r="BD22" i="1"/>
  <c r="BD17" i="1"/>
  <c r="BD15" i="1"/>
  <c r="AS57" i="1"/>
  <c r="AS61" i="1" s="1"/>
  <c r="AT61" i="1" s="1"/>
  <c r="AT56" i="1"/>
  <c r="AQ57" i="1"/>
  <c r="AQ61" i="1" s="1"/>
  <c r="AR61" i="1" s="1"/>
  <c r="AK57" i="1"/>
  <c r="AL57" i="1" s="1"/>
  <c r="AL56" i="1"/>
  <c r="AJ61" i="1"/>
  <c r="AJ57" i="1"/>
  <c r="AV22" i="1"/>
  <c r="AQ20" i="1"/>
  <c r="AR20" i="1" s="1"/>
  <c r="AR19" i="1"/>
  <c r="AK20" i="1"/>
  <c r="AK24" i="1" s="1"/>
  <c r="AL24" i="1" s="1"/>
  <c r="AL19" i="1"/>
  <c r="AV15" i="1"/>
  <c r="AV17" i="1"/>
  <c r="AV18" i="1"/>
  <c r="AS20" i="1"/>
  <c r="AS24" i="1" s="1"/>
  <c r="AT24" i="1" s="1"/>
  <c r="AT19" i="1"/>
  <c r="AV14" i="1"/>
  <c r="AV5" i="1"/>
  <c r="AV10" i="1"/>
  <c r="AV9" i="1"/>
  <c r="BC8" i="1"/>
  <c r="BD8" i="1" s="1"/>
  <c r="AU11" i="1"/>
  <c r="BC11" i="1" s="1"/>
  <c r="AA20" i="1"/>
  <c r="AB19" i="1"/>
  <c r="T19" i="1"/>
  <c r="Y20" i="1"/>
  <c r="L20" i="18" s="1"/>
  <c r="M20" i="18" s="1"/>
  <c r="BA53" i="1"/>
  <c r="BC53" i="1"/>
  <c r="BA54" i="1"/>
  <c r="BC54" i="1"/>
  <c r="BC47" i="1"/>
  <c r="BC59" i="1"/>
  <c r="BC55" i="1"/>
  <c r="BH55" i="1" s="1"/>
  <c r="BA45" i="1"/>
  <c r="BC45" i="1"/>
  <c r="BC60" i="1"/>
  <c r="BA42" i="1"/>
  <c r="BC42" i="1"/>
  <c r="BA52" i="1"/>
  <c r="BC52" i="1"/>
  <c r="BA46" i="1"/>
  <c r="BC46" i="1"/>
  <c r="AU48" i="1"/>
  <c r="BC48" i="1" s="1"/>
  <c r="AO49" i="1"/>
  <c r="AM20" i="1"/>
  <c r="AM24" i="1" s="1"/>
  <c r="AU6" i="1"/>
  <c r="AV19" i="1"/>
  <c r="AM25" i="1"/>
  <c r="AN25" i="1" s="1"/>
  <c r="AM49" i="1"/>
  <c r="AN49" i="1" s="1"/>
  <c r="AO25" i="1"/>
  <c r="AP25" i="1" s="1"/>
  <c r="AO20" i="1"/>
  <c r="AU43" i="1"/>
  <c r="BC43" i="1" s="1"/>
  <c r="AU41" i="1"/>
  <c r="Y25" i="1"/>
  <c r="BA47" i="1"/>
  <c r="AB20" i="1" l="1"/>
  <c r="O20" i="18"/>
  <c r="P20" i="18" s="1"/>
  <c r="Z25" i="1"/>
  <c r="L25" i="18"/>
  <c r="M25" i="18" s="1"/>
  <c r="AT20" i="1"/>
  <c r="AQ24" i="1"/>
  <c r="AR24" i="1" s="1"/>
  <c r="AV121" i="1"/>
  <c r="AV123" i="1"/>
  <c r="AV113" i="1"/>
  <c r="AV115" i="1"/>
  <c r="AV128" i="1"/>
  <c r="AV127" i="1"/>
  <c r="AV109" i="1"/>
  <c r="AV110" i="1"/>
  <c r="AV122" i="1"/>
  <c r="AV114" i="1"/>
  <c r="AV120" i="1"/>
  <c r="AV119" i="1"/>
  <c r="AV111" i="1"/>
  <c r="AV117" i="1"/>
  <c r="AV116" i="1"/>
  <c r="AV124" i="1"/>
  <c r="AV130" i="1"/>
  <c r="AV125" i="1"/>
  <c r="AV129" i="1"/>
  <c r="BD11" i="1"/>
  <c r="B24" i="6" s="1"/>
  <c r="B27" i="6"/>
  <c r="AL20" i="1"/>
  <c r="AK61" i="1"/>
  <c r="AL61" i="1" s="1"/>
  <c r="AR57" i="1"/>
  <c r="AT57" i="1"/>
  <c r="AO57" i="1"/>
  <c r="AP49" i="1"/>
  <c r="BC41" i="1"/>
  <c r="AV55" i="1"/>
  <c r="AV46" i="1"/>
  <c r="AV54" i="1"/>
  <c r="AV45" i="1"/>
  <c r="AV53" i="1"/>
  <c r="AV43" i="1"/>
  <c r="AV52" i="1"/>
  <c r="AV42" i="1"/>
  <c r="AV48" i="1"/>
  <c r="AV60" i="1"/>
  <c r="AV51" i="1"/>
  <c r="AV41" i="1"/>
  <c r="AV59" i="1"/>
  <c r="AV56" i="1"/>
  <c r="AV47" i="1"/>
  <c r="AU12" i="1"/>
  <c r="AV12" i="1" s="1"/>
  <c r="AV11" i="1"/>
  <c r="T20" i="1"/>
  <c r="AN24" i="1"/>
  <c r="AN20" i="1"/>
  <c r="BC6" i="1"/>
  <c r="BD6" i="1" s="1"/>
  <c r="AV6" i="1"/>
  <c r="AO24" i="1"/>
  <c r="AP24" i="1" s="1"/>
  <c r="AP20" i="1"/>
  <c r="AA24" i="1"/>
  <c r="Y24" i="1"/>
  <c r="Z20" i="1"/>
  <c r="BA48" i="1"/>
  <c r="BA55" i="1"/>
  <c r="BF55" i="1" s="1"/>
  <c r="BA41" i="1"/>
  <c r="BA59" i="1"/>
  <c r="BA60" i="1"/>
  <c r="BF60" i="1" s="1"/>
  <c r="AO62" i="1"/>
  <c r="AP62" i="1" s="1"/>
  <c r="BC19" i="1"/>
  <c r="BD19" i="1" s="1"/>
  <c r="AM62" i="1"/>
  <c r="AN62" i="1" s="1"/>
  <c r="AM57" i="1"/>
  <c r="AU49" i="1"/>
  <c r="BC49" i="1" s="1"/>
  <c r="W25" i="1"/>
  <c r="X25" i="1" l="1"/>
  <c r="I25" i="18"/>
  <c r="J25" i="18" s="1"/>
  <c r="AB24" i="1"/>
  <c r="O24" i="18"/>
  <c r="P24" i="18" s="1"/>
  <c r="T24" i="1"/>
  <c r="Z24" i="1"/>
  <c r="L24" i="18"/>
  <c r="M24" i="18" s="1"/>
  <c r="AU20" i="1"/>
  <c r="AV20" i="1" s="1"/>
  <c r="BC12" i="1"/>
  <c r="AU25" i="1"/>
  <c r="BC25" i="1" s="1"/>
  <c r="BD25" i="1" s="1"/>
  <c r="AO61" i="1"/>
  <c r="AP61" i="1" s="1"/>
  <c r="AP57" i="1"/>
  <c r="AM61" i="1"/>
  <c r="AN61" i="1" s="1"/>
  <c r="AN57" i="1"/>
  <c r="AV49" i="1"/>
  <c r="BD60" i="1"/>
  <c r="BD53" i="1"/>
  <c r="BD42" i="1"/>
  <c r="BD54" i="1"/>
  <c r="BD41" i="1"/>
  <c r="BD48" i="1"/>
  <c r="BD52" i="1"/>
  <c r="BD43" i="1"/>
  <c r="BD55" i="1"/>
  <c r="BD51" i="1"/>
  <c r="BD56" i="1"/>
  <c r="BD49" i="1"/>
  <c r="BD46" i="1"/>
  <c r="BD47" i="1"/>
  <c r="BD45" i="1"/>
  <c r="BD59" i="1"/>
  <c r="BB55" i="1"/>
  <c r="BB46" i="1"/>
  <c r="BB54" i="1"/>
  <c r="BB45" i="1"/>
  <c r="BB53" i="1"/>
  <c r="BB52" i="1"/>
  <c r="BB42" i="1"/>
  <c r="BB48" i="1"/>
  <c r="BB60" i="1"/>
  <c r="BB41" i="1"/>
  <c r="BB59" i="1"/>
  <c r="BB47" i="1"/>
  <c r="W24" i="1"/>
  <c r="X20" i="1"/>
  <c r="AU62" i="1"/>
  <c r="AU57" i="1"/>
  <c r="AV57" i="1" s="1"/>
  <c r="AE25" i="1"/>
  <c r="U25" i="18" s="1"/>
  <c r="V25" i="18" s="1"/>
  <c r="X24" i="1" l="1"/>
  <c r="I24" i="18"/>
  <c r="J24" i="18" s="1"/>
  <c r="BC20" i="1"/>
  <c r="BD20" i="1" s="1"/>
  <c r="AU24" i="1"/>
  <c r="BC24" i="1" s="1"/>
  <c r="BD24" i="1" s="1"/>
  <c r="AV25" i="1"/>
  <c r="BD12" i="1"/>
  <c r="BC62" i="1"/>
  <c r="BD62" i="1" s="1"/>
  <c r="AV62" i="1"/>
  <c r="BA25" i="1"/>
  <c r="AF25" i="1"/>
  <c r="AU61" i="1"/>
  <c r="BC57" i="1"/>
  <c r="BD57" i="1" s="1"/>
  <c r="BA43" i="1"/>
  <c r="BB43" i="1" s="1"/>
  <c r="BB25" i="1" l="1"/>
  <c r="AG24" i="18"/>
  <c r="AH24" i="18" s="1"/>
  <c r="AV24" i="1"/>
  <c r="BC61" i="1"/>
  <c r="BD61" i="1" s="1"/>
  <c r="AV61" i="1"/>
  <c r="AA6" i="6"/>
  <c r="AA5" i="6"/>
  <c r="AC4" i="6"/>
  <c r="BF23" i="1"/>
  <c r="B6" i="6"/>
  <c r="AA7" i="6" l="1"/>
  <c r="BA49" i="1"/>
  <c r="BB49" i="1" s="1"/>
  <c r="BA62" i="1"/>
  <c r="BB62" i="1" s="1"/>
  <c r="AY45" i="1"/>
  <c r="AK5" i="6"/>
  <c r="AY8" i="1"/>
  <c r="AY15" i="1"/>
  <c r="AI4" i="6"/>
  <c r="AY16" i="1"/>
  <c r="AY22" i="1"/>
  <c r="AG6" i="6"/>
  <c r="AI6" i="6"/>
  <c r="AG5" i="6"/>
  <c r="AY14" i="1"/>
  <c r="AA14" i="18" s="1"/>
  <c r="AY5" i="1"/>
  <c r="AK6" i="6"/>
  <c r="AE4" i="6"/>
  <c r="E85" i="1"/>
  <c r="F85" i="1" s="1"/>
  <c r="AK4" i="6"/>
  <c r="AI5" i="6"/>
  <c r="AJ14" i="18" l="1"/>
  <c r="AK14" i="18" s="1"/>
  <c r="BH8" i="1"/>
  <c r="AA8" i="18"/>
  <c r="BH5" i="1"/>
  <c r="AA5" i="18"/>
  <c r="BH15" i="1"/>
  <c r="AA15" i="18"/>
  <c r="BH22" i="1"/>
  <c r="AA22" i="18"/>
  <c r="BF16" i="1"/>
  <c r="AA16" i="18"/>
  <c r="BF45" i="1"/>
  <c r="BH45" i="1"/>
  <c r="BG16" i="1"/>
  <c r="BH16" i="1"/>
  <c r="BG14" i="1"/>
  <c r="BH14" i="1"/>
  <c r="BG22" i="1"/>
  <c r="BF22" i="1"/>
  <c r="BG8" i="1"/>
  <c r="BF8" i="1"/>
  <c r="BG5" i="1"/>
  <c r="BF5" i="1"/>
  <c r="BG45" i="1"/>
  <c r="BG15" i="1"/>
  <c r="BF15" i="1"/>
  <c r="BE22" i="1"/>
  <c r="AY4" i="1"/>
  <c r="AA4" i="18" s="1"/>
  <c r="O79" i="1"/>
  <c r="P79" i="1" s="1"/>
  <c r="AI7" i="6"/>
  <c r="G22" i="6" s="1"/>
  <c r="AG4" i="6"/>
  <c r="AG7" i="6" s="1"/>
  <c r="F22" i="6" s="1"/>
  <c r="AK7" i="6"/>
  <c r="H22" i="6" s="1"/>
  <c r="AE5" i="6"/>
  <c r="AE6" i="6"/>
  <c r="AC5" i="6"/>
  <c r="AC6" i="6"/>
  <c r="AJ4" i="6"/>
  <c r="AJ7" i="6" s="1"/>
  <c r="H25" i="6" s="1"/>
  <c r="K85" i="1"/>
  <c r="L85" i="1" s="1"/>
  <c r="AH4" i="6"/>
  <c r="AH7" i="6" s="1"/>
  <c r="G25" i="6" s="1"/>
  <c r="AF4" i="6"/>
  <c r="AF7" i="6" s="1"/>
  <c r="F25" i="6" s="1"/>
  <c r="AD4" i="6"/>
  <c r="AD7" i="6" s="1"/>
  <c r="E25" i="6" s="1"/>
  <c r="BE15" i="1"/>
  <c r="AY18" i="1"/>
  <c r="AY23" i="1"/>
  <c r="AY17" i="1"/>
  <c r="BE8" i="1"/>
  <c r="AY9" i="1"/>
  <c r="BE16" i="1"/>
  <c r="AY41" i="1"/>
  <c r="BE45" i="1"/>
  <c r="AY53" i="1"/>
  <c r="AY59" i="1"/>
  <c r="AY54" i="1"/>
  <c r="AY55" i="1"/>
  <c r="BG55" i="1" s="1"/>
  <c r="AY60" i="1"/>
  <c r="AY52" i="1"/>
  <c r="AY51" i="1"/>
  <c r="AM15" i="18" l="1"/>
  <c r="AN15" i="18" s="1"/>
  <c r="AJ15" i="18"/>
  <c r="AK15" i="18" s="1"/>
  <c r="AM5" i="18"/>
  <c r="AN5" i="18" s="1"/>
  <c r="AJ5" i="18"/>
  <c r="AK5" i="18" s="1"/>
  <c r="AM8" i="18"/>
  <c r="AN8" i="18" s="1"/>
  <c r="AJ8" i="18"/>
  <c r="AK8" i="18" s="1"/>
  <c r="AM4" i="18"/>
  <c r="AN4" i="18" s="1"/>
  <c r="AJ4" i="18"/>
  <c r="AK4" i="18" s="1"/>
  <c r="AB14" i="18"/>
  <c r="AB10" i="18"/>
  <c r="AB8" i="18"/>
  <c r="AA6" i="18"/>
  <c r="AB4" i="18"/>
  <c r="AB22" i="18"/>
  <c r="AB5" i="18"/>
  <c r="AB15" i="18"/>
  <c r="BG18" i="1"/>
  <c r="AA18" i="18"/>
  <c r="AB18" i="18" s="1"/>
  <c r="BF17" i="1"/>
  <c r="AA17" i="18"/>
  <c r="AA19" i="18" s="1"/>
  <c r="AM22" i="18"/>
  <c r="AN22" i="18" s="1"/>
  <c r="AJ22" i="18"/>
  <c r="AK22" i="18" s="1"/>
  <c r="AM16" i="18"/>
  <c r="AN16" i="18" s="1"/>
  <c r="AJ16" i="18"/>
  <c r="AK16" i="18" s="1"/>
  <c r="AB16" i="18"/>
  <c r="BH9" i="1"/>
  <c r="AA9" i="18"/>
  <c r="BH4" i="1"/>
  <c r="BF4" i="1"/>
  <c r="BH17" i="1"/>
  <c r="AY11" i="1"/>
  <c r="O84" i="1"/>
  <c r="P84" i="1" s="1"/>
  <c r="AY19" i="1"/>
  <c r="BG19" i="1" s="1"/>
  <c r="O92" i="1"/>
  <c r="P92" i="1" s="1"/>
  <c r="E93" i="1"/>
  <c r="F93" i="1" s="1"/>
  <c r="BG60" i="1"/>
  <c r="BH60" i="1"/>
  <c r="BF59" i="1"/>
  <c r="BH59" i="1"/>
  <c r="BF53" i="1"/>
  <c r="BH53" i="1"/>
  <c r="BF54" i="1"/>
  <c r="BH54" i="1"/>
  <c r="BF52" i="1"/>
  <c r="BH52" i="1"/>
  <c r="BG51" i="1"/>
  <c r="BH51" i="1"/>
  <c r="AZ59" i="1"/>
  <c r="AZ60" i="1"/>
  <c r="AZ54" i="1"/>
  <c r="BF41" i="1"/>
  <c r="AZ55" i="1"/>
  <c r="AZ45" i="1"/>
  <c r="AZ53" i="1"/>
  <c r="AZ51" i="1"/>
  <c r="AZ52" i="1"/>
  <c r="AZ41" i="1"/>
  <c r="BH41" i="1"/>
  <c r="BG23" i="1"/>
  <c r="BH23" i="1"/>
  <c r="BG54" i="1"/>
  <c r="BG9" i="1"/>
  <c r="BF9" i="1"/>
  <c r="BG59" i="1"/>
  <c r="BG53" i="1"/>
  <c r="BG17" i="1"/>
  <c r="BG41" i="1"/>
  <c r="BG4" i="1"/>
  <c r="BG52" i="1"/>
  <c r="BE4" i="1"/>
  <c r="BE55" i="1"/>
  <c r="BE18" i="1"/>
  <c r="K93" i="1"/>
  <c r="L93" i="1" s="1"/>
  <c r="AY6" i="1"/>
  <c r="AZ15" i="1"/>
  <c r="AZ5" i="1"/>
  <c r="AZ23" i="1"/>
  <c r="AZ14" i="1"/>
  <c r="AZ4" i="1"/>
  <c r="AZ22" i="1"/>
  <c r="AZ17" i="1"/>
  <c r="AZ8" i="1"/>
  <c r="AZ16" i="1"/>
  <c r="AZ18" i="1"/>
  <c r="AZ9" i="1"/>
  <c r="AC7" i="6"/>
  <c r="D22" i="6" s="1"/>
  <c r="M5" i="6"/>
  <c r="AE7" i="6"/>
  <c r="E22" i="6" s="1"/>
  <c r="M85" i="1"/>
  <c r="N85" i="1" s="1"/>
  <c r="M25" i="6"/>
  <c r="AY42" i="1"/>
  <c r="AZ42" i="1" s="1"/>
  <c r="AY47" i="1"/>
  <c r="AZ47" i="1" s="1"/>
  <c r="BE54" i="1"/>
  <c r="BE53" i="1"/>
  <c r="BE60" i="1"/>
  <c r="BE41" i="1"/>
  <c r="BE52" i="1"/>
  <c r="BE59" i="1"/>
  <c r="BE17" i="1"/>
  <c r="AY56" i="1"/>
  <c r="AY43" i="1"/>
  <c r="BE5" i="1"/>
  <c r="AM18" i="18" l="1"/>
  <c r="AN18" i="18" s="1"/>
  <c r="AJ18" i="18"/>
  <c r="AK18" i="18" s="1"/>
  <c r="AB6" i="18"/>
  <c r="AM6" i="18"/>
  <c r="AN6" i="18" s="1"/>
  <c r="AJ6" i="18"/>
  <c r="AK6" i="18" s="1"/>
  <c r="AM17" i="18"/>
  <c r="AN17" i="18" s="1"/>
  <c r="AJ17" i="18"/>
  <c r="AK17" i="18" s="1"/>
  <c r="AB17" i="18"/>
  <c r="AJ9" i="18"/>
  <c r="AK9" i="18" s="1"/>
  <c r="AM9" i="18"/>
  <c r="AN9" i="18" s="1"/>
  <c r="AB19" i="18"/>
  <c r="AJ19" i="18"/>
  <c r="AK19" i="18" s="1"/>
  <c r="AA11" i="18"/>
  <c r="AB9" i="18"/>
  <c r="AZ56" i="1"/>
  <c r="BG56" i="1"/>
  <c r="AZ19" i="1"/>
  <c r="BG10" i="1"/>
  <c r="BH11" i="1"/>
  <c r="B25" i="6"/>
  <c r="BH19" i="1"/>
  <c r="AZ10" i="1"/>
  <c r="BE10" i="1"/>
  <c r="BH6" i="1"/>
  <c r="BF6" i="1"/>
  <c r="BH10" i="1"/>
  <c r="BF10" i="1"/>
  <c r="BH56" i="1"/>
  <c r="BF47" i="1"/>
  <c r="BH47" i="1"/>
  <c r="BF42" i="1"/>
  <c r="BH42" i="1"/>
  <c r="BF43" i="1"/>
  <c r="BH43" i="1"/>
  <c r="AZ43" i="1"/>
  <c r="AZ6" i="1"/>
  <c r="BG43" i="1"/>
  <c r="BG6" i="1"/>
  <c r="BG47" i="1"/>
  <c r="BG11" i="1"/>
  <c r="BF11" i="1"/>
  <c r="BG42" i="1"/>
  <c r="AZ11" i="1"/>
  <c r="B22" i="6" s="1"/>
  <c r="BE42" i="1"/>
  <c r="BE47" i="1"/>
  <c r="M22" i="6"/>
  <c r="BE6" i="1"/>
  <c r="BE43" i="1"/>
  <c r="AY48" i="1"/>
  <c r="AB11" i="18" l="1"/>
  <c r="AA12" i="18"/>
  <c r="AJ11" i="18"/>
  <c r="AK11" i="18" s="1"/>
  <c r="AM11" i="18"/>
  <c r="AN11" i="18" s="1"/>
  <c r="M93" i="1"/>
  <c r="N93" i="1" s="1"/>
  <c r="AY20" i="1"/>
  <c r="O85" i="1"/>
  <c r="P85" i="1" s="1"/>
  <c r="BF46" i="1"/>
  <c r="BH46" i="1"/>
  <c r="AZ46" i="1"/>
  <c r="BF48" i="1"/>
  <c r="BH48" i="1"/>
  <c r="AZ48" i="1"/>
  <c r="BG46" i="1"/>
  <c r="BG48" i="1"/>
  <c r="BE48" i="1"/>
  <c r="AY12" i="1"/>
  <c r="BH12" i="1" s="1"/>
  <c r="AY49" i="1"/>
  <c r="BE46" i="1"/>
  <c r="BE9" i="1"/>
  <c r="B5" i="6"/>
  <c r="AA20" i="18" l="1"/>
  <c r="AJ12" i="18"/>
  <c r="AK12" i="18" s="1"/>
  <c r="AM12" i="18"/>
  <c r="AN12" i="18" s="1"/>
  <c r="AB12" i="18"/>
  <c r="O93" i="1"/>
  <c r="P93" i="1" s="1"/>
  <c r="O98" i="1"/>
  <c r="P98" i="1" s="1"/>
  <c r="AZ49" i="1"/>
  <c r="BF49" i="1"/>
  <c r="BH49" i="1"/>
  <c r="BG20" i="1"/>
  <c r="BH20" i="1"/>
  <c r="BG12" i="1"/>
  <c r="BF12" i="1"/>
  <c r="BG49" i="1"/>
  <c r="AZ12" i="1"/>
  <c r="AY25" i="1"/>
  <c r="AZ20" i="1"/>
  <c r="AY62" i="1"/>
  <c r="BE12" i="1"/>
  <c r="AY24" i="1"/>
  <c r="AA23" i="18" s="1"/>
  <c r="AY61" i="1"/>
  <c r="BE49" i="1"/>
  <c r="BE11" i="1"/>
  <c r="BE23" i="1"/>
  <c r="BH25" i="1" l="1"/>
  <c r="AA24" i="18"/>
  <c r="AB23" i="18"/>
  <c r="AJ23" i="18"/>
  <c r="AK23" i="18" s="1"/>
  <c r="AB20" i="18"/>
  <c r="AJ20" i="18"/>
  <c r="AK20" i="18" s="1"/>
  <c r="O97" i="1"/>
  <c r="P97" i="1" s="1"/>
  <c r="BF62" i="1"/>
  <c r="BH62" i="1"/>
  <c r="AZ62" i="1"/>
  <c r="BG61" i="1"/>
  <c r="AZ61" i="1"/>
  <c r="BH61" i="1"/>
  <c r="BG24" i="1"/>
  <c r="BH24" i="1"/>
  <c r="BG25" i="1"/>
  <c r="BF25" i="1"/>
  <c r="BG62" i="1"/>
  <c r="AZ24" i="1"/>
  <c r="AZ25" i="1"/>
  <c r="BE25" i="1"/>
  <c r="BE62" i="1"/>
  <c r="AY57" i="1"/>
  <c r="AB24" i="18" l="1"/>
  <c r="AJ24" i="18"/>
  <c r="AK24" i="18" s="1"/>
  <c r="AM24" i="18"/>
  <c r="AN24" i="18" s="1"/>
  <c r="BG57" i="1"/>
  <c r="AZ57" i="1"/>
  <c r="BH57" i="1"/>
  <c r="X14" i="1"/>
  <c r="AE14" i="1"/>
  <c r="AE19" i="1" s="1"/>
  <c r="U19" i="18" l="1"/>
  <c r="V19" i="18" s="1"/>
  <c r="U14" i="18"/>
  <c r="V14" i="18" s="1"/>
  <c r="BA14" i="1"/>
  <c r="BA51" i="1"/>
  <c r="AF19" i="1"/>
  <c r="BA19" i="1"/>
  <c r="AG19" i="18" s="1"/>
  <c r="AE20" i="1"/>
  <c r="U20" i="18" s="1"/>
  <c r="V20" i="18" s="1"/>
  <c r="AF14" i="1"/>
  <c r="AM19" i="18" l="1"/>
  <c r="AN19" i="18" s="1"/>
  <c r="AH19" i="18"/>
  <c r="BF14" i="1"/>
  <c r="AG14" i="18"/>
  <c r="BB14" i="1"/>
  <c r="BE14" i="1"/>
  <c r="BB51" i="1"/>
  <c r="BF51" i="1"/>
  <c r="AF20" i="1"/>
  <c r="BA20" i="1"/>
  <c r="AG20" i="18" s="1"/>
  <c r="AE24" i="1"/>
  <c r="U24" i="18" s="1"/>
  <c r="V24" i="18" s="1"/>
  <c r="BE19" i="1"/>
  <c r="BF19" i="1"/>
  <c r="BB19" i="1"/>
  <c r="BA56" i="1"/>
  <c r="BE56" i="1" s="1"/>
  <c r="BE51" i="1"/>
  <c r="AM20" i="18" l="1"/>
  <c r="AN20" i="18" s="1"/>
  <c r="AH20" i="18"/>
  <c r="AM14" i="18"/>
  <c r="AN14" i="18" s="1"/>
  <c r="AH14" i="18"/>
  <c r="BB56" i="1"/>
  <c r="BF56" i="1"/>
  <c r="BE20" i="1"/>
  <c r="BF20" i="1"/>
  <c r="BB20" i="1"/>
  <c r="BA57" i="1"/>
  <c r="BA61" i="1"/>
  <c r="BA24" i="1"/>
  <c r="AG23" i="18" s="1"/>
  <c r="AF24" i="1"/>
  <c r="AM23" i="18" l="1"/>
  <c r="AN23" i="18" s="1"/>
  <c r="AH23" i="18"/>
  <c r="BB61" i="1"/>
  <c r="BF61" i="1"/>
  <c r="BB57" i="1"/>
  <c r="BF57" i="1"/>
  <c r="BE61" i="1"/>
  <c r="BE57" i="1"/>
  <c r="BB24" i="1"/>
  <c r="BE24" i="1"/>
  <c r="BF24" i="1"/>
</calcChain>
</file>

<file path=xl/sharedStrings.xml><?xml version="1.0" encoding="utf-8"?>
<sst xmlns="http://schemas.openxmlformats.org/spreadsheetml/2006/main" count="13260" uniqueCount="726">
  <si>
    <t>Real</t>
  </si>
  <si>
    <t>Ppto</t>
  </si>
  <si>
    <t>AA</t>
  </si>
  <si>
    <t>vs Ppto</t>
  </si>
  <si>
    <t>vs. AA</t>
  </si>
  <si>
    <t>Vts. Netas</t>
  </si>
  <si>
    <t>Costo. Dir.</t>
  </si>
  <si>
    <t>C. Marginal</t>
  </si>
  <si>
    <t>Gts. Venta</t>
  </si>
  <si>
    <t>Gts. Admón</t>
  </si>
  <si>
    <t>Dep. y Amtz.</t>
  </si>
  <si>
    <t>Total Gts. Op.</t>
  </si>
  <si>
    <t>UAFIR</t>
  </si>
  <si>
    <t>Perd. o Ut. Camb.</t>
  </si>
  <si>
    <t>OG y OI</t>
  </si>
  <si>
    <t>Gts. Fin.</t>
  </si>
  <si>
    <t>Prod. Fin.</t>
  </si>
  <si>
    <t>CIF</t>
  </si>
  <si>
    <t>UAIR</t>
  </si>
  <si>
    <t>ISR</t>
  </si>
  <si>
    <t>Otros</t>
  </si>
  <si>
    <t>Ut. Neta</t>
  </si>
  <si>
    <t>UAFIR Flujo</t>
  </si>
  <si>
    <t xml:space="preserve">12. EXELCO ER Consolidado Julio 2019(miles de pesos) 
</t>
  </si>
  <si>
    <t xml:space="preserve">13. EXELCO ER Consolidado acumulado a Julio 2019(miles de pesos) 
</t>
  </si>
  <si>
    <t>Auto</t>
  </si>
  <si>
    <t>Alim MX</t>
  </si>
  <si>
    <t>Alim EU</t>
  </si>
  <si>
    <t>Inmob EU</t>
  </si>
  <si>
    <t>Energ</t>
  </si>
  <si>
    <t>Inmob MX</t>
  </si>
  <si>
    <t>Grupo</t>
  </si>
  <si>
    <t>UAFIR a. G.Corp</t>
  </si>
  <si>
    <t>Serv. Corp.</t>
  </si>
  <si>
    <t>Gastos Extraordinarios</t>
  </si>
  <si>
    <t xml:space="preserve">ISR </t>
  </si>
  <si>
    <t>Ut. Neta Flujo</t>
  </si>
  <si>
    <t>Amortizacion</t>
  </si>
  <si>
    <t>UNF - Amort</t>
  </si>
  <si>
    <t>Aportaciones</t>
  </si>
  <si>
    <t>UNF - Amort - Aport</t>
  </si>
  <si>
    <t>Ppto Mes:</t>
  </si>
  <si>
    <t>Acum Ppto</t>
  </si>
  <si>
    <t>OTROS</t>
  </si>
  <si>
    <t>AA Mes:</t>
  </si>
  <si>
    <t>Acum AA:</t>
  </si>
  <si>
    <t>ACUM</t>
  </si>
  <si>
    <t>GRUPO EXELCO</t>
  </si>
  <si>
    <t>E</t>
  </si>
  <si>
    <t>F</t>
  </si>
  <si>
    <t>M</t>
  </si>
  <si>
    <t>A</t>
  </si>
  <si>
    <t>J</t>
  </si>
  <si>
    <t>S</t>
  </si>
  <si>
    <t>O</t>
  </si>
  <si>
    <t>N</t>
  </si>
  <si>
    <t>D</t>
  </si>
  <si>
    <t>Pagos Ext.</t>
  </si>
  <si>
    <t>UAFIR FL./V.R.</t>
  </si>
  <si>
    <t>UAFIR FL./V.P.</t>
  </si>
  <si>
    <t>DIVISION CORPORATIVO</t>
  </si>
  <si>
    <t>Pasivos Dlls:</t>
  </si>
  <si>
    <t xml:space="preserve">Exelco IBC </t>
  </si>
  <si>
    <t>Inm Superservicio IBC</t>
  </si>
  <si>
    <t>Exelco de Mexico IBC</t>
  </si>
  <si>
    <t>Pasivos Mx:</t>
  </si>
  <si>
    <t>Decinsa - Bcomer LP</t>
  </si>
  <si>
    <t>Gtos. Fin Corp.</t>
  </si>
  <si>
    <t>s.d. Corp</t>
  </si>
  <si>
    <t>Amort. Corp.</t>
  </si>
  <si>
    <t>Mensual</t>
  </si>
  <si>
    <t>Acumulado</t>
  </si>
  <si>
    <t>INICIO DIVISIONES</t>
  </si>
  <si>
    <t>DIVISION ENERGETICOS</t>
  </si>
  <si>
    <t>Exelco Carburantes IBC</t>
  </si>
  <si>
    <t>ALIFSA IBC</t>
  </si>
  <si>
    <t>GAS ELSA</t>
  </si>
  <si>
    <t>SILSA-IBC</t>
  </si>
  <si>
    <t>GAS ELSA IBC</t>
  </si>
  <si>
    <t>Gasificadora - Bcomer LP</t>
  </si>
  <si>
    <t>Gas Elsa - Bcomer LP</t>
  </si>
  <si>
    <t>Exelco Carburantes - Bcomer LP</t>
  </si>
  <si>
    <t>DIVISION ALIMENTOS</t>
  </si>
  <si>
    <t>RYSF-IBC</t>
  </si>
  <si>
    <t>Rysf-BanRegio LP</t>
  </si>
  <si>
    <t>Rysf-Bancomer LP</t>
  </si>
  <si>
    <t>Rysf-Santander LP</t>
  </si>
  <si>
    <t>Exelco Suppy-Bcomer LP</t>
  </si>
  <si>
    <t>RDSR - Bcomer LP</t>
  </si>
  <si>
    <t>DIVISION AUTOMOTRIZ</t>
  </si>
  <si>
    <t>Superserv-Santander LP</t>
  </si>
  <si>
    <t>Superserv-Bcomer CP</t>
  </si>
  <si>
    <t>ATSA-Bancomer CP</t>
  </si>
  <si>
    <t>DIVISION INMOBILIARIA</t>
  </si>
  <si>
    <t>ALIMENTOS EU DLLS</t>
  </si>
  <si>
    <t xml:space="preserve"> Pasivos Dlls:</t>
  </si>
  <si>
    <t xml:space="preserve"> Pasivos Mx:</t>
  </si>
  <si>
    <t>INMOBILIARIA EU DLLS</t>
  </si>
  <si>
    <t>FIN DIVISIONES</t>
  </si>
  <si>
    <t>TIPOS DE CAMBIO</t>
  </si>
  <si>
    <t>Actual</t>
  </si>
  <si>
    <t>ppto</t>
  </si>
  <si>
    <t>TC  ants de Modificar Variables</t>
  </si>
  <si>
    <t>ALIMENTOS EUA PESOS</t>
  </si>
  <si>
    <t>INMOBILIARIA EUA PESOS</t>
  </si>
  <si>
    <t>EMPRESAS MEXICANAS</t>
  </si>
  <si>
    <t>Mes</t>
  </si>
  <si>
    <t>COMPULSA</t>
  </si>
  <si>
    <t>Inmob</t>
  </si>
  <si>
    <t>Real Mes dll:</t>
  </si>
  <si>
    <t>Real Acumulado dll:</t>
  </si>
  <si>
    <t>Mes_cierre</t>
  </si>
  <si>
    <t>MILES DE PESOS</t>
  </si>
  <si>
    <t>MILES DE DOLARES</t>
  </si>
  <si>
    <t>Costos</t>
  </si>
  <si>
    <t>Exelco</t>
  </si>
  <si>
    <t>Alim Mx</t>
  </si>
  <si>
    <t>Acum.</t>
  </si>
  <si>
    <t>Gastos</t>
  </si>
  <si>
    <t>Real Mes</t>
  </si>
  <si>
    <t>TC_MES</t>
  </si>
  <si>
    <t>FECHA</t>
  </si>
  <si>
    <t xml:space="preserve">Ac. vs Ppto </t>
  </si>
  <si>
    <t xml:space="preserve">Mes vs. AA </t>
  </si>
  <si>
    <t xml:space="preserve">Ac. vs AA </t>
  </si>
  <si>
    <t xml:space="preserve">Ppto Mes Sig </t>
  </si>
  <si>
    <t xml:space="preserve">AA Mes Sig </t>
  </si>
  <si>
    <t xml:space="preserve">Proy Mes Sig </t>
  </si>
  <si>
    <t xml:space="preserve">Acum. vs Ppto </t>
  </si>
  <si>
    <t xml:space="preserve">Mes vs AA </t>
  </si>
  <si>
    <t xml:space="preserve">Acum vs AA </t>
  </si>
  <si>
    <t xml:space="preserve">Ac vs AA </t>
  </si>
  <si>
    <t xml:space="preserve">Mes vs Ppto </t>
  </si>
  <si>
    <t xml:space="preserve">Ac vs Ppto </t>
  </si>
  <si>
    <t xml:space="preserve">Proyec Mes Sig </t>
  </si>
  <si>
    <t>Division autmotriz</t>
  </si>
  <si>
    <t>Sserv</t>
  </si>
  <si>
    <t>Tuxpan</t>
  </si>
  <si>
    <t>SSAG</t>
  </si>
  <si>
    <t>Sserv. Autos</t>
  </si>
  <si>
    <t>División</t>
  </si>
  <si>
    <t>Unidades</t>
  </si>
  <si>
    <t>Division Alimentos</t>
  </si>
  <si>
    <t>REPOMO</t>
  </si>
  <si>
    <t>RYSF</t>
  </si>
  <si>
    <t>RSR</t>
  </si>
  <si>
    <t>ESM</t>
  </si>
  <si>
    <t>Dival</t>
  </si>
  <si>
    <t>PAC</t>
  </si>
  <si>
    <t>Capsa</t>
  </si>
  <si>
    <t>Division energeticos</t>
  </si>
  <si>
    <t>Kg.</t>
  </si>
  <si>
    <t>Elsa</t>
  </si>
  <si>
    <t>Golfo</t>
  </si>
  <si>
    <t>Gasero</t>
  </si>
  <si>
    <t>Gas. Q</t>
  </si>
  <si>
    <t>Nord</t>
  </si>
  <si>
    <t>Tajin</t>
  </si>
  <si>
    <t>ExCarb</t>
  </si>
  <si>
    <t>Division Inmobiliaria</t>
  </si>
  <si>
    <t>Inm. Exelco</t>
  </si>
  <si>
    <t>SILN</t>
  </si>
  <si>
    <t>Sales</t>
  </si>
  <si>
    <t>Direct Cost</t>
  </si>
  <si>
    <t>Gross profit</t>
  </si>
  <si>
    <t>Sales expenses</t>
  </si>
  <si>
    <t>Managerial expenses</t>
  </si>
  <si>
    <t>Deprec &amp; amortiz.</t>
  </si>
  <si>
    <t>Total operating expenses</t>
  </si>
  <si>
    <t>Operating profit</t>
  </si>
  <si>
    <t>Other income</t>
  </si>
  <si>
    <t>Financial expenses</t>
  </si>
  <si>
    <t>Financial income</t>
  </si>
  <si>
    <t>Financial costs</t>
  </si>
  <si>
    <t>Earnings before tax</t>
  </si>
  <si>
    <t>Franchise tax</t>
  </si>
  <si>
    <t>Net profit</t>
  </si>
  <si>
    <t>EBITDA</t>
  </si>
  <si>
    <t>Income Tax</t>
  </si>
  <si>
    <t>SW</t>
  </si>
  <si>
    <t>PDS</t>
  </si>
  <si>
    <t>PDC</t>
  </si>
  <si>
    <t>PZZS</t>
  </si>
  <si>
    <t>PZZG</t>
  </si>
  <si>
    <t>Division Alimentos EU</t>
  </si>
  <si>
    <t>Division Inmobiliaria EU</t>
  </si>
  <si>
    <t>Prov.</t>
  </si>
  <si>
    <t>Sunny</t>
  </si>
  <si>
    <t>Tes. Real.</t>
  </si>
  <si>
    <t>Tes. Vent.</t>
  </si>
  <si>
    <t>Tes. Prop.</t>
  </si>
  <si>
    <t>ACUMULADO</t>
  </si>
  <si>
    <t>MES</t>
  </si>
  <si>
    <t xml:space="preserve">Activo Circulante    </t>
  </si>
  <si>
    <t xml:space="preserve">Caja y Bancos                           </t>
  </si>
  <si>
    <t xml:space="preserve">Inversiones Temporales                  </t>
  </si>
  <si>
    <t xml:space="preserve">Clientes                                </t>
  </si>
  <si>
    <t xml:space="preserve">Deudores Diversos                       </t>
  </si>
  <si>
    <t xml:space="preserve">Inventarios                             </t>
  </si>
  <si>
    <t xml:space="preserve">Pagos Anticipados                       </t>
  </si>
  <si>
    <t>Otros activos circulantes</t>
  </si>
  <si>
    <t xml:space="preserve">Total Activo Circulante   </t>
  </si>
  <si>
    <t>Activo No Circulante</t>
  </si>
  <si>
    <t xml:space="preserve">Terrenos                                </t>
  </si>
  <si>
    <t xml:space="preserve">Edificios                               </t>
  </si>
  <si>
    <t xml:space="preserve">Mobiliario y Equipo                     </t>
  </si>
  <si>
    <t xml:space="preserve">Equipo Electronico                      </t>
  </si>
  <si>
    <t xml:space="preserve">Equipo de Transporte                    </t>
  </si>
  <si>
    <t xml:space="preserve">Maquinaria y Equipo                     </t>
  </si>
  <si>
    <t xml:space="preserve">Otros Activos Fijos                     </t>
  </si>
  <si>
    <t xml:space="preserve">Depreciacion Acumulada                  </t>
  </si>
  <si>
    <t xml:space="preserve">Total Activo Fijo                       </t>
  </si>
  <si>
    <t xml:space="preserve">Activo Diferido     </t>
  </si>
  <si>
    <t xml:space="preserve">Gastos Inst. Org. y Otros               </t>
  </si>
  <si>
    <t xml:space="preserve">Inversiones x Amortizar                 </t>
  </si>
  <si>
    <t xml:space="preserve">Amortizacion Acumulada                  </t>
  </si>
  <si>
    <t xml:space="preserve">Total Activo Diferido                   </t>
  </si>
  <si>
    <t xml:space="preserve">Otros Activos                           </t>
  </si>
  <si>
    <t xml:space="preserve">Inversiones en Acciones                 </t>
  </si>
  <si>
    <t>Total Activo No Circulante</t>
  </si>
  <si>
    <t xml:space="preserve">Total Activo                            </t>
  </si>
  <si>
    <t xml:space="preserve">Pasivo Circulante  </t>
  </si>
  <si>
    <t xml:space="preserve">Proveedores                             </t>
  </si>
  <si>
    <t xml:space="preserve">Acreedores Diversos                     </t>
  </si>
  <si>
    <t xml:space="preserve">Documentos x Pagar                      </t>
  </si>
  <si>
    <t xml:space="preserve">Impuestos y Gastos x Pagar              </t>
  </si>
  <si>
    <t xml:space="preserve">Otros Pasivos Circulantes              </t>
  </si>
  <si>
    <t xml:space="preserve">Total Pasivo Circulante                 </t>
  </si>
  <si>
    <t>Pasivo largo Plazo</t>
  </si>
  <si>
    <t xml:space="preserve">Pasivo Largo Plazo M.N.                 </t>
  </si>
  <si>
    <t xml:space="preserve">Pasivo Largo Plazo M.E.                 </t>
  </si>
  <si>
    <t xml:space="preserve">Otros Pasivo Largo Plazo                </t>
  </si>
  <si>
    <t xml:space="preserve">Total Pasivo Fijo                       </t>
  </si>
  <si>
    <t xml:space="preserve">Pasivo Diferido            </t>
  </si>
  <si>
    <t xml:space="preserve">UT. x Realizar Ventas Abonos            </t>
  </si>
  <si>
    <t>Total Pasivo Largo Plazo</t>
  </si>
  <si>
    <t xml:space="preserve">Capital               </t>
  </si>
  <si>
    <t xml:space="preserve">Capital Social                          </t>
  </si>
  <si>
    <t xml:space="preserve">Reservas de Capital                     </t>
  </si>
  <si>
    <t xml:space="preserve">Resultado Ejerc. Anteriores             </t>
  </si>
  <si>
    <t xml:space="preserve">Resultado del Ejercicio                 </t>
  </si>
  <si>
    <t xml:space="preserve">Aportaciones                            </t>
  </si>
  <si>
    <t xml:space="preserve">Efecto Neto de Reexpresion              </t>
  </si>
  <si>
    <t xml:space="preserve">Total Capital                           </t>
  </si>
  <si>
    <t xml:space="preserve">Total Pasivo + Capital                  </t>
  </si>
  <si>
    <t>Diferencia</t>
  </si>
  <si>
    <t>*energeticos</t>
  </si>
  <si>
    <t xml:space="preserve">Generacion Bruta                        </t>
  </si>
  <si>
    <t xml:space="preserve">Acreedores diversos                     </t>
  </si>
  <si>
    <t xml:space="preserve">Gts. Ac. por pagar                      </t>
  </si>
  <si>
    <t xml:space="preserve">Partidas no Operativas                  </t>
  </si>
  <si>
    <t xml:space="preserve">Documentos x pagar a LP                 </t>
  </si>
  <si>
    <t xml:space="preserve">Otros Pasivos LP                        </t>
  </si>
  <si>
    <t xml:space="preserve">Aport. Para Fut Aum Capital             </t>
  </si>
  <si>
    <t xml:space="preserve">Res. Ej. Anteriores                     </t>
  </si>
  <si>
    <t xml:space="preserve">Total Partidas no Operativas            </t>
  </si>
  <si>
    <t xml:space="preserve">Inversiones                             </t>
  </si>
  <si>
    <t xml:space="preserve">Mob. y Eq. Oficina                      </t>
  </si>
  <si>
    <t xml:space="preserve">Const. Terr. Arrendados                 </t>
  </si>
  <si>
    <t xml:space="preserve">Inv. y Mejoras Inm. Arrend              </t>
  </si>
  <si>
    <t xml:space="preserve">Inversiones por realizar                </t>
  </si>
  <si>
    <t xml:space="preserve">Inversiones en acciones                 </t>
  </si>
  <si>
    <t xml:space="preserve">Total Inversiones                       </t>
  </si>
  <si>
    <t xml:space="preserve">Flujo Neto                              </t>
  </si>
  <si>
    <t xml:space="preserve">Documentos por cobrar                   </t>
  </si>
  <si>
    <t xml:space="preserve">Utilidad por realizar                   </t>
  </si>
  <si>
    <t xml:space="preserve">Documentos x pagar                      </t>
  </si>
  <si>
    <t xml:space="preserve">Flujo de efectivo </t>
  </si>
  <si>
    <t>Tuxp</t>
  </si>
  <si>
    <t>Div</t>
  </si>
  <si>
    <t>Variaciones C de T.</t>
  </si>
  <si>
    <t>Reservas</t>
  </si>
  <si>
    <t xml:space="preserve">Dep. En Garantía                        </t>
  </si>
  <si>
    <t xml:space="preserve">Gts. Instalación                        </t>
  </si>
  <si>
    <t xml:space="preserve">Gts. Organización                       </t>
  </si>
  <si>
    <t>S.Ini</t>
  </si>
  <si>
    <t>S. F.</t>
  </si>
  <si>
    <t>Ac</t>
  </si>
  <si>
    <t xml:space="preserve"> </t>
  </si>
  <si>
    <t>Division Automotriz</t>
  </si>
  <si>
    <t>Division Alimentos Mx</t>
  </si>
  <si>
    <t>RySF</t>
  </si>
  <si>
    <t>Inm. C</t>
  </si>
  <si>
    <t>Division Alimentos EUA</t>
  </si>
  <si>
    <t>*contruccion cuenta</t>
  </si>
  <si>
    <t>Division Inmobiliaria EUA</t>
  </si>
  <si>
    <t>Tes Prop</t>
  </si>
  <si>
    <t>Tes Vent</t>
  </si>
  <si>
    <t>Prov</t>
  </si>
  <si>
    <t>Tes Relty</t>
  </si>
  <si>
    <t>Division Energeticos</t>
  </si>
  <si>
    <t>Eficiencia</t>
  </si>
  <si>
    <t>GasQ</t>
  </si>
  <si>
    <t>Construcciones en proceso</t>
  </si>
  <si>
    <t>Utilidad x participación en afiliadas</t>
  </si>
  <si>
    <t>Ac.</t>
  </si>
  <si>
    <t>División Inmobiliaria MX</t>
  </si>
  <si>
    <t>Generación Bruta</t>
  </si>
  <si>
    <t>Intereses y utilidad x vts en Abonos</t>
  </si>
  <si>
    <t xml:space="preserve">Inversiones por amortizar          </t>
  </si>
  <si>
    <t xml:space="preserve">Construcción en Proceso                 </t>
  </si>
  <si>
    <t>Dep y Amtz.</t>
  </si>
  <si>
    <t>*construccion en proceso verificar</t>
  </si>
  <si>
    <t xml:space="preserve">Grupo </t>
  </si>
  <si>
    <t>Generacion Bruta</t>
  </si>
  <si>
    <t>Clientes</t>
  </si>
  <si>
    <t>Deudores Diversos</t>
  </si>
  <si>
    <t>Inventarios</t>
  </si>
  <si>
    <t>Pagos Anticipados</t>
  </si>
  <si>
    <t>Proveedores</t>
  </si>
  <si>
    <t>Acreedores diversos</t>
  </si>
  <si>
    <t>Gts. Ac. por pagar</t>
  </si>
  <si>
    <t>Partidas no Operativas</t>
  </si>
  <si>
    <t>Documentos x pagar a LP</t>
  </si>
  <si>
    <t>Otros Pasivos LP</t>
  </si>
  <si>
    <t>Capital Social</t>
  </si>
  <si>
    <t>Aport. Para Fut Aum Capital</t>
  </si>
  <si>
    <t>Res. Ej. Anteriores</t>
  </si>
  <si>
    <t>Total Partidas no Operativas</t>
  </si>
  <si>
    <t>Inversiones</t>
  </si>
  <si>
    <t>Edificios</t>
  </si>
  <si>
    <t>Maquinaria y Equipo</t>
  </si>
  <si>
    <t>Equipo de Transporte</t>
  </si>
  <si>
    <t>Equipo Electronico</t>
  </si>
  <si>
    <t>Mob. y Eq. Oficina</t>
  </si>
  <si>
    <t>Dep. En Garantía</t>
  </si>
  <si>
    <t>Gts. Instalación</t>
  </si>
  <si>
    <t>Gts. Organización</t>
  </si>
  <si>
    <t>Const. Terr. Arrendados</t>
  </si>
  <si>
    <t>Inv. y Mejoras Inm. Arrend</t>
  </si>
  <si>
    <t>Inversiones por realizar</t>
  </si>
  <si>
    <t>Inversiones en acciones</t>
  </si>
  <si>
    <t>Total Inversiones</t>
  </si>
  <si>
    <t>Flujo Neto</t>
  </si>
  <si>
    <t>Eliminaciones</t>
  </si>
  <si>
    <t>Anexos</t>
  </si>
  <si>
    <t>Alim EU mes por mes</t>
  </si>
  <si>
    <t>Inmob EU mes por mes</t>
  </si>
  <si>
    <t>ene</t>
  </si>
  <si>
    <t>feb</t>
  </si>
  <si>
    <t>Mzo</t>
  </si>
  <si>
    <t>abril</t>
  </si>
  <si>
    <t>Mayo</t>
  </si>
  <si>
    <t>jun</t>
  </si>
  <si>
    <t>jul</t>
  </si>
  <si>
    <t>ago</t>
  </si>
  <si>
    <t>sept</t>
  </si>
  <si>
    <t>oct</t>
  </si>
  <si>
    <t>nov</t>
  </si>
  <si>
    <t>dic</t>
  </si>
  <si>
    <t>sum</t>
  </si>
  <si>
    <t>Enero</t>
  </si>
  <si>
    <t>Febrero</t>
  </si>
  <si>
    <t>Marzo</t>
  </si>
  <si>
    <t>Abril</t>
  </si>
  <si>
    <t>Junio</t>
  </si>
  <si>
    <t>Julio</t>
  </si>
  <si>
    <t>Agosto</t>
  </si>
  <si>
    <t>Septiembre</t>
  </si>
  <si>
    <t>Octubre</t>
  </si>
  <si>
    <t>Noviembre</t>
  </si>
  <si>
    <t>Diciembre</t>
  </si>
  <si>
    <t>Alim EU Acum Ppto</t>
  </si>
  <si>
    <t>Alim EU Acum AA</t>
  </si>
  <si>
    <t>Inmob EU Acum Ppto</t>
  </si>
  <si>
    <t>Inmob EU Acum AA</t>
  </si>
  <si>
    <t>TC_PROM</t>
  </si>
  <si>
    <t>*cambiar tc_mes a tc_prom</t>
  </si>
  <si>
    <t xml:space="preserve">16. EXELCO ER Consolidado por División (miles dlls.) 
</t>
  </si>
  <si>
    <t xml:space="preserve">17. EXELCO ER Consolidado por División acumulado (miles dlls.) 
</t>
  </si>
  <si>
    <t>unidades()</t>
  </si>
  <si>
    <t>unidades / kg</t>
  </si>
  <si>
    <t>S. Deuda</t>
  </si>
  <si>
    <t>Pagos Ext</t>
  </si>
  <si>
    <t>Serv. Corp</t>
  </si>
  <si>
    <t>Gast. Ext</t>
  </si>
  <si>
    <t>per-gan</t>
  </si>
  <si>
    <t>alimentos mx</t>
  </si>
  <si>
    <t>automotriz</t>
  </si>
  <si>
    <t>corporativo</t>
  </si>
  <si>
    <t>energticos</t>
  </si>
  <si>
    <t>inmobiliaria</t>
  </si>
  <si>
    <t>usa alimentos</t>
  </si>
  <si>
    <t>amoritzacion</t>
  </si>
  <si>
    <t>aportaciones</t>
  </si>
  <si>
    <t>real estate</t>
  </si>
  <si>
    <t>capital</t>
  </si>
  <si>
    <t>mes</t>
  </si>
  <si>
    <t>acumulado</t>
  </si>
  <si>
    <t>intereses</t>
  </si>
  <si>
    <t>acum</t>
  </si>
  <si>
    <t>tc</t>
  </si>
  <si>
    <t>Variacion Real vs Ppto</t>
  </si>
  <si>
    <t>Variacion Real vs Proyeccion</t>
  </si>
  <si>
    <t>Variac.</t>
  </si>
  <si>
    <t>%</t>
  </si>
  <si>
    <t>Total</t>
  </si>
  <si>
    <t>Mes Proyectado</t>
  </si>
  <si>
    <t>Mes Sig. Proyectado</t>
  </si>
  <si>
    <t>Ppto Proyectado</t>
  </si>
  <si>
    <t>AA Proyectado</t>
  </si>
  <si>
    <t>Proyec.</t>
  </si>
  <si>
    <t>Ppto.</t>
  </si>
  <si>
    <t>mes actual</t>
  </si>
  <si>
    <t>AA Mes sig:</t>
  </si>
  <si>
    <t>Ppto Mes sig:</t>
  </si>
  <si>
    <t>Proyectado</t>
  </si>
  <si>
    <t>energeticos</t>
  </si>
  <si>
    <t>Proyeccion mes sig</t>
  </si>
  <si>
    <t>COMPARATIVO CONSOLIDADO REAL VS PROYECCION  VS PPTO</t>
  </si>
  <si>
    <t>divisiones proyectadas mes actual</t>
  </si>
  <si>
    <t>divisiones proyectadas mes sig</t>
  </si>
  <si>
    <t>*verificar resultado</t>
  </si>
  <si>
    <t>Mes_sig</t>
  </si>
  <si>
    <t>capital - intereses</t>
  </si>
  <si>
    <t>alimentos mx '201'</t>
  </si>
  <si>
    <t>CONCEPTO</t>
  </si>
  <si>
    <t>Mes Actual</t>
  </si>
  <si>
    <t>Acumulado A?o actual</t>
  </si>
  <si>
    <t xml:space="preserve">Mes AA </t>
  </si>
  <si>
    <t xml:space="preserve">Factor Mes </t>
  </si>
  <si>
    <t>Mes AA Act Mes</t>
  </si>
  <si>
    <t>Acum AA Acumulado</t>
  </si>
  <si>
    <t xml:space="preserve">Factor Ac AA </t>
  </si>
  <si>
    <t>Ac AA Act Actualizado</t>
  </si>
  <si>
    <t>Presup Mes mes</t>
  </si>
  <si>
    <t>Presup Ac Ac</t>
  </si>
  <si>
    <t xml:space="preserve">Ventas                                  </t>
  </si>
  <si>
    <t>01-2021</t>
  </si>
  <si>
    <t xml:space="preserve">Dev y reb/vts                           </t>
  </si>
  <si>
    <t xml:space="preserve">Ventas netas                            </t>
  </si>
  <si>
    <t xml:space="preserve">Costo Directo                           </t>
  </si>
  <si>
    <t xml:space="preserve">Contribucion Marginal                   </t>
  </si>
  <si>
    <t xml:space="preserve">Gastos de Venta                         </t>
  </si>
  <si>
    <t xml:space="preserve">Gastos de Administracion                </t>
  </si>
  <si>
    <t xml:space="preserve">Depreciaciones y amortizacion           </t>
  </si>
  <si>
    <t xml:space="preserve">Gastos Totales                          </t>
  </si>
  <si>
    <t xml:space="preserve">U.A.F.I.R.                              </t>
  </si>
  <si>
    <t xml:space="preserve">Perdida o Utilidad Cambiaria            </t>
  </si>
  <si>
    <t xml:space="preserve">Otros Gastos y Otros ingresos           </t>
  </si>
  <si>
    <t xml:space="preserve">Gastos financieros                      </t>
  </si>
  <si>
    <t xml:space="preserve">Productos financieros                   </t>
  </si>
  <si>
    <t xml:space="preserve">REPOMO                                  </t>
  </si>
  <si>
    <t xml:space="preserve">Costo Integral de Financiamiento        </t>
  </si>
  <si>
    <t xml:space="preserve">U.A.I.R.                                </t>
  </si>
  <si>
    <t xml:space="preserve">I.S.R. e I.A.                           </t>
  </si>
  <si>
    <t xml:space="preserve">P.T.U.                                  </t>
  </si>
  <si>
    <t xml:space="preserve">Utilidad Neta                           </t>
  </si>
  <si>
    <t xml:space="preserve">U.A.F.I.R Flujo                         </t>
  </si>
  <si>
    <t>alimentos mx '202'</t>
  </si>
  <si>
    <t xml:space="preserve">Fact Mes </t>
  </si>
  <si>
    <t>Ac AA Acum</t>
  </si>
  <si>
    <t>Fact Ac Acum</t>
  </si>
  <si>
    <t>Ac AA Act Ac AA</t>
  </si>
  <si>
    <t xml:space="preserve">Mes ppto </t>
  </si>
  <si>
    <t xml:space="preserve">Ac ppto </t>
  </si>
  <si>
    <t>alimentos mx '203'</t>
  </si>
  <si>
    <t xml:space="preserve">Fact AA </t>
  </si>
  <si>
    <t>Acum AA Acum</t>
  </si>
  <si>
    <t>Fact Ac AA Acum</t>
  </si>
  <si>
    <t>Acum AA Act Acum</t>
  </si>
  <si>
    <t>Ppto mes Mes</t>
  </si>
  <si>
    <t>Ppto Acum Acum</t>
  </si>
  <si>
    <t>alimentos mx '204'</t>
  </si>
  <si>
    <t xml:space="preserve">Mes a?o anterior </t>
  </si>
  <si>
    <t>Fact AA AA</t>
  </si>
  <si>
    <t>Ppto Mes Mes</t>
  </si>
  <si>
    <t>alimentos mx '208'</t>
  </si>
  <si>
    <t>alimentos mx '602'</t>
  </si>
  <si>
    <t xml:space="preserve">Mes </t>
  </si>
  <si>
    <t xml:space="preserve">Acum </t>
  </si>
  <si>
    <t xml:space="preserve">Fct. Mes </t>
  </si>
  <si>
    <t xml:space="preserve">AA Act </t>
  </si>
  <si>
    <t xml:space="preserve">Ac. AAnt </t>
  </si>
  <si>
    <t xml:space="preserve">Fct. AA Ac </t>
  </si>
  <si>
    <t xml:space="preserve">Ac. AA Act </t>
  </si>
  <si>
    <t xml:space="preserve">Ppto </t>
  </si>
  <si>
    <t xml:space="preserve">Ppto Ac. </t>
  </si>
  <si>
    <t>automotriz '503'</t>
  </si>
  <si>
    <t xml:space="preserve">Mes AA Act </t>
  </si>
  <si>
    <t xml:space="preserve">Ac. AA </t>
  </si>
  <si>
    <t xml:space="preserve">Fact Ac AA </t>
  </si>
  <si>
    <t xml:space="preserve">Ac AA Act </t>
  </si>
  <si>
    <t xml:space="preserve">Pres. Mes </t>
  </si>
  <si>
    <t xml:space="preserve">Pres Ac </t>
  </si>
  <si>
    <t xml:space="preserve">Mes vs. Ppto </t>
  </si>
  <si>
    <t>automotriz '506'</t>
  </si>
  <si>
    <t>automotriz '508'</t>
  </si>
  <si>
    <t>automotriz '512'</t>
  </si>
  <si>
    <t>corporativo '102'</t>
  </si>
  <si>
    <t>corporativo '108'</t>
  </si>
  <si>
    <t>corporativo '109'</t>
  </si>
  <si>
    <t>energeticos '301'</t>
  </si>
  <si>
    <t>energeticos '303'</t>
  </si>
  <si>
    <t>energeticos '305'</t>
  </si>
  <si>
    <t xml:space="preserve">Ac A?o anterior </t>
  </si>
  <si>
    <t>Presupuesto Mes</t>
  </si>
  <si>
    <t>Presupuesto Acumulado</t>
  </si>
  <si>
    <t>energeticos '307'</t>
  </si>
  <si>
    <t>energeticos '309'</t>
  </si>
  <si>
    <t>energeticos '312'</t>
  </si>
  <si>
    <t>inmobiliaria '613'</t>
  </si>
  <si>
    <t>inmobiliaria '615'</t>
  </si>
  <si>
    <t>usa alimentos '804'</t>
  </si>
  <si>
    <t xml:space="preserve">Sales                                   </t>
  </si>
  <si>
    <t xml:space="preserve">Discounts                               </t>
  </si>
  <si>
    <t xml:space="preserve">Net Sales                               </t>
  </si>
  <si>
    <t xml:space="preserve">Direct Cost                             </t>
  </si>
  <si>
    <t xml:space="preserve">Direct Cost - Labor                     </t>
  </si>
  <si>
    <t xml:space="preserve">Gross profit                            </t>
  </si>
  <si>
    <t xml:space="preserve">Sales expenses                          </t>
  </si>
  <si>
    <t xml:space="preserve">Managerial expenses                     </t>
  </si>
  <si>
    <t xml:space="preserve">Deprec &amp; amortiz.                       </t>
  </si>
  <si>
    <t xml:space="preserve">Total operating expenses                </t>
  </si>
  <si>
    <t xml:space="preserve">Operating profit                        </t>
  </si>
  <si>
    <t xml:space="preserve">Other income                            </t>
  </si>
  <si>
    <t xml:space="preserve">Financial expenses                      </t>
  </si>
  <si>
    <t xml:space="preserve">Financial income                        </t>
  </si>
  <si>
    <t xml:space="preserve">Financial costs                         </t>
  </si>
  <si>
    <t xml:space="preserve">Earning before Tax                      </t>
  </si>
  <si>
    <t xml:space="preserve">Sales Tax                               </t>
  </si>
  <si>
    <t xml:space="preserve">Franchise Tax                           </t>
  </si>
  <si>
    <t xml:space="preserve">Net profit                              </t>
  </si>
  <si>
    <t xml:space="preserve">EBITDA                                  </t>
  </si>
  <si>
    <t>usa alimentos '805'</t>
  </si>
  <si>
    <t xml:space="preserve">Earnings before Tax                     </t>
  </si>
  <si>
    <t>usa alimentos '807'</t>
  </si>
  <si>
    <t xml:space="preserve">Earning before tax                      </t>
  </si>
  <si>
    <t>usa alimentos '808'</t>
  </si>
  <si>
    <t xml:space="preserve">Earnings before tax                     </t>
  </si>
  <si>
    <t xml:space="preserve">Franchise tax                           </t>
  </si>
  <si>
    <t>usa alimentos '811'</t>
  </si>
  <si>
    <t>usa alimentos '812'</t>
  </si>
  <si>
    <t>usa alimentos '813'</t>
  </si>
  <si>
    <t>usa alimentos '816'</t>
  </si>
  <si>
    <t>usa alimentos '817'</t>
  </si>
  <si>
    <t>~ '802'</t>
  </si>
  <si>
    <t>Acumulado Al Mes</t>
  </si>
  <si>
    <t>Presupuesto Al Mes</t>
  </si>
  <si>
    <t>Variacion vs Presupuesto</t>
  </si>
  <si>
    <t>Variacion Vs Mes Anterior</t>
  </si>
  <si>
    <t>Variacion Vs Saldo Inicia</t>
  </si>
  <si>
    <t>Saldo Mes Anterior</t>
  </si>
  <si>
    <t xml:space="preserve">Saldo Inicial </t>
  </si>
  <si>
    <t xml:space="preserve">Activo Circulante                       </t>
  </si>
  <si>
    <t xml:space="preserve">Otros Activos Circulantes( IVA x Ac)    </t>
  </si>
  <si>
    <t xml:space="preserve">Total Activo Circulante                 </t>
  </si>
  <si>
    <t xml:space="preserve">Activo Fijo                             </t>
  </si>
  <si>
    <t xml:space="preserve">Activo Diferido                         </t>
  </si>
  <si>
    <t xml:space="preserve">Total Otros Activos                     </t>
  </si>
  <si>
    <t xml:space="preserve">Pasivo Circulante                       </t>
  </si>
  <si>
    <t xml:space="preserve">Impuestos y Gastos x Pagar (IVA xP)     </t>
  </si>
  <si>
    <t xml:space="preserve">Otros Pasivos Circulantes               </t>
  </si>
  <si>
    <t xml:space="preserve">Pasivo Fijo                             </t>
  </si>
  <si>
    <t xml:space="preserve">Pasivo Largo Plazo                      </t>
  </si>
  <si>
    <t xml:space="preserve">Pasivo Diferido                         </t>
  </si>
  <si>
    <t xml:space="preserve">Total Pasivo Diferido                   </t>
  </si>
  <si>
    <t xml:space="preserve">Capital                                 </t>
  </si>
  <si>
    <t xml:space="preserve">Diferencia                              </t>
  </si>
  <si>
    <t xml:space="preserve">Otros Activos Circulantes               </t>
  </si>
  <si>
    <t xml:space="preserve">Ottros Pasivos Circulantes              </t>
  </si>
  <si>
    <t xml:space="preserve">Tanques Estacionarios                   </t>
  </si>
  <si>
    <t xml:space="preserve">Cash                                    </t>
  </si>
  <si>
    <t xml:space="preserve">Short term investments                  </t>
  </si>
  <si>
    <t xml:space="preserve">Accounts receivable                     </t>
  </si>
  <si>
    <t xml:space="preserve">Intercompany receivables                </t>
  </si>
  <si>
    <t xml:space="preserve">Prepaids &amp; other assets                 </t>
  </si>
  <si>
    <t xml:space="preserve">Other current assets                    </t>
  </si>
  <si>
    <t xml:space="preserve">Total Current assets                    </t>
  </si>
  <si>
    <t xml:space="preserve">Fixed assets                            </t>
  </si>
  <si>
    <t xml:space="preserve">Land                                    </t>
  </si>
  <si>
    <t xml:space="preserve">Building                                </t>
  </si>
  <si>
    <t xml:space="preserve">Furniture and Equipment                 </t>
  </si>
  <si>
    <t xml:space="preserve">Electronic equipment                    </t>
  </si>
  <si>
    <t xml:space="preserve">Transport equipment.                    </t>
  </si>
  <si>
    <t xml:space="preserve">Machinery &amp; office equipment            </t>
  </si>
  <si>
    <t xml:space="preserve">Other fixed assets                      </t>
  </si>
  <si>
    <t xml:space="preserve">Accumulated depreciation                </t>
  </si>
  <si>
    <t xml:space="preserve">Net fixed assets                        </t>
  </si>
  <si>
    <t xml:space="preserve">Deferred assets                         </t>
  </si>
  <si>
    <t xml:space="preserve">Loan Receivable                         </t>
  </si>
  <si>
    <t xml:space="preserve">Differed investments                    </t>
  </si>
  <si>
    <t xml:space="preserve">Accumulated amortization                </t>
  </si>
  <si>
    <t xml:space="preserve">Net Differed assets                     </t>
  </si>
  <si>
    <t xml:space="preserve">Other assets                            </t>
  </si>
  <si>
    <t xml:space="preserve">Inversions in actions                   </t>
  </si>
  <si>
    <t xml:space="preserve">Net other assets                        </t>
  </si>
  <si>
    <t xml:space="preserve">Total assets                            </t>
  </si>
  <si>
    <t xml:space="preserve">Current liabilities                     </t>
  </si>
  <si>
    <t xml:space="preserve">Accounts payable                        </t>
  </si>
  <si>
    <t xml:space="preserve">Accrued Liabilities                     </t>
  </si>
  <si>
    <t xml:space="preserve">Short term bank loans/liabilities       </t>
  </si>
  <si>
    <t xml:space="preserve">Sales Tax/Other Tax Payable             </t>
  </si>
  <si>
    <t xml:space="preserve">Other current liabilities               </t>
  </si>
  <si>
    <t xml:space="preserve">Net current liabilities                 </t>
  </si>
  <si>
    <t xml:space="preserve">Fixed liabilities                       </t>
  </si>
  <si>
    <t xml:space="preserve">Interco notes payable                   </t>
  </si>
  <si>
    <t xml:space="preserve">Long term notes payable                 </t>
  </si>
  <si>
    <t xml:space="preserve">Other Long term notes payable           </t>
  </si>
  <si>
    <t xml:space="preserve">Total long term liabilities             </t>
  </si>
  <si>
    <t xml:space="preserve">Differed liabilities                    </t>
  </si>
  <si>
    <t xml:space="preserve">Total Liabilities                       </t>
  </si>
  <si>
    <t xml:space="preserve">Paid in capital                         </t>
  </si>
  <si>
    <t xml:space="preserve">Common stock                            </t>
  </si>
  <si>
    <t xml:space="preserve">Retained earnings                       </t>
  </si>
  <si>
    <t xml:space="preserve">Contributions                           </t>
  </si>
  <si>
    <t xml:space="preserve">Total Stockholders equity               </t>
  </si>
  <si>
    <t xml:space="preserve">Total Debt+Equity                       </t>
  </si>
  <si>
    <t xml:space="preserve">Flujo Mensual </t>
  </si>
  <si>
    <t>Saldo Ini Saldo Ini</t>
  </si>
  <si>
    <t>Saldo Ac Saldo Ac</t>
  </si>
  <si>
    <t>Flujo Ac. Flujo Ac.</t>
  </si>
  <si>
    <t xml:space="preserve">Estado de resultados                    </t>
  </si>
  <si>
    <t xml:space="preserve">Bonificacion y rebajas/vtas             </t>
  </si>
  <si>
    <t xml:space="preserve">Ventas Netas                            </t>
  </si>
  <si>
    <t xml:space="preserve">Costo de Ventas                         </t>
  </si>
  <si>
    <t xml:space="preserve">Bonificacion y rebajas s/compras        </t>
  </si>
  <si>
    <t xml:space="preserve">Utilidad Bruta                          </t>
  </si>
  <si>
    <t xml:space="preserve">Depreciacion                            </t>
  </si>
  <si>
    <t xml:space="preserve">UAFIR                                   </t>
  </si>
  <si>
    <t xml:space="preserve">Perdida o Ganancia cambiaria            </t>
  </si>
  <si>
    <t xml:space="preserve">Otros Gastos / Otros Ingresos           </t>
  </si>
  <si>
    <t xml:space="preserve">Gastos Financieros                      </t>
  </si>
  <si>
    <t xml:space="preserve">Productos Financieros                   </t>
  </si>
  <si>
    <t xml:space="preserve">UAIR                                    </t>
  </si>
  <si>
    <t xml:space="preserve">Impuestos                               </t>
  </si>
  <si>
    <t xml:space="preserve">Flujo de Efectivo                       </t>
  </si>
  <si>
    <t xml:space="preserve">Var. en el Capital de Trabajo           </t>
  </si>
  <si>
    <t xml:space="preserve">Func. y empleados                       </t>
  </si>
  <si>
    <t xml:space="preserve">Iva x Acreditar                         </t>
  </si>
  <si>
    <t xml:space="preserve">Anticipo de Clientes                    </t>
  </si>
  <si>
    <t xml:space="preserve">Iva x pagar                             </t>
  </si>
  <si>
    <t xml:space="preserve">Impuestos x pagar                       </t>
  </si>
  <si>
    <t xml:space="preserve">Total Variaciones en Capital de Tbjo    </t>
  </si>
  <si>
    <t xml:space="preserve">Reserva Legal                           </t>
  </si>
  <si>
    <t xml:space="preserve">Reservas. Primas Antiguedad             </t>
  </si>
  <si>
    <t xml:space="preserve">Dep. Acum. Edificio                     </t>
  </si>
  <si>
    <t xml:space="preserve">Dep.Acum Maquinaria y Equipo            </t>
  </si>
  <si>
    <t xml:space="preserve">Dep. Acum Eq de Transporte              </t>
  </si>
  <si>
    <t xml:space="preserve">Dep. Acum. Eq. Electronico              </t>
  </si>
  <si>
    <t xml:space="preserve">Dep. Acum. Mob. y Eq. Oficina           </t>
  </si>
  <si>
    <t xml:space="preserve">Dep. En Garantia                        </t>
  </si>
  <si>
    <t xml:space="preserve">Amtz. Ac. Depositos Garantia            </t>
  </si>
  <si>
    <t xml:space="preserve">Gts. Instalacion                        </t>
  </si>
  <si>
    <t xml:space="preserve">Amtz. Ac. Gts. Instalacion              </t>
  </si>
  <si>
    <t xml:space="preserve">Gts. Organizacion                       </t>
  </si>
  <si>
    <t xml:space="preserve">Amtz. Ac. Gts. Organizacion             </t>
  </si>
  <si>
    <t xml:space="preserve">Amtz. Const. T.Arrendados               </t>
  </si>
  <si>
    <t xml:space="preserve">Amtz. Ac. Inv. y Mejoras Inm. Arrend    </t>
  </si>
  <si>
    <t xml:space="preserve">Documentos x pagar a Corto Plazo        </t>
  </si>
  <si>
    <t>Flujo Mensual Actual</t>
  </si>
  <si>
    <t>Saldo Ini A?o actual</t>
  </si>
  <si>
    <t>Saldo Ac Saldo Ac.</t>
  </si>
  <si>
    <t>Flujo Ac Flujo Ac.</t>
  </si>
  <si>
    <t xml:space="preserve">Bonificaciones y reb/vts                </t>
  </si>
  <si>
    <t xml:space="preserve">Costo de ventas                         </t>
  </si>
  <si>
    <t xml:space="preserve">Otros Gastos / Otros ingresos           </t>
  </si>
  <si>
    <t xml:space="preserve">Anticipos a Subsidios y Afiliados       </t>
  </si>
  <si>
    <t xml:space="preserve">Deudores diversos                       </t>
  </si>
  <si>
    <t xml:space="preserve">Impuesto sobre la Renta x Pagar         </t>
  </si>
  <si>
    <t xml:space="preserve">Total variaciones en Capital de Tbjo    </t>
  </si>
  <si>
    <t xml:space="preserve">Aport. para Fut. Aum. Capital           </t>
  </si>
  <si>
    <t xml:space="preserve">Reservas, Primas Antiguedad             </t>
  </si>
  <si>
    <t xml:space="preserve">Edificios y Terrenos                    </t>
  </si>
  <si>
    <t xml:space="preserve">Dep. Acum. Maquinaria y Equipo          </t>
  </si>
  <si>
    <t xml:space="preserve">Dep. Acum. Eq. de Transporte            </t>
  </si>
  <si>
    <t xml:space="preserve">Mob. y Eq. de Oficina                   </t>
  </si>
  <si>
    <t xml:space="preserve">Dep. en Garantia                        </t>
  </si>
  <si>
    <t xml:space="preserve">Gts. Instalacion y Otros Activos        </t>
  </si>
  <si>
    <t xml:space="preserve">Amtz. Ac. Gts Instalacion               </t>
  </si>
  <si>
    <t xml:space="preserve">Amtz. Const. T. Arrendados              </t>
  </si>
  <si>
    <t xml:space="preserve">Inv. y Mejoras Inm. Arrend.             </t>
  </si>
  <si>
    <t xml:space="preserve">Amtz. Ac. Inv. y Mejoras Inm. Arrend.   </t>
  </si>
  <si>
    <t xml:space="preserve">Construcc. en proceso                   </t>
  </si>
  <si>
    <t xml:space="preserve">Utilidad x Particip. en afiliadas       </t>
  </si>
  <si>
    <t xml:space="preserve">Dep. Acum. Mob. y  Eq. Oficina          </t>
  </si>
  <si>
    <t xml:space="preserve">Gts, Organizacion                       </t>
  </si>
  <si>
    <t xml:space="preserve">Documentos x Pagar a LP                 </t>
  </si>
  <si>
    <t xml:space="preserve">Reservas, Primas de Antiguedad          </t>
  </si>
  <si>
    <t xml:space="preserve">Const. Terr. Arrend.                    </t>
  </si>
  <si>
    <t xml:space="preserve">Depreciacion y Amtz                     </t>
  </si>
  <si>
    <t xml:space="preserve">Variaciones en el Capital de Tbjo       </t>
  </si>
  <si>
    <t xml:space="preserve">Intereses x Dev Vtas en Abonos          </t>
  </si>
  <si>
    <t xml:space="preserve">Utilidad Bruta x Vtas en Abonos         </t>
  </si>
  <si>
    <t xml:space="preserve">Result. Ej. Anteriores                  </t>
  </si>
  <si>
    <t xml:space="preserve">Dep. Ac. Mob. y Eq. Oficina             </t>
  </si>
  <si>
    <t xml:space="preserve">Dep. Garantia                           </t>
  </si>
  <si>
    <t xml:space="preserve">Gts. de Instalacion                     </t>
  </si>
  <si>
    <t xml:space="preserve">Amtz. Gts. Instalacion                  </t>
  </si>
  <si>
    <t xml:space="preserve">Construccion en Proceso                 </t>
  </si>
  <si>
    <t xml:space="preserve">Intercompa?ia                           </t>
  </si>
  <si>
    <t xml:space="preserve">Otros                                   </t>
  </si>
  <si>
    <t xml:space="preserve">Rysf Vtas. </t>
  </si>
  <si>
    <t xml:space="preserve">Rysf Vtas. Ac. </t>
  </si>
  <si>
    <t xml:space="preserve">Rysf Vtas.AA Ac. </t>
  </si>
  <si>
    <t xml:space="preserve">Rysf 1er. MA </t>
  </si>
  <si>
    <t xml:space="preserve">Rysf 2do.MA </t>
  </si>
  <si>
    <t xml:space="preserve">Rysf TA 1er.mes </t>
  </si>
  <si>
    <t xml:space="preserve">Rysf Ta 2do.mes </t>
  </si>
  <si>
    <t xml:space="preserve">Rysf TA 3er.Mes </t>
  </si>
  <si>
    <t xml:space="preserve">Rysf AA 1er.mes </t>
  </si>
  <si>
    <t xml:space="preserve">Rysf AA 2do.mes </t>
  </si>
  <si>
    <t xml:space="preserve">Rysf AA 3er.mes </t>
  </si>
  <si>
    <t xml:space="preserve">Mes Actual </t>
  </si>
  <si>
    <t xml:space="preserve">Actual Acum. </t>
  </si>
  <si>
    <t xml:space="preserve">AA </t>
  </si>
  <si>
    <t xml:space="preserve">AA Acum. </t>
  </si>
  <si>
    <t>1er. MA Vts</t>
  </si>
  <si>
    <t>2do. MA Vts Ac.</t>
  </si>
  <si>
    <t>TA 1er.Mes Vts</t>
  </si>
  <si>
    <t>TA 2do.mes Vts Ac.</t>
  </si>
  <si>
    <t>TA 3er.mes Vts</t>
  </si>
  <si>
    <t xml:space="preserve">AA 1er.mes </t>
  </si>
  <si>
    <t xml:space="preserve">AA 2do..mes </t>
  </si>
  <si>
    <t xml:space="preserve">AA 3er. Mes </t>
  </si>
  <si>
    <t xml:space="preserve">Acum. </t>
  </si>
  <si>
    <t>Mes AA Vts</t>
  </si>
  <si>
    <t xml:space="preserve">Acum.AA </t>
  </si>
  <si>
    <t xml:space="preserve">2do. MA </t>
  </si>
  <si>
    <t xml:space="preserve">Rysf TA 2do.mes </t>
  </si>
  <si>
    <t xml:space="preserve">Rysf TA 3er.mes </t>
  </si>
  <si>
    <t xml:space="preserve">RySF mes Actual </t>
  </si>
  <si>
    <t xml:space="preserve">RySF Acum. </t>
  </si>
  <si>
    <t>RySF mes AA Vts</t>
  </si>
  <si>
    <t xml:space="preserve">RySF Acum.AA </t>
  </si>
  <si>
    <t>02-2021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</si>
</sst>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_(* #,##0.00_);_(* \(#,##0.00\);_(* &quot;-&quot;??_);_(@_)"/>
    <numFmt numFmtId="165" formatCode="0.0%;[Red]\-#.0%"/>
    <numFmt numFmtId="166" formatCode="#,##0_ ;[Red]\-#,##0\ "/>
    <numFmt numFmtId="167" formatCode="0%;[Red]\-#%"/>
    <numFmt numFmtId="168" formatCode="_(* #,##0_);_(* \(#,##0\);_(* &quot;-&quot;??_);_(@_)"/>
    <numFmt numFmtId="169" formatCode="0.0000"/>
    <numFmt numFmtId="170" formatCode="_(* #,##0.000_);_(* \(#,##0.000\);_(* &quot;-&quot;??_);_(@_)"/>
    <numFmt numFmtId="171" formatCode="_-* #,##0_-;\-* #,##0_-;_-* &quot;-&quot;??_-;_-@_-"/>
    <numFmt numFmtId="172" formatCode="_(* #,##0.0_);_(* \(#,##0.0\);_(* &quot;-&quot;??_);_(@_)"/>
    <numFmt numFmtId="173" formatCode="_(* #,##0.0000_);_(* \(#,##0.0000\);_(* &quot;-&quot;??_);_(@_)"/>
    <numFmt numFmtId="174" formatCode="0.0%"/>
    <numFmt numFmtId="175" formatCode="_-[$€-2]* #,##0.00_-;\-[$€-2]* #,##0.00_-;_-[$€-2]* &quot;-&quot;??_-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Arial"/>
      <family val="2"/>
    </font>
    <font>
      <b/>
      <sz val="11"/>
      <name val="Arial"/>
      <family val="2"/>
    </font>
    <font>
      <sz val="11"/>
      <color theme="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14"/>
      <name val="Times New Roman"/>
      <family val="1"/>
    </font>
    <font>
      <sz val="10"/>
      <name val="Times New Roman"/>
      <family val="1"/>
    </font>
    <font>
      <sz val="12"/>
      <name val="Arial"/>
      <family val="2"/>
    </font>
    <font>
      <sz val="14"/>
      <color rgb="FFFF0000"/>
      <name val="Arial"/>
      <family val="2"/>
    </font>
    <font>
      <sz val="12"/>
      <name val="Times New Roman"/>
      <family val="1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11"/>
      <color theme="4" tint="-0.499984740745262"/>
      <name val="Calibri"/>
      <family val="2"/>
    </font>
    <font>
      <sz val="11"/>
      <color theme="7" tint="-0.499984740745262"/>
      <name val="Calibri"/>
      <family val="2"/>
    </font>
    <font>
      <sz val="11"/>
      <color rgb="FF00B050"/>
      <name val="Calibri"/>
      <family val="2"/>
    </font>
    <font>
      <sz val="11"/>
      <color rgb="FF00B0F0"/>
      <name val="Calibri"/>
      <family val="2"/>
    </font>
    <font>
      <sz val="11"/>
      <color rgb="FF7030A0"/>
      <name val="Calibri"/>
      <family val="2"/>
    </font>
    <font>
      <sz val="11"/>
      <color theme="5"/>
      <name val="Calibri"/>
      <family val="2"/>
    </font>
    <font>
      <sz val="10"/>
      <name val="Arial"/>
      <family val="2"/>
    </font>
    <font>
      <b/>
      <sz val="11"/>
      <color theme="1"/>
      <name val="Arial"/>
      <family val="2"/>
    </font>
    <font>
      <b/>
      <sz val="16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0000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7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16" fillId="0" borderId="0"/>
    <xf numFmtId="0" fontId="23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75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75" fontId="6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75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374">
    <xf numFmtId="0" fontId="0" fillId="0" borderId="0" xfId="0"/>
    <xf numFmtId="0" fontId="2" fillId="0" borderId="0" xfId="0" applyFont="1" applyFill="1" applyBorder="1"/>
    <xf numFmtId="0" fontId="3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3" fillId="0" borderId="0" xfId="0" applyFont="1" applyFill="1"/>
    <xf numFmtId="165" fontId="2" fillId="0" borderId="0" xfId="0" applyNumberFormat="1" applyFont="1" applyFill="1"/>
    <xf numFmtId="165" fontId="3" fillId="0" borderId="0" xfId="0" applyNumberFormat="1" applyFont="1" applyFill="1" applyAlignment="1">
      <alignment horizontal="right"/>
    </xf>
    <xf numFmtId="0" fontId="2" fillId="0" borderId="0" xfId="0" applyFont="1" applyFill="1"/>
    <xf numFmtId="166" fontId="2" fillId="0" borderId="1" xfId="0" applyNumberFormat="1" applyFont="1" applyFill="1" applyBorder="1"/>
    <xf numFmtId="165" fontId="2" fillId="0" borderId="2" xfId="2" applyNumberFormat="1" applyFont="1" applyFill="1" applyBorder="1" applyAlignment="1">
      <alignment horizontal="center"/>
    </xf>
    <xf numFmtId="165" fontId="2" fillId="0" borderId="1" xfId="0" applyNumberFormat="1" applyFont="1" applyFill="1" applyBorder="1" applyAlignment="1">
      <alignment horizontal="center"/>
    </xf>
    <xf numFmtId="166" fontId="2" fillId="0" borderId="3" xfId="0" applyNumberFormat="1" applyFont="1" applyFill="1" applyBorder="1"/>
    <xf numFmtId="165" fontId="2" fillId="0" borderId="4" xfId="2" applyNumberFormat="1" applyFont="1" applyFill="1" applyBorder="1" applyAlignment="1">
      <alignment horizontal="center"/>
    </xf>
    <xf numFmtId="165" fontId="2" fillId="0" borderId="3" xfId="0" applyNumberFormat="1" applyFont="1" applyFill="1" applyBorder="1" applyAlignment="1">
      <alignment horizontal="center"/>
    </xf>
    <xf numFmtId="166" fontId="3" fillId="0" borderId="5" xfId="0" applyNumberFormat="1" applyFont="1" applyFill="1" applyBorder="1"/>
    <xf numFmtId="165" fontId="3" fillId="0" borderId="6" xfId="2" applyNumberFormat="1" applyFont="1" applyFill="1" applyBorder="1" applyAlignment="1">
      <alignment horizontal="center"/>
    </xf>
    <xf numFmtId="165" fontId="3" fillId="0" borderId="5" xfId="0" applyNumberFormat="1" applyFont="1" applyFill="1" applyBorder="1" applyAlignment="1">
      <alignment horizontal="center"/>
    </xf>
    <xf numFmtId="166" fontId="2" fillId="0" borderId="0" xfId="0" applyNumberFormat="1" applyFont="1" applyFill="1"/>
    <xf numFmtId="165" fontId="2" fillId="0" borderId="0" xfId="2" applyNumberFormat="1" applyFont="1" applyFill="1" applyAlignment="1">
      <alignment horizontal="center"/>
    </xf>
    <xf numFmtId="165" fontId="2" fillId="0" borderId="0" xfId="0" applyNumberFormat="1" applyFont="1" applyFill="1" applyAlignment="1">
      <alignment horizontal="center"/>
    </xf>
    <xf numFmtId="166" fontId="3" fillId="0" borderId="7" xfId="0" applyNumberFormat="1" applyFont="1" applyFill="1" applyBorder="1"/>
    <xf numFmtId="167" fontId="2" fillId="0" borderId="3" xfId="0" applyNumberFormat="1" applyFont="1" applyFill="1" applyBorder="1" applyAlignment="1">
      <alignment horizontal="center"/>
    </xf>
    <xf numFmtId="165" fontId="3" fillId="0" borderId="5" xfId="2" applyNumberFormat="1" applyFont="1" applyFill="1" applyBorder="1" applyAlignment="1">
      <alignment horizontal="center"/>
    </xf>
    <xf numFmtId="167" fontId="3" fillId="0" borderId="5" xfId="0" applyNumberFormat="1" applyFont="1" applyFill="1" applyBorder="1" applyAlignment="1">
      <alignment horizontal="center"/>
    </xf>
    <xf numFmtId="0" fontId="0" fillId="0" borderId="0" xfId="0" applyFill="1" applyBorder="1" applyAlignment="1"/>
    <xf numFmtId="0" fontId="0" fillId="0" borderId="0" xfId="0" applyFill="1"/>
    <xf numFmtId="0" fontId="3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3" fillId="0" borderId="0" xfId="0" applyFont="1" applyFill="1" applyAlignment="1">
      <alignment horizontal="center"/>
    </xf>
    <xf numFmtId="167" fontId="2" fillId="0" borderId="1" xfId="2" applyNumberFormat="1" applyFont="1" applyFill="1" applyBorder="1" applyAlignment="1">
      <alignment horizontal="center"/>
    </xf>
    <xf numFmtId="166" fontId="2" fillId="0" borderId="0" xfId="0" applyNumberFormat="1" applyFont="1" applyFill="1" applyBorder="1"/>
    <xf numFmtId="166" fontId="3" fillId="0" borderId="8" xfId="0" applyNumberFormat="1" applyFont="1" applyFill="1" applyBorder="1"/>
    <xf numFmtId="165" fontId="3" fillId="0" borderId="8" xfId="2" applyNumberFormat="1" applyFont="1" applyFill="1" applyBorder="1" applyAlignment="1">
      <alignment horizontal="center"/>
    </xf>
    <xf numFmtId="165" fontId="3" fillId="0" borderId="1" xfId="2" applyNumberFormat="1" applyFont="1" applyFill="1" applyBorder="1" applyAlignment="1">
      <alignment horizontal="center"/>
    </xf>
    <xf numFmtId="166" fontId="2" fillId="0" borderId="7" xfId="0" applyNumberFormat="1" applyFont="1" applyFill="1" applyBorder="1"/>
    <xf numFmtId="165" fontId="3" fillId="0" borderId="7" xfId="2" applyNumberFormat="1" applyFont="1" applyFill="1" applyBorder="1" applyAlignment="1">
      <alignment horizontal="center"/>
    </xf>
    <xf numFmtId="0" fontId="4" fillId="0" borderId="0" xfId="0" applyFont="1" applyFill="1"/>
    <xf numFmtId="168" fontId="2" fillId="2" borderId="0" xfId="1" applyNumberFormat="1" applyFont="1" applyFill="1"/>
    <xf numFmtId="168" fontId="2" fillId="0" borderId="0" xfId="1" applyNumberFormat="1" applyFont="1" applyFill="1"/>
    <xf numFmtId="164" fontId="2" fillId="0" borderId="0" xfId="0" applyNumberFormat="1" applyFont="1" applyFill="1"/>
    <xf numFmtId="166" fontId="0" fillId="0" borderId="0" xfId="0" applyNumberFormat="1" applyFill="1"/>
    <xf numFmtId="164" fontId="2" fillId="0" borderId="0" xfId="1" applyFont="1" applyFill="1"/>
    <xf numFmtId="167" fontId="2" fillId="0" borderId="3" xfId="2" applyNumberFormat="1" applyFont="1" applyFill="1" applyBorder="1" applyAlignment="1">
      <alignment horizontal="center"/>
    </xf>
    <xf numFmtId="167" fontId="3" fillId="0" borderId="5" xfId="2" applyNumberFormat="1" applyFont="1" applyFill="1" applyBorder="1" applyAlignment="1">
      <alignment horizontal="center"/>
    </xf>
    <xf numFmtId="167" fontId="2" fillId="0" borderId="0" xfId="2" applyNumberFormat="1" applyFont="1" applyFill="1" applyBorder="1" applyAlignment="1">
      <alignment horizontal="center"/>
    </xf>
    <xf numFmtId="167" fontId="3" fillId="0" borderId="7" xfId="2" applyNumberFormat="1" applyFont="1" applyFill="1" applyBorder="1" applyAlignment="1">
      <alignment horizontal="center"/>
    </xf>
    <xf numFmtId="0" fontId="7" fillId="0" borderId="0" xfId="3" applyFont="1" applyFill="1"/>
    <xf numFmtId="169" fontId="8" fillId="0" borderId="0" xfId="3" applyNumberFormat="1" applyFont="1" applyFill="1"/>
    <xf numFmtId="0" fontId="6" fillId="0" borderId="0" xfId="3" applyFont="1" applyFill="1"/>
    <xf numFmtId="0" fontId="5" fillId="0" borderId="0" xfId="3" applyFont="1" applyFill="1"/>
    <xf numFmtId="0" fontId="9" fillId="0" borderId="0" xfId="3" applyFont="1" applyFill="1"/>
    <xf numFmtId="170" fontId="10" fillId="0" borderId="0" xfId="4" applyNumberFormat="1" applyFont="1" applyFill="1" applyBorder="1"/>
    <xf numFmtId="170" fontId="10" fillId="0" borderId="0" xfId="3" applyNumberFormat="1" applyFont="1" applyFill="1" applyBorder="1"/>
    <xf numFmtId="170" fontId="11" fillId="0" borderId="0" xfId="3" applyNumberFormat="1" applyFont="1" applyFill="1" applyBorder="1"/>
    <xf numFmtId="164" fontId="9" fillId="0" borderId="0" xfId="3" applyNumberFormat="1" applyFont="1" applyFill="1" applyBorder="1" applyAlignment="1">
      <alignment horizontal="center"/>
    </xf>
    <xf numFmtId="0" fontId="8" fillId="0" borderId="9" xfId="3" applyFont="1" applyFill="1" applyBorder="1" applyAlignment="1">
      <alignment horizontal="center"/>
    </xf>
    <xf numFmtId="0" fontId="5" fillId="0" borderId="0" xfId="3" applyFont="1" applyFill="1" applyAlignment="1">
      <alignment horizontal="center"/>
    </xf>
    <xf numFmtId="0" fontId="9" fillId="0" borderId="0" xfId="3" applyFont="1" applyFill="1" applyBorder="1" applyAlignment="1">
      <alignment horizontal="center"/>
    </xf>
    <xf numFmtId="171" fontId="8" fillId="0" borderId="1" xfId="4" applyNumberFormat="1" applyFont="1" applyFill="1" applyBorder="1"/>
    <xf numFmtId="171" fontId="6" fillId="0" borderId="0" xfId="4" applyNumberFormat="1" applyFont="1" applyFill="1"/>
    <xf numFmtId="171" fontId="8" fillId="0" borderId="3" xfId="4" applyNumberFormat="1" applyFont="1" applyFill="1" applyBorder="1"/>
    <xf numFmtId="164" fontId="5" fillId="0" borderId="0" xfId="3" applyNumberFormat="1" applyFont="1" applyFill="1"/>
    <xf numFmtId="171" fontId="8" fillId="0" borderId="7" xfId="4" applyNumberFormat="1" applyFont="1" applyFill="1" applyBorder="1"/>
    <xf numFmtId="168" fontId="5" fillId="0" borderId="0" xfId="4" applyNumberFormat="1" applyFont="1" applyFill="1"/>
    <xf numFmtId="0" fontId="12" fillId="0" borderId="0" xfId="3" applyFont="1" applyFill="1"/>
    <xf numFmtId="9" fontId="7" fillId="0" borderId="1" xfId="5" applyFont="1" applyFill="1" applyBorder="1" applyAlignment="1">
      <alignment horizontal="center"/>
    </xf>
    <xf numFmtId="9" fontId="6" fillId="0" borderId="0" xfId="5" applyFont="1" applyFill="1" applyBorder="1" applyAlignment="1">
      <alignment horizontal="center"/>
    </xf>
    <xf numFmtId="9" fontId="7" fillId="0" borderId="7" xfId="5" applyFont="1" applyFill="1" applyBorder="1" applyAlignment="1">
      <alignment horizontal="center"/>
    </xf>
    <xf numFmtId="164" fontId="7" fillId="0" borderId="0" xfId="3" applyNumberFormat="1" applyFont="1" applyFill="1"/>
    <xf numFmtId="1" fontId="7" fillId="0" borderId="0" xfId="3" applyNumberFormat="1" applyFont="1" applyFill="1"/>
    <xf numFmtId="171" fontId="7" fillId="0" borderId="0" xfId="3" applyNumberFormat="1" applyFont="1" applyFill="1"/>
    <xf numFmtId="172" fontId="7" fillId="0" borderId="0" xfId="4" applyNumberFormat="1" applyFont="1" applyFill="1"/>
    <xf numFmtId="0" fontId="9" fillId="0" borderId="0" xfId="3" applyFont="1" applyFill="1" applyBorder="1"/>
    <xf numFmtId="0" fontId="6" fillId="0" borderId="0" xfId="3" applyFont="1" applyFill="1" applyBorder="1"/>
    <xf numFmtId="171" fontId="6" fillId="0" borderId="0" xfId="4" applyNumberFormat="1" applyFont="1" applyFill="1" applyBorder="1"/>
    <xf numFmtId="0" fontId="13" fillId="2" borderId="0" xfId="3" applyFont="1" applyFill="1"/>
    <xf numFmtId="0" fontId="12" fillId="0" borderId="0" xfId="3" applyFont="1" applyFill="1" applyBorder="1"/>
    <xf numFmtId="171" fontId="7" fillId="0" borderId="5" xfId="4" applyNumberFormat="1" applyFont="1" applyFill="1" applyBorder="1"/>
    <xf numFmtId="168" fontId="7" fillId="0" borderId="5" xfId="4" applyNumberFormat="1" applyFont="1" applyFill="1" applyBorder="1"/>
    <xf numFmtId="171" fontId="6" fillId="0" borderId="0" xfId="3" applyNumberFormat="1" applyFont="1" applyFill="1" applyBorder="1"/>
    <xf numFmtId="0" fontId="6" fillId="3" borderId="0" xfId="3" applyFont="1" applyFill="1"/>
    <xf numFmtId="0" fontId="6" fillId="0" borderId="0" xfId="3" quotePrefix="1" applyFont="1" applyFill="1"/>
    <xf numFmtId="164" fontId="6" fillId="0" borderId="0" xfId="3" applyNumberFormat="1" applyFont="1" applyFill="1"/>
    <xf numFmtId="171" fontId="6" fillId="0" borderId="0" xfId="3" applyNumberFormat="1" applyFont="1" applyFill="1"/>
    <xf numFmtId="168" fontId="13" fillId="2" borderId="0" xfId="4" applyNumberFormat="1" applyFont="1" applyFill="1"/>
    <xf numFmtId="164" fontId="6" fillId="3" borderId="0" xfId="4" applyFont="1" applyFill="1"/>
    <xf numFmtId="0" fontId="6" fillId="0" borderId="0" xfId="3" applyFont="1" applyFill="1" applyAlignment="1">
      <alignment horizontal="right"/>
    </xf>
    <xf numFmtId="0" fontId="12" fillId="3" borderId="0" xfId="3" applyFont="1" applyFill="1"/>
    <xf numFmtId="0" fontId="7" fillId="3" borderId="0" xfId="3" applyFont="1" applyFill="1"/>
    <xf numFmtId="0" fontId="8" fillId="0" borderId="0" xfId="3" applyFont="1" applyFill="1"/>
    <xf numFmtId="170" fontId="6" fillId="0" borderId="0" xfId="3" applyNumberFormat="1" applyFont="1" applyFill="1" applyBorder="1"/>
    <xf numFmtId="170" fontId="6" fillId="0" borderId="0" xfId="4" applyNumberFormat="1" applyFont="1" applyFill="1" applyBorder="1"/>
    <xf numFmtId="0" fontId="6" fillId="0" borderId="5" xfId="3" applyFont="1" applyFill="1" applyBorder="1"/>
    <xf numFmtId="171" fontId="5" fillId="3" borderId="0" xfId="4" applyNumberFormat="1" applyFont="1" applyFill="1"/>
    <xf numFmtId="171" fontId="6" fillId="2" borderId="0" xfId="4" applyNumberFormat="1" applyFont="1" applyFill="1"/>
    <xf numFmtId="9" fontId="7" fillId="0" borderId="7" xfId="5" applyNumberFormat="1" applyFont="1" applyFill="1" applyBorder="1" applyAlignment="1">
      <alignment horizontal="center"/>
    </xf>
    <xf numFmtId="9" fontId="6" fillId="0" borderId="0" xfId="5" applyNumberFormat="1" applyFont="1" applyFill="1" applyBorder="1" applyAlignment="1">
      <alignment horizontal="center"/>
    </xf>
    <xf numFmtId="171" fontId="7" fillId="0" borderId="0" xfId="4" applyNumberFormat="1" applyFont="1" applyFill="1" applyBorder="1"/>
    <xf numFmtId="0" fontId="9" fillId="0" borderId="0" xfId="3" applyFont="1" applyFill="1" applyAlignment="1">
      <alignment vertical="center"/>
    </xf>
    <xf numFmtId="168" fontId="7" fillId="0" borderId="0" xfId="4" applyNumberFormat="1" applyFont="1" applyFill="1"/>
    <xf numFmtId="0" fontId="8" fillId="0" borderId="0" xfId="3" applyFont="1" applyFill="1" applyBorder="1" applyAlignment="1">
      <alignment horizontal="center"/>
    </xf>
    <xf numFmtId="164" fontId="5" fillId="3" borderId="0" xfId="4" applyFont="1" applyFill="1"/>
    <xf numFmtId="9" fontId="7" fillId="0" borderId="3" xfId="5" applyFont="1" applyFill="1" applyBorder="1" applyAlignment="1">
      <alignment horizontal="center"/>
    </xf>
    <xf numFmtId="9" fontId="6" fillId="0" borderId="10" xfId="5" applyFont="1" applyFill="1" applyBorder="1" applyAlignment="1">
      <alignment horizontal="center"/>
    </xf>
    <xf numFmtId="9" fontId="6" fillId="0" borderId="10" xfId="5" applyNumberFormat="1" applyFont="1" applyFill="1" applyBorder="1" applyAlignment="1">
      <alignment horizontal="center"/>
    </xf>
    <xf numFmtId="164" fontId="7" fillId="0" borderId="0" xfId="4" applyNumberFormat="1" applyFont="1" applyFill="1" applyBorder="1"/>
    <xf numFmtId="164" fontId="6" fillId="0" borderId="5" xfId="4" applyFont="1" applyFill="1" applyBorder="1"/>
    <xf numFmtId="0" fontId="6" fillId="4" borderId="0" xfId="3" applyFont="1" applyFill="1" applyBorder="1"/>
    <xf numFmtId="173" fontId="12" fillId="3" borderId="0" xfId="4" applyNumberFormat="1" applyFont="1" applyFill="1" applyBorder="1"/>
    <xf numFmtId="173" fontId="12" fillId="3" borderId="0" xfId="4" applyNumberFormat="1" applyFont="1" applyFill="1"/>
    <xf numFmtId="170" fontId="14" fillId="0" borderId="0" xfId="3" applyNumberFormat="1" applyFont="1" applyFill="1" applyBorder="1"/>
    <xf numFmtId="173" fontId="14" fillId="2" borderId="0" xfId="4" applyNumberFormat="1" applyFont="1" applyFill="1" applyBorder="1"/>
    <xf numFmtId="0" fontId="12" fillId="2" borderId="0" xfId="3" applyFont="1" applyFill="1"/>
    <xf numFmtId="164" fontId="12" fillId="2" borderId="0" xfId="3" applyNumberFormat="1" applyFont="1" applyFill="1"/>
    <xf numFmtId="173" fontId="14" fillId="0" borderId="0" xfId="4" applyNumberFormat="1" applyFont="1" applyFill="1" applyBorder="1"/>
    <xf numFmtId="0" fontId="12" fillId="0" borderId="0" xfId="3" applyFont="1" applyFill="1" applyBorder="1" applyAlignment="1">
      <alignment horizontal="center"/>
    </xf>
    <xf numFmtId="0" fontId="9" fillId="5" borderId="0" xfId="3" applyFont="1" applyFill="1"/>
    <xf numFmtId="168" fontId="8" fillId="0" borderId="3" xfId="4" applyNumberFormat="1" applyFont="1" applyFill="1" applyBorder="1"/>
    <xf numFmtId="170" fontId="7" fillId="0" borderId="0" xfId="4" applyNumberFormat="1" applyFont="1" applyFill="1" applyBorder="1"/>
    <xf numFmtId="0" fontId="12" fillId="5" borderId="0" xfId="3" applyFont="1" applyFill="1"/>
    <xf numFmtId="9" fontId="7" fillId="3" borderId="0" xfId="5" applyFont="1" applyFill="1"/>
    <xf numFmtId="0" fontId="7" fillId="0" borderId="0" xfId="3" applyFont="1" applyFill="1" applyBorder="1"/>
    <xf numFmtId="171" fontId="8" fillId="0" borderId="0" xfId="4" applyNumberFormat="1" applyFont="1" applyFill="1" applyBorder="1"/>
    <xf numFmtId="171" fontId="7" fillId="0" borderId="0" xfId="3" applyNumberFormat="1" applyFont="1" applyFill="1" applyBorder="1"/>
    <xf numFmtId="9" fontId="7" fillId="0" borderId="0" xfId="5" applyFont="1" applyFill="1" applyBorder="1" applyAlignment="1">
      <alignment horizontal="center"/>
    </xf>
    <xf numFmtId="168" fontId="8" fillId="0" borderId="0" xfId="4" applyNumberFormat="1" applyFont="1" applyFill="1" applyBorder="1"/>
    <xf numFmtId="168" fontId="7" fillId="0" borderId="0" xfId="4" applyNumberFormat="1" applyFont="1" applyFill="1" applyBorder="1" applyAlignment="1">
      <alignment horizontal="center"/>
    </xf>
    <xf numFmtId="0" fontId="8" fillId="0" borderId="0" xfId="3" applyFont="1" applyFill="1" applyBorder="1"/>
    <xf numFmtId="171" fontId="9" fillId="0" borderId="0" xfId="4" applyNumberFormat="1" applyFont="1" applyFill="1" applyBorder="1"/>
    <xf numFmtId="164" fontId="8" fillId="0" borderId="0" xfId="4" applyNumberFormat="1" applyFont="1" applyFill="1" applyBorder="1"/>
    <xf numFmtId="171" fontId="9" fillId="0" borderId="0" xfId="3" applyNumberFormat="1" applyFont="1" applyFill="1" applyBorder="1" applyAlignment="1">
      <alignment horizontal="center"/>
    </xf>
    <xf numFmtId="164" fontId="8" fillId="0" borderId="0" xfId="3" applyNumberFormat="1" applyFont="1" applyFill="1" applyBorder="1" applyAlignment="1">
      <alignment horizontal="center"/>
    </xf>
    <xf numFmtId="164" fontId="8" fillId="0" borderId="0" xfId="4" applyFont="1" applyFill="1" applyBorder="1"/>
    <xf numFmtId="164" fontId="9" fillId="0" borderId="0" xfId="4" applyNumberFormat="1" applyFont="1" applyFill="1" applyBorder="1"/>
    <xf numFmtId="9" fontId="7" fillId="0" borderId="0" xfId="5" applyNumberFormat="1" applyFont="1" applyFill="1" applyBorder="1" applyAlignment="1">
      <alignment horizontal="center"/>
    </xf>
    <xf numFmtId="173" fontId="12" fillId="0" borderId="0" xfId="3" applyNumberFormat="1" applyFont="1" applyFill="1" applyBorder="1"/>
    <xf numFmtId="170" fontId="14" fillId="0" borderId="0" xfId="4" applyNumberFormat="1" applyFont="1" applyFill="1" applyBorder="1"/>
    <xf numFmtId="167" fontId="2" fillId="0" borderId="1" xfId="5" applyNumberFormat="1" applyFont="1" applyFill="1" applyBorder="1" applyAlignment="1">
      <alignment horizontal="center"/>
    </xf>
    <xf numFmtId="165" fontId="2" fillId="0" borderId="3" xfId="5" applyNumberFormat="1" applyFont="1" applyFill="1" applyBorder="1" applyAlignment="1">
      <alignment horizontal="center"/>
    </xf>
    <xf numFmtId="165" fontId="3" fillId="0" borderId="5" xfId="5" applyNumberFormat="1" applyFont="1" applyFill="1" applyBorder="1" applyAlignment="1">
      <alignment horizontal="center"/>
    </xf>
    <xf numFmtId="165" fontId="2" fillId="0" borderId="0" xfId="5" applyNumberFormat="1" applyFont="1" applyFill="1" applyBorder="1" applyAlignment="1">
      <alignment horizontal="center"/>
    </xf>
    <xf numFmtId="165" fontId="2" fillId="0" borderId="1" xfId="5" applyNumberFormat="1" applyFont="1" applyFill="1" applyBorder="1" applyAlignment="1">
      <alignment horizontal="center"/>
    </xf>
    <xf numFmtId="165" fontId="3" fillId="0" borderId="7" xfId="5" applyNumberFormat="1" applyFont="1" applyFill="1" applyBorder="1" applyAlignment="1">
      <alignment horizontal="center"/>
    </xf>
    <xf numFmtId="2" fontId="3" fillId="3" borderId="0" xfId="0" applyNumberFormat="1" applyFont="1" applyFill="1"/>
    <xf numFmtId="2" fontId="3" fillId="0" borderId="0" xfId="0" applyNumberFormat="1" applyFont="1" applyFill="1"/>
    <xf numFmtId="17" fontId="0" fillId="0" borderId="0" xfId="0" applyNumberFormat="1"/>
    <xf numFmtId="0" fontId="6" fillId="0" borderId="0" xfId="3" applyFont="1" applyFill="1" applyAlignment="1">
      <alignment horizontal="center"/>
    </xf>
    <xf numFmtId="170" fontId="11" fillId="0" borderId="0" xfId="3" applyNumberFormat="1" applyFont="1" applyFill="1" applyBorder="1" applyAlignment="1">
      <alignment horizontal="center"/>
    </xf>
    <xf numFmtId="0" fontId="5" fillId="0" borderId="0" xfId="3" applyFont="1" applyFill="1" applyBorder="1" applyAlignment="1">
      <alignment horizontal="center"/>
    </xf>
    <xf numFmtId="174" fontId="6" fillId="0" borderId="11" xfId="5" applyNumberFormat="1" applyFont="1" applyFill="1" applyBorder="1" applyAlignment="1">
      <alignment horizontal="center"/>
    </xf>
    <xf numFmtId="174" fontId="6" fillId="0" borderId="1" xfId="5" applyNumberFormat="1" applyFont="1" applyFill="1" applyBorder="1" applyAlignment="1">
      <alignment horizontal="center"/>
    </xf>
    <xf numFmtId="171" fontId="6" fillId="0" borderId="11" xfId="4" applyNumberFormat="1" applyFont="1" applyFill="1" applyBorder="1"/>
    <xf numFmtId="171" fontId="6" fillId="0" borderId="1" xfId="4" applyNumberFormat="1" applyFont="1" applyFill="1" applyBorder="1"/>
    <xf numFmtId="174" fontId="6" fillId="0" borderId="0" xfId="5" applyNumberFormat="1" applyFont="1" applyFill="1"/>
    <xf numFmtId="174" fontId="6" fillId="0" borderId="3" xfId="5" applyNumberFormat="1" applyFont="1" applyFill="1" applyBorder="1" applyAlignment="1">
      <alignment horizontal="center"/>
    </xf>
    <xf numFmtId="171" fontId="6" fillId="0" borderId="3" xfId="4" applyNumberFormat="1" applyFont="1" applyFill="1" applyBorder="1"/>
    <xf numFmtId="174" fontId="6" fillId="0" borderId="7" xfId="5" applyNumberFormat="1" applyFont="1" applyFill="1" applyBorder="1" applyAlignment="1">
      <alignment horizontal="center"/>
    </xf>
    <xf numFmtId="172" fontId="6" fillId="0" borderId="3" xfId="4" applyNumberFormat="1" applyFont="1" applyFill="1" applyBorder="1" applyAlignment="1">
      <alignment horizontal="center"/>
    </xf>
    <xf numFmtId="172" fontId="6" fillId="0" borderId="3" xfId="4" applyNumberFormat="1" applyFont="1" applyFill="1" applyBorder="1"/>
    <xf numFmtId="172" fontId="6" fillId="0" borderId="0" xfId="4" applyNumberFormat="1" applyFont="1" applyFill="1" applyBorder="1"/>
    <xf numFmtId="172" fontId="6" fillId="0" borderId="10" xfId="4" applyNumberFormat="1" applyFont="1" applyFill="1" applyBorder="1"/>
    <xf numFmtId="172" fontId="6" fillId="0" borderId="7" xfId="4" applyNumberFormat="1" applyFont="1" applyFill="1" applyBorder="1" applyAlignment="1">
      <alignment horizontal="center"/>
    </xf>
    <xf numFmtId="172" fontId="6" fillId="0" borderId="7" xfId="4" applyNumberFormat="1" applyFont="1" applyFill="1" applyBorder="1"/>
    <xf numFmtId="172" fontId="6" fillId="0" borderId="13" xfId="4" applyNumberFormat="1" applyFont="1" applyFill="1" applyBorder="1"/>
    <xf numFmtId="9" fontId="6" fillId="0" borderId="1" xfId="5" applyFont="1" applyFill="1" applyBorder="1" applyAlignment="1">
      <alignment horizontal="center"/>
    </xf>
    <xf numFmtId="9" fontId="6" fillId="0" borderId="7" xfId="5" applyFont="1" applyFill="1" applyBorder="1" applyAlignment="1">
      <alignment horizontal="center"/>
    </xf>
    <xf numFmtId="164" fontId="6" fillId="0" borderId="0" xfId="3" applyNumberFormat="1" applyFont="1" applyFill="1" applyAlignment="1">
      <alignment horizontal="center"/>
    </xf>
    <xf numFmtId="171" fontId="6" fillId="0" borderId="0" xfId="4" applyNumberFormat="1" applyFont="1" applyFill="1" applyBorder="1" applyAlignment="1">
      <alignment horizontal="center"/>
    </xf>
    <xf numFmtId="164" fontId="6" fillId="0" borderId="0" xfId="4" applyNumberFormat="1" applyFont="1" applyFill="1" applyBorder="1" applyAlignment="1">
      <alignment horizontal="center"/>
    </xf>
    <xf numFmtId="171" fontId="6" fillId="0" borderId="10" xfId="4" applyNumberFormat="1" applyFont="1" applyFill="1" applyBorder="1"/>
    <xf numFmtId="171" fontId="6" fillId="0" borderId="3" xfId="4" applyNumberFormat="1" applyFont="1" applyFill="1" applyBorder="1" applyAlignment="1">
      <alignment horizontal="center"/>
    </xf>
    <xf numFmtId="171" fontId="6" fillId="0" borderId="7" xfId="4" applyNumberFormat="1" applyFont="1" applyFill="1" applyBorder="1"/>
    <xf numFmtId="171" fontId="6" fillId="0" borderId="13" xfId="4" applyNumberFormat="1" applyFont="1" applyFill="1" applyBorder="1"/>
    <xf numFmtId="171" fontId="6" fillId="0" borderId="7" xfId="4" applyNumberFormat="1" applyFont="1" applyFill="1" applyBorder="1" applyAlignment="1">
      <alignment horizontal="center"/>
    </xf>
    <xf numFmtId="0" fontId="5" fillId="0" borderId="0" xfId="3" applyFont="1" applyFill="1" applyBorder="1"/>
    <xf numFmtId="171" fontId="5" fillId="0" borderId="0" xfId="4" applyNumberFormat="1" applyFont="1" applyFill="1" applyBorder="1" applyAlignment="1">
      <alignment horizontal="center"/>
    </xf>
    <xf numFmtId="174" fontId="6" fillId="0" borderId="0" xfId="3" applyNumberFormat="1" applyFont="1" applyFill="1"/>
    <xf numFmtId="2" fontId="6" fillId="0" borderId="0" xfId="3" applyNumberFormat="1" applyFont="1" applyFill="1"/>
    <xf numFmtId="0" fontId="16" fillId="0" borderId="0" xfId="6"/>
    <xf numFmtId="0" fontId="18" fillId="0" borderId="0" xfId="6" applyFont="1"/>
    <xf numFmtId="0" fontId="19" fillId="0" borderId="0" xfId="6" applyFont="1"/>
    <xf numFmtId="0" fontId="21" fillId="0" borderId="0" xfId="6" applyFont="1"/>
    <xf numFmtId="0" fontId="22" fillId="0" borderId="0" xfId="6" applyFont="1"/>
    <xf numFmtId="0" fontId="15" fillId="0" borderId="0" xfId="0" applyFont="1"/>
    <xf numFmtId="174" fontId="6" fillId="0" borderId="0" xfId="3" applyNumberFormat="1" applyFont="1" applyFill="1" applyAlignment="1">
      <alignment horizontal="center"/>
    </xf>
    <xf numFmtId="165" fontId="2" fillId="0" borderId="0" xfId="0" applyNumberFormat="1" applyFont="1" applyFill="1" applyBorder="1"/>
    <xf numFmtId="165" fontId="3" fillId="0" borderId="0" xfId="0" applyNumberFormat="1" applyFont="1" applyFill="1" applyBorder="1" applyAlignment="1">
      <alignment horizontal="right"/>
    </xf>
    <xf numFmtId="165" fontId="2" fillId="0" borderId="0" xfId="2" applyNumberFormat="1" applyFont="1" applyFill="1" applyBorder="1" applyAlignment="1">
      <alignment horizontal="center"/>
    </xf>
    <xf numFmtId="165" fontId="2" fillId="0" borderId="0" xfId="0" applyNumberFormat="1" applyFont="1" applyFill="1" applyBorder="1" applyAlignment="1">
      <alignment horizontal="center"/>
    </xf>
    <xf numFmtId="165" fontId="2" fillId="0" borderId="4" xfId="5" applyNumberFormat="1" applyFont="1" applyFill="1" applyBorder="1" applyAlignment="1">
      <alignment horizontal="center"/>
    </xf>
    <xf numFmtId="165" fontId="2" fillId="0" borderId="7" xfId="2" applyNumberFormat="1" applyFont="1" applyFill="1" applyBorder="1" applyAlignment="1">
      <alignment horizontal="center"/>
    </xf>
    <xf numFmtId="166" fontId="3" fillId="0" borderId="13" xfId="0" applyNumberFormat="1" applyFont="1" applyFill="1" applyBorder="1"/>
    <xf numFmtId="166" fontId="3" fillId="0" borderId="12" xfId="0" applyNumberFormat="1" applyFont="1" applyFill="1" applyBorder="1"/>
    <xf numFmtId="167" fontId="2" fillId="0" borderId="7" xfId="2" applyNumberFormat="1" applyFont="1" applyFill="1" applyBorder="1" applyAlignment="1">
      <alignment horizontal="center"/>
    </xf>
    <xf numFmtId="166" fontId="2" fillId="0" borderId="11" xfId="0" applyNumberFormat="1" applyFont="1" applyFill="1" applyBorder="1"/>
    <xf numFmtId="166" fontId="2" fillId="0" borderId="14" xfId="0" applyNumberFormat="1" applyFont="1" applyFill="1" applyBorder="1"/>
    <xf numFmtId="166" fontId="2" fillId="0" borderId="13" xfId="0" applyNumberFormat="1" applyFont="1" applyFill="1" applyBorder="1"/>
    <xf numFmtId="166" fontId="2" fillId="0" borderId="9" xfId="0" applyNumberFormat="1" applyFont="1" applyFill="1" applyBorder="1"/>
    <xf numFmtId="166" fontId="2" fillId="0" borderId="10" xfId="0" applyNumberFormat="1" applyFont="1" applyFill="1" applyBorder="1"/>
    <xf numFmtId="174" fontId="2" fillId="0" borderId="5" xfId="2" applyNumberFormat="1" applyFont="1" applyFill="1" applyBorder="1" applyAlignment="1">
      <alignment horizontal="center"/>
    </xf>
    <xf numFmtId="166" fontId="3" fillId="0" borderId="1" xfId="0" applyNumberFormat="1" applyFont="1" applyFill="1" applyBorder="1"/>
    <xf numFmtId="166" fontId="0" fillId="0" borderId="0" xfId="0" applyNumberFormat="1"/>
    <xf numFmtId="166" fontId="3" fillId="0" borderId="0" xfId="0" applyNumberFormat="1" applyFont="1" applyFill="1" applyBorder="1"/>
    <xf numFmtId="166" fontId="2" fillId="0" borderId="5" xfId="0" applyNumberFormat="1" applyFont="1" applyFill="1" applyBorder="1"/>
    <xf numFmtId="166" fontId="2" fillId="0" borderId="2" xfId="0" applyNumberFormat="1" applyFont="1" applyFill="1" applyBorder="1"/>
    <xf numFmtId="0" fontId="17" fillId="2" borderId="0" xfId="6" applyFont="1" applyFill="1"/>
    <xf numFmtId="166" fontId="2" fillId="0" borderId="4" xfId="0" applyNumberFormat="1" applyFont="1" applyFill="1" applyBorder="1"/>
    <xf numFmtId="166" fontId="2" fillId="0" borderId="12" xfId="0" applyNumberFormat="1" applyFont="1" applyFill="1" applyBorder="1"/>
    <xf numFmtId="166" fontId="3" fillId="0" borderId="3" xfId="0" applyNumberFormat="1" applyFont="1" applyFill="1" applyBorder="1"/>
    <xf numFmtId="166" fontId="3" fillId="0" borderId="14" xfId="0" applyNumberFormat="1" applyFont="1" applyFill="1" applyBorder="1"/>
    <xf numFmtId="166" fontId="3" fillId="0" borderId="2" xfId="0" applyNumberFormat="1" applyFont="1" applyFill="1" applyBorder="1"/>
    <xf numFmtId="166" fontId="3" fillId="0" borderId="9" xfId="0" applyNumberFormat="1" applyFont="1" applyFill="1" applyBorder="1"/>
    <xf numFmtId="166" fontId="3" fillId="0" borderId="11" xfId="0" applyNumberFormat="1" applyFont="1" applyFill="1" applyBorder="1"/>
    <xf numFmtId="166" fontId="3" fillId="0" borderId="4" xfId="0" applyNumberFormat="1" applyFont="1" applyFill="1" applyBorder="1"/>
    <xf numFmtId="166" fontId="3" fillId="0" borderId="6" xfId="0" applyNumberFormat="1" applyFont="1" applyFill="1" applyBorder="1"/>
    <xf numFmtId="166" fontId="3" fillId="0" borderId="15" xfId="0" applyNumberFormat="1" applyFont="1" applyFill="1" applyBorder="1"/>
    <xf numFmtId="166" fontId="3" fillId="0" borderId="10" xfId="0" applyNumberFormat="1" applyFont="1" applyFill="1" applyBorder="1"/>
    <xf numFmtId="166" fontId="2" fillId="0" borderId="8" xfId="0" applyNumberFormat="1" applyFont="1" applyFill="1" applyBorder="1"/>
    <xf numFmtId="0" fontId="20" fillId="2" borderId="0" xfId="6" applyFont="1" applyFill="1"/>
    <xf numFmtId="165" fontId="2" fillId="0" borderId="3" xfId="2" applyNumberFormat="1" applyFont="1" applyFill="1" applyBorder="1" applyAlignment="1">
      <alignment horizontal="center"/>
    </xf>
    <xf numFmtId="165" fontId="2" fillId="0" borderId="1" xfId="2" applyNumberFormat="1" applyFont="1" applyFill="1" applyBorder="1" applyAlignment="1">
      <alignment horizontal="center"/>
    </xf>
    <xf numFmtId="165" fontId="3" fillId="0" borderId="0" xfId="2" applyNumberFormat="1" applyFont="1" applyFill="1" applyBorder="1" applyAlignment="1">
      <alignment horizontal="center"/>
    </xf>
    <xf numFmtId="0" fontId="3" fillId="0" borderId="1" xfId="0" applyFont="1" applyFill="1" applyBorder="1"/>
    <xf numFmtId="168" fontId="2" fillId="0" borderId="1" xfId="9" applyNumberFormat="1" applyFont="1" applyFill="1" applyBorder="1"/>
    <xf numFmtId="0" fontId="2" fillId="0" borderId="3" xfId="0" applyFont="1" applyFill="1" applyBorder="1"/>
    <xf numFmtId="168" fontId="2" fillId="0" borderId="3" xfId="9" applyNumberFormat="1" applyFont="1" applyFill="1" applyBorder="1"/>
    <xf numFmtId="0" fontId="3" fillId="0" borderId="3" xfId="0" applyFont="1" applyFill="1" applyBorder="1"/>
    <xf numFmtId="168" fontId="3" fillId="0" borderId="1" xfId="9" applyNumberFormat="1" applyFont="1" applyFill="1" applyBorder="1"/>
    <xf numFmtId="168" fontId="3" fillId="0" borderId="3" xfId="9" applyNumberFormat="1" applyFont="1" applyFill="1" applyBorder="1"/>
    <xf numFmtId="168" fontId="2" fillId="0" borderId="7" xfId="9" applyNumberFormat="1" applyFont="1" applyFill="1" applyBorder="1"/>
    <xf numFmtId="0" fontId="3" fillId="0" borderId="7" xfId="0" applyFont="1" applyFill="1" applyBorder="1"/>
    <xf numFmtId="0" fontId="3" fillId="0" borderId="5" xfId="0" applyFont="1" applyFill="1" applyBorder="1"/>
    <xf numFmtId="168" fontId="3" fillId="0" borderId="5" xfId="9" applyNumberFormat="1" applyFont="1" applyFill="1" applyBorder="1"/>
    <xf numFmtId="168" fontId="3" fillId="0" borderId="0" xfId="9" applyNumberFormat="1" applyFont="1" applyFill="1" applyBorder="1"/>
    <xf numFmtId="0" fontId="24" fillId="0" borderId="0" xfId="0" applyFont="1" applyAlignment="1">
      <alignment horizontal="center"/>
    </xf>
    <xf numFmtId="0" fontId="3" fillId="5" borderId="0" xfId="0" applyFont="1" applyFill="1"/>
    <xf numFmtId="0" fontId="2" fillId="5" borderId="0" xfId="0" applyFont="1" applyFill="1"/>
    <xf numFmtId="0" fontId="5" fillId="5" borderId="0" xfId="0" applyFont="1" applyFill="1"/>
    <xf numFmtId="0" fontId="3" fillId="5" borderId="0" xfId="0" applyFont="1" applyFill="1" applyAlignment="1">
      <alignment horizontal="center"/>
    </xf>
    <xf numFmtId="166" fontId="3" fillId="5" borderId="5" xfId="0" applyNumberFormat="1" applyFont="1" applyFill="1" applyBorder="1"/>
    <xf numFmtId="166" fontId="2" fillId="5" borderId="0" xfId="0" applyNumberFormat="1" applyFont="1" applyFill="1" applyBorder="1"/>
    <xf numFmtId="166" fontId="2" fillId="5" borderId="1" xfId="0" applyNumberFormat="1" applyFont="1" applyFill="1" applyBorder="1"/>
    <xf numFmtId="166" fontId="2" fillId="5" borderId="3" xfId="0" applyNumberFormat="1" applyFont="1" applyFill="1" applyBorder="1"/>
    <xf numFmtId="166" fontId="3" fillId="5" borderId="0" xfId="0" applyNumberFormat="1" applyFont="1" applyFill="1" applyBorder="1"/>
    <xf numFmtId="166" fontId="3" fillId="5" borderId="14" xfId="0" applyNumberFormat="1" applyFont="1" applyFill="1" applyBorder="1"/>
    <xf numFmtId="166" fontId="2" fillId="5" borderId="7" xfId="0" applyNumberFormat="1" applyFont="1" applyFill="1" applyBorder="1"/>
    <xf numFmtId="166" fontId="2" fillId="5" borderId="8" xfId="0" applyNumberFormat="1" applyFont="1" applyFill="1" applyBorder="1"/>
    <xf numFmtId="166" fontId="3" fillId="5" borderId="7" xfId="0" applyNumberFormat="1" applyFont="1" applyFill="1" applyBorder="1"/>
    <xf numFmtId="0" fontId="3" fillId="5" borderId="0" xfId="0" applyFont="1" applyFill="1" applyAlignment="1">
      <alignment horizontal="center" wrapText="1"/>
    </xf>
    <xf numFmtId="166" fontId="2" fillId="5" borderId="14" xfId="0" applyNumberFormat="1" applyFont="1" applyFill="1" applyBorder="1"/>
    <xf numFmtId="0" fontId="2" fillId="5" borderId="0" xfId="0" applyFont="1" applyFill="1" applyBorder="1"/>
    <xf numFmtId="0" fontId="3" fillId="5" borderId="0" xfId="0" applyFont="1" applyFill="1" applyBorder="1" applyAlignment="1">
      <alignment horizontal="center"/>
    </xf>
    <xf numFmtId="166" fontId="2" fillId="5" borderId="9" xfId="0" applyNumberFormat="1" applyFont="1" applyFill="1" applyBorder="1"/>
    <xf numFmtId="1" fontId="0" fillId="0" borderId="0" xfId="0" applyNumberFormat="1"/>
    <xf numFmtId="166" fontId="2" fillId="5" borderId="5" xfId="0" applyNumberFormat="1" applyFont="1" applyFill="1" applyBorder="1"/>
    <xf numFmtId="0" fontId="0" fillId="5" borderId="0" xfId="0" applyFill="1"/>
    <xf numFmtId="0" fontId="0" fillId="5" borderId="0" xfId="0" applyFill="1" applyAlignment="1">
      <alignment horizontal="center"/>
    </xf>
    <xf numFmtId="166" fontId="2" fillId="4" borderId="1" xfId="0" applyNumberFormat="1" applyFont="1" applyFill="1" applyBorder="1"/>
    <xf numFmtId="166" fontId="2" fillId="4" borderId="3" xfId="0" applyNumberFormat="1" applyFont="1" applyFill="1" applyBorder="1"/>
    <xf numFmtId="166" fontId="3" fillId="4" borderId="5" xfId="0" applyNumberFormat="1" applyFont="1" applyFill="1" applyBorder="1"/>
    <xf numFmtId="0" fontId="0" fillId="5" borderId="0" xfId="0" applyFill="1" applyBorder="1" applyAlignment="1">
      <alignment horizontal="center"/>
    </xf>
    <xf numFmtId="0" fontId="5" fillId="5" borderId="0" xfId="0" applyFont="1" applyFill="1" applyAlignment="1">
      <alignment horizontal="center"/>
    </xf>
    <xf numFmtId="0" fontId="3" fillId="5" borderId="0" xfId="0" applyFont="1" applyFill="1" applyBorder="1"/>
    <xf numFmtId="166" fontId="3" fillId="5" borderId="4" xfId="0" applyNumberFormat="1" applyFont="1" applyFill="1" applyBorder="1"/>
    <xf numFmtId="166" fontId="2" fillId="5" borderId="4" xfId="0" applyNumberFormat="1" applyFont="1" applyFill="1" applyBorder="1"/>
    <xf numFmtId="166" fontId="3" fillId="5" borderId="3" xfId="0" applyNumberFormat="1" applyFont="1" applyFill="1" applyBorder="1"/>
    <xf numFmtId="0" fontId="0" fillId="5" borderId="0" xfId="0" applyFill="1" applyBorder="1"/>
    <xf numFmtId="0" fontId="2" fillId="5" borderId="3" xfId="0" applyFont="1" applyFill="1" applyBorder="1"/>
    <xf numFmtId="166" fontId="5" fillId="5" borderId="5" xfId="0" applyNumberFormat="1" applyFont="1" applyFill="1" applyBorder="1"/>
    <xf numFmtId="0" fontId="5" fillId="0" borderId="0" xfId="0" applyFont="1" applyFill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2" fillId="0" borderId="5" xfId="0" applyFont="1" applyFill="1" applyBorder="1"/>
    <xf numFmtId="0" fontId="0" fillId="0" borderId="0" xfId="0" applyFill="1" applyBorder="1"/>
    <xf numFmtId="169" fontId="0" fillId="0" borderId="0" xfId="0" applyNumberFormat="1"/>
    <xf numFmtId="0" fontId="16" fillId="0" borderId="0" xfId="6" applyFont="1"/>
    <xf numFmtId="1" fontId="2" fillId="0" borderId="0" xfId="0" applyNumberFormat="1" applyFont="1" applyFill="1" applyBorder="1"/>
    <xf numFmtId="1" fontId="2" fillId="0" borderId="0" xfId="2" applyNumberFormat="1" applyFont="1" applyFill="1" applyBorder="1" applyAlignment="1">
      <alignment horizontal="center"/>
    </xf>
    <xf numFmtId="1" fontId="3" fillId="0" borderId="0" xfId="2" applyNumberFormat="1" applyFont="1" applyFill="1" applyBorder="1" applyAlignment="1">
      <alignment horizontal="center"/>
    </xf>
    <xf numFmtId="1" fontId="3" fillId="0" borderId="0" xfId="0" applyNumberFormat="1" applyFont="1" applyFill="1" applyBorder="1" applyAlignment="1">
      <alignment horizontal="center"/>
    </xf>
    <xf numFmtId="172" fontId="6" fillId="0" borderId="11" xfId="5" applyNumberFormat="1" applyFont="1" applyFill="1" applyBorder="1" applyAlignment="1">
      <alignment horizontal="center"/>
    </xf>
    <xf numFmtId="172" fontId="6" fillId="0" borderId="3" xfId="5" applyNumberFormat="1" applyFont="1" applyFill="1" applyBorder="1" applyAlignment="1">
      <alignment horizontal="center"/>
    </xf>
    <xf numFmtId="172" fontId="6" fillId="0" borderId="12" xfId="4" applyNumberFormat="1" applyFont="1" applyFill="1" applyBorder="1" applyAlignment="1">
      <alignment horizontal="center"/>
    </xf>
    <xf numFmtId="172" fontId="6" fillId="0" borderId="0" xfId="3" applyNumberFormat="1" applyFont="1" applyFill="1"/>
    <xf numFmtId="172" fontId="2" fillId="0" borderId="5" xfId="0" applyNumberFormat="1" applyFont="1" applyFill="1" applyBorder="1"/>
    <xf numFmtId="0" fontId="25" fillId="0" borderId="0" xfId="0" applyFont="1"/>
    <xf numFmtId="0" fontId="0" fillId="2" borderId="0" xfId="0" applyFill="1"/>
    <xf numFmtId="0" fontId="0" fillId="6" borderId="0" xfId="0" applyFill="1"/>
    <xf numFmtId="0" fontId="5" fillId="0" borderId="0" xfId="0" applyFont="1" applyFill="1"/>
    <xf numFmtId="0" fontId="6" fillId="0" borderId="0" xfId="0" applyFont="1" applyFill="1"/>
    <xf numFmtId="171" fontId="2" fillId="0" borderId="5" xfId="4" applyNumberFormat="1" applyFont="1" applyFill="1" applyBorder="1"/>
    <xf numFmtId="166" fontId="5" fillId="0" borderId="5" xfId="0" applyNumberFormat="1" applyFont="1" applyFill="1" applyBorder="1"/>
    <xf numFmtId="166" fontId="3" fillId="5" borderId="2" xfId="0" applyNumberFormat="1" applyFont="1" applyFill="1" applyBorder="1"/>
    <xf numFmtId="166" fontId="3" fillId="5" borderId="12" xfId="0" applyNumberFormat="1" applyFont="1" applyFill="1" applyBorder="1"/>
    <xf numFmtId="166" fontId="3" fillId="5" borderId="6" xfId="0" applyNumberFormat="1" applyFont="1" applyFill="1" applyBorder="1"/>
    <xf numFmtId="166" fontId="2" fillId="5" borderId="2" xfId="0" applyNumberFormat="1" applyFont="1" applyFill="1" applyBorder="1"/>
    <xf numFmtId="0" fontId="16" fillId="0" borderId="0" xfId="6"/>
    <xf numFmtId="0" fontId="0" fillId="7" borderId="0" xfId="0" applyFill="1"/>
    <xf numFmtId="0" fontId="26" fillId="7" borderId="0" xfId="0" applyFont="1" applyFill="1"/>
    <xf numFmtId="165" fontId="2" fillId="0" borderId="7" xfId="5" applyNumberFormat="1" applyFont="1" applyFill="1" applyBorder="1" applyAlignment="1">
      <alignment horizontal="center"/>
    </xf>
    <xf numFmtId="171" fontId="5" fillId="0" borderId="0" xfId="3" applyNumberFormat="1" applyFont="1" applyFill="1"/>
    <xf numFmtId="0" fontId="0" fillId="8" borderId="0" xfId="0" applyFill="1"/>
    <xf numFmtId="167" fontId="2" fillId="0" borderId="0" xfId="0" applyNumberFormat="1" applyFont="1" applyFill="1" applyBorder="1" applyAlignment="1">
      <alignment horizontal="center"/>
    </xf>
    <xf numFmtId="167" fontId="2" fillId="0" borderId="3" xfId="5" applyNumberFormat="1" applyFont="1" applyFill="1" applyBorder="1" applyAlignment="1">
      <alignment horizontal="center"/>
    </xf>
    <xf numFmtId="167" fontId="3" fillId="0" borderId="5" xfId="5" applyNumberFormat="1" applyFont="1" applyFill="1" applyBorder="1" applyAlignment="1">
      <alignment horizontal="center"/>
    </xf>
    <xf numFmtId="167" fontId="2" fillId="0" borderId="0" xfId="5" applyNumberFormat="1" applyFont="1" applyFill="1" applyBorder="1" applyAlignment="1">
      <alignment horizontal="center"/>
    </xf>
    <xf numFmtId="167" fontId="0" fillId="0" borderId="0" xfId="0" applyNumberFormat="1"/>
    <xf numFmtId="167" fontId="3" fillId="0" borderId="1" xfId="2" applyNumberFormat="1" applyFont="1" applyFill="1" applyBorder="1" applyAlignment="1">
      <alignment horizontal="center"/>
    </xf>
    <xf numFmtId="0" fontId="0" fillId="0" borderId="0" xfId="0" applyBorder="1"/>
    <xf numFmtId="9" fontId="24" fillId="0" borderId="0" xfId="5" applyFont="1" applyFill="1" applyBorder="1" applyAlignment="1">
      <alignment horizontal="center"/>
    </xf>
    <xf numFmtId="9" fontId="3" fillId="0" borderId="0" xfId="5" applyFont="1" applyFill="1" applyBorder="1" applyAlignment="1">
      <alignment horizontal="center"/>
    </xf>
    <xf numFmtId="167" fontId="2" fillId="0" borderId="11" xfId="2" applyNumberFormat="1" applyFont="1" applyFill="1" applyBorder="1" applyAlignment="1">
      <alignment horizontal="center"/>
    </xf>
    <xf numFmtId="167" fontId="3" fillId="0" borderId="15" xfId="2" applyNumberFormat="1" applyFont="1" applyFill="1" applyBorder="1" applyAlignment="1">
      <alignment horizontal="center"/>
    </xf>
    <xf numFmtId="167" fontId="3" fillId="0" borderId="11" xfId="2" applyNumberFormat="1" applyFont="1" applyFill="1" applyBorder="1" applyAlignment="1">
      <alignment horizontal="center"/>
    </xf>
    <xf numFmtId="167" fontId="2" fillId="0" borderId="11" xfId="5" applyNumberFormat="1" applyFont="1" applyFill="1" applyBorder="1" applyAlignment="1">
      <alignment horizontal="center"/>
    </xf>
    <xf numFmtId="167" fontId="3" fillId="0" borderId="15" xfId="5" applyNumberFormat="1" applyFont="1" applyFill="1" applyBorder="1" applyAlignment="1">
      <alignment horizontal="center"/>
    </xf>
    <xf numFmtId="167" fontId="0" fillId="0" borderId="0" xfId="0" applyNumberFormat="1" applyBorder="1"/>
    <xf numFmtId="167" fontId="3" fillId="0" borderId="3" xfId="2" applyNumberFormat="1" applyFont="1" applyFill="1" applyBorder="1" applyAlignment="1">
      <alignment horizontal="center"/>
    </xf>
    <xf numFmtId="167" fontId="3" fillId="0" borderId="3" xfId="5" applyNumberFormat="1" applyFont="1" applyFill="1" applyBorder="1" applyAlignment="1">
      <alignment horizontal="center"/>
    </xf>
    <xf numFmtId="0" fontId="2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5" fillId="0" borderId="0" xfId="0" applyFont="1"/>
    <xf numFmtId="9" fontId="0" fillId="0" borderId="0" xfId="5" applyFont="1"/>
    <xf numFmtId="165" fontId="6" fillId="0" borderId="0" xfId="5" applyNumberFormat="1" applyFont="1"/>
    <xf numFmtId="0" fontId="6" fillId="0" borderId="0" xfId="0" applyFont="1"/>
    <xf numFmtId="9" fontId="3" fillId="0" borderId="0" xfId="5" applyFont="1" applyFill="1" applyAlignment="1">
      <alignment horizontal="center"/>
    </xf>
    <xf numFmtId="9" fontId="2" fillId="0" borderId="0" xfId="5" applyFont="1" applyFill="1" applyAlignment="1">
      <alignment horizontal="center"/>
    </xf>
    <xf numFmtId="165" fontId="3" fillId="0" borderId="0" xfId="5" applyNumberFormat="1" applyFont="1" applyFill="1" applyAlignment="1">
      <alignment horizontal="center"/>
    </xf>
    <xf numFmtId="165" fontId="3" fillId="0" borderId="0" xfId="5" applyNumberFormat="1" applyFont="1" applyFill="1" applyBorder="1" applyAlignment="1">
      <alignment horizontal="center"/>
    </xf>
    <xf numFmtId="0" fontId="2" fillId="4" borderId="0" xfId="0" applyFont="1" applyFill="1"/>
    <xf numFmtId="165" fontId="2" fillId="5" borderId="1" xfId="5" applyNumberFormat="1" applyFont="1" applyFill="1" applyBorder="1"/>
    <xf numFmtId="165" fontId="2" fillId="5" borderId="3" xfId="5" applyNumberFormat="1" applyFont="1" applyFill="1" applyBorder="1"/>
    <xf numFmtId="0" fontId="3" fillId="4" borderId="0" xfId="0" applyFont="1" applyFill="1"/>
    <xf numFmtId="165" fontId="3" fillId="5" borderId="5" xfId="5" applyNumberFormat="1" applyFont="1" applyFill="1" applyBorder="1"/>
    <xf numFmtId="0" fontId="2" fillId="4" borderId="0" xfId="0" applyFont="1" applyFill="1" applyBorder="1"/>
    <xf numFmtId="166" fontId="2" fillId="5" borderId="0" xfId="0" applyNumberFormat="1" applyFont="1" applyFill="1"/>
    <xf numFmtId="165" fontId="2" fillId="5" borderId="0" xfId="5" applyNumberFormat="1" applyFont="1" applyFill="1"/>
    <xf numFmtId="165" fontId="3" fillId="5" borderId="7" xfId="5" applyNumberFormat="1" applyFont="1" applyFill="1" applyBorder="1"/>
    <xf numFmtId="165" fontId="3" fillId="5" borderId="0" xfId="5" applyNumberFormat="1" applyFont="1" applyFill="1" applyBorder="1"/>
    <xf numFmtId="166" fontId="3" fillId="4" borderId="5" xfId="7" applyNumberFormat="1" applyFont="1" applyFill="1" applyBorder="1"/>
    <xf numFmtId="0" fontId="3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2" fillId="0" borderId="0" xfId="25" applyFont="1" applyFill="1" applyBorder="1"/>
    <xf numFmtId="0" fontId="3" fillId="0" borderId="0" xfId="25" applyFont="1" applyFill="1" applyBorder="1" applyAlignment="1">
      <alignment horizontal="center"/>
    </xf>
    <xf numFmtId="0" fontId="1" fillId="0" borderId="0" xfId="25" applyFill="1" applyBorder="1" applyAlignment="1">
      <alignment horizontal="center"/>
    </xf>
    <xf numFmtId="0" fontId="3" fillId="0" borderId="0" xfId="25" applyFont="1" applyFill="1"/>
    <xf numFmtId="165" fontId="2" fillId="0" borderId="0" xfId="25" applyNumberFormat="1" applyFont="1" applyFill="1"/>
    <xf numFmtId="165" fontId="3" fillId="0" borderId="0" xfId="25" applyNumberFormat="1" applyFont="1" applyFill="1" applyAlignment="1">
      <alignment horizontal="right"/>
    </xf>
    <xf numFmtId="0" fontId="2" fillId="0" borderId="0" xfId="25" applyFont="1" applyFill="1"/>
    <xf numFmtId="166" fontId="2" fillId="0" borderId="1" xfId="25" applyNumberFormat="1" applyFont="1" applyFill="1" applyBorder="1"/>
    <xf numFmtId="165" fontId="2" fillId="0" borderId="1" xfId="26" applyNumberFormat="1" applyFont="1" applyFill="1" applyBorder="1" applyAlignment="1">
      <alignment horizontal="center"/>
    </xf>
    <xf numFmtId="165" fontId="2" fillId="0" borderId="1" xfId="25" applyNumberFormat="1" applyFont="1" applyFill="1" applyBorder="1" applyAlignment="1">
      <alignment horizontal="center"/>
    </xf>
    <xf numFmtId="166" fontId="2" fillId="0" borderId="3" xfId="25" applyNumberFormat="1" applyFont="1" applyFill="1" applyBorder="1"/>
    <xf numFmtId="165" fontId="2" fillId="0" borderId="3" xfId="26" applyNumberFormat="1" applyFont="1" applyFill="1" applyBorder="1" applyAlignment="1">
      <alignment horizontal="center"/>
    </xf>
    <xf numFmtId="165" fontId="2" fillId="0" borderId="3" xfId="25" applyNumberFormat="1" applyFont="1" applyFill="1" applyBorder="1" applyAlignment="1">
      <alignment horizontal="center"/>
    </xf>
    <xf numFmtId="166" fontId="3" fillId="0" borderId="5" xfId="25" applyNumberFormat="1" applyFont="1" applyFill="1" applyBorder="1"/>
    <xf numFmtId="165" fontId="3" fillId="0" borderId="5" xfId="26" applyNumberFormat="1" applyFont="1" applyFill="1" applyBorder="1" applyAlignment="1">
      <alignment horizontal="center"/>
    </xf>
    <xf numFmtId="165" fontId="3" fillId="0" borderId="5" xfId="25" applyNumberFormat="1" applyFont="1" applyFill="1" applyBorder="1" applyAlignment="1">
      <alignment horizontal="center"/>
    </xf>
    <xf numFmtId="166" fontId="2" fillId="0" borderId="0" xfId="25" applyNumberFormat="1" applyFont="1" applyFill="1"/>
    <xf numFmtId="165" fontId="2" fillId="0" borderId="0" xfId="26" applyNumberFormat="1" applyFont="1" applyFill="1" applyAlignment="1">
      <alignment horizontal="center"/>
    </xf>
    <xf numFmtId="165" fontId="2" fillId="0" borderId="0" xfId="25" applyNumberFormat="1" applyFont="1" applyFill="1" applyAlignment="1">
      <alignment horizontal="center"/>
    </xf>
    <xf numFmtId="166" fontId="3" fillId="0" borderId="7" xfId="25" applyNumberFormat="1" applyFont="1" applyFill="1" applyBorder="1"/>
    <xf numFmtId="0" fontId="3" fillId="4" borderId="9" xfId="25" applyFont="1" applyFill="1" applyBorder="1" applyAlignment="1">
      <alignment horizontal="center"/>
    </xf>
    <xf numFmtId="0" fontId="2" fillId="0" borderId="9" xfId="25" applyFont="1" applyFill="1" applyBorder="1"/>
    <xf numFmtId="0" fontId="3" fillId="0" borderId="9" xfId="25" applyFont="1" applyFill="1" applyBorder="1"/>
    <xf numFmtId="0" fontId="27" fillId="0" borderId="0" xfId="25" applyFont="1"/>
    <xf numFmtId="0" fontId="2" fillId="4" borderId="9" xfId="25" applyFont="1" applyFill="1" applyBorder="1"/>
    <xf numFmtId="14" fontId="0" fillId="0" borderId="0" xfId="0" applyNumberFormat="1"/>
    <xf numFmtId="171" fontId="5" fillId="9" borderId="0" xfId="4" applyNumberFormat="1" applyFont="1" applyFill="1"/>
    <xf numFmtId="1" fontId="5" fillId="9" borderId="0" xfId="3" applyNumberFormat="1" applyFont="1" applyFill="1"/>
    <xf numFmtId="0" fontId="2" fillId="0" borderId="0" xfId="0" applyFont="1" applyFill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2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</cellXfs>
  <cellStyles count="27">
    <cellStyle name="Comma 2" xfId="12"/>
    <cellStyle name="Comma 3" xfId="13"/>
    <cellStyle name="Comma 3 2" xfId="19"/>
    <cellStyle name="Comma 4" xfId="14"/>
    <cellStyle name="Comma 5" xfId="15"/>
    <cellStyle name="Comma 5 2" xfId="20"/>
    <cellStyle name="Comma 6" xfId="23"/>
    <cellStyle name="Comma_BGGas" xfId="9"/>
    <cellStyle name="Euro" xfId="10"/>
    <cellStyle name="Euro 2" xfId="16"/>
    <cellStyle name="Euro 2 2" xfId="21"/>
    <cellStyle name="Millares" xfId="1" builtinId="3"/>
    <cellStyle name="Millares 2" xfId="4"/>
    <cellStyle name="Millares 2 2" xfId="24"/>
    <cellStyle name="Millares 3" xfId="8"/>
    <cellStyle name="Normal" xfId="0" builtinId="0"/>
    <cellStyle name="Normal 2" xfId="3"/>
    <cellStyle name="Normal 3" xfId="6"/>
    <cellStyle name="Normal 3 2" xfId="17"/>
    <cellStyle name="Normal 3 3" xfId="11"/>
    <cellStyle name="Normal 4" xfId="7"/>
    <cellStyle name="Normal 4 3 2 2 2" xfId="25"/>
    <cellStyle name="Percent 2" xfId="18"/>
    <cellStyle name="Percent 2 2" xfId="22"/>
    <cellStyle name="Porcentaje" xfId="2" builtinId="5"/>
    <cellStyle name="Porcentaje 2" xfId="5"/>
    <cellStyle name="Porcentaje 3 3 2 2 2" xfId="26"/>
  </cellStyles>
  <dxfs count="7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Costos_Gastos!$A$22</c:f>
              <c:strCache>
                <c:ptCount val="1"/>
                <c:pt idx="0">
                  <c:v>Gasto 21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0FCFE1A6-68F3-4D56-8C89-3E1D9842DBBE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EAC3CD1-A5E3-42A2-8A4A-5026CA1D0B22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77809E2-FEEA-4511-BAC9-FA1C679B8145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6445117-AC48-448A-8876-1CC206DCE219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AD79FAD-E42E-42E2-BC6C-F09164431BD8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A7AA291-448D-4156-9DEC-3D15836B7CB7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solidFill>
                <a:srgbClr val="00B050"/>
              </a:solidFill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900" b="1" i="0" u="none" strike="noStrike" kern="1200" baseline="0">
                    <a:ln w="0">
                      <a:noFill/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Costos_Gastos!$B$21:$L$21</c:f>
              <c:strCache>
                <c:ptCount val="6"/>
                <c:pt idx="0">
                  <c:v>Exelco</c:v>
                </c:pt>
                <c:pt idx="1">
                  <c:v>Alim Mx</c:v>
                </c:pt>
                <c:pt idx="2">
                  <c:v>Alim EU</c:v>
                </c:pt>
                <c:pt idx="3">
                  <c:v>Inmob EU</c:v>
                </c:pt>
                <c:pt idx="4">
                  <c:v>Energ</c:v>
                </c:pt>
                <c:pt idx="5">
                  <c:v>Inmob</c:v>
                </c:pt>
              </c:strCache>
            </c:strRef>
          </c:cat>
          <c:val>
            <c:numRef>
              <c:f>Costos_Gastos!$B$22:$H$22</c:f>
              <c:numCache>
                <c:formatCode>0.0%</c:formatCode>
                <c:ptCount val="6"/>
                <c:pt idx="0">
                  <c:v>0.27288556099995098</c:v>
                </c:pt>
                <c:pt idx="1">
                  <c:v>0.36724565116836178</c:v>
                </c:pt>
                <c:pt idx="2">
                  <c:v>0.64331130086640298</c:v>
                </c:pt>
                <c:pt idx="3">
                  <c:v>0.50214786431829372</c:v>
                </c:pt>
                <c:pt idx="4">
                  <c:v>0.18039928276925271</c:v>
                </c:pt>
                <c:pt idx="5">
                  <c:v>8.9345966326448104E-2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8C40-4937-976A-99124568EA7B}"/>
            </c:ext>
            <c:ext xmlns:c15="http://schemas.microsoft.com/office/drawing/2012/chart" uri="{02D57815-91ED-43cb-92C2-25804820EDAC}">
              <c15:datalabelsRange>
                <c15:f>Costos_Gastos!$B$25:$H$25</c15:f>
                <c15:dlblRangeCache>
                  <c:ptCount val="6"/>
                  <c:pt idx="0">
                    <c:v> 72.9 </c:v>
                  </c:pt>
                  <c:pt idx="1">
                    <c:v> 19.6 </c:v>
                  </c:pt>
                  <c:pt idx="2">
                    <c:v> 20.5 </c:v>
                  </c:pt>
                  <c:pt idx="3">
                    <c:v> 1.0 </c:v>
                  </c:pt>
                  <c:pt idx="4">
                    <c:v> 31.1 </c:v>
                  </c:pt>
                  <c:pt idx="5">
                    <c:v> 0.7 </c:v>
                  </c:pt>
                </c15:dlblRangeCache>
              </c15:datalabelsRange>
            </c:ext>
          </c:extLst>
        </c:ser>
        <c:ser>
          <c:idx val="1"/>
          <c:order val="1"/>
          <c:tx>
            <c:strRef>
              <c:f>Costos_Gastos!$A$23</c:f>
              <c:strCache>
                <c:ptCount val="1"/>
                <c:pt idx="0">
                  <c:v>Gasto P. 21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4435AA96-E542-4801-AEC7-BE0DB34AB1C7}" type="CELLRANGE">
                      <a:rPr lang="en-US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186D6FD-E105-430C-A045-BCC1E24C68C6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CF4943B-98AD-4C09-BC0E-A0F7DF726495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F8E9BB2-5590-4F8E-A9AB-81347C9142C1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71242EF-0390-4A6A-B26F-0636589447A4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0F357C5-BE6D-49EC-B706-FB5C61E35D98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numFmt formatCode="&quot;$&quot;#,##0.00" sourceLinked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900" b="1" i="0" u="none" strike="noStrike" kern="1200" baseline="0">
                    <a:ln w="0">
                      <a:noFill/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Costos_Gastos!$B$21:$L$21</c:f>
              <c:strCache>
                <c:ptCount val="6"/>
                <c:pt idx="0">
                  <c:v>Exelco</c:v>
                </c:pt>
                <c:pt idx="1">
                  <c:v>Alim Mx</c:v>
                </c:pt>
                <c:pt idx="2">
                  <c:v>Alim EU</c:v>
                </c:pt>
                <c:pt idx="3">
                  <c:v>Inmob EU</c:v>
                </c:pt>
                <c:pt idx="4">
                  <c:v>Energ</c:v>
                </c:pt>
                <c:pt idx="5">
                  <c:v>Inmob</c:v>
                </c:pt>
              </c:strCache>
            </c:strRef>
          </c:cat>
          <c:val>
            <c:numRef>
              <c:f>Costos_Gastos!$B$23:$H$23</c:f>
              <c:numCache>
                <c:formatCode>0.0%</c:formatCode>
                <c:ptCount val="6"/>
                <c:pt idx="0">
                  <c:v>0.28175685557051156</c:v>
                </c:pt>
                <c:pt idx="1">
                  <c:v>0</c:v>
                </c:pt>
                <c:pt idx="2">
                  <c:v>0.72008573707250145</c:v>
                </c:pt>
                <c:pt idx="3">
                  <c:v>0.45148495788206977</c:v>
                </c:pt>
                <c:pt idx="4">
                  <c:v>0.20695685171661896</c:v>
                </c:pt>
                <c:pt idx="5">
                  <c:v>7.8423623452916438E-2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F-8C40-4937-976A-99124568EA7B}"/>
            </c:ext>
            <c:ext xmlns:c15="http://schemas.microsoft.com/office/drawing/2012/chart" uri="{02D57815-91ED-43cb-92C2-25804820EDAC}">
              <c15:datalabelsRange>
                <c15:f>Costos_Gastos!$B$26:$H$26</c15:f>
                <c15:dlblRangeCache>
                  <c:ptCount val="6"/>
                  <c:pt idx="0">
                    <c:v> 51.2 </c:v>
                  </c:pt>
                  <c:pt idx="1">
                    <c:v> -   </c:v>
                  </c:pt>
                  <c:pt idx="2">
                    <c:v> 20.4 </c:v>
                  </c:pt>
                  <c:pt idx="3">
                    <c:v> 0.9 </c:v>
                  </c:pt>
                  <c:pt idx="4">
                    <c:v> 29.0 </c:v>
                  </c:pt>
                  <c:pt idx="5">
                    <c:v> 0.9 </c:v>
                  </c:pt>
                </c15:dlblRangeCache>
              </c15:datalabelsRange>
            </c:ext>
          </c:extLst>
        </c:ser>
        <c:ser>
          <c:idx val="2"/>
          <c:order val="2"/>
          <c:tx>
            <c:strRef>
              <c:f>Costos_Gastos!$A$24</c:f>
              <c:strCache>
                <c:ptCount val="1"/>
                <c:pt idx="0">
                  <c:v>Gasto 20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CE1DC29F-4501-4FBB-9281-ECE2B09633CA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764FD13-5C80-41B0-B185-15181687EE22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CDA9F54-9A36-44C1-B552-9909F89B6853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B22D5DC-2A08-45DB-BF37-3EB258F5DCD4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9DCB6A9-58DF-4D6A-A5F9-7F5F7C54F1A2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BD34B27-5A47-4609-9D57-810AC57317E3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900" b="1" i="0" u="none" strike="noStrike" kern="1200" baseline="0">
                    <a:ln w="0">
                      <a:noFill/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Costos_Gastos!$B$21:$L$21</c:f>
              <c:strCache>
                <c:ptCount val="6"/>
                <c:pt idx="0">
                  <c:v>Exelco</c:v>
                </c:pt>
                <c:pt idx="1">
                  <c:v>Alim Mx</c:v>
                </c:pt>
                <c:pt idx="2">
                  <c:v>Alim EU</c:v>
                </c:pt>
                <c:pt idx="3">
                  <c:v>Inmob EU</c:v>
                </c:pt>
                <c:pt idx="4">
                  <c:v>Energ</c:v>
                </c:pt>
                <c:pt idx="5">
                  <c:v>Inmob</c:v>
                </c:pt>
              </c:strCache>
            </c:strRef>
          </c:cat>
          <c:val>
            <c:numRef>
              <c:f>Costos_Gastos!$B$24:$H$24</c:f>
              <c:numCache>
                <c:formatCode>0.0%</c:formatCode>
                <c:ptCount val="6"/>
                <c:pt idx="0">
                  <c:v>0.3156709107190257</c:v>
                </c:pt>
                <c:pt idx="1">
                  <c:v>0.40562496834466633</c:v>
                </c:pt>
                <c:pt idx="2">
                  <c:v>0.73525971897543851</c:v>
                </c:pt>
                <c:pt idx="3">
                  <c:v>0.77519426621038146</c:v>
                </c:pt>
                <c:pt idx="4">
                  <c:v>0.20361328324532554</c:v>
                </c:pt>
                <c:pt idx="5">
                  <c:v>0.49790849136946475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7-8C40-4937-976A-99124568EA7B}"/>
            </c:ext>
            <c:ext xmlns:c15="http://schemas.microsoft.com/office/drawing/2012/chart" uri="{02D57815-91ED-43cb-92C2-25804820EDAC}">
              <c15:datalabelsRange>
                <c15:f>Costos_Gastos!$B$27:$H$27</c15:f>
                <c15:dlblRangeCache>
                  <c:ptCount val="6"/>
                  <c:pt idx="0">
                    <c:v> 79.8 </c:v>
                  </c:pt>
                  <c:pt idx="1">
                    <c:v> 24.0 </c:v>
                  </c:pt>
                  <c:pt idx="2">
                    <c:v> 20.0 </c:v>
                  </c:pt>
                  <c:pt idx="3">
                    <c:v> 2.1 </c:v>
                  </c:pt>
                  <c:pt idx="4">
                    <c:v> 33.1 </c:v>
                  </c:pt>
                  <c:pt idx="5">
                    <c:v> 0.7 </c:v>
                  </c:pt>
                </c15:dlblRangeCache>
              </c15:datalabelsRange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99"/>
        <c:axId val="-115876320"/>
        <c:axId val="-115871424"/>
      </c:barChart>
      <c:catAx>
        <c:axId val="-11587632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cap="none" spc="0" normalizeH="0" baseline="0">
                <a:ln w="0"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1158714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11587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ln w="0"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115876320"/>
        <c:crosses val="autoZero"/>
        <c:crossBetween val="between"/>
      </c:valAx>
      <c:dTable>
        <c:showHorzBorder val="1"/>
        <c:showVertBorder val="1"/>
        <c:showOutline val="1"/>
        <c:showKeys val="0"/>
        <c:spPr>
          <a:noFill/>
          <a:ln w="0">
            <a:solidFill>
              <a:schemeClr val="tx1"/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ln w="0"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>
          <a:ln w="0">
            <a:noFill/>
          </a:ln>
        </a:defRPr>
      </a:pPr>
      <a:endParaRPr lang="es-MX"/>
    </a:p>
  </c:txPr>
  <c:printSettings>
    <c:headerFooter alignWithMargins="0"/>
    <c:pageMargins b="1" l="0.75000000000001399" r="0.75000000000001399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Costos_Gastos!$A$5</c:f>
              <c:strCache>
                <c:ptCount val="1"/>
                <c:pt idx="0">
                  <c:v>Costo 21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5D10164D-9715-4E4E-864B-4137CEF59FF0}" type="CELLRANGE">
                      <a:rPr lang="en-US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2F8980F-EBC0-4B09-9C69-96B6BFC2C672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349047C-677C-487B-814D-395706833628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B85587D-6F51-422A-B562-7613A52877D5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1F68B66-97D3-4BE1-8308-96D6199BBC30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C015A79-0F03-4A8A-9D83-56299B31853D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solidFill>
                <a:srgbClr val="00B050"/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Costos_Gastos!$B$4:$L$4</c:f>
              <c:strCache>
                <c:ptCount val="6"/>
                <c:pt idx="0">
                  <c:v>Exelco</c:v>
                </c:pt>
                <c:pt idx="1">
                  <c:v>Alim Mx</c:v>
                </c:pt>
                <c:pt idx="2">
                  <c:v>Alim EU</c:v>
                </c:pt>
                <c:pt idx="3">
                  <c:v>Inmob EU</c:v>
                </c:pt>
                <c:pt idx="4">
                  <c:v>Energ</c:v>
                </c:pt>
                <c:pt idx="5">
                  <c:v>Inmob</c:v>
                </c:pt>
              </c:strCache>
            </c:strRef>
          </c:cat>
          <c:val>
            <c:numRef>
              <c:f>Costos_Gastos!$B$5:$H$5</c:f>
              <c:numCache>
                <c:formatCode>0.0%</c:formatCode>
                <c:ptCount val="6"/>
                <c:pt idx="0">
                  <c:v>0.64659986757064414</c:v>
                </c:pt>
                <c:pt idx="1">
                  <c:v>0.51341322459771266</c:v>
                </c:pt>
                <c:pt idx="2">
                  <c:v>0.3001579447565213</c:v>
                </c:pt>
                <c:pt idx="3">
                  <c:v>0</c:v>
                </c:pt>
                <c:pt idx="4">
                  <c:v>0.76486638299835297</c:v>
                </c:pt>
                <c:pt idx="5">
                  <c:v>0.52331296797113935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0613-4D7E-A938-882C0A704044}"/>
            </c:ext>
            <c:ext xmlns:c15="http://schemas.microsoft.com/office/drawing/2012/chart" uri="{02D57815-91ED-43cb-92C2-25804820EDAC}">
              <c15:datalabelsRange>
                <c15:f>Costos_Gastos!$B$8:$H$8</c15:f>
                <c15:dlblRangeCache>
                  <c:ptCount val="6"/>
                  <c:pt idx="0">
                    <c:v> 172.8 </c:v>
                  </c:pt>
                  <c:pt idx="1">
                    <c:v> 27.4 </c:v>
                  </c:pt>
                  <c:pt idx="2">
                    <c:v> 9.6 </c:v>
                  </c:pt>
                  <c:pt idx="3">
                    <c:v> -   </c:v>
                  </c:pt>
                  <c:pt idx="4">
                    <c:v> 132.0 </c:v>
                  </c:pt>
                  <c:pt idx="5">
                    <c:v> 3.9 </c:v>
                  </c:pt>
                </c15:dlblRangeCache>
              </c15:datalabelsRange>
            </c:ext>
          </c:extLst>
        </c:ser>
        <c:ser>
          <c:idx val="1"/>
          <c:order val="1"/>
          <c:tx>
            <c:strRef>
              <c:f>Costos_Gastos!$A$6</c:f>
              <c:strCache>
                <c:ptCount val="1"/>
                <c:pt idx="0">
                  <c:v>Costo P. 21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12D86D2E-209A-4D41-898A-AB68221BC3B5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5D24457-BBF3-422A-B323-B87BD40435CA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2B6CAD0-1470-4043-B643-11EA03B7AB8E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8C0E18A-8855-4403-91F2-EF4E007235B3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325746E-5B3F-407C-BA2C-A8844867E65F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D8ABC26-DCA4-47AC-ADB1-B5C2CBFE0947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Costos_Gastos!$B$4:$L$4</c:f>
              <c:strCache>
                <c:ptCount val="6"/>
                <c:pt idx="0">
                  <c:v>Exelco</c:v>
                </c:pt>
                <c:pt idx="1">
                  <c:v>Alim Mx</c:v>
                </c:pt>
                <c:pt idx="2">
                  <c:v>Alim EU</c:v>
                </c:pt>
                <c:pt idx="3">
                  <c:v>Inmob EU</c:v>
                </c:pt>
                <c:pt idx="4">
                  <c:v>Energ</c:v>
                </c:pt>
                <c:pt idx="5">
                  <c:v>Inmob</c:v>
                </c:pt>
              </c:strCache>
            </c:strRef>
          </c:cat>
          <c:val>
            <c:numRef>
              <c:f>Costos_Gastos!$B$6:$H$6</c:f>
              <c:numCache>
                <c:formatCode>0.0%</c:formatCode>
                <c:ptCount val="6"/>
                <c:pt idx="0">
                  <c:v>0.6028369148614473</c:v>
                </c:pt>
                <c:pt idx="1">
                  <c:v>0</c:v>
                </c:pt>
                <c:pt idx="2">
                  <c:v>0.31274610673865688</c:v>
                </c:pt>
                <c:pt idx="3">
                  <c:v>0</c:v>
                </c:pt>
                <c:pt idx="4">
                  <c:v>0.66522387045608844</c:v>
                </c:pt>
                <c:pt idx="5">
                  <c:v>0.6686826057589591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F-0613-4D7E-A938-882C0A704044}"/>
            </c:ext>
            <c:ext xmlns:c15="http://schemas.microsoft.com/office/drawing/2012/chart" uri="{02D57815-91ED-43cb-92C2-25804820EDAC}">
              <c15:datalabelsRange>
                <c15:f>Costos_Gastos!$B$9:$H$9</c15:f>
                <c15:dlblRangeCache>
                  <c:ptCount val="6"/>
                  <c:pt idx="0">
                    <c:v> 109.6 </c:v>
                  </c:pt>
                  <c:pt idx="1">
                    <c:v> -   </c:v>
                  </c:pt>
                  <c:pt idx="2">
                    <c:v> 8.9 </c:v>
                  </c:pt>
                  <c:pt idx="3">
                    <c:v> -   </c:v>
                  </c:pt>
                  <c:pt idx="4">
                    <c:v> 93.2 </c:v>
                  </c:pt>
                  <c:pt idx="5">
                    <c:v> 7.5 </c:v>
                  </c:pt>
                </c15:dlblRangeCache>
              </c15:datalabelsRange>
            </c:ext>
          </c:extLst>
        </c:ser>
        <c:ser>
          <c:idx val="2"/>
          <c:order val="2"/>
          <c:tx>
            <c:strRef>
              <c:f>Costos_Gastos!$A$7</c:f>
              <c:strCache>
                <c:ptCount val="1"/>
                <c:pt idx="0">
                  <c:v>Costo 20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A445FE6E-8310-4F8C-A08D-781E6DB35ED9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BF24D14-A83A-49E8-81A1-36CD68393635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9C2075C-0AC9-430B-9B28-7B5405E1E46C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8A9BC88-C4B9-4765-8E27-8E4D62A687FA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497A78C-C5F7-4317-AA5B-0D28C8B38540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6194EC0-71FB-446A-8C5C-9C7FADFF279F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Costos_Gastos!$B$4:$L$4</c:f>
              <c:strCache>
                <c:ptCount val="6"/>
                <c:pt idx="0">
                  <c:v>Exelco</c:v>
                </c:pt>
                <c:pt idx="1">
                  <c:v>Alim Mx</c:v>
                </c:pt>
                <c:pt idx="2">
                  <c:v>Alim EU</c:v>
                </c:pt>
                <c:pt idx="3">
                  <c:v>Inmob EU</c:v>
                </c:pt>
                <c:pt idx="4">
                  <c:v>Energ</c:v>
                </c:pt>
                <c:pt idx="5">
                  <c:v>Inmob</c:v>
                </c:pt>
              </c:strCache>
            </c:strRef>
          </c:cat>
          <c:val>
            <c:numRef>
              <c:f>Costos_Gastos!$B$7:$H$7</c:f>
              <c:numCache>
                <c:formatCode>0.0%</c:formatCode>
                <c:ptCount val="6"/>
                <c:pt idx="0">
                  <c:v>0.64169347445321123</c:v>
                </c:pt>
                <c:pt idx="1">
                  <c:v>0.55087035343767909</c:v>
                </c:pt>
                <c:pt idx="2">
                  <c:v>0.32793865462916544</c:v>
                </c:pt>
                <c:pt idx="3">
                  <c:v>0</c:v>
                </c:pt>
                <c:pt idx="4">
                  <c:v>0.73645796394775065</c:v>
                </c:pt>
                <c:pt idx="5">
                  <c:v>0.81298306064500958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7-0613-4D7E-A938-882C0A704044}"/>
            </c:ext>
            <c:ext xmlns:c15="http://schemas.microsoft.com/office/drawing/2012/chart" uri="{02D57815-91ED-43cb-92C2-25804820EDAC}">
              <c15:datalabelsRange>
                <c15:f>Costos_Gastos!$B$10:$H$10</c15:f>
                <c15:dlblRangeCache>
                  <c:ptCount val="6"/>
                  <c:pt idx="0">
                    <c:v> 162.2 </c:v>
                  </c:pt>
                  <c:pt idx="1">
                    <c:v> 32.5 </c:v>
                  </c:pt>
                  <c:pt idx="2">
                    <c:v> 8.9 </c:v>
                  </c:pt>
                  <c:pt idx="3">
                    <c:v> -   </c:v>
                  </c:pt>
                  <c:pt idx="4">
                    <c:v> 119.7 </c:v>
                  </c:pt>
                  <c:pt idx="5">
                    <c:v> 1.1 </c:v>
                  </c:pt>
                </c15:dlblRangeCache>
              </c15:datalabelsRang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-115875232"/>
        <c:axId val="-115876864"/>
      </c:barChart>
      <c:catAx>
        <c:axId val="-1158752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1158768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115876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115875232"/>
        <c:crosses val="autoZero"/>
        <c:crossBetween val="between"/>
        <c:majorUnit val="0.2"/>
        <c:minorUnit val="0.05"/>
      </c:valAx>
      <c:dTable>
        <c:showHorzBorder val="1"/>
        <c:showVertBorder val="1"/>
        <c:showOutline val="1"/>
        <c:showKeys val="0"/>
        <c:spPr>
          <a:noFill/>
          <a:ln w="0">
            <a:solidFill>
              <a:schemeClr val="tx1"/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ln w="0"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000000000001399" r="0.75000000000001399" t="1" header="0" footer="0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Tendencias!$A$4</c:f>
              <c:strCache>
                <c:ptCount val="1"/>
                <c:pt idx="0">
                  <c:v>Vtas. 21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Tendencias!$B$3:$M$3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Tendencias!$B$4:$M$4</c:f>
              <c:numCache>
                <c:formatCode>_-* #,##0_-;\-* #,##0_-;_-* "-"??_-;_-@_-</c:formatCode>
                <c:ptCount val="12"/>
                <c:pt idx="0">
                  <c:v>267176.92695779202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902-4F15-893B-293B6339594E}"/>
            </c:ext>
          </c:extLst>
        </c:ser>
        <c:ser>
          <c:idx val="1"/>
          <c:order val="1"/>
          <c:tx>
            <c:strRef>
              <c:f>Tendencias!$A$5</c:f>
              <c:strCache>
                <c:ptCount val="1"/>
                <c:pt idx="0">
                  <c:v>Vtas. P. 21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Tendencias!$B$3:$M$3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Tendencias!$B$5:$M$5</c:f>
              <c:numCache>
                <c:formatCode>_-* #,##0_-;\-* #,##0_-;_-* "-"??_-;_-@_-</c:formatCode>
                <c:ptCount val="12"/>
                <c:pt idx="0">
                  <c:v>151387.622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902-4F15-893B-293B6339594E}"/>
            </c:ext>
          </c:extLst>
        </c:ser>
        <c:ser>
          <c:idx val="2"/>
          <c:order val="2"/>
          <c:tx>
            <c:strRef>
              <c:f>Tendencias!$A$6</c:f>
              <c:strCache>
                <c:ptCount val="1"/>
                <c:pt idx="0">
                  <c:v>Vtas. 20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Tendencias!$B$3:$M$3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Tendencias!$B$6:$M$6</c:f>
              <c:numCache>
                <c:formatCode>_-* #,##0_-;\-* #,##0_-;_-* "-"??_-;_-@_-</c:formatCode>
                <c:ptCount val="12"/>
                <c:pt idx="0">
                  <c:v>250791.68393003003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15872512"/>
        <c:axId val="-115870880"/>
      </c:barChart>
      <c:lineChart>
        <c:grouping val="standard"/>
        <c:varyColors val="0"/>
        <c:ser>
          <c:idx val="3"/>
          <c:order val="3"/>
          <c:tx>
            <c:strRef>
              <c:f>Tendencias!$A$7</c:f>
              <c:strCache>
                <c:ptCount val="1"/>
                <c:pt idx="0">
                  <c:v>UAFIR FL. 21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C00000"/>
                </a:solidFill>
                <a:prstDash val="lgDashDot"/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4902-4F15-893B-293B6339594E}"/>
              </c:ext>
            </c:extLst>
          </c:dPt>
          <c:cat>
            <c:strRef>
              <c:f>Tendencias!$B$3:$M$3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Tendencias!$B$7:$M$7</c:f>
              <c:numCache>
                <c:formatCode>_-* #,##0_-;\-* #,##0_-;_-* "-"??_-;_-@_-</c:formatCode>
                <c:ptCount val="12"/>
                <c:pt idx="0">
                  <c:v>25381.555027128023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902-4F15-893B-293B6339594E}"/>
            </c:ext>
          </c:extLst>
        </c:ser>
        <c:ser>
          <c:idx val="4"/>
          <c:order val="4"/>
          <c:tx>
            <c:strRef>
              <c:f>Tendencias!$A$8</c:f>
              <c:strCache>
                <c:ptCount val="1"/>
                <c:pt idx="0">
                  <c:v>UAFIRFL.P.21</c:v>
                </c:pt>
              </c:strCache>
            </c:strRef>
          </c:tx>
          <c:spPr>
            <a:ln w="28575" cap="rnd">
              <a:solidFill>
                <a:srgbClr val="FFFF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4902-4F15-893B-293B6339594E}"/>
              </c:ext>
            </c:extLst>
          </c:dPt>
          <c:dPt>
            <c:idx val="2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4902-4F15-893B-293B6339594E}"/>
              </c:ext>
            </c:extLst>
          </c:dPt>
          <c:cat>
            <c:strRef>
              <c:f>Tendencias!$B$3:$M$3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Tendencias!$B$8:$M$8</c:f>
              <c:numCache>
                <c:formatCode>_-* #,##0_-;\-* #,##0_-;_-* "-"??_-;_-@_-</c:formatCode>
                <c:ptCount val="12"/>
                <c:pt idx="0">
                  <c:v>23096.18499999999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4902-4F15-893B-293B6339594E}"/>
            </c:ext>
          </c:extLst>
        </c:ser>
        <c:ser>
          <c:idx val="5"/>
          <c:order val="5"/>
          <c:tx>
            <c:strRef>
              <c:f>Tendencias!$A$9</c:f>
              <c:strCache>
                <c:ptCount val="1"/>
                <c:pt idx="0">
                  <c:v>S. Deuda 21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Tendencias!$B$3:$M$3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Tendencias!$B$9:$M$9</c:f>
              <c:numCache>
                <c:formatCode>_-* #,##0_-;\-* #,##0_-;_-*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4902-4F15-893B-293B6339594E}"/>
            </c:ext>
          </c:extLst>
        </c:ser>
        <c:ser>
          <c:idx val="6"/>
          <c:order val="6"/>
          <c:tx>
            <c:strRef>
              <c:f>Tendencias!$A$10</c:f>
              <c:strCache>
                <c:ptCount val="1"/>
                <c:pt idx="0">
                  <c:v>Pagos Ext.</c:v>
                </c:pt>
              </c:strCache>
            </c:strRef>
          </c:tx>
          <c:spPr>
            <a:ln w="28575" cap="rnd">
              <a:solidFill>
                <a:schemeClr val="bg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Tendencias!$B$10:$M$10</c:f>
              <c:numCache>
                <c:formatCode>_-* #,##0_-;\-* #,##0_-;_-*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0908240"/>
        <c:axId val="-110913136"/>
      </c:lineChart>
      <c:catAx>
        <c:axId val="-11587251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1158708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1158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115872512"/>
        <c:crosses val="autoZero"/>
        <c:crossBetween val="between"/>
        <c:majorUnit val="50000"/>
      </c:valAx>
      <c:catAx>
        <c:axId val="-11090824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110913136"/>
        <c:crosses val="autoZero"/>
        <c:auto val="1"/>
        <c:lblAlgn val="ctr"/>
        <c:lblOffset val="100"/>
        <c:noMultiLvlLbl val="0"/>
      </c:catAx>
      <c:valAx>
        <c:axId val="-110913136"/>
        <c:scaling>
          <c:orientation val="minMax"/>
          <c:max val="35000"/>
          <c:min val="0"/>
        </c:scaling>
        <c:delete val="0"/>
        <c:axPos val="r"/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110908240"/>
        <c:crosses val="max"/>
        <c:crossBetween val="between"/>
        <c:majorUnit val="7000"/>
        <c:minorUnit val="1000"/>
      </c:valAx>
      <c:dTable>
        <c:showHorzBorder val="1"/>
        <c:showVertBorder val="1"/>
        <c:showOutline val="1"/>
        <c:showKeys val="0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6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Tendencias!$A$34</c:f>
              <c:strCache>
                <c:ptCount val="1"/>
                <c:pt idx="0">
                  <c:v>Vtas. 21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Tendencias!$B$33:$M$33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Tendencias!$B$34:$M$34</c:f>
              <c:numCache>
                <c:formatCode>_-* #,##0_-;\-* #,##0_-;_-* "-"??_-;_-@_-</c:formatCode>
                <c:ptCount val="12"/>
                <c:pt idx="0">
                  <c:v>172515.28391500001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902-4F15-893B-293B6339594E}"/>
            </c:ext>
          </c:extLst>
        </c:ser>
        <c:ser>
          <c:idx val="1"/>
          <c:order val="1"/>
          <c:tx>
            <c:strRef>
              <c:f>Tendencias!$A$35</c:f>
              <c:strCache>
                <c:ptCount val="1"/>
                <c:pt idx="0">
                  <c:v>Vtas. P. 21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Tendencias!$B$33:$M$33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Tendencias!$B$35:$M$35</c:f>
              <c:numCache>
                <c:formatCode>_-* #,##0_-;\-* #,##0_-;_-* "-"??_-;_-@_-</c:formatCode>
                <c:ptCount val="12"/>
                <c:pt idx="0">
                  <c:v>140114.96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902-4F15-893B-293B6339594E}"/>
            </c:ext>
          </c:extLst>
        </c:ser>
        <c:ser>
          <c:idx val="2"/>
          <c:order val="2"/>
          <c:tx>
            <c:strRef>
              <c:f>Tendencias!$A$36</c:f>
              <c:strCache>
                <c:ptCount val="1"/>
                <c:pt idx="0">
                  <c:v>Vtas. 20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Tendencias!$B$33:$M$33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Tendencias!$B$36:$M$36</c:f>
              <c:numCache>
                <c:formatCode>_-* #,##0_-;\-* #,##0_-;_-* "-"??_-;_-@_-</c:formatCode>
                <c:ptCount val="12"/>
                <c:pt idx="0">
                  <c:v>162469.56968000002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10911504"/>
        <c:axId val="-110910416"/>
      </c:barChart>
      <c:lineChart>
        <c:grouping val="standard"/>
        <c:varyColors val="0"/>
        <c:ser>
          <c:idx val="3"/>
          <c:order val="3"/>
          <c:tx>
            <c:strRef>
              <c:f>Tendencias!$A$37</c:f>
              <c:strCache>
                <c:ptCount val="1"/>
                <c:pt idx="0">
                  <c:v>UAFIR FL. 21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4-4902-4F15-893B-293B6339594E}"/>
              </c:ext>
            </c:extLst>
          </c:dPt>
          <c:cat>
            <c:strRef>
              <c:f>Tendencias!$B$33:$M$33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Tendencias!$B$37:$M$37</c:f>
              <c:numCache>
                <c:formatCode>_-* #,##0_-;\-* #,##0_-;_-* "-"??_-;_-@_-</c:formatCode>
                <c:ptCount val="12"/>
                <c:pt idx="0">
                  <c:v>11384.313170000016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902-4F15-893B-293B6339594E}"/>
            </c:ext>
          </c:extLst>
        </c:ser>
        <c:ser>
          <c:idx val="4"/>
          <c:order val="4"/>
          <c:tx>
            <c:strRef>
              <c:f>Tendencias!$A$38</c:f>
              <c:strCache>
                <c:ptCount val="1"/>
                <c:pt idx="0">
                  <c:v>UAFIRFL.P.21</c:v>
                </c:pt>
              </c:strCache>
            </c:strRef>
          </c:tx>
          <c:spPr>
            <a:ln w="28575" cap="rnd">
              <a:solidFill>
                <a:srgbClr val="FFFF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4902-4F15-893B-293B6339594E}"/>
              </c:ext>
            </c:extLst>
          </c:dPt>
          <c:dPt>
            <c:idx val="2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4902-4F15-893B-293B6339594E}"/>
              </c:ext>
            </c:extLst>
          </c:dPt>
          <c:cat>
            <c:strRef>
              <c:f>Tendencias!$B$33:$M$33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Tendencias!$B$38:$M$38</c:f>
              <c:numCache>
                <c:formatCode>_-* #,##0_-;\-* #,##0_-;_-* "-"??_-;_-@_-</c:formatCode>
                <c:ptCount val="12"/>
                <c:pt idx="0">
                  <c:v>20211.642999999989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4902-4F15-893B-293B6339594E}"/>
            </c:ext>
          </c:extLst>
        </c:ser>
        <c:ser>
          <c:idx val="5"/>
          <c:order val="5"/>
          <c:tx>
            <c:strRef>
              <c:f>Tendencias!$A$39</c:f>
              <c:strCache>
                <c:ptCount val="1"/>
                <c:pt idx="0">
                  <c:v>S. Deuda 21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Tendencias!$B$33:$M$33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Tendencias!$B$39:$M$39</c:f>
              <c:numCache>
                <c:formatCode>_-* #,##0_-;\-* #,##0_-;_-* "-"??_-;_-@_-</c:formatCode>
                <c:ptCount val="12"/>
                <c:pt idx="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4902-4F15-893B-293B6339594E}"/>
            </c:ext>
          </c:extLst>
        </c:ser>
        <c:ser>
          <c:idx val="6"/>
          <c:order val="6"/>
          <c:tx>
            <c:strRef>
              <c:f>Tendencias!$A$40</c:f>
              <c:strCache>
                <c:ptCount val="1"/>
                <c:pt idx="0">
                  <c:v>Pagos Ext.</c:v>
                </c:pt>
              </c:strCache>
            </c:strRef>
          </c:tx>
          <c:spPr>
            <a:ln w="28575" cap="rnd">
              <a:solidFill>
                <a:schemeClr val="bg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Tendencias!$B$33:$M$33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Tendencias!$B$40:$M$40</c:f>
              <c:numCache>
                <c:formatCode>_-* #,##0_-;\-* #,##0_-;_-* "-"??_-;_-@_-</c:formatCode>
                <c:ptCount val="12"/>
                <c:pt idx="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0912592"/>
        <c:axId val="-110908784"/>
      </c:lineChart>
      <c:catAx>
        <c:axId val="-11091150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1109104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11091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110911504"/>
        <c:crosses val="autoZero"/>
        <c:crossBetween val="between"/>
      </c:valAx>
      <c:catAx>
        <c:axId val="-110912592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-110908784"/>
        <c:crosses val="max"/>
        <c:auto val="1"/>
        <c:lblAlgn val="ctr"/>
        <c:lblOffset val="100"/>
        <c:noMultiLvlLbl val="0"/>
      </c:catAx>
      <c:valAx>
        <c:axId val="-110908784"/>
        <c:scaling>
          <c:orientation val="minMax"/>
        </c:scaling>
        <c:delete val="0"/>
        <c:axPos val="r"/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110912592"/>
        <c:crosses val="max"/>
        <c:crossBetween val="between"/>
        <c:majorUnit val="4000"/>
      </c:valAx>
      <c:dTable>
        <c:showHorzBorder val="1"/>
        <c:showVertBorder val="1"/>
        <c:showOutline val="1"/>
        <c:showKeys val="0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6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Tendencias!$A$51</c:f>
              <c:strCache>
                <c:ptCount val="1"/>
                <c:pt idx="0">
                  <c:v>Vtas. 21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Tendencias!$B$50:$M$50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Tendencias!$B$51:$M$51</c:f>
              <c:numCache>
                <c:formatCode>_-* #,##0_-;\-* #,##0_-;_-* "-"??_-;_-@_-</c:formatCode>
                <c:ptCount val="12"/>
                <c:pt idx="0">
                  <c:v>53292.74775000001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902-4F15-893B-293B6339594E}"/>
            </c:ext>
          </c:extLst>
        </c:ser>
        <c:ser>
          <c:idx val="1"/>
          <c:order val="1"/>
          <c:tx>
            <c:strRef>
              <c:f>Tendencias!$A$52</c:f>
              <c:strCache>
                <c:ptCount val="1"/>
                <c:pt idx="0">
                  <c:v>Vtas. P. 21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Tendencias!$B$50:$M$50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Tendencias!$B$52:$M$52</c:f>
              <c:numCache>
                <c:formatCode>_-* #,##0_-;\-* #,##0_-;_-* "-"??_-;_-@_-</c:formatCode>
                <c:ptCount val="12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902-4F15-893B-293B6339594E}"/>
            </c:ext>
          </c:extLst>
        </c:ser>
        <c:ser>
          <c:idx val="2"/>
          <c:order val="2"/>
          <c:tx>
            <c:strRef>
              <c:f>Tendencias!$A$53</c:f>
              <c:strCache>
                <c:ptCount val="1"/>
                <c:pt idx="0">
                  <c:v>Vtas. 20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Tendencias!$B$50:$M$50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Tendencias!$B$53:$M$53</c:f>
              <c:numCache>
                <c:formatCode>_-* #,##0_-;\-* #,##0_-;_-* "-"??_-;_-@_-</c:formatCode>
                <c:ptCount val="12"/>
                <c:pt idx="0">
                  <c:v>59051.462630000002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10909328"/>
        <c:axId val="-110907696"/>
      </c:barChart>
      <c:lineChart>
        <c:grouping val="standard"/>
        <c:varyColors val="0"/>
        <c:ser>
          <c:idx val="3"/>
          <c:order val="3"/>
          <c:tx>
            <c:strRef>
              <c:f>Tendencias!$A$54</c:f>
              <c:strCache>
                <c:ptCount val="1"/>
                <c:pt idx="0">
                  <c:v>UAFIR FL. 21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C00000"/>
                </a:solidFill>
                <a:prstDash val="lgDashDot"/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4902-4F15-893B-293B6339594E}"/>
              </c:ext>
            </c:extLst>
          </c:dPt>
          <c:cat>
            <c:strRef>
              <c:f>Tendencias!$B$50:$M$50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Tendencias!$B$54:$M$54</c:f>
              <c:numCache>
                <c:formatCode>_-* #,##0_-;\-* #,##0_-;_-* "-"??_-;_-@_-</c:formatCode>
                <c:ptCount val="12"/>
                <c:pt idx="0">
                  <c:v>7270.5300600000073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902-4F15-893B-293B6339594E}"/>
            </c:ext>
          </c:extLst>
        </c:ser>
        <c:ser>
          <c:idx val="4"/>
          <c:order val="4"/>
          <c:tx>
            <c:strRef>
              <c:f>Tendencias!$A$55</c:f>
              <c:strCache>
                <c:ptCount val="1"/>
                <c:pt idx="0">
                  <c:v>UAFIRFL.P.21</c:v>
                </c:pt>
              </c:strCache>
            </c:strRef>
          </c:tx>
          <c:spPr>
            <a:ln w="28575" cap="rnd">
              <a:solidFill>
                <a:srgbClr val="FFFF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4902-4F15-893B-293B6339594E}"/>
              </c:ext>
            </c:extLst>
          </c:dPt>
          <c:dPt>
            <c:idx val="2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4902-4F15-893B-293B6339594E}"/>
              </c:ext>
            </c:extLst>
          </c:dPt>
          <c:cat>
            <c:strRef>
              <c:f>Tendencias!$B$50:$M$50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Tendencias!$B$55:$M$55</c:f>
              <c:numCache>
                <c:formatCode>_-* #,##0_-;\-* #,##0_-;_-* "-"??_-;_-@_-</c:formatCode>
                <c:ptCount val="12"/>
                <c:pt idx="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4902-4F15-893B-293B6339594E}"/>
            </c:ext>
          </c:extLst>
        </c:ser>
        <c:ser>
          <c:idx val="5"/>
          <c:order val="5"/>
          <c:tx>
            <c:strRef>
              <c:f>Tendencias!$A$56</c:f>
              <c:strCache>
                <c:ptCount val="1"/>
                <c:pt idx="0">
                  <c:v>S. Deuda 21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Tendencias!$B$50:$M$50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Tendencias!$B$56:$M$56</c:f>
              <c:numCache>
                <c:formatCode>_-* #,##0_-;\-* #,##0_-;_-* "-"??_-;_-@_-</c:formatCode>
                <c:ptCount val="12"/>
                <c:pt idx="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4902-4F15-893B-293B6339594E}"/>
            </c:ext>
          </c:extLst>
        </c:ser>
        <c:ser>
          <c:idx val="6"/>
          <c:order val="6"/>
          <c:tx>
            <c:strRef>
              <c:f>Tendencias!$A$57</c:f>
              <c:strCache>
                <c:ptCount val="1"/>
                <c:pt idx="0">
                  <c:v>Pagos Ext.</c:v>
                </c:pt>
              </c:strCache>
            </c:strRef>
          </c:tx>
          <c:spPr>
            <a:ln w="28575" cap="rnd">
              <a:solidFill>
                <a:schemeClr val="bg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Tendencias!$B$50:$M$50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Tendencias!$B$57:$M$57</c:f>
              <c:numCache>
                <c:formatCode>_-* #,##0_-;\-* #,##0_-;_-* "-"??_-;_-@_-</c:formatCode>
                <c:ptCount val="12"/>
                <c:pt idx="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5695424"/>
        <c:axId val="-65694880"/>
      </c:lineChart>
      <c:catAx>
        <c:axId val="-1109093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1109076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110907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110909328"/>
        <c:crosses val="autoZero"/>
        <c:crossBetween val="between"/>
      </c:valAx>
      <c:catAx>
        <c:axId val="-6569542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65694880"/>
        <c:crosses val="autoZero"/>
        <c:auto val="1"/>
        <c:lblAlgn val="ctr"/>
        <c:lblOffset val="100"/>
        <c:noMultiLvlLbl val="0"/>
      </c:catAx>
      <c:valAx>
        <c:axId val="-65694880"/>
        <c:scaling>
          <c:orientation val="minMax"/>
          <c:min val="0"/>
        </c:scaling>
        <c:delete val="0"/>
        <c:axPos val="r"/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65695424"/>
        <c:crosses val="max"/>
        <c:crossBetween val="between"/>
        <c:minorUnit val="1000"/>
      </c:valAx>
      <c:dTable>
        <c:showHorzBorder val="1"/>
        <c:showVertBorder val="1"/>
        <c:showOutline val="1"/>
        <c:showKeys val="0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6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Tendencias!$A$70</c:f>
              <c:strCache>
                <c:ptCount val="1"/>
                <c:pt idx="0">
                  <c:v>Vtas. 21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Tendencias!$B$69:$M$69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Tendencias!$B$70:$M$70</c:f>
              <c:numCache>
                <c:formatCode>_-* #,##0_-;\-* #,##0_-;_-* "-"??_-;_-@_-</c:formatCode>
                <c:ptCount val="1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902-4F15-893B-293B6339594E}"/>
            </c:ext>
          </c:extLst>
        </c:ser>
        <c:ser>
          <c:idx val="1"/>
          <c:order val="1"/>
          <c:tx>
            <c:strRef>
              <c:f>Tendencias!$A$71</c:f>
              <c:strCache>
                <c:ptCount val="1"/>
                <c:pt idx="0">
                  <c:v>Vtas. P. 21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Tendencias!$B$69:$M$69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Tendencias!$B$71:$M$71</c:f>
              <c:numCache>
                <c:formatCode>_-* #,##0_-;\-* #,##0_-;_-* "-"??_-;_-@_-</c:formatCode>
                <c:ptCount val="1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902-4F15-893B-293B6339594E}"/>
            </c:ext>
          </c:extLst>
        </c:ser>
        <c:ser>
          <c:idx val="2"/>
          <c:order val="2"/>
          <c:tx>
            <c:strRef>
              <c:f>Tendencias!$A$72</c:f>
              <c:strCache>
                <c:ptCount val="1"/>
                <c:pt idx="0">
                  <c:v>Vtas. 20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Tendencias!$B$69:$M$69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Tendencias!$B$72:$M$72</c:f>
              <c:numCache>
                <c:formatCode>_-* #,##0_-;\-* #,##0_-;_-* "-"??_-;_-@_-</c:formatCode>
                <c:ptCount val="1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65692704"/>
        <c:axId val="-65695968"/>
      </c:barChart>
      <c:lineChart>
        <c:grouping val="standard"/>
        <c:varyColors val="0"/>
        <c:ser>
          <c:idx val="3"/>
          <c:order val="3"/>
          <c:tx>
            <c:strRef>
              <c:f>Tendencias!$A$73</c:f>
              <c:strCache>
                <c:ptCount val="1"/>
                <c:pt idx="0">
                  <c:v>UAFIR FL. 21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C00000"/>
                </a:solidFill>
                <a:prstDash val="lgDashDot"/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4902-4F15-893B-293B6339594E}"/>
              </c:ext>
            </c:extLst>
          </c:dPt>
          <c:cat>
            <c:strRef>
              <c:f>Tendencias!$B$69:$M$69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Tendencias!$B$73:$M$73</c:f>
              <c:numCache>
                <c:formatCode>_-* #,##0_-;\-* #,##0_-;_-* "-"??_-;_-@_-</c:formatCode>
                <c:ptCount val="1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902-4F15-893B-293B6339594E}"/>
            </c:ext>
          </c:extLst>
        </c:ser>
        <c:ser>
          <c:idx val="4"/>
          <c:order val="4"/>
          <c:tx>
            <c:strRef>
              <c:f>Tendencias!$A$74</c:f>
              <c:strCache>
                <c:ptCount val="1"/>
                <c:pt idx="0">
                  <c:v>UAFIRFL.P.21</c:v>
                </c:pt>
              </c:strCache>
            </c:strRef>
          </c:tx>
          <c:spPr>
            <a:ln w="28575" cap="rnd">
              <a:solidFill>
                <a:srgbClr val="FFFF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4902-4F15-893B-293B6339594E}"/>
              </c:ext>
            </c:extLst>
          </c:dPt>
          <c:dPt>
            <c:idx val="2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4902-4F15-893B-293B6339594E}"/>
              </c:ext>
            </c:extLst>
          </c:dPt>
          <c:cat>
            <c:strRef>
              <c:f>Tendencias!$B$69:$M$69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Tendencias!$B$74:$M$74</c:f>
              <c:numCache>
                <c:formatCode>_-* #,##0_-;\-* #,##0_-;_-* "-"??_-;_-@_-</c:formatCode>
                <c:ptCount val="1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4902-4F15-893B-293B6339594E}"/>
            </c:ext>
          </c:extLst>
        </c:ser>
        <c:ser>
          <c:idx val="5"/>
          <c:order val="5"/>
          <c:tx>
            <c:strRef>
              <c:f>Tendencias!$A$75</c:f>
              <c:strCache>
                <c:ptCount val="1"/>
                <c:pt idx="0">
                  <c:v>S. Deuda 21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Tendencias!$B$69:$M$69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Tendencias!$B$75:$M$75</c:f>
              <c:numCache>
                <c:formatCode>_-* #,##0_-;\-* #,##0_-;_-* "-"??_-;_-@_-</c:formatCode>
                <c:ptCount val="1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4902-4F15-893B-293B6339594E}"/>
            </c:ext>
          </c:extLst>
        </c:ser>
        <c:ser>
          <c:idx val="6"/>
          <c:order val="6"/>
          <c:tx>
            <c:strRef>
              <c:f>Tendencias!$A$76</c:f>
              <c:strCache>
                <c:ptCount val="1"/>
                <c:pt idx="0">
                  <c:v>Pagos Ext.</c:v>
                </c:pt>
              </c:strCache>
            </c:strRef>
          </c:tx>
          <c:spPr>
            <a:ln w="28575" cap="rnd">
              <a:solidFill>
                <a:schemeClr val="bg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Tendencias!$B$69:$M$69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Tendencias!$B$76:$M$76</c:f>
              <c:numCache>
                <c:formatCode>_-* #,##0_-;\-* #,##0_-;_-* "-"??_-;_-@_-</c:formatCode>
                <c:ptCount val="1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5692160"/>
        <c:axId val="-65697056"/>
      </c:lineChart>
      <c:catAx>
        <c:axId val="-656927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656959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65695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65692704"/>
        <c:crosses val="autoZero"/>
        <c:crossBetween val="between"/>
      </c:valAx>
      <c:catAx>
        <c:axId val="-6569216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65697056"/>
        <c:crosses val="autoZero"/>
        <c:auto val="1"/>
        <c:lblAlgn val="ctr"/>
        <c:lblOffset val="100"/>
        <c:noMultiLvlLbl val="0"/>
      </c:catAx>
      <c:valAx>
        <c:axId val="-65697056"/>
        <c:scaling>
          <c:orientation val="minMax"/>
        </c:scaling>
        <c:delete val="0"/>
        <c:axPos val="r"/>
        <c:numFmt formatCode="#,##0_ ;[Red]\-#,##0\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65692160"/>
        <c:crosses val="max"/>
        <c:crossBetween val="between"/>
      </c:valAx>
      <c:dTable>
        <c:showHorzBorder val="1"/>
        <c:showVertBorder val="1"/>
        <c:showOutline val="1"/>
        <c:showKeys val="0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6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Tendencias!$A$90</c:f>
              <c:strCache>
                <c:ptCount val="1"/>
                <c:pt idx="0">
                  <c:v>Vtas. 21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Tendencias!$B$89:$M$89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Tendencias!$B$90:$M$90</c:f>
              <c:numCache>
                <c:formatCode>_-* #,##0_-;\-* #,##0_-;_-* "-"??_-;_-@_-</c:formatCode>
                <c:ptCount val="12"/>
                <c:pt idx="0">
                  <c:v>7406.9097600000005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902-4F15-893B-293B6339594E}"/>
            </c:ext>
          </c:extLst>
        </c:ser>
        <c:ser>
          <c:idx val="1"/>
          <c:order val="1"/>
          <c:tx>
            <c:strRef>
              <c:f>Tendencias!$A$91</c:f>
              <c:strCache>
                <c:ptCount val="1"/>
                <c:pt idx="0">
                  <c:v>Vtas. P. 21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Tendencias!$B$89:$M$89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Tendencias!$B$91:$M$91</c:f>
              <c:numCache>
                <c:formatCode>_-* #,##0_-;\-* #,##0_-;_-* "-"??_-;_-@_-</c:formatCode>
                <c:ptCount val="12"/>
                <c:pt idx="0">
                  <c:v>11272.662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902-4F15-893B-293B6339594E}"/>
            </c:ext>
          </c:extLst>
        </c:ser>
        <c:ser>
          <c:idx val="2"/>
          <c:order val="2"/>
          <c:tx>
            <c:strRef>
              <c:f>Tendencias!$A$92</c:f>
              <c:strCache>
                <c:ptCount val="1"/>
                <c:pt idx="0">
                  <c:v>Vtas. 20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Tendencias!$B$89:$M$89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Tendencias!$B$92:$M$92</c:f>
              <c:numCache>
                <c:formatCode>_-* #,##0_-;\-* #,##0_-;_-* "-"??_-;_-@_-</c:formatCode>
                <c:ptCount val="12"/>
                <c:pt idx="0">
                  <c:v>1309.9778600000002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65697600"/>
        <c:axId val="-65698688"/>
      </c:barChart>
      <c:lineChart>
        <c:grouping val="standard"/>
        <c:varyColors val="0"/>
        <c:ser>
          <c:idx val="3"/>
          <c:order val="3"/>
          <c:tx>
            <c:strRef>
              <c:f>Tendencias!$A$93</c:f>
              <c:strCache>
                <c:ptCount val="1"/>
                <c:pt idx="0">
                  <c:v>UAFIR FL. 21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C00000"/>
                </a:solidFill>
                <a:prstDash val="lgDashDot"/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4902-4F15-893B-293B6339594E}"/>
              </c:ext>
            </c:extLst>
          </c:dPt>
          <c:cat>
            <c:strRef>
              <c:f>Tendencias!$B$89:$M$89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Tendencias!$B$93:$M$93</c:f>
              <c:numCache>
                <c:formatCode>_-* #,##0_-;\-* #,##0_-;_-* "-"??_-;_-@_-</c:formatCode>
                <c:ptCount val="12"/>
                <c:pt idx="0">
                  <c:v>2900.9257300000004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902-4F15-893B-293B6339594E}"/>
            </c:ext>
          </c:extLst>
        </c:ser>
        <c:ser>
          <c:idx val="4"/>
          <c:order val="4"/>
          <c:tx>
            <c:strRef>
              <c:f>Tendencias!$A$94</c:f>
              <c:strCache>
                <c:ptCount val="1"/>
                <c:pt idx="0">
                  <c:v>UAFIRFL.P.21</c:v>
                </c:pt>
              </c:strCache>
            </c:strRef>
          </c:tx>
          <c:spPr>
            <a:ln w="28575" cap="rnd">
              <a:solidFill>
                <a:srgbClr val="FFFF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4902-4F15-893B-293B6339594E}"/>
              </c:ext>
            </c:extLst>
          </c:dPt>
          <c:dPt>
            <c:idx val="2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4902-4F15-893B-293B6339594E}"/>
              </c:ext>
            </c:extLst>
          </c:dPt>
          <c:cat>
            <c:strRef>
              <c:f>Tendencias!$B$89:$M$89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Tendencias!$B$94:$M$94</c:f>
              <c:numCache>
                <c:formatCode>_-* #,##0_-;\-* #,##0_-;_-* "-"??_-;_-@_-</c:formatCode>
                <c:ptCount val="12"/>
                <c:pt idx="0">
                  <c:v>2884.5420000000004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4902-4F15-893B-293B6339594E}"/>
            </c:ext>
          </c:extLst>
        </c:ser>
        <c:ser>
          <c:idx val="5"/>
          <c:order val="5"/>
          <c:tx>
            <c:strRef>
              <c:f>Tendencias!$A$95</c:f>
              <c:strCache>
                <c:ptCount val="1"/>
                <c:pt idx="0">
                  <c:v>S. Deuda 21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Tendencias!$B$89:$M$89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Tendencias!$B$95:$M$95</c:f>
              <c:numCache>
                <c:formatCode>_-* #,##0_-;\-* #,##0_-;_-* "-"??_-;_-@_-</c:formatCode>
                <c:ptCount val="12"/>
                <c:pt idx="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4902-4F15-893B-293B6339594E}"/>
            </c:ext>
          </c:extLst>
        </c:ser>
        <c:ser>
          <c:idx val="6"/>
          <c:order val="6"/>
          <c:tx>
            <c:strRef>
              <c:f>Tendencias!$A$96</c:f>
              <c:strCache>
                <c:ptCount val="1"/>
                <c:pt idx="0">
                  <c:v>Pagos Ext.</c:v>
                </c:pt>
              </c:strCache>
            </c:strRef>
          </c:tx>
          <c:spPr>
            <a:ln w="28575" cap="rnd">
              <a:solidFill>
                <a:schemeClr val="bg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Tendencias!$B$89:$M$89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Tendencias!$B$96:$M$96</c:f>
              <c:numCache>
                <c:formatCode>_-* #,##0_-;\-* #,##0_-;_-* "-"??_-;_-@_-</c:formatCode>
                <c:ptCount val="12"/>
                <c:pt idx="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5451952"/>
        <c:axId val="-65456848"/>
      </c:lineChart>
      <c:catAx>
        <c:axId val="-6569760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656986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65698688"/>
        <c:scaling>
          <c:orientation val="minMax"/>
          <c:max val="1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65697600"/>
        <c:crosses val="autoZero"/>
        <c:crossBetween val="between"/>
        <c:majorUnit val="1500"/>
      </c:valAx>
      <c:catAx>
        <c:axId val="-654519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65456848"/>
        <c:crosses val="autoZero"/>
        <c:auto val="1"/>
        <c:lblAlgn val="ctr"/>
        <c:lblOffset val="100"/>
        <c:noMultiLvlLbl val="0"/>
      </c:catAx>
      <c:valAx>
        <c:axId val="-65456848"/>
        <c:scaling>
          <c:orientation val="minMax"/>
        </c:scaling>
        <c:delete val="0"/>
        <c:axPos val="r"/>
        <c:numFmt formatCode="#,##0_ ;[Red]\-#,##0\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65451952"/>
        <c:crosses val="max"/>
        <c:crossBetween val="between"/>
      </c:valAx>
      <c:dTable>
        <c:showHorzBorder val="1"/>
        <c:showVertBorder val="1"/>
        <c:showOutline val="1"/>
        <c:showKeys val="0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6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Tendencias!$A$108</c:f>
              <c:strCache>
                <c:ptCount val="1"/>
                <c:pt idx="0">
                  <c:v>Vtas. 21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Tendencias!$B$107:$M$107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Tendencias!$B$108:$M$108</c:f>
              <c:numCache>
                <c:formatCode>_-* #,##0_-;\-* #,##0_-;_-* "-"??_-;_-@_-</c:formatCode>
                <c:ptCount val="12"/>
                <c:pt idx="0">
                  <c:v>1576.1270300000001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902-4F15-893B-293B6339594E}"/>
            </c:ext>
          </c:extLst>
        </c:ser>
        <c:ser>
          <c:idx val="1"/>
          <c:order val="1"/>
          <c:tx>
            <c:strRef>
              <c:f>Tendencias!$A$109</c:f>
              <c:strCache>
                <c:ptCount val="1"/>
                <c:pt idx="0">
                  <c:v>Vtas. P. 21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Tendencias!$B$107:$M$107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Tendencias!$B$109:$M$109</c:f>
              <c:numCache>
                <c:formatCode>_-* #,##0_-;\-* #,##0_-;_-* "-"??_-;_-@_-</c:formatCode>
                <c:ptCount val="12"/>
                <c:pt idx="0">
                  <c:v>1400.5609999999999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902-4F15-893B-293B6339594E}"/>
            </c:ext>
          </c:extLst>
        </c:ser>
        <c:ser>
          <c:idx val="2"/>
          <c:order val="2"/>
          <c:tx>
            <c:strRef>
              <c:f>Tendencias!$A$110</c:f>
              <c:strCache>
                <c:ptCount val="1"/>
                <c:pt idx="0">
                  <c:v>Vtas. 20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Tendencias!$B$107:$M$107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Tendencias!$B$110:$M$110</c:f>
              <c:numCache>
                <c:formatCode>_-* #,##0_-;\-* #,##0_-;_-* "-"??_-;_-@_-</c:formatCode>
                <c:ptCount val="12"/>
                <c:pt idx="0">
                  <c:v>1347.0082399999999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65456304"/>
        <c:axId val="-65455216"/>
      </c:barChart>
      <c:lineChart>
        <c:grouping val="standard"/>
        <c:varyColors val="0"/>
        <c:ser>
          <c:idx val="3"/>
          <c:order val="3"/>
          <c:tx>
            <c:strRef>
              <c:f>Tendencias!$A$111</c:f>
              <c:strCache>
                <c:ptCount val="1"/>
                <c:pt idx="0">
                  <c:v>UAFIR FL. 21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C00000"/>
                </a:solidFill>
                <a:prstDash val="lgDashDot"/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4902-4F15-893B-293B6339594E}"/>
              </c:ext>
            </c:extLst>
          </c:dPt>
          <c:cat>
            <c:strRef>
              <c:f>Tendencias!$B$107:$M$107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Tendencias!$B$111:$M$111</c:f>
              <c:numCache>
                <c:formatCode>_-* #,##0_-;\-* #,##0_-;_-* "-"??_-;_-@_-</c:formatCode>
                <c:ptCount val="12"/>
                <c:pt idx="0">
                  <c:v>107.71133999999986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902-4F15-893B-293B6339594E}"/>
            </c:ext>
          </c:extLst>
        </c:ser>
        <c:ser>
          <c:idx val="4"/>
          <c:order val="4"/>
          <c:tx>
            <c:strRef>
              <c:f>Tendencias!$A$112</c:f>
              <c:strCache>
                <c:ptCount val="1"/>
                <c:pt idx="0">
                  <c:v>UAFIRFL.P.21</c:v>
                </c:pt>
              </c:strCache>
            </c:strRef>
          </c:tx>
          <c:spPr>
            <a:ln w="28575" cap="rnd">
              <a:solidFill>
                <a:srgbClr val="FFFF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4902-4F15-893B-293B6339594E}"/>
              </c:ext>
            </c:extLst>
          </c:dPt>
          <c:dPt>
            <c:idx val="2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4902-4F15-893B-293B6339594E}"/>
              </c:ext>
            </c:extLst>
          </c:dPt>
          <c:cat>
            <c:strRef>
              <c:f>Tendencias!$B$107:$M$107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Tendencias!$B$112:$M$112</c:f>
              <c:numCache>
                <c:formatCode>_-* #,##0_-;\-* #,##0_-;_-* "-"??_-;_-@_-</c:formatCode>
                <c:ptCount val="12"/>
                <c:pt idx="0">
                  <c:v>-32.689000000000064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4902-4F15-893B-293B6339594E}"/>
            </c:ext>
          </c:extLst>
        </c:ser>
        <c:ser>
          <c:idx val="5"/>
          <c:order val="5"/>
          <c:tx>
            <c:strRef>
              <c:f>Tendencias!$A$113</c:f>
              <c:strCache>
                <c:ptCount val="1"/>
                <c:pt idx="0">
                  <c:v>S. Deuda 21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Tendencias!$B$107:$M$107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Tendencias!$B$113:$M$113</c:f>
              <c:numCache>
                <c:formatCode>_-* #,##0_-;\-* #,##0_-;_-* "-"??_-;_-@_-</c:formatCode>
                <c:ptCount val="12"/>
                <c:pt idx="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4902-4F15-893B-293B6339594E}"/>
            </c:ext>
          </c:extLst>
        </c:ser>
        <c:ser>
          <c:idx val="6"/>
          <c:order val="6"/>
          <c:tx>
            <c:strRef>
              <c:f>Tendencias!$A$114</c:f>
              <c:strCache>
                <c:ptCount val="1"/>
                <c:pt idx="0">
                  <c:v>Pagos Ext.</c:v>
                </c:pt>
              </c:strCache>
            </c:strRef>
          </c:tx>
          <c:spPr>
            <a:ln w="28575" cap="rnd">
              <a:solidFill>
                <a:schemeClr val="bg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Tendencias!$B$107:$M$107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Tendencias!$B$114:$M$114</c:f>
              <c:numCache>
                <c:formatCode>_-* #,##0_-;\-* #,##0_-;_-* "-"??_-;_-@_-</c:formatCode>
                <c:ptCount val="12"/>
                <c:pt idx="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5451408"/>
        <c:axId val="-65454128"/>
      </c:lineChart>
      <c:catAx>
        <c:axId val="-654563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65455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65455216"/>
        <c:scaling>
          <c:orientation val="minMax"/>
          <c:max val="4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65456304"/>
        <c:crosses val="autoZero"/>
        <c:crossBetween val="between"/>
      </c:valAx>
      <c:catAx>
        <c:axId val="-6545140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65454128"/>
        <c:crosses val="autoZero"/>
        <c:auto val="1"/>
        <c:lblAlgn val="ctr"/>
        <c:lblOffset val="100"/>
        <c:noMultiLvlLbl val="0"/>
      </c:catAx>
      <c:valAx>
        <c:axId val="-65454128"/>
        <c:scaling>
          <c:orientation val="minMax"/>
          <c:max val="300"/>
        </c:scaling>
        <c:delete val="0"/>
        <c:axPos val="r"/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65451408"/>
        <c:crosses val="max"/>
        <c:crossBetween val="between"/>
      </c:valAx>
      <c:dTable>
        <c:showHorzBorder val="1"/>
        <c:showVertBorder val="1"/>
        <c:showOutline val="1"/>
        <c:showKeys val="0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6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Tendencias!$A$123</c:f>
              <c:strCache>
                <c:ptCount val="1"/>
                <c:pt idx="0">
                  <c:v>Vtas. 21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Tendencias!$B$122:$M$122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Tendencias!$B$123:$M$123</c:f>
              <c:numCache>
                <c:formatCode>_-* #,##0_-;\-* #,##0_-;_-* "-"??_-;_-@_-</c:formatCode>
                <c:ptCount val="12"/>
                <c:pt idx="0">
                  <c:v>103.09775999999999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902-4F15-893B-293B6339594E}"/>
            </c:ext>
          </c:extLst>
        </c:ser>
        <c:ser>
          <c:idx val="1"/>
          <c:order val="1"/>
          <c:tx>
            <c:strRef>
              <c:f>Tendencias!$A$124</c:f>
              <c:strCache>
                <c:ptCount val="1"/>
                <c:pt idx="0">
                  <c:v>Vtas. P. 21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Tendencias!$B$122:$M$122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Tendencias!$B$124:$M$124</c:f>
              <c:numCache>
                <c:formatCode>_-* #,##0_-;\-* #,##0_-;_-* "-"??_-;_-@_-</c:formatCode>
                <c:ptCount val="12"/>
                <c:pt idx="0">
                  <c:v>103.875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902-4F15-893B-293B6339594E}"/>
            </c:ext>
          </c:extLst>
        </c:ser>
        <c:ser>
          <c:idx val="2"/>
          <c:order val="2"/>
          <c:tx>
            <c:strRef>
              <c:f>Tendencias!$A$125</c:f>
              <c:strCache>
                <c:ptCount val="1"/>
                <c:pt idx="0">
                  <c:v>Vtas. 20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Tendencias!$B$122:$M$122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Tendencias!$B$125:$M$125</c:f>
              <c:numCache>
                <c:formatCode>_-* #,##0_-;\-* #,##0_-;_-* "-"??_-;_-@_-</c:formatCode>
                <c:ptCount val="12"/>
                <c:pt idx="0">
                  <c:v>131.75091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65450864"/>
        <c:axId val="-65449776"/>
      </c:barChart>
      <c:lineChart>
        <c:grouping val="standard"/>
        <c:varyColors val="0"/>
        <c:ser>
          <c:idx val="3"/>
          <c:order val="3"/>
          <c:tx>
            <c:strRef>
              <c:f>Tendencias!$A$126</c:f>
              <c:strCache>
                <c:ptCount val="1"/>
                <c:pt idx="0">
                  <c:v>UAFIR FL. 21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C00000"/>
                </a:solidFill>
                <a:prstDash val="lgDashDot"/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4902-4F15-893B-293B6339594E}"/>
              </c:ext>
            </c:extLst>
          </c:dPt>
          <c:cat>
            <c:strRef>
              <c:f>Tendencias!$B$122:$M$122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Tendencias!$B$126:$M$126</c:f>
              <c:numCache>
                <c:formatCode>_-* #,##0_-;\-* #,##0_-;_-* "-"??_-;_-@_-</c:formatCode>
                <c:ptCount val="12"/>
                <c:pt idx="0">
                  <c:v>81.451769999999982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902-4F15-893B-293B6339594E}"/>
            </c:ext>
          </c:extLst>
        </c:ser>
        <c:ser>
          <c:idx val="4"/>
          <c:order val="4"/>
          <c:tx>
            <c:strRef>
              <c:f>Tendencias!$A$127</c:f>
              <c:strCache>
                <c:ptCount val="1"/>
                <c:pt idx="0">
                  <c:v>UAFIRFL.P.21</c:v>
                </c:pt>
              </c:strCache>
            </c:strRef>
          </c:tx>
          <c:spPr>
            <a:ln w="28575" cap="rnd">
              <a:solidFill>
                <a:srgbClr val="FFFF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4902-4F15-893B-293B6339594E}"/>
              </c:ext>
            </c:extLst>
          </c:dPt>
          <c:dPt>
            <c:idx val="2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4902-4F15-893B-293B6339594E}"/>
              </c:ext>
            </c:extLst>
          </c:dPt>
          <c:cat>
            <c:strRef>
              <c:f>Tendencias!$B$122:$M$122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Tendencias!$B$127:$M$127</c:f>
              <c:numCache>
                <c:formatCode>_-* #,##0_-;\-* #,##0_-;_-* "-"??_-;_-@_-</c:formatCode>
                <c:ptCount val="12"/>
                <c:pt idx="0">
                  <c:v>70.674999999999997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4902-4F15-893B-293B6339594E}"/>
            </c:ext>
          </c:extLst>
        </c:ser>
        <c:ser>
          <c:idx val="5"/>
          <c:order val="5"/>
          <c:tx>
            <c:strRef>
              <c:f>Tendencias!$A$128</c:f>
              <c:strCache>
                <c:ptCount val="1"/>
                <c:pt idx="0">
                  <c:v>S. Deuda 21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Tendencias!$B$122:$M$122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Tendencias!$B$128:$M$128</c:f>
              <c:numCache>
                <c:formatCode>_-* #,##0_-;\-* #,##0_-;_-* "-"??_-;_-@_-</c:formatCode>
                <c:ptCount val="12"/>
                <c:pt idx="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4902-4F15-893B-293B6339594E}"/>
            </c:ext>
          </c:extLst>
        </c:ser>
        <c:ser>
          <c:idx val="6"/>
          <c:order val="6"/>
          <c:tx>
            <c:strRef>
              <c:f>Tendencias!$A$129</c:f>
              <c:strCache>
                <c:ptCount val="1"/>
                <c:pt idx="0">
                  <c:v>Pagos Ext.</c:v>
                </c:pt>
              </c:strCache>
            </c:strRef>
          </c:tx>
          <c:spPr>
            <a:ln w="28575" cap="rnd">
              <a:solidFill>
                <a:schemeClr val="bg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Tendencias!$B$122:$M$122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Tendencias!$B$129:$M$129</c:f>
              <c:numCache>
                <c:formatCode>_-* #,##0_-;\-* #,##0_-;_-* "-"??_-;_-@_-</c:formatCode>
                <c:ptCount val="12"/>
                <c:pt idx="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4229360"/>
        <c:axId val="-64226096"/>
      </c:lineChart>
      <c:catAx>
        <c:axId val="-654508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654497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65449776"/>
        <c:scaling>
          <c:orientation val="minMax"/>
          <c:max val="1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65450864"/>
        <c:crosses val="autoZero"/>
        <c:crossBetween val="between"/>
      </c:valAx>
      <c:catAx>
        <c:axId val="-6422936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64226096"/>
        <c:crosses val="autoZero"/>
        <c:auto val="1"/>
        <c:lblAlgn val="ctr"/>
        <c:lblOffset val="100"/>
        <c:noMultiLvlLbl val="0"/>
      </c:catAx>
      <c:valAx>
        <c:axId val="-64226096"/>
        <c:scaling>
          <c:orientation val="minMax"/>
          <c:max val="250"/>
        </c:scaling>
        <c:delete val="0"/>
        <c:axPos val="r"/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64229360"/>
        <c:crosses val="max"/>
        <c:crossBetween val="between"/>
      </c:valAx>
      <c:dTable>
        <c:showHorzBorder val="1"/>
        <c:showVertBorder val="1"/>
        <c:showOutline val="1"/>
        <c:showKeys val="0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6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742364629955409"/>
          <c:y val="0.11304358534560754"/>
          <c:w val="0.82408936068550831"/>
          <c:h val="0.6956521739130440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Tendencias!$A$174</c:f>
              <c:strCache>
                <c:ptCount val="1"/>
                <c:pt idx="0">
                  <c:v>Vtas. 21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Tendencias!$C$8</c:f>
              <c:numCache>
                <c:formatCode>_-* #,##0_-;\-* #,##0_-;_-* "-"??_-;_-@_-</c:formatCode>
                <c:ptCount val="1"/>
                <c:pt idx="0">
                  <c:v>0</c:v>
                </c:pt>
              </c:numCache>
            </c:numRef>
          </c:cat>
          <c:val>
            <c:numRef>
              <c:f>Tendencias!$O$174</c:f>
              <c:numCache>
                <c:formatCode>General</c:formatCode>
                <c:ptCount val="1"/>
                <c:pt idx="0">
                  <c:v>233214.94142500003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88C-4BA1-BAE6-52B5B8D2BA39}"/>
            </c:ext>
          </c:extLst>
        </c:ser>
        <c:ser>
          <c:idx val="1"/>
          <c:order val="1"/>
          <c:tx>
            <c:strRef>
              <c:f>Tendencias!$A$175</c:f>
              <c:strCache>
                <c:ptCount val="1"/>
                <c:pt idx="0">
                  <c:v>Vtas. P. 21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Tendencias!$C$8</c:f>
              <c:numCache>
                <c:formatCode>_-* #,##0_-;\-* #,##0_-;_-* "-"??_-;_-@_-</c:formatCode>
                <c:ptCount val="1"/>
                <c:pt idx="0">
                  <c:v>0</c:v>
                </c:pt>
              </c:numCache>
            </c:numRef>
          </c:cat>
          <c:val>
            <c:numRef>
              <c:f>Tendencias!$O$175</c:f>
              <c:numCache>
                <c:formatCode>General</c:formatCode>
                <c:ptCount val="1"/>
                <c:pt idx="0">
                  <c:v>151387.622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88C-4BA1-BAE6-52B5B8D2BA39}"/>
            </c:ext>
          </c:extLst>
        </c:ser>
        <c:ser>
          <c:idx val="2"/>
          <c:order val="2"/>
          <c:tx>
            <c:strRef>
              <c:f>Tendencias!$A$176</c:f>
              <c:strCache>
                <c:ptCount val="1"/>
                <c:pt idx="0">
                  <c:v>Vtas. 20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Tendencias!$C$8</c:f>
              <c:numCache>
                <c:formatCode>_-* #,##0_-;\-* #,##0_-;_-* "-"??_-;_-@_-</c:formatCode>
                <c:ptCount val="1"/>
                <c:pt idx="0">
                  <c:v>0</c:v>
                </c:pt>
              </c:numCache>
            </c:numRef>
          </c:cat>
          <c:val>
            <c:numRef>
              <c:f>Tendencias!$O$176</c:f>
              <c:numCache>
                <c:formatCode>General</c:formatCode>
                <c:ptCount val="1"/>
                <c:pt idx="0">
                  <c:v>222831.01017000002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88C-4BA1-BAE6-52B5B8D2BA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-64228272"/>
        <c:axId val="-64226640"/>
      </c:barChart>
      <c:catAx>
        <c:axId val="-64228272"/>
        <c:scaling>
          <c:orientation val="minMax"/>
        </c:scaling>
        <c:delete val="1"/>
        <c:axPos val="b"/>
        <c:numFmt formatCode="General" sourceLinked="0"/>
        <c:majorTickMark val="none"/>
        <c:minorTickMark val="none"/>
        <c:tickLblPos val="nextTo"/>
        <c:crossAx val="-642266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642266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6422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619705413336997E-2"/>
          <c:y val="0.11304347826087"/>
          <c:w val="0.86094155497263503"/>
          <c:h val="0.69565217391304401"/>
        </c:manualLayout>
      </c:layout>
      <c:area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-64227728"/>
        <c:axId val="-64227184"/>
        <c:extLst xmlns:c16r2="http://schemas.microsoft.com/office/drawing/2015/06/chart">
          <c:ext xmlns:c15="http://schemas.microsoft.com/office/drawing/2012/chart" uri="{02D57815-91ED-43cb-92C2-25804820EDAC}">
            <c15:filteredAreaSeries>
              <c15:ser>
                <c:idx val="5"/>
                <c:order val="5"/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cat>
                  <c:strLit>
                    <c:ptCount val="1"/>
                    <c:pt idx="0">
                      <c:v>E</c:v>
                    </c:pt>
                  </c:strLit>
                </c:cat>
                <c:val>
                  <c:numLit>
                    <c:formatCode>_-* #,##0_-;\-* #,##0_-;_-* "-"??_-;_-@_-</c:formatCode>
                    <c:ptCount val="1"/>
                    <c:pt idx="0">
                      <c:v>4484.3495835699996</c:v>
                    </c:pt>
                  </c:numLit>
                </c:val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5-A863-49AC-A852-66670E02A172}"/>
                  </c:ext>
                </c:extLst>
              </c15:ser>
            </c15:filteredAreaSeries>
          </c:ext>
        </c:extLst>
      </c:areaChart>
      <c:barChart>
        <c:barDir val="col"/>
        <c:grouping val="clustered"/>
        <c:varyColors val="0"/>
        <c:ser>
          <c:idx val="0"/>
          <c:order val="0"/>
          <c:tx>
            <c:strRef>
              <c:f>Tendencias!$A$108</c:f>
              <c:strCache>
                <c:ptCount val="1"/>
                <c:pt idx="0">
                  <c:v>Vtas. 21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val>
            <c:numRef>
              <c:f>Tendencias!$P$108</c:f>
              <c:numCache>
                <c:formatCode>_(* #,##0.00_);_(* \(#,##0.00\);_(* "-"??_);_(@_)</c:formatCode>
                <c:ptCount val="1"/>
                <c:pt idx="0">
                  <c:v>1576.1270300000001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863-49AC-A852-66670E02A172}"/>
            </c:ext>
          </c:extLst>
        </c:ser>
        <c:ser>
          <c:idx val="1"/>
          <c:order val="1"/>
          <c:tx>
            <c:strRef>
              <c:f>Tendencias!$A$109</c:f>
              <c:strCache>
                <c:ptCount val="1"/>
                <c:pt idx="0">
                  <c:v>Vtas. P. 21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val>
            <c:numRef>
              <c:f>Tendencias!$P$109</c:f>
              <c:numCache>
                <c:formatCode>_(* #,##0.00_);_(* \(#,##0.00\);_(* "-"??_);_(@_)</c:formatCode>
                <c:ptCount val="1"/>
                <c:pt idx="0">
                  <c:v>1400.5609999999999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863-49AC-A852-66670E02A172}"/>
            </c:ext>
          </c:extLst>
        </c:ser>
        <c:ser>
          <c:idx val="2"/>
          <c:order val="2"/>
          <c:tx>
            <c:strRef>
              <c:f>Tendencias!$A$110</c:f>
              <c:strCache>
                <c:ptCount val="1"/>
                <c:pt idx="0">
                  <c:v>Vtas. 20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val>
            <c:numRef>
              <c:f>Tendencias!$P$110</c:f>
              <c:numCache>
                <c:formatCode>_(* #,##0.00_);_(* \(#,##0.00\);_(* "-"??_);_(@_)</c:formatCode>
                <c:ptCount val="1"/>
                <c:pt idx="0">
                  <c:v>1347.0082399999999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863-49AC-A852-66670E02A1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-64223376"/>
        <c:axId val="-64225008"/>
      </c:barChar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4227728"/>
        <c:axId val="-64227184"/>
        <c:extLst xmlns:c16r2="http://schemas.microsoft.com/office/drawing/2015/06/chart">
          <c:ext xmlns:c15="http://schemas.microsoft.com/office/drawing/2012/chart" uri="{02D57815-91ED-43cb-92C2-25804820EDAC}">
            <c15:filteredLineSeries>
              <c15:ser>
                <c:idx val="3"/>
                <c:order val="3"/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Lit>
                    <c:ptCount val="1"/>
                    <c:pt idx="0">
                      <c:v>E</c:v>
                    </c:pt>
                  </c:strLit>
                </c:cat>
                <c:val>
                  <c:numLit>
                    <c:formatCode>_-* #,##0_-;\-* #,##0_-;_-* "-"??_-;_-@_-</c:formatCode>
                    <c:ptCount val="1"/>
                    <c:pt idx="0">
                      <c:v>23323.438620000015</c:v>
                    </c:pt>
                  </c:numLit>
                </c:val>
                <c:smooth val="0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3-A863-49AC-A852-66670E02A172}"/>
                  </c:ext>
                </c:extLst>
              </c15:ser>
            </c15:filteredLineSeries>
            <c15:filteredLineSeries>
              <c15:ser>
                <c:idx val="4"/>
                <c:order val="4"/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Lit>
                    <c:ptCount val="1"/>
                    <c:pt idx="0">
                      <c:v>E</c:v>
                    </c:pt>
                  </c:strLit>
                </c:cat>
                <c:val>
                  <c:numLit>
                    <c:formatCode>_-* #,##0_-;\-* #,##0_-;_-* "-"??_-;_-@_-</c:formatCode>
                    <c:ptCount val="1"/>
                    <c:pt idx="0">
                      <c:v>21357.437312187114</c:v>
                    </c:pt>
                  </c:numLit>
                </c: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4-A863-49AC-A852-66670E02A172}"/>
                  </c:ext>
                </c:extLst>
              </c15:ser>
            </c15:filteredLineSeries>
          </c:ext>
        </c:extLst>
      </c:lineChart>
      <c:catAx>
        <c:axId val="-64223376"/>
        <c:scaling>
          <c:orientation val="minMax"/>
        </c:scaling>
        <c:delete val="1"/>
        <c:axPos val="b"/>
        <c:numFmt formatCode="General" sourceLinked="0"/>
        <c:majorTickMark val="none"/>
        <c:minorTickMark val="none"/>
        <c:tickLblPos val="nextTo"/>
        <c:crossAx val="-64225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64225008"/>
        <c:scaling>
          <c:orientation val="minMax"/>
          <c:max val="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64223376"/>
        <c:crosses val="autoZero"/>
        <c:crossBetween val="between"/>
      </c:valAx>
      <c:catAx>
        <c:axId val="-642277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64227184"/>
        <c:crosses val="autoZero"/>
        <c:auto val="1"/>
        <c:lblAlgn val="ctr"/>
        <c:lblOffset val="100"/>
        <c:noMultiLvlLbl val="0"/>
      </c:catAx>
      <c:valAx>
        <c:axId val="-64227184"/>
        <c:scaling>
          <c:orientation val="minMax"/>
          <c:max val="250000"/>
          <c:min val="0"/>
        </c:scaling>
        <c:delete val="1"/>
        <c:axPos val="r"/>
        <c:numFmt formatCode="#,##0" sourceLinked="0"/>
        <c:majorTickMark val="none"/>
        <c:minorTickMark val="none"/>
        <c:tickLblPos val="nextTo"/>
        <c:crossAx val="-64227728"/>
        <c:crosses val="max"/>
        <c:crossBetween val="between"/>
        <c:majorUnit val="50000"/>
        <c:minorUnit val="1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0000000000001" r="0.750000000000001" t="1" header="0" footer="0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0.xml"/><Relationship Id="rId3" Type="http://schemas.openxmlformats.org/officeDocument/2006/relationships/chart" Target="../charts/chart5.xml"/><Relationship Id="rId7" Type="http://schemas.openxmlformats.org/officeDocument/2006/relationships/chart" Target="../charts/chart9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Relationship Id="rId9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45838</xdr:colOff>
      <xdr:row>21</xdr:row>
      <xdr:rowOff>25005</xdr:rowOff>
    </xdr:from>
    <xdr:to>
      <xdr:col>22</xdr:col>
      <xdr:colOff>784007</xdr:colOff>
      <xdr:row>39</xdr:row>
      <xdr:rowOff>32556</xdr:rowOff>
    </xdr:to>
    <xdr:graphicFrame macro="">
      <xdr:nvGraphicFramePr>
        <xdr:cNvPr id="2" name="g_gast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43865</xdr:colOff>
      <xdr:row>2</xdr:row>
      <xdr:rowOff>22581</xdr:rowOff>
    </xdr:from>
    <xdr:to>
      <xdr:col>22</xdr:col>
      <xdr:colOff>782677</xdr:colOff>
      <xdr:row>19</xdr:row>
      <xdr:rowOff>105319</xdr:rowOff>
    </xdr:to>
    <xdr:graphicFrame macro="">
      <xdr:nvGraphicFramePr>
        <xdr:cNvPr id="3" name="g_cost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785812</xdr:colOff>
      <xdr:row>0</xdr:row>
      <xdr:rowOff>96836</xdr:rowOff>
    </xdr:from>
    <xdr:to>
      <xdr:col>31</xdr:col>
      <xdr:colOff>63499</xdr:colOff>
      <xdr:row>21</xdr:row>
      <xdr:rowOff>55561</xdr:rowOff>
    </xdr:to>
    <xdr:graphicFrame macro="">
      <xdr:nvGraphicFramePr>
        <xdr:cNvPr id="2" name="G_tend_exel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21165</xdr:colOff>
      <xdr:row>23</xdr:row>
      <xdr:rowOff>90715</xdr:rowOff>
    </xdr:from>
    <xdr:to>
      <xdr:col>31</xdr:col>
      <xdr:colOff>136072</xdr:colOff>
      <xdr:row>40</xdr:row>
      <xdr:rowOff>206376</xdr:rowOff>
    </xdr:to>
    <xdr:graphicFrame macro="">
      <xdr:nvGraphicFramePr>
        <xdr:cNvPr id="3" name="G_tend_energetico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865188</xdr:colOff>
      <xdr:row>42</xdr:row>
      <xdr:rowOff>215900</xdr:rowOff>
    </xdr:from>
    <xdr:to>
      <xdr:col>31</xdr:col>
      <xdr:colOff>206376</xdr:colOff>
      <xdr:row>60</xdr:row>
      <xdr:rowOff>95250</xdr:rowOff>
    </xdr:to>
    <xdr:graphicFrame macro="">
      <xdr:nvGraphicFramePr>
        <xdr:cNvPr id="4" name="g_tend_alimentosmx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873125</xdr:colOff>
      <xdr:row>63</xdr:row>
      <xdr:rowOff>173566</xdr:rowOff>
    </xdr:from>
    <xdr:to>
      <xdr:col>31</xdr:col>
      <xdr:colOff>84666</xdr:colOff>
      <xdr:row>79</xdr:row>
      <xdr:rowOff>127000</xdr:rowOff>
    </xdr:to>
    <xdr:graphicFrame macro="">
      <xdr:nvGraphicFramePr>
        <xdr:cNvPr id="5" name="g_tend_automotriz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772584</xdr:colOff>
      <xdr:row>81</xdr:row>
      <xdr:rowOff>199572</xdr:rowOff>
    </xdr:from>
    <xdr:to>
      <xdr:col>31</xdr:col>
      <xdr:colOff>148166</xdr:colOff>
      <xdr:row>98</xdr:row>
      <xdr:rowOff>105832</xdr:rowOff>
    </xdr:to>
    <xdr:graphicFrame macro="">
      <xdr:nvGraphicFramePr>
        <xdr:cNvPr id="6" name="g_tend_inmobiliaria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746125</xdr:colOff>
      <xdr:row>101</xdr:row>
      <xdr:rowOff>158751</xdr:rowOff>
    </xdr:from>
    <xdr:to>
      <xdr:col>32</xdr:col>
      <xdr:colOff>15875</xdr:colOff>
      <xdr:row>119</xdr:row>
      <xdr:rowOff>133351</xdr:rowOff>
    </xdr:to>
    <xdr:graphicFrame macro="">
      <xdr:nvGraphicFramePr>
        <xdr:cNvPr id="7" name="g_tend_alimentoseu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730250</xdr:colOff>
      <xdr:row>121</xdr:row>
      <xdr:rowOff>141816</xdr:rowOff>
    </xdr:from>
    <xdr:to>
      <xdr:col>32</xdr:col>
      <xdr:colOff>63500</xdr:colOff>
      <xdr:row>138</xdr:row>
      <xdr:rowOff>84666</xdr:rowOff>
    </xdr:to>
    <xdr:graphicFrame macro="">
      <xdr:nvGraphicFramePr>
        <xdr:cNvPr id="8" name="g_tend_inmobiliariaeu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111125</xdr:colOff>
      <xdr:row>189</xdr:row>
      <xdr:rowOff>15876</xdr:rowOff>
    </xdr:from>
    <xdr:to>
      <xdr:col>4</xdr:col>
      <xdr:colOff>12852</xdr:colOff>
      <xdr:row>200</xdr:row>
      <xdr:rowOff>177196</xdr:rowOff>
    </xdr:to>
    <xdr:graphicFrame macro="">
      <xdr:nvGraphicFramePr>
        <xdr:cNvPr id="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998321</xdr:colOff>
      <xdr:row>189</xdr:row>
      <xdr:rowOff>40581</xdr:rowOff>
    </xdr:from>
    <xdr:to>
      <xdr:col>8</xdr:col>
      <xdr:colOff>914189</xdr:colOff>
      <xdr:row>200</xdr:row>
      <xdr:rowOff>184072</xdr:rowOff>
    </xdr:to>
    <xdr:graphicFrame macro="">
      <xdr:nvGraphicFramePr>
        <xdr:cNvPr id="10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1016002</xdr:colOff>
      <xdr:row>185</xdr:row>
      <xdr:rowOff>110103</xdr:rowOff>
    </xdr:from>
    <xdr:to>
      <xdr:col>7</xdr:col>
      <xdr:colOff>1016001</xdr:colOff>
      <xdr:row>188</xdr:row>
      <xdr:rowOff>87313</xdr:rowOff>
    </xdr:to>
    <xdr:grpSp>
      <xdr:nvGrpSpPr>
        <xdr:cNvPr id="11" name="Group 20"/>
        <xdr:cNvGrpSpPr>
          <a:grpSpLocks/>
        </xdr:cNvGrpSpPr>
      </xdr:nvGrpSpPr>
      <xdr:grpSpPr bwMode="auto">
        <a:xfrm>
          <a:off x="3329216" y="41457674"/>
          <a:ext cx="5125356" cy="657568"/>
          <a:chOff x="2713038" y="1181672"/>
          <a:chExt cx="1716084" cy="548575"/>
        </a:xfrm>
      </xdr:grpSpPr>
      <xdr:sp macro="" textlink="$B$207">
        <xdr:nvSpPr>
          <xdr:cNvPr id="12" name="Text Box 6"/>
          <xdr:cNvSpPr txBox="1">
            <a:spLocks noChangeArrowheads="1"/>
          </xdr:cNvSpPr>
        </xdr:nvSpPr>
        <xdr:spPr bwMode="auto">
          <a:xfrm>
            <a:off x="3966219" y="1186524"/>
            <a:ext cx="272450" cy="206213"/>
          </a:xfrm>
          <a:prstGeom prst="rect">
            <a:avLst/>
          </a:prstGeom>
          <a:noFill/>
          <a:ln w="9525" algn="ctr">
            <a:noFill/>
            <a:miter lim="800000"/>
            <a:headEnd/>
            <a:tailEnd/>
          </a:ln>
        </xdr:spPr>
        <xdr:txBody>
          <a:bodyPr wrap="square">
            <a:spAutoFit/>
          </a:bodyPr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fld id="{D93ACF17-7B0B-4DFF-960A-0C8DD88E08FB}" type="TxLink">
              <a:rPr lang="en-US" sz="1050" b="1" i="0" u="none" strike="noStrike">
                <a:solidFill>
                  <a:srgbClr val="000000"/>
                </a:solidFill>
                <a:latin typeface="Arial"/>
                <a:cs typeface="Arial"/>
              </a:rPr>
              <a:pPr/>
              <a:t>Vtas. 20</a:t>
            </a:fld>
            <a:endParaRPr lang="es-ES" sz="800"/>
          </a:p>
        </xdr:txBody>
      </xdr:sp>
      <xdr:sp macro="" textlink="">
        <xdr:nvSpPr>
          <xdr:cNvPr id="13" name="Line 7"/>
          <xdr:cNvSpPr>
            <a:spLocks noChangeShapeType="1"/>
          </xdr:cNvSpPr>
        </xdr:nvSpPr>
        <xdr:spPr bwMode="auto">
          <a:xfrm>
            <a:off x="2713038" y="1520742"/>
            <a:ext cx="0" cy="0"/>
          </a:xfrm>
          <a:prstGeom prst="line">
            <a:avLst/>
          </a:prstGeom>
          <a:noFill/>
          <a:ln w="9525">
            <a:solidFill>
              <a:schemeClr val="tx1"/>
            </a:solidFill>
            <a:round/>
            <a:headEnd/>
            <a:tailEnd/>
          </a:ln>
        </xdr:spPr>
        <xdr:txBody>
          <a:bodyPr wrap="square" anchor="ctr"/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endParaRPr lang="es-MX"/>
          </a:p>
        </xdr:txBody>
      </xdr:sp>
      <xdr:sp macro="" textlink="$B$206">
        <xdr:nvSpPr>
          <xdr:cNvPr id="14" name="Text Box 8"/>
          <xdr:cNvSpPr txBox="1">
            <a:spLocks noChangeArrowheads="1"/>
          </xdr:cNvSpPr>
        </xdr:nvSpPr>
        <xdr:spPr bwMode="auto">
          <a:xfrm>
            <a:off x="3443234" y="1196229"/>
            <a:ext cx="313607" cy="206213"/>
          </a:xfrm>
          <a:prstGeom prst="rect">
            <a:avLst/>
          </a:prstGeom>
          <a:noFill/>
          <a:ln w="9525" algn="ctr">
            <a:noFill/>
            <a:miter lim="800000"/>
            <a:headEnd/>
            <a:tailEnd/>
          </a:ln>
        </xdr:spPr>
        <xdr:txBody>
          <a:bodyPr wrap="square">
            <a:spAutoFit/>
          </a:bodyPr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pPr algn="ctr"/>
            <a:fld id="{98A5A974-064D-4784-996D-4FE344917EC4}" type="TxLink">
              <a:rPr lang="en-US" sz="105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Vtas. P. 21</a:t>
            </a:fld>
            <a:endParaRPr lang="es-ES" sz="800"/>
          </a:p>
        </xdr:txBody>
      </xdr:sp>
      <xdr:sp macro="" textlink="">
        <xdr:nvSpPr>
          <xdr:cNvPr id="15" name="Rectangle 9"/>
          <xdr:cNvSpPr>
            <a:spLocks noChangeArrowheads="1"/>
          </xdr:cNvSpPr>
        </xdr:nvSpPr>
        <xdr:spPr bwMode="auto">
          <a:xfrm>
            <a:off x="2786063" y="1198699"/>
            <a:ext cx="181603" cy="146525"/>
          </a:xfrm>
          <a:prstGeom prst="rect">
            <a:avLst/>
          </a:prstGeom>
          <a:solidFill>
            <a:srgbClr val="00B050"/>
          </a:solidFill>
          <a:ln w="9525">
            <a:solidFill>
              <a:schemeClr val="tx1"/>
            </a:solidFill>
            <a:miter lim="800000"/>
            <a:headEnd/>
            <a:tailEnd/>
          </a:ln>
        </xdr:spPr>
        <xdr:txBody>
          <a:bodyPr wrap="square" anchor="ctr"/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pPr algn="ctr"/>
            <a:endParaRPr lang="es-ES"/>
          </a:p>
        </xdr:txBody>
      </xdr:sp>
      <xdr:sp macro="" textlink="$B$205">
        <xdr:nvSpPr>
          <xdr:cNvPr id="16" name="Text Box 10"/>
          <xdr:cNvSpPr txBox="1">
            <a:spLocks noChangeArrowheads="1"/>
          </xdr:cNvSpPr>
        </xdr:nvSpPr>
        <xdr:spPr bwMode="auto">
          <a:xfrm>
            <a:off x="2989026" y="1182535"/>
            <a:ext cx="265374" cy="206213"/>
          </a:xfrm>
          <a:prstGeom prst="rect">
            <a:avLst/>
          </a:prstGeom>
          <a:noFill/>
          <a:ln w="9525" algn="ctr">
            <a:noFill/>
            <a:miter lim="800000"/>
            <a:headEnd/>
            <a:tailEnd/>
          </a:ln>
        </xdr:spPr>
        <xdr:txBody>
          <a:bodyPr wrap="square">
            <a:spAutoFit/>
          </a:bodyPr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fld id="{8AC87327-843D-47AE-AB1C-CC42D381FE2E}" type="TxLink">
              <a:rPr lang="en-US" sz="1050" b="1" i="0" u="none" strike="noStrike">
                <a:solidFill>
                  <a:srgbClr val="000000"/>
                </a:solidFill>
                <a:latin typeface="Arial"/>
                <a:cs typeface="Arial"/>
              </a:rPr>
              <a:pPr/>
              <a:t>Vtas. 21</a:t>
            </a:fld>
            <a:endParaRPr lang="es-ES" sz="800"/>
          </a:p>
        </xdr:txBody>
      </xdr:sp>
      <xdr:sp macro="" textlink="">
        <xdr:nvSpPr>
          <xdr:cNvPr id="17" name="Line 17"/>
          <xdr:cNvSpPr>
            <a:spLocks noChangeShapeType="1"/>
          </xdr:cNvSpPr>
        </xdr:nvSpPr>
        <xdr:spPr bwMode="auto">
          <a:xfrm>
            <a:off x="4429122" y="1730247"/>
            <a:ext cx="0" cy="0"/>
          </a:xfrm>
          <a:prstGeom prst="line">
            <a:avLst/>
          </a:prstGeom>
          <a:noFill/>
          <a:ln w="9525">
            <a:solidFill>
              <a:schemeClr val="tx1"/>
            </a:solidFill>
            <a:round/>
            <a:headEnd/>
            <a:tailEnd/>
          </a:ln>
        </xdr:spPr>
        <xdr:txBody>
          <a:bodyPr wrap="square" anchor="ctr"/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endParaRPr lang="es-MX"/>
          </a:p>
        </xdr:txBody>
      </xdr:sp>
      <xdr:sp macro="" textlink="">
        <xdr:nvSpPr>
          <xdr:cNvPr id="18" name="Rectangle 9"/>
          <xdr:cNvSpPr>
            <a:spLocks noChangeArrowheads="1"/>
          </xdr:cNvSpPr>
        </xdr:nvSpPr>
        <xdr:spPr bwMode="auto">
          <a:xfrm>
            <a:off x="3258720" y="1185869"/>
            <a:ext cx="181603" cy="176076"/>
          </a:xfrm>
          <a:prstGeom prst="rect">
            <a:avLst/>
          </a:prstGeom>
          <a:solidFill>
            <a:schemeClr val="bg1">
              <a:lumMod val="65000"/>
            </a:schemeClr>
          </a:solidFill>
          <a:ln w="9525">
            <a:solidFill>
              <a:schemeClr val="tx1"/>
            </a:solidFill>
            <a:miter lim="800000"/>
            <a:headEnd/>
            <a:tailEnd/>
          </a:ln>
        </xdr:spPr>
        <xdr:txBody>
          <a:bodyPr wrap="square" anchor="ctr"/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pPr algn="ctr">
              <a:defRPr/>
            </a:pPr>
            <a:endParaRPr lang="es-ES"/>
          </a:p>
        </xdr:txBody>
      </xdr:sp>
      <xdr:sp macro="" textlink="">
        <xdr:nvSpPr>
          <xdr:cNvPr id="19" name="Rectangle 9"/>
          <xdr:cNvSpPr>
            <a:spLocks noChangeArrowheads="1"/>
          </xdr:cNvSpPr>
        </xdr:nvSpPr>
        <xdr:spPr bwMode="auto">
          <a:xfrm>
            <a:off x="3766836" y="1181672"/>
            <a:ext cx="181603" cy="176071"/>
          </a:xfrm>
          <a:prstGeom prst="rect">
            <a:avLst/>
          </a:prstGeom>
          <a:solidFill>
            <a:srgbClr val="0070C0"/>
          </a:solidFill>
          <a:ln w="9525">
            <a:solidFill>
              <a:schemeClr val="tx1"/>
            </a:solidFill>
            <a:miter lim="800000"/>
            <a:headEnd/>
            <a:tailEnd/>
          </a:ln>
        </xdr:spPr>
        <xdr:txBody>
          <a:bodyPr wrap="square" anchor="ctr"/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pPr algn="ctr"/>
            <a:endParaRPr lang="es-ES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uan/Downloads/macros%20consejo/Exelco%20Consolidado%20Septiembre%20201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O"/>
      <sheetName val="Revision"/>
      <sheetName val="Pptos"/>
      <sheetName val="BGCC"/>
      <sheetName val="BGC"/>
      <sheetName val="ERCC"/>
      <sheetName val="ERC"/>
      <sheetName val="ERC Dif"/>
      <sheetName val="UNF"/>
      <sheetName val="Tendencias"/>
      <sheetName val="FCC"/>
      <sheetName val="FC"/>
      <sheetName val="FC Fin"/>
      <sheetName val="Rep Flujo Mes"/>
      <sheetName val="mes"/>
      <sheetName val="acum"/>
      <sheetName val="Pasivos Pesos-Dlls"/>
      <sheetName val="Relacion Pasivos EU"/>
      <sheetName val="Pasivos Conta"/>
      <sheetName val="Aportaciones"/>
      <sheetName val="Costos y Gastos"/>
      <sheetName val="Flujo Corporativo"/>
      <sheetName val="Relacion Pasivos"/>
      <sheetName val="Ev. Proyeccion"/>
      <sheetName val="comparativo gastos"/>
      <sheetName val="Imp"/>
      <sheetName val="Proyeccion Mes Sig"/>
      <sheetName val="Proyeccion Mes Sig Dif"/>
      <sheetName val="Analisis Divisiones"/>
    </sheetNames>
    <sheetDataSet>
      <sheetData sheetId="0">
        <row r="7">
          <cell r="D7">
            <v>9</v>
          </cell>
        </row>
        <row r="8">
          <cell r="E8">
            <v>19.734500000000001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icio"/>
  <dimension ref="A1:C24"/>
  <sheetViews>
    <sheetView workbookViewId="0">
      <selection activeCell="D11" sqref="D11"/>
    </sheetView>
  </sheetViews>
  <sheetFormatPr baseColWidth="10" defaultRowHeight="14.5" x14ac:dyDescent="0.35"/>
  <sheetData>
    <row r="1" spans="1:3" x14ac:dyDescent="0.35">
      <c r="A1" t="s">
        <v>111</v>
      </c>
      <c r="B1" s="145" t="str">
        <f>BDER!M2</f>
        <v>01-2021</v>
      </c>
    </row>
    <row r="2" spans="1:3" x14ac:dyDescent="0.35">
      <c r="A2" t="s">
        <v>413</v>
      </c>
      <c r="B2" s="366">
        <f>EDATE(Mes_cierre,1)</f>
        <v>44228</v>
      </c>
    </row>
    <row r="3" spans="1:3" x14ac:dyDescent="0.35">
      <c r="B3" t="s">
        <v>387</v>
      </c>
      <c r="C3" t="s">
        <v>390</v>
      </c>
    </row>
    <row r="4" spans="1:3" x14ac:dyDescent="0.35">
      <c r="A4" t="s">
        <v>120</v>
      </c>
      <c r="B4" s="273">
        <f>division!J2</f>
        <v>20.224799999999998</v>
      </c>
    </row>
    <row r="5" spans="1:3" x14ac:dyDescent="0.35">
      <c r="A5" t="s">
        <v>366</v>
      </c>
      <c r="B5">
        <f>division!J10/MONTH(Mes_cierre)</f>
        <v>20.224799999999998</v>
      </c>
    </row>
    <row r="6" spans="1:3" x14ac:dyDescent="0.35">
      <c r="A6" t="s">
        <v>389</v>
      </c>
      <c r="B6">
        <f>division!L2</f>
        <v>1</v>
      </c>
      <c r="C6">
        <f>division!L10</f>
        <v>1</v>
      </c>
    </row>
    <row r="7" spans="1:3" x14ac:dyDescent="0.35">
      <c r="A7" t="s">
        <v>386</v>
      </c>
      <c r="B7">
        <f>division!K2</f>
        <v>1</v>
      </c>
      <c r="C7">
        <f>division!K10</f>
        <v>1</v>
      </c>
    </row>
    <row r="10" spans="1:3" x14ac:dyDescent="0.35">
      <c r="A10" s="285"/>
    </row>
    <row r="11" spans="1:3" x14ac:dyDescent="0.35">
      <c r="A11" s="286"/>
    </row>
    <row r="23" spans="1:1" x14ac:dyDescent="0.35">
      <c r="A23" s="183"/>
    </row>
    <row r="24" spans="1:1" x14ac:dyDescent="0.35">
      <c r="A24" s="183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lasER"/>
  <dimension ref="A2:BH136"/>
  <sheetViews>
    <sheetView showGridLines="0" topLeftCell="A13" zoomScale="70" zoomScaleNormal="70" workbookViewId="0">
      <selection activeCell="AO4" sqref="AO4:AO25"/>
    </sheetView>
  </sheetViews>
  <sheetFormatPr baseColWidth="10" defaultRowHeight="14.5" x14ac:dyDescent="0.35"/>
  <cols>
    <col min="2" max="2" width="21.1796875" bestFit="1" customWidth="1"/>
    <col min="3" max="3" width="13.54296875" hidden="1" customWidth="1"/>
    <col min="4" max="4" width="0" hidden="1" customWidth="1"/>
    <col min="5" max="5" width="12.26953125" bestFit="1" customWidth="1"/>
    <col min="7" max="7" width="11.1796875" bestFit="1" customWidth="1"/>
    <col min="10" max="10" width="10.81640625" customWidth="1"/>
    <col min="11" max="11" width="13.81640625" customWidth="1"/>
    <col min="13" max="13" width="11.1796875" bestFit="1" customWidth="1"/>
    <col min="15" max="15" width="11.81640625" customWidth="1"/>
    <col min="17" max="17" width="11.1796875" bestFit="1" customWidth="1"/>
    <col min="19" max="19" width="11.81640625" bestFit="1" customWidth="1"/>
    <col min="21" max="21" width="12" customWidth="1"/>
    <col min="23" max="23" width="11.54296875" bestFit="1" customWidth="1"/>
    <col min="27" max="27" width="13.81640625" bestFit="1" customWidth="1"/>
    <col min="31" max="31" width="13.81640625" bestFit="1" customWidth="1"/>
    <col min="35" max="42" width="11" bestFit="1" customWidth="1"/>
    <col min="43" max="43" width="13.453125" customWidth="1"/>
    <col min="44" max="44" width="11" bestFit="1" customWidth="1"/>
    <col min="45" max="45" width="11.1796875" bestFit="1" customWidth="1"/>
    <col min="46" max="46" width="11" bestFit="1" customWidth="1"/>
    <col min="47" max="47" width="13.453125" bestFit="1" customWidth="1"/>
    <col min="48" max="48" width="11" bestFit="1" customWidth="1"/>
    <col min="50" max="50" width="16.81640625" bestFit="1" customWidth="1"/>
  </cols>
  <sheetData>
    <row r="2" spans="1:60" ht="19" customHeight="1" x14ac:dyDescent="0.35">
      <c r="A2" t="s">
        <v>119</v>
      </c>
      <c r="B2" s="371">
        <v>14</v>
      </c>
      <c r="C2" s="371"/>
      <c r="D2" s="371"/>
      <c r="E2" s="371"/>
      <c r="F2" s="371"/>
      <c r="G2" s="371"/>
      <c r="H2" s="371"/>
      <c r="I2" s="371"/>
      <c r="J2" s="371"/>
      <c r="K2" s="371"/>
      <c r="L2" s="371"/>
      <c r="M2" s="371"/>
      <c r="N2" s="371"/>
      <c r="O2" s="371"/>
      <c r="P2" s="371"/>
      <c r="R2" s="26" t="s">
        <v>41</v>
      </c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H2" s="26" t="s">
        <v>44</v>
      </c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X2" s="371" t="s">
        <v>23</v>
      </c>
      <c r="AY2" s="371"/>
      <c r="AZ2" s="371"/>
      <c r="BA2" s="371"/>
      <c r="BB2" s="371"/>
      <c r="BC2" s="371"/>
      <c r="BD2" s="371"/>
      <c r="BE2" s="371"/>
      <c r="BF2" s="371"/>
      <c r="BG2" s="371"/>
      <c r="BH2" s="371"/>
    </row>
    <row r="3" spans="1:60" ht="14.5" customHeight="1" x14ac:dyDescent="0.35">
      <c r="B3" s="26"/>
      <c r="C3" s="2" t="s">
        <v>25</v>
      </c>
      <c r="D3" s="27"/>
      <c r="E3" s="2" t="s">
        <v>26</v>
      </c>
      <c r="F3" s="27"/>
      <c r="G3" s="2" t="s">
        <v>27</v>
      </c>
      <c r="H3" s="27"/>
      <c r="I3" s="2" t="s">
        <v>28</v>
      </c>
      <c r="J3" s="27"/>
      <c r="K3" s="28" t="s">
        <v>29</v>
      </c>
      <c r="L3" s="27"/>
      <c r="M3" s="2" t="s">
        <v>30</v>
      </c>
      <c r="N3" s="27"/>
      <c r="O3" s="2" t="s">
        <v>31</v>
      </c>
      <c r="P3" s="1"/>
      <c r="R3" s="25"/>
      <c r="S3" s="2" t="s">
        <v>25</v>
      </c>
      <c r="T3" s="27"/>
      <c r="U3" s="2" t="s">
        <v>26</v>
      </c>
      <c r="V3" s="27"/>
      <c r="W3" s="2" t="s">
        <v>27</v>
      </c>
      <c r="X3" s="27"/>
      <c r="Y3" s="2" t="s">
        <v>28</v>
      </c>
      <c r="Z3" s="27"/>
      <c r="AA3" s="28" t="s">
        <v>29</v>
      </c>
      <c r="AB3" s="27"/>
      <c r="AC3" s="2" t="s">
        <v>30</v>
      </c>
      <c r="AD3" s="27"/>
      <c r="AE3" s="2" t="s">
        <v>31</v>
      </c>
      <c r="AF3" s="1"/>
      <c r="AG3" s="25"/>
      <c r="AH3" s="25"/>
      <c r="AI3" s="2" t="s">
        <v>25</v>
      </c>
      <c r="AJ3" s="27"/>
      <c r="AK3" s="2" t="s">
        <v>26</v>
      </c>
      <c r="AL3" s="27"/>
      <c r="AM3" s="2" t="s">
        <v>27</v>
      </c>
      <c r="AN3" s="27"/>
      <c r="AO3" s="2" t="s">
        <v>28</v>
      </c>
      <c r="AP3" s="27"/>
      <c r="AQ3" s="28" t="s">
        <v>29</v>
      </c>
      <c r="AR3" s="27"/>
      <c r="AS3" s="2" t="s">
        <v>30</v>
      </c>
      <c r="AT3" s="27"/>
      <c r="AU3" s="2" t="s">
        <v>31</v>
      </c>
      <c r="AV3" s="1"/>
      <c r="AW3" s="25"/>
      <c r="AX3" s="1"/>
      <c r="AY3" s="2" t="s">
        <v>0</v>
      </c>
      <c r="AZ3" s="3"/>
      <c r="BA3" s="2" t="s">
        <v>1</v>
      </c>
      <c r="BB3" s="2"/>
      <c r="BC3" s="2" t="s">
        <v>2</v>
      </c>
      <c r="BD3" s="2"/>
      <c r="BE3" s="26" t="s">
        <v>3</v>
      </c>
      <c r="BF3" s="185"/>
      <c r="BG3" s="26" t="s">
        <v>4</v>
      </c>
      <c r="BH3" s="186"/>
    </row>
    <row r="4" spans="1:60" x14ac:dyDescent="0.35">
      <c r="B4" s="7" t="s">
        <v>5</v>
      </c>
      <c r="C4" s="194"/>
      <c r="D4" s="29" t="str">
        <f>IF(C$4=0,"N.D.",C4/C$4)</f>
        <v>N.D.</v>
      </c>
      <c r="E4" s="8">
        <f>TablasERxDiv!AA5</f>
        <v>53292.74775000001</v>
      </c>
      <c r="F4" s="29">
        <f>IF(E$4=0,"N.D.",E4/E$4)</f>
        <v>1</v>
      </c>
      <c r="G4" s="195">
        <f>TablasERxDiv!BP5*TC_MES</f>
        <v>31876.853956343999</v>
      </c>
      <c r="H4" s="29">
        <f>IF(G$4=0,"N.D.",G4/G$4)</f>
        <v>1</v>
      </c>
      <c r="I4" s="195">
        <f>TablasERxDiv!CF5*TC_MES</f>
        <v>2085.1315764479996</v>
      </c>
      <c r="J4" s="29">
        <f>IF(I$4=0,"N.D.",I4/I$4)</f>
        <v>1</v>
      </c>
      <c r="K4" s="195">
        <f>TablasERxDiv!AT5</f>
        <v>172515.28391500001</v>
      </c>
      <c r="L4" s="29">
        <f>IF(K$4=0,"N.D.",K4/K$4)</f>
        <v>1</v>
      </c>
      <c r="M4" s="195">
        <f>TablasERxDiv!BC5</f>
        <v>7406.9097600000005</v>
      </c>
      <c r="N4" s="29">
        <f>IF(M$4=0,"N.D.",M4/M$4)</f>
        <v>1</v>
      </c>
      <c r="O4" s="195">
        <f>+K4+E4+C4+M4+G4+I4</f>
        <v>267176.92695779202</v>
      </c>
      <c r="P4" s="29">
        <f>IF(O$4=0,"N.D.",O4/O$4)</f>
        <v>1</v>
      </c>
      <c r="R4" s="7" t="s">
        <v>5</v>
      </c>
      <c r="S4" s="8"/>
      <c r="T4" s="29" t="str">
        <f>IF(S$4=0,"N.D.",S4/S$4)</f>
        <v>N.D.</v>
      </c>
      <c r="U4" s="8">
        <f>(BDER!K4+BDER!K26+BDER!K48+BDER!K70+BDER!K92+BDER!K114)/1000</f>
        <v>0</v>
      </c>
      <c r="V4" s="29" t="str">
        <f>IF(U$4=0,"N.D.",U4/U$4)</f>
        <v>N.D.</v>
      </c>
      <c r="W4" s="8">
        <f>(BDER!K466+BDER!K489+BDER!K556+BDER!K601)*TC_MES/1000</f>
        <v>28326.066112799999</v>
      </c>
      <c r="X4" s="29">
        <f>IF(W$4=0,"N.D.",W4/W$4)</f>
        <v>1</v>
      </c>
      <c r="Y4" s="8">
        <f>Y77*TC_MES</f>
        <v>2100.8510999999999</v>
      </c>
      <c r="Z4" s="29">
        <f t="shared" ref="Z4:AB6" si="0">IF(Y$4=0,"N.D.",Y4/Y$4)</f>
        <v>1</v>
      </c>
      <c r="AA4" s="8">
        <f>(BDER!K290+BDER!K312+BDER!G334+BDER!K356+BDER!K378+BDER!K400)/1000</f>
        <v>140114.96</v>
      </c>
      <c r="AB4" s="29">
        <f t="shared" si="0"/>
        <v>1</v>
      </c>
      <c r="AC4" s="8">
        <f>(BDER!K422+BDER!K444)/1000</f>
        <v>11272.662</v>
      </c>
      <c r="AD4" s="29">
        <f t="shared" ref="AD4" si="1">IF(AC$4=0,"N.D.",AC4/AC$4)</f>
        <v>1</v>
      </c>
      <c r="AE4" s="8">
        <f>+AA4+U4+S4+AC4+W4+Y4</f>
        <v>181814.53921280001</v>
      </c>
      <c r="AF4" s="29">
        <f t="shared" ref="AF4" si="2">IF(AE$4=0,"N.D.",AE4/AE$4)</f>
        <v>1</v>
      </c>
      <c r="AG4" s="25"/>
      <c r="AH4" s="7" t="s">
        <v>5</v>
      </c>
      <c r="AI4" s="8"/>
      <c r="AJ4" s="29" t="str">
        <f>IF(AI$4=0,"N.D.",AI4/AI$4)</f>
        <v>N.D.</v>
      </c>
      <c r="AK4" s="8">
        <f>(BDER!G4+BDER!G26+BDER!G48+BDER!G70+BDER!G92+BDER!G114)/1000</f>
        <v>59051.462630000002</v>
      </c>
      <c r="AL4" s="29">
        <f t="shared" ref="AL4:AL6" si="3">IF(AK$4=0,"N.D.",AK4/AK$4)</f>
        <v>1</v>
      </c>
      <c r="AM4" s="8">
        <f>(BDER!G466+BDER!G489+BDER!G556+BDER!G601)*TC_MES/1000</f>
        <v>27242.972252351999</v>
      </c>
      <c r="AN4" s="29">
        <f t="shared" ref="AN4:AN6" si="4">IF(AM$4=0,"N.D.",AM4/AM$4)</f>
        <v>1</v>
      </c>
      <c r="AO4" s="8">
        <f>AO77*TC_MES</f>
        <v>2664.6358045679999</v>
      </c>
      <c r="AP4" s="29">
        <f t="shared" ref="AP4:AP6" si="5">IF(AO$4=0,"N.D.",AO4/AO$4)</f>
        <v>1</v>
      </c>
      <c r="AQ4" s="8">
        <f>(BDER!G290+BDER!G312+BDER!E334+BDER!G356+BDER!G378+BDER!G400)/1000</f>
        <v>162469.56968000002</v>
      </c>
      <c r="AR4" s="29">
        <f t="shared" ref="AR4:AR6" si="6">IF(AQ$4=0,"N.D.",AQ4/AQ$4)</f>
        <v>1</v>
      </c>
      <c r="AS4" s="8">
        <f>(BDER!G422+BDER!G444)/1000</f>
        <v>1309.9778600000002</v>
      </c>
      <c r="AT4" s="29">
        <f t="shared" ref="AT4:AT6" si="7">IF(AS$4=0,"N.D.",AS4/AS$4)</f>
        <v>1</v>
      </c>
      <c r="AU4" s="8">
        <f>+AQ4+AK4+AI4+AS4+AM4+AO4</f>
        <v>252738.61822692002</v>
      </c>
      <c r="AV4" s="29">
        <f t="shared" ref="AV4:AV6" si="8">IF(AU$4=0,"N.D.",AU4/AU$4)</f>
        <v>1</v>
      </c>
      <c r="AW4" s="25"/>
      <c r="AX4" s="1" t="s">
        <v>5</v>
      </c>
      <c r="AY4" s="8">
        <f>O4</f>
        <v>267176.92695779202</v>
      </c>
      <c r="AZ4" s="9">
        <f>IF(AY$4=0,"N.D.",AY4/AY$4)</f>
        <v>1</v>
      </c>
      <c r="BA4" s="8">
        <f t="shared" ref="BA4:BA25" si="9">AE4</f>
        <v>181814.53921280001</v>
      </c>
      <c r="BB4" s="9">
        <f>IF(BA$4=0,"N.D.",BA4/BA$4)</f>
        <v>1</v>
      </c>
      <c r="BC4" s="8">
        <f t="shared" ref="BC4:BC25" si="10">AU4</f>
        <v>252738.61822692002</v>
      </c>
      <c r="BD4" s="9">
        <f>IF(BC$4=0,"N.D.",BC4/BC$4)</f>
        <v>1</v>
      </c>
      <c r="BE4" s="8">
        <f>+AY4-BA4</f>
        <v>85362.387744992011</v>
      </c>
      <c r="BF4" s="10">
        <f>IF(BA4=0,"N.D.",AY4/BA4-1)</f>
        <v>0.46950253876606562</v>
      </c>
      <c r="BG4" s="8">
        <f>AY4-BC4</f>
        <v>14438.308730871999</v>
      </c>
      <c r="BH4" s="10">
        <f>IF(BC4=0, "N.D.",AY4/BC4-1)</f>
        <v>5.7127433995499022E-2</v>
      </c>
    </row>
    <row r="5" spans="1:60" x14ac:dyDescent="0.35">
      <c r="B5" s="7" t="s">
        <v>6</v>
      </c>
      <c r="C5" s="196"/>
      <c r="D5" s="193" t="str">
        <f>IF(C$4=0,"N.D.",C5/C$4)</f>
        <v>N.D.</v>
      </c>
      <c r="E5" s="34">
        <f>TablasERxDiv!AA6</f>
        <v>27361.201470000004</v>
      </c>
      <c r="F5" s="190">
        <f>IF(E$4=0,"N.D.",E5/E$4)</f>
        <v>0.51341322459771266</v>
      </c>
      <c r="G5" s="197">
        <f>TablasERxDiv!BP6*TC_MES</f>
        <v>9568.0909688399988</v>
      </c>
      <c r="H5" s="193">
        <f>IF(G$4=0,"N.D.",G5/G$4)</f>
        <v>0.3001579447565213</v>
      </c>
      <c r="I5" s="197">
        <f>TablasERxDiv!CF6*TC_MES</f>
        <v>0</v>
      </c>
      <c r="J5" s="190">
        <f>IF(I$4=0,"N.D.",I5/I$4)</f>
        <v>0</v>
      </c>
      <c r="K5" s="197">
        <f>TablasERxDiv!AT6</f>
        <v>131951.14121999999</v>
      </c>
      <c r="L5" s="190">
        <f>IF(K$4=0,"N.D.",K5/K$4)</f>
        <v>0.76486638299835297</v>
      </c>
      <c r="M5" s="197">
        <f>TablasERxDiv!BC6</f>
        <v>3876.13193</v>
      </c>
      <c r="N5" s="190">
        <f>IF(M$4=0,"N.D.",M5/M$4)</f>
        <v>0.52331296797113935</v>
      </c>
      <c r="O5" s="197">
        <f>+K5+E5+C5+M5+G5+I5</f>
        <v>172756.56558883999</v>
      </c>
      <c r="P5" s="193">
        <f>IF(O$4=0,"N.D.",O5/O$4)</f>
        <v>0.64659986757064414</v>
      </c>
      <c r="R5" s="7" t="s">
        <v>6</v>
      </c>
      <c r="S5" s="8"/>
      <c r="T5" s="42" t="str">
        <f t="shared" ref="T5:T6" si="11">IF(S$4=0,"N.D.",S5/S$4)</f>
        <v>N.D.</v>
      </c>
      <c r="U5" s="8">
        <f>(BDER!K5+BDER!K27+BDER!K49+BDER!K71+BDER!K93+BDER!K115)/1000</f>
        <v>0</v>
      </c>
      <c r="V5" s="42" t="str">
        <f t="shared" ref="V5:V6" si="12">IF(U$4=0,"N.D.",U5/U$4)</f>
        <v>N.D.</v>
      </c>
      <c r="W5" s="8">
        <f>(BDER!K467+BDER!K490+BDER!K557+BDER!K602)*TC_MES/1000</f>
        <v>8858.8668959999995</v>
      </c>
      <c r="X5" s="42">
        <f t="shared" ref="X5:X6" si="13">IF(W$4=0,"N.D.",W5/W$4)</f>
        <v>0.31274610673865688</v>
      </c>
      <c r="Y5" s="8">
        <f>Y78*TC_MES</f>
        <v>0</v>
      </c>
      <c r="Z5" s="42">
        <f t="shared" ref="Z5" si="14">IF(Y$4=0,"N.D.",Y5/Y$4)</f>
        <v>0</v>
      </c>
      <c r="AA5" s="8">
        <f>(BDER!K291+BDER!K313+BDER!G335+BDER!K357+BDER!K379+BDER!K401)/1000</f>
        <v>93207.816000000006</v>
      </c>
      <c r="AB5" s="42">
        <f t="shared" si="0"/>
        <v>0.66522387045608844</v>
      </c>
      <c r="AC5" s="8">
        <f>(BDER!K423+BDER!K445)/1000</f>
        <v>7537.8329999999996</v>
      </c>
      <c r="AD5" s="42">
        <f t="shared" ref="AD5" si="15">IF(AC$4=0,"N.D.",AC5/AC$4)</f>
        <v>0.6686826057589591</v>
      </c>
      <c r="AE5" s="11">
        <f>+AA5+U5+S5+AC5+W5+Y5</f>
        <v>109604.515896</v>
      </c>
      <c r="AF5" s="42">
        <f t="shared" ref="AF5" si="16">IF(AE$4=0,"N.D.",AE5/AE$4)</f>
        <v>0.6028369148614473</v>
      </c>
      <c r="AG5" s="40"/>
      <c r="AH5" s="7" t="s">
        <v>6</v>
      </c>
      <c r="AI5" s="8"/>
      <c r="AJ5" s="42" t="str">
        <f t="shared" ref="AJ5:AJ6" si="17">IF(AI$4=0,"N.D.",AI5/AI$4)</f>
        <v>N.D.</v>
      </c>
      <c r="AK5" s="8">
        <f>(BDER!G5+BDER!G27+BDER!G49+BDER!G71+BDER!G93+BDER!G115)/1000</f>
        <v>32529.700089999998</v>
      </c>
      <c r="AL5" s="42">
        <f t="shared" si="3"/>
        <v>0.55087035343767909</v>
      </c>
      <c r="AM5" s="8">
        <f>(BDER!G467+BDER!G490+BDER!G557+BDER!G602)*TC_MES/1000</f>
        <v>8934.0236685359996</v>
      </c>
      <c r="AN5" s="42">
        <f>IF(AM$4=0,"N.D.",AM5/AM$4)</f>
        <v>0.32793865462916544</v>
      </c>
      <c r="AO5" s="8">
        <f>AO78*TC_MES</f>
        <v>0</v>
      </c>
      <c r="AP5" s="42">
        <f t="shared" si="5"/>
        <v>0</v>
      </c>
      <c r="AQ5" s="8">
        <f>(BDER!G291+BDER!G313+BDER!E335+BDER!G357+BDER!G379+BDER!G401)/1000</f>
        <v>119652.00849000001</v>
      </c>
      <c r="AR5" s="42">
        <f t="shared" si="6"/>
        <v>0.73645796394775065</v>
      </c>
      <c r="AS5" s="8">
        <f>(BDER!G423+BDER!G445)/1000</f>
        <v>1064.98981</v>
      </c>
      <c r="AT5" s="42">
        <f t="shared" si="7"/>
        <v>0.81298306064500958</v>
      </c>
      <c r="AU5" s="11">
        <f>+AQ5+AK5+AI5+AS5+AM5+AO5</f>
        <v>162180.72205853602</v>
      </c>
      <c r="AV5" s="42">
        <f t="shared" si="8"/>
        <v>0.64169347445321123</v>
      </c>
      <c r="AW5" s="25"/>
      <c r="AX5" s="1" t="s">
        <v>6</v>
      </c>
      <c r="AY5" s="11">
        <f>O5</f>
        <v>172756.56558883999</v>
      </c>
      <c r="AZ5" s="12">
        <f t="shared" ref="AZ5:AZ6" si="18">IF(AY$4=0,"N.D.",AY5/AY$4)</f>
        <v>0.64659986757064414</v>
      </c>
      <c r="BA5" s="11">
        <f t="shared" si="9"/>
        <v>109604.515896</v>
      </c>
      <c r="BB5" s="12">
        <f t="shared" ref="BB5:BB6" si="19">IF(BA$4=0,"N.D.",BA5/BA$4)</f>
        <v>0.6028369148614473</v>
      </c>
      <c r="BC5" s="11">
        <f>AU5</f>
        <v>162180.72205853602</v>
      </c>
      <c r="BD5" s="12">
        <f t="shared" ref="BD5:BD6" si="20">IF(BC$4=0,"N.D.",BC5/BC$4)</f>
        <v>0.64169347445321123</v>
      </c>
      <c r="BE5" s="11">
        <f>+AY5-BA5</f>
        <v>63152.049692839995</v>
      </c>
      <c r="BF5" s="13">
        <f>IF(BA5=0,"N.D.",AY5/BA5-1)</f>
        <v>0.5761810923261852</v>
      </c>
      <c r="BG5" s="11">
        <f>AY5-BC5</f>
        <v>10575.843530303973</v>
      </c>
      <c r="BH5" s="13">
        <f>IF(BC5=0, "N.D.",AY5/BC5-1)</f>
        <v>6.5210238282739974E-2</v>
      </c>
    </row>
    <row r="6" spans="1:60" x14ac:dyDescent="0.35">
      <c r="B6" s="4" t="s">
        <v>7</v>
      </c>
      <c r="C6" s="20"/>
      <c r="D6" s="35" t="str">
        <f>IF(C$4=0,"N.D.",C6/C$4)</f>
        <v>N.D.</v>
      </c>
      <c r="E6" s="20">
        <f>+E4-E5</f>
        <v>25931.546280000006</v>
      </c>
      <c r="F6" s="35">
        <f>IF(E$4=0,"N.D.",E6/E$4)</f>
        <v>0.48658677540228729</v>
      </c>
      <c r="G6" s="20">
        <f>+G4-G5</f>
        <v>22308.762987504</v>
      </c>
      <c r="H6" s="35">
        <f>IF(G$4=0,"N.D.",G6/G$4)</f>
        <v>0.69984205524347876</v>
      </c>
      <c r="I6" s="20">
        <f>+I4-I5</f>
        <v>2085.1315764479996</v>
      </c>
      <c r="J6" s="35">
        <f>IF(I$4=0,"N.D.",I6/I$4)</f>
        <v>1</v>
      </c>
      <c r="K6" s="20">
        <f>+K4-K5</f>
        <v>40564.142695000017</v>
      </c>
      <c r="L6" s="35">
        <f>IF(K$4=0,"N.D.",K6/K$4)</f>
        <v>0.23513361700164706</v>
      </c>
      <c r="M6" s="191">
        <f>+M4-M5</f>
        <v>3530.7778300000004</v>
      </c>
      <c r="N6" s="35">
        <f>IF(M$4=0,"N.D.",M6/M$4)</f>
        <v>0.47668703202886059</v>
      </c>
      <c r="O6" s="192">
        <f>+O4-O5</f>
        <v>94420.361368952028</v>
      </c>
      <c r="P6" s="35">
        <f>IF(O$4=0,"N.D.",O6/O$4)</f>
        <v>0.35340013242935581</v>
      </c>
      <c r="R6" s="4" t="s">
        <v>7</v>
      </c>
      <c r="S6" s="14"/>
      <c r="T6" s="43" t="str">
        <f t="shared" si="11"/>
        <v>N.D.</v>
      </c>
      <c r="U6" s="14">
        <f>U4-U5</f>
        <v>0</v>
      </c>
      <c r="V6" s="43" t="str">
        <f t="shared" si="12"/>
        <v>N.D.</v>
      </c>
      <c r="W6" s="14">
        <f>W4-W5</f>
        <v>19467.1992168</v>
      </c>
      <c r="X6" s="43">
        <f t="shared" si="13"/>
        <v>0.68725389326134312</v>
      </c>
      <c r="Y6" s="14">
        <f>Y4-Y5</f>
        <v>2100.8510999999999</v>
      </c>
      <c r="Z6" s="43">
        <f t="shared" ref="Z6" si="21">IF(Y$4=0,"N.D.",Y6/Y$4)</f>
        <v>1</v>
      </c>
      <c r="AA6" s="14">
        <f>AA4-AA5</f>
        <v>46907.143999999986</v>
      </c>
      <c r="AB6" s="43">
        <f t="shared" si="0"/>
        <v>0.33477612954391156</v>
      </c>
      <c r="AC6" s="14">
        <f>AC4-AC5</f>
        <v>3734.8290000000006</v>
      </c>
      <c r="AD6" s="43">
        <f t="shared" ref="AD6" si="22">IF(AC$4=0,"N.D.",AC6/AC$4)</f>
        <v>0.3313173942410409</v>
      </c>
      <c r="AE6" s="14">
        <f>AE4-AE5</f>
        <v>72210.023316800012</v>
      </c>
      <c r="AF6" s="43">
        <f t="shared" ref="AF6" si="23">IF(AE$4=0,"N.D.",AE6/AE$4)</f>
        <v>0.39716308513855264</v>
      </c>
      <c r="AG6" s="25"/>
      <c r="AH6" s="4" t="s">
        <v>7</v>
      </c>
      <c r="AI6" s="14"/>
      <c r="AJ6" s="43" t="str">
        <f t="shared" si="17"/>
        <v>N.D.</v>
      </c>
      <c r="AK6" s="14">
        <f>+AK4-AK5</f>
        <v>26521.762540000003</v>
      </c>
      <c r="AL6" s="43">
        <f t="shared" si="3"/>
        <v>0.44912964656232091</v>
      </c>
      <c r="AM6" s="14">
        <f>+AM4-AM5</f>
        <v>18308.948583816</v>
      </c>
      <c r="AN6" s="43">
        <f t="shared" si="4"/>
        <v>0.67206134537083462</v>
      </c>
      <c r="AO6" s="14">
        <f>+AO4-AO5</f>
        <v>2664.6358045679999</v>
      </c>
      <c r="AP6" s="43">
        <f t="shared" si="5"/>
        <v>1</v>
      </c>
      <c r="AQ6" s="14">
        <f>+AQ4-AQ5</f>
        <v>42817.561190000008</v>
      </c>
      <c r="AR6" s="43">
        <f t="shared" si="6"/>
        <v>0.26354203605224941</v>
      </c>
      <c r="AS6" s="14">
        <f>+AS4-AS5</f>
        <v>244.98805000000016</v>
      </c>
      <c r="AT6" s="43">
        <f t="shared" si="7"/>
        <v>0.18701693935499042</v>
      </c>
      <c r="AU6" s="14">
        <f>+AQ6+AK6+AI6+AS6+AM6+AO6</f>
        <v>90557.896168384003</v>
      </c>
      <c r="AV6" s="43">
        <f t="shared" si="8"/>
        <v>0.35830652554678871</v>
      </c>
      <c r="AW6" s="25"/>
      <c r="AX6" s="26" t="s">
        <v>7</v>
      </c>
      <c r="AY6" s="14">
        <f>O6</f>
        <v>94420.361368952028</v>
      </c>
      <c r="AZ6" s="15">
        <f t="shared" si="18"/>
        <v>0.35340013242935581</v>
      </c>
      <c r="BA6" s="14">
        <f t="shared" si="9"/>
        <v>72210.023316800012</v>
      </c>
      <c r="BB6" s="15">
        <f t="shared" si="19"/>
        <v>0.39716308513855264</v>
      </c>
      <c r="BC6" s="14">
        <f t="shared" si="10"/>
        <v>90557.896168384003</v>
      </c>
      <c r="BD6" s="15">
        <f t="shared" si="20"/>
        <v>0.35830652554678871</v>
      </c>
      <c r="BE6" s="14">
        <f>+AY6-BA6</f>
        <v>22210.338052152016</v>
      </c>
      <c r="BF6" s="16">
        <f>IF(BA6=0,"N.D.",AY6/BA6-1)</f>
        <v>0.30757971029466025</v>
      </c>
      <c r="BG6" s="14">
        <f>AY6-BC6</f>
        <v>3862.4652005680255</v>
      </c>
      <c r="BH6" s="16">
        <f>IF(BC6=0, "N.D.",AY6/BC6-1)</f>
        <v>4.2651887510572584E-2</v>
      </c>
    </row>
    <row r="7" spans="1:60" x14ac:dyDescent="0.35">
      <c r="B7" s="1"/>
      <c r="C7" s="30"/>
      <c r="D7" s="18"/>
      <c r="E7" s="30"/>
      <c r="F7" s="18"/>
      <c r="G7" s="30"/>
      <c r="H7" s="18"/>
      <c r="I7" s="30"/>
      <c r="J7" s="18"/>
      <c r="K7" s="30"/>
      <c r="L7" s="18"/>
      <c r="M7" s="30"/>
      <c r="N7" s="18"/>
      <c r="O7" s="30"/>
      <c r="P7" s="18"/>
      <c r="R7" s="1"/>
      <c r="S7" s="30"/>
      <c r="T7" s="44"/>
      <c r="U7" s="30"/>
      <c r="V7" s="44"/>
      <c r="W7" s="30"/>
      <c r="X7" s="44"/>
      <c r="Y7" s="30"/>
      <c r="Z7" s="44"/>
      <c r="AA7" s="30"/>
      <c r="AB7" s="44"/>
      <c r="AC7" s="30"/>
      <c r="AD7" s="44"/>
      <c r="AE7" s="30"/>
      <c r="AF7" s="44"/>
      <c r="AG7" s="25"/>
      <c r="AH7" s="1"/>
      <c r="AI7" s="30"/>
      <c r="AJ7" s="44"/>
      <c r="AK7" s="30"/>
      <c r="AL7" s="44"/>
      <c r="AM7" s="30"/>
      <c r="AN7" s="44"/>
      <c r="AO7" s="30"/>
      <c r="AP7" s="44"/>
      <c r="AQ7" s="30"/>
      <c r="AR7" s="44"/>
      <c r="AS7" s="30"/>
      <c r="AT7" s="44"/>
      <c r="AU7" s="30"/>
      <c r="AV7" s="44"/>
      <c r="AW7" s="25"/>
      <c r="AX7" s="1"/>
      <c r="AY7" s="30"/>
      <c r="AZ7" s="187"/>
      <c r="BA7" s="30"/>
      <c r="BB7" s="187"/>
      <c r="BC7" s="30"/>
      <c r="BD7" s="187"/>
      <c r="BE7" s="30"/>
      <c r="BF7" s="188"/>
      <c r="BG7" s="30"/>
      <c r="BH7" s="188"/>
    </row>
    <row r="8" spans="1:60" x14ac:dyDescent="0.35">
      <c r="B8" s="7" t="s">
        <v>8</v>
      </c>
      <c r="C8" s="194"/>
      <c r="D8" s="29" t="str">
        <f>IF(C$4=0,"N.D.",C8/C$4)</f>
        <v>N.D.</v>
      </c>
      <c r="E8" s="8">
        <f>TablasERxDiv!AA9</f>
        <v>12855.633999999998</v>
      </c>
      <c r="F8" s="29">
        <f>IF(E$4=0,"N.D.",E8/E$4)</f>
        <v>0.24122670612344241</v>
      </c>
      <c r="G8" s="195">
        <f>TablasERxDiv!BP9*TC_MES</f>
        <v>19435.020953256</v>
      </c>
      <c r="H8" s="29">
        <f>IF(G$4=0,"N.D.",G8/G$4)</f>
        <v>0.60969068590873676</v>
      </c>
      <c r="I8" s="195">
        <f>TablasERxDiv!CF9*TC_MES</f>
        <v>437.31276048000001</v>
      </c>
      <c r="J8" s="29">
        <f>IF(I$4=0,"N.D.",I8/I$4)</f>
        <v>0.20972909595708</v>
      </c>
      <c r="K8" s="195">
        <f>TablasERxDiv!AT9</f>
        <v>21332.510435</v>
      </c>
      <c r="L8" s="29">
        <f>IF(K$4=0,"N.D.",K8/K$4)</f>
        <v>0.12365577096062248</v>
      </c>
      <c r="M8" s="195">
        <f>TablasERxDiv!BC9</f>
        <v>48.372</v>
      </c>
      <c r="N8" s="29">
        <f>IF(M$4=0,"N.D.",M8/M$4)</f>
        <v>6.5306587453280917E-3</v>
      </c>
      <c r="O8" s="195">
        <f>+K8+E8+C8+M8+G8+I8</f>
        <v>54108.850148735997</v>
      </c>
      <c r="P8" s="29">
        <f>IF(O$4=0,"N.D.",O8/O$4)</f>
        <v>0.20252066959840431</v>
      </c>
      <c r="R8" s="7" t="s">
        <v>8</v>
      </c>
      <c r="S8" s="8"/>
      <c r="T8" s="29" t="str">
        <f t="shared" ref="T8:T12" si="24">IF(S$4=0,"N.D.",S8/S$4)</f>
        <v>N.D.</v>
      </c>
      <c r="U8" s="8">
        <f>(BDER!K7+BDER!K29+BDER!K51+BDER!K73+BDER!K95+BDER!K117)/1000</f>
        <v>0</v>
      </c>
      <c r="V8" s="29" t="str">
        <f>IF(U$4=0,"N.D.",U8/U$4)</f>
        <v>N.D.</v>
      </c>
      <c r="W8" s="8">
        <f>(BDER!K470+BDER!K493+BDER!K560+BDER!K605)*TC_MES/1000</f>
        <v>18879.122707199997</v>
      </c>
      <c r="X8" s="29">
        <f t="shared" ref="X8:X12" si="25">IF(W$4=0,"N.D.",W8/W$4)</f>
        <v>0.66649292676291849</v>
      </c>
      <c r="Y8" s="8">
        <f>Y81*TC_MES</f>
        <v>671.46335999999997</v>
      </c>
      <c r="Z8" s="29">
        <f t="shared" ref="Z8" si="26">IF(Y$4=0,"N.D.",Y8/Y$4)</f>
        <v>0.31961492178098677</v>
      </c>
      <c r="AA8" s="8">
        <f>(BDER!K293+BDER!K315+BDER!G337+BDER!K359+BDER!K381+BDER!K403)/1000</f>
        <v>19782.437999999998</v>
      </c>
      <c r="AB8" s="29">
        <f t="shared" ref="AB8" si="27">IF(AA$4=0,"N.D.",AA8/AA$4)</f>
        <v>0.14118719371578881</v>
      </c>
      <c r="AC8" s="8">
        <f>(BDER!K425+BDER!K447)/1000</f>
        <v>286.67700000000002</v>
      </c>
      <c r="AD8" s="29">
        <f t="shared" ref="AD8" si="28">IF(AC$4=0,"N.D.",AC8/AC$4)</f>
        <v>2.5431171448234677E-2</v>
      </c>
      <c r="AE8" s="8">
        <f>+AA8+U8+S8+AC8+W8+Y8</f>
        <v>39619.701067199996</v>
      </c>
      <c r="AF8" s="29">
        <f t="shared" ref="AF8" si="29">IF(AE$4=0,"N.D.",AE8/AE$4)</f>
        <v>0.21791272160488864</v>
      </c>
      <c r="AG8" s="25"/>
      <c r="AH8" s="7" t="s">
        <v>8</v>
      </c>
      <c r="AI8" s="8"/>
      <c r="AJ8" s="29" t="str">
        <f t="shared" ref="AJ8:AJ12" si="30">IF(AI$4=0,"N.D.",AI8/AI$4)</f>
        <v>N.D.</v>
      </c>
      <c r="AK8" s="8">
        <f>(BDER!G7+BDER!G29+BDER!G51+BDER!G73+BDER!G95+BDER!G117)/1000</f>
        <v>14453.622669999999</v>
      </c>
      <c r="AL8" s="29">
        <f t="shared" ref="AL8:AL12" si="31">IF(AK$4=0,"N.D.",AK8/AK$4)</f>
        <v>0.24476316125414824</v>
      </c>
      <c r="AM8" s="8">
        <f>(BDER!G470+BDER!G493+BDER!G560+BDER!G605)*TC_MES/1000</f>
        <v>18563.403062304002</v>
      </c>
      <c r="AN8" s="29">
        <f t="shared" ref="AN8:AN12" si="32">IF(AM$4=0,"N.D.",AM8/AM$4)</f>
        <v>0.68140153322298913</v>
      </c>
      <c r="AO8" s="8">
        <f>AO81*TC_MES</f>
        <v>1639.6356596399999</v>
      </c>
      <c r="AP8" s="29">
        <f t="shared" ref="AP8:AP12" si="33">IF(AO$4=0,"N.D.",AO8/AO$4)</f>
        <v>0.61533199277333261</v>
      </c>
      <c r="AQ8" s="8">
        <f>(BDER!G293+BDER!G315+BDER!E337+BDER!G359+BDER!G381+BDER!G403)/1000</f>
        <v>23174.014069999997</v>
      </c>
      <c r="AR8" s="29">
        <f t="shared" ref="AR8:AR12" si="34">IF(AQ$4=0,"N.D.",AQ8/AQ$4)</f>
        <v>0.14263602787674962</v>
      </c>
      <c r="AS8" s="8">
        <f>(BDER!G425+BDER!G447)/1000</f>
        <v>78.979380000000006</v>
      </c>
      <c r="AT8" s="29">
        <f>IF(AS$4=0,"N.D.",AS8/AS$4)</f>
        <v>6.029062201097047E-2</v>
      </c>
      <c r="AU8" s="8">
        <f>+AQ8+AK8+AI8+AS8+AM8+AO8</f>
        <v>57909.654841943993</v>
      </c>
      <c r="AV8" s="29">
        <f t="shared" ref="AV8:AV12" si="35">IF(AU$4=0,"N.D.",AU8/AU$4)</f>
        <v>0.22912863593307342</v>
      </c>
      <c r="AW8" s="25"/>
      <c r="AX8" s="1" t="s">
        <v>8</v>
      </c>
      <c r="AY8" s="8">
        <f>O8</f>
        <v>54108.850148735997</v>
      </c>
      <c r="AZ8" s="9">
        <f t="shared" ref="AZ8:AZ12" si="36">IF(AY$4=0,"N.D.",AY8/AY$4)</f>
        <v>0.20252066959840431</v>
      </c>
      <c r="BA8" s="8">
        <f t="shared" si="9"/>
        <v>39619.701067199996</v>
      </c>
      <c r="BB8" s="9">
        <f t="shared" ref="BB8:BB12" si="37">IF(BA$4=0,"N.D.",BA8/BA$4)</f>
        <v>0.21791272160488864</v>
      </c>
      <c r="BC8" s="8">
        <f t="shared" si="10"/>
        <v>57909.654841943993</v>
      </c>
      <c r="BD8" s="9">
        <f t="shared" ref="BD8:BD25" si="38">IF(BC$4=0,"N.D.",BC8/BC$4)</f>
        <v>0.22912863593307342</v>
      </c>
      <c r="BE8" s="8">
        <f>+AY8-BA8</f>
        <v>14489.149081536001</v>
      </c>
      <c r="BF8" s="10">
        <f>IF(BA8=0,"N.D.",AY8/BA8-1)</f>
        <v>0.36570566388071879</v>
      </c>
      <c r="BG8" s="8">
        <f>AY8-BC8</f>
        <v>-3800.804693207996</v>
      </c>
      <c r="BH8" s="10">
        <f>IF(BC8=0, "N.D.",AY8/BC8-1)</f>
        <v>-6.5633350839022331E-2</v>
      </c>
    </row>
    <row r="9" spans="1:60" x14ac:dyDescent="0.35">
      <c r="B9" s="7" t="s">
        <v>9</v>
      </c>
      <c r="C9" s="198"/>
      <c r="D9" s="42" t="str">
        <f>IF(C$4=0,"N.D.",C9/C$4)</f>
        <v>N.D.</v>
      </c>
      <c r="E9" s="11">
        <f>TablasERxDiv!AA10-E15-E14</f>
        <v>5805.3822199999995</v>
      </c>
      <c r="F9" s="42">
        <f>IF(E$4=0,"N.D.",E9/E$4)</f>
        <v>0.10893381304400838</v>
      </c>
      <c r="G9" s="30">
        <f>TablasERxDiv!BP10*TC_MES-G15-G14</f>
        <v>695.30172501599998</v>
      </c>
      <c r="H9" s="42">
        <f>IF(G$4=0,"N.D.",G9/G$4)</f>
        <v>2.1812118785882378E-2</v>
      </c>
      <c r="I9" s="30">
        <f>TablasERxDiv!CF10*TC_MES-I15-I14</f>
        <v>0.473058072</v>
      </c>
      <c r="J9" s="42">
        <f>IF(I$4=0,"N.D.",I9/I$4)</f>
        <v>2.2687204843247811E-4</v>
      </c>
      <c r="K9" s="30">
        <f>TablasERxDiv!AT10-K15-K14</f>
        <v>7847.31909</v>
      </c>
      <c r="L9" s="42">
        <f>IF(K$4=0,"N.D.",K9/K$4)</f>
        <v>4.5487674552165777E-2</v>
      </c>
      <c r="M9" s="30">
        <f>TablasERxDiv!BC10-M15-M14</f>
        <v>581.48009999999999</v>
      </c>
      <c r="N9" s="42">
        <f>IF(M$4=0,"N.D.",M9/M$4)</f>
        <v>7.8505087660201214E-2</v>
      </c>
      <c r="O9" s="30">
        <f>+K9+E9+C9+M9+G9+I9</f>
        <v>14929.956193088001</v>
      </c>
      <c r="P9" s="42">
        <f>IF(O$4=0,"N.D.",O9/O$4)</f>
        <v>5.5880409895748967E-2</v>
      </c>
      <c r="R9" s="7" t="s">
        <v>9</v>
      </c>
      <c r="S9" s="8"/>
      <c r="T9" s="42" t="str">
        <f t="shared" si="24"/>
        <v>N.D.</v>
      </c>
      <c r="U9" s="8">
        <f>(BDER!K8+BDER!K30+BDER!K52+BDER!K74+BDER!K96+BDER!K118)/1000</f>
        <v>0</v>
      </c>
      <c r="V9" s="42" t="str">
        <f t="shared" ref="V9:V12" si="39">IF(U$4=0,"N.D.",U9/U$4)</f>
        <v>N.D.</v>
      </c>
      <c r="W9" s="8">
        <f>(BDER!K471+BDER!K494+BDER!K561+BDER!K606)*TC_MES/1000</f>
        <v>1249.2049967999999</v>
      </c>
      <c r="X9" s="42">
        <f t="shared" si="25"/>
        <v>4.4100899568101634E-2</v>
      </c>
      <c r="Y9" s="8">
        <f>Y82*TC_MES</f>
        <v>0</v>
      </c>
      <c r="Z9" s="42">
        <f t="shared" ref="Z9" si="40">IF(Y$4=0,"N.D.",Y9/Y$4)</f>
        <v>0</v>
      </c>
      <c r="AA9" s="8">
        <f>(BDER!K294+BDER!K316+BDER!G338+BDER!K360+BDER!K382+BDER!K404)/1000</f>
        <v>6913.0630000000001</v>
      </c>
      <c r="AB9" s="42">
        <f t="shared" ref="AB9" si="41">IF(AA$4=0,"N.D.",AA9/AA$4)</f>
        <v>4.9338507465583978E-2</v>
      </c>
      <c r="AC9" s="8">
        <f>(BDER!K426+BDER!K448)/1000</f>
        <v>563.61</v>
      </c>
      <c r="AD9" s="42">
        <f t="shared" ref="AD9" si="42">IF(AC$4=0,"N.D.",AC9/AC$4)</f>
        <v>4.9997950794586056E-2</v>
      </c>
      <c r="AE9" s="11">
        <f>+AA9+U9+S9+AC9+W9+Y9</f>
        <v>8725.8779967999999</v>
      </c>
      <c r="AF9" s="42">
        <f t="shared" ref="AF9" si="43">IF(AE$4=0,"N.D.",AE9/AE$4)</f>
        <v>4.7993290495800381E-2</v>
      </c>
      <c r="AG9" s="25"/>
      <c r="AH9" s="7" t="s">
        <v>9</v>
      </c>
      <c r="AI9" s="8"/>
      <c r="AJ9" s="42" t="str">
        <f t="shared" si="30"/>
        <v>N.D.</v>
      </c>
      <c r="AK9" s="8">
        <f>(BDER!G8+BDER!G30+BDER!G52+BDER!G74+BDER!G96+BDER!G118)/1000</f>
        <v>8625.8003800000006</v>
      </c>
      <c r="AL9" s="42">
        <f t="shared" si="31"/>
        <v>0.14607259491685853</v>
      </c>
      <c r="AM9" s="8">
        <f>(BDER!G471+BDER!G494+BDER!G561+BDER!G606)*TC_MES/1000</f>
        <v>1153.2120285599999</v>
      </c>
      <c r="AN9" s="42">
        <f t="shared" si="32"/>
        <v>4.23306244956601E-2</v>
      </c>
      <c r="AO9" s="8">
        <f>AO82*TC_MES</f>
        <v>1.205195832</v>
      </c>
      <c r="AP9" s="42">
        <f t="shared" si="33"/>
        <v>4.522928911838256E-4</v>
      </c>
      <c r="AQ9" s="8">
        <f>(BDER!G294+BDER!G316+BDER!E338+BDER!G360+BDER!G382+BDER!G404)/1000</f>
        <v>7275.2800399999996</v>
      </c>
      <c r="AR9" s="42">
        <f t="shared" si="34"/>
        <v>4.4779339628518669E-2</v>
      </c>
      <c r="AS9" s="8">
        <f>(BDER!G426+BDER!G448)/1000</f>
        <v>542.21614</v>
      </c>
      <c r="AT9" s="42">
        <f t="shared" ref="AT9:AT12" si="44">IF(AS$4=0,"N.D.",AS9/AS$4)</f>
        <v>0.41391244581797737</v>
      </c>
      <c r="AU9" s="11">
        <f>+AQ9+AK9+AI9+AS9+AM9+AO9</f>
        <v>17597.713784391999</v>
      </c>
      <c r="AV9" s="42">
        <f t="shared" si="35"/>
        <v>6.9628115829105247E-2</v>
      </c>
      <c r="AW9" s="25"/>
      <c r="AX9" s="1" t="s">
        <v>9</v>
      </c>
      <c r="AY9" s="11">
        <f>O9+O14+O15</f>
        <v>14929.956193088001</v>
      </c>
      <c r="AZ9" s="12">
        <f t="shared" si="36"/>
        <v>5.5880409895748967E-2</v>
      </c>
      <c r="BA9" s="11">
        <f t="shared" si="9"/>
        <v>8725.8779967999999</v>
      </c>
      <c r="BB9" s="12">
        <f t="shared" si="37"/>
        <v>4.7993290495800381E-2</v>
      </c>
      <c r="BC9" s="11">
        <f t="shared" si="10"/>
        <v>17597.713784391999</v>
      </c>
      <c r="BD9" s="12">
        <f t="shared" si="38"/>
        <v>6.9628115829105247E-2</v>
      </c>
      <c r="BE9" s="11">
        <f>+AY9-BA9</f>
        <v>6204.078196288001</v>
      </c>
      <c r="BF9" s="13">
        <f>IF(BA9=0,"N.D.",AY9/BA9-1)</f>
        <v>0.7109975865538336</v>
      </c>
      <c r="BG9" s="11">
        <f>AY9-BC9</f>
        <v>-2667.7575913039982</v>
      </c>
      <c r="BH9" s="13">
        <f>IF(BC9=0, "N.D.",AY9/BC9-1)</f>
        <v>-0.15159682808741448</v>
      </c>
    </row>
    <row r="10" spans="1:60" x14ac:dyDescent="0.35">
      <c r="B10" s="7" t="s">
        <v>10</v>
      </c>
      <c r="C10" s="196"/>
      <c r="D10" s="193" t="str">
        <f>IF(C$4=0,"N.D.",C10/C$4)</f>
        <v>N.D.</v>
      </c>
      <c r="E10" s="34">
        <f>TablasERxDiv!AA11</f>
        <v>910.51363000000003</v>
      </c>
      <c r="F10" s="193">
        <f>IF(E$4=0,"N.D.",E10/E$4)</f>
        <v>1.7085132000910948E-2</v>
      </c>
      <c r="G10" s="197">
        <f>TablasERxDiv!BP11*TC_MES</f>
        <v>376.41770791200003</v>
      </c>
      <c r="H10" s="193">
        <f>IF(G$4=0,"N.D.",G10/G$4)</f>
        <v>1.180849617178382E-2</v>
      </c>
      <c r="I10" s="197">
        <f>TablasERxDiv!CF11*TC_MES</f>
        <v>609.25854938399993</v>
      </c>
      <c r="J10" s="193">
        <f>IF(I$4=0,"N.D.",I10/I$4)</f>
        <v>0.2921918963127812</v>
      </c>
      <c r="K10" s="197">
        <f>TablasERxDiv!AT11</f>
        <v>1941.8039600000002</v>
      </c>
      <c r="L10" s="193">
        <f>IF(K$4=0,"N.D.",K10/K$4)</f>
        <v>1.1255837256464455E-2</v>
      </c>
      <c r="M10" s="197">
        <f>TablasERxDiv!BC11</f>
        <v>31.925409999999999</v>
      </c>
      <c r="N10" s="193">
        <f>IF(M$4=0,"N.D.",M10/M$4)</f>
        <v>4.3102199209188148E-3</v>
      </c>
      <c r="O10" s="197">
        <f>+K10+E10+C10+M10+G10+I10</f>
        <v>3869.9192572960001</v>
      </c>
      <c r="P10" s="193">
        <f>IF(O$4=0,"N.D.",O10/O$4)</f>
        <v>1.4484481505797694E-2</v>
      </c>
      <c r="R10" s="7" t="s">
        <v>10</v>
      </c>
      <c r="S10" s="8"/>
      <c r="T10" s="42" t="str">
        <f t="shared" si="24"/>
        <v>N.D.</v>
      </c>
      <c r="U10" s="8">
        <f>(BDER!K9+BDER!K31+BDER!K53+BDER!K75+BDER!K97+BDER!K119)/1000</f>
        <v>0</v>
      </c>
      <c r="V10" s="42" t="str">
        <f t="shared" si="39"/>
        <v>N.D.</v>
      </c>
      <c r="W10" s="8">
        <f>(BDER!K472+BDER!K495+BDER!K562+BDER!K607)*TC_MES/1000</f>
        <v>268.86849119999999</v>
      </c>
      <c r="X10" s="42">
        <f t="shared" si="25"/>
        <v>9.4919107414814484E-3</v>
      </c>
      <c r="Y10" s="8">
        <f>Y83*TC_MES</f>
        <v>277.03931039999998</v>
      </c>
      <c r="Z10" s="42">
        <f t="shared" ref="Z10" si="45">IF(Y$4=0,"N.D.",Y10/Y$4)</f>
        <v>0.13187003610108303</v>
      </c>
      <c r="AA10" s="8">
        <f>(BDER!K295+BDER!K317+BDER!G339+BDER!K361+BDER!K383+BDER!K405)/1000</f>
        <v>2302.25</v>
      </c>
      <c r="AB10" s="42">
        <f t="shared" ref="AB10" si="46">IF(AA$4=0,"N.D.",AA10/AA$4)</f>
        <v>1.64311505352462E-2</v>
      </c>
      <c r="AC10" s="8">
        <f>(BDER!K427+BDER!K449)/1000</f>
        <v>33.756</v>
      </c>
      <c r="AD10" s="42">
        <f t="shared" ref="AD10" si="47">IF(AC$4=0,"N.D.",AC10/AC$4)</f>
        <v>2.9945012100957165E-3</v>
      </c>
      <c r="AE10" s="11">
        <f>+AA10+U10+S10+AC10+W10+Y10</f>
        <v>2881.9138015999997</v>
      </c>
      <c r="AF10" s="42">
        <f t="shared" ref="AF10" si="48">IF(AE$4=0,"N.D.",AE10/AE$4)</f>
        <v>1.5850843469822511E-2</v>
      </c>
      <c r="AG10" s="25"/>
      <c r="AH10" s="7" t="s">
        <v>10</v>
      </c>
      <c r="AI10" s="8"/>
      <c r="AJ10" s="42" t="str">
        <f t="shared" si="30"/>
        <v>N.D.</v>
      </c>
      <c r="AK10" s="8">
        <f>(BDER!G9+BDER!G31+BDER!G53+BDER!G75+BDER!G97+BDER!G119)/1000</f>
        <v>873.32460999999989</v>
      </c>
      <c r="AL10" s="42">
        <f t="shared" si="31"/>
        <v>1.4789212173659581E-2</v>
      </c>
      <c r="AM10" s="8">
        <f>(BDER!G472+BDER!G495+BDER!G562+BDER!G607)*TC_MES/1000</f>
        <v>314.04503145599995</v>
      </c>
      <c r="AN10" s="42">
        <f t="shared" si="32"/>
        <v>1.152756125678934E-2</v>
      </c>
      <c r="AO10" s="8">
        <f>AO83*TC_MES</f>
        <v>424.76954176800001</v>
      </c>
      <c r="AP10" s="42">
        <f t="shared" si="33"/>
        <v>0.15940998054586494</v>
      </c>
      <c r="AQ10" s="8">
        <f>(BDER!G295+BDER!G317+BDER!E339+BDER!G361+BDER!G383+BDER!G405)/1000</f>
        <v>2631.6684000000005</v>
      </c>
      <c r="AR10" s="42">
        <f t="shared" si="34"/>
        <v>1.6197915740057252E-2</v>
      </c>
      <c r="AS10" s="8">
        <f>(BDER!G427+BDER!G449)/1000</f>
        <v>31.05358</v>
      </c>
      <c r="AT10" s="42">
        <f t="shared" si="44"/>
        <v>2.3705423540516933E-2</v>
      </c>
      <c r="AU10" s="11">
        <f>+AQ10+AK10+AI10+AS10+AM10+AO10</f>
        <v>4274.8611632239999</v>
      </c>
      <c r="AV10" s="42">
        <f t="shared" si="35"/>
        <v>1.6914158956847024E-2</v>
      </c>
      <c r="AW10" s="25"/>
      <c r="AX10" s="1" t="s">
        <v>10</v>
      </c>
      <c r="AY10" s="11">
        <f>O10</f>
        <v>3869.9192572960001</v>
      </c>
      <c r="AZ10" s="12">
        <f t="shared" si="36"/>
        <v>1.4484481505797694E-2</v>
      </c>
      <c r="BA10" s="11">
        <f t="shared" si="9"/>
        <v>2881.9138015999997</v>
      </c>
      <c r="BB10" s="12">
        <f t="shared" si="37"/>
        <v>1.5850843469822511E-2</v>
      </c>
      <c r="BC10" s="11">
        <f t="shared" si="10"/>
        <v>4274.8611632239999</v>
      </c>
      <c r="BD10" s="12">
        <f t="shared" si="38"/>
        <v>1.6914158956847024E-2</v>
      </c>
      <c r="BE10" s="11">
        <f>+AY10-BA10</f>
        <v>988.00545569600035</v>
      </c>
      <c r="BF10" s="13">
        <f>IF(BA10=0,"N.D.",AY10/BA10-1)</f>
        <v>0.34282963465023597</v>
      </c>
      <c r="BG10" s="11">
        <f>AY10-BC10</f>
        <v>-404.94190592799987</v>
      </c>
      <c r="BH10" s="13">
        <f>IF(BC10=0, "N.D.",AY10/BC10-1)</f>
        <v>-9.4726329222491579E-2</v>
      </c>
    </row>
    <row r="11" spans="1:60" x14ac:dyDescent="0.35">
      <c r="B11" s="4" t="s">
        <v>11</v>
      </c>
      <c r="C11" s="20"/>
      <c r="D11" s="35" t="str">
        <f>IF(C$4=0,"N.D.",C11/C$4)</f>
        <v>N.D.</v>
      </c>
      <c r="E11" s="20">
        <f>SUM(E8:E10)</f>
        <v>19571.529849999999</v>
      </c>
      <c r="F11" s="35">
        <f>IF(E$4=0,"N.D.",E11/E$4)</f>
        <v>0.36724565116836178</v>
      </c>
      <c r="G11" s="20">
        <f>SUM(G8:G10)</f>
        <v>20506.740386184003</v>
      </c>
      <c r="H11" s="35">
        <f>IF(G$4=0,"N.D.",G11/G$4)</f>
        <v>0.64331130086640298</v>
      </c>
      <c r="I11" s="20">
        <f>SUM(I8:I10)</f>
        <v>1047.0443679360001</v>
      </c>
      <c r="J11" s="35">
        <f>IF(I$4=0,"N.D.",I11/I$4)</f>
        <v>0.50214786431829372</v>
      </c>
      <c r="K11" s="20">
        <f>SUM(K8:K10)</f>
        <v>31121.633485000002</v>
      </c>
      <c r="L11" s="35">
        <f>IF(K$4=0,"N.D.",K11/K$4)</f>
        <v>0.18039928276925271</v>
      </c>
      <c r="M11" s="20">
        <f>SUM(M8:M10)</f>
        <v>661.77750999999989</v>
      </c>
      <c r="N11" s="35">
        <f>IF(M$4=0,"N.D.",M11/M$4)</f>
        <v>8.9345966326448104E-2</v>
      </c>
      <c r="O11" s="20">
        <f>+O8+O10+O9</f>
        <v>72908.725599119993</v>
      </c>
      <c r="P11" s="35">
        <f>IF(O$4=0,"N.D.",O11/O$4)</f>
        <v>0.27288556099995093</v>
      </c>
      <c r="R11" s="4" t="s">
        <v>11</v>
      </c>
      <c r="S11" s="14"/>
      <c r="T11" s="43" t="str">
        <f t="shared" si="24"/>
        <v>N.D.</v>
      </c>
      <c r="U11" s="14">
        <f>SUM(U8:U10)</f>
        <v>0</v>
      </c>
      <c r="V11" s="43" t="str">
        <f t="shared" si="39"/>
        <v>N.D.</v>
      </c>
      <c r="W11" s="14">
        <f>SUM(W8:W10)</f>
        <v>20397.196195199995</v>
      </c>
      <c r="X11" s="43">
        <f t="shared" si="25"/>
        <v>0.72008573707250145</v>
      </c>
      <c r="Y11" s="14">
        <f>SUM(Y8:Y10)</f>
        <v>948.50267039999994</v>
      </c>
      <c r="Z11" s="43">
        <f>IF(Y$4=0,"N.D.",Y11/Y$4)</f>
        <v>0.45148495788206977</v>
      </c>
      <c r="AA11" s="14">
        <f>SUM(AA8:AA10)</f>
        <v>28997.750999999997</v>
      </c>
      <c r="AB11" s="43">
        <f t="shared" ref="AB11" si="49">IF(AA$4=0,"N.D.",AA11/AA$4)</f>
        <v>0.20695685171661896</v>
      </c>
      <c r="AC11" s="14">
        <f>SUM(AC8:AC10)</f>
        <v>884.04300000000001</v>
      </c>
      <c r="AD11" s="43">
        <f t="shared" ref="AD11" si="50">IF(AC$4=0,"N.D.",AC11/AC$4)</f>
        <v>7.8423623452916438E-2</v>
      </c>
      <c r="AE11" s="14">
        <f>SUM(AE8:AE10)</f>
        <v>51227.492865599997</v>
      </c>
      <c r="AF11" s="43">
        <f t="shared" ref="AF11" si="51">IF(AE$4=0,"N.D.",AE11/AE$4)</f>
        <v>0.28175685557051156</v>
      </c>
      <c r="AG11" s="25"/>
      <c r="AH11" s="4" t="s">
        <v>11</v>
      </c>
      <c r="AI11" s="14"/>
      <c r="AJ11" s="43" t="str">
        <f t="shared" si="30"/>
        <v>N.D.</v>
      </c>
      <c r="AK11" s="14">
        <f>SUM(AK8:AK10)</f>
        <v>23952.747659999997</v>
      </c>
      <c r="AL11" s="43">
        <f t="shared" si="31"/>
        <v>0.40562496834466633</v>
      </c>
      <c r="AM11" s="14">
        <f>SUM(AM8:AM10)</f>
        <v>20030.660122320001</v>
      </c>
      <c r="AN11" s="43">
        <f t="shared" si="32"/>
        <v>0.73525971897543851</v>
      </c>
      <c r="AO11" s="14">
        <f>SUM(AO8:AO10)</f>
        <v>2065.6103972400001</v>
      </c>
      <c r="AP11" s="43">
        <f t="shared" si="33"/>
        <v>0.77519426621038146</v>
      </c>
      <c r="AQ11" s="14">
        <f>SUM(AQ8:AQ10)</f>
        <v>33080.962509999998</v>
      </c>
      <c r="AR11" s="43">
        <f t="shared" si="34"/>
        <v>0.20361328324532554</v>
      </c>
      <c r="AS11" s="14">
        <f>SUM(AS8:AS10)</f>
        <v>652.2491</v>
      </c>
      <c r="AT11" s="43">
        <f t="shared" si="44"/>
        <v>0.49790849136946475</v>
      </c>
      <c r="AU11" s="14">
        <f>SUM(AU8:AU10)</f>
        <v>79782.229789559991</v>
      </c>
      <c r="AV11" s="43">
        <f t="shared" si="35"/>
        <v>0.3156709107190257</v>
      </c>
      <c r="AW11" s="25"/>
      <c r="AX11" s="26" t="s">
        <v>11</v>
      </c>
      <c r="AY11" s="14">
        <f>+AY8+AY9+AY10</f>
        <v>72908.725599120007</v>
      </c>
      <c r="AZ11" s="15">
        <f t="shared" si="36"/>
        <v>0.27288556099995098</v>
      </c>
      <c r="BA11" s="14">
        <f t="shared" si="9"/>
        <v>51227.492865599997</v>
      </c>
      <c r="BB11" s="15">
        <f t="shared" si="37"/>
        <v>0.28175685557051156</v>
      </c>
      <c r="BC11" s="14">
        <f t="shared" si="10"/>
        <v>79782.229789559991</v>
      </c>
      <c r="BD11" s="15">
        <f t="shared" si="38"/>
        <v>0.3156709107190257</v>
      </c>
      <c r="BE11" s="14">
        <f>+AY11-BA11</f>
        <v>21681.23273352001</v>
      </c>
      <c r="BF11" s="16">
        <f>IF(BA11=0,"N.D.",AY11/BA11-1)</f>
        <v>0.42323431268445444</v>
      </c>
      <c r="BG11" s="14">
        <f>AY11-BC11</f>
        <v>-6873.5041904399841</v>
      </c>
      <c r="BH11" s="16">
        <f>IF(BC11=0, "N.D.",AY11/BC11-1)</f>
        <v>-8.615332272073728E-2</v>
      </c>
    </row>
    <row r="12" spans="1:60" x14ac:dyDescent="0.35">
      <c r="B12" s="4"/>
      <c r="C12" s="31"/>
      <c r="D12" s="32"/>
      <c r="E12" s="31"/>
      <c r="F12" s="32"/>
      <c r="G12" s="31"/>
      <c r="H12" s="32"/>
      <c r="I12" s="31"/>
      <c r="J12" s="32"/>
      <c r="K12" s="31"/>
      <c r="L12" s="32"/>
      <c r="M12" s="31"/>
      <c r="N12" s="32"/>
      <c r="O12" s="31"/>
      <c r="P12" s="32"/>
      <c r="R12" s="4" t="s">
        <v>12</v>
      </c>
      <c r="S12" s="20"/>
      <c r="T12" s="45" t="str">
        <f t="shared" si="24"/>
        <v>N.D.</v>
      </c>
      <c r="U12" s="20">
        <f>U6-U11</f>
        <v>0</v>
      </c>
      <c r="V12" s="45" t="str">
        <f t="shared" si="39"/>
        <v>N.D.</v>
      </c>
      <c r="W12" s="20">
        <f>W6-W11</f>
        <v>-929.99697839999499</v>
      </c>
      <c r="X12" s="45">
        <f t="shared" si="25"/>
        <v>-3.2831843811158355E-2</v>
      </c>
      <c r="Y12" s="20">
        <f>Y6-Y11</f>
        <v>1152.3484295999999</v>
      </c>
      <c r="Z12" s="45">
        <f t="shared" ref="Z12" si="52">IF(Y$4=0,"N.D.",Y12/Y$4)</f>
        <v>0.54851504211793023</v>
      </c>
      <c r="AA12" s="20">
        <f>AA6-AA11</f>
        <v>17909.392999999989</v>
      </c>
      <c r="AB12" s="45">
        <f t="shared" ref="AB12" si="53">IF(AA$4=0,"N.D.",AA12/AA$4)</f>
        <v>0.1278192778272926</v>
      </c>
      <c r="AC12" s="20">
        <f>AC6-AC11</f>
        <v>2850.7860000000005</v>
      </c>
      <c r="AD12" s="45">
        <f t="shared" ref="AD12" si="54">IF(AC$4=0,"N.D.",AC12/AC$4)</f>
        <v>0.25289377078812442</v>
      </c>
      <c r="AE12" s="20">
        <f>AE6-AE11</f>
        <v>20982.530451200015</v>
      </c>
      <c r="AF12" s="45">
        <f t="shared" ref="AF12" si="55">IF(AE$4=0,"N.D.",AE12/AE$4)</f>
        <v>0.11540622956804114</v>
      </c>
      <c r="AG12" s="25"/>
      <c r="AH12" s="4" t="s">
        <v>12</v>
      </c>
      <c r="AI12" s="20"/>
      <c r="AJ12" s="45" t="str">
        <f t="shared" si="30"/>
        <v>N.D.</v>
      </c>
      <c r="AK12" s="20">
        <f>+AK6-AK11</f>
        <v>2569.0148800000061</v>
      </c>
      <c r="AL12" s="45">
        <f t="shared" si="31"/>
        <v>4.3504678217654608E-2</v>
      </c>
      <c r="AM12" s="20">
        <f>+AM6-AM11</f>
        <v>-1721.7115385040015</v>
      </c>
      <c r="AN12" s="45">
        <f t="shared" si="32"/>
        <v>-6.3198373604603994E-2</v>
      </c>
      <c r="AO12" s="20">
        <f>+AO6-AO11</f>
        <v>599.0254073279998</v>
      </c>
      <c r="AP12" s="45">
        <f t="shared" si="33"/>
        <v>0.22480573378961854</v>
      </c>
      <c r="AQ12" s="20">
        <f>+AQ6-AQ11</f>
        <v>9736.5986800000101</v>
      </c>
      <c r="AR12" s="45">
        <f t="shared" si="34"/>
        <v>5.9928752806923842E-2</v>
      </c>
      <c r="AS12" s="20">
        <f>+AS6-AS11</f>
        <v>-407.26104999999984</v>
      </c>
      <c r="AT12" s="45">
        <f t="shared" si="44"/>
        <v>-0.31089155201447433</v>
      </c>
      <c r="AU12" s="20">
        <f>+AU6-AU11</f>
        <v>10775.666378824011</v>
      </c>
      <c r="AV12" s="45">
        <f t="shared" si="35"/>
        <v>4.2635614827763034E-2</v>
      </c>
      <c r="AW12" s="25"/>
      <c r="AX12" s="26" t="s">
        <v>12</v>
      </c>
      <c r="AY12" s="20">
        <f>O16</f>
        <v>21511.635769832035</v>
      </c>
      <c r="AZ12" s="15">
        <f t="shared" si="36"/>
        <v>8.051457142940488E-2</v>
      </c>
      <c r="BA12" s="20">
        <f t="shared" si="9"/>
        <v>20982.530451200015</v>
      </c>
      <c r="BB12" s="15">
        <f t="shared" si="37"/>
        <v>0.11540622956804114</v>
      </c>
      <c r="BC12" s="20">
        <f t="shared" si="10"/>
        <v>10775.666378824011</v>
      </c>
      <c r="BD12" s="15">
        <f t="shared" si="38"/>
        <v>4.2635614827763034E-2</v>
      </c>
      <c r="BE12" s="14">
        <f>+AY12-BA12</f>
        <v>529.1053186320205</v>
      </c>
      <c r="BF12" s="16">
        <f>IF(BA12=0,"N.D.",AY12/BA12-1)</f>
        <v>2.5216468521877422E-2</v>
      </c>
      <c r="BG12" s="14">
        <f>AY12-BC12</f>
        <v>10735.969391008024</v>
      </c>
      <c r="BH12" s="16">
        <f>IF(BC12=0, "N.D.",AY12/BC12-1)</f>
        <v>0.99631605263002587</v>
      </c>
    </row>
    <row r="13" spans="1:60" x14ac:dyDescent="0.35">
      <c r="B13" s="4" t="s">
        <v>32</v>
      </c>
      <c r="C13" s="20"/>
      <c r="D13" s="22" t="str">
        <f>IF(C$4=0,"N.D.",C13/C$4)</f>
        <v>N.D.</v>
      </c>
      <c r="E13" s="20">
        <f>+E6-E11</f>
        <v>6360.0164300000069</v>
      </c>
      <c r="F13" s="22">
        <f>IF(E$4=0,"N.D.",E13/E$4)</f>
        <v>0.11934112423392554</v>
      </c>
      <c r="G13" s="20">
        <f>+G6-G11</f>
        <v>1802.0226013199972</v>
      </c>
      <c r="H13" s="22">
        <f>IF(G$4=0,"N.D.",G13/G$4)</f>
        <v>5.6530754377075727E-2</v>
      </c>
      <c r="I13" s="20">
        <f>+I6-I11</f>
        <v>1038.0872085119995</v>
      </c>
      <c r="J13" s="22">
        <f>IF(I$4=0,"N.D.",I13/I$4)</f>
        <v>0.49785213568170622</v>
      </c>
      <c r="K13" s="20">
        <f>+K6-K11</f>
        <v>9442.5092100000147</v>
      </c>
      <c r="L13" s="22">
        <f>IF(K$4=0,"N.D.",K13/K$4)</f>
        <v>5.4734334232394349E-2</v>
      </c>
      <c r="M13" s="20">
        <f>+M6-M11</f>
        <v>2869.0003200000006</v>
      </c>
      <c r="N13" s="22">
        <f>IF(M$4=0,"N.D.",M13/M$4)</f>
        <v>0.3873410657024125</v>
      </c>
      <c r="O13" s="20">
        <f>+O6-O11</f>
        <v>21511.635769832035</v>
      </c>
      <c r="P13" s="22">
        <f>IF(O$4=0,"N.D.",O13/O$4)</f>
        <v>8.051457142940488E-2</v>
      </c>
      <c r="R13" s="1"/>
      <c r="S13" s="30"/>
      <c r="T13" s="44"/>
      <c r="U13" s="30"/>
      <c r="V13" s="44"/>
      <c r="W13" s="30"/>
      <c r="X13" s="44"/>
      <c r="Y13" s="30"/>
      <c r="Z13" s="44"/>
      <c r="AA13" s="30"/>
      <c r="AB13" s="44"/>
      <c r="AC13" s="30"/>
      <c r="AD13" s="44"/>
      <c r="AE13" s="30"/>
      <c r="AF13" s="44"/>
      <c r="AG13" s="25"/>
      <c r="AH13" s="1"/>
      <c r="AI13" s="30"/>
      <c r="AJ13" s="44"/>
      <c r="AK13" s="30"/>
      <c r="AL13" s="44"/>
      <c r="AM13" s="30"/>
      <c r="AN13" s="44"/>
      <c r="AO13" s="30"/>
      <c r="AP13" s="44"/>
      <c r="AQ13" s="30"/>
      <c r="AR13" s="44"/>
      <c r="AS13" s="30"/>
      <c r="AT13" s="44"/>
      <c r="AU13" s="30"/>
      <c r="AV13" s="44"/>
      <c r="AW13" s="25"/>
      <c r="AX13" s="1"/>
      <c r="AY13" s="30"/>
      <c r="AZ13" s="187"/>
      <c r="BA13" s="30"/>
      <c r="BB13" s="187"/>
      <c r="BC13" s="30"/>
      <c r="BD13" s="187"/>
      <c r="BE13" s="30"/>
      <c r="BF13" s="188"/>
      <c r="BG13" s="30"/>
      <c r="BH13" s="188"/>
    </row>
    <row r="14" spans="1:60" x14ac:dyDescent="0.35">
      <c r="B14" s="7" t="s">
        <v>33</v>
      </c>
      <c r="C14" s="8"/>
      <c r="D14" s="33" t="str">
        <f>IF(C$4=0,"N.D.",C14/C$4)</f>
        <v>N.D.</v>
      </c>
      <c r="E14" s="8">
        <f>division!B4</f>
        <v>0</v>
      </c>
      <c r="F14" s="33">
        <f t="shared" ref="F14:F16" si="56">IF(E$4=0,"N.D.",E14/E$4)</f>
        <v>0</v>
      </c>
      <c r="G14" s="8">
        <f>division!G4</f>
        <v>0</v>
      </c>
      <c r="H14" s="33">
        <f t="shared" ref="H14:H16" si="57">IF(G$4=0,"N.D.",G14/G$4)</f>
        <v>0</v>
      </c>
      <c r="I14" s="8">
        <f>division!H4</f>
        <v>0</v>
      </c>
      <c r="J14" s="33">
        <f t="shared" ref="J14:J16" si="58">IF(I$4=0,"N.D.",I14/I$4)</f>
        <v>0</v>
      </c>
      <c r="K14" s="8">
        <f>division!E4</f>
        <v>0</v>
      </c>
      <c r="L14" s="33">
        <f t="shared" ref="L14:L16" si="59">IF(K$4=0,"N.D.",K14/K$4)</f>
        <v>0</v>
      </c>
      <c r="M14" s="8">
        <f>division!F4</f>
        <v>0</v>
      </c>
      <c r="N14" s="33">
        <f t="shared" ref="N14:N16" si="60">IF(M$4=0,"N.D.",M14/M$4)</f>
        <v>0</v>
      </c>
      <c r="O14" s="8">
        <f>+K14+E14+C14+M14+G14+I14</f>
        <v>0</v>
      </c>
      <c r="P14" s="33">
        <f t="shared" ref="P14:P16" si="61">IF(O$4=0,"N.D.",O14/O$4)</f>
        <v>0</v>
      </c>
      <c r="R14" s="7" t="s">
        <v>13</v>
      </c>
      <c r="S14" s="8"/>
      <c r="T14" s="29" t="str">
        <f t="shared" ref="T14:T18" si="62">IF(S$4=0,"N.D.",S14/S$4)</f>
        <v>N.D.</v>
      </c>
      <c r="U14" s="8">
        <f>(BDER!K12+BDER!K34+BDER!K56+BDER!K78+BDER!K100+BDER!K122)/1000</f>
        <v>0</v>
      </c>
      <c r="V14" s="29" t="str">
        <f t="shared" ref="V14:V20" si="63">IF(U$4=0,"N.D.",U14/U$4)</f>
        <v>N.D.</v>
      </c>
      <c r="W14" s="8">
        <f>(BDER!K475+BDER!K498+BDER!K565+BDER!K610)*TC_MES/1000</f>
        <v>0</v>
      </c>
      <c r="X14" s="29">
        <f t="shared" ref="X14:X20" si="64">IF(W$4=0,"N.D.",W14/W$4)</f>
        <v>0</v>
      </c>
      <c r="Y14" s="8">
        <f>Y87*TC_MES</f>
        <v>0</v>
      </c>
      <c r="Z14" s="29">
        <f t="shared" ref="Z14" si="65">IF(Y$4=0,"N.D.",Y14/Y$4)</f>
        <v>0</v>
      </c>
      <c r="AA14" s="8">
        <f>(BDER!K298+BDER!K320+BDER!G342+BDER!K364+BDER!K386+BDER!K408)/1000</f>
        <v>-2718.9119999999998</v>
      </c>
      <c r="AB14" s="29">
        <f t="shared" ref="AB14" si="66">IF(AA$4=0,"N.D.",AA14/AA$4)</f>
        <v>-1.9404865833027394E-2</v>
      </c>
      <c r="AC14" s="8">
        <f>(BDER!K430+BDER!K452)/1000</f>
        <v>-87</v>
      </c>
      <c r="AD14" s="29">
        <f t="shared" ref="AD14" si="67">IF(AC$4=0,"N.D.",AC14/AC$4)</f>
        <v>-7.7177866239580319E-3</v>
      </c>
      <c r="AE14" s="8">
        <f>+AA14+U14+S14+AC14+W14+Y14</f>
        <v>-2805.9119999999998</v>
      </c>
      <c r="AF14" s="29">
        <f t="shared" ref="AF14" si="68">IF(AE$4=0,"N.D.",AE14/AE$4)</f>
        <v>-1.543282518630644E-2</v>
      </c>
      <c r="AG14" s="25"/>
      <c r="AH14" s="7" t="s">
        <v>13</v>
      </c>
      <c r="AI14" s="8"/>
      <c r="AJ14" s="29" t="str">
        <f t="shared" ref="AJ14:AJ20" si="69">IF(AI$4=0,"N.D.",AI14/AI$4)</f>
        <v>N.D.</v>
      </c>
      <c r="AK14" s="8">
        <f>(BDER!G12+BDER!G34+BDER!G56+BDER!G78+BDER!G100+BDER!G122)/1000</f>
        <v>-97.551559999999995</v>
      </c>
      <c r="AL14" s="29">
        <f t="shared" ref="AL14:AL20" si="70">IF(AK$4=0,"N.D.",AK14/AK$4)</f>
        <v>-1.651975339056898E-3</v>
      </c>
      <c r="AM14" s="8">
        <f>(BDER!G475+BDER!G498+BDER!G565+BDER!G610)*TC_MES/1000</f>
        <v>0</v>
      </c>
      <c r="AN14" s="29">
        <f t="shared" ref="AN14:AN20" si="71">IF(AM$4=0,"N.D.",AM14/AM$4)</f>
        <v>0</v>
      </c>
      <c r="AO14" s="8">
        <f>AO87*TC_MES</f>
        <v>0</v>
      </c>
      <c r="AP14" s="29">
        <f t="shared" ref="AP14:AP20" si="72">IF(AO$4=0,"N.D.",AO14/AO$4)</f>
        <v>0</v>
      </c>
      <c r="AQ14" s="8">
        <f>(BDER!G298+BDER!G320+BDER!E342+BDER!G364+BDER!G386+BDER!G408)/1000</f>
        <v>-272.22035999999997</v>
      </c>
      <c r="AR14" s="29">
        <f t="shared" ref="AR14:AR20" si="73">IF(AQ$4=0,"N.D.",AQ14/AQ$4)</f>
        <v>-1.6755159783839217E-3</v>
      </c>
      <c r="AS14" s="8">
        <f>(BDER!G430+BDER!G452)/1000</f>
        <v>33.778289999999998</v>
      </c>
      <c r="AT14" s="29">
        <f t="shared" ref="AT14:AT20" si="74">IF(AS$4=0,"N.D.",AS14/AS$4)</f>
        <v>2.5785389991247635E-2</v>
      </c>
      <c r="AU14" s="8">
        <f>+AQ14+AK14+AI14+AS14+AM14+AO14</f>
        <v>-335.99362999999994</v>
      </c>
      <c r="AV14" s="42">
        <f>IF(AU$4=0,"N.D.",AU14/AU$4)</f>
        <v>-1.3294115175478639E-3</v>
      </c>
      <c r="AW14" s="25"/>
      <c r="AX14" s="1" t="s">
        <v>13</v>
      </c>
      <c r="AY14" s="8">
        <f t="shared" ref="AY14:AY20" si="75">O18</f>
        <v>938.27838000000008</v>
      </c>
      <c r="AZ14" s="9">
        <f t="shared" ref="AZ14:AZ20" si="76">IF(AY$4=0,"N.D.",AY14/AY$4)</f>
        <v>3.5118241334822563E-3</v>
      </c>
      <c r="BA14" s="8">
        <f t="shared" si="9"/>
        <v>-2805.9119999999998</v>
      </c>
      <c r="BB14" s="9">
        <f t="shared" ref="BB14:BB20" si="77">IF(BA$4=0,"N.D.",BA14/BA$4)</f>
        <v>-1.543282518630644E-2</v>
      </c>
      <c r="BC14" s="8">
        <f t="shared" si="10"/>
        <v>-335.99362999999994</v>
      </c>
      <c r="BD14" s="9">
        <f t="shared" si="38"/>
        <v>-1.3294115175478639E-3</v>
      </c>
      <c r="BE14" s="8">
        <f t="shared" ref="BE14:BE20" si="78">+AY14-BA14</f>
        <v>3744.19038</v>
      </c>
      <c r="BF14" s="10">
        <f t="shared" ref="BF14:BF20" si="79">IF(BA14=0,"N.D.",AY14/BA14-1)</f>
        <v>-1.3343933737052338</v>
      </c>
      <c r="BG14" s="8">
        <f t="shared" ref="BG14:BG20" si="80">AY14-BC14</f>
        <v>1274.2720100000001</v>
      </c>
      <c r="BH14" s="10">
        <f t="shared" ref="BH14:BH20" si="81">IF(BC14=0, "N.D.",AY14/BC14-1)</f>
        <v>-3.7925481206295495</v>
      </c>
    </row>
    <row r="15" spans="1:60" x14ac:dyDescent="0.35">
      <c r="B15" s="7" t="s">
        <v>34</v>
      </c>
      <c r="C15" s="34"/>
      <c r="D15" s="35" t="str">
        <f>IF(C$4=0,"N.D.",C15/C$4)</f>
        <v>N.D.</v>
      </c>
      <c r="E15" s="34">
        <f>division!B5</f>
        <v>0</v>
      </c>
      <c r="F15" s="35">
        <f t="shared" si="56"/>
        <v>0</v>
      </c>
      <c r="G15" s="34">
        <f>division!G5</f>
        <v>0</v>
      </c>
      <c r="H15" s="35">
        <f t="shared" si="57"/>
        <v>0</v>
      </c>
      <c r="I15" s="34">
        <f>division!H5</f>
        <v>0</v>
      </c>
      <c r="J15" s="35">
        <f t="shared" si="58"/>
        <v>0</v>
      </c>
      <c r="K15" s="34">
        <f>division!E5</f>
        <v>0</v>
      </c>
      <c r="L15" s="35">
        <f>IF(K$4=0,"N.D.",K15/K$4)</f>
        <v>0</v>
      </c>
      <c r="M15" s="34">
        <f>division!F5</f>
        <v>0</v>
      </c>
      <c r="N15" s="35">
        <f t="shared" si="60"/>
        <v>0</v>
      </c>
      <c r="O15" s="34">
        <f>+K15+E15+C15+M15+G15+I15</f>
        <v>0</v>
      </c>
      <c r="P15" s="35">
        <f t="shared" si="61"/>
        <v>0</v>
      </c>
      <c r="R15" s="7" t="s">
        <v>14</v>
      </c>
      <c r="S15" s="8"/>
      <c r="T15" s="42" t="str">
        <f t="shared" si="62"/>
        <v>N.D.</v>
      </c>
      <c r="U15" s="8">
        <f>(BDER!K13+BDER!K35+BDER!K57+BDER!K79+BDER!K101+BDER!K123)/1000</f>
        <v>0</v>
      </c>
      <c r="V15" s="42" t="str">
        <f t="shared" si="63"/>
        <v>N.D.</v>
      </c>
      <c r="W15" s="8">
        <f>(BDER!K476+BDER!K499+BDER!K566+BDER!K611)*TC_MES/1000</f>
        <v>-211.14691199999999</v>
      </c>
      <c r="X15" s="42">
        <f t="shared" si="64"/>
        <v>-7.4541558703976477E-3</v>
      </c>
      <c r="Y15" s="8">
        <f>Y88*TC_MES</f>
        <v>0</v>
      </c>
      <c r="Z15" s="42">
        <f t="shared" ref="Z15" si="82">IF(Y$4=0,"N.D.",Y15/Y$4)</f>
        <v>0</v>
      </c>
      <c r="AA15" s="8">
        <f>(BDER!K299+BDER!K321+BDER!G343+BDER!K365+BDER!K387+BDER!K409)/1000</f>
        <v>0</v>
      </c>
      <c r="AB15" s="42">
        <f t="shared" ref="AB15" si="83">IF(AA$4=0,"N.D.",AA15/AA$4)</f>
        <v>0</v>
      </c>
      <c r="AC15" s="8">
        <f>(BDER!K431+BDER!K453)/1000</f>
        <v>0</v>
      </c>
      <c r="AD15" s="42">
        <f t="shared" ref="AD15" si="84">IF(AC$4=0,"N.D.",AC15/AC$4)</f>
        <v>0</v>
      </c>
      <c r="AE15" s="11">
        <f>+AA15+U15+S15+AC15+W15+Y15</f>
        <v>-211.14691199999999</v>
      </c>
      <c r="AF15" s="42">
        <f t="shared" ref="AF15" si="85">IF(AE$4=0,"N.D.",AE15/AE$4)</f>
        <v>-1.1613312824936882E-3</v>
      </c>
      <c r="AG15" s="25"/>
      <c r="AH15" s="7" t="s">
        <v>14</v>
      </c>
      <c r="AI15" s="8"/>
      <c r="AJ15" s="42" t="str">
        <f t="shared" si="69"/>
        <v>N.D.</v>
      </c>
      <c r="AK15" s="8">
        <f>(BDER!G13+BDER!G35+BDER!G57+BDER!G79+BDER!G101+BDER!G123)/1000</f>
        <v>-143.14764000000002</v>
      </c>
      <c r="AL15" s="42">
        <f t="shared" si="70"/>
        <v>-2.4241167555310731E-3</v>
      </c>
      <c r="AM15" s="8">
        <f>(BDER!G476+BDER!G499+BDER!G566+BDER!G611)*TC_MES/1000</f>
        <v>-183.37017168</v>
      </c>
      <c r="AN15" s="42">
        <f t="shared" si="71"/>
        <v>-6.7309165087215796E-3</v>
      </c>
      <c r="AO15" s="8">
        <f>AO88*TC_MES</f>
        <v>63.538433927999996</v>
      </c>
      <c r="AP15" s="42">
        <f t="shared" si="72"/>
        <v>2.3845072493237428E-2</v>
      </c>
      <c r="AQ15" s="8">
        <f>(BDER!G299+BDER!G321+BDER!E343+BDER!G365+BDER!G387+BDER!G409)/1000</f>
        <v>-799.97715000000005</v>
      </c>
      <c r="AR15" s="42">
        <f t="shared" si="73"/>
        <v>-4.9238583666814323E-3</v>
      </c>
      <c r="AS15" s="8">
        <f>(BDER!G431+BDER!G453)/1000</f>
        <v>-25.718499999999999</v>
      </c>
      <c r="AT15" s="42">
        <f t="shared" si="74"/>
        <v>-1.9632774556968463E-2</v>
      </c>
      <c r="AU15" s="11">
        <f>+AQ15+AK15+AI15+AS15+AM15+AO15</f>
        <v>-1088.675027752</v>
      </c>
      <c r="AV15" s="42">
        <f t="shared" ref="AV15:AV20" si="86">IF(AU$4=0,"N.D.",AU15/AU$4)</f>
        <v>-4.3075135703026556E-3</v>
      </c>
      <c r="AW15" s="25"/>
      <c r="AX15" s="1" t="s">
        <v>14</v>
      </c>
      <c r="AY15" s="11">
        <f t="shared" si="75"/>
        <v>-1829.8300390960001</v>
      </c>
      <c r="AZ15" s="12">
        <f t="shared" si="76"/>
        <v>-6.8487577124692074E-3</v>
      </c>
      <c r="BA15" s="11">
        <f t="shared" si="9"/>
        <v>-211.14691199999999</v>
      </c>
      <c r="BB15" s="12">
        <f t="shared" si="77"/>
        <v>-1.1613312824936882E-3</v>
      </c>
      <c r="BC15" s="11">
        <f t="shared" si="10"/>
        <v>-1088.675027752</v>
      </c>
      <c r="BD15" s="12">
        <f t="shared" si="38"/>
        <v>-4.3075135703026556E-3</v>
      </c>
      <c r="BE15" s="11">
        <f t="shared" si="78"/>
        <v>-1618.6831270960001</v>
      </c>
      <c r="BF15" s="21">
        <f>IF(BA15=0,"N.D.",AY15/BA15-1)</f>
        <v>7.6661463422017757</v>
      </c>
      <c r="BG15" s="11">
        <f t="shared" si="80"/>
        <v>-741.15501134400006</v>
      </c>
      <c r="BH15" s="13">
        <f t="shared" si="81"/>
        <v>0.68078626996194402</v>
      </c>
    </row>
    <row r="16" spans="1:60" x14ac:dyDescent="0.35">
      <c r="B16" s="4" t="s">
        <v>12</v>
      </c>
      <c r="C16" s="14"/>
      <c r="D16" s="22" t="str">
        <f>IF(C$4=0,"N.D.",C16/C$4)</f>
        <v>N.D.</v>
      </c>
      <c r="E16" s="14">
        <f>+E13-E14-E15</f>
        <v>6360.0164300000069</v>
      </c>
      <c r="F16" s="22">
        <f t="shared" si="56"/>
        <v>0.11934112423392554</v>
      </c>
      <c r="G16" s="14">
        <f>+G13-G14-G15</f>
        <v>1802.0226013199972</v>
      </c>
      <c r="H16" s="22">
        <f t="shared" si="57"/>
        <v>5.6530754377075727E-2</v>
      </c>
      <c r="I16" s="14">
        <f>+I13-I14-I15</f>
        <v>1038.0872085119995</v>
      </c>
      <c r="J16" s="22">
        <f t="shared" si="58"/>
        <v>0.49785213568170622</v>
      </c>
      <c r="K16" s="14">
        <f>+K13-K14-K15</f>
        <v>9442.5092100000147</v>
      </c>
      <c r="L16" s="22">
        <f t="shared" si="59"/>
        <v>5.4734334232394349E-2</v>
      </c>
      <c r="M16" s="14">
        <f>+M13-M14-M15</f>
        <v>2869.0003200000006</v>
      </c>
      <c r="N16" s="22">
        <f t="shared" si="60"/>
        <v>0.3873410657024125</v>
      </c>
      <c r="O16" s="14">
        <f>+O13-O14-O15</f>
        <v>21511.635769832035</v>
      </c>
      <c r="P16" s="22">
        <f t="shared" si="61"/>
        <v>8.051457142940488E-2</v>
      </c>
      <c r="R16" s="7" t="s">
        <v>15</v>
      </c>
      <c r="S16" s="8"/>
      <c r="T16" s="42" t="str">
        <f t="shared" si="62"/>
        <v>N.D.</v>
      </c>
      <c r="U16" s="8">
        <f>(BDER!K14+BDER!K36+BDER!K58+BDER!K80+BDER!K102+BDER!K124)/1000</f>
        <v>0</v>
      </c>
      <c r="V16" s="42" t="str">
        <f t="shared" si="63"/>
        <v>N.D.</v>
      </c>
      <c r="W16" s="8">
        <f>(BDER!K477+BDER!K500+BDER!K567+BDER!K612)*TC_MES/1000</f>
        <v>0</v>
      </c>
      <c r="X16" s="42">
        <f t="shared" si="64"/>
        <v>0</v>
      </c>
      <c r="Y16" s="8">
        <f>Y89*TC_MES</f>
        <v>175.95575999999997</v>
      </c>
      <c r="Z16" s="42">
        <f t="shared" ref="Z16" si="87">IF(Y$4=0,"N.D.",Y16/Y$4)</f>
        <v>8.3754512635379058E-2</v>
      </c>
      <c r="AA16" s="8">
        <f>(BDER!K300+BDER!K322+BDER!G344+BDER!K366+BDER!K388+BDER!K410)/1000</f>
        <v>287.88299999999998</v>
      </c>
      <c r="AB16" s="42">
        <f t="shared" ref="AB16" si="88">IF(AA$4=0,"N.D.",AA16/AA$4)</f>
        <v>2.0546200063148146E-3</v>
      </c>
      <c r="AC16" s="8">
        <f>(BDER!K432+BDER!K454)/1000</f>
        <v>5</v>
      </c>
      <c r="AD16" s="42">
        <f t="shared" ref="AD16" si="89">IF(AC$4=0,"N.D.",AC16/AC$4)</f>
        <v>4.4355095539988688E-4</v>
      </c>
      <c r="AE16" s="11">
        <f>+AA16+U16+S16+AC16+W16+Y16</f>
        <v>468.83875999999998</v>
      </c>
      <c r="AF16" s="42">
        <f t="shared" ref="AF16" si="90">IF(AE$4=0,"N.D.",AE16/AE$4)</f>
        <v>2.5786648418213687E-3</v>
      </c>
      <c r="AG16" s="25"/>
      <c r="AH16" s="7" t="s">
        <v>15</v>
      </c>
      <c r="AI16" s="8"/>
      <c r="AJ16" s="42" t="str">
        <f t="shared" si="69"/>
        <v>N.D.</v>
      </c>
      <c r="AK16" s="8">
        <f>(BDER!G14+BDER!G36+BDER!G58+BDER!G80+BDER!G102+BDER!G124)/1000</f>
        <v>497.28534999999999</v>
      </c>
      <c r="AL16" s="42">
        <f t="shared" si="70"/>
        <v>8.4212198623402658E-3</v>
      </c>
      <c r="AM16" s="8">
        <f>(BDER!G477+BDER!G500+BDER!G567+BDER!G612)*TC_MES/1000</f>
        <v>172.568106</v>
      </c>
      <c r="AN16" s="42">
        <f t="shared" si="71"/>
        <v>6.3344081696189176E-3</v>
      </c>
      <c r="AO16" s="8">
        <f>AO89*TC_MES</f>
        <v>814.72916901600013</v>
      </c>
      <c r="AP16" s="42">
        <f t="shared" si="72"/>
        <v>0.30575629420700023</v>
      </c>
      <c r="AQ16" s="8">
        <f>(BDER!G300+BDER!G322+BDER!E344+BDER!G366+BDER!G388+BDER!G410)/1000</f>
        <v>365.61815999999999</v>
      </c>
      <c r="AR16" s="42">
        <f t="shared" si="73"/>
        <v>2.2503793216177119E-3</v>
      </c>
      <c r="AS16" s="8">
        <f>(BDER!G432+BDER!G454)/1000</f>
        <v>3.4221599999999999</v>
      </c>
      <c r="AT16" s="42">
        <f t="shared" si="74"/>
        <v>2.6123800290792695E-3</v>
      </c>
      <c r="AU16" s="11">
        <f>+AQ16+AK16+AI16+AS16+AM16+AO16</f>
        <v>1853.6229450159999</v>
      </c>
      <c r="AV16" s="42">
        <f t="shared" si="86"/>
        <v>7.3341500322350204E-3</v>
      </c>
      <c r="AW16" s="25"/>
      <c r="AX16" s="1" t="s">
        <v>15</v>
      </c>
      <c r="AY16" s="11">
        <f t="shared" si="75"/>
        <v>1359.1458369920001</v>
      </c>
      <c r="AZ16" s="12">
        <f t="shared" si="76"/>
        <v>5.0870629154542027E-3</v>
      </c>
      <c r="BA16" s="11">
        <f t="shared" si="9"/>
        <v>468.83875999999998</v>
      </c>
      <c r="BB16" s="12">
        <f t="shared" si="77"/>
        <v>2.5786648418213687E-3</v>
      </c>
      <c r="BC16" s="11">
        <f t="shared" si="10"/>
        <v>1853.6229450159999</v>
      </c>
      <c r="BD16" s="12">
        <f t="shared" si="38"/>
        <v>7.3341500322350204E-3</v>
      </c>
      <c r="BE16" s="11">
        <f t="shared" si="78"/>
        <v>890.30707699200013</v>
      </c>
      <c r="BF16" s="13">
        <f t="shared" si="79"/>
        <v>1.8989621868976876</v>
      </c>
      <c r="BG16" s="11">
        <f t="shared" si="80"/>
        <v>-494.47710802399979</v>
      </c>
      <c r="BH16" s="13">
        <f t="shared" si="81"/>
        <v>-0.26676250925440048</v>
      </c>
    </row>
    <row r="17" spans="2:60" x14ac:dyDescent="0.35">
      <c r="B17" s="1"/>
      <c r="C17" s="30"/>
      <c r="D17" s="18"/>
      <c r="E17" s="30"/>
      <c r="F17" s="18"/>
      <c r="G17" s="30"/>
      <c r="H17" s="18"/>
      <c r="I17" s="30"/>
      <c r="J17" s="18"/>
      <c r="K17" s="30"/>
      <c r="L17" s="18"/>
      <c r="M17" s="30"/>
      <c r="N17" s="18"/>
      <c r="O17" s="30"/>
      <c r="P17" s="18"/>
      <c r="R17" s="7" t="s">
        <v>16</v>
      </c>
      <c r="S17" s="8"/>
      <c r="T17" s="42" t="str">
        <f>IF(S$4=0,"N.D.",S17/S$4)</f>
        <v>N.D.</v>
      </c>
      <c r="U17" s="8">
        <f>(BDER!K15+BDER!K37+BDER!K59+BDER!K81+BDER!K103+BDER!K125)/1000</f>
        <v>0</v>
      </c>
      <c r="V17" s="42" t="str">
        <f t="shared" si="63"/>
        <v>N.D.</v>
      </c>
      <c r="W17" s="8">
        <f>(BDER!K478+BDER!K501+BDER!K568+BDER!K613)*TC_MES/1000</f>
        <v>0</v>
      </c>
      <c r="X17" s="42">
        <f t="shared" si="64"/>
        <v>0</v>
      </c>
      <c r="Y17" s="8">
        <f>Y90*TC_MES</f>
        <v>0</v>
      </c>
      <c r="Z17" s="42">
        <f t="shared" ref="Z17" si="91">IF(Y$4=0,"N.D.",Y17/Y$4)</f>
        <v>0</v>
      </c>
      <c r="AA17" s="8">
        <f>(BDER!K301+BDER!K323+BDER!G345+BDER!K367+BDER!K389+BDER!K411)/1000</f>
        <v>0</v>
      </c>
      <c r="AB17" s="42">
        <f t="shared" ref="AB17" si="92">IF(AA$4=0,"N.D.",AA17/AA$4)</f>
        <v>0</v>
      </c>
      <c r="AC17" s="8">
        <f>(BDER!K433+BDER!K455)/1000</f>
        <v>495</v>
      </c>
      <c r="AD17" s="42">
        <f t="shared" ref="AD17" si="93">IF(AC$4=0,"N.D.",AC17/AC$4)</f>
        <v>4.3911544584588805E-2</v>
      </c>
      <c r="AE17" s="11">
        <f>+AA17+U17+S17+AC17+W17+Y17</f>
        <v>495</v>
      </c>
      <c r="AF17" s="42">
        <f t="shared" ref="AF17" si="94">IF(AE$4=0,"N.D.",AE17/AE$4)</f>
        <v>2.7225545445550997E-3</v>
      </c>
      <c r="AG17" s="25"/>
      <c r="AH17" s="7" t="s">
        <v>16</v>
      </c>
      <c r="AI17" s="8"/>
      <c r="AJ17" s="42" t="str">
        <f t="shared" si="69"/>
        <v>N.D.</v>
      </c>
      <c r="AK17" s="8">
        <f>(BDER!G15+BDER!G37+BDER!G59+BDER!G81+BDER!G103+BDER!G125)/1000</f>
        <v>42.802330000000005</v>
      </c>
      <c r="AL17" s="42">
        <f t="shared" si="70"/>
        <v>7.2483098798394659E-4</v>
      </c>
      <c r="AM17" s="8">
        <f>(BDER!G478+BDER!G501+BDER!G568+BDER!G613)*TC_MES/1000</f>
        <v>0</v>
      </c>
      <c r="AN17" s="42">
        <f t="shared" si="71"/>
        <v>0</v>
      </c>
      <c r="AO17" s="8">
        <f>AO90*TC_MES</f>
        <v>0</v>
      </c>
      <c r="AP17" s="42">
        <f t="shared" si="72"/>
        <v>0</v>
      </c>
      <c r="AQ17" s="8">
        <f>(BDER!G301+BDER!G323+BDER!E345+BDER!G367+BDER!G389+BDER!G411)/1000</f>
        <v>3.2140000000000002E-2</v>
      </c>
      <c r="AR17" s="42">
        <f t="shared" si="73"/>
        <v>1.9782166016259493E-7</v>
      </c>
      <c r="AS17" s="8">
        <f>(BDER!G433+BDER!G455)/1000</f>
        <v>493.88646</v>
      </c>
      <c r="AT17" s="42">
        <f t="shared" si="74"/>
        <v>0.37701893679332865</v>
      </c>
      <c r="AU17" s="11">
        <f>+AQ17+AK17+AI17+AS17+AM17+AO17</f>
        <v>536.72092999999995</v>
      </c>
      <c r="AV17" s="42">
        <f t="shared" si="86"/>
        <v>2.123620575934731E-3</v>
      </c>
      <c r="AW17" s="25"/>
      <c r="AX17" s="1" t="s">
        <v>16</v>
      </c>
      <c r="AY17" s="11">
        <f t="shared" si="75"/>
        <v>469.55098500000003</v>
      </c>
      <c r="AZ17" s="12">
        <f t="shared" si="76"/>
        <v>1.757453348784787E-3</v>
      </c>
      <c r="BA17" s="11">
        <f t="shared" si="9"/>
        <v>495</v>
      </c>
      <c r="BB17" s="12">
        <f t="shared" si="77"/>
        <v>2.7225545445550997E-3</v>
      </c>
      <c r="BC17" s="11">
        <f t="shared" si="10"/>
        <v>536.72092999999995</v>
      </c>
      <c r="BD17" s="12">
        <f t="shared" si="38"/>
        <v>2.123620575934731E-3</v>
      </c>
      <c r="BE17" s="11">
        <f t="shared" si="78"/>
        <v>-25.449014999999974</v>
      </c>
      <c r="BF17" s="13">
        <f t="shared" si="79"/>
        <v>-5.1412151515151439E-2</v>
      </c>
      <c r="BG17" s="11">
        <f t="shared" si="80"/>
        <v>-67.169944999999927</v>
      </c>
      <c r="BH17" s="13">
        <f t="shared" si="81"/>
        <v>-0.12514873418482098</v>
      </c>
    </row>
    <row r="18" spans="2:60" x14ac:dyDescent="0.35">
      <c r="B18" s="7" t="s">
        <v>13</v>
      </c>
      <c r="C18" s="8"/>
      <c r="D18" s="141" t="str">
        <f>IF(C$4=0,"N.D.",C18/C$4)</f>
        <v>N.D.</v>
      </c>
      <c r="E18" s="8">
        <f>TablasERxDiv!AA15</f>
        <v>166.32413</v>
      </c>
      <c r="F18" s="141">
        <f>IF(E$4=0,"N.D.",E18/E$4)</f>
        <v>3.1209524188964334E-3</v>
      </c>
      <c r="G18" s="8">
        <v>0</v>
      </c>
      <c r="H18" s="141">
        <f>IF(G$4=0,"N.D.",G18/G$4)</f>
        <v>0</v>
      </c>
      <c r="I18" s="8">
        <v>0</v>
      </c>
      <c r="J18" s="141">
        <f>IF(I$4=0,"N.D.",I18/I$4)</f>
        <v>0</v>
      </c>
      <c r="K18" s="8">
        <f>TablasERxDiv!AT15</f>
        <v>754.73523000000012</v>
      </c>
      <c r="L18" s="141">
        <f>IF(K$4=0,"N.D.",K18/K$4)</f>
        <v>4.3748890699554805E-3</v>
      </c>
      <c r="M18" s="8">
        <f>TablasERxDiv!BC15</f>
        <v>17.21902</v>
      </c>
      <c r="N18" s="141">
        <f>IF(M$4=0,"N.D.",M18/M$4)</f>
        <v>2.3247238805296313E-3</v>
      </c>
      <c r="O18" s="8">
        <f>+K18+E18+C18+M18+G18+I18</f>
        <v>938.27838000000008</v>
      </c>
      <c r="P18" s="141">
        <f>IF(O$4=0,"N.D.",O18/O$4)</f>
        <v>3.5118241334822563E-3</v>
      </c>
      <c r="R18" s="7"/>
      <c r="S18" s="8"/>
      <c r="T18" s="42" t="str">
        <f t="shared" si="62"/>
        <v>N.D.</v>
      </c>
      <c r="U18" s="8">
        <f>(BDER!K16+BDER!K38+BDER!K60+BDER!K82+BDER!K104+BDER!K126)/1000</f>
        <v>0</v>
      </c>
      <c r="V18" s="42" t="str">
        <f t="shared" si="63"/>
        <v>N.D.</v>
      </c>
      <c r="W18" s="8">
        <f>(BDER!K479+BDER!K502+BDER!K569+BDER!K614)*TC_MES/1000</f>
        <v>0</v>
      </c>
      <c r="X18" s="42">
        <f t="shared" si="64"/>
        <v>0</v>
      </c>
      <c r="Y18" s="8">
        <f>Y91*TC_MES</f>
        <v>0</v>
      </c>
      <c r="Z18" s="42">
        <f t="shared" ref="Z18" si="95">IF(Y$4=0,"N.D.",Y18/Y$4)</f>
        <v>0</v>
      </c>
      <c r="AA18" s="8">
        <f>(BDER!K302+BDER!K324+BDER!G346+BDER!K368+BDER!K390+BDER!K412)/1000</f>
        <v>0</v>
      </c>
      <c r="AB18" s="42">
        <f t="shared" ref="AB18" si="96">IF(AA$4=0,"N.D.",AA18/AA$4)</f>
        <v>0</v>
      </c>
      <c r="AC18" s="8">
        <f>(BDER!K434+BDER!K456)/1000</f>
        <v>0</v>
      </c>
      <c r="AD18" s="42">
        <f t="shared" ref="AD18" si="97">IF(AC$4=0,"N.D.",AC18/AC$4)</f>
        <v>0</v>
      </c>
      <c r="AE18" s="11">
        <f>+AA18+U18+S18+AC18+W18+Y18</f>
        <v>0</v>
      </c>
      <c r="AF18" s="42">
        <f t="shared" ref="AF18" si="98">IF(AE$4=0,"N.D.",AE18/AE$4)</f>
        <v>0</v>
      </c>
      <c r="AG18" s="25"/>
      <c r="AH18" s="7"/>
      <c r="AI18" s="8"/>
      <c r="AJ18" s="42" t="str">
        <f t="shared" si="69"/>
        <v>N.D.</v>
      </c>
      <c r="AK18" s="8">
        <f>(BDER!G16+BDER!G38+BDER!G60+BDER!G82+BDER!G104+BDER!G126)/1000</f>
        <v>0</v>
      </c>
      <c r="AL18" s="42">
        <f t="shared" si="70"/>
        <v>0</v>
      </c>
      <c r="AM18" s="8">
        <f>(BDER!G479+BDER!G502+BDER!G569+BDER!G614)*TC_MES/1000</f>
        <v>0</v>
      </c>
      <c r="AN18" s="42">
        <f t="shared" si="71"/>
        <v>0</v>
      </c>
      <c r="AO18" s="8">
        <f>AO91*TC_MES</f>
        <v>0</v>
      </c>
      <c r="AP18" s="42">
        <f t="shared" si="72"/>
        <v>0</v>
      </c>
      <c r="AQ18" s="8">
        <f>(BDER!G302+BDER!G324+BDER!E346+BDER!G368+BDER!G390+BDER!G412)/1000</f>
        <v>0</v>
      </c>
      <c r="AR18" s="42">
        <f t="shared" si="73"/>
        <v>0</v>
      </c>
      <c r="AS18" s="8">
        <f>(BDER!G434+BDER!G456)/1000</f>
        <v>0</v>
      </c>
      <c r="AT18" s="42">
        <f t="shared" si="74"/>
        <v>0</v>
      </c>
      <c r="AU18" s="11">
        <f>+AQ18+AK18+AI18+AS18+AM18+AO18</f>
        <v>0</v>
      </c>
      <c r="AV18" s="42">
        <f t="shared" si="86"/>
        <v>0</v>
      </c>
      <c r="AW18" s="25"/>
      <c r="AX18" s="1"/>
      <c r="AY18" s="11">
        <f t="shared" si="75"/>
        <v>0</v>
      </c>
      <c r="AZ18" s="12">
        <f t="shared" si="76"/>
        <v>0</v>
      </c>
      <c r="BA18" s="11">
        <f t="shared" si="9"/>
        <v>0</v>
      </c>
      <c r="BB18" s="12">
        <f t="shared" si="77"/>
        <v>0</v>
      </c>
      <c r="BC18" s="11">
        <f t="shared" si="10"/>
        <v>0</v>
      </c>
      <c r="BD18" s="12">
        <f t="shared" si="38"/>
        <v>0</v>
      </c>
      <c r="BE18" s="11">
        <f t="shared" si="78"/>
        <v>0</v>
      </c>
      <c r="BF18" s="13" t="str">
        <f t="shared" si="79"/>
        <v>N.D.</v>
      </c>
      <c r="BG18" s="11">
        <f t="shared" si="80"/>
        <v>0</v>
      </c>
      <c r="BH18" s="13" t="str">
        <f t="shared" si="81"/>
        <v>N.D.</v>
      </c>
    </row>
    <row r="19" spans="2:60" x14ac:dyDescent="0.35">
      <c r="B19" s="7" t="s">
        <v>14</v>
      </c>
      <c r="C19" s="11"/>
      <c r="D19" s="138" t="str">
        <f t="shared" ref="D19:P34" si="99">IF(C$4=0,"N.D.",C19/C$4)</f>
        <v>N.D.</v>
      </c>
      <c r="E19" s="11">
        <f>TablasERxDiv!AA16</f>
        <v>-250.72367999999997</v>
      </c>
      <c r="F19" s="138">
        <f t="shared" ref="F19:F24" si="100">IF(E$4=0,"N.D.",E19/E$4)</f>
        <v>-4.704649142434205E-3</v>
      </c>
      <c r="G19" s="11">
        <f>TablasERxDiv!BP15*TC_MES</f>
        <v>-204.94335909599997</v>
      </c>
      <c r="H19" s="138">
        <f t="shared" ref="H19:H23" si="101">IF(G$4=0,"N.D.",G19/G$4)</f>
        <v>-6.4292216345023905E-3</v>
      </c>
      <c r="I19" s="11">
        <f>TablasERxDiv!CF15*TC_MES</f>
        <v>0</v>
      </c>
      <c r="J19" s="138">
        <f t="shared" ref="J19:J24" si="102">IF(I$4=0,"N.D.",I19/I$4)</f>
        <v>0</v>
      </c>
      <c r="K19" s="11">
        <f>TablasERxDiv!AT16</f>
        <v>-1365.88741</v>
      </c>
      <c r="L19" s="138">
        <f t="shared" ref="L19:L24" si="103">IF(K$4=0,"N.D.",K19/K$4)</f>
        <v>-7.9174863757172174E-3</v>
      </c>
      <c r="M19" s="11">
        <f>TablasERxDiv!BC16</f>
        <v>-8.2755899999999993</v>
      </c>
      <c r="N19" s="138">
        <f t="shared" ref="N19:N24" si="104">IF(M$4=0,"N.D.",M19/M$4)</f>
        <v>-1.1172797115324919E-3</v>
      </c>
      <c r="O19" s="11">
        <f>+K19+E19+C19+M19+G19+I19</f>
        <v>-1829.8300390960001</v>
      </c>
      <c r="P19" s="138">
        <f t="shared" ref="P19:P24" si="105">IF(O$4=0,"N.D.",O19/O$4)</f>
        <v>-6.8487577124692074E-3</v>
      </c>
      <c r="R19" s="4" t="s">
        <v>17</v>
      </c>
      <c r="S19" s="200"/>
      <c r="T19" s="43" t="str">
        <f>IF(S$4=0,"N.D.",S19/S$4)</f>
        <v>N.D.</v>
      </c>
      <c r="U19" s="14">
        <f>U14+U15+U16-U17-U18</f>
        <v>0</v>
      </c>
      <c r="V19" s="43" t="str">
        <f t="shared" si="63"/>
        <v>N.D.</v>
      </c>
      <c r="W19" s="200">
        <f>W14+W15+W16-W17-W18</f>
        <v>-211.14691199999999</v>
      </c>
      <c r="X19" s="43">
        <f t="shared" si="64"/>
        <v>-7.4541558703976477E-3</v>
      </c>
      <c r="Y19" s="200">
        <f>Y14+Y15+Y16-Y17-Y18</f>
        <v>175.95575999999997</v>
      </c>
      <c r="Z19" s="43">
        <f t="shared" ref="Z19" si="106">IF(Y$4=0,"N.D.",Y19/Y$4)</f>
        <v>8.3754512635379058E-2</v>
      </c>
      <c r="AA19" s="200">
        <f>AA14+AA15+AA16-AA17-AA18</f>
        <v>-2431.029</v>
      </c>
      <c r="AB19" s="43">
        <f t="shared" ref="AB19" si="107">IF(AA$4=0,"N.D.",AA19/AA$4)</f>
        <v>-1.7350245826712581E-2</v>
      </c>
      <c r="AC19" s="200">
        <f>AC14+AC15+AC16-AC17-AC18</f>
        <v>-577</v>
      </c>
      <c r="AD19" s="43">
        <f t="shared" ref="AD19" si="108">IF(AC$4=0,"N.D.",AC19/AC$4)</f>
        <v>-5.1185780253146948E-2</v>
      </c>
      <c r="AE19" s="14">
        <f>AE14+AE15+AE16-AE17-AE18</f>
        <v>-3043.2201519999999</v>
      </c>
      <c r="AF19" s="43">
        <f t="shared" ref="AF19" si="109">IF(AE$4=0,"N.D.",AE19/AE$4)</f>
        <v>-1.673804617153386E-2</v>
      </c>
      <c r="AG19" s="25"/>
      <c r="AH19" s="4" t="s">
        <v>17</v>
      </c>
      <c r="AI19" s="14"/>
      <c r="AJ19" s="43" t="str">
        <f t="shared" si="69"/>
        <v>N.D.</v>
      </c>
      <c r="AK19" s="14">
        <f>AK14+AK15+AK16-AK17-AK18</f>
        <v>213.78381999999996</v>
      </c>
      <c r="AL19" s="43">
        <f t="shared" si="70"/>
        <v>3.6202967797683483E-3</v>
      </c>
      <c r="AM19" s="14">
        <f>AM14+AM15+AM16-AM17-AM18</f>
        <v>-10.802065679999998</v>
      </c>
      <c r="AN19" s="43">
        <f t="shared" si="71"/>
        <v>-3.9650833910266203E-4</v>
      </c>
      <c r="AO19" s="14">
        <f>AO14+AO15+AO16-AO17-AO18</f>
        <v>878.26760294400015</v>
      </c>
      <c r="AP19" s="43">
        <f t="shared" si="72"/>
        <v>0.32960136670023765</v>
      </c>
      <c r="AQ19" s="14">
        <f>AQ14+AQ15+AQ16-AQ17-AQ18</f>
        <v>-706.61149</v>
      </c>
      <c r="AR19" s="43">
        <f t="shared" si="73"/>
        <v>-4.3491928451078049E-3</v>
      </c>
      <c r="AS19" s="14">
        <f>AS14+AS15+AS16-AS17-AS18</f>
        <v>-482.40451000000002</v>
      </c>
      <c r="AT19" s="43">
        <f t="shared" si="74"/>
        <v>-0.36825394132997025</v>
      </c>
      <c r="AU19" s="14">
        <f>AU14+AU15+AU16-AU17-AU18</f>
        <v>-107.76664273599999</v>
      </c>
      <c r="AV19" s="43">
        <f t="shared" si="86"/>
        <v>-4.2639563155022985E-4</v>
      </c>
      <c r="AW19" s="25"/>
      <c r="AX19" s="26" t="s">
        <v>17</v>
      </c>
      <c r="AY19" s="14">
        <f t="shared" si="75"/>
        <v>-1.9568071039998927</v>
      </c>
      <c r="AZ19" s="22">
        <f t="shared" si="76"/>
        <v>-7.3240123175345322E-6</v>
      </c>
      <c r="BA19" s="14">
        <f t="shared" si="9"/>
        <v>-3043.2201519999999</v>
      </c>
      <c r="BB19" s="22">
        <f t="shared" si="77"/>
        <v>-1.673804617153386E-2</v>
      </c>
      <c r="BC19" s="14">
        <f t="shared" si="10"/>
        <v>-107.76664273599999</v>
      </c>
      <c r="BD19" s="22">
        <f t="shared" si="38"/>
        <v>-4.2639563155022985E-4</v>
      </c>
      <c r="BE19" s="14">
        <f t="shared" si="78"/>
        <v>3041.263344896</v>
      </c>
      <c r="BF19" s="23">
        <f t="shared" si="79"/>
        <v>-0.99935699456290938</v>
      </c>
      <c r="BG19" s="14">
        <f t="shared" si="80"/>
        <v>105.8098356320001</v>
      </c>
      <c r="BH19" s="16">
        <f t="shared" si="81"/>
        <v>-0.98184218182621175</v>
      </c>
    </row>
    <row r="20" spans="2:60" x14ac:dyDescent="0.35">
      <c r="B20" s="7" t="s">
        <v>15</v>
      </c>
      <c r="C20" s="11"/>
      <c r="D20" s="138" t="str">
        <f t="shared" si="99"/>
        <v>N.D.</v>
      </c>
      <c r="E20" s="11">
        <f>TablasERxDiv!AA17</f>
        <v>909.17223000000013</v>
      </c>
      <c r="F20" s="138">
        <f t="shared" si="100"/>
        <v>1.7059961596744652E-2</v>
      </c>
      <c r="G20" s="11">
        <f>TablasERxDiv!BP16*TC_MES</f>
        <v>0</v>
      </c>
      <c r="H20" s="138">
        <f t="shared" si="101"/>
        <v>0</v>
      </c>
      <c r="I20" s="11">
        <f>TablasERxDiv!CF16*TC_MES</f>
        <v>239.86693699199998</v>
      </c>
      <c r="J20" s="138">
        <f t="shared" si="102"/>
        <v>0.1150368349419037</v>
      </c>
      <c r="K20" s="11">
        <f>TablasERxDiv!AT17</f>
        <v>204.81515999999999</v>
      </c>
      <c r="L20" s="138">
        <f t="shared" si="103"/>
        <v>1.1872290695177736E-3</v>
      </c>
      <c r="M20" s="11">
        <f>TablasERxDiv!BC17</f>
        <v>4.2915099999999997</v>
      </c>
      <c r="N20" s="138">
        <f t="shared" si="104"/>
        <v>5.7939277499716689E-4</v>
      </c>
      <c r="O20" s="11">
        <f>+K20+E20+C20+M20+G20+I20+intereses</f>
        <v>1359.1458369920001</v>
      </c>
      <c r="P20" s="138">
        <f t="shared" si="105"/>
        <v>5.0870629154542027E-3</v>
      </c>
      <c r="R20" s="4" t="s">
        <v>18</v>
      </c>
      <c r="S20" s="14"/>
      <c r="T20" s="43" t="str">
        <f>IF(S$4=0,"N.D.",S20/S$4)</f>
        <v>N.D.</v>
      </c>
      <c r="U20" s="14">
        <f>+U12-U19</f>
        <v>0</v>
      </c>
      <c r="V20" s="43" t="str">
        <f t="shared" si="63"/>
        <v>N.D.</v>
      </c>
      <c r="W20" s="14">
        <f>+W12-W19</f>
        <v>-718.85006639999506</v>
      </c>
      <c r="X20" s="43">
        <f t="shared" si="64"/>
        <v>-2.5377687940760708E-2</v>
      </c>
      <c r="Y20" s="14">
        <f>+Y12-Y19</f>
        <v>976.39266959999998</v>
      </c>
      <c r="Z20" s="43">
        <f t="shared" ref="Z20" si="110">IF(Y$4=0,"N.D.",Y20/Y$4)</f>
        <v>0.46476052948255114</v>
      </c>
      <c r="AA20" s="14">
        <f>+AA12-AA19</f>
        <v>20340.421999999988</v>
      </c>
      <c r="AB20" s="43">
        <f t="shared" ref="AB20" si="111">IF(AA$4=0,"N.D.",AA20/AA$4)</f>
        <v>0.14516952365400518</v>
      </c>
      <c r="AC20" s="14">
        <f>+AC12-AC19</f>
        <v>3427.7860000000005</v>
      </c>
      <c r="AD20" s="43">
        <f t="shared" ref="AD20" si="112">IF(AC$4=0,"N.D.",AC20/AC$4)</f>
        <v>0.30407955104127138</v>
      </c>
      <c r="AE20" s="14">
        <f>+AE12-AE19</f>
        <v>24025.750603200016</v>
      </c>
      <c r="AF20" s="43">
        <f t="shared" ref="AF20" si="113">IF(AE$4=0,"N.D.",AE20/AE$4)</f>
        <v>0.13214427573957499</v>
      </c>
      <c r="AG20" s="25"/>
      <c r="AH20" s="4" t="s">
        <v>18</v>
      </c>
      <c r="AI20" s="14"/>
      <c r="AJ20" s="43" t="str">
        <f t="shared" si="69"/>
        <v>N.D.</v>
      </c>
      <c r="AK20" s="14">
        <f>+AK12-AK19</f>
        <v>2355.231060000006</v>
      </c>
      <c r="AL20" s="43">
        <f t="shared" si="70"/>
        <v>3.9884381437886259E-2</v>
      </c>
      <c r="AM20" s="14">
        <f>+AM12-AM19</f>
        <v>-1710.9094728240016</v>
      </c>
      <c r="AN20" s="43">
        <f t="shared" si="71"/>
        <v>-6.2801865265501328E-2</v>
      </c>
      <c r="AO20" s="14">
        <f>+AO12-AO19</f>
        <v>-279.24219561600034</v>
      </c>
      <c r="AP20" s="43">
        <f t="shared" si="72"/>
        <v>-0.10479563291061912</v>
      </c>
      <c r="AQ20" s="14">
        <f>+AQ12-AQ19</f>
        <v>10443.210170000009</v>
      </c>
      <c r="AR20" s="43">
        <f t="shared" si="73"/>
        <v>6.427794565203164E-2</v>
      </c>
      <c r="AS20" s="14">
        <f>+AS12-AS19</f>
        <v>75.143460000000175</v>
      </c>
      <c r="AT20" s="43">
        <f t="shared" si="74"/>
        <v>5.7362389315495886E-2</v>
      </c>
      <c r="AU20" s="14">
        <f>+AU12-AU19</f>
        <v>10883.433021560011</v>
      </c>
      <c r="AV20" s="43">
        <f t="shared" si="86"/>
        <v>4.3062010459313259E-2</v>
      </c>
      <c r="AW20" s="25"/>
      <c r="AX20" s="26" t="s">
        <v>18</v>
      </c>
      <c r="AY20" s="20">
        <f t="shared" si="75"/>
        <v>21513.592576936036</v>
      </c>
      <c r="AZ20" s="15">
        <f t="shared" si="76"/>
        <v>8.0521895441722419E-2</v>
      </c>
      <c r="BA20" s="20">
        <f t="shared" si="9"/>
        <v>24025.750603200016</v>
      </c>
      <c r="BB20" s="15">
        <f t="shared" si="77"/>
        <v>0.13214427573957499</v>
      </c>
      <c r="BC20" s="20">
        <f t="shared" si="10"/>
        <v>10883.433021560011</v>
      </c>
      <c r="BD20" s="15">
        <f t="shared" si="38"/>
        <v>4.3062010459313259E-2</v>
      </c>
      <c r="BE20" s="14">
        <f t="shared" si="78"/>
        <v>-2512.15802626398</v>
      </c>
      <c r="BF20" s="16">
        <f t="shared" si="79"/>
        <v>-0.1045610631590167</v>
      </c>
      <c r="BG20" s="14">
        <f t="shared" si="80"/>
        <v>10630.159555376025</v>
      </c>
      <c r="BH20" s="16">
        <f t="shared" si="81"/>
        <v>0.97672853173421914</v>
      </c>
    </row>
    <row r="21" spans="2:60" x14ac:dyDescent="0.35">
      <c r="B21" s="7" t="s">
        <v>16</v>
      </c>
      <c r="C21" s="11"/>
      <c r="D21" s="138" t="str">
        <f t="shared" si="99"/>
        <v>N.D.</v>
      </c>
      <c r="E21" s="11">
        <f>TablasERxDiv!AA18</f>
        <v>31.722719999999999</v>
      </c>
      <c r="F21" s="138">
        <f t="shared" si="100"/>
        <v>5.9525397618478005E-4</v>
      </c>
      <c r="G21" s="11">
        <f>TablasERxDiv!BP17*TC_MES</f>
        <v>0</v>
      </c>
      <c r="H21" s="138">
        <f t="shared" si="101"/>
        <v>0</v>
      </c>
      <c r="I21" s="11">
        <f>TablasERxDiv!CF17*TC_MES</f>
        <v>0</v>
      </c>
      <c r="J21" s="138">
        <f t="shared" si="102"/>
        <v>0</v>
      </c>
      <c r="K21" s="11">
        <f>TablasERxDiv!AT18</f>
        <v>65.066835000000012</v>
      </c>
      <c r="L21" s="138">
        <f t="shared" si="103"/>
        <v>3.7716562569644024E-4</v>
      </c>
      <c r="M21" s="11">
        <f>TablasERxDiv!BC18</f>
        <v>372.76143000000002</v>
      </c>
      <c r="N21" s="138">
        <f t="shared" si="104"/>
        <v>5.0326174083157725E-2</v>
      </c>
      <c r="O21" s="11">
        <f>+K21+E21+C21+M21+G21+I21</f>
        <v>469.55098500000003</v>
      </c>
      <c r="P21" s="138">
        <f t="shared" si="105"/>
        <v>1.757453348784787E-3</v>
      </c>
      <c r="R21" s="1"/>
      <c r="S21" s="30"/>
      <c r="T21" s="44"/>
      <c r="U21" s="30"/>
      <c r="V21" s="44"/>
      <c r="W21" s="30"/>
      <c r="X21" s="44"/>
      <c r="Y21" s="30"/>
      <c r="Z21" s="44"/>
      <c r="AA21" s="30"/>
      <c r="AB21" s="44"/>
      <c r="AC21" s="30"/>
      <c r="AD21" s="44"/>
      <c r="AE21" s="30"/>
      <c r="AF21" s="44"/>
      <c r="AG21" s="25"/>
      <c r="AH21" s="1"/>
      <c r="AI21" s="30"/>
      <c r="AJ21" s="44"/>
      <c r="AK21" s="30"/>
      <c r="AL21" s="44"/>
      <c r="AM21" s="30"/>
      <c r="AN21" s="44"/>
      <c r="AO21" s="30"/>
      <c r="AP21" s="44"/>
      <c r="AQ21" s="30"/>
      <c r="AR21" s="44"/>
      <c r="AS21" s="30"/>
      <c r="AT21" s="44"/>
      <c r="AU21" s="30"/>
      <c r="AV21" s="44"/>
      <c r="AW21" s="25"/>
      <c r="AX21" s="1"/>
      <c r="AY21" s="30"/>
      <c r="AZ21" s="187"/>
      <c r="BA21" s="30"/>
      <c r="BB21" s="187"/>
      <c r="BC21" s="30"/>
      <c r="BD21" s="187"/>
      <c r="BE21" s="30"/>
      <c r="BF21" s="188"/>
      <c r="BG21" s="30"/>
      <c r="BH21" s="188"/>
    </row>
    <row r="22" spans="2:60" x14ac:dyDescent="0.35">
      <c r="B22" s="7"/>
      <c r="C22" s="11"/>
      <c r="D22" s="138" t="str">
        <f t="shared" si="99"/>
        <v>N.D.</v>
      </c>
      <c r="E22" s="11">
        <f>TablasERxDiv!AA19</f>
        <v>0</v>
      </c>
      <c r="F22" s="138">
        <f t="shared" si="100"/>
        <v>0</v>
      </c>
      <c r="G22" s="11">
        <v>0</v>
      </c>
      <c r="H22" s="138">
        <f t="shared" si="101"/>
        <v>0</v>
      </c>
      <c r="I22" s="11">
        <v>0</v>
      </c>
      <c r="J22" s="138">
        <f t="shared" si="102"/>
        <v>0</v>
      </c>
      <c r="K22" s="11">
        <f>TablasERxDiv!AT19</f>
        <v>0</v>
      </c>
      <c r="L22" s="138">
        <f t="shared" si="103"/>
        <v>0</v>
      </c>
      <c r="M22" s="11">
        <f>TablasERxDiv!BC19</f>
        <v>0</v>
      </c>
      <c r="N22" s="138">
        <f t="shared" si="104"/>
        <v>0</v>
      </c>
      <c r="O22" s="11">
        <f>+K22+E22+C22+M22+G22+I22</f>
        <v>0</v>
      </c>
      <c r="P22" s="138">
        <f t="shared" si="105"/>
        <v>0</v>
      </c>
      <c r="R22" s="7" t="s">
        <v>35</v>
      </c>
      <c r="S22" s="8"/>
      <c r="T22" s="29" t="str">
        <f t="shared" ref="T22:T25" si="114">IF(S$4=0,"N.D.",S22/S$4)</f>
        <v>N.D.</v>
      </c>
      <c r="U22" s="8">
        <f>(BDER!K19+BDER!K41+BDER!K63+BDER!K85+BDER!K107+BDER!K129)/1000</f>
        <v>0</v>
      </c>
      <c r="V22" s="29" t="str">
        <f t="shared" ref="V22:V25" si="115">IF(U$4=0,"N.D.",U22/U$4)</f>
        <v>N.D.</v>
      </c>
      <c r="W22" s="8">
        <f>(BDER!K482+BDER!K505+BDER!K572+BDER!K617)*TC_MES/1000</f>
        <v>0</v>
      </c>
      <c r="X22" s="29">
        <f t="shared" ref="X22:X25" si="116">IF(W$4=0,"N.D.",W22/W$4)</f>
        <v>0</v>
      </c>
      <c r="Y22" s="8">
        <f>Y127*TC_MES</f>
        <v>0</v>
      </c>
      <c r="Z22" s="29">
        <f t="shared" ref="Z22" si="117">IF(Y$4=0,"N.D.",Y22/Y$4)</f>
        <v>0</v>
      </c>
      <c r="AA22" s="8">
        <f>(BDER!K305+BDER!K327+BDER!G349+BDER!K371+BDER!K393+BDER!K415)/1000</f>
        <v>3002.5790000000002</v>
      </c>
      <c r="AB22" s="29">
        <f t="shared" ref="AB22" si="118">IF(AA$4=0,"N.D.",AA22/AA$4)</f>
        <v>2.142939626146987E-2</v>
      </c>
      <c r="AC22" s="8">
        <f>(BDER!K437+BDER!K459)/1000</f>
        <v>779.78599999999994</v>
      </c>
      <c r="AD22" s="29">
        <f t="shared" ref="AD22" si="119">IF(AC$4=0,"N.D.",AC22/AC$4)</f>
        <v>6.9174965061491234E-2</v>
      </c>
      <c r="AE22" s="8">
        <f>+AA22+U22+S22+AC22+W22+Y22</f>
        <v>3782.3650000000002</v>
      </c>
      <c r="AF22" s="29">
        <f t="shared" ref="AF22" si="120">IF(AE$4=0,"N.D.",AE22/AE$4)</f>
        <v>2.0803424282658887E-2</v>
      </c>
      <c r="AH22" s="7" t="s">
        <v>35</v>
      </c>
      <c r="AI22" s="8"/>
      <c r="AJ22" s="29" t="str">
        <f t="shared" ref="AJ22:AJ25" si="121">IF(AI$4=0,"N.D.",AI22/AI$4)</f>
        <v>N.D.</v>
      </c>
      <c r="AK22" s="8">
        <f>(BDER!G19+BDER!G41+BDER!G63+BDER!G85+BDER!G107+BDER!G129)/1000</f>
        <v>1283.2721999999999</v>
      </c>
      <c r="AL22" s="29">
        <f t="shared" ref="AL22:AL25" si="122">IF(AK$4=0,"N.D.",AK22/AK$4)</f>
        <v>2.1731421083345991E-2</v>
      </c>
      <c r="AM22" s="8">
        <f>(BDER!G482+BDER!G505+BDER!G572+BDER!G617)*TC_MES/1000</f>
        <v>0</v>
      </c>
      <c r="AN22" s="29">
        <f t="shared" ref="AN22:AN25" si="123">IF(AM$4=0,"N.D.",AM22/AM$4)</f>
        <v>0</v>
      </c>
      <c r="AO22" s="8">
        <f>AO95*TC_MES</f>
        <v>0</v>
      </c>
      <c r="AP22" s="29">
        <f t="shared" ref="AP22:AP25" si="124">IF(AO$4=0,"N.D.",AO22/AO$4)</f>
        <v>0</v>
      </c>
      <c r="AQ22" s="8">
        <f>(BDER!G305+BDER!G327+BDER!E349+BDER!G371+BDER!G393+BDER!G415)/1000</f>
        <v>3513.8858799999998</v>
      </c>
      <c r="AR22" s="29">
        <f t="shared" ref="AR22:AR25" si="125">IF(AQ$4=0,"N.D.",AQ22/AQ$4)</f>
        <v>2.1627963235952109E-2</v>
      </c>
      <c r="AS22" s="8">
        <f>(BDER!G437+BDER!G459)/1000</f>
        <v>0</v>
      </c>
      <c r="AT22" s="29">
        <f t="shared" ref="AT22:AT25" si="126">IF(AS$4=0,"N.D.",AS22/AS$4)</f>
        <v>0</v>
      </c>
      <c r="AU22" s="8">
        <f>+AQ22+AK22+AI22+AS22+AM22+AO22</f>
        <v>4797.1580799999992</v>
      </c>
      <c r="AV22" s="29">
        <f t="shared" ref="AV22:AV25" si="127">IF(AU$4=0,"N.D.",AU22/AU$4)</f>
        <v>1.8980708661202286E-2</v>
      </c>
      <c r="AX22" s="1" t="s">
        <v>19</v>
      </c>
      <c r="AY22" s="8">
        <f>O26</f>
        <v>6235.2587799999992</v>
      </c>
      <c r="AZ22" s="9">
        <f t="shared" ref="AZ22:AZ25" si="128">IF(AY$4=0,"N.D.",AY22/AY$4)</f>
        <v>2.3337564553188497E-2</v>
      </c>
      <c r="BA22" s="8">
        <f t="shared" si="9"/>
        <v>3782.3650000000002</v>
      </c>
      <c r="BB22" s="9">
        <f t="shared" ref="BB22:BB25" si="129">IF(BA$4=0,"N.D.",BA22/BA$4)</f>
        <v>2.0803424282658887E-2</v>
      </c>
      <c r="BC22" s="8">
        <f t="shared" si="10"/>
        <v>4797.1580799999992</v>
      </c>
      <c r="BD22" s="9">
        <f t="shared" si="38"/>
        <v>1.8980708661202286E-2</v>
      </c>
      <c r="BE22" s="8">
        <f>+AY22-BA22</f>
        <v>2452.893779999999</v>
      </c>
      <c r="BF22" s="10">
        <f>IF(BA22=0,"N.D.",AY22/BA22-1)</f>
        <v>0.64850795203530032</v>
      </c>
      <c r="BG22" s="8">
        <f>AY22-BC22</f>
        <v>1438.1007</v>
      </c>
      <c r="BH22" s="10">
        <f>IF(BC22=0, "N.D.",AY22/BC22-1)</f>
        <v>0.29978180331301485</v>
      </c>
    </row>
    <row r="23" spans="2:60" x14ac:dyDescent="0.35">
      <c r="B23" s="4" t="s">
        <v>17</v>
      </c>
      <c r="C23" s="14"/>
      <c r="D23" s="139" t="str">
        <f t="shared" si="99"/>
        <v>N.D.</v>
      </c>
      <c r="E23" s="14">
        <f>E18+E19+E20-E21</f>
        <v>793.04996000000017</v>
      </c>
      <c r="F23" s="139">
        <f t="shared" si="100"/>
        <v>1.4881010897022101E-2</v>
      </c>
      <c r="G23" s="14">
        <f>G18+G19+G20-G21</f>
        <v>-204.94335909599997</v>
      </c>
      <c r="H23" s="139">
        <f t="shared" si="101"/>
        <v>-6.4292216345023905E-3</v>
      </c>
      <c r="I23" s="14">
        <f>I18+I19+I20-I21</f>
        <v>239.86693699199998</v>
      </c>
      <c r="J23" s="139">
        <f>IF(I$4=0,"N.D.",I23/I$4)</f>
        <v>0.1150368349419037</v>
      </c>
      <c r="K23" s="14">
        <f>K18+K19+K20-K21</f>
        <v>-471.40385499999996</v>
      </c>
      <c r="L23" s="139">
        <f t="shared" si="103"/>
        <v>-2.7325338619404024E-3</v>
      </c>
      <c r="M23" s="14">
        <f>M18+M19+M20-M21</f>
        <v>-359.52649000000002</v>
      </c>
      <c r="N23" s="139">
        <f t="shared" si="104"/>
        <v>-4.8539337139163419E-2</v>
      </c>
      <c r="O23" s="14">
        <f>O18+O19+O20-O21</f>
        <v>-1.9568071039998927</v>
      </c>
      <c r="P23" s="139">
        <f t="shared" si="105"/>
        <v>-7.3240123175345322E-6</v>
      </c>
      <c r="R23" s="7" t="s">
        <v>43</v>
      </c>
      <c r="S23" s="8"/>
      <c r="T23" s="42" t="str">
        <f t="shared" si="114"/>
        <v>N.D.</v>
      </c>
      <c r="U23" s="8">
        <f>(BDER!K20+BDER!K42+BDER!K64+BDER!K86+BDER!K108+BDER!K130)/1000</f>
        <v>0</v>
      </c>
      <c r="V23" s="42" t="str">
        <f t="shared" si="115"/>
        <v>N.D.</v>
      </c>
      <c r="W23" s="8">
        <f>(BDER!K483+BDER!K506+BDER!K573+BDER!K618)*TC_MES/1000</f>
        <v>0</v>
      </c>
      <c r="X23" s="42">
        <f t="shared" si="116"/>
        <v>0</v>
      </c>
      <c r="Y23" s="8">
        <f>Y128*TC_MES</f>
        <v>0</v>
      </c>
      <c r="Z23" s="42">
        <f t="shared" ref="Z23" si="130">IF(Y$4=0,"N.D.",Y23/Y$4)</f>
        <v>0</v>
      </c>
      <c r="AA23" s="8">
        <f>(BDER!K306+BDER!K328+BDER!G350+BDER!K372+BDER!K394+BDER!K416)/1000</f>
        <v>0</v>
      </c>
      <c r="AB23" s="42">
        <f t="shared" ref="AB23" si="131">IF(AA$4=0,"N.D.",AA23/AA$4)</f>
        <v>0</v>
      </c>
      <c r="AC23" s="8">
        <f>(BDER!K438+BDER!K460)/1000</f>
        <v>0</v>
      </c>
      <c r="AD23" s="42">
        <f t="shared" ref="AD23" si="132">IF(AC$4=0,"N.D.",AC23/AC$4)</f>
        <v>0</v>
      </c>
      <c r="AE23" s="11">
        <f>+AA23+U23+S23+AC23+W23+Y23</f>
        <v>0</v>
      </c>
      <c r="AF23" s="42">
        <f t="shared" ref="AF23" si="133">IF(AE$4=0,"N.D.",AE23/AE$4)</f>
        <v>0</v>
      </c>
      <c r="AH23" s="7" t="s">
        <v>43</v>
      </c>
      <c r="AI23" s="8"/>
      <c r="AJ23" s="42" t="str">
        <f t="shared" si="121"/>
        <v>N.D.</v>
      </c>
      <c r="AK23" s="8">
        <f>(BDER!G20+BDER!G42+BDER!G64+BDER!G86+BDER!G108+BDER!G130)/1000</f>
        <v>0</v>
      </c>
      <c r="AL23" s="42">
        <f t="shared" si="122"/>
        <v>0</v>
      </c>
      <c r="AM23" s="8">
        <f>(BDER!G483+BDER!G506+BDER!G573+BDER!G618)*TC_MES/1000</f>
        <v>0</v>
      </c>
      <c r="AN23" s="42">
        <f t="shared" si="123"/>
        <v>0</v>
      </c>
      <c r="AO23" s="8">
        <f>AO96*TC_MES</f>
        <v>0</v>
      </c>
      <c r="AP23" s="42">
        <f t="shared" si="124"/>
        <v>0</v>
      </c>
      <c r="AQ23" s="8">
        <f>(BDER!G306+BDER!G328+BDER!E350+BDER!G372+BDER!G394+BDER!G416)/1000</f>
        <v>0</v>
      </c>
      <c r="AR23" s="42">
        <f t="shared" si="125"/>
        <v>0</v>
      </c>
      <c r="AS23" s="8">
        <f>(BDER!G438+BDER!G460)/1000</f>
        <v>0</v>
      </c>
      <c r="AT23" s="42">
        <f t="shared" si="126"/>
        <v>0</v>
      </c>
      <c r="AU23" s="8">
        <f>+AQ23+AK23+AI23+AS23+AM23+AO23</f>
        <v>0</v>
      </c>
      <c r="AV23" s="42">
        <f t="shared" si="127"/>
        <v>0</v>
      </c>
      <c r="AX23" s="1" t="s">
        <v>20</v>
      </c>
      <c r="AY23" s="11">
        <f>O27</f>
        <v>0</v>
      </c>
      <c r="AZ23" s="12">
        <f t="shared" si="128"/>
        <v>0</v>
      </c>
      <c r="BA23" s="11">
        <f t="shared" si="9"/>
        <v>0</v>
      </c>
      <c r="BB23" s="12">
        <f t="shared" si="129"/>
        <v>0</v>
      </c>
      <c r="BC23" s="11">
        <f t="shared" si="10"/>
        <v>0</v>
      </c>
      <c r="BD23" s="12">
        <f t="shared" si="38"/>
        <v>0</v>
      </c>
      <c r="BE23" s="11">
        <f>+AY23-BA23</f>
        <v>0</v>
      </c>
      <c r="BF23" s="13" t="str">
        <f>IF(BA23=0,"N.D.",AY23/BA23-1)</f>
        <v>N.D.</v>
      </c>
      <c r="BG23" s="11">
        <f>AY23-BC23</f>
        <v>0</v>
      </c>
      <c r="BH23" s="13" t="str">
        <f>IF(BC23=0, "N.D.",AY23/BC23-1)</f>
        <v>N.D.</v>
      </c>
    </row>
    <row r="24" spans="2:60" x14ac:dyDescent="0.35">
      <c r="B24" s="4" t="s">
        <v>18</v>
      </c>
      <c r="C24" s="14"/>
      <c r="D24" s="139" t="str">
        <f t="shared" si="99"/>
        <v>N.D.</v>
      </c>
      <c r="E24" s="14">
        <f>+E16-E23</f>
        <v>5566.9664700000067</v>
      </c>
      <c r="F24" s="139">
        <f t="shared" si="100"/>
        <v>0.10446011333690344</v>
      </c>
      <c r="G24" s="14">
        <f>+G16-G23</f>
        <v>2006.9659604159972</v>
      </c>
      <c r="H24" s="139">
        <f>IF(G$4=0,"N.D.",G24/G$4)</f>
        <v>6.2959976011578114E-2</v>
      </c>
      <c r="I24" s="14">
        <f>+I16-I23</f>
        <v>798.22027151999953</v>
      </c>
      <c r="J24" s="139">
        <f t="shared" si="102"/>
        <v>0.38281530073980252</v>
      </c>
      <c r="K24" s="14">
        <f>+K16-K23</f>
        <v>9913.9130650000152</v>
      </c>
      <c r="L24" s="139">
        <f t="shared" si="103"/>
        <v>5.7466868094334753E-2</v>
      </c>
      <c r="M24" s="14">
        <f>+M16-M23</f>
        <v>3228.5268100000008</v>
      </c>
      <c r="N24" s="139">
        <f t="shared" si="104"/>
        <v>0.43588040284157592</v>
      </c>
      <c r="O24" s="14">
        <f>+O16-O23</f>
        <v>21513.592576936036</v>
      </c>
      <c r="P24" s="139">
        <f t="shared" si="105"/>
        <v>8.0521895441722419E-2</v>
      </c>
      <c r="R24" s="4" t="s">
        <v>21</v>
      </c>
      <c r="S24" s="14"/>
      <c r="T24" s="43" t="str">
        <f t="shared" si="114"/>
        <v>N.D.</v>
      </c>
      <c r="U24" s="14">
        <f>+U20-U22-U23</f>
        <v>0</v>
      </c>
      <c r="V24" s="43" t="str">
        <f t="shared" si="115"/>
        <v>N.D.</v>
      </c>
      <c r="W24" s="14">
        <f>+W20-W22-W23</f>
        <v>-718.85006639999506</v>
      </c>
      <c r="X24" s="43">
        <f t="shared" si="116"/>
        <v>-2.5377687940760708E-2</v>
      </c>
      <c r="Y24" s="14">
        <f>+Y20-Y22-Y23</f>
        <v>976.39266959999998</v>
      </c>
      <c r="Z24" s="43">
        <f t="shared" ref="Z24" si="134">IF(Y$4=0,"N.D.",Y24/Y$4)</f>
        <v>0.46476052948255114</v>
      </c>
      <c r="AA24" s="14">
        <f>+AA20-AA22-AA23</f>
        <v>17337.842999999986</v>
      </c>
      <c r="AB24" s="43">
        <f t="shared" ref="AB24" si="135">IF(AA$4=0,"N.D.",AA24/AA$4)</f>
        <v>0.1237401273925353</v>
      </c>
      <c r="AC24" s="14">
        <f>+AC20-AC22-AC23</f>
        <v>2648.0000000000005</v>
      </c>
      <c r="AD24" s="43">
        <f t="shared" ref="AD24" si="136">IF(AC$4=0,"N.D.",AC24/AC$4)</f>
        <v>0.23490458597978014</v>
      </c>
      <c r="AE24" s="14">
        <f>+AE20-AE22-AE23</f>
        <v>20243.385603200015</v>
      </c>
      <c r="AF24" s="43">
        <f t="shared" ref="AF24" si="137">IF(AE$4=0,"N.D.",AE24/AE$4)</f>
        <v>0.11134085145691611</v>
      </c>
      <c r="AH24" s="4" t="s">
        <v>21</v>
      </c>
      <c r="AI24" s="14"/>
      <c r="AJ24" s="43" t="str">
        <f t="shared" si="121"/>
        <v>N.D.</v>
      </c>
      <c r="AK24" s="14">
        <f>+AK20-AK22-AK23</f>
        <v>1071.9588600000061</v>
      </c>
      <c r="AL24" s="43">
        <f t="shared" si="122"/>
        <v>1.8152960354540264E-2</v>
      </c>
      <c r="AM24" s="14">
        <f>+AM20-AM22-AM23</f>
        <v>-1710.9094728240016</v>
      </c>
      <c r="AN24" s="43">
        <f t="shared" si="123"/>
        <v>-6.2801865265501328E-2</v>
      </c>
      <c r="AO24" s="14">
        <f>+AO20-AO22-AO23</f>
        <v>-279.24219561600034</v>
      </c>
      <c r="AP24" s="43">
        <f t="shared" si="124"/>
        <v>-0.10479563291061912</v>
      </c>
      <c r="AQ24" s="14">
        <f>+AQ20-AQ22-AQ23</f>
        <v>6929.3242900000096</v>
      </c>
      <c r="AR24" s="43">
        <f t="shared" si="125"/>
        <v>4.2649982416079535E-2</v>
      </c>
      <c r="AS24" s="14">
        <f>+AS20-AS22-AS23</f>
        <v>75.143460000000175</v>
      </c>
      <c r="AT24" s="43">
        <f t="shared" si="126"/>
        <v>5.7362389315495886E-2</v>
      </c>
      <c r="AU24" s="14">
        <f>+AU20-AU22-AU23</f>
        <v>6086.2749415600119</v>
      </c>
      <c r="AV24" s="43">
        <f t="shared" si="127"/>
        <v>2.4081301798110973E-2</v>
      </c>
      <c r="AX24" s="26" t="s">
        <v>21</v>
      </c>
      <c r="AY24" s="14">
        <f>O28</f>
        <v>15278.333796936036</v>
      </c>
      <c r="AZ24" s="15">
        <f t="shared" si="128"/>
        <v>5.7184330888533919E-2</v>
      </c>
      <c r="BA24" s="14">
        <f t="shared" si="9"/>
        <v>20243.385603200015</v>
      </c>
      <c r="BB24" s="15">
        <f t="shared" si="129"/>
        <v>0.11134085145691611</v>
      </c>
      <c r="BC24" s="14">
        <f t="shared" si="10"/>
        <v>6086.2749415600119</v>
      </c>
      <c r="BD24" s="15">
        <f t="shared" si="38"/>
        <v>2.4081301798110973E-2</v>
      </c>
      <c r="BE24" s="14">
        <f>+AY24-BA24</f>
        <v>-4965.0518062639785</v>
      </c>
      <c r="BF24" s="16">
        <f>IF(BA24=0,"N.D.",AY24/BA24-1)</f>
        <v>-0.2452678570465564</v>
      </c>
      <c r="BG24" s="14">
        <f>AY24-BC24</f>
        <v>9192.0588553760244</v>
      </c>
      <c r="BH24" s="16">
        <f>IF(BC24=0, "N.D.",AY24/BC24-1)</f>
        <v>1.5102930681964803</v>
      </c>
    </row>
    <row r="25" spans="2:60" x14ac:dyDescent="0.35">
      <c r="B25" s="1"/>
      <c r="C25" s="30"/>
      <c r="D25" s="140"/>
      <c r="E25" s="30"/>
      <c r="F25" s="140"/>
      <c r="G25" s="30"/>
      <c r="H25" s="140"/>
      <c r="I25" s="30"/>
      <c r="J25" s="140"/>
      <c r="K25" s="30"/>
      <c r="L25" s="140"/>
      <c r="M25" s="30"/>
      <c r="N25" s="140"/>
      <c r="O25" s="30"/>
      <c r="P25" s="140"/>
      <c r="R25" s="4" t="s">
        <v>22</v>
      </c>
      <c r="S25" s="20"/>
      <c r="T25" s="45" t="str">
        <f t="shared" si="114"/>
        <v>N.D.</v>
      </c>
      <c r="U25" s="20">
        <f>+U12+U10</f>
        <v>0</v>
      </c>
      <c r="V25" s="45" t="str">
        <f t="shared" si="115"/>
        <v>N.D.</v>
      </c>
      <c r="W25" s="20">
        <f>+W12+W10</f>
        <v>-661.12848719999499</v>
      </c>
      <c r="X25" s="45">
        <f t="shared" si="116"/>
        <v>-2.3339933069676903E-2</v>
      </c>
      <c r="Y25" s="20">
        <f>+Y12+Y10</f>
        <v>1429.3877399999999</v>
      </c>
      <c r="Z25" s="45">
        <f t="shared" ref="Z25" si="138">IF(Y$4=0,"N.D.",Y25/Y$4)</f>
        <v>0.68038507821901328</v>
      </c>
      <c r="AA25" s="20">
        <f>+AA12+AA10</f>
        <v>20211.642999999989</v>
      </c>
      <c r="AB25" s="45">
        <f t="shared" ref="AB25" si="139">IF(AA$4=0,"N.D.",AA25/AA$4)</f>
        <v>0.14425042836253882</v>
      </c>
      <c r="AC25" s="20">
        <f>+AC12+AC10</f>
        <v>2884.5420000000004</v>
      </c>
      <c r="AD25" s="45">
        <f t="shared" ref="AD25" si="140">IF(AC$4=0,"N.D.",AC25/AC$4)</f>
        <v>0.25588827199822012</v>
      </c>
      <c r="AE25" s="20">
        <f>+AE12+AE10</f>
        <v>23864.444252800015</v>
      </c>
      <c r="AF25" s="45">
        <f t="shared" ref="AF25" si="141">IF(AE$4=0,"N.D.",AE25/AE$4)</f>
        <v>0.13125707303786366</v>
      </c>
      <c r="AH25" s="4" t="s">
        <v>22</v>
      </c>
      <c r="AI25" s="20"/>
      <c r="AJ25" s="45" t="str">
        <f t="shared" si="121"/>
        <v>N.D.</v>
      </c>
      <c r="AK25" s="20">
        <f>+AK12+AK10</f>
        <v>3442.3394900000058</v>
      </c>
      <c r="AL25" s="45">
        <f t="shared" si="122"/>
        <v>5.8293890391314183E-2</v>
      </c>
      <c r="AM25" s="20">
        <f>+AM12+AM10</f>
        <v>-1407.6665070480017</v>
      </c>
      <c r="AN25" s="45">
        <f t="shared" si="123"/>
        <v>-5.1670812347814656E-2</v>
      </c>
      <c r="AO25" s="20">
        <f>+AO12+AO10</f>
        <v>1023.7949490959998</v>
      </c>
      <c r="AP25" s="45">
        <f t="shared" si="124"/>
        <v>0.38421571433548346</v>
      </c>
      <c r="AQ25" s="20">
        <f>+AQ12+AQ10</f>
        <v>12368.267080000011</v>
      </c>
      <c r="AR25" s="45">
        <f t="shared" si="125"/>
        <v>7.6126668546981094E-2</v>
      </c>
      <c r="AS25" s="20">
        <f>+AS12+AS10</f>
        <v>-376.20746999999983</v>
      </c>
      <c r="AT25" s="45">
        <f t="shared" si="126"/>
        <v>-0.28718612847395741</v>
      </c>
      <c r="AU25" s="20">
        <f>+AU12+AU10</f>
        <v>15050.52754204801</v>
      </c>
      <c r="AV25" s="45">
        <f t="shared" si="127"/>
        <v>5.9549773784610051E-2</v>
      </c>
      <c r="AX25" s="26" t="s">
        <v>22</v>
      </c>
      <c r="AY25" s="14">
        <f>O29</f>
        <v>25381.555027128037</v>
      </c>
      <c r="AZ25" s="15">
        <f t="shared" si="128"/>
        <v>9.4999052935202583E-2</v>
      </c>
      <c r="BA25" s="14">
        <f t="shared" si="9"/>
        <v>23864.444252800015</v>
      </c>
      <c r="BB25" s="15">
        <f t="shared" si="129"/>
        <v>0.13125707303786366</v>
      </c>
      <c r="BC25" s="14">
        <f t="shared" si="10"/>
        <v>15050.52754204801</v>
      </c>
      <c r="BD25" s="15">
        <f t="shared" si="38"/>
        <v>5.9549773784610051E-2</v>
      </c>
      <c r="BE25" s="14">
        <f>+AY25-BA25</f>
        <v>1517.1107743280227</v>
      </c>
      <c r="BF25" s="16">
        <f>IF(BA25=0,"N.D.",AY25/BA25-1)</f>
        <v>6.3572013588794052E-2</v>
      </c>
      <c r="BG25" s="14">
        <f>AY25-BC25</f>
        <v>10331.027485080027</v>
      </c>
      <c r="BH25" s="16">
        <f>IF(BC25=0, "N.D.",AY25/BC25-1)</f>
        <v>0.68642294804732318</v>
      </c>
    </row>
    <row r="26" spans="2:60" x14ac:dyDescent="0.35">
      <c r="B26" s="7" t="s">
        <v>35</v>
      </c>
      <c r="C26" s="8"/>
      <c r="D26" s="141" t="str">
        <f t="shared" si="99"/>
        <v>N.D.</v>
      </c>
      <c r="E26" s="8">
        <f>TablasERxDiv!AA23</f>
        <v>1537.24566</v>
      </c>
      <c r="F26" s="141">
        <f t="shared" si="99"/>
        <v>2.8845306817567869E-2</v>
      </c>
      <c r="G26" s="8">
        <f>TablasERxDiv!BP21*TC_MES</f>
        <v>0</v>
      </c>
      <c r="H26" s="141">
        <f>IF(G$4=0,"N.D.",G26/G$4)</f>
        <v>0</v>
      </c>
      <c r="I26" s="8">
        <f>TablasERxDiv!CF21*TC_MES</f>
        <v>0</v>
      </c>
      <c r="J26" s="141">
        <f t="shared" si="99"/>
        <v>0</v>
      </c>
      <c r="K26" s="8">
        <f>TablasERxDiv!AT23</f>
        <v>4007.1881199999998</v>
      </c>
      <c r="L26" s="141">
        <f t="shared" si="99"/>
        <v>2.3228017999694341E-2</v>
      </c>
      <c r="M26" s="8">
        <f>TablasERxDiv!BC23</f>
        <v>690.82499999999993</v>
      </c>
      <c r="N26" s="141">
        <f t="shared" si="99"/>
        <v>9.3267640943960936E-2</v>
      </c>
      <c r="O26" s="8">
        <f>+K26+E26+C26+M26+G26+I26</f>
        <v>6235.2587799999992</v>
      </c>
      <c r="P26" s="141">
        <f t="shared" si="99"/>
        <v>2.3337564553188497E-2</v>
      </c>
      <c r="AX26" s="25"/>
    </row>
    <row r="27" spans="2:60" x14ac:dyDescent="0.35">
      <c r="B27" s="7" t="s">
        <v>20</v>
      </c>
      <c r="C27" s="11"/>
      <c r="D27" s="138" t="str">
        <f t="shared" si="99"/>
        <v>N.D.</v>
      </c>
      <c r="E27" s="11">
        <f>TablasERxDiv!AA24</f>
        <v>0</v>
      </c>
      <c r="F27" s="138">
        <f t="shared" ref="F27" si="142">IF(E$4=0,"N.D.",E27/E$4)</f>
        <v>0</v>
      </c>
      <c r="G27" s="11">
        <f>TablasERxDiv!BP22*TC_MES</f>
        <v>0</v>
      </c>
      <c r="H27" s="138">
        <f t="shared" ref="H27:H34" si="143">IF(G$4=0,"N.D.",G27/G$4)</f>
        <v>0</v>
      </c>
      <c r="I27" s="11">
        <f>TablasERxDiv!CF22*TC_MES</f>
        <v>0</v>
      </c>
      <c r="J27" s="138">
        <f t="shared" ref="J27" si="144">IF(I$4=0,"N.D.",I27/I$4)</f>
        <v>0</v>
      </c>
      <c r="K27" s="11">
        <f>TablasERxDiv!AT24</f>
        <v>0</v>
      </c>
      <c r="L27" s="138">
        <f t="shared" ref="L27" si="145">IF(K$4=0,"N.D.",K27/K$4)</f>
        <v>0</v>
      </c>
      <c r="M27" s="11">
        <f>TablasERxDiv!BC24</f>
        <v>0</v>
      </c>
      <c r="N27" s="138">
        <f t="shared" ref="N27" si="146">IF(M$4=0,"N.D.",M27/M$4)</f>
        <v>0</v>
      </c>
      <c r="O27" s="11">
        <f>+K27+E27+C27+M27+G27+I27</f>
        <v>0</v>
      </c>
      <c r="P27" s="138">
        <f t="shared" ref="P27" si="147">IF(O$4=0,"N.D.",O27/O$4)</f>
        <v>0</v>
      </c>
    </row>
    <row r="28" spans="2:60" x14ac:dyDescent="0.35">
      <c r="B28" s="4" t="s">
        <v>21</v>
      </c>
      <c r="C28" s="14"/>
      <c r="D28" s="139" t="str">
        <f t="shared" si="99"/>
        <v>N.D.</v>
      </c>
      <c r="E28" s="14">
        <f>E24-E26-E27</f>
        <v>4029.7208100000066</v>
      </c>
      <c r="F28" s="139">
        <f t="shared" ref="F28" si="148">IF(E$4=0,"N.D.",E28/E$4)</f>
        <v>7.5614806519335567E-2</v>
      </c>
      <c r="G28" s="14">
        <f>G24-G26-G27</f>
        <v>2006.9659604159972</v>
      </c>
      <c r="H28" s="139">
        <f t="shared" si="143"/>
        <v>6.2959976011578114E-2</v>
      </c>
      <c r="I28" s="14">
        <f>I24-I26-I27</f>
        <v>798.22027151999953</v>
      </c>
      <c r="J28" s="139">
        <f t="shared" ref="J28" si="149">IF(I$4=0,"N.D.",I28/I$4)</f>
        <v>0.38281530073980252</v>
      </c>
      <c r="K28" s="14">
        <f>K24-K26-K27</f>
        <v>5906.7249450000154</v>
      </c>
      <c r="L28" s="139">
        <f t="shared" ref="L28:L34" si="150">IF(K$4=0,"N.D.",K28/K$4)</f>
        <v>3.4238850094640408E-2</v>
      </c>
      <c r="M28" s="14">
        <f>M24-M26-M27</f>
        <v>2537.7018100000009</v>
      </c>
      <c r="N28" s="139">
        <f t="shared" ref="N28" si="151">IF(M$4=0,"N.D.",M28/M$4)</f>
        <v>0.34261276189761503</v>
      </c>
      <c r="O28" s="14">
        <f>O24-O26-O27</f>
        <v>15278.333796936036</v>
      </c>
      <c r="P28" s="139">
        <f t="shared" ref="P28:P34" si="152">IF(O$4=0,"N.D.",O28/O$4)</f>
        <v>5.7184330888533919E-2</v>
      </c>
    </row>
    <row r="29" spans="2:60" x14ac:dyDescent="0.35">
      <c r="B29" s="4" t="s">
        <v>22</v>
      </c>
      <c r="C29" s="20"/>
      <c r="D29" s="142" t="str">
        <f t="shared" si="99"/>
        <v>N.D.</v>
      </c>
      <c r="E29" s="20">
        <f>E16+E10</f>
        <v>7270.5300600000073</v>
      </c>
      <c r="F29" s="142">
        <f>IF(E$4=0,"N.D.",E29/E$4)</f>
        <v>0.13642625623483651</v>
      </c>
      <c r="G29" s="20">
        <f>G16+G10</f>
        <v>2178.4403092319972</v>
      </c>
      <c r="H29" s="142">
        <f t="shared" si="143"/>
        <v>6.8339250548859545E-2</v>
      </c>
      <c r="I29" s="20">
        <f>I16+I10</f>
        <v>1647.3457578959994</v>
      </c>
      <c r="J29" s="142">
        <f t="shared" ref="J29:J34" si="153">IF(I$4=0,"N.D.",I29/I$4)</f>
        <v>0.79004403199448747</v>
      </c>
      <c r="K29" s="20">
        <f>K16+K10</f>
        <v>11384.313170000016</v>
      </c>
      <c r="L29" s="142">
        <f t="shared" si="150"/>
        <v>6.5990171488858801E-2</v>
      </c>
      <c r="M29" s="20">
        <f>M16+M10</f>
        <v>2900.9257300000004</v>
      </c>
      <c r="N29" s="142">
        <f t="shared" ref="N29:N31" si="154">IF(M$4=0,"N.D.",M29/M$4)</f>
        <v>0.39165128562333129</v>
      </c>
      <c r="O29" s="20">
        <f>+O16+O10</f>
        <v>25381.555027128037</v>
      </c>
      <c r="P29" s="142">
        <f t="shared" si="152"/>
        <v>9.4999052935202583E-2</v>
      </c>
    </row>
    <row r="30" spans="2:60" x14ac:dyDescent="0.35">
      <c r="B30" s="4" t="s">
        <v>36</v>
      </c>
      <c r="C30" s="20"/>
      <c r="D30" s="142" t="str">
        <f t="shared" si="99"/>
        <v>N.D.</v>
      </c>
      <c r="E30" s="20">
        <f>E10+E28+division!B8</f>
        <v>4940.2344400000065</v>
      </c>
      <c r="F30" s="142">
        <f t="shared" ref="F30:F34" si="155">IF(E$4=0,"N.D.",E30/E$4)</f>
        <v>9.2699938520246508E-2</v>
      </c>
      <c r="G30" s="20">
        <f>G10+G18+G28</f>
        <v>2383.3836683279974</v>
      </c>
      <c r="H30" s="142">
        <f t="shared" si="143"/>
        <v>7.4768472183361939E-2</v>
      </c>
      <c r="I30" s="20">
        <f>I10+I18+I28</f>
        <v>1407.4788209039993</v>
      </c>
      <c r="J30" s="142">
        <f t="shared" si="153"/>
        <v>0.67500719705258372</v>
      </c>
      <c r="K30" s="20">
        <f>K10+K18+K28</f>
        <v>8603.2641350000158</v>
      </c>
      <c r="L30" s="142">
        <f t="shared" si="150"/>
        <v>4.9869576421060345E-2</v>
      </c>
      <c r="M30" s="20">
        <f>M10+M18+M28</f>
        <v>2586.8462400000008</v>
      </c>
      <c r="N30" s="142">
        <f t="shared" si="154"/>
        <v>0.34924770569906344</v>
      </c>
      <c r="O30" s="20">
        <f>division!B8+O10+O18+O28-E18</f>
        <v>19920.207304232033</v>
      </c>
      <c r="P30" s="142">
        <f t="shared" si="152"/>
        <v>7.4558112225682496E-2</v>
      </c>
    </row>
    <row r="31" spans="2:60" x14ac:dyDescent="0.35">
      <c r="B31" s="7" t="s">
        <v>37</v>
      </c>
      <c r="C31" s="20"/>
      <c r="D31" s="142" t="str">
        <f t="shared" si="99"/>
        <v>N.D.</v>
      </c>
      <c r="E31" s="34">
        <f>division!B6</f>
        <v>0</v>
      </c>
      <c r="F31" s="298">
        <f t="shared" si="155"/>
        <v>0</v>
      </c>
      <c r="G31" s="34">
        <f>division!G6</f>
        <v>0</v>
      </c>
      <c r="H31" s="298">
        <f t="shared" si="143"/>
        <v>0</v>
      </c>
      <c r="I31" s="34">
        <f>division!H6</f>
        <v>0</v>
      </c>
      <c r="J31" s="298">
        <f t="shared" si="153"/>
        <v>0</v>
      </c>
      <c r="K31" s="34">
        <f>division!E6</f>
        <v>0</v>
      </c>
      <c r="L31" s="298">
        <f t="shared" si="150"/>
        <v>0</v>
      </c>
      <c r="M31" s="34">
        <f>division!F6</f>
        <v>0</v>
      </c>
      <c r="N31" s="298">
        <f t="shared" si="154"/>
        <v>0</v>
      </c>
      <c r="O31" s="34">
        <f>+G31+M31+C31+E31+K31+I31+Q31</f>
        <v>0</v>
      </c>
      <c r="P31" s="298">
        <f t="shared" si="152"/>
        <v>0</v>
      </c>
      <c r="Q31">
        <f>capital-intereses</f>
        <v>0</v>
      </c>
      <c r="R31" t="s">
        <v>414</v>
      </c>
    </row>
    <row r="32" spans="2:60" x14ac:dyDescent="0.35">
      <c r="B32" s="4" t="s">
        <v>38</v>
      </c>
      <c r="C32" s="34"/>
      <c r="D32" s="298" t="str">
        <f t="shared" si="99"/>
        <v>N.D.</v>
      </c>
      <c r="E32" s="20">
        <f>+E30-E31</f>
        <v>4940.2344400000065</v>
      </c>
      <c r="F32" s="142">
        <f t="shared" si="155"/>
        <v>9.2699938520246508E-2</v>
      </c>
      <c r="G32" s="20">
        <f>+G30-G31</f>
        <v>2383.3836683279974</v>
      </c>
      <c r="H32" s="142">
        <f t="shared" si="143"/>
        <v>7.4768472183361939E-2</v>
      </c>
      <c r="I32" s="20">
        <f>+I30-I31</f>
        <v>1407.4788209039993</v>
      </c>
      <c r="J32" s="142">
        <f t="shared" si="153"/>
        <v>0.67500719705258372</v>
      </c>
      <c r="K32" s="20">
        <f>+K30-K31</f>
        <v>8603.2641350000158</v>
      </c>
      <c r="L32" s="142">
        <f t="shared" si="150"/>
        <v>4.9869576421060345E-2</v>
      </c>
      <c r="M32" s="20">
        <f>+M30-M31</f>
        <v>2586.8462400000008</v>
      </c>
      <c r="N32" s="142">
        <f>IF(M$4=0,"N.D.",M32/M$4)</f>
        <v>0.34924770569906344</v>
      </c>
      <c r="O32" s="20">
        <f>+O30-O31</f>
        <v>19920.207304232033</v>
      </c>
      <c r="P32" s="142">
        <f t="shared" si="152"/>
        <v>7.4558112225682496E-2</v>
      </c>
    </row>
    <row r="33" spans="1:60" x14ac:dyDescent="0.35">
      <c r="B33" s="7" t="s">
        <v>39</v>
      </c>
      <c r="C33" s="34"/>
      <c r="D33" s="298" t="str">
        <f t="shared" si="99"/>
        <v>N.D.</v>
      </c>
      <c r="E33" s="34">
        <f>division!B7</f>
        <v>0</v>
      </c>
      <c r="F33" s="298">
        <f t="shared" si="155"/>
        <v>0</v>
      </c>
      <c r="G33" s="34">
        <f>division!G7</f>
        <v>0</v>
      </c>
      <c r="H33" s="298">
        <f t="shared" si="143"/>
        <v>0</v>
      </c>
      <c r="I33" s="34">
        <f>division!H7</f>
        <v>0</v>
      </c>
      <c r="J33" s="298">
        <f t="shared" si="153"/>
        <v>0</v>
      </c>
      <c r="K33" s="34">
        <f>division!E7</f>
        <v>0</v>
      </c>
      <c r="L33" s="298">
        <f t="shared" si="150"/>
        <v>0</v>
      </c>
      <c r="M33" s="34">
        <f>division!F7</f>
        <v>0</v>
      </c>
      <c r="N33" s="298">
        <f t="shared" ref="N33:N34" si="156">IF(M$4=0,"N.D.",M33/M$4)</f>
        <v>0</v>
      </c>
      <c r="O33" s="34">
        <f>+G33+M33+C33+E33+K33+I33</f>
        <v>0</v>
      </c>
      <c r="P33" s="298">
        <f t="shared" si="152"/>
        <v>0</v>
      </c>
    </row>
    <row r="34" spans="1:60" x14ac:dyDescent="0.35">
      <c r="B34" s="4" t="s">
        <v>40</v>
      </c>
      <c r="C34" s="20"/>
      <c r="D34" s="142" t="str">
        <f t="shared" si="99"/>
        <v>N.D.</v>
      </c>
      <c r="E34" s="20">
        <f>+E32-E33</f>
        <v>4940.2344400000065</v>
      </c>
      <c r="F34" s="142">
        <f t="shared" si="155"/>
        <v>9.2699938520246508E-2</v>
      </c>
      <c r="G34" s="20">
        <f>+G32-G33</f>
        <v>2383.3836683279974</v>
      </c>
      <c r="H34" s="142">
        <f t="shared" si="143"/>
        <v>7.4768472183361939E-2</v>
      </c>
      <c r="I34" s="20">
        <f>+I32-I33</f>
        <v>1407.4788209039993</v>
      </c>
      <c r="J34" s="142">
        <f t="shared" si="153"/>
        <v>0.67500719705258372</v>
      </c>
      <c r="K34" s="20">
        <f>+K32-K33</f>
        <v>8603.2641350000158</v>
      </c>
      <c r="L34" s="142">
        <f t="shared" si="150"/>
        <v>4.9869576421060345E-2</v>
      </c>
      <c r="M34" s="20">
        <f>+M32-M33</f>
        <v>2586.8462400000008</v>
      </c>
      <c r="N34" s="142">
        <f t="shared" si="156"/>
        <v>0.34924770569906344</v>
      </c>
      <c r="O34" s="20">
        <f>+O32-O33</f>
        <v>19920.207304232033</v>
      </c>
      <c r="P34" s="142">
        <f t="shared" si="152"/>
        <v>7.4558112225682496E-2</v>
      </c>
    </row>
    <row r="35" spans="1:60" x14ac:dyDescent="0.35">
      <c r="B35" s="25"/>
    </row>
    <row r="38" spans="1:60" x14ac:dyDescent="0.35">
      <c r="G38" s="201"/>
    </row>
    <row r="39" spans="1:60" x14ac:dyDescent="0.35">
      <c r="A39" t="s">
        <v>119</v>
      </c>
      <c r="B39" s="371">
        <v>15</v>
      </c>
      <c r="C39" s="371"/>
      <c r="D39" s="371"/>
      <c r="E39" s="371"/>
      <c r="F39" s="371"/>
      <c r="G39" s="371"/>
      <c r="H39" s="371"/>
      <c r="I39" s="371"/>
      <c r="J39" s="371"/>
      <c r="K39" s="371"/>
      <c r="L39" s="371"/>
      <c r="M39" s="371"/>
      <c r="N39" s="371"/>
      <c r="O39" s="371"/>
      <c r="P39" s="371"/>
      <c r="R39" s="26" t="s">
        <v>42</v>
      </c>
      <c r="S39" s="39"/>
      <c r="T39" s="39"/>
      <c r="U39" s="39"/>
      <c r="V39" s="39"/>
      <c r="W39" s="39"/>
      <c r="X39" s="7"/>
      <c r="Y39" s="39"/>
      <c r="Z39" s="7"/>
      <c r="AA39" s="38"/>
      <c r="AB39" s="39"/>
      <c r="AC39" s="39"/>
      <c r="AD39" s="39"/>
      <c r="AE39" s="41"/>
      <c r="AF39" s="40"/>
      <c r="AH39" s="26" t="s">
        <v>45</v>
      </c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370" t="s">
        <v>24</v>
      </c>
      <c r="AY39" s="371"/>
      <c r="AZ39" s="371"/>
      <c r="BA39" s="371"/>
      <c r="BB39" s="371"/>
      <c r="BC39" s="371"/>
      <c r="BD39" s="371"/>
      <c r="BE39" s="371"/>
      <c r="BF39" s="371"/>
      <c r="BG39" s="371"/>
      <c r="BH39" s="371"/>
    </row>
    <row r="40" spans="1:60" x14ac:dyDescent="0.35">
      <c r="B40" s="26"/>
      <c r="C40" s="2" t="s">
        <v>25</v>
      </c>
      <c r="D40" s="27"/>
      <c r="E40" s="2" t="s">
        <v>26</v>
      </c>
      <c r="F40" s="27"/>
      <c r="G40" s="2" t="s">
        <v>27</v>
      </c>
      <c r="H40" s="27"/>
      <c r="I40" s="2" t="s">
        <v>28</v>
      </c>
      <c r="J40" s="27"/>
      <c r="K40" s="28" t="s">
        <v>29</v>
      </c>
      <c r="L40" s="27"/>
      <c r="M40" s="2" t="s">
        <v>30</v>
      </c>
      <c r="N40" s="27"/>
      <c r="O40" s="2" t="s">
        <v>31</v>
      </c>
      <c r="P40" s="1"/>
      <c r="R40" s="25"/>
      <c r="S40" s="2" t="s">
        <v>25</v>
      </c>
      <c r="T40" s="27"/>
      <c r="U40" s="2" t="s">
        <v>26</v>
      </c>
      <c r="V40" s="27"/>
      <c r="W40" s="2" t="s">
        <v>27</v>
      </c>
      <c r="X40" s="27"/>
      <c r="Y40" s="2" t="s">
        <v>28</v>
      </c>
      <c r="Z40" s="27"/>
      <c r="AA40" s="28" t="s">
        <v>29</v>
      </c>
      <c r="AB40" s="27"/>
      <c r="AC40" s="2" t="s">
        <v>30</v>
      </c>
      <c r="AD40" s="27"/>
      <c r="AE40" s="2" t="s">
        <v>31</v>
      </c>
      <c r="AF40" s="1"/>
      <c r="AH40" s="25"/>
      <c r="AI40" s="2" t="s">
        <v>25</v>
      </c>
      <c r="AJ40" s="27"/>
      <c r="AK40" s="2" t="s">
        <v>26</v>
      </c>
      <c r="AL40" s="27"/>
      <c r="AM40" s="2" t="s">
        <v>27</v>
      </c>
      <c r="AN40" s="27"/>
      <c r="AO40" s="2" t="s">
        <v>28</v>
      </c>
      <c r="AP40" s="27"/>
      <c r="AQ40" s="28" t="s">
        <v>29</v>
      </c>
      <c r="AR40" s="27"/>
      <c r="AS40" s="2" t="s">
        <v>30</v>
      </c>
      <c r="AT40" s="27"/>
      <c r="AU40" s="2" t="s">
        <v>31</v>
      </c>
      <c r="AV40" s="1"/>
      <c r="AW40" s="25"/>
      <c r="AX40" s="7"/>
      <c r="AY40" s="2" t="s">
        <v>0</v>
      </c>
      <c r="AZ40" s="24"/>
      <c r="BA40" s="2" t="s">
        <v>1</v>
      </c>
      <c r="BB40" s="2"/>
      <c r="BC40" s="2" t="s">
        <v>2</v>
      </c>
      <c r="BD40" s="2"/>
      <c r="BE40" s="4" t="s">
        <v>3</v>
      </c>
      <c r="BF40" s="5"/>
      <c r="BG40" s="4" t="s">
        <v>4</v>
      </c>
      <c r="BH40" s="6"/>
    </row>
    <row r="41" spans="1:60" x14ac:dyDescent="0.35">
      <c r="B41" s="7" t="s">
        <v>5</v>
      </c>
      <c r="C41" s="194"/>
      <c r="D41" s="29" t="str">
        <f>IF(C$41=0,"N.D.",C41/C$41)</f>
        <v>N.D.</v>
      </c>
      <c r="E41" s="8">
        <f>TablasERxDiv!AA32</f>
        <v>53292.74775000001</v>
      </c>
      <c r="F41" s="29">
        <f>IF(E$41=0,"N.D.",E41/E$41)</f>
        <v>1</v>
      </c>
      <c r="G41" s="195">
        <f>'mxn-dll'!N5</f>
        <v>31876.853956343999</v>
      </c>
      <c r="H41" s="29">
        <f>IF(G$41=0,"N.D.",G41/G$41)</f>
        <v>1</v>
      </c>
      <c r="I41" s="195">
        <f>'mxn-dll'!AC5</f>
        <v>2085.1315764479996</v>
      </c>
      <c r="J41" s="29">
        <f>IF(I$41=0,"N.D.",I41/I$41)</f>
        <v>1</v>
      </c>
      <c r="K41" s="195">
        <f>TablasERxDiv!AT32</f>
        <v>172515.28391500001</v>
      </c>
      <c r="L41" s="29">
        <f>IF(K$41=0,"N.D.",K41/K$41)</f>
        <v>1</v>
      </c>
      <c r="M41" s="195">
        <f>TablasERxDiv!BC32</f>
        <v>7406.9097600000005</v>
      </c>
      <c r="N41" s="29">
        <f>IF(M$41=0,"N.D.",M41/M$41)</f>
        <v>1</v>
      </c>
      <c r="O41" s="195">
        <f>K41+E41+C41+M41+G41+I41</f>
        <v>267176.92695779202</v>
      </c>
      <c r="P41" s="29">
        <f>IF(O$41=0,"N.D.",O41/O$41)</f>
        <v>1</v>
      </c>
      <c r="R41" s="7" t="s">
        <v>5</v>
      </c>
      <c r="S41" s="8"/>
      <c r="T41" s="29" t="str">
        <f>IF(S$41=0,"N.D.",S41/S$41)</f>
        <v>N.D.</v>
      </c>
      <c r="U41" s="8">
        <f>(BDER!L4+BDER!L26+BDER!L48+BDER!L70+BDER!L92+BDER!L114)/1000</f>
        <v>0</v>
      </c>
      <c r="V41" s="29" t="str">
        <f t="shared" ref="V41:V43" si="157">IF(U$41=0,"N.D.",U41/U$41)</f>
        <v>N.D.</v>
      </c>
      <c r="W41" s="8">
        <f>(BDER!L466+BDER!L489+BDER!L556+BDER!L601)*TC_MES/1000</f>
        <v>28326.066112799999</v>
      </c>
      <c r="X41" s="29">
        <f t="shared" ref="X41:X43" si="158">IF(W$41=0,"N.D.",W41/W$41)</f>
        <v>1</v>
      </c>
      <c r="Y41" s="8">
        <f>Y109*TC_MES</f>
        <v>2100.8510999999999</v>
      </c>
      <c r="Z41" s="29">
        <f t="shared" ref="Z41:Z43" si="159">IF(Y$41=0,"N.D.",Y41/Y$41)</f>
        <v>1</v>
      </c>
      <c r="AA41" s="8">
        <f>(BDER!L290+BDER!L312+BDER!H334+BDER!L356+BDER!L378+BDER!L400)/1000</f>
        <v>140114.96</v>
      </c>
      <c r="AB41" s="29">
        <f t="shared" ref="AB41:AB43" si="160">IF(AA$41=0,"N.D.",AA41/AA$41)</f>
        <v>1</v>
      </c>
      <c r="AC41" s="8">
        <f>(BDER!L422+BDER!L444)/1000</f>
        <v>11272.662</v>
      </c>
      <c r="AD41" s="29">
        <f t="shared" ref="AD41:AD43" si="161">IF(AC$41=0,"N.D.",AC41/AC$41)</f>
        <v>1</v>
      </c>
      <c r="AE41" s="8">
        <f>+AA41+U41+S41+AC41+W41+Y41</f>
        <v>181814.53921280001</v>
      </c>
      <c r="AF41" s="29">
        <f t="shared" ref="AF41:AF43" si="162">IF(AE$41=0,"N.D.",AE41/AE$41)</f>
        <v>1</v>
      </c>
      <c r="AH41" s="7" t="s">
        <v>5</v>
      </c>
      <c r="AI41" s="8"/>
      <c r="AJ41" s="29" t="str">
        <f>IF(AI$41=0,"N.D.",AI41/AI$41)</f>
        <v>N.D.</v>
      </c>
      <c r="AK41" s="8">
        <f>(BDER!H4+BDER!H26+BDER!H48+BDER!H70+BDER!H92+BDER!H114)/1000</f>
        <v>59051.462630000002</v>
      </c>
      <c r="AL41" s="29">
        <f t="shared" ref="AL41:AL43" si="163">IF(AK$41=0,"N.D.",AK41/AK$41)</f>
        <v>1</v>
      </c>
      <c r="AM41" s="8">
        <f>(BDER!H466+BDER!H489+BDER!H556+BDER!H601)*TC_MES/1000</f>
        <v>27242.972252351999</v>
      </c>
      <c r="AN41" s="29">
        <f t="shared" ref="AN41:AN43" si="164">IF(AM$41=0,"N.D.",AM41/AM$41)</f>
        <v>1</v>
      </c>
      <c r="AO41" s="8">
        <f>AO109*TC_MES</f>
        <v>2664.6358045679999</v>
      </c>
      <c r="AP41" s="29">
        <f t="shared" ref="AP41:AP43" si="165">IF(AO$41=0,"N.D.",AO41/AO$41)</f>
        <v>1</v>
      </c>
      <c r="AQ41" s="8">
        <f>(BDER!H290+BDER!H312+BDER!F334+BDER!H356+BDER!H378+BDER!H400)/1000</f>
        <v>162469.56968000002</v>
      </c>
      <c r="AR41" s="29">
        <f t="shared" ref="AR41:AR43" si="166">IF(AQ$41=0,"N.D.",AQ41/AQ$41)</f>
        <v>1</v>
      </c>
      <c r="AS41" s="8">
        <f>(BDER!H422+BDER!H444)/1000</f>
        <v>1309.9778600000002</v>
      </c>
      <c r="AT41" s="29">
        <f t="shared" ref="AT41:AT43" si="167">IF(AS$41=0,"N.D.",AS41/AS$41)</f>
        <v>1</v>
      </c>
      <c r="AU41" s="8">
        <f>+AQ41+AK41+AI41+AS41+AM41+AO41</f>
        <v>252738.61822692002</v>
      </c>
      <c r="AV41" s="29">
        <f t="shared" ref="AV41:AV43" si="168">IF(AU$41=0,"N.D.",AU41/AU$41)</f>
        <v>1</v>
      </c>
      <c r="AW41" s="25"/>
      <c r="AX41" s="7" t="s">
        <v>5</v>
      </c>
      <c r="AY41" s="8">
        <f>O41</f>
        <v>267176.92695779202</v>
      </c>
      <c r="AZ41" s="9">
        <f>IF(AY$41=0,"N.D.",AY41/AY$41)</f>
        <v>1</v>
      </c>
      <c r="BA41" s="8">
        <f t="shared" ref="BA41:BA62" si="169">AE41</f>
        <v>181814.53921280001</v>
      </c>
      <c r="BB41" s="9">
        <f t="shared" ref="BB41:BB62" si="170">IF(BA$41=0,"N.D.",BA41/BA$41)</f>
        <v>1</v>
      </c>
      <c r="BC41" s="8">
        <f t="shared" ref="BC41:BC62" si="171">AU41</f>
        <v>252738.61822692002</v>
      </c>
      <c r="BD41" s="9">
        <f t="shared" ref="BD41:BD62" si="172">IF(BC$41=0,"N.D.",BC41/BC$41)</f>
        <v>1</v>
      </c>
      <c r="BE41" s="8">
        <f>+AY41-BA41</f>
        <v>85362.387744992011</v>
      </c>
      <c r="BF41" s="10">
        <f>IF(BA41=0,"N.D.",AY41/BA41-1)</f>
        <v>0.46950253876606562</v>
      </c>
      <c r="BG41" s="8">
        <f>AY41-BC41</f>
        <v>14438.308730871999</v>
      </c>
      <c r="BH41" s="10">
        <f>IF(BC41=0, "N.D.",AY41/BC41-1)</f>
        <v>5.7127433995499022E-2</v>
      </c>
    </row>
    <row r="42" spans="1:60" x14ac:dyDescent="0.35">
      <c r="B42" s="7" t="s">
        <v>6</v>
      </c>
      <c r="C42" s="196"/>
      <c r="D42" s="193" t="str">
        <f>IF(C$41=0,"N.D.",C42/C$41)</f>
        <v>N.D.</v>
      </c>
      <c r="E42" s="34">
        <f>TablasERxDiv!AA33</f>
        <v>27361.201470000004</v>
      </c>
      <c r="F42" s="190">
        <f>IF(E$41=0,"N.D.",E42/E$41)</f>
        <v>0.51341322459771266</v>
      </c>
      <c r="G42" s="197">
        <f>'mxn-dll'!N6</f>
        <v>9568.0909688399988</v>
      </c>
      <c r="H42" s="193">
        <f>IF(G$41=0,"N.D.",G42/G$41)</f>
        <v>0.3001579447565213</v>
      </c>
      <c r="I42" s="197">
        <f>'mxn-dll'!AC6</f>
        <v>0</v>
      </c>
      <c r="J42" s="190">
        <f>IF(I$41=0,"N.D.",I42/I$41)</f>
        <v>0</v>
      </c>
      <c r="K42" s="197">
        <f>TablasERxDiv!AT33</f>
        <v>131951.14121999999</v>
      </c>
      <c r="L42" s="190">
        <f>IF(K$41=0,"N.D.",K42/K$41)</f>
        <v>0.76486638299835297</v>
      </c>
      <c r="M42" s="197">
        <f>TablasERxDiv!BC33</f>
        <v>3876.13193</v>
      </c>
      <c r="N42" s="190">
        <f>IF(M$41=0,"N.D.",M42/M$41)</f>
        <v>0.52331296797113935</v>
      </c>
      <c r="O42" s="197">
        <f>K42+E42+C42+M42+G42+I42</f>
        <v>172756.56558883999</v>
      </c>
      <c r="P42" s="193">
        <f>IF(O$41=0,"N.D.",O42/O$41)</f>
        <v>0.64659986757064414</v>
      </c>
      <c r="R42" s="7" t="s">
        <v>6</v>
      </c>
      <c r="S42" s="8"/>
      <c r="T42" s="42" t="str">
        <f t="shared" ref="T42:T43" si="173">IF(S$41=0,"N.D.",S42/S$41)</f>
        <v>N.D.</v>
      </c>
      <c r="U42" s="8">
        <f>(BDER!L5+BDER!L27+BDER!L49+BDER!L71+BDER!L93+BDER!L115)/1000</f>
        <v>0</v>
      </c>
      <c r="V42" s="42" t="str">
        <f t="shared" si="157"/>
        <v>N.D.</v>
      </c>
      <c r="W42" s="8">
        <f>(BDER!L467+BDER!L490+BDER!L557+BDER!L602)*TC_MES/1000</f>
        <v>8858.8668959999995</v>
      </c>
      <c r="X42" s="42">
        <f t="shared" si="158"/>
        <v>0.31274610673865688</v>
      </c>
      <c r="Y42" s="8">
        <f>Y110*TC_MES</f>
        <v>0</v>
      </c>
      <c r="Z42" s="42">
        <f t="shared" si="159"/>
        <v>0</v>
      </c>
      <c r="AA42" s="8">
        <f>(BDER!L291+BDER!L313+BDER!H335+BDER!L357+BDER!L379+BDER!L401)/1000</f>
        <v>93207.816000000006</v>
      </c>
      <c r="AB42" s="42">
        <f t="shared" si="160"/>
        <v>0.66522387045608844</v>
      </c>
      <c r="AC42" s="8">
        <f>(BDER!L423+BDER!L445)/1000</f>
        <v>7537.8329999999996</v>
      </c>
      <c r="AD42" s="42">
        <f t="shared" si="161"/>
        <v>0.6686826057589591</v>
      </c>
      <c r="AE42" s="11">
        <f>+AA42+U42+S42+AC42+W42+Y42</f>
        <v>109604.515896</v>
      </c>
      <c r="AF42" s="42">
        <f t="shared" si="162"/>
        <v>0.6028369148614473</v>
      </c>
      <c r="AH42" s="7" t="s">
        <v>6</v>
      </c>
      <c r="AI42" s="8"/>
      <c r="AJ42" s="42" t="str">
        <f t="shared" ref="AJ42:AJ43" si="174">IF(AI$41=0,"N.D.",AI42/AI$41)</f>
        <v>N.D.</v>
      </c>
      <c r="AK42" s="8">
        <f>(BDER!H5+BDER!H27+BDER!H49+BDER!H71+BDER!H93+BDER!H115)/1000</f>
        <v>32529.700089999998</v>
      </c>
      <c r="AL42" s="42">
        <f t="shared" si="163"/>
        <v>0.55087035343767909</v>
      </c>
      <c r="AM42" s="8">
        <f>(BDER!H467+BDER!H490+BDER!H557+BDER!H602)*TC_MES/1000</f>
        <v>8934.0236685359996</v>
      </c>
      <c r="AN42" s="42">
        <f t="shared" si="164"/>
        <v>0.32793865462916544</v>
      </c>
      <c r="AO42" s="8">
        <f>AO110*TC_MES</f>
        <v>0</v>
      </c>
      <c r="AP42" s="42">
        <f t="shared" si="165"/>
        <v>0</v>
      </c>
      <c r="AQ42" s="8">
        <f>(BDER!H291+BDER!H313+BDER!F335+BDER!H357+BDER!H379+BDER!H401)/1000</f>
        <v>119652.00849000001</v>
      </c>
      <c r="AR42" s="42">
        <f t="shared" si="166"/>
        <v>0.73645796394775065</v>
      </c>
      <c r="AS42" s="8">
        <f>(BDER!H423+BDER!H445)/1000</f>
        <v>1064.98981</v>
      </c>
      <c r="AT42" s="42">
        <f t="shared" si="167"/>
        <v>0.81298306064500958</v>
      </c>
      <c r="AU42" s="11">
        <f>+AQ42+AK42+AI42+AS42+AM42+AO42</f>
        <v>162180.72205853602</v>
      </c>
      <c r="AV42" s="42">
        <f t="shared" si="168"/>
        <v>0.64169347445321123</v>
      </c>
      <c r="AW42" s="25"/>
      <c r="AX42" s="7" t="s">
        <v>6</v>
      </c>
      <c r="AY42" s="11">
        <f>O42</f>
        <v>172756.56558883999</v>
      </c>
      <c r="AZ42" s="12">
        <f t="shared" ref="AZ42:AZ62" si="175">IF(AY$41=0,"N.D.",AY42/AY$41)</f>
        <v>0.64659986757064414</v>
      </c>
      <c r="BA42" s="11">
        <f t="shared" si="169"/>
        <v>109604.515896</v>
      </c>
      <c r="BB42" s="12">
        <f t="shared" si="170"/>
        <v>0.6028369148614473</v>
      </c>
      <c r="BC42" s="11">
        <f t="shared" si="171"/>
        <v>162180.72205853602</v>
      </c>
      <c r="BD42" s="12">
        <f t="shared" si="172"/>
        <v>0.64169347445321123</v>
      </c>
      <c r="BE42" s="11">
        <f>+AY42-BA42</f>
        <v>63152.049692839995</v>
      </c>
      <c r="BF42" s="13">
        <f>IF(BA42=0,"N.D.",AY42/BA42-1)</f>
        <v>0.5761810923261852</v>
      </c>
      <c r="BG42" s="11">
        <f>AY42-BC42</f>
        <v>10575.843530303973</v>
      </c>
      <c r="BH42" s="13">
        <f>IF(BC42=0, "N.D.",AY42/BC42-1)</f>
        <v>6.5210238282739974E-2</v>
      </c>
    </row>
    <row r="43" spans="1:60" x14ac:dyDescent="0.35">
      <c r="B43" s="4" t="s">
        <v>7</v>
      </c>
      <c r="C43" s="20"/>
      <c r="D43" s="35" t="str">
        <f>IF(C$41=0,"N.D.",C43/C$41)</f>
        <v>N.D.</v>
      </c>
      <c r="E43" s="20">
        <f>+E41-E42</f>
        <v>25931.546280000006</v>
      </c>
      <c r="F43" s="35">
        <f>IF(E$41=0,"N.D.",E43/E$41)</f>
        <v>0.48658677540228729</v>
      </c>
      <c r="G43" s="20">
        <f>+G41-G42</f>
        <v>22308.762987504</v>
      </c>
      <c r="H43" s="35">
        <f>IF(G$41=0,"N.D.",G43/G$41)</f>
        <v>0.69984205524347876</v>
      </c>
      <c r="I43" s="20">
        <f>+I41-I42</f>
        <v>2085.1315764479996</v>
      </c>
      <c r="J43" s="35">
        <f>IF(I$41=0,"N.D.",I43/I$41)</f>
        <v>1</v>
      </c>
      <c r="K43" s="20">
        <f>+K41-K42</f>
        <v>40564.142695000017</v>
      </c>
      <c r="L43" s="35">
        <f>IF(K$41=0,"N.D.",K43/K$41)</f>
        <v>0.23513361700164706</v>
      </c>
      <c r="M43" s="191">
        <f>+M41-M42</f>
        <v>3530.7778300000004</v>
      </c>
      <c r="N43" s="35">
        <f>IF(M$41=0,"N.D.",M43/M$41)</f>
        <v>0.47668703202886059</v>
      </c>
      <c r="O43" s="192">
        <f>+O41-O42</f>
        <v>94420.361368952028</v>
      </c>
      <c r="P43" s="35">
        <f>IF(O$41=0,"N.D.",O43/O$41)</f>
        <v>0.35340013242935581</v>
      </c>
      <c r="R43" s="4" t="s">
        <v>7</v>
      </c>
      <c r="S43" s="14"/>
      <c r="T43" s="43" t="str">
        <f t="shared" si="173"/>
        <v>N.D.</v>
      </c>
      <c r="U43" s="14">
        <f>+U41-U42</f>
        <v>0</v>
      </c>
      <c r="V43" s="43" t="str">
        <f t="shared" si="157"/>
        <v>N.D.</v>
      </c>
      <c r="W43" s="14">
        <f>+W41-W42</f>
        <v>19467.1992168</v>
      </c>
      <c r="X43" s="43">
        <f t="shared" si="158"/>
        <v>0.68725389326134312</v>
      </c>
      <c r="Y43" s="14">
        <f>+Y41-Y42</f>
        <v>2100.8510999999999</v>
      </c>
      <c r="Z43" s="43">
        <f t="shared" si="159"/>
        <v>1</v>
      </c>
      <c r="AA43" s="14">
        <f>+AA41-AA42</f>
        <v>46907.143999999986</v>
      </c>
      <c r="AB43" s="43">
        <f t="shared" si="160"/>
        <v>0.33477612954391156</v>
      </c>
      <c r="AC43" s="14">
        <f>+AC41-AC42</f>
        <v>3734.8290000000006</v>
      </c>
      <c r="AD43" s="43">
        <f t="shared" si="161"/>
        <v>0.3313173942410409</v>
      </c>
      <c r="AE43" s="14">
        <f>+AA43+U43+S43+AC43+W43+Y43</f>
        <v>72210.023316799983</v>
      </c>
      <c r="AF43" s="43">
        <f t="shared" si="162"/>
        <v>0.39716308513855253</v>
      </c>
      <c r="AH43" s="4" t="s">
        <v>7</v>
      </c>
      <c r="AI43" s="14"/>
      <c r="AJ43" s="43" t="str">
        <f t="shared" si="174"/>
        <v>N.D.</v>
      </c>
      <c r="AK43" s="14">
        <f>+AK41-AK42</f>
        <v>26521.762540000003</v>
      </c>
      <c r="AL43" s="43">
        <f t="shared" si="163"/>
        <v>0.44912964656232091</v>
      </c>
      <c r="AM43" s="14">
        <f>+AM41-AM42</f>
        <v>18308.948583816</v>
      </c>
      <c r="AN43" s="43">
        <f t="shared" si="164"/>
        <v>0.67206134537083462</v>
      </c>
      <c r="AO43" s="14">
        <f>+AO41-AO42</f>
        <v>2664.6358045679999</v>
      </c>
      <c r="AP43" s="43">
        <f t="shared" si="165"/>
        <v>1</v>
      </c>
      <c r="AQ43" s="14">
        <f>+AQ41-AQ42</f>
        <v>42817.561190000008</v>
      </c>
      <c r="AR43" s="43">
        <f t="shared" si="166"/>
        <v>0.26354203605224941</v>
      </c>
      <c r="AS43" s="14">
        <f>+AS41-AS42</f>
        <v>244.98805000000016</v>
      </c>
      <c r="AT43" s="43">
        <f t="shared" si="167"/>
        <v>0.18701693935499042</v>
      </c>
      <c r="AU43" s="14">
        <f>+AQ43+AK43+AI43+AS43+AM43+AO43</f>
        <v>90557.896168384003</v>
      </c>
      <c r="AV43" s="43">
        <f t="shared" si="168"/>
        <v>0.35830652554678871</v>
      </c>
      <c r="AW43" s="25"/>
      <c r="AX43" s="4" t="s">
        <v>7</v>
      </c>
      <c r="AY43" s="14">
        <f>O43</f>
        <v>94420.361368952028</v>
      </c>
      <c r="AZ43" s="15">
        <f t="shared" si="175"/>
        <v>0.35340013242935581</v>
      </c>
      <c r="BA43" s="14">
        <f t="shared" si="169"/>
        <v>72210.023316799983</v>
      </c>
      <c r="BB43" s="15">
        <f t="shared" si="170"/>
        <v>0.39716308513855253</v>
      </c>
      <c r="BC43" s="14">
        <f t="shared" si="171"/>
        <v>90557.896168384003</v>
      </c>
      <c r="BD43" s="15">
        <f t="shared" si="172"/>
        <v>0.35830652554678871</v>
      </c>
      <c r="BE43" s="14">
        <f>+AY43-BA43</f>
        <v>22210.338052152045</v>
      </c>
      <c r="BF43" s="16">
        <f>IF(BA43=0,"N.D.",AY43/BA43-1)</f>
        <v>0.30757971029466091</v>
      </c>
      <c r="BG43" s="14">
        <f>AY43-BC43</f>
        <v>3862.4652005680255</v>
      </c>
      <c r="BH43" s="16">
        <f>IF(BC43=0, "N.D.",AY43/BC43-1)</f>
        <v>4.2651887510572584E-2</v>
      </c>
    </row>
    <row r="44" spans="1:60" x14ac:dyDescent="0.35">
      <c r="B44" s="1"/>
      <c r="C44" s="30"/>
      <c r="D44" s="18"/>
      <c r="E44" s="30"/>
      <c r="F44" s="18"/>
      <c r="G44" s="30"/>
      <c r="H44" s="18"/>
      <c r="I44" s="30"/>
      <c r="J44" s="18"/>
      <c r="K44" s="30"/>
      <c r="L44" s="18"/>
      <c r="M44" s="30"/>
      <c r="N44" s="18"/>
      <c r="O44" s="30"/>
      <c r="P44" s="18"/>
      <c r="R44" s="1"/>
      <c r="S44" s="30"/>
      <c r="T44" s="44"/>
      <c r="U44" s="30"/>
      <c r="V44" s="44"/>
      <c r="W44" s="30"/>
      <c r="X44" s="44"/>
      <c r="Y44" s="30"/>
      <c r="Z44" s="44"/>
      <c r="AA44" s="30"/>
      <c r="AB44" s="44"/>
      <c r="AC44" s="30"/>
      <c r="AD44" s="44"/>
      <c r="AE44" s="30"/>
      <c r="AF44" s="44"/>
      <c r="AH44" s="1"/>
      <c r="AI44" s="30"/>
      <c r="AJ44" s="44"/>
      <c r="AK44" s="30"/>
      <c r="AL44" s="44"/>
      <c r="AM44" s="30"/>
      <c r="AN44" s="44"/>
      <c r="AO44" s="30"/>
      <c r="AP44" s="44"/>
      <c r="AQ44" s="30"/>
      <c r="AR44" s="44"/>
      <c r="AS44" s="30"/>
      <c r="AT44" s="44"/>
      <c r="AU44" s="30"/>
      <c r="AV44" s="44"/>
      <c r="AW44" s="25"/>
      <c r="AX44" s="1"/>
      <c r="AY44" s="17"/>
      <c r="AZ44" s="18"/>
      <c r="BA44" s="17"/>
      <c r="BB44" s="18"/>
      <c r="BC44" s="17"/>
      <c r="BD44" s="18"/>
      <c r="BE44" s="17"/>
      <c r="BF44" s="19"/>
      <c r="BG44" s="17"/>
      <c r="BH44" s="19"/>
    </row>
    <row r="45" spans="1:60" x14ac:dyDescent="0.35">
      <c r="B45" s="7" t="s">
        <v>8</v>
      </c>
      <c r="C45" s="194"/>
      <c r="D45" s="29" t="str">
        <f>IF(C$41=0,"N.D.",C45/C$41)</f>
        <v>N.D.</v>
      </c>
      <c r="E45" s="8">
        <f>TablasERxDiv!AA36</f>
        <v>12855.633999999998</v>
      </c>
      <c r="F45" s="29">
        <f>IF(E$41=0,"N.D.",E45/E$41)</f>
        <v>0.24122670612344241</v>
      </c>
      <c r="G45" s="195">
        <f>'mxn-dll'!N9</f>
        <v>19435.020953256</v>
      </c>
      <c r="H45" s="29">
        <f>IF(G$41=0,"N.D.",G45/G$41)</f>
        <v>0.60969068590873676</v>
      </c>
      <c r="I45" s="195">
        <f>'mxn-dll'!AC9</f>
        <v>437.31276048000001</v>
      </c>
      <c r="J45" s="29">
        <f>IF(I$41=0,"N.D.",I45/I$41)</f>
        <v>0.20972909595708</v>
      </c>
      <c r="K45" s="195">
        <f>TablasERxDiv!AT36</f>
        <v>21332.510435</v>
      </c>
      <c r="L45" s="29">
        <f>IF(K$41=0,"N.D.",K45/K$41)</f>
        <v>0.12365577096062248</v>
      </c>
      <c r="M45" s="195">
        <f>TablasERxDiv!BC36</f>
        <v>48.372</v>
      </c>
      <c r="N45" s="29">
        <f>IF(M$41=0,"N.D.",M45/M$41)</f>
        <v>6.5306587453280917E-3</v>
      </c>
      <c r="O45" s="195">
        <f>K45+E45+C45+M45+G45+I45</f>
        <v>54108.850148735997</v>
      </c>
      <c r="P45" s="29">
        <f>IF(O$41=0,"N.D.",O45/O$41)</f>
        <v>0.20252066959840431</v>
      </c>
      <c r="R45" s="7" t="s">
        <v>8</v>
      </c>
      <c r="S45" s="8"/>
      <c r="T45" s="29" t="str">
        <f t="shared" ref="T45:T49" si="176">IF(S$41=0,"N.D.",S45/S$41)</f>
        <v>N.D.</v>
      </c>
      <c r="U45" s="8">
        <f>(BDER!L7+BDER!L29+BDER!L51+BDER!L73+BDER!L95+BDER!L117)/1000</f>
        <v>0</v>
      </c>
      <c r="V45" s="29" t="str">
        <f t="shared" ref="V45:V49" si="177">IF(U$41=0,"N.D.",U45/U$41)</f>
        <v>N.D.</v>
      </c>
      <c r="W45" s="8">
        <f>(BDER!L470+BDER!L493+BDER!L560+BDER!L605)*TC_MES/1000</f>
        <v>18879.122707199997</v>
      </c>
      <c r="X45" s="29">
        <f t="shared" ref="X45:X49" si="178">IF(W$41=0,"N.D.",W45/W$41)</f>
        <v>0.66649292676291849</v>
      </c>
      <c r="Y45" s="8">
        <f>Y113*TC_MES</f>
        <v>671.46335999999997</v>
      </c>
      <c r="Z45" s="29">
        <f t="shared" ref="Z45:Z49" si="179">IF(Y$41=0,"N.D.",Y45/Y$41)</f>
        <v>0.31961492178098677</v>
      </c>
      <c r="AA45" s="8">
        <f>(BDER!L293+BDER!L315+BDER!H337+BDER!L359+BDER!L381+BDER!L403)/1000</f>
        <v>19782.437999999998</v>
      </c>
      <c r="AB45" s="29">
        <f t="shared" ref="AB45:AB49" si="180">IF(AA$41=0,"N.D.",AA45/AA$41)</f>
        <v>0.14118719371578881</v>
      </c>
      <c r="AC45" s="8">
        <f>(BDER!L425+BDER!L447)/1000</f>
        <v>286.67700000000002</v>
      </c>
      <c r="AD45" s="29">
        <f t="shared" ref="AD45:AD49" si="181">IF(AC$41=0,"N.D.",AC45/AC$41)</f>
        <v>2.5431171448234677E-2</v>
      </c>
      <c r="AE45" s="8">
        <f>+AA45+U45+S45+AC45+W45+Y45</f>
        <v>39619.701067199996</v>
      </c>
      <c r="AF45" s="29">
        <f t="shared" ref="AF45:AF49" si="182">IF(AE$41=0,"N.D.",AE45/AE$41)</f>
        <v>0.21791272160488864</v>
      </c>
      <c r="AH45" s="7" t="s">
        <v>8</v>
      </c>
      <c r="AI45" s="8"/>
      <c r="AJ45" s="29" t="str">
        <f t="shared" ref="AJ45:AJ49" si="183">IF(AI$41=0,"N.D.",AI45/AI$41)</f>
        <v>N.D.</v>
      </c>
      <c r="AK45" s="8">
        <f>(BDER!H7+BDER!H29+BDER!H51+BDER!H73+BDER!H95+BDER!H117)/1000</f>
        <v>14453.622669999999</v>
      </c>
      <c r="AL45" s="29">
        <f t="shared" ref="AL45:AL49" si="184">IF(AK$41=0,"N.D.",AK45/AK$41)</f>
        <v>0.24476316125414824</v>
      </c>
      <c r="AM45" s="8">
        <f>(BDER!H470+BDER!H493+BDER!H560+BDER!H605)*TC_MES/1000</f>
        <v>18563.403062304002</v>
      </c>
      <c r="AN45" s="29">
        <f t="shared" ref="AN45:AN49" si="185">IF(AM$41=0,"N.D.",AM45/AM$41)</f>
        <v>0.68140153322298913</v>
      </c>
      <c r="AO45" s="8">
        <f>AO113*TC_MES</f>
        <v>1639.6356596399999</v>
      </c>
      <c r="AP45" s="29">
        <f t="shared" ref="AP45:AP49" si="186">IF(AO$41=0,"N.D.",AO45/AO$41)</f>
        <v>0.61533199277333261</v>
      </c>
      <c r="AQ45" s="8">
        <f>(BDER!H293+BDER!H315+BDER!F337+BDER!H359+BDER!H381+BDER!H403)/1000</f>
        <v>23174.014069999997</v>
      </c>
      <c r="AR45" s="29">
        <f t="shared" ref="AR45:AR49" si="187">IF(AQ$41=0,"N.D.",AQ45/AQ$41)</f>
        <v>0.14263602787674962</v>
      </c>
      <c r="AS45" s="8">
        <f>(BDER!H425+BDER!H447)/1000</f>
        <v>78.979380000000006</v>
      </c>
      <c r="AT45" s="29">
        <f t="shared" ref="AT45:AT49" si="188">IF(AS$41=0,"N.D.",AS45/AS$41)</f>
        <v>6.029062201097047E-2</v>
      </c>
      <c r="AU45" s="8">
        <f>+AQ45+AK45+AI45+AS45+AM45+AO45</f>
        <v>57909.654841943993</v>
      </c>
      <c r="AV45" s="29">
        <f t="shared" ref="AV45:AV49" si="189">IF(AU$41=0,"N.D.",AU45/AU$41)</f>
        <v>0.22912863593307342</v>
      </c>
      <c r="AW45" s="25"/>
      <c r="AX45" s="7" t="s">
        <v>8</v>
      </c>
      <c r="AY45" s="8">
        <f>O45</f>
        <v>54108.850148735997</v>
      </c>
      <c r="AZ45" s="9">
        <f t="shared" si="175"/>
        <v>0.20252066959840431</v>
      </c>
      <c r="BA45" s="8">
        <f t="shared" si="169"/>
        <v>39619.701067199996</v>
      </c>
      <c r="BB45" s="9">
        <f t="shared" si="170"/>
        <v>0.21791272160488864</v>
      </c>
      <c r="BC45" s="8">
        <f t="shared" si="171"/>
        <v>57909.654841943993</v>
      </c>
      <c r="BD45" s="9">
        <f t="shared" si="172"/>
        <v>0.22912863593307342</v>
      </c>
      <c r="BE45" s="8">
        <f>+AY45-BA45</f>
        <v>14489.149081536001</v>
      </c>
      <c r="BF45" s="10">
        <f t="shared" ref="BF45:BF49" si="190">IF(BA45=0,"N.D.",AY45/BA45-1)</f>
        <v>0.36570566388071879</v>
      </c>
      <c r="BG45" s="8">
        <f>AY45-BC45</f>
        <v>-3800.804693207996</v>
      </c>
      <c r="BH45" s="10">
        <f>IF(BC45=0, "N.D.",AY45/BC45-1)</f>
        <v>-6.5633350839022331E-2</v>
      </c>
    </row>
    <row r="46" spans="1:60" x14ac:dyDescent="0.35">
      <c r="B46" s="7" t="s">
        <v>9</v>
      </c>
      <c r="C46" s="198"/>
      <c r="D46" s="42" t="str">
        <f t="shared" ref="D46:F47" si="191">IF(C$41=0,"N.D.",C46/C$41)</f>
        <v>N.D.</v>
      </c>
      <c r="E46" s="11">
        <f>TablasERxDiv!AA37-E52-E51</f>
        <v>5805.3822199999995</v>
      </c>
      <c r="F46" s="42">
        <f t="shared" si="191"/>
        <v>0.10893381304400838</v>
      </c>
      <c r="G46" s="30">
        <f>'mxn-dll'!N10</f>
        <v>695.30172501599998</v>
      </c>
      <c r="H46" s="42">
        <f t="shared" ref="H46" si="192">IF(G$41=0,"N.D.",G46/G$41)</f>
        <v>2.1812118785882378E-2</v>
      </c>
      <c r="I46" s="30">
        <f>'mxn-dll'!AC10</f>
        <v>0.473058072</v>
      </c>
      <c r="J46" s="42">
        <f t="shared" ref="J46" si="193">IF(I$41=0,"N.D.",I46/I$41)</f>
        <v>2.2687204843247811E-4</v>
      </c>
      <c r="K46" s="30">
        <f>TablasERxDiv!AT37-K52-K51</f>
        <v>7847.31909</v>
      </c>
      <c r="L46" s="42">
        <f t="shared" ref="L46" si="194">IF(K$41=0,"N.D.",K46/K$41)</f>
        <v>4.5487674552165777E-2</v>
      </c>
      <c r="M46" s="30">
        <f>TablasERxDiv!BC37-M52-M51</f>
        <v>581.48009999999999</v>
      </c>
      <c r="N46" s="42">
        <f t="shared" ref="N46" si="195">IF(M$41=0,"N.D.",M46/M$41)</f>
        <v>7.8505087660201214E-2</v>
      </c>
      <c r="O46" s="30">
        <f>K46+E46+C46+M46+G46+I46</f>
        <v>14929.956193088001</v>
      </c>
      <c r="P46" s="42">
        <f t="shared" ref="P46" si="196">IF(O$41=0,"N.D.",O46/O$41)</f>
        <v>5.5880409895748967E-2</v>
      </c>
      <c r="R46" s="7" t="s">
        <v>9</v>
      </c>
      <c r="S46" s="8"/>
      <c r="T46" s="42" t="str">
        <f t="shared" si="176"/>
        <v>N.D.</v>
      </c>
      <c r="U46" s="8">
        <f>(BDER!L8+BDER!L30+BDER!L52+BDER!L74+BDER!L96+BDER!L118)/1000</f>
        <v>0</v>
      </c>
      <c r="V46" s="42" t="str">
        <f t="shared" si="177"/>
        <v>N.D.</v>
      </c>
      <c r="W46" s="8">
        <f>(BDER!L471+BDER!L494+BDER!L561+BDER!L606)*TC_MES/1000</f>
        <v>1249.2049967999999</v>
      </c>
      <c r="X46" s="42">
        <f t="shared" si="178"/>
        <v>4.4100899568101634E-2</v>
      </c>
      <c r="Y46" s="8">
        <f>Y114*TC_MES</f>
        <v>0</v>
      </c>
      <c r="Z46" s="42">
        <f t="shared" si="179"/>
        <v>0</v>
      </c>
      <c r="AA46" s="8">
        <f>(BDER!L294+BDER!L316+BDER!H338+BDER!L360+BDER!L382+BDER!L404)/1000</f>
        <v>6913.0630000000001</v>
      </c>
      <c r="AB46" s="42">
        <f t="shared" si="180"/>
        <v>4.9338507465583978E-2</v>
      </c>
      <c r="AC46" s="8">
        <f>(BDER!L426+BDER!L448)/1000</f>
        <v>563.61</v>
      </c>
      <c r="AD46" s="42">
        <f t="shared" si="181"/>
        <v>4.9997950794586056E-2</v>
      </c>
      <c r="AE46" s="11">
        <f>+AA46+U46+S46+AC46+W46+Y46</f>
        <v>8725.8779967999999</v>
      </c>
      <c r="AF46" s="42">
        <f t="shared" si="182"/>
        <v>4.7993290495800381E-2</v>
      </c>
      <c r="AH46" s="7" t="s">
        <v>9</v>
      </c>
      <c r="AI46" s="8"/>
      <c r="AJ46" s="42" t="str">
        <f t="shared" si="183"/>
        <v>N.D.</v>
      </c>
      <c r="AK46" s="8">
        <f>(BDER!H8+BDER!H30+BDER!H52+BDER!H74+BDER!H96+BDER!H118)/1000</f>
        <v>8625.8003800000006</v>
      </c>
      <c r="AL46" s="42">
        <f t="shared" si="184"/>
        <v>0.14607259491685853</v>
      </c>
      <c r="AM46" s="8">
        <f>(BDER!H471+BDER!H494+BDER!H561+BDER!H606)*TC_MES/1000</f>
        <v>1153.2120285599999</v>
      </c>
      <c r="AN46" s="42">
        <f t="shared" si="185"/>
        <v>4.23306244956601E-2</v>
      </c>
      <c r="AO46" s="8">
        <f>AO114*TC_MES</f>
        <v>1.205195832</v>
      </c>
      <c r="AP46" s="42">
        <f t="shared" si="186"/>
        <v>4.522928911838256E-4</v>
      </c>
      <c r="AQ46" s="8">
        <f>(BDER!H294+BDER!H316+BDER!F338+BDER!H360+BDER!H382+BDER!H404)/1000</f>
        <v>7275.2800399999996</v>
      </c>
      <c r="AR46" s="42">
        <f t="shared" si="187"/>
        <v>4.4779339628518669E-2</v>
      </c>
      <c r="AS46" s="8">
        <f>(BDER!H426+BDER!H448)/1000</f>
        <v>542.21614</v>
      </c>
      <c r="AT46" s="42">
        <f t="shared" si="188"/>
        <v>0.41391244581797737</v>
      </c>
      <c r="AU46" s="11">
        <f>+AQ46+AK46+AI46+AS46+AM46+AO46</f>
        <v>17597.713784391999</v>
      </c>
      <c r="AV46" s="42">
        <f t="shared" si="189"/>
        <v>6.9628115829105247E-2</v>
      </c>
      <c r="AW46" s="25"/>
      <c r="AX46" s="7" t="s">
        <v>9</v>
      </c>
      <c r="AY46" s="11">
        <f>O46+O51+O52</f>
        <v>14929.956193088001</v>
      </c>
      <c r="AZ46" s="12">
        <f t="shared" si="175"/>
        <v>5.5880409895748967E-2</v>
      </c>
      <c r="BA46" s="11">
        <f t="shared" si="169"/>
        <v>8725.8779967999999</v>
      </c>
      <c r="BB46" s="12">
        <f t="shared" si="170"/>
        <v>4.7993290495800381E-2</v>
      </c>
      <c r="BC46" s="11">
        <f t="shared" si="171"/>
        <v>17597.713784391999</v>
      </c>
      <c r="BD46" s="12">
        <f t="shared" si="172"/>
        <v>6.9628115829105247E-2</v>
      </c>
      <c r="BE46" s="11">
        <f>+AY46-BA46</f>
        <v>6204.078196288001</v>
      </c>
      <c r="BF46" s="13">
        <f t="shared" si="190"/>
        <v>0.7109975865538336</v>
      </c>
      <c r="BG46" s="11">
        <f>AY46-BC46</f>
        <v>-2667.7575913039982</v>
      </c>
      <c r="BH46" s="13">
        <f>IF(BC46=0, "N.D.",AY46/BC46-1)</f>
        <v>-0.15159682808741448</v>
      </c>
    </row>
    <row r="47" spans="1:60" x14ac:dyDescent="0.35">
      <c r="B47" s="7" t="s">
        <v>10</v>
      </c>
      <c r="C47" s="196"/>
      <c r="D47" s="193" t="str">
        <f t="shared" si="191"/>
        <v>N.D.</v>
      </c>
      <c r="E47" s="34">
        <f>TablasERxDiv!AA38</f>
        <v>910.51363000000003</v>
      </c>
      <c r="F47" s="193">
        <f t="shared" si="191"/>
        <v>1.7085132000910948E-2</v>
      </c>
      <c r="G47" s="197">
        <f>'mxn-dll'!N11</f>
        <v>376.41770791200003</v>
      </c>
      <c r="H47" s="193">
        <f t="shared" ref="H47" si="197">IF(G$41=0,"N.D.",G47/G$41)</f>
        <v>1.180849617178382E-2</v>
      </c>
      <c r="I47" s="197">
        <f>'mxn-dll'!AC11</f>
        <v>609.25854938399993</v>
      </c>
      <c r="J47" s="193">
        <f t="shared" ref="J47" si="198">IF(I$41=0,"N.D.",I47/I$41)</f>
        <v>0.2921918963127812</v>
      </c>
      <c r="K47" s="197">
        <f>TablasERxDiv!AT38</f>
        <v>1941.8039600000002</v>
      </c>
      <c r="L47" s="193">
        <f t="shared" ref="L47" si="199">IF(K$41=0,"N.D.",K47/K$41)</f>
        <v>1.1255837256464455E-2</v>
      </c>
      <c r="M47" s="197">
        <f>TablasERxDiv!BC38</f>
        <v>31.925409999999999</v>
      </c>
      <c r="N47" s="193">
        <f t="shared" ref="N47" si="200">IF(M$41=0,"N.D.",M47/M$41)</f>
        <v>4.3102199209188148E-3</v>
      </c>
      <c r="O47" s="197">
        <f>K47+E47+C47+M47+G47+I47</f>
        <v>3869.9192572960001</v>
      </c>
      <c r="P47" s="193">
        <f t="shared" ref="P47" si="201">IF(O$41=0,"N.D.",O47/O$41)</f>
        <v>1.4484481505797694E-2</v>
      </c>
      <c r="R47" s="7" t="s">
        <v>10</v>
      </c>
      <c r="S47" s="8"/>
      <c r="T47" s="42" t="str">
        <f t="shared" si="176"/>
        <v>N.D.</v>
      </c>
      <c r="U47" s="8">
        <f>(BDER!L9+BDER!L31+BDER!L53+BDER!L75+BDER!L97+BDER!L119)/1000</f>
        <v>0</v>
      </c>
      <c r="V47" s="42" t="str">
        <f t="shared" si="177"/>
        <v>N.D.</v>
      </c>
      <c r="W47" s="8">
        <f>(BDER!L472+BDER!L495+BDER!L562+BDER!L607)*TC_MES/1000</f>
        <v>268.86849119999999</v>
      </c>
      <c r="X47" s="42">
        <f t="shared" si="178"/>
        <v>9.4919107414814484E-3</v>
      </c>
      <c r="Y47" s="8">
        <f>Y115*TC_MES</f>
        <v>277.03931039999998</v>
      </c>
      <c r="Z47" s="42">
        <f t="shared" si="179"/>
        <v>0.13187003610108303</v>
      </c>
      <c r="AA47" s="8">
        <f>(BDER!L295+BDER!L317+BDER!H339+BDER!L361+BDER!L383+BDER!L405)/1000</f>
        <v>2302.25</v>
      </c>
      <c r="AB47" s="42">
        <f t="shared" si="180"/>
        <v>1.64311505352462E-2</v>
      </c>
      <c r="AC47" s="8">
        <f>(BDER!L427+BDER!L449)/1000</f>
        <v>33.756</v>
      </c>
      <c r="AD47" s="42">
        <f t="shared" si="181"/>
        <v>2.9945012100957165E-3</v>
      </c>
      <c r="AE47" s="11">
        <f>+AA47+U47+S47+AC47+W47+Y47</f>
        <v>2881.9138015999997</v>
      </c>
      <c r="AF47" s="42">
        <f t="shared" si="182"/>
        <v>1.5850843469822511E-2</v>
      </c>
      <c r="AH47" s="7" t="s">
        <v>10</v>
      </c>
      <c r="AI47" s="8"/>
      <c r="AJ47" s="42" t="str">
        <f t="shared" si="183"/>
        <v>N.D.</v>
      </c>
      <c r="AK47" s="8">
        <f>(BDER!H9+BDER!H31+BDER!H53+BDER!H75+BDER!H97+BDER!H119)/1000</f>
        <v>873.32460999999989</v>
      </c>
      <c r="AL47" s="42">
        <f t="shared" si="184"/>
        <v>1.4789212173659581E-2</v>
      </c>
      <c r="AM47" s="8">
        <f>(BDER!H472+BDER!H495+BDER!H562+BDER!H607)*TC_MES/1000</f>
        <v>314.04503145599995</v>
      </c>
      <c r="AN47" s="42">
        <f t="shared" si="185"/>
        <v>1.152756125678934E-2</v>
      </c>
      <c r="AO47" s="8">
        <f>AO115*TC_MES</f>
        <v>424.76954176800001</v>
      </c>
      <c r="AP47" s="42">
        <f t="shared" si="186"/>
        <v>0.15940998054586494</v>
      </c>
      <c r="AQ47" s="8">
        <f>(BDER!H295+BDER!H317+BDER!F339+BDER!H361+BDER!H383+BDER!H405)/1000</f>
        <v>2631.6684000000005</v>
      </c>
      <c r="AR47" s="42">
        <f t="shared" si="187"/>
        <v>1.6197915740057252E-2</v>
      </c>
      <c r="AS47" s="8">
        <f>(BDER!H427+BDER!H449)/1000</f>
        <v>31.05358</v>
      </c>
      <c r="AT47" s="42">
        <f t="shared" si="188"/>
        <v>2.3705423540516933E-2</v>
      </c>
      <c r="AU47" s="11">
        <f>+AQ47+AK47+AI47+AS47+AM47+AO47</f>
        <v>4274.8611632239999</v>
      </c>
      <c r="AV47" s="42">
        <f t="shared" si="189"/>
        <v>1.6914158956847024E-2</v>
      </c>
      <c r="AW47" s="25"/>
      <c r="AX47" s="7" t="s">
        <v>10</v>
      </c>
      <c r="AY47" s="11">
        <f>O47</f>
        <v>3869.9192572960001</v>
      </c>
      <c r="AZ47" s="12">
        <f t="shared" si="175"/>
        <v>1.4484481505797694E-2</v>
      </c>
      <c r="BA47" s="11">
        <f t="shared" si="169"/>
        <v>2881.9138015999997</v>
      </c>
      <c r="BB47" s="12">
        <f t="shared" si="170"/>
        <v>1.5850843469822511E-2</v>
      </c>
      <c r="BC47" s="11">
        <f t="shared" si="171"/>
        <v>4274.8611632239999</v>
      </c>
      <c r="BD47" s="12">
        <f t="shared" si="172"/>
        <v>1.6914158956847024E-2</v>
      </c>
      <c r="BE47" s="11">
        <f>+AY47-BA47</f>
        <v>988.00545569600035</v>
      </c>
      <c r="BF47" s="13">
        <f t="shared" si="190"/>
        <v>0.34282963465023597</v>
      </c>
      <c r="BG47" s="11">
        <f>AY47-BC47</f>
        <v>-404.94190592799987</v>
      </c>
      <c r="BH47" s="13">
        <f>IF(BC47=0, "N.D.",AY47/BC47-1)</f>
        <v>-9.4726329222491579E-2</v>
      </c>
    </row>
    <row r="48" spans="1:60" x14ac:dyDescent="0.35">
      <c r="B48" s="4" t="s">
        <v>11</v>
      </c>
      <c r="C48" s="20"/>
      <c r="D48" s="35" t="str">
        <f>IF(C$41=0,"N.D.",C48/C$41)</f>
        <v>N.D.</v>
      </c>
      <c r="E48" s="20">
        <f>+E45+E47+E46</f>
        <v>19571.529849999999</v>
      </c>
      <c r="F48" s="35">
        <f>IF(E$41=0,"N.D.",E48/E$41)</f>
        <v>0.36724565116836178</v>
      </c>
      <c r="G48" s="20">
        <f>+G45+G47+G46</f>
        <v>20506.740386184003</v>
      </c>
      <c r="H48" s="35">
        <f>IF(G$41=0,"N.D.",G48/G$41)</f>
        <v>0.64331130086640298</v>
      </c>
      <c r="I48" s="20">
        <f>+I45+I47+I46</f>
        <v>1047.0443679359998</v>
      </c>
      <c r="J48" s="35">
        <f>IF(I$41=0,"N.D.",I48/I$41)</f>
        <v>0.50214786431829361</v>
      </c>
      <c r="K48" s="20">
        <f>+K45+K47+K46</f>
        <v>31121.633485000002</v>
      </c>
      <c r="L48" s="35">
        <f>IF(K$41=0,"N.D.",K48/K$41)</f>
        <v>0.18039928276925271</v>
      </c>
      <c r="M48" s="20">
        <f>+M45+M47+M46</f>
        <v>661.77751000000001</v>
      </c>
      <c r="N48" s="35">
        <f>IF(M$41=0,"N.D.",M48/M$41)</f>
        <v>8.9345966326448131E-2</v>
      </c>
      <c r="O48" s="20">
        <f>+O45+O47+O46</f>
        <v>72908.725599119993</v>
      </c>
      <c r="P48" s="35">
        <f>IF(O$41=0,"N.D.",O48/O$41)</f>
        <v>0.27288556099995093</v>
      </c>
      <c r="R48" s="4" t="s">
        <v>11</v>
      </c>
      <c r="S48" s="14"/>
      <c r="T48" s="43" t="str">
        <f t="shared" si="176"/>
        <v>N.D.</v>
      </c>
      <c r="U48" s="14">
        <f>+U47+U46+U45</f>
        <v>0</v>
      </c>
      <c r="V48" s="43" t="str">
        <f t="shared" si="177"/>
        <v>N.D.</v>
      </c>
      <c r="W48" s="14">
        <f>+W47+W46+W45</f>
        <v>20397.196195199998</v>
      </c>
      <c r="X48" s="43">
        <f t="shared" si="178"/>
        <v>0.72008573707250167</v>
      </c>
      <c r="Y48" s="14">
        <f>+Y47+Y46+Y45</f>
        <v>948.50267039999994</v>
      </c>
      <c r="Z48" s="43">
        <f t="shared" si="179"/>
        <v>0.45148495788206977</v>
      </c>
      <c r="AA48" s="14">
        <f>+AA47+AA46+AA45</f>
        <v>28997.750999999997</v>
      </c>
      <c r="AB48" s="43">
        <f t="shared" si="180"/>
        <v>0.20695685171661896</v>
      </c>
      <c r="AC48" s="14">
        <f>+AC47+AC46+AC45</f>
        <v>884.04300000000001</v>
      </c>
      <c r="AD48" s="43">
        <f t="shared" si="181"/>
        <v>7.8423623452916438E-2</v>
      </c>
      <c r="AE48" s="14">
        <f>+AA48+U48+S48+AC48+W48+Y48</f>
        <v>51227.49286559999</v>
      </c>
      <c r="AF48" s="43">
        <f t="shared" si="182"/>
        <v>0.2817568555705115</v>
      </c>
      <c r="AH48" s="4" t="s">
        <v>11</v>
      </c>
      <c r="AI48" s="14"/>
      <c r="AJ48" s="43" t="str">
        <f t="shared" si="183"/>
        <v>N.D.</v>
      </c>
      <c r="AK48" s="14">
        <f>+AK47+AK46+AK45</f>
        <v>23952.747660000001</v>
      </c>
      <c r="AL48" s="43">
        <f t="shared" si="184"/>
        <v>0.40562496834466638</v>
      </c>
      <c r="AM48" s="14">
        <f>+AM47+AM46+AM45</f>
        <v>20030.660122320001</v>
      </c>
      <c r="AN48" s="43">
        <f t="shared" si="185"/>
        <v>0.73525971897543851</v>
      </c>
      <c r="AO48" s="14">
        <f>+AO47+AO46+AO45</f>
        <v>2065.6103972399997</v>
      </c>
      <c r="AP48" s="43">
        <f t="shared" si="186"/>
        <v>0.77519426621038134</v>
      </c>
      <c r="AQ48" s="14">
        <f>+AQ47+AQ46+AQ45</f>
        <v>33080.962509999998</v>
      </c>
      <c r="AR48" s="43">
        <f t="shared" si="187"/>
        <v>0.20361328324532554</v>
      </c>
      <c r="AS48" s="14">
        <f>+AS47+AS46+AS45</f>
        <v>652.2491</v>
      </c>
      <c r="AT48" s="43">
        <f t="shared" si="188"/>
        <v>0.49790849136946475</v>
      </c>
      <c r="AU48" s="14">
        <f>+AQ48+AK48+AI48+AS48+AM48+AO48</f>
        <v>79782.229789560006</v>
      </c>
      <c r="AV48" s="43">
        <f t="shared" si="189"/>
        <v>0.31567091071902575</v>
      </c>
      <c r="AW48" s="25"/>
      <c r="AX48" s="4" t="s">
        <v>11</v>
      </c>
      <c r="AY48" s="14">
        <f>O48</f>
        <v>72908.725599119993</v>
      </c>
      <c r="AZ48" s="15">
        <f t="shared" si="175"/>
        <v>0.27288556099995093</v>
      </c>
      <c r="BA48" s="14">
        <f t="shared" si="169"/>
        <v>51227.49286559999</v>
      </c>
      <c r="BB48" s="15">
        <f t="shared" si="170"/>
        <v>0.2817568555705115</v>
      </c>
      <c r="BC48" s="14">
        <f t="shared" si="171"/>
        <v>79782.229789560006</v>
      </c>
      <c r="BD48" s="15">
        <f t="shared" si="172"/>
        <v>0.31567091071902575</v>
      </c>
      <c r="BE48" s="14">
        <f>+AY48-BA48</f>
        <v>21681.232733520003</v>
      </c>
      <c r="BF48" s="16">
        <f t="shared" si="190"/>
        <v>0.42323431268445444</v>
      </c>
      <c r="BG48" s="14">
        <f>AY48-BC48</f>
        <v>-6873.5041904400132</v>
      </c>
      <c r="BH48" s="16">
        <f>IF(BC48=0, "N.D.",AY48/BC48-1)</f>
        <v>-8.6153322720737613E-2</v>
      </c>
    </row>
    <row r="49" spans="2:60" x14ac:dyDescent="0.35">
      <c r="B49" s="4"/>
      <c r="C49" s="31"/>
      <c r="D49" s="32"/>
      <c r="E49" s="31"/>
      <c r="F49" s="32"/>
      <c r="G49" s="31"/>
      <c r="H49" s="32"/>
      <c r="I49" s="31"/>
      <c r="J49" s="32"/>
      <c r="K49" s="31"/>
      <c r="L49" s="32"/>
      <c r="M49" s="31"/>
      <c r="N49" s="32"/>
      <c r="O49" s="31"/>
      <c r="P49" s="32"/>
      <c r="R49" s="4" t="s">
        <v>12</v>
      </c>
      <c r="S49" s="20"/>
      <c r="T49" s="45" t="str">
        <f t="shared" si="176"/>
        <v>N.D.</v>
      </c>
      <c r="U49" s="20">
        <f>+U43-U48</f>
        <v>0</v>
      </c>
      <c r="V49" s="45" t="str">
        <f t="shared" si="177"/>
        <v>N.D.</v>
      </c>
      <c r="W49" s="20">
        <f>+W43-W48</f>
        <v>-929.99697839999862</v>
      </c>
      <c r="X49" s="45">
        <f t="shared" si="178"/>
        <v>-3.283184381115848E-2</v>
      </c>
      <c r="Y49" s="20">
        <f>+Y43-Y48</f>
        <v>1152.3484295999999</v>
      </c>
      <c r="Z49" s="45">
        <f t="shared" si="179"/>
        <v>0.54851504211793023</v>
      </c>
      <c r="AA49" s="20">
        <f>+AA43-AA48</f>
        <v>17909.392999999989</v>
      </c>
      <c r="AB49" s="45">
        <f t="shared" si="180"/>
        <v>0.1278192778272926</v>
      </c>
      <c r="AC49" s="20">
        <f>+AC43-AC48</f>
        <v>2850.7860000000005</v>
      </c>
      <c r="AD49" s="45">
        <f t="shared" si="181"/>
        <v>0.25289377078812442</v>
      </c>
      <c r="AE49" s="20">
        <f>+AA49+U49+S49+AC49+W49+Y49</f>
        <v>20982.530451199989</v>
      </c>
      <c r="AF49" s="45">
        <f t="shared" si="182"/>
        <v>0.11540622956804099</v>
      </c>
      <c r="AH49" s="4" t="s">
        <v>12</v>
      </c>
      <c r="AI49" s="20"/>
      <c r="AJ49" s="45" t="str">
        <f t="shared" si="183"/>
        <v>N.D.</v>
      </c>
      <c r="AK49" s="20">
        <f>+AK43-AK48</f>
        <v>2569.0148800000024</v>
      </c>
      <c r="AL49" s="45">
        <f t="shared" si="184"/>
        <v>4.3504678217654545E-2</v>
      </c>
      <c r="AM49" s="20">
        <f>+AM43-AM48</f>
        <v>-1721.7115385040015</v>
      </c>
      <c r="AN49" s="45">
        <f t="shared" si="185"/>
        <v>-6.3198373604603994E-2</v>
      </c>
      <c r="AO49" s="20">
        <f>+AO43-AO48</f>
        <v>599.02540732800026</v>
      </c>
      <c r="AP49" s="45">
        <f t="shared" si="186"/>
        <v>0.22480573378961871</v>
      </c>
      <c r="AQ49" s="20">
        <f>+AQ43-AQ48</f>
        <v>9736.5986800000101</v>
      </c>
      <c r="AR49" s="45">
        <f t="shared" si="187"/>
        <v>5.9928752806923842E-2</v>
      </c>
      <c r="AS49" s="20">
        <f>+AS43-AS48</f>
        <v>-407.26104999999984</v>
      </c>
      <c r="AT49" s="45">
        <f t="shared" si="188"/>
        <v>-0.31089155201447433</v>
      </c>
      <c r="AU49" s="20">
        <f>+AQ49+AK49+AI49+AS49+AM49+AO49</f>
        <v>10775.666378824011</v>
      </c>
      <c r="AV49" s="45">
        <f t="shared" si="189"/>
        <v>4.2635614827763034E-2</v>
      </c>
      <c r="AW49" s="25"/>
      <c r="AX49" s="4" t="s">
        <v>12</v>
      </c>
      <c r="AY49" s="20">
        <f>O53</f>
        <v>21511.635769832035</v>
      </c>
      <c r="AZ49" s="15">
        <f t="shared" si="175"/>
        <v>8.051457142940488E-2</v>
      </c>
      <c r="BA49" s="20">
        <f t="shared" si="169"/>
        <v>20982.530451199989</v>
      </c>
      <c r="BB49" s="15">
        <f t="shared" si="170"/>
        <v>0.11540622956804099</v>
      </c>
      <c r="BC49" s="20">
        <f t="shared" si="171"/>
        <v>10775.666378824011</v>
      </c>
      <c r="BD49" s="15">
        <f t="shared" si="172"/>
        <v>4.2635614827763034E-2</v>
      </c>
      <c r="BE49" s="14">
        <f>+AY49-BA49</f>
        <v>529.10531863204596</v>
      </c>
      <c r="BF49" s="16">
        <f t="shared" si="190"/>
        <v>2.5216468521878754E-2</v>
      </c>
      <c r="BG49" s="14">
        <f>AY49-BC49</f>
        <v>10735.969391008024</v>
      </c>
      <c r="BH49" s="16">
        <f>IF(BC49=0, "N.D.",AY49/BC49-1)</f>
        <v>0.99631605263002587</v>
      </c>
    </row>
    <row r="50" spans="2:60" x14ac:dyDescent="0.35">
      <c r="B50" s="4" t="s">
        <v>32</v>
      </c>
      <c r="C50" s="20"/>
      <c r="D50" s="22" t="str">
        <f>IF(C$41=0,"N.D.",C50/C$41)</f>
        <v>N.D.</v>
      </c>
      <c r="E50" s="20">
        <f>+E43-E48</f>
        <v>6360.0164300000069</v>
      </c>
      <c r="F50" s="22">
        <f t="shared" ref="F50:F53" si="202">IF(E$41=0,"N.D.",E50/E$41)</f>
        <v>0.11934112423392554</v>
      </c>
      <c r="G50" s="20">
        <f>+G43-G48</f>
        <v>1802.0226013199972</v>
      </c>
      <c r="H50" s="22">
        <f t="shared" ref="H50:H53" si="203">IF(G$41=0,"N.D.",G50/G$41)</f>
        <v>5.6530754377075727E-2</v>
      </c>
      <c r="I50" s="20">
        <f>+I43-I48</f>
        <v>1038.0872085119997</v>
      </c>
      <c r="J50" s="22">
        <f t="shared" ref="J50:J53" si="204">IF(I$41=0,"N.D.",I50/I$41)</f>
        <v>0.49785213568170633</v>
      </c>
      <c r="K50" s="20">
        <f>+K43-K48</f>
        <v>9442.5092100000147</v>
      </c>
      <c r="L50" s="22">
        <f t="shared" ref="L50:L53" si="205">IF(K$41=0,"N.D.",K50/K$41)</f>
        <v>5.4734334232394349E-2</v>
      </c>
      <c r="M50" s="20">
        <f>+M43-M48</f>
        <v>2869.0003200000006</v>
      </c>
      <c r="N50" s="22">
        <f t="shared" ref="N50:N53" si="206">IF(M$41=0,"N.D.",M50/M$41)</f>
        <v>0.3873410657024125</v>
      </c>
      <c r="O50" s="20">
        <f>+O43-O48</f>
        <v>21511.635769832035</v>
      </c>
      <c r="P50" s="22">
        <f t="shared" ref="P50:P53" si="207">IF(O$41=0,"N.D.",O50/O$41)</f>
        <v>8.051457142940488E-2</v>
      </c>
      <c r="R50" s="1"/>
      <c r="S50" s="30"/>
      <c r="T50" s="44"/>
      <c r="U50" s="30"/>
      <c r="V50" s="44"/>
      <c r="W50" s="30"/>
      <c r="X50" s="44"/>
      <c r="Y50" s="30"/>
      <c r="Z50" s="44"/>
      <c r="AA50" s="30"/>
      <c r="AB50" s="44"/>
      <c r="AC50" s="30"/>
      <c r="AD50" s="44"/>
      <c r="AE50" s="30"/>
      <c r="AF50" s="44"/>
      <c r="AH50" s="1"/>
      <c r="AI50" s="30"/>
      <c r="AJ50" s="44"/>
      <c r="AK50" s="30"/>
      <c r="AL50" s="44"/>
      <c r="AM50" s="30"/>
      <c r="AN50" s="44"/>
      <c r="AO50" s="30"/>
      <c r="AP50" s="44"/>
      <c r="AQ50" s="30"/>
      <c r="AR50" s="44"/>
      <c r="AS50" s="30"/>
      <c r="AT50" s="44"/>
      <c r="AU50" s="30"/>
      <c r="AV50" s="44"/>
      <c r="AW50" s="25"/>
      <c r="AX50" s="1"/>
      <c r="AY50" s="17"/>
      <c r="AZ50" s="18"/>
      <c r="BA50" s="17"/>
      <c r="BB50" s="18"/>
      <c r="BC50" s="17"/>
      <c r="BD50" s="18"/>
      <c r="BE50" s="17"/>
      <c r="BF50" s="19"/>
      <c r="BG50" s="17"/>
      <c r="BH50" s="19"/>
    </row>
    <row r="51" spans="2:60" x14ac:dyDescent="0.35">
      <c r="B51" s="7" t="s">
        <v>33</v>
      </c>
      <c r="C51" s="8"/>
      <c r="D51" s="33" t="str">
        <f t="shared" ref="D51:D53" si="208">IF(C$41=0,"N.D.",C51/C$41)</f>
        <v>N.D.</v>
      </c>
      <c r="E51" s="8">
        <f>division!B12</f>
        <v>0</v>
      </c>
      <c r="F51" s="33">
        <f t="shared" si="202"/>
        <v>0</v>
      </c>
      <c r="G51" s="8">
        <f>'mxn-dll'!N15</f>
        <v>0</v>
      </c>
      <c r="H51" s="33">
        <f t="shared" si="203"/>
        <v>0</v>
      </c>
      <c r="I51" s="8">
        <f>'mxn-dll'!AC15</f>
        <v>0</v>
      </c>
      <c r="J51" s="33">
        <f t="shared" si="204"/>
        <v>0</v>
      </c>
      <c r="K51" s="8">
        <f>division!E12</f>
        <v>0</v>
      </c>
      <c r="L51" s="33">
        <f t="shared" si="205"/>
        <v>0</v>
      </c>
      <c r="M51" s="8">
        <f>division!F12</f>
        <v>0</v>
      </c>
      <c r="N51" s="33">
        <f t="shared" si="206"/>
        <v>0</v>
      </c>
      <c r="O51" s="8">
        <f>+K51+E51+C51+M51+G51+I51</f>
        <v>0</v>
      </c>
      <c r="P51" s="33">
        <f t="shared" si="207"/>
        <v>0</v>
      </c>
      <c r="R51" s="7" t="s">
        <v>13</v>
      </c>
      <c r="S51" s="8"/>
      <c r="T51" s="29" t="str">
        <f t="shared" ref="T51:T57" si="209">IF(S$41=0,"N.D.",S51/S$41)</f>
        <v>N.D.</v>
      </c>
      <c r="U51" s="8">
        <f>(BDER!L12+BDER!L34+BDER!L56+BDER!L78+BDER!L100+BDER!L122)/1000</f>
        <v>0</v>
      </c>
      <c r="V51" s="29" t="str">
        <f t="shared" ref="V51:V57" si="210">IF(U$41=0,"N.D.",U51/U$41)</f>
        <v>N.D.</v>
      </c>
      <c r="W51" s="8">
        <f>(BDER!L475+BDER!L498+BDER!L565+BDER!L610)*TC_MES/1000</f>
        <v>0</v>
      </c>
      <c r="X51" s="29">
        <f t="shared" ref="X51:X57" si="211">IF(W$41=0,"N.D.",W51/W$41)</f>
        <v>0</v>
      </c>
      <c r="Y51" s="8">
        <f>Y119*TC_MES</f>
        <v>0</v>
      </c>
      <c r="Z51" s="29">
        <f t="shared" ref="Z51:Z57" si="212">IF(Y$41=0,"N.D.",Y51/Y$41)</f>
        <v>0</v>
      </c>
      <c r="AA51" s="8">
        <f>(BDER!L298+BDER!L320+BDER!H342+BDER!L364+BDER!L386+BDER!L408)/1000</f>
        <v>-2718.9119999999998</v>
      </c>
      <c r="AB51" s="29">
        <f t="shared" ref="AB51:AB57" si="213">IF(AA$41=0,"N.D.",AA51/AA$41)</f>
        <v>-1.9404865833027394E-2</v>
      </c>
      <c r="AC51" s="8">
        <f>(BDER!L430+BDER!L452)/1000</f>
        <v>-87</v>
      </c>
      <c r="AD51" s="29">
        <f t="shared" ref="AD51:AD57" si="214">IF(AC$41=0,"N.D.",AC51/AC$41)</f>
        <v>-7.7177866239580319E-3</v>
      </c>
      <c r="AE51" s="8">
        <f>+AA51+U51+S51+AC51+W51+Y51</f>
        <v>-2805.9119999999998</v>
      </c>
      <c r="AF51" s="29">
        <f>IF(AE$41=0,"N.D.",AE51/AE$41)</f>
        <v>-1.543282518630644E-2</v>
      </c>
      <c r="AH51" s="7" t="s">
        <v>13</v>
      </c>
      <c r="AI51" s="8"/>
      <c r="AJ51" s="29" t="str">
        <f t="shared" ref="AJ51:AJ57" si="215">IF(AI$41=0,"N.D.",AI51/AI$41)</f>
        <v>N.D.</v>
      </c>
      <c r="AK51" s="8">
        <f>(BDER!H12+BDER!H34+BDER!H56+BDER!H78+BDER!H100+BDER!H122)/1000</f>
        <v>-97.551559999999995</v>
      </c>
      <c r="AL51" s="29">
        <f t="shared" ref="AL51:AL57" si="216">IF(AK$41=0,"N.D.",AK51/AK$41)</f>
        <v>-1.651975339056898E-3</v>
      </c>
      <c r="AM51" s="8">
        <f>(BDER!H475+BDER!H498+BDER!H565+BDER!H610)*TC_MES/1000</f>
        <v>0</v>
      </c>
      <c r="AN51" s="29">
        <f t="shared" ref="AN51:AN57" si="217">IF(AM$41=0,"N.D.",AM51/AM$41)</f>
        <v>0</v>
      </c>
      <c r="AO51" s="8">
        <f>AO119*TC_MES</f>
        <v>0</v>
      </c>
      <c r="AP51" s="29">
        <f t="shared" ref="AP51:AP57" si="218">IF(AO$41=0,"N.D.",AO51/AO$41)</f>
        <v>0</v>
      </c>
      <c r="AQ51" s="8">
        <f>(BDER!H298+BDER!H320+BDER!F342+BDER!H364+BDER!H386+BDER!H408)/1000</f>
        <v>-272.22035999999997</v>
      </c>
      <c r="AR51" s="29">
        <f t="shared" ref="AR51:AR57" si="219">IF(AQ$41=0,"N.D.",AQ51/AQ$41)</f>
        <v>-1.6755159783839217E-3</v>
      </c>
      <c r="AS51" s="8">
        <f>(BDER!H430+BDER!H452)/1000</f>
        <v>33.778289999999998</v>
      </c>
      <c r="AT51" s="29">
        <f t="shared" ref="AT51:AT57" si="220">IF(AS$41=0,"N.D.",AS51/AS$41)</f>
        <v>2.5785389991247635E-2</v>
      </c>
      <c r="AU51" s="8">
        <f>+AQ51+AK51+AI51+AS51+AM51+AO51</f>
        <v>-335.99362999999994</v>
      </c>
      <c r="AV51" s="29">
        <f t="shared" ref="AV51:AV57" si="221">IF(AU$41=0,"N.D.",AU51/AU$41)</f>
        <v>-1.3294115175478639E-3</v>
      </c>
      <c r="AW51" s="25"/>
      <c r="AX51" s="7" t="s">
        <v>13</v>
      </c>
      <c r="AY51" s="8">
        <f t="shared" ref="AY51:AY57" si="222">O55</f>
        <v>938.27838000000008</v>
      </c>
      <c r="AZ51" s="9">
        <f t="shared" si="175"/>
        <v>3.5118241334822563E-3</v>
      </c>
      <c r="BA51" s="8">
        <f t="shared" si="169"/>
        <v>-2805.9119999999998</v>
      </c>
      <c r="BB51" s="9">
        <f t="shared" si="170"/>
        <v>-1.543282518630644E-2</v>
      </c>
      <c r="BC51" s="8">
        <f t="shared" si="171"/>
        <v>-335.99362999999994</v>
      </c>
      <c r="BD51" s="9">
        <f t="shared" si="172"/>
        <v>-1.3294115175478639E-3</v>
      </c>
      <c r="BE51" s="8">
        <f t="shared" ref="BE51:BE57" si="223">+AY51-BA51</f>
        <v>3744.19038</v>
      </c>
      <c r="BF51" s="10">
        <f t="shared" ref="BF51:BF57" si="224">IF(BA51=0,"N.D.",AY51/BA51-1)</f>
        <v>-1.3343933737052338</v>
      </c>
      <c r="BG51" s="8">
        <f t="shared" ref="BG51:BG57" si="225">AY51-BC51</f>
        <v>1274.2720100000001</v>
      </c>
      <c r="BH51" s="10">
        <f t="shared" ref="BH51:BH57" si="226">IF(BC51=0, "N.D.",AY51/BC51-1)</f>
        <v>-3.7925481206295495</v>
      </c>
    </row>
    <row r="52" spans="2:60" x14ac:dyDescent="0.35">
      <c r="B52" s="7" t="s">
        <v>34</v>
      </c>
      <c r="C52" s="34"/>
      <c r="D52" s="35" t="str">
        <f t="shared" si="208"/>
        <v>N.D.</v>
      </c>
      <c r="E52" s="34">
        <f>division!B13</f>
        <v>0</v>
      </c>
      <c r="F52" s="35">
        <f t="shared" si="202"/>
        <v>0</v>
      </c>
      <c r="G52" s="34">
        <f>'mxn-dll'!N16</f>
        <v>0</v>
      </c>
      <c r="H52" s="35">
        <f t="shared" si="203"/>
        <v>0</v>
      </c>
      <c r="I52" s="34">
        <f>'mxn-dll'!AC16</f>
        <v>0</v>
      </c>
      <c r="J52" s="35">
        <f t="shared" si="204"/>
        <v>0</v>
      </c>
      <c r="K52" s="34">
        <f>division!E13</f>
        <v>0</v>
      </c>
      <c r="L52" s="35">
        <f t="shared" si="205"/>
        <v>0</v>
      </c>
      <c r="M52" s="34">
        <f>division!F13</f>
        <v>0</v>
      </c>
      <c r="N52" s="35">
        <f t="shared" si="206"/>
        <v>0</v>
      </c>
      <c r="O52" s="34">
        <f>+K52+E52+C52+M52+G52+I52</f>
        <v>0</v>
      </c>
      <c r="P52" s="35">
        <f t="shared" si="207"/>
        <v>0</v>
      </c>
      <c r="R52" s="7" t="s">
        <v>14</v>
      </c>
      <c r="S52" s="8"/>
      <c r="T52" s="42" t="str">
        <f t="shared" si="209"/>
        <v>N.D.</v>
      </c>
      <c r="U52" s="8">
        <f>(BDER!L13+BDER!L35+BDER!L57+BDER!L79+BDER!L101+BDER!L123)/1000</f>
        <v>0</v>
      </c>
      <c r="V52" s="42" t="str">
        <f t="shared" si="210"/>
        <v>N.D.</v>
      </c>
      <c r="W52" s="8">
        <f>(BDER!L476+BDER!L499+BDER!L566+BDER!L611)*TC_MES/1000</f>
        <v>-211.14691199999999</v>
      </c>
      <c r="X52" s="42">
        <f t="shared" si="211"/>
        <v>-7.4541558703976477E-3</v>
      </c>
      <c r="Y52" s="8">
        <f>Y120*TC_MES</f>
        <v>0</v>
      </c>
      <c r="Z52" s="42">
        <f t="shared" si="212"/>
        <v>0</v>
      </c>
      <c r="AA52" s="8">
        <f>(BDER!L299+BDER!L321+BDER!H343+BDER!L365+BDER!L387+BDER!L409)/1000</f>
        <v>0</v>
      </c>
      <c r="AB52" s="42">
        <f t="shared" si="213"/>
        <v>0</v>
      </c>
      <c r="AC52" s="8">
        <f>(BDER!L431+BDER!L453)/1000</f>
        <v>0</v>
      </c>
      <c r="AD52" s="42">
        <f t="shared" si="214"/>
        <v>0</v>
      </c>
      <c r="AE52" s="11">
        <f>+AA52+U52+S52+AC52+W52+Y52</f>
        <v>-211.14691199999999</v>
      </c>
      <c r="AF52" s="42">
        <f>IF(AE$41=0,"N.D.",AE52/AE$41)</f>
        <v>-1.1613312824936882E-3</v>
      </c>
      <c r="AH52" s="7" t="s">
        <v>14</v>
      </c>
      <c r="AI52" s="8"/>
      <c r="AJ52" s="42" t="str">
        <f t="shared" si="215"/>
        <v>N.D.</v>
      </c>
      <c r="AK52" s="8">
        <f>(BDER!H13+BDER!H35+BDER!H57+BDER!H79+BDER!H101+BDER!H123)/1000</f>
        <v>-143.14764000000002</v>
      </c>
      <c r="AL52" s="42">
        <f t="shared" si="216"/>
        <v>-2.4241167555310731E-3</v>
      </c>
      <c r="AM52" s="8">
        <f>(BDER!H476+BDER!H499+BDER!H566+BDER!H611)*TC_MES/1000</f>
        <v>-183.37017168</v>
      </c>
      <c r="AN52" s="42">
        <f t="shared" si="217"/>
        <v>-6.7309165087215796E-3</v>
      </c>
      <c r="AO52" s="8">
        <f>AO120*TC_MES</f>
        <v>63.538433927999996</v>
      </c>
      <c r="AP52" s="42">
        <f t="shared" si="218"/>
        <v>2.3845072493237428E-2</v>
      </c>
      <c r="AQ52" s="8">
        <f>(BDER!H299+BDER!H321+BDER!F343+BDER!H365+BDER!H387+BDER!H409)/1000</f>
        <v>-799.97715000000005</v>
      </c>
      <c r="AR52" s="42">
        <f t="shared" si="219"/>
        <v>-4.9238583666814323E-3</v>
      </c>
      <c r="AS52" s="8">
        <f>(BDER!H431+BDER!H453)/1000</f>
        <v>-25.718499999999999</v>
      </c>
      <c r="AT52" s="42">
        <f t="shared" si="220"/>
        <v>-1.9632774556968463E-2</v>
      </c>
      <c r="AU52" s="11">
        <f>+AQ52+AK52+AI52+AS52+AM52+AO52</f>
        <v>-1088.675027752</v>
      </c>
      <c r="AV52" s="42">
        <f t="shared" si="221"/>
        <v>-4.3075135703026556E-3</v>
      </c>
      <c r="AW52" s="25"/>
      <c r="AX52" s="7" t="s">
        <v>14</v>
      </c>
      <c r="AY52" s="11">
        <f t="shared" si="222"/>
        <v>-1829.8300390960001</v>
      </c>
      <c r="AZ52" s="12">
        <f t="shared" si="175"/>
        <v>-6.8487577124692074E-3</v>
      </c>
      <c r="BA52" s="11">
        <f t="shared" si="169"/>
        <v>-211.14691199999999</v>
      </c>
      <c r="BB52" s="12">
        <f t="shared" si="170"/>
        <v>-1.1613312824936882E-3</v>
      </c>
      <c r="BC52" s="11">
        <f t="shared" si="171"/>
        <v>-1088.675027752</v>
      </c>
      <c r="BD52" s="12">
        <f t="shared" si="172"/>
        <v>-4.3075135703026556E-3</v>
      </c>
      <c r="BE52" s="11">
        <f t="shared" si="223"/>
        <v>-1618.6831270960001</v>
      </c>
      <c r="BF52" s="13">
        <f t="shared" si="224"/>
        <v>7.6661463422017757</v>
      </c>
      <c r="BG52" s="11">
        <f t="shared" si="225"/>
        <v>-741.15501134400006</v>
      </c>
      <c r="BH52" s="13">
        <f t="shared" si="226"/>
        <v>0.68078626996194402</v>
      </c>
    </row>
    <row r="53" spans="2:60" x14ac:dyDescent="0.35">
      <c r="B53" s="4" t="s">
        <v>12</v>
      </c>
      <c r="C53" s="14"/>
      <c r="D53" s="22" t="str">
        <f t="shared" si="208"/>
        <v>N.D.</v>
      </c>
      <c r="E53" s="14">
        <f>+E50-E51-E52</f>
        <v>6360.0164300000069</v>
      </c>
      <c r="F53" s="22">
        <f t="shared" si="202"/>
        <v>0.11934112423392554</v>
      </c>
      <c r="G53" s="14">
        <f>+G50-G51-G52</f>
        <v>1802.0226013199972</v>
      </c>
      <c r="H53" s="22">
        <f t="shared" si="203"/>
        <v>5.6530754377075727E-2</v>
      </c>
      <c r="I53" s="14">
        <f>+I50-I51-I52</f>
        <v>1038.0872085119997</v>
      </c>
      <c r="J53" s="22">
        <f t="shared" si="204"/>
        <v>0.49785213568170633</v>
      </c>
      <c r="K53" s="14">
        <f>+K50-K51-K52</f>
        <v>9442.5092100000147</v>
      </c>
      <c r="L53" s="22">
        <f t="shared" si="205"/>
        <v>5.4734334232394349E-2</v>
      </c>
      <c r="M53" s="14">
        <f>+M50-M51-M52</f>
        <v>2869.0003200000006</v>
      </c>
      <c r="N53" s="22">
        <f t="shared" si="206"/>
        <v>0.3873410657024125</v>
      </c>
      <c r="O53" s="14">
        <f>+O50-O51-O52</f>
        <v>21511.635769832035</v>
      </c>
      <c r="P53" s="22">
        <f t="shared" si="207"/>
        <v>8.051457142940488E-2</v>
      </c>
      <c r="R53" s="7" t="s">
        <v>15</v>
      </c>
      <c r="S53" s="8"/>
      <c r="T53" s="42" t="str">
        <f t="shared" si="209"/>
        <v>N.D.</v>
      </c>
      <c r="U53" s="8">
        <f>(BDER!L14+BDER!L36+BDER!L58+BDER!L80+BDER!L102+BDER!L124)/1000</f>
        <v>0</v>
      </c>
      <c r="V53" s="42" t="str">
        <f t="shared" si="210"/>
        <v>N.D.</v>
      </c>
      <c r="W53" s="8">
        <f>(BDER!L477+BDER!L500+BDER!L567+BDER!L612)*TC_MES/1000</f>
        <v>0</v>
      </c>
      <c r="X53" s="42">
        <f t="shared" si="211"/>
        <v>0</v>
      </c>
      <c r="Y53" s="8">
        <f>Y121*TC_MES</f>
        <v>175.95575999999997</v>
      </c>
      <c r="Z53" s="42">
        <f t="shared" si="212"/>
        <v>8.3754512635379058E-2</v>
      </c>
      <c r="AA53" s="8">
        <f>(BDER!L300+BDER!L322+BDER!H344+BDER!L366+BDER!L388+BDER!L410)/1000</f>
        <v>287.88299999999998</v>
      </c>
      <c r="AB53" s="42">
        <f t="shared" si="213"/>
        <v>2.0546200063148146E-3</v>
      </c>
      <c r="AC53" s="8">
        <f>(BDER!L432+BDER!L454)/1000</f>
        <v>5</v>
      </c>
      <c r="AD53" s="42">
        <f t="shared" si="214"/>
        <v>4.4355095539988688E-4</v>
      </c>
      <c r="AE53" s="11">
        <f>+AA53+U53+S53+AC53+W53+Y53</f>
        <v>468.83875999999998</v>
      </c>
      <c r="AF53" s="42">
        <f t="shared" ref="AF53:AF57" si="227">IF(AE$41=0,"N.D.",AE53/AE$41)</f>
        <v>2.5786648418213687E-3</v>
      </c>
      <c r="AH53" s="7" t="s">
        <v>15</v>
      </c>
      <c r="AI53" s="8"/>
      <c r="AJ53" s="42" t="str">
        <f t="shared" si="215"/>
        <v>N.D.</v>
      </c>
      <c r="AK53" s="8">
        <f>(BDER!H14+BDER!H36+BDER!H58+BDER!H80+BDER!H102+BDER!H124)/1000</f>
        <v>497.28534999999999</v>
      </c>
      <c r="AL53" s="42">
        <f t="shared" si="216"/>
        <v>8.4212198623402658E-3</v>
      </c>
      <c r="AM53" s="8">
        <f>(BDER!H477+BDER!H500+BDER!H567+BDER!H612)*TC_MES/1000</f>
        <v>172.568106</v>
      </c>
      <c r="AN53" s="42">
        <f t="shared" si="217"/>
        <v>6.3344081696189176E-3</v>
      </c>
      <c r="AO53" s="8">
        <f>AO121*TC_MES</f>
        <v>814.72916901600013</v>
      </c>
      <c r="AP53" s="42">
        <f t="shared" si="218"/>
        <v>0.30575629420700023</v>
      </c>
      <c r="AQ53" s="8">
        <f>(BDER!H300+BDER!H322+BDER!F344+BDER!H366+BDER!H388+BDER!H410)/1000</f>
        <v>365.61815999999999</v>
      </c>
      <c r="AR53" s="42">
        <f t="shared" si="219"/>
        <v>2.2503793216177119E-3</v>
      </c>
      <c r="AS53" s="8">
        <f>(BDER!H432+BDER!H454)/1000</f>
        <v>3.4221599999999999</v>
      </c>
      <c r="AT53" s="42">
        <f t="shared" si="220"/>
        <v>2.6123800290792695E-3</v>
      </c>
      <c r="AU53" s="11">
        <f>+AQ53+AK53+AI53+AS53+AM53+AO53</f>
        <v>1853.6229450159999</v>
      </c>
      <c r="AV53" s="42">
        <f t="shared" si="221"/>
        <v>7.3341500322350204E-3</v>
      </c>
      <c r="AW53" s="25"/>
      <c r="AX53" s="7" t="s">
        <v>15</v>
      </c>
      <c r="AY53" s="11">
        <f t="shared" si="222"/>
        <v>1359.1458369920001</v>
      </c>
      <c r="AZ53" s="12">
        <f t="shared" si="175"/>
        <v>5.0870629154542027E-3</v>
      </c>
      <c r="BA53" s="11">
        <f t="shared" si="169"/>
        <v>468.83875999999998</v>
      </c>
      <c r="BB53" s="12">
        <f t="shared" si="170"/>
        <v>2.5786648418213687E-3</v>
      </c>
      <c r="BC53" s="11">
        <f t="shared" si="171"/>
        <v>1853.6229450159999</v>
      </c>
      <c r="BD53" s="12">
        <f t="shared" si="172"/>
        <v>7.3341500322350204E-3</v>
      </c>
      <c r="BE53" s="11">
        <f t="shared" si="223"/>
        <v>890.30707699200013</v>
      </c>
      <c r="BF53" s="13">
        <f t="shared" si="224"/>
        <v>1.8989621868976876</v>
      </c>
      <c r="BG53" s="11">
        <f t="shared" si="225"/>
        <v>-494.47710802399979</v>
      </c>
      <c r="BH53" s="13">
        <f t="shared" si="226"/>
        <v>-0.26676250925440048</v>
      </c>
    </row>
    <row r="54" spans="2:60" x14ac:dyDescent="0.35">
      <c r="B54" s="1"/>
      <c r="C54" s="30"/>
      <c r="D54" s="18"/>
      <c r="E54" s="30"/>
      <c r="F54" s="18"/>
      <c r="G54" s="30"/>
      <c r="H54" s="18"/>
      <c r="I54" s="30"/>
      <c r="J54" s="18"/>
      <c r="K54" s="30"/>
      <c r="L54" s="18"/>
      <c r="M54" s="30"/>
      <c r="N54" s="18"/>
      <c r="O54" s="30"/>
      <c r="P54" s="18"/>
      <c r="R54" s="7" t="s">
        <v>16</v>
      </c>
      <c r="S54" s="8"/>
      <c r="T54" s="42" t="str">
        <f t="shared" si="209"/>
        <v>N.D.</v>
      </c>
      <c r="U54" s="8">
        <f>(BDER!L15+BDER!L37+BDER!L59+BDER!L81+BDER!L103+BDER!L125)/1000</f>
        <v>0</v>
      </c>
      <c r="V54" s="42" t="str">
        <f t="shared" si="210"/>
        <v>N.D.</v>
      </c>
      <c r="W54" s="8">
        <f>(BDER!L478+BDER!L501+BDER!L568+BDER!L613)*TC_MES/1000</f>
        <v>0</v>
      </c>
      <c r="X54" s="42">
        <f t="shared" si="211"/>
        <v>0</v>
      </c>
      <c r="Y54" s="8">
        <f>Y122*TC_MES</f>
        <v>0</v>
      </c>
      <c r="Z54" s="42">
        <f t="shared" si="212"/>
        <v>0</v>
      </c>
      <c r="AA54" s="8">
        <f>(BDER!L301+BDER!L323+BDER!H345+BDER!L367+BDER!L389+BDER!L411)/1000</f>
        <v>0</v>
      </c>
      <c r="AB54" s="42">
        <f t="shared" si="213"/>
        <v>0</v>
      </c>
      <c r="AC54" s="8">
        <f>(BDER!L433+BDER!L455)/1000</f>
        <v>495</v>
      </c>
      <c r="AD54" s="42">
        <f t="shared" si="214"/>
        <v>4.3911544584588805E-2</v>
      </c>
      <c r="AE54" s="11">
        <f>+AA54+U54+S54+AC54+W54+Y54</f>
        <v>495</v>
      </c>
      <c r="AF54" s="42">
        <f t="shared" si="227"/>
        <v>2.7225545445550997E-3</v>
      </c>
      <c r="AH54" s="7" t="s">
        <v>16</v>
      </c>
      <c r="AI54" s="8"/>
      <c r="AJ54" s="42" t="str">
        <f t="shared" si="215"/>
        <v>N.D.</v>
      </c>
      <c r="AK54" s="8">
        <f>(BDER!H15+BDER!H37+BDER!H59+BDER!H81+BDER!H103+BDER!H125)/1000</f>
        <v>42.802330000000005</v>
      </c>
      <c r="AL54" s="42">
        <f t="shared" si="216"/>
        <v>7.2483098798394659E-4</v>
      </c>
      <c r="AM54" s="8">
        <f>(BDER!H478+BDER!H501+BDER!H568+BDER!H613)*TC_MES/1000</f>
        <v>0</v>
      </c>
      <c r="AN54" s="42">
        <f t="shared" si="217"/>
        <v>0</v>
      </c>
      <c r="AO54" s="8">
        <f>AO122*TC_MES</f>
        <v>0</v>
      </c>
      <c r="AP54" s="42">
        <f t="shared" si="218"/>
        <v>0</v>
      </c>
      <c r="AQ54" s="8">
        <f>(BDER!H301+BDER!H323+BDER!F345+BDER!H367+BDER!H389+BDER!H411)/1000</f>
        <v>3.2140000000000002E-2</v>
      </c>
      <c r="AR54" s="42">
        <f t="shared" si="219"/>
        <v>1.9782166016259493E-7</v>
      </c>
      <c r="AS54" s="8">
        <f>(BDER!H433+BDER!H455)/1000</f>
        <v>493.88646</v>
      </c>
      <c r="AT54" s="42">
        <f t="shared" si="220"/>
        <v>0.37701893679332865</v>
      </c>
      <c r="AU54" s="11">
        <f>+AQ54+AK54+AI54+AS54+AM54+AO54</f>
        <v>536.72092999999995</v>
      </c>
      <c r="AV54" s="42">
        <f t="shared" si="221"/>
        <v>2.123620575934731E-3</v>
      </c>
      <c r="AW54" s="25"/>
      <c r="AX54" s="7" t="s">
        <v>16</v>
      </c>
      <c r="AY54" s="11">
        <f t="shared" si="222"/>
        <v>469.55098500000003</v>
      </c>
      <c r="AZ54" s="12">
        <f t="shared" si="175"/>
        <v>1.757453348784787E-3</v>
      </c>
      <c r="BA54" s="11">
        <f t="shared" si="169"/>
        <v>495</v>
      </c>
      <c r="BB54" s="12">
        <f t="shared" si="170"/>
        <v>2.7225545445550997E-3</v>
      </c>
      <c r="BC54" s="11">
        <f t="shared" si="171"/>
        <v>536.72092999999995</v>
      </c>
      <c r="BD54" s="12">
        <f t="shared" si="172"/>
        <v>2.123620575934731E-3</v>
      </c>
      <c r="BE54" s="11">
        <f t="shared" si="223"/>
        <v>-25.449014999999974</v>
      </c>
      <c r="BF54" s="13">
        <f t="shared" si="224"/>
        <v>-5.1412151515151439E-2</v>
      </c>
      <c r="BG54" s="11">
        <f t="shared" si="225"/>
        <v>-67.169944999999927</v>
      </c>
      <c r="BH54" s="13">
        <f t="shared" si="226"/>
        <v>-0.12514873418482098</v>
      </c>
    </row>
    <row r="55" spans="2:60" x14ac:dyDescent="0.35">
      <c r="B55" s="7" t="s">
        <v>13</v>
      </c>
      <c r="C55" s="8"/>
      <c r="D55" s="141" t="str">
        <f t="shared" ref="D55:D61" si="228">IF(C$41=0,"N.D.",C55/C$41)</f>
        <v>N.D.</v>
      </c>
      <c r="E55" s="8">
        <f>TablasERxDiv!AA42</f>
        <v>166.32413</v>
      </c>
      <c r="F55" s="141">
        <f t="shared" ref="F55:F61" si="229">IF(E$41=0,"N.D.",E55/E$41)</f>
        <v>3.1209524188964334E-3</v>
      </c>
      <c r="G55" s="8">
        <f>'mxn-dll'!N19</f>
        <v>0</v>
      </c>
      <c r="H55" s="141">
        <f t="shared" ref="H55:H61" si="230">IF(G$41=0,"N.D.",G55/G$41)</f>
        <v>0</v>
      </c>
      <c r="I55" s="8">
        <f>'mxn-dll'!AC19</f>
        <v>0</v>
      </c>
      <c r="J55" s="141">
        <f t="shared" ref="J55:J61" si="231">IF(I$41=0,"N.D.",I55/I$41)</f>
        <v>0</v>
      </c>
      <c r="K55" s="8">
        <f>TablasERxDiv!AT42</f>
        <v>754.73523000000012</v>
      </c>
      <c r="L55" s="141">
        <f t="shared" ref="L55:L61" si="232">IF(K$41=0,"N.D.",K55/K$41)</f>
        <v>4.3748890699554805E-3</v>
      </c>
      <c r="M55" s="8">
        <f>TablasERxDiv!BC42</f>
        <v>17.21902</v>
      </c>
      <c r="N55" s="141">
        <f t="shared" ref="N55:N61" si="233">IF(M$41=0,"N.D.",M55/M$41)</f>
        <v>2.3247238805296313E-3</v>
      </c>
      <c r="O55" s="8">
        <f>K55+E55+C55+M55+G55+I55</f>
        <v>938.27838000000008</v>
      </c>
      <c r="P55" s="141">
        <f t="shared" ref="P55:P61" si="234">IF(O$41=0,"N.D.",O55/O$41)</f>
        <v>3.5118241334822563E-3</v>
      </c>
      <c r="R55" s="7"/>
      <c r="S55" s="8"/>
      <c r="T55" s="42" t="str">
        <f t="shared" si="209"/>
        <v>N.D.</v>
      </c>
      <c r="U55" s="8">
        <f>(BDER!L16+BDER!L38+BDER!L60+BDER!L82+BDER!L104+BDER!L126)/1000</f>
        <v>0</v>
      </c>
      <c r="V55" s="42" t="str">
        <f t="shared" si="210"/>
        <v>N.D.</v>
      </c>
      <c r="W55" s="8">
        <f>(BDER!L479+BDER!L502+BDER!L569+BDER!L614)*TC_MES/1000</f>
        <v>0</v>
      </c>
      <c r="X55" s="42">
        <f t="shared" si="211"/>
        <v>0</v>
      </c>
      <c r="Y55" s="8">
        <f>Y123*TC_MES</f>
        <v>0</v>
      </c>
      <c r="Z55" s="42">
        <f t="shared" si="212"/>
        <v>0</v>
      </c>
      <c r="AA55" s="8">
        <f>(BDER!L302+BDER!L324+BDER!H346+BDER!L368+BDER!L390+BDER!L412)/1000</f>
        <v>0</v>
      </c>
      <c r="AB55" s="42">
        <f t="shared" si="213"/>
        <v>0</v>
      </c>
      <c r="AC55" s="8">
        <f>(BDER!L434+BDER!L456)/1000</f>
        <v>0</v>
      </c>
      <c r="AD55" s="42">
        <f t="shared" si="214"/>
        <v>0</v>
      </c>
      <c r="AE55" s="11">
        <f>+AA55+U55+S55+AC55+W55+Y55</f>
        <v>0</v>
      </c>
      <c r="AF55" s="42">
        <f t="shared" si="227"/>
        <v>0</v>
      </c>
      <c r="AH55" s="7"/>
      <c r="AI55" s="8"/>
      <c r="AJ55" s="42" t="str">
        <f t="shared" si="215"/>
        <v>N.D.</v>
      </c>
      <c r="AK55" s="8">
        <f>(BDER!H16+BDER!H38+BDER!H60+BDER!H82+BDER!H104+BDER!H126)/1000</f>
        <v>0</v>
      </c>
      <c r="AL55" s="42">
        <f t="shared" si="216"/>
        <v>0</v>
      </c>
      <c r="AM55" s="8">
        <f>(BDER!H479+BDER!H502+BDER!H569+BDER!H614)*TC_MES/1000</f>
        <v>0</v>
      </c>
      <c r="AN55" s="42">
        <f t="shared" si="217"/>
        <v>0</v>
      </c>
      <c r="AO55" s="8">
        <f>AO123*TC_MES</f>
        <v>0</v>
      </c>
      <c r="AP55" s="42">
        <f t="shared" si="218"/>
        <v>0</v>
      </c>
      <c r="AQ55" s="8">
        <f>(BDER!H302+BDER!H324+BDER!F346+BDER!H368+BDER!H390+BDER!H412)/1000</f>
        <v>0</v>
      </c>
      <c r="AR55" s="42">
        <f t="shared" si="219"/>
        <v>0</v>
      </c>
      <c r="AS55" s="8">
        <f>(BDER!H434+BDER!H456)/1000</f>
        <v>0</v>
      </c>
      <c r="AT55" s="42">
        <f t="shared" si="220"/>
        <v>0</v>
      </c>
      <c r="AU55" s="11">
        <f>+AQ55+AK55+AI55+AS55+AM55+AO55</f>
        <v>0</v>
      </c>
      <c r="AV55" s="42">
        <f t="shared" si="221"/>
        <v>0</v>
      </c>
      <c r="AW55" s="25"/>
      <c r="AX55" s="7"/>
      <c r="AY55" s="11">
        <f t="shared" si="222"/>
        <v>0</v>
      </c>
      <c r="AZ55" s="12">
        <f t="shared" si="175"/>
        <v>0</v>
      </c>
      <c r="BA55" s="11">
        <f t="shared" si="169"/>
        <v>0</v>
      </c>
      <c r="BB55" s="12">
        <f t="shared" si="170"/>
        <v>0</v>
      </c>
      <c r="BC55" s="11">
        <f t="shared" si="171"/>
        <v>0</v>
      </c>
      <c r="BD55" s="12">
        <f t="shared" si="172"/>
        <v>0</v>
      </c>
      <c r="BE55" s="11">
        <f t="shared" si="223"/>
        <v>0</v>
      </c>
      <c r="BF55" s="13" t="str">
        <f t="shared" si="224"/>
        <v>N.D.</v>
      </c>
      <c r="BG55" s="11">
        <f t="shared" si="225"/>
        <v>0</v>
      </c>
      <c r="BH55" s="13" t="str">
        <f t="shared" si="226"/>
        <v>N.D.</v>
      </c>
    </row>
    <row r="56" spans="2:60" x14ac:dyDescent="0.35">
      <c r="B56" s="7" t="s">
        <v>14</v>
      </c>
      <c r="C56" s="11"/>
      <c r="D56" s="138" t="str">
        <f t="shared" si="228"/>
        <v>N.D.</v>
      </c>
      <c r="E56" s="11">
        <f>TablasERxDiv!AA43</f>
        <v>-250.72367999999997</v>
      </c>
      <c r="F56" s="138">
        <f t="shared" si="229"/>
        <v>-4.704649142434205E-3</v>
      </c>
      <c r="G56" s="11">
        <f>'mxn-dll'!N20</f>
        <v>-204.94335909599997</v>
      </c>
      <c r="H56" s="138">
        <f t="shared" si="230"/>
        <v>-6.4292216345023905E-3</v>
      </c>
      <c r="I56" s="11">
        <f>'mxn-dll'!AC20</f>
        <v>0</v>
      </c>
      <c r="J56" s="138">
        <f t="shared" si="231"/>
        <v>0</v>
      </c>
      <c r="K56" s="11">
        <f>TablasERxDiv!AT43</f>
        <v>-1365.88741</v>
      </c>
      <c r="L56" s="138">
        <f t="shared" si="232"/>
        <v>-7.9174863757172174E-3</v>
      </c>
      <c r="M56" s="11">
        <f>TablasERxDiv!BC43</f>
        <v>-8.2755899999999993</v>
      </c>
      <c r="N56" s="138">
        <f t="shared" si="233"/>
        <v>-1.1172797115324919E-3</v>
      </c>
      <c r="O56" s="11">
        <f>K56+E56-C56+M56+G56+I56</f>
        <v>-1829.8300390960001</v>
      </c>
      <c r="P56" s="138">
        <f t="shared" si="234"/>
        <v>-6.8487577124692074E-3</v>
      </c>
      <c r="R56" s="4" t="s">
        <v>17</v>
      </c>
      <c r="S56" s="14"/>
      <c r="T56" s="43" t="str">
        <f t="shared" si="209"/>
        <v>N.D.</v>
      </c>
      <c r="U56" s="14">
        <f>U51+U52+U53-U54-U55</f>
        <v>0</v>
      </c>
      <c r="V56" s="43" t="str">
        <f t="shared" si="210"/>
        <v>N.D.</v>
      </c>
      <c r="W56" s="14">
        <f>W51+W52+W53-W54-W55</f>
        <v>-211.14691199999999</v>
      </c>
      <c r="X56" s="43">
        <f t="shared" si="211"/>
        <v>-7.4541558703976477E-3</v>
      </c>
      <c r="Y56" s="14">
        <f>Y51+Y52+Y53-Y54-Y55</f>
        <v>175.95575999999997</v>
      </c>
      <c r="Z56" s="43">
        <f t="shared" si="212"/>
        <v>8.3754512635379058E-2</v>
      </c>
      <c r="AA56" s="14">
        <f>AA51+AA52+AA53-AA54-AA55</f>
        <v>-2431.029</v>
      </c>
      <c r="AB56" s="43">
        <f t="shared" si="213"/>
        <v>-1.7350245826712581E-2</v>
      </c>
      <c r="AC56" s="14">
        <f>AC51+AC52+AC53-AC54-AC55</f>
        <v>-577</v>
      </c>
      <c r="AD56" s="43">
        <f t="shared" si="214"/>
        <v>-5.1185780253146948E-2</v>
      </c>
      <c r="AE56" s="14">
        <f>AE51+AE52+AE53-AE54-AE55</f>
        <v>-3043.2201519999999</v>
      </c>
      <c r="AF56" s="43">
        <f t="shared" si="227"/>
        <v>-1.673804617153386E-2</v>
      </c>
      <c r="AH56" s="4" t="s">
        <v>17</v>
      </c>
      <c r="AI56" s="14"/>
      <c r="AJ56" s="43" t="str">
        <f t="shared" si="215"/>
        <v>N.D.</v>
      </c>
      <c r="AK56" s="14">
        <f>AK51+AK52+AK53-AK54-AK55</f>
        <v>213.78381999999996</v>
      </c>
      <c r="AL56" s="43">
        <f t="shared" si="216"/>
        <v>3.6202967797683483E-3</v>
      </c>
      <c r="AM56" s="14">
        <f>AM51+AM52+AM53-AM54-AM55</f>
        <v>-10.802065679999998</v>
      </c>
      <c r="AN56" s="43">
        <f t="shared" si="217"/>
        <v>-3.9650833910266203E-4</v>
      </c>
      <c r="AO56" s="14">
        <f>AO51+AO52+AO53-AO54-AO55</f>
        <v>878.26760294400015</v>
      </c>
      <c r="AP56" s="43">
        <f t="shared" si="218"/>
        <v>0.32960136670023765</v>
      </c>
      <c r="AQ56" s="14">
        <f>AQ51+AQ52+AQ53-AQ54-AQ55</f>
        <v>-706.61149</v>
      </c>
      <c r="AR56" s="43">
        <f t="shared" si="219"/>
        <v>-4.3491928451078049E-3</v>
      </c>
      <c r="AS56" s="14">
        <f>AS51+AS52+AS53-AS54-AS55</f>
        <v>-482.40451000000002</v>
      </c>
      <c r="AT56" s="43">
        <f t="shared" si="220"/>
        <v>-0.36825394132997025</v>
      </c>
      <c r="AU56" s="14">
        <f>AU51+AU52+AU53-AU54-AU55</f>
        <v>-107.76664273599999</v>
      </c>
      <c r="AV56" s="43">
        <f t="shared" si="221"/>
        <v>-4.2639563155022985E-4</v>
      </c>
      <c r="AW56" s="25"/>
      <c r="AX56" s="4" t="s">
        <v>17</v>
      </c>
      <c r="AY56" s="14">
        <f t="shared" si="222"/>
        <v>-1.9568071039998927</v>
      </c>
      <c r="AZ56" s="22">
        <f t="shared" si="175"/>
        <v>-7.3240123175345322E-6</v>
      </c>
      <c r="BA56" s="14">
        <f t="shared" si="169"/>
        <v>-3043.2201519999999</v>
      </c>
      <c r="BB56" s="22">
        <f t="shared" si="170"/>
        <v>-1.673804617153386E-2</v>
      </c>
      <c r="BC56" s="14">
        <f t="shared" si="171"/>
        <v>-107.76664273599999</v>
      </c>
      <c r="BD56" s="22">
        <f t="shared" si="172"/>
        <v>-4.2639563155022985E-4</v>
      </c>
      <c r="BE56" s="14">
        <f>+AY56-BA56</f>
        <v>3041.263344896</v>
      </c>
      <c r="BF56" s="16">
        <f t="shared" si="224"/>
        <v>-0.99935699456290938</v>
      </c>
      <c r="BG56" s="14">
        <f>AY56-BC56</f>
        <v>105.8098356320001</v>
      </c>
      <c r="BH56" s="16">
        <f t="shared" si="226"/>
        <v>-0.98184218182621175</v>
      </c>
    </row>
    <row r="57" spans="2:60" x14ac:dyDescent="0.35">
      <c r="B57" s="7" t="s">
        <v>15</v>
      </c>
      <c r="C57" s="11"/>
      <c r="D57" s="138" t="str">
        <f t="shared" si="228"/>
        <v>N.D.</v>
      </c>
      <c r="E57" s="11">
        <f>TablasERxDiv!AA44</f>
        <v>909.17223000000013</v>
      </c>
      <c r="F57" s="138">
        <f t="shared" si="229"/>
        <v>1.7059961596744652E-2</v>
      </c>
      <c r="G57" s="11">
        <f>'mxn-dll'!N21</f>
        <v>0</v>
      </c>
      <c r="H57" s="138">
        <f t="shared" si="230"/>
        <v>0</v>
      </c>
      <c r="I57" s="11">
        <f>'mxn-dll'!AC21</f>
        <v>239.86693699199998</v>
      </c>
      <c r="J57" s="138">
        <f t="shared" si="231"/>
        <v>0.1150368349419037</v>
      </c>
      <c r="K57" s="11">
        <f>TablasERxDiv!AT44</f>
        <v>204.81515999999999</v>
      </c>
      <c r="L57" s="138">
        <f t="shared" si="232"/>
        <v>1.1872290695177736E-3</v>
      </c>
      <c r="M57" s="11">
        <f>TablasERxDiv!BC44</f>
        <v>4.2915099999999997</v>
      </c>
      <c r="N57" s="138">
        <f t="shared" si="233"/>
        <v>5.7939277499716689E-4</v>
      </c>
      <c r="O57" s="11">
        <f>K57+E57+C57+M57+G57+I57+intereses_acum</f>
        <v>1359.1458369920001</v>
      </c>
      <c r="P57" s="138">
        <f t="shared" si="234"/>
        <v>5.0870629154542027E-3</v>
      </c>
      <c r="R57" s="4" t="s">
        <v>18</v>
      </c>
      <c r="S57" s="14"/>
      <c r="T57" s="43" t="str">
        <f t="shared" si="209"/>
        <v>N.D.</v>
      </c>
      <c r="U57" s="14">
        <f>+U49-U56</f>
        <v>0</v>
      </c>
      <c r="V57" s="43" t="str">
        <f t="shared" si="210"/>
        <v>N.D.</v>
      </c>
      <c r="W57" s="14">
        <f>+W49-W56</f>
        <v>-718.8500663999987</v>
      </c>
      <c r="X57" s="43">
        <f t="shared" si="211"/>
        <v>-2.5377687940760837E-2</v>
      </c>
      <c r="Y57" s="14">
        <f>+Y49-Y56</f>
        <v>976.39266959999998</v>
      </c>
      <c r="Z57" s="43">
        <f t="shared" si="212"/>
        <v>0.46476052948255114</v>
      </c>
      <c r="AA57" s="14">
        <f>+AA49-AA56</f>
        <v>20340.421999999988</v>
      </c>
      <c r="AB57" s="43">
        <f t="shared" si="213"/>
        <v>0.14516952365400518</v>
      </c>
      <c r="AC57" s="14">
        <f>+AC49-AC56</f>
        <v>3427.7860000000005</v>
      </c>
      <c r="AD57" s="43">
        <f t="shared" si="214"/>
        <v>0.30407955104127138</v>
      </c>
      <c r="AE57" s="14">
        <f>+AE49-AE56</f>
        <v>24025.750603199987</v>
      </c>
      <c r="AF57" s="43">
        <f t="shared" si="227"/>
        <v>0.13214427573957485</v>
      </c>
      <c r="AH57" s="4" t="s">
        <v>18</v>
      </c>
      <c r="AI57" s="14"/>
      <c r="AJ57" s="43" t="str">
        <f t="shared" si="215"/>
        <v>N.D.</v>
      </c>
      <c r="AK57" s="14">
        <f>+AK49-AK56</f>
        <v>2355.2310600000023</v>
      </c>
      <c r="AL57" s="43">
        <f t="shared" si="216"/>
        <v>3.9884381437886196E-2</v>
      </c>
      <c r="AM57" s="14">
        <f>+AM49-AM56</f>
        <v>-1710.9094728240016</v>
      </c>
      <c r="AN57" s="43">
        <f t="shared" si="217"/>
        <v>-6.2801865265501328E-2</v>
      </c>
      <c r="AO57" s="14">
        <f>+AO49-AO56</f>
        <v>-279.24219561599989</v>
      </c>
      <c r="AP57" s="43">
        <f t="shared" si="218"/>
        <v>-0.10479563291061894</v>
      </c>
      <c r="AQ57" s="14">
        <f>+AQ49-AQ56</f>
        <v>10443.210170000009</v>
      </c>
      <c r="AR57" s="43">
        <f t="shared" si="219"/>
        <v>6.427794565203164E-2</v>
      </c>
      <c r="AS57" s="14">
        <f>+AS49-AS56</f>
        <v>75.143460000000175</v>
      </c>
      <c r="AT57" s="43">
        <f t="shared" si="220"/>
        <v>5.7362389315495886E-2</v>
      </c>
      <c r="AU57" s="14">
        <f>+AU49-AU56</f>
        <v>10883.433021560011</v>
      </c>
      <c r="AV57" s="43">
        <f t="shared" si="221"/>
        <v>4.3062010459313259E-2</v>
      </c>
      <c r="AX57" s="4" t="s">
        <v>18</v>
      </c>
      <c r="AY57" s="20">
        <f t="shared" si="222"/>
        <v>21513.592576936036</v>
      </c>
      <c r="AZ57" s="15">
        <f t="shared" si="175"/>
        <v>8.0521895441722419E-2</v>
      </c>
      <c r="BA57" s="20">
        <f t="shared" si="169"/>
        <v>24025.750603199987</v>
      </c>
      <c r="BB57" s="15">
        <f t="shared" si="170"/>
        <v>0.13214427573957485</v>
      </c>
      <c r="BC57" s="20">
        <f t="shared" si="171"/>
        <v>10883.433021560011</v>
      </c>
      <c r="BD57" s="15">
        <f t="shared" si="172"/>
        <v>4.3062010459313259E-2</v>
      </c>
      <c r="BE57" s="14">
        <f t="shared" si="223"/>
        <v>-2512.1580262639509</v>
      </c>
      <c r="BF57" s="16">
        <f t="shared" si="224"/>
        <v>-0.10456106315901559</v>
      </c>
      <c r="BG57" s="14">
        <f t="shared" si="225"/>
        <v>10630.159555376025</v>
      </c>
      <c r="BH57" s="16">
        <f t="shared" si="226"/>
        <v>0.97672853173421914</v>
      </c>
    </row>
    <row r="58" spans="2:60" x14ac:dyDescent="0.35">
      <c r="B58" s="7" t="s">
        <v>16</v>
      </c>
      <c r="C58" s="11"/>
      <c r="D58" s="138" t="str">
        <f t="shared" si="228"/>
        <v>N.D.</v>
      </c>
      <c r="E58" s="11">
        <f>TablasERxDiv!AA45</f>
        <v>31.722719999999999</v>
      </c>
      <c r="F58" s="138">
        <f t="shared" si="229"/>
        <v>5.9525397618478005E-4</v>
      </c>
      <c r="G58" s="11">
        <f>'mxn-dll'!N22</f>
        <v>0</v>
      </c>
      <c r="H58" s="138">
        <f t="shared" si="230"/>
        <v>0</v>
      </c>
      <c r="I58" s="11">
        <f>'mxn-dll'!AC22</f>
        <v>0</v>
      </c>
      <c r="J58" s="138">
        <f t="shared" si="231"/>
        <v>0</v>
      </c>
      <c r="K58" s="11">
        <f>TablasERxDiv!AT45</f>
        <v>65.066835000000012</v>
      </c>
      <c r="L58" s="138">
        <f t="shared" si="232"/>
        <v>3.7716562569644024E-4</v>
      </c>
      <c r="M58" s="11">
        <f>TablasERxDiv!BC45</f>
        <v>372.76143000000002</v>
      </c>
      <c r="N58" s="138">
        <f t="shared" si="233"/>
        <v>5.0326174083157725E-2</v>
      </c>
      <c r="O58" s="11">
        <f>K58+E58+C58+M58+G58+I58</f>
        <v>469.55098500000003</v>
      </c>
      <c r="P58" s="138">
        <f t="shared" si="234"/>
        <v>1.757453348784787E-3</v>
      </c>
      <c r="R58" s="1"/>
      <c r="S58" s="30"/>
      <c r="T58" s="44"/>
      <c r="U58" s="30"/>
      <c r="V58" s="44"/>
      <c r="W58" s="30"/>
      <c r="X58" s="44"/>
      <c r="Y58" s="30"/>
      <c r="Z58" s="44"/>
      <c r="AA58" s="30"/>
      <c r="AB58" s="44"/>
      <c r="AC58" s="30"/>
      <c r="AD58" s="44"/>
      <c r="AE58" s="30"/>
      <c r="AF58" s="44"/>
      <c r="AH58" s="1"/>
      <c r="AI58" s="30"/>
      <c r="AJ58" s="44"/>
      <c r="AK58" s="30"/>
      <c r="AL58" s="44"/>
      <c r="AM58" s="30"/>
      <c r="AN58" s="44"/>
      <c r="AO58" s="30"/>
      <c r="AP58" s="44"/>
      <c r="AQ58" s="30"/>
      <c r="AR58" s="44"/>
      <c r="AS58" s="30"/>
      <c r="AT58" s="44"/>
      <c r="AU58" s="30"/>
      <c r="AV58" s="44"/>
      <c r="AX58" s="1"/>
      <c r="AY58" s="17"/>
      <c r="AZ58" s="18"/>
      <c r="BA58" s="17"/>
      <c r="BB58" s="18"/>
      <c r="BC58" s="17"/>
      <c r="BD58" s="18"/>
      <c r="BE58" s="17"/>
      <c r="BF58" s="19"/>
      <c r="BG58" s="17"/>
      <c r="BH58" s="19"/>
    </row>
    <row r="59" spans="2:60" x14ac:dyDescent="0.35">
      <c r="B59" s="7"/>
      <c r="C59" s="11"/>
      <c r="D59" s="138" t="str">
        <f t="shared" si="228"/>
        <v>N.D.</v>
      </c>
      <c r="E59" s="11">
        <f>TablasERxDiv!AA46</f>
        <v>0</v>
      </c>
      <c r="F59" s="138">
        <f t="shared" si="229"/>
        <v>0</v>
      </c>
      <c r="G59" s="11">
        <f>'mxn-dll'!N23</f>
        <v>0</v>
      </c>
      <c r="H59" s="138">
        <f t="shared" si="230"/>
        <v>0</v>
      </c>
      <c r="I59" s="11">
        <f>'mxn-dll'!AC23</f>
        <v>0</v>
      </c>
      <c r="J59" s="138">
        <f t="shared" si="231"/>
        <v>0</v>
      </c>
      <c r="K59" s="11">
        <f>TablasERxDiv!AT46</f>
        <v>0</v>
      </c>
      <c r="L59" s="138">
        <f t="shared" si="232"/>
        <v>0</v>
      </c>
      <c r="M59" s="11">
        <f>TablasERxDiv!BC46</f>
        <v>0</v>
      </c>
      <c r="N59" s="138">
        <f t="shared" si="233"/>
        <v>0</v>
      </c>
      <c r="O59" s="11">
        <f>K59+E59+C59+M59+G59+I59</f>
        <v>0</v>
      </c>
      <c r="P59" s="138">
        <f t="shared" si="234"/>
        <v>0</v>
      </c>
      <c r="R59" s="7" t="s">
        <v>35</v>
      </c>
      <c r="S59" s="8"/>
      <c r="T59" s="29" t="str">
        <f t="shared" ref="T59:T62" si="235">IF(S$41=0,"N.D.",S59/S$41)</f>
        <v>N.D.</v>
      </c>
      <c r="U59" s="8">
        <f>(BDER!L19+BDER!L41+BDER!L63+BDER!L85+BDER!L107+BDER!L129)/1000</f>
        <v>0</v>
      </c>
      <c r="V59" s="29" t="str">
        <f t="shared" ref="V59:V62" si="236">IF(U$41=0,"N.D.",U59/U$41)</f>
        <v>N.D.</v>
      </c>
      <c r="W59" s="8">
        <f>(BDER!L482+BDER!L505+BDER!L572+BDER!L617)*TC_MES/1000</f>
        <v>0</v>
      </c>
      <c r="X59" s="29">
        <f t="shared" ref="X59:X62" si="237">IF(W$41=0,"N.D.",W59/W$41)</f>
        <v>0</v>
      </c>
      <c r="Y59" s="8">
        <f>Y127*TC_MES</f>
        <v>0</v>
      </c>
      <c r="Z59" s="29">
        <f t="shared" ref="Z59:Z62" si="238">IF(Y$41=0,"N.D.",Y59/Y$41)</f>
        <v>0</v>
      </c>
      <c r="AA59" s="8">
        <f>(BDER!L305+BDER!L327+BDER!H349+BDER!L371+BDER!L393+BDER!L415)/1000</f>
        <v>3002.5790000000002</v>
      </c>
      <c r="AB59" s="29">
        <f t="shared" ref="AB59:AB62" si="239">IF(AA$41=0,"N.D.",AA59/AA$41)</f>
        <v>2.142939626146987E-2</v>
      </c>
      <c r="AC59" s="8">
        <f>(BDER!L437+BDER!L459)/1000</f>
        <v>779.78599999999994</v>
      </c>
      <c r="AD59" s="29">
        <f t="shared" ref="AD59:AD62" si="240">IF(AC$41=0,"N.D.",AC59/AC$41)</f>
        <v>6.9174965061491234E-2</v>
      </c>
      <c r="AE59" s="8">
        <f>+AA59+U59+S59+AC59+W59+Y59</f>
        <v>3782.3650000000002</v>
      </c>
      <c r="AF59" s="29">
        <f t="shared" ref="AF59:AF62" si="241">IF(AE$41=0,"N.D.",AE59/AE$41)</f>
        <v>2.0803424282658887E-2</v>
      </c>
      <c r="AH59" s="7" t="s">
        <v>35</v>
      </c>
      <c r="AI59" s="8"/>
      <c r="AJ59" s="29" t="str">
        <f t="shared" ref="AJ59:AJ62" si="242">IF(AI$41=0,"N.D.",AI59/AI$41)</f>
        <v>N.D.</v>
      </c>
      <c r="AK59" s="8">
        <f>(BDER!H19+BDER!H41+BDER!H63+BDER!H85+BDER!H107+BDER!H129)/1000</f>
        <v>1283.2721999999999</v>
      </c>
      <c r="AL59" s="29">
        <f t="shared" ref="AL59:AL62" si="243">IF(AK$41=0,"N.D.",AK59/AK$41)</f>
        <v>2.1731421083345991E-2</v>
      </c>
      <c r="AM59" s="8">
        <f>(BDER!H482+BDER!H505+BDER!H572+BDER!H617)*TC_MES/1000</f>
        <v>0</v>
      </c>
      <c r="AN59" s="29">
        <f t="shared" ref="AN59:AN62" si="244">IF(AM$41=0,"N.D.",AM59/AM$41)</f>
        <v>0</v>
      </c>
      <c r="AO59" s="8">
        <f>AO127*TC_MES</f>
        <v>0</v>
      </c>
      <c r="AP59" s="29">
        <f t="shared" ref="AP59:AP62" si="245">IF(AO$41=0,"N.D.",AO59/AO$41)</f>
        <v>0</v>
      </c>
      <c r="AQ59" s="8">
        <f>(BDER!H305+BDER!H327+BDER!F349+BDER!H371+BDER!H393+BDER!H415)/1000</f>
        <v>3513.8858799999998</v>
      </c>
      <c r="AR59" s="29">
        <f t="shared" ref="AR59:AR62" si="246">IF(AQ$41=0,"N.D.",AQ59/AQ$41)</f>
        <v>2.1627963235952109E-2</v>
      </c>
      <c r="AS59" s="8">
        <f>(BDER!H437+BDER!H459)/1000</f>
        <v>0</v>
      </c>
      <c r="AT59" s="29">
        <f t="shared" ref="AT59:AT62" si="247">IF(AS$41=0,"N.D.",AS59/AS$41)</f>
        <v>0</v>
      </c>
      <c r="AU59" s="8">
        <f>+AQ59+AK59+AI59+AS59+AM59+AO59</f>
        <v>4797.1580799999992</v>
      </c>
      <c r="AV59" s="29">
        <f t="shared" ref="AV59:AV62" si="248">IF(AU$41=0,"N.D.",AU59/AU$41)</f>
        <v>1.8980708661202286E-2</v>
      </c>
      <c r="AX59" s="7" t="s">
        <v>19</v>
      </c>
      <c r="AY59" s="8">
        <f>O63</f>
        <v>6235.2587799999992</v>
      </c>
      <c r="AZ59" s="9">
        <f t="shared" si="175"/>
        <v>2.3337564553188497E-2</v>
      </c>
      <c r="BA59" s="8">
        <f t="shared" si="169"/>
        <v>3782.3650000000002</v>
      </c>
      <c r="BB59" s="9">
        <f t="shared" si="170"/>
        <v>2.0803424282658887E-2</v>
      </c>
      <c r="BC59" s="8">
        <f t="shared" si="171"/>
        <v>4797.1580799999992</v>
      </c>
      <c r="BD59" s="9">
        <f t="shared" si="172"/>
        <v>1.8980708661202286E-2</v>
      </c>
      <c r="BE59" s="8">
        <f>+AY59-BA59</f>
        <v>2452.893779999999</v>
      </c>
      <c r="BF59" s="10">
        <f t="shared" ref="BF59:BF62" si="249">IF(BA59=0,"N.D.",AY59/BA59-1)</f>
        <v>0.64850795203530032</v>
      </c>
      <c r="BG59" s="8">
        <f>AY59-BC59</f>
        <v>1438.1007</v>
      </c>
      <c r="BH59" s="10">
        <f>IF(BC59=0, "N.D.",AY59/BC59-1)</f>
        <v>0.29978180331301485</v>
      </c>
    </row>
    <row r="60" spans="2:60" x14ac:dyDescent="0.35">
      <c r="B60" s="4" t="s">
        <v>17</v>
      </c>
      <c r="C60" s="14"/>
      <c r="D60" s="139" t="str">
        <f t="shared" si="228"/>
        <v>N.D.</v>
      </c>
      <c r="E60" s="14">
        <f>+E55+E56+E57-E58</f>
        <v>793.04996000000017</v>
      </c>
      <c r="F60" s="139">
        <f t="shared" si="229"/>
        <v>1.4881010897022101E-2</v>
      </c>
      <c r="G60" s="14">
        <f>+G55+G56+G57-G58</f>
        <v>-204.94335909599997</v>
      </c>
      <c r="H60" s="139">
        <f t="shared" si="230"/>
        <v>-6.4292216345023905E-3</v>
      </c>
      <c r="I60" s="14">
        <f>+I55+I56+I57-I58</f>
        <v>239.86693699199998</v>
      </c>
      <c r="J60" s="139">
        <f t="shared" si="231"/>
        <v>0.1150368349419037</v>
      </c>
      <c r="K60" s="14">
        <f>+K55+K56+K57-K58</f>
        <v>-471.40385499999996</v>
      </c>
      <c r="L60" s="139">
        <f t="shared" si="232"/>
        <v>-2.7325338619404024E-3</v>
      </c>
      <c r="M60" s="14">
        <f>+M55+M56+M57-M58</f>
        <v>-359.52649000000002</v>
      </c>
      <c r="N60" s="139">
        <f t="shared" si="233"/>
        <v>-4.8539337139163419E-2</v>
      </c>
      <c r="O60" s="14">
        <f>+O55+O56+O57-O58</f>
        <v>-1.9568071039998927</v>
      </c>
      <c r="P60" s="139">
        <f t="shared" si="234"/>
        <v>-7.3240123175345322E-6</v>
      </c>
      <c r="R60" s="7" t="s">
        <v>43</v>
      </c>
      <c r="S60" s="8"/>
      <c r="T60" s="42" t="str">
        <f t="shared" si="235"/>
        <v>N.D.</v>
      </c>
      <c r="U60" s="8">
        <f>(BDER!L20+BDER!L42+BDER!L64+BDER!L86+BDER!L108+BDER!L130)/1000</f>
        <v>0</v>
      </c>
      <c r="V60" s="42" t="str">
        <f t="shared" si="236"/>
        <v>N.D.</v>
      </c>
      <c r="W60" s="8">
        <f>(BDER!L483+BDER!L506+BDER!L573+BDER!L618)*TC_MES/1000</f>
        <v>0</v>
      </c>
      <c r="X60" s="42">
        <f t="shared" si="237"/>
        <v>0</v>
      </c>
      <c r="Y60" s="8">
        <f>Y128*TC_MES</f>
        <v>0</v>
      </c>
      <c r="Z60" s="42">
        <f t="shared" si="238"/>
        <v>0</v>
      </c>
      <c r="AA60" s="8">
        <f>(BDER!L306+BDER!L328+BDER!H350+BDER!L372+BDER!L394+BDER!L416)/1000</f>
        <v>0</v>
      </c>
      <c r="AB60" s="42">
        <f t="shared" si="239"/>
        <v>0</v>
      </c>
      <c r="AC60" s="8">
        <f>(BDER!L438+BDER!L460)/1000</f>
        <v>0</v>
      </c>
      <c r="AD60" s="42">
        <f t="shared" si="240"/>
        <v>0</v>
      </c>
      <c r="AE60" s="11">
        <f>+AA60+U60+S60+AC60+W60+Y60</f>
        <v>0</v>
      </c>
      <c r="AF60" s="42">
        <f t="shared" si="241"/>
        <v>0</v>
      </c>
      <c r="AH60" s="7" t="s">
        <v>43</v>
      </c>
      <c r="AI60" s="8"/>
      <c r="AJ60" s="42" t="str">
        <f t="shared" si="242"/>
        <v>N.D.</v>
      </c>
      <c r="AK60" s="8">
        <f>(BDER!H20+BDER!H42+BDER!H64+BDER!H86+BDER!H108+BDER!H130)/1000</f>
        <v>0</v>
      </c>
      <c r="AL60" s="42">
        <f t="shared" si="243"/>
        <v>0</v>
      </c>
      <c r="AM60" s="8">
        <f>(BDER!H483+BDER!H506+BDER!H573+BDER!H618)*TC_MES/1000</f>
        <v>0</v>
      </c>
      <c r="AN60" s="42">
        <f t="shared" si="244"/>
        <v>0</v>
      </c>
      <c r="AO60" s="8">
        <f>AO128*TC_MES</f>
        <v>0</v>
      </c>
      <c r="AP60" s="42">
        <f t="shared" si="245"/>
        <v>0</v>
      </c>
      <c r="AQ60" s="8">
        <f>(BDER!H306+BDER!H328+BDER!F350+BDER!H372+BDER!H394+BDER!H416)/1000</f>
        <v>0</v>
      </c>
      <c r="AR60" s="42">
        <f t="shared" si="246"/>
        <v>0</v>
      </c>
      <c r="AS60" s="8">
        <f>(BDER!H438+BDER!H460)/1000</f>
        <v>0</v>
      </c>
      <c r="AT60" s="42">
        <f t="shared" si="247"/>
        <v>0</v>
      </c>
      <c r="AU60" s="11">
        <f>+AQ60+AK60+AI60+AS60+AM60+AO60</f>
        <v>0</v>
      </c>
      <c r="AV60" s="42">
        <f t="shared" si="248"/>
        <v>0</v>
      </c>
      <c r="AX60" s="7" t="s">
        <v>20</v>
      </c>
      <c r="AY60" s="11">
        <f>O64</f>
        <v>0</v>
      </c>
      <c r="AZ60" s="12">
        <f t="shared" si="175"/>
        <v>0</v>
      </c>
      <c r="BA60" s="11">
        <f t="shared" si="169"/>
        <v>0</v>
      </c>
      <c r="BB60" s="12">
        <f t="shared" si="170"/>
        <v>0</v>
      </c>
      <c r="BC60" s="11">
        <f t="shared" si="171"/>
        <v>0</v>
      </c>
      <c r="BD60" s="12">
        <f t="shared" si="172"/>
        <v>0</v>
      </c>
      <c r="BE60" s="11">
        <f>+AY60-BA60</f>
        <v>0</v>
      </c>
      <c r="BF60" s="13" t="str">
        <f t="shared" si="249"/>
        <v>N.D.</v>
      </c>
      <c r="BG60" s="11">
        <f>AY60-BC60</f>
        <v>0</v>
      </c>
      <c r="BH60" s="13" t="str">
        <f>IF(BC60=0, "N.D.",AY60/BC60-1)</f>
        <v>N.D.</v>
      </c>
    </row>
    <row r="61" spans="2:60" x14ac:dyDescent="0.35">
      <c r="B61" s="4" t="s">
        <v>18</v>
      </c>
      <c r="C61" s="14"/>
      <c r="D61" s="139" t="str">
        <f t="shared" si="228"/>
        <v>N.D.</v>
      </c>
      <c r="E61" s="14">
        <f>+E53-E60</f>
        <v>5566.9664700000067</v>
      </c>
      <c r="F61" s="139">
        <f t="shared" si="229"/>
        <v>0.10446011333690344</v>
      </c>
      <c r="G61" s="14">
        <f>+G53-G60</f>
        <v>2006.9659604159972</v>
      </c>
      <c r="H61" s="139">
        <f t="shared" si="230"/>
        <v>6.2959976011578114E-2</v>
      </c>
      <c r="I61" s="14">
        <f>+I53-I60</f>
        <v>798.22027151999976</v>
      </c>
      <c r="J61" s="139">
        <f t="shared" si="231"/>
        <v>0.38281530073980263</v>
      </c>
      <c r="K61" s="14">
        <f>+K53-K60</f>
        <v>9913.9130650000152</v>
      </c>
      <c r="L61" s="139">
        <f t="shared" si="232"/>
        <v>5.7466868094334753E-2</v>
      </c>
      <c r="M61" s="14">
        <f>+M53-M60</f>
        <v>3228.5268100000008</v>
      </c>
      <c r="N61" s="139">
        <f t="shared" si="233"/>
        <v>0.43588040284157592</v>
      </c>
      <c r="O61" s="14">
        <f>+O53-O60</f>
        <v>21513.592576936036</v>
      </c>
      <c r="P61" s="139">
        <f t="shared" si="234"/>
        <v>8.0521895441722419E-2</v>
      </c>
      <c r="R61" s="4" t="s">
        <v>21</v>
      </c>
      <c r="S61" s="14"/>
      <c r="T61" s="43" t="str">
        <f t="shared" si="235"/>
        <v>N.D.</v>
      </c>
      <c r="U61" s="14">
        <f>+U57-U59-U60</f>
        <v>0</v>
      </c>
      <c r="V61" s="43" t="str">
        <f t="shared" si="236"/>
        <v>N.D.</v>
      </c>
      <c r="W61" s="14">
        <f>+W57-W59-W60</f>
        <v>-718.8500663999987</v>
      </c>
      <c r="X61" s="43">
        <f t="shared" si="237"/>
        <v>-2.5377687940760837E-2</v>
      </c>
      <c r="Y61" s="14">
        <f>+Y57-Y59-Y60</f>
        <v>976.39266959999998</v>
      </c>
      <c r="Z61" s="43">
        <f t="shared" si="238"/>
        <v>0.46476052948255114</v>
      </c>
      <c r="AA61" s="14">
        <f>+AA57-AA59-AA60</f>
        <v>17337.842999999986</v>
      </c>
      <c r="AB61" s="43">
        <f t="shared" si="239"/>
        <v>0.1237401273925353</v>
      </c>
      <c r="AC61" s="14">
        <f>+AC57-AC59-AC60</f>
        <v>2648.0000000000005</v>
      </c>
      <c r="AD61" s="43">
        <f t="shared" si="240"/>
        <v>0.23490458597978014</v>
      </c>
      <c r="AE61" s="14">
        <f>+AE57-AE59-AE60</f>
        <v>20243.385603199986</v>
      </c>
      <c r="AF61" s="43">
        <f t="shared" si="241"/>
        <v>0.11134085145691595</v>
      </c>
      <c r="AH61" s="4" t="s">
        <v>21</v>
      </c>
      <c r="AI61" s="14"/>
      <c r="AJ61" s="43" t="str">
        <f t="shared" si="242"/>
        <v>N.D.</v>
      </c>
      <c r="AK61" s="14">
        <f>+AK57-AK59-AK60</f>
        <v>1071.9588600000025</v>
      </c>
      <c r="AL61" s="43">
        <f t="shared" si="243"/>
        <v>1.8152960354540205E-2</v>
      </c>
      <c r="AM61" s="14">
        <f>+AM57-AM59-AM60</f>
        <v>-1710.9094728240016</v>
      </c>
      <c r="AN61" s="43">
        <f t="shared" si="244"/>
        <v>-6.2801865265501328E-2</v>
      </c>
      <c r="AO61" s="14">
        <f>+AO57-AO59-AO60</f>
        <v>-279.24219561599989</v>
      </c>
      <c r="AP61" s="43">
        <f t="shared" si="245"/>
        <v>-0.10479563291061894</v>
      </c>
      <c r="AQ61" s="14">
        <f>+AQ57-AQ59-AQ60</f>
        <v>6929.3242900000096</v>
      </c>
      <c r="AR61" s="43">
        <f t="shared" si="246"/>
        <v>4.2649982416079535E-2</v>
      </c>
      <c r="AS61" s="14">
        <f>+AS57-AS59-AS60</f>
        <v>75.143460000000175</v>
      </c>
      <c r="AT61" s="43">
        <f t="shared" si="247"/>
        <v>5.7362389315495886E-2</v>
      </c>
      <c r="AU61" s="14">
        <f>+AU57-AU59-AU60</f>
        <v>6086.2749415600119</v>
      </c>
      <c r="AV61" s="43">
        <f t="shared" si="248"/>
        <v>2.4081301798110973E-2</v>
      </c>
      <c r="AX61" s="4" t="s">
        <v>21</v>
      </c>
      <c r="AY61" s="14">
        <f>O65</f>
        <v>15278.333796936036</v>
      </c>
      <c r="AZ61" s="15">
        <f t="shared" si="175"/>
        <v>5.7184330888533919E-2</v>
      </c>
      <c r="BA61" s="14">
        <f t="shared" si="169"/>
        <v>20243.385603199986</v>
      </c>
      <c r="BB61" s="15">
        <f t="shared" si="170"/>
        <v>0.11134085145691595</v>
      </c>
      <c r="BC61" s="14">
        <f t="shared" si="171"/>
        <v>6086.2749415600119</v>
      </c>
      <c r="BD61" s="15">
        <f t="shared" si="172"/>
        <v>2.4081301798110973E-2</v>
      </c>
      <c r="BE61" s="14">
        <f>+AY61-BA61</f>
        <v>-4965.0518062639494</v>
      </c>
      <c r="BF61" s="16">
        <f t="shared" si="249"/>
        <v>-0.24526785704655529</v>
      </c>
      <c r="BG61" s="14">
        <f>AY61-BC61</f>
        <v>9192.0588553760244</v>
      </c>
      <c r="BH61" s="16">
        <f>IF(BC61=0, "N.D.",AY61/BC61-1)</f>
        <v>1.5102930681964803</v>
      </c>
    </row>
    <row r="62" spans="2:60" x14ac:dyDescent="0.35">
      <c r="B62" s="1"/>
      <c r="C62" s="30"/>
      <c r="D62" s="140"/>
      <c r="E62" s="30"/>
      <c r="F62" s="140"/>
      <c r="G62" s="30"/>
      <c r="H62" s="140"/>
      <c r="I62" s="30"/>
      <c r="J62" s="140"/>
      <c r="K62" s="30"/>
      <c r="L62" s="140"/>
      <c r="M62" s="30"/>
      <c r="N62" s="140"/>
      <c r="O62" s="30"/>
      <c r="P62" s="140"/>
      <c r="R62" s="4" t="s">
        <v>22</v>
      </c>
      <c r="S62" s="20"/>
      <c r="T62" s="45" t="str">
        <f t="shared" si="235"/>
        <v>N.D.</v>
      </c>
      <c r="U62" s="20">
        <f>+U49+U47</f>
        <v>0</v>
      </c>
      <c r="V62" s="45" t="str">
        <f t="shared" si="236"/>
        <v>N.D.</v>
      </c>
      <c r="W62" s="20">
        <f>+W49+W47</f>
        <v>-661.12848719999863</v>
      </c>
      <c r="X62" s="45">
        <f t="shared" si="237"/>
        <v>-2.3339933069677032E-2</v>
      </c>
      <c r="Y62" s="20">
        <f>+Y49+Y47</f>
        <v>1429.3877399999999</v>
      </c>
      <c r="Z62" s="45">
        <f t="shared" si="238"/>
        <v>0.68038507821901328</v>
      </c>
      <c r="AA62" s="20">
        <f>+AA49+AA47</f>
        <v>20211.642999999989</v>
      </c>
      <c r="AB62" s="45">
        <f t="shared" si="239"/>
        <v>0.14425042836253882</v>
      </c>
      <c r="AC62" s="20">
        <f>+AC49+AC47</f>
        <v>2884.5420000000004</v>
      </c>
      <c r="AD62" s="45">
        <f t="shared" si="240"/>
        <v>0.25588827199822012</v>
      </c>
      <c r="AE62" s="20">
        <f>+AE49+AE47</f>
        <v>23864.444252799989</v>
      </c>
      <c r="AF62" s="45">
        <f t="shared" si="241"/>
        <v>0.13125707303786349</v>
      </c>
      <c r="AH62" s="4" t="s">
        <v>22</v>
      </c>
      <c r="AI62" s="20"/>
      <c r="AJ62" s="45" t="str">
        <f t="shared" si="242"/>
        <v>N.D.</v>
      </c>
      <c r="AK62" s="20">
        <f>+AK49+AK47</f>
        <v>3442.3394900000021</v>
      </c>
      <c r="AL62" s="45">
        <f t="shared" si="243"/>
        <v>5.8293890391314121E-2</v>
      </c>
      <c r="AM62" s="20">
        <f>+AM49+AM47</f>
        <v>-1407.6665070480017</v>
      </c>
      <c r="AN62" s="45">
        <f t="shared" si="244"/>
        <v>-5.1670812347814656E-2</v>
      </c>
      <c r="AO62" s="20">
        <f>+AO49+AO47</f>
        <v>1023.7949490960002</v>
      </c>
      <c r="AP62" s="45">
        <f t="shared" si="245"/>
        <v>0.38421571433548363</v>
      </c>
      <c r="AQ62" s="20">
        <f>+AQ49+AQ47</f>
        <v>12368.267080000011</v>
      </c>
      <c r="AR62" s="45">
        <f t="shared" si="246"/>
        <v>7.6126668546981094E-2</v>
      </c>
      <c r="AS62" s="20">
        <f>+AS49+AS47</f>
        <v>-376.20746999999983</v>
      </c>
      <c r="AT62" s="45">
        <f t="shared" si="247"/>
        <v>-0.28718612847395741</v>
      </c>
      <c r="AU62" s="20">
        <f>+AU49+AU47</f>
        <v>15050.52754204801</v>
      </c>
      <c r="AV62" s="45">
        <f t="shared" si="248"/>
        <v>5.9549773784610051E-2</v>
      </c>
      <c r="AX62" s="4" t="s">
        <v>22</v>
      </c>
      <c r="AY62" s="14">
        <f>O66</f>
        <v>25381.555027128037</v>
      </c>
      <c r="AZ62" s="15">
        <f t="shared" si="175"/>
        <v>9.4999052935202583E-2</v>
      </c>
      <c r="BA62" s="14">
        <f t="shared" si="169"/>
        <v>23864.444252799989</v>
      </c>
      <c r="BB62" s="15">
        <f t="shared" si="170"/>
        <v>0.13125707303786349</v>
      </c>
      <c r="BC62" s="14">
        <f t="shared" si="171"/>
        <v>15050.52754204801</v>
      </c>
      <c r="BD62" s="15">
        <f t="shared" si="172"/>
        <v>5.9549773784610051E-2</v>
      </c>
      <c r="BE62" s="14">
        <f>+AY62-BA62</f>
        <v>1517.1107743280481</v>
      </c>
      <c r="BF62" s="16">
        <f t="shared" si="249"/>
        <v>6.3572013588795162E-2</v>
      </c>
      <c r="BG62" s="14">
        <f>AY62-BC62</f>
        <v>10331.027485080027</v>
      </c>
      <c r="BH62" s="16">
        <f>IF(BC62=0, "N.D.",AY62/BC62-1)</f>
        <v>0.68642294804732318</v>
      </c>
    </row>
    <row r="63" spans="2:60" x14ac:dyDescent="0.35">
      <c r="B63" s="7" t="s">
        <v>35</v>
      </c>
      <c r="C63" s="8"/>
      <c r="D63" s="141" t="str">
        <f t="shared" ref="D63:D71" si="250">IF(C$41=0,"N.D.",C63/C$41)</f>
        <v>N.D.</v>
      </c>
      <c r="E63" s="8">
        <f>TablasERxDiv!AA50</f>
        <v>1537.24566</v>
      </c>
      <c r="F63" s="141">
        <f t="shared" ref="F63:F71" si="251">IF(E$41=0,"N.D.",E63/E$41)</f>
        <v>2.8845306817567869E-2</v>
      </c>
      <c r="G63" s="8">
        <f>'mxn-dll'!N27</f>
        <v>0</v>
      </c>
      <c r="H63" s="141">
        <f t="shared" ref="H63" si="252">IF(G$41=0,"N.D.",G63/G$41)</f>
        <v>0</v>
      </c>
      <c r="I63" s="8">
        <f>'mxn-dll'!AC27</f>
        <v>0</v>
      </c>
      <c r="J63" s="141">
        <f t="shared" ref="J63" si="253">IF(I$41=0,"N.D.",I63/I$41)</f>
        <v>0</v>
      </c>
      <c r="K63" s="8">
        <f>TablasERxDiv!AT50</f>
        <v>4007.1881199999998</v>
      </c>
      <c r="L63" s="141">
        <f t="shared" ref="L63" si="254">IF(K$41=0,"N.D.",K63/K$41)</f>
        <v>2.3228017999694341E-2</v>
      </c>
      <c r="M63" s="8">
        <f>TablasERxDiv!BC50</f>
        <v>690.82499999999993</v>
      </c>
      <c r="N63" s="141">
        <f t="shared" ref="N63" si="255">IF(M$41=0,"N.D.",M63/M$41)</f>
        <v>9.3267640943960936E-2</v>
      </c>
      <c r="O63" s="8">
        <f>K63+E63+C63+M63+G63+I63</f>
        <v>6235.2587799999992</v>
      </c>
      <c r="P63" s="141">
        <f t="shared" ref="P63" si="256">IF(O$41=0,"N.D.",O63/O$41)</f>
        <v>2.3337564553188497E-2</v>
      </c>
    </row>
    <row r="64" spans="2:60" x14ac:dyDescent="0.35">
      <c r="B64" s="7" t="s">
        <v>20</v>
      </c>
      <c r="C64" s="11"/>
      <c r="D64" s="138" t="str">
        <f t="shared" si="250"/>
        <v>N.D.</v>
      </c>
      <c r="E64" s="11">
        <f>TablasERxDiv!AA51</f>
        <v>0</v>
      </c>
      <c r="F64" s="138">
        <f t="shared" si="251"/>
        <v>0</v>
      </c>
      <c r="G64" s="11">
        <f>'mxn-dll'!N28</f>
        <v>0</v>
      </c>
      <c r="H64" s="138">
        <f t="shared" ref="H64" si="257">IF(G$41=0,"N.D.",G64/G$41)</f>
        <v>0</v>
      </c>
      <c r="I64" s="11">
        <f>'mxn-dll'!AC28</f>
        <v>0</v>
      </c>
      <c r="J64" s="138">
        <f t="shared" ref="J64" si="258">IF(I$41=0,"N.D.",I64/I$41)</f>
        <v>0</v>
      </c>
      <c r="K64" s="11">
        <f>TablasERxDiv!AT51</f>
        <v>0</v>
      </c>
      <c r="L64" s="138">
        <f t="shared" ref="L64" si="259">IF(K$41=0,"N.D.",K64/K$41)</f>
        <v>0</v>
      </c>
      <c r="M64" s="11">
        <f>TablasERxDiv!BC51</f>
        <v>0</v>
      </c>
      <c r="N64" s="138">
        <f t="shared" ref="N64" si="260">IF(M$41=0,"N.D.",M64/M$41)</f>
        <v>0</v>
      </c>
      <c r="O64" s="11">
        <f>K64+E64+C64+M64+G64+I64</f>
        <v>0</v>
      </c>
      <c r="P64" s="138">
        <f t="shared" ref="P64" si="261">IF(O$41=0,"N.D.",O64/O$41)</f>
        <v>0</v>
      </c>
    </row>
    <row r="65" spans="2:48" x14ac:dyDescent="0.35">
      <c r="B65" s="4" t="s">
        <v>21</v>
      </c>
      <c r="C65" s="14"/>
      <c r="D65" s="139" t="str">
        <f t="shared" si="250"/>
        <v>N.D.</v>
      </c>
      <c r="E65" s="14">
        <f>E61-E63-E64</f>
        <v>4029.7208100000066</v>
      </c>
      <c r="F65" s="139">
        <f t="shared" si="251"/>
        <v>7.5614806519335567E-2</v>
      </c>
      <c r="G65" s="14">
        <f>G61-G63-G64</f>
        <v>2006.9659604159972</v>
      </c>
      <c r="H65" s="139">
        <f t="shared" ref="H65" si="262">IF(G$41=0,"N.D.",G65/G$41)</f>
        <v>6.2959976011578114E-2</v>
      </c>
      <c r="I65" s="14">
        <f>I61-I63-I64</f>
        <v>798.22027151999976</v>
      </c>
      <c r="J65" s="139">
        <f t="shared" ref="J65" si="263">IF(I$41=0,"N.D.",I65/I$41)</f>
        <v>0.38281530073980263</v>
      </c>
      <c r="K65" s="14">
        <f>K61-K63-K64</f>
        <v>5906.7249450000154</v>
      </c>
      <c r="L65" s="139">
        <f t="shared" ref="L65" si="264">IF(K$41=0,"N.D.",K65/K$41)</f>
        <v>3.4238850094640408E-2</v>
      </c>
      <c r="M65" s="14">
        <f>M61-M63-M64</f>
        <v>2537.7018100000009</v>
      </c>
      <c r="N65" s="139">
        <f t="shared" ref="N65" si="265">IF(M$41=0,"N.D.",M65/M$41)</f>
        <v>0.34261276189761503</v>
      </c>
      <c r="O65" s="14">
        <f>O61-O63-O64</f>
        <v>15278.333796936036</v>
      </c>
      <c r="P65" s="139">
        <f t="shared" ref="P65" si="266">IF(O$41=0,"N.D.",O65/O$41)</f>
        <v>5.7184330888533919E-2</v>
      </c>
    </row>
    <row r="66" spans="2:48" x14ac:dyDescent="0.35">
      <c r="B66" s="4" t="s">
        <v>22</v>
      </c>
      <c r="C66" s="20"/>
      <c r="D66" s="142" t="str">
        <f t="shared" si="250"/>
        <v>N.D.</v>
      </c>
      <c r="E66" s="20">
        <f>E53+E47</f>
        <v>7270.5300600000073</v>
      </c>
      <c r="F66" s="142">
        <f t="shared" si="251"/>
        <v>0.13642625623483651</v>
      </c>
      <c r="G66" s="20">
        <f>G53+G47</f>
        <v>2178.4403092319972</v>
      </c>
      <c r="H66" s="142">
        <f t="shared" ref="H66" si="267">IF(G$41=0,"N.D.",G66/G$41)</f>
        <v>6.8339250548859545E-2</v>
      </c>
      <c r="I66" s="20">
        <f>I53+I47</f>
        <v>1647.3457578959997</v>
      </c>
      <c r="J66" s="142">
        <f t="shared" ref="J66" si="268">IF(I$41=0,"N.D.",I66/I$41)</f>
        <v>0.79004403199448758</v>
      </c>
      <c r="K66" s="20">
        <f>K53+K47</f>
        <v>11384.313170000016</v>
      </c>
      <c r="L66" s="142">
        <f t="shared" ref="L66" si="269">IF(K$41=0,"N.D.",K66/K$41)</f>
        <v>6.5990171488858801E-2</v>
      </c>
      <c r="M66" s="20">
        <f>M53+M47</f>
        <v>2900.9257300000004</v>
      </c>
      <c r="N66" s="142">
        <f t="shared" ref="N66" si="270">IF(M$41=0,"N.D.",M66/M$41)</f>
        <v>0.39165128562333129</v>
      </c>
      <c r="O66" s="20">
        <f>O53+O47</f>
        <v>25381.555027128037</v>
      </c>
      <c r="P66" s="142">
        <f t="shared" ref="P66" si="271">IF(O$41=0,"N.D.",O66/O$41)</f>
        <v>9.4999052935202583E-2</v>
      </c>
    </row>
    <row r="67" spans="2:48" x14ac:dyDescent="0.35">
      <c r="B67" s="4" t="s">
        <v>36</v>
      </c>
      <c r="C67" s="20"/>
      <c r="D67" s="142" t="str">
        <f t="shared" si="250"/>
        <v>N.D.</v>
      </c>
      <c r="E67" s="20">
        <f>division!B16+E65+E47</f>
        <v>4940.2344400000065</v>
      </c>
      <c r="F67" s="142">
        <f t="shared" si="251"/>
        <v>9.2699938520246508E-2</v>
      </c>
      <c r="G67" s="20">
        <f>+G65+G55+G47</f>
        <v>2383.3836683279974</v>
      </c>
      <c r="H67" s="142">
        <f t="shared" ref="H67" si="272">IF(G$41=0,"N.D.",G67/G$41)</f>
        <v>7.4768472183361939E-2</v>
      </c>
      <c r="I67" s="20">
        <f>+I65+I55+I47</f>
        <v>1407.4788209039998</v>
      </c>
      <c r="J67" s="142">
        <f t="shared" ref="J67" si="273">IF(I$41=0,"N.D.",I67/I$41)</f>
        <v>0.67500719705258394</v>
      </c>
      <c r="K67" s="20">
        <f>+K65+K55+K47</f>
        <v>8603.2641350000158</v>
      </c>
      <c r="L67" s="142">
        <f t="shared" ref="L67" si="274">IF(K$41=0,"N.D.",K67/K$41)</f>
        <v>4.9869576421060345E-2</v>
      </c>
      <c r="M67" s="20">
        <f>+M65+M55+M47</f>
        <v>2586.8462400000008</v>
      </c>
      <c r="N67" s="142">
        <f t="shared" ref="N67" si="275">IF(M$41=0,"N.D.",M67/M$41)</f>
        <v>0.34924770569906344</v>
      </c>
      <c r="O67" s="20">
        <f>-intereses+E67+G67+I67+K67+M67</f>
        <v>19920.207304232019</v>
      </c>
      <c r="P67" s="142">
        <f t="shared" ref="P67" si="276">IF(O$41=0,"N.D.",O67/O$41)</f>
        <v>7.4558112225682441E-2</v>
      </c>
    </row>
    <row r="68" spans="2:48" x14ac:dyDescent="0.35">
      <c r="B68" s="7" t="s">
        <v>37</v>
      </c>
      <c r="C68" s="34"/>
      <c r="D68" s="298" t="str">
        <f t="shared" si="250"/>
        <v>N.D.</v>
      </c>
      <c r="E68" s="34">
        <f>division!B14</f>
        <v>0</v>
      </c>
      <c r="F68" s="298">
        <f t="shared" si="251"/>
        <v>0</v>
      </c>
      <c r="G68" s="34">
        <f>'mxn-dll'!N32</f>
        <v>0</v>
      </c>
      <c r="H68" s="298">
        <f t="shared" ref="H68" si="277">IF(G$41=0,"N.D.",G68/G$41)</f>
        <v>0</v>
      </c>
      <c r="I68" s="34">
        <f>'mxn-dll'!AC32</f>
        <v>0</v>
      </c>
      <c r="J68" s="298">
        <f t="shared" ref="J68" si="278">IF(I$41=0,"N.D.",I68/I$41)</f>
        <v>0</v>
      </c>
      <c r="K68" s="34">
        <f>division!E14</f>
        <v>0</v>
      </c>
      <c r="L68" s="298">
        <f t="shared" ref="L68" si="279">IF(K$41=0,"N.D.",K68/K$41)</f>
        <v>0</v>
      </c>
      <c r="M68" s="34">
        <f>division!F14</f>
        <v>0</v>
      </c>
      <c r="N68" s="298">
        <f t="shared" ref="N68" si="280">IF(M$41=0,"N.D.",M68/M$41)</f>
        <v>0</v>
      </c>
      <c r="O68" s="34">
        <f>+M68+K68+G68+E68+C68+AG50+I68+Q68</f>
        <v>0</v>
      </c>
      <c r="P68" s="298">
        <f t="shared" ref="P68" si="281">IF(O$41=0,"N.D.",O68/O$41)</f>
        <v>0</v>
      </c>
      <c r="Q68">
        <f>capital_acum - intereses_acum</f>
        <v>0</v>
      </c>
      <c r="R68" t="s">
        <v>414</v>
      </c>
    </row>
    <row r="69" spans="2:48" x14ac:dyDescent="0.35">
      <c r="B69" s="4" t="s">
        <v>38</v>
      </c>
      <c r="C69" s="20"/>
      <c r="D69" s="142" t="str">
        <f t="shared" si="250"/>
        <v>N.D.</v>
      </c>
      <c r="E69" s="20">
        <f>+E67-E68</f>
        <v>4940.2344400000065</v>
      </c>
      <c r="F69" s="142">
        <f t="shared" si="251"/>
        <v>9.2699938520246508E-2</v>
      </c>
      <c r="G69" s="20">
        <f>+G67-G68</f>
        <v>2383.3836683279974</v>
      </c>
      <c r="H69" s="142">
        <f t="shared" ref="H69" si="282">IF(G$41=0,"N.D.",G69/G$41)</f>
        <v>7.4768472183361939E-2</v>
      </c>
      <c r="I69" s="20">
        <f>+I67-I68</f>
        <v>1407.4788209039998</v>
      </c>
      <c r="J69" s="142">
        <f t="shared" ref="J69" si="283">IF(I$41=0,"N.D.",I69/I$41)</f>
        <v>0.67500719705258394</v>
      </c>
      <c r="K69" s="20">
        <f>+K67-K68</f>
        <v>8603.2641350000158</v>
      </c>
      <c r="L69" s="142">
        <f t="shared" ref="L69" si="284">IF(K$41=0,"N.D.",K69/K$41)</f>
        <v>4.9869576421060345E-2</v>
      </c>
      <c r="M69" s="20">
        <f>+M67-M68</f>
        <v>2586.8462400000008</v>
      </c>
      <c r="N69" s="142">
        <f t="shared" ref="N69" si="285">IF(M$41=0,"N.D.",M69/M$41)</f>
        <v>0.34924770569906344</v>
      </c>
      <c r="O69" s="20">
        <f>+O67-O68</f>
        <v>19920.207304232019</v>
      </c>
      <c r="P69" s="142">
        <f t="shared" ref="P69" si="286">IF(O$41=0,"N.D.",O69/O$41)</f>
        <v>7.4558112225682441E-2</v>
      </c>
    </row>
    <row r="70" spans="2:48" x14ac:dyDescent="0.35">
      <c r="B70" s="7" t="s">
        <v>39</v>
      </c>
      <c r="C70" s="34"/>
      <c r="D70" s="298" t="str">
        <f t="shared" si="250"/>
        <v>N.D.</v>
      </c>
      <c r="E70" s="34">
        <f>division!B15</f>
        <v>0</v>
      </c>
      <c r="F70" s="298">
        <f t="shared" si="251"/>
        <v>0</v>
      </c>
      <c r="G70" s="34">
        <f>'mxn-dll'!N34</f>
        <v>0</v>
      </c>
      <c r="H70" s="298">
        <f t="shared" ref="H70" si="287">IF(G$41=0,"N.D.",G70/G$41)</f>
        <v>0</v>
      </c>
      <c r="I70" s="34">
        <f>'mxn-dll'!AC34</f>
        <v>0</v>
      </c>
      <c r="J70" s="298">
        <f t="shared" ref="J70" si="288">IF(I$41=0,"N.D.",I70/I$41)</f>
        <v>0</v>
      </c>
      <c r="K70" s="34">
        <f>division!E15</f>
        <v>0</v>
      </c>
      <c r="L70" s="298">
        <f t="shared" ref="L70" si="289">IF(K$41=0,"N.D.",K70/K$41)</f>
        <v>0</v>
      </c>
      <c r="M70" s="34">
        <f>division!F15</f>
        <v>0</v>
      </c>
      <c r="N70" s="298">
        <f t="shared" ref="N70" si="290">IF(M$41=0,"N.D.",M70/M$41)</f>
        <v>0</v>
      </c>
      <c r="O70" s="34">
        <f>+G70+M70+C70+E70+K70+I70</f>
        <v>0</v>
      </c>
      <c r="P70" s="298">
        <f t="shared" ref="P70" si="291">IF(O$41=0,"N.D.",O70/O$41)</f>
        <v>0</v>
      </c>
    </row>
    <row r="71" spans="2:48" x14ac:dyDescent="0.35">
      <c r="B71" s="4" t="s">
        <v>40</v>
      </c>
      <c r="C71" s="20"/>
      <c r="D71" s="142" t="str">
        <f t="shared" si="250"/>
        <v>N.D.</v>
      </c>
      <c r="E71" s="20">
        <f>+E69-E70</f>
        <v>4940.2344400000065</v>
      </c>
      <c r="F71" s="142">
        <f t="shared" si="251"/>
        <v>9.2699938520246508E-2</v>
      </c>
      <c r="G71" s="20">
        <f>+G69-G70</f>
        <v>2383.3836683279974</v>
      </c>
      <c r="H71" s="142">
        <f t="shared" ref="H71" si="292">IF(G$41=0,"N.D.",G71/G$41)</f>
        <v>7.4768472183361939E-2</v>
      </c>
      <c r="I71" s="20">
        <f>+I69-I70</f>
        <v>1407.4788209039998</v>
      </c>
      <c r="J71" s="142">
        <f t="shared" ref="J71" si="293">IF(I$41=0,"N.D.",I71/I$41)</f>
        <v>0.67500719705258394</v>
      </c>
      <c r="K71" s="20">
        <f>+K69-K70</f>
        <v>8603.2641350000158</v>
      </c>
      <c r="L71" s="142">
        <f t="shared" ref="L71" si="294">IF(K$41=0,"N.D.",K71/K$41)</f>
        <v>4.9869576421060345E-2</v>
      </c>
      <c r="M71" s="20">
        <f>+M69-M70</f>
        <v>2586.8462400000008</v>
      </c>
      <c r="N71" s="142">
        <f t="shared" ref="N71" si="295">IF(M$41=0,"N.D.",M71/M$41)</f>
        <v>0.34924770569906344</v>
      </c>
      <c r="O71" s="20">
        <f>+O69-O70</f>
        <v>19920.207304232019</v>
      </c>
      <c r="P71" s="142">
        <f t="shared" ref="P71" si="296">IF(O$41=0,"N.D.",O71/O$41)</f>
        <v>7.4558112225682441E-2</v>
      </c>
    </row>
    <row r="72" spans="2:48" x14ac:dyDescent="0.35">
      <c r="B72" s="36">
        <v>0</v>
      </c>
      <c r="C72" s="37"/>
      <c r="D72" s="38"/>
      <c r="E72" s="37"/>
      <c r="F72" s="38"/>
      <c r="G72" s="37"/>
      <c r="H72" s="38"/>
      <c r="I72" s="37"/>
      <c r="J72" s="38"/>
      <c r="K72" s="37"/>
      <c r="L72" s="39"/>
      <c r="M72" s="37"/>
      <c r="N72" s="38"/>
      <c r="O72" s="37"/>
      <c r="P72" s="40"/>
    </row>
    <row r="75" spans="2:48" x14ac:dyDescent="0.35">
      <c r="B75" s="4" t="s">
        <v>109</v>
      </c>
      <c r="C75" s="7"/>
      <c r="D75" s="369" t="s">
        <v>368</v>
      </c>
      <c r="E75" s="372"/>
      <c r="F75" s="372"/>
      <c r="G75" s="372"/>
      <c r="H75" s="372"/>
      <c r="I75" s="372"/>
      <c r="J75" s="372"/>
      <c r="K75" s="372"/>
      <c r="L75" s="372"/>
      <c r="M75" s="372"/>
      <c r="N75" s="372"/>
      <c r="O75" s="372"/>
      <c r="P75" s="372"/>
      <c r="R75" s="26" t="s">
        <v>41</v>
      </c>
      <c r="S75" s="39"/>
      <c r="T75" s="39"/>
      <c r="U75" s="39"/>
      <c r="V75" s="39"/>
      <c r="W75" s="39"/>
      <c r="X75" s="7"/>
      <c r="Y75" s="39"/>
      <c r="Z75" s="7"/>
      <c r="AA75" s="38"/>
      <c r="AB75" s="39"/>
      <c r="AC75" s="39"/>
      <c r="AD75" s="39"/>
      <c r="AE75" s="41"/>
      <c r="AF75" s="40"/>
      <c r="AH75" s="26" t="s">
        <v>44</v>
      </c>
      <c r="AI75" s="25"/>
      <c r="AJ75" s="25"/>
      <c r="AK75" s="25"/>
      <c r="AL75" s="25"/>
      <c r="AM75" s="25"/>
      <c r="AN75" s="25"/>
      <c r="AO75" s="25"/>
      <c r="AP75" s="25"/>
      <c r="AQ75" s="25"/>
      <c r="AR75" s="25"/>
      <c r="AS75" s="25"/>
      <c r="AT75" s="25"/>
      <c r="AU75" s="25"/>
      <c r="AV75" s="25"/>
    </row>
    <row r="76" spans="2:48" x14ac:dyDescent="0.35">
      <c r="B76" s="26"/>
      <c r="C76" s="2" t="s">
        <v>25</v>
      </c>
      <c r="D76" s="27"/>
      <c r="E76" s="2" t="s">
        <v>26</v>
      </c>
      <c r="F76" s="27"/>
      <c r="G76" s="2" t="s">
        <v>27</v>
      </c>
      <c r="H76" s="27"/>
      <c r="I76" s="2" t="s">
        <v>28</v>
      </c>
      <c r="J76" s="27"/>
      <c r="K76" s="28" t="s">
        <v>29</v>
      </c>
      <c r="L76" s="27"/>
      <c r="M76" s="2" t="s">
        <v>108</v>
      </c>
      <c r="N76" s="27"/>
      <c r="O76" s="2" t="s">
        <v>31</v>
      </c>
      <c r="P76" s="1"/>
      <c r="Q76" s="25"/>
      <c r="R76" s="25"/>
      <c r="S76" s="2" t="s">
        <v>25</v>
      </c>
      <c r="T76" s="27"/>
      <c r="U76" s="2" t="s">
        <v>26</v>
      </c>
      <c r="V76" s="27"/>
      <c r="W76" s="2" t="s">
        <v>27</v>
      </c>
      <c r="X76" s="27"/>
      <c r="Y76" s="2" t="s">
        <v>28</v>
      </c>
      <c r="Z76" s="27"/>
      <c r="AA76" s="28" t="s">
        <v>29</v>
      </c>
      <c r="AB76" s="27"/>
      <c r="AC76" s="2" t="s">
        <v>30</v>
      </c>
      <c r="AD76" s="27"/>
      <c r="AE76" s="2" t="s">
        <v>31</v>
      </c>
      <c r="AF76" s="1"/>
      <c r="AH76" s="25"/>
      <c r="AI76" s="2" t="s">
        <v>25</v>
      </c>
      <c r="AJ76" s="27"/>
      <c r="AK76" s="2" t="s">
        <v>26</v>
      </c>
      <c r="AL76" s="27"/>
      <c r="AM76" s="2" t="s">
        <v>27</v>
      </c>
      <c r="AN76" s="27"/>
      <c r="AO76" s="2" t="s">
        <v>28</v>
      </c>
      <c r="AP76" s="27"/>
      <c r="AQ76" s="28" t="s">
        <v>29</v>
      </c>
      <c r="AR76" s="27"/>
      <c r="AS76" s="2" t="s">
        <v>30</v>
      </c>
      <c r="AT76" s="27"/>
      <c r="AU76" s="2" t="s">
        <v>31</v>
      </c>
      <c r="AV76" s="1"/>
    </row>
    <row r="77" spans="2:48" x14ac:dyDescent="0.35">
      <c r="B77" s="7" t="s">
        <v>5</v>
      </c>
      <c r="C77" s="8"/>
      <c r="D77" s="29" t="str">
        <f>IF(C$77=0,"N.D.",C77/C$77)</f>
        <v>N.D.</v>
      </c>
      <c r="E77" s="8">
        <f>E4/TC_MES</f>
        <v>2635.0197653376058</v>
      </c>
      <c r="F77" s="137">
        <f t="shared" ref="F77:F79" si="297">IF(E$77=0,"N.D.",E77/E$77)</f>
        <v>1</v>
      </c>
      <c r="G77" s="8">
        <f>G4/TC_MES</f>
        <v>1576.1270300000001</v>
      </c>
      <c r="H77" s="137">
        <f t="shared" ref="H77:H79" si="298">IF(G$77=0,"N.D.",G77/G$77)</f>
        <v>1</v>
      </c>
      <c r="I77" s="8">
        <f>I4/TC_MES</f>
        <v>103.09775999999999</v>
      </c>
      <c r="J77" s="137">
        <f t="shared" ref="J77:J85" si="299">IF(I$77=0,"N.D.",I77/I$77)</f>
        <v>1</v>
      </c>
      <c r="K77" s="8">
        <f>K4/TC_MES</f>
        <v>8529.8882517997718</v>
      </c>
      <c r="L77" s="137">
        <f t="shared" ref="L77:L79" si="300">IF(K$77=0,"N.D.",K77/K$77)</f>
        <v>1</v>
      </c>
      <c r="M77" s="8">
        <f>M4/TC_MES</f>
        <v>366.22907321704054</v>
      </c>
      <c r="N77" s="137">
        <f t="shared" ref="N77:N79" si="301">IF(M$77=0,"N.D.",M77/M$77)</f>
        <v>1</v>
      </c>
      <c r="O77" s="8">
        <f>O4/TC_MES</f>
        <v>13210.361880354418</v>
      </c>
      <c r="P77" s="137">
        <f t="shared" ref="P77:P79" si="302">IF(O$77=0,"N.D.",O77/O$77)</f>
        <v>1</v>
      </c>
      <c r="Q77" s="25"/>
      <c r="R77" s="7" t="s">
        <v>5</v>
      </c>
      <c r="S77" s="8"/>
      <c r="T77" s="29"/>
      <c r="U77" s="8"/>
      <c r="V77" s="29"/>
      <c r="W77" s="8">
        <f>(BDER!K466+BDER!K489+BDER!K556+BDER!K601)/1000</f>
        <v>1400.5609999999999</v>
      </c>
      <c r="X77" s="29">
        <f>IF(W$77=0,"N.D.",W77/W$77)</f>
        <v>1</v>
      </c>
      <c r="Y77" s="8">
        <f>(BDER!K512+BDER!K534+BDER!K579+BDER!K624+BDER!K646)/1000</f>
        <v>103.875</v>
      </c>
      <c r="Z77" s="29">
        <f>IF(Y$77=0,"N.D.",Y77/Y$77)</f>
        <v>1</v>
      </c>
      <c r="AA77" s="8"/>
      <c r="AB77" s="29"/>
      <c r="AC77" s="8"/>
      <c r="AD77" s="29"/>
      <c r="AE77" s="8">
        <f>+AA77+U77+S77+AC77+W77+Y77</f>
        <v>1504.4359999999999</v>
      </c>
      <c r="AF77" s="29">
        <f t="shared" ref="AF77:AF79" si="303">IF(AE$4=0,"N.D.",AE77/AE$4)</f>
        <v>8.2745637753379713E-3</v>
      </c>
      <c r="AH77" s="7" t="s">
        <v>5</v>
      </c>
      <c r="AI77" s="8"/>
      <c r="AJ77" s="29"/>
      <c r="AK77" s="8"/>
      <c r="AL77" s="29"/>
      <c r="AM77" s="8">
        <f>(BDER!G466+BDER!G489+BDER!G556+BDER!G601)/1000</f>
        <v>1347.0082399999999</v>
      </c>
      <c r="AN77" s="29">
        <f>IF(AM$77=0,"N.D.",AM77/AM$77)</f>
        <v>1</v>
      </c>
      <c r="AO77" s="8">
        <f>(BDER!G512+BDER!G534+BDER!G579+BDER!G624+BDER!G646)/1000</f>
        <v>131.75091</v>
      </c>
      <c r="AP77" s="29">
        <f>IF(AO$77=0,"N.D.",AO77/AO$77)</f>
        <v>1</v>
      </c>
      <c r="AQ77" s="8"/>
      <c r="AR77" s="29"/>
      <c r="AS77" s="8"/>
      <c r="AT77" s="29"/>
      <c r="AU77" s="8">
        <f>+AQ77+AK77+AI77+AS77+AM77+AO77</f>
        <v>1478.7591499999999</v>
      </c>
      <c r="AV77" s="29">
        <f t="shared" ref="AV77:AV79" si="304">IF(AU$4=0,"N.D.",AU77/AU$4)</f>
        <v>5.8509426077193467E-3</v>
      </c>
    </row>
    <row r="78" spans="2:48" x14ac:dyDescent="0.35">
      <c r="B78" s="7" t="s">
        <v>6</v>
      </c>
      <c r="C78" s="34"/>
      <c r="D78" s="189" t="str">
        <f t="shared" ref="D78:D79" si="305">IF(C$77=0,"N.D.",C78/C$77)</f>
        <v>N.D.</v>
      </c>
      <c r="E78" s="11">
        <f>E5/TC_MES</f>
        <v>1352.8539946006886</v>
      </c>
      <c r="F78" s="138">
        <f t="shared" si="297"/>
        <v>0.51341322459771277</v>
      </c>
      <c r="G78" s="11">
        <f>G5/TC_MES</f>
        <v>473.08704999999998</v>
      </c>
      <c r="H78" s="138">
        <f t="shared" si="298"/>
        <v>0.30015794475652124</v>
      </c>
      <c r="I78" s="11">
        <f>I5/TC_MES</f>
        <v>0</v>
      </c>
      <c r="J78" s="138">
        <f t="shared" si="299"/>
        <v>0</v>
      </c>
      <c r="K78" s="11">
        <f>K5/TC_MES</f>
        <v>6524.2247745342356</v>
      </c>
      <c r="L78" s="138">
        <f t="shared" si="300"/>
        <v>0.76486638299835297</v>
      </c>
      <c r="M78" s="11">
        <f>M5/TC_MES</f>
        <v>191.6524232625292</v>
      </c>
      <c r="N78" s="138">
        <f t="shared" si="301"/>
        <v>0.52331296797113935</v>
      </c>
      <c r="O78" s="11">
        <f>O5/TC_MES</f>
        <v>8541.8182423974522</v>
      </c>
      <c r="P78" s="138">
        <f t="shared" si="302"/>
        <v>0.64659986757064414</v>
      </c>
      <c r="Q78" s="25"/>
      <c r="R78" s="7" t="s">
        <v>6</v>
      </c>
      <c r="S78" s="8"/>
      <c r="T78" s="42"/>
      <c r="U78" s="8"/>
      <c r="V78" s="42"/>
      <c r="W78" s="8">
        <f>(BDER!K467+BDER!K490+BDER!K557+BDER!K602)/1000</f>
        <v>438.02</v>
      </c>
      <c r="X78" s="42">
        <f t="shared" ref="X78:X79" si="306">IF(W$77=0,"N.D.",W78/W$77)</f>
        <v>0.31274610673865688</v>
      </c>
      <c r="Y78" s="8">
        <f>(BDER!K513+BDER!K535+BDER!K580+BDER!K625+BDER!K647)/1000</f>
        <v>0</v>
      </c>
      <c r="Z78" s="42">
        <f t="shared" ref="Z78:Z79" si="307">IF(Y$77=0,"N.D.",Y78/Y$77)</f>
        <v>0</v>
      </c>
      <c r="AA78" s="8"/>
      <c r="AB78" s="42"/>
      <c r="AC78" s="8"/>
      <c r="AD78" s="42"/>
      <c r="AE78" s="11">
        <f>+AA78+U78+S78+AC78+W78+Y78</f>
        <v>438.02</v>
      </c>
      <c r="AF78" s="42">
        <f t="shared" si="303"/>
        <v>2.4091582658707566E-3</v>
      </c>
      <c r="AH78" s="7" t="s">
        <v>6</v>
      </c>
      <c r="AI78" s="8"/>
      <c r="AJ78" s="42"/>
      <c r="AK78" s="8"/>
      <c r="AL78" s="42"/>
      <c r="AM78" s="8">
        <f>(BDER!G467+BDER!G490+BDER!G557+BDER!G602)/1000</f>
        <v>441.73607000000004</v>
      </c>
      <c r="AN78" s="42">
        <f t="shared" ref="AN78:AN79" si="308">IF(AM$77=0,"N.D.",AM78/AM$77)</f>
        <v>0.32793865462916549</v>
      </c>
      <c r="AO78" s="8">
        <f>(BDER!G513+BDER!G535+BDER!G580+BDER!G625+BDER!G647)/1000</f>
        <v>0</v>
      </c>
      <c r="AP78" s="42">
        <f t="shared" ref="AP78:AP79" si="309">IF(AO$77=0,"N.D.",AO78/AO$77)</f>
        <v>0</v>
      </c>
      <c r="AQ78" s="8"/>
      <c r="AR78" s="42"/>
      <c r="AS78" s="8"/>
      <c r="AT78" s="42"/>
      <c r="AU78" s="11">
        <f>+AQ78+AK78+AI78+AS78+AM78+AO78</f>
        <v>441.73607000000004</v>
      </c>
      <c r="AV78" s="42">
        <f t="shared" si="304"/>
        <v>1.747798073357312E-3</v>
      </c>
    </row>
    <row r="79" spans="2:48" x14ac:dyDescent="0.35">
      <c r="B79" s="4" t="s">
        <v>7</v>
      </c>
      <c r="C79" s="20"/>
      <c r="D79" s="139" t="str">
        <f t="shared" si="305"/>
        <v>N.D.</v>
      </c>
      <c r="E79" s="14">
        <f>E6/TC_MES</f>
        <v>1282.1657707369175</v>
      </c>
      <c r="F79" s="139">
        <f t="shared" si="297"/>
        <v>0.48658677540228734</v>
      </c>
      <c r="G79" s="14">
        <f>G6/TC_MES</f>
        <v>1103.03998</v>
      </c>
      <c r="H79" s="139">
        <f t="shared" si="298"/>
        <v>0.69984205524347864</v>
      </c>
      <c r="I79" s="14">
        <f>I6/TC_MES</f>
        <v>103.09775999999999</v>
      </c>
      <c r="J79" s="139">
        <f t="shared" si="299"/>
        <v>1</v>
      </c>
      <c r="K79" s="14">
        <f>K6/TC_MES</f>
        <v>2005.6634772655364</v>
      </c>
      <c r="L79" s="139">
        <f t="shared" si="300"/>
        <v>0.23513361700164706</v>
      </c>
      <c r="M79" s="14">
        <f>M6/TC_MES</f>
        <v>174.57664995451134</v>
      </c>
      <c r="N79" s="139">
        <f t="shared" si="301"/>
        <v>0.47668703202886059</v>
      </c>
      <c r="O79" s="14">
        <f>O6/TC_MES</f>
        <v>4668.5436379569655</v>
      </c>
      <c r="P79" s="139">
        <f t="shared" si="302"/>
        <v>0.35340013242935586</v>
      </c>
      <c r="Q79" s="25"/>
      <c r="R79" s="4" t="s">
        <v>7</v>
      </c>
      <c r="S79" s="14"/>
      <c r="T79" s="43"/>
      <c r="U79" s="14"/>
      <c r="V79" s="43"/>
      <c r="W79" s="14">
        <f>W77-W78</f>
        <v>962.54099999999994</v>
      </c>
      <c r="X79" s="43">
        <f t="shared" si="306"/>
        <v>0.68725389326134312</v>
      </c>
      <c r="Y79" s="14">
        <f>Y77-Y78</f>
        <v>103.875</v>
      </c>
      <c r="Z79" s="43">
        <f t="shared" si="307"/>
        <v>1</v>
      </c>
      <c r="AA79" s="14"/>
      <c r="AB79" s="43"/>
      <c r="AC79" s="14"/>
      <c r="AD79" s="43"/>
      <c r="AE79" s="14">
        <f>AE77-AE78</f>
        <v>1066.4159999999999</v>
      </c>
      <c r="AF79" s="43">
        <f t="shared" si="303"/>
        <v>5.8654055094672138E-3</v>
      </c>
      <c r="AH79" s="4" t="s">
        <v>7</v>
      </c>
      <c r="AI79" s="14"/>
      <c r="AJ79" s="43"/>
      <c r="AK79" s="14"/>
      <c r="AL79" s="43"/>
      <c r="AM79" s="14">
        <f>+AM77-AM78</f>
        <v>905.27216999999985</v>
      </c>
      <c r="AN79" s="43">
        <f t="shared" si="308"/>
        <v>0.67206134537083451</v>
      </c>
      <c r="AO79" s="14">
        <f>+AO77-AO78</f>
        <v>131.75091</v>
      </c>
      <c r="AP79" s="43">
        <f t="shared" si="309"/>
        <v>1</v>
      </c>
      <c r="AQ79" s="14"/>
      <c r="AR79" s="43"/>
      <c r="AS79" s="14"/>
      <c r="AT79" s="43"/>
      <c r="AU79" s="14">
        <f>+AQ79+AK79+AI79+AS79+AM79+AO79</f>
        <v>1037.0230799999999</v>
      </c>
      <c r="AV79" s="43">
        <f t="shared" si="304"/>
        <v>4.1031445343620351E-3</v>
      </c>
    </row>
    <row r="80" spans="2:48" x14ac:dyDescent="0.35">
      <c r="B80" s="1"/>
      <c r="C80" s="30"/>
      <c r="D80" s="140"/>
      <c r="E80" s="30"/>
      <c r="F80" s="140"/>
      <c r="G80" s="30"/>
      <c r="H80" s="140"/>
      <c r="I80" s="30"/>
      <c r="J80" s="140"/>
      <c r="K80" s="30"/>
      <c r="L80" s="140"/>
      <c r="M80" s="30"/>
      <c r="N80" s="140"/>
      <c r="O80" s="30"/>
      <c r="P80" s="140"/>
      <c r="Q80" s="25"/>
      <c r="R80" s="1"/>
      <c r="S80" s="30"/>
      <c r="T80" s="44"/>
      <c r="U80" s="30"/>
      <c r="V80" s="44"/>
      <c r="W80" s="30"/>
      <c r="X80" s="44"/>
      <c r="Y80" s="30"/>
      <c r="Z80" s="44"/>
      <c r="AA80" s="30"/>
      <c r="AB80" s="44"/>
      <c r="AC80" s="30"/>
      <c r="AD80" s="44"/>
      <c r="AE80" s="30"/>
      <c r="AF80" s="44"/>
      <c r="AH80" s="1"/>
      <c r="AI80" s="30"/>
      <c r="AJ80" s="44"/>
      <c r="AK80" s="30"/>
      <c r="AL80" s="44"/>
      <c r="AM80" s="30"/>
      <c r="AN80" s="44"/>
      <c r="AO80" s="30"/>
      <c r="AP80" s="44"/>
      <c r="AQ80" s="30"/>
      <c r="AR80" s="44"/>
      <c r="AS80" s="30"/>
      <c r="AT80" s="44"/>
      <c r="AU80" s="30"/>
      <c r="AV80" s="44"/>
    </row>
    <row r="81" spans="2:48" x14ac:dyDescent="0.35">
      <c r="B81" s="7" t="s">
        <v>8</v>
      </c>
      <c r="C81" s="8"/>
      <c r="D81" s="141" t="str">
        <f t="shared" ref="D81:D85" si="310">IF(C$77=0,"N.D.",C81/C$77)</f>
        <v>N.D.</v>
      </c>
      <c r="E81" s="8">
        <f>E8/TC_MES</f>
        <v>635.63713856255686</v>
      </c>
      <c r="F81" s="141">
        <f t="shared" ref="F81:F85" si="311">IF(E$77=0,"N.D.",E81/E$77)</f>
        <v>0.24122670612344244</v>
      </c>
      <c r="G81" s="8">
        <f>G8/TC_MES</f>
        <v>960.94997000000012</v>
      </c>
      <c r="H81" s="141">
        <f t="shared" ref="H81:H85" si="312">IF(G$77=0,"N.D.",G81/G$77)</f>
        <v>0.60969068590873676</v>
      </c>
      <c r="I81" s="8">
        <f>I8/TC_MES</f>
        <v>21.622600000000002</v>
      </c>
      <c r="J81" s="141">
        <f t="shared" si="299"/>
        <v>0.20972909595708</v>
      </c>
      <c r="K81" s="8">
        <f>K8/TC_MES</f>
        <v>1054.7699079842571</v>
      </c>
      <c r="L81" s="141">
        <f t="shared" ref="L81:L85" si="313">IF(K$77=0,"N.D.",K81/K$77)</f>
        <v>0.12365577096062248</v>
      </c>
      <c r="M81" s="8">
        <f>M8/TC_MES</f>
        <v>2.3917170997982677</v>
      </c>
      <c r="N81" s="141">
        <f t="shared" ref="N81:N85" si="314">IF(M$77=0,"N.D.",M81/M$77)</f>
        <v>6.5306587453280917E-3</v>
      </c>
      <c r="O81" s="8">
        <f>O8/TC_MES</f>
        <v>2675.3713336466121</v>
      </c>
      <c r="P81" s="141">
        <f t="shared" ref="P81:P85" si="315">IF(O$77=0,"N.D.",O81/O$77)</f>
        <v>0.20252066959840431</v>
      </c>
      <c r="Q81" s="25"/>
      <c r="R81" s="7" t="s">
        <v>8</v>
      </c>
      <c r="S81" s="8"/>
      <c r="T81" s="29"/>
      <c r="U81" s="8"/>
      <c r="V81" s="29"/>
      <c r="W81" s="8">
        <f>(BDER!K470+BDER!K493+BDER!K560+BDER!K605)/1000</f>
        <v>933.46400000000006</v>
      </c>
      <c r="X81" s="29">
        <f t="shared" ref="X81:X85" si="316">IF(W$77=0,"N.D.",W81/W$77)</f>
        <v>0.6664929267629186</v>
      </c>
      <c r="Y81" s="8">
        <f>(BDER!K515+BDER!K537+BDER!K582+BDER!K627+BDER!K649)/1000</f>
        <v>33.200000000000003</v>
      </c>
      <c r="Z81" s="29">
        <f t="shared" ref="Z81:Z83" si="317">IF(Y$77=0,"N.D.",Y81/Y$77)</f>
        <v>0.31961492178098677</v>
      </c>
      <c r="AA81" s="8"/>
      <c r="AB81" s="29"/>
      <c r="AC81" s="8"/>
      <c r="AD81" s="29"/>
      <c r="AE81" s="8">
        <f>+AA81+U81+S81+AC81+W81+Y81</f>
        <v>966.6640000000001</v>
      </c>
      <c r="AF81" s="29">
        <f t="shared" ref="AF81:AF85" si="318">IF(AE$4=0,"N.D.",AE81/AE$4)</f>
        <v>5.3167585176925472E-3</v>
      </c>
      <c r="AH81" s="7" t="s">
        <v>8</v>
      </c>
      <c r="AI81" s="8"/>
      <c r="AJ81" s="29"/>
      <c r="AK81" s="8"/>
      <c r="AL81" s="29"/>
      <c r="AM81" s="8">
        <f>(BDER!G470+BDER!G493+BDER!G560+BDER!G605)/1000</f>
        <v>917.8534800000001</v>
      </c>
      <c r="AN81" s="29">
        <f t="shared" ref="AN81:AN85" si="319">IF(AM$77=0,"N.D.",AM81/AM$77)</f>
        <v>0.68140153322298913</v>
      </c>
      <c r="AO81" s="8">
        <f>(BDER!G515+BDER!G537+BDER!G582+BDER!G627+BDER!G649)/1000</f>
        <v>81.070549999999997</v>
      </c>
      <c r="AP81" s="29">
        <f t="shared" ref="AP81:AP85" si="320">IF(AO$77=0,"N.D.",AO81/AO$77)</f>
        <v>0.61533199277333261</v>
      </c>
      <c r="AQ81" s="8"/>
      <c r="AR81" s="29"/>
      <c r="AS81" s="8"/>
      <c r="AT81" s="29"/>
      <c r="AU81" s="8">
        <f>+AQ81+AK81+AI81+AS81+AM81+AO81</f>
        <v>998.92403000000013</v>
      </c>
      <c r="AV81" s="29">
        <f t="shared" ref="AV81:AV85" si="321">IF(AU$4=0,"N.D.",AU81/AU$4)</f>
        <v>3.9523996649499819E-3</v>
      </c>
    </row>
    <row r="82" spans="2:48" x14ac:dyDescent="0.35">
      <c r="B82" s="7" t="s">
        <v>9</v>
      </c>
      <c r="C82" s="11"/>
      <c r="D82" s="138" t="str">
        <f t="shared" si="310"/>
        <v>N.D.</v>
      </c>
      <c r="E82" s="11">
        <f>E9/TC_MES+E14/TC_MES+E15/TC_MES</f>
        <v>287.04275048455361</v>
      </c>
      <c r="F82" s="138">
        <f t="shared" si="311"/>
        <v>0.10893381304400838</v>
      </c>
      <c r="G82" s="11">
        <f>G9/TC_MES+G14/TC_MES+G15/TC_MES</f>
        <v>34.37867</v>
      </c>
      <c r="H82" s="138">
        <f t="shared" si="312"/>
        <v>2.1812118785882378E-2</v>
      </c>
      <c r="I82" s="11">
        <f>I9/TC_MES+I14/TC_MES+I15/TC_MES</f>
        <v>2.3390000000000001E-2</v>
      </c>
      <c r="J82" s="138">
        <f t="shared" si="299"/>
        <v>2.2687204843247809E-4</v>
      </c>
      <c r="K82" s="11">
        <f>K9/TC_MES+K14/TC_MES+K15/TC_MES</f>
        <v>388.0047807642103</v>
      </c>
      <c r="L82" s="138">
        <f t="shared" si="313"/>
        <v>4.5487674552165777E-2</v>
      </c>
      <c r="M82" s="11">
        <f>M9/TC_MES+M14/TC_MES+M15/TC_MES</f>
        <v>28.750845496618016</v>
      </c>
      <c r="N82" s="138">
        <f t="shared" si="314"/>
        <v>7.8505087660201214E-2</v>
      </c>
      <c r="O82" s="11">
        <f>O9/TC_MES+O14/TC_MES+O15/TC_MES</f>
        <v>738.20043674538204</v>
      </c>
      <c r="P82" s="138">
        <f t="shared" si="315"/>
        <v>5.5880409895748974E-2</v>
      </c>
      <c r="Q82" s="25"/>
      <c r="R82" s="7" t="s">
        <v>9</v>
      </c>
      <c r="S82" s="8"/>
      <c r="T82" s="42"/>
      <c r="U82" s="8"/>
      <c r="V82" s="42"/>
      <c r="W82" s="8">
        <f>(BDER!K471+BDER!K494+BDER!K561+BDER!K606)/1000</f>
        <v>61.765999999999998</v>
      </c>
      <c r="X82" s="42">
        <f t="shared" si="316"/>
        <v>4.4100899568101641E-2</v>
      </c>
      <c r="Y82" s="8">
        <f>(BDER!K516+BDER!K538+BDER!K583+BDER!K628+BDER!K650)/1000</f>
        <v>0</v>
      </c>
      <c r="Z82" s="42">
        <f t="shared" si="317"/>
        <v>0</v>
      </c>
      <c r="AA82" s="8"/>
      <c r="AB82" s="42"/>
      <c r="AC82" s="8"/>
      <c r="AD82" s="42"/>
      <c r="AE82" s="11">
        <f>+AA82+U82+S82+AC82+W82+Y82</f>
        <v>61.765999999999998</v>
      </c>
      <c r="AF82" s="42">
        <f t="shared" si="318"/>
        <v>3.3971980605856618E-4</v>
      </c>
      <c r="AH82" s="7" t="s">
        <v>9</v>
      </c>
      <c r="AI82" s="8"/>
      <c r="AJ82" s="42"/>
      <c r="AK82" s="8"/>
      <c r="AL82" s="42"/>
      <c r="AM82" s="8">
        <f>(BDER!G471+BDER!G494+BDER!G561+BDER!G606)/1000</f>
        <v>57.019700000000007</v>
      </c>
      <c r="AN82" s="42">
        <f t="shared" si="319"/>
        <v>4.2330624495660107E-2</v>
      </c>
      <c r="AO82" s="8">
        <f>(BDER!G516+BDER!G538+BDER!G583+BDER!G628+BDER!G650)/1000</f>
        <v>5.9590000000000004E-2</v>
      </c>
      <c r="AP82" s="42">
        <f t="shared" si="320"/>
        <v>4.522928911838256E-4</v>
      </c>
      <c r="AQ82" s="8"/>
      <c r="AR82" s="42"/>
      <c r="AS82" s="8"/>
      <c r="AT82" s="42"/>
      <c r="AU82" s="11">
        <f>+AQ82+AK82+AI82+AS82+AM82+AO82</f>
        <v>57.079290000000007</v>
      </c>
      <c r="AV82" s="42">
        <f t="shared" si="321"/>
        <v>2.2584316714413494E-4</v>
      </c>
    </row>
    <row r="83" spans="2:48" x14ac:dyDescent="0.35">
      <c r="B83" s="7" t="s">
        <v>10</v>
      </c>
      <c r="C83" s="11"/>
      <c r="D83" s="138" t="str">
        <f t="shared" si="310"/>
        <v>N.D.</v>
      </c>
      <c r="E83" s="11">
        <f>E10/TC_MES</f>
        <v>45.019660515802386</v>
      </c>
      <c r="F83" s="138">
        <f t="shared" si="311"/>
        <v>1.7085132000910948E-2</v>
      </c>
      <c r="G83" s="11">
        <f>G10/TC_MES</f>
        <v>18.611690000000003</v>
      </c>
      <c r="H83" s="138">
        <f t="shared" si="312"/>
        <v>1.180849617178382E-2</v>
      </c>
      <c r="I83" s="11">
        <f>I10/TC_MES</f>
        <v>30.12433</v>
      </c>
      <c r="J83" s="138">
        <f t="shared" si="299"/>
        <v>0.2921918963127812</v>
      </c>
      <c r="K83" s="11">
        <f>K10/TC_MES</f>
        <v>96.011033978086331</v>
      </c>
      <c r="L83" s="138">
        <f t="shared" si="313"/>
        <v>1.1255837256464455E-2</v>
      </c>
      <c r="M83" s="11">
        <f>M10/TC_MES</f>
        <v>1.5785278469997233</v>
      </c>
      <c r="N83" s="138">
        <f t="shared" si="314"/>
        <v>4.3102199209188148E-3</v>
      </c>
      <c r="O83" s="11">
        <f>O10/TC_MES</f>
        <v>191.34524234088843</v>
      </c>
      <c r="P83" s="138">
        <f t="shared" si="315"/>
        <v>1.4484481505797696E-2</v>
      </c>
      <c r="Q83" s="25"/>
      <c r="R83" s="7" t="s">
        <v>10</v>
      </c>
      <c r="S83" s="8"/>
      <c r="T83" s="42"/>
      <c r="U83" s="8"/>
      <c r="V83" s="42"/>
      <c r="W83" s="8">
        <f>(BDER!K472+BDER!K495+BDER!K562+BDER!K607)/1000</f>
        <v>13.294</v>
      </c>
      <c r="X83" s="42">
        <f t="shared" si="316"/>
        <v>9.4919107414814501E-3</v>
      </c>
      <c r="Y83" s="8">
        <f>(BDER!K517+BDER!K539+BDER!K584+BDER!K629+BDER!K651)/1000</f>
        <v>13.698</v>
      </c>
      <c r="Z83" s="42">
        <f t="shared" si="317"/>
        <v>0.13187003610108303</v>
      </c>
      <c r="AA83" s="8"/>
      <c r="AB83" s="42"/>
      <c r="AC83" s="8"/>
      <c r="AD83" s="42"/>
      <c r="AE83" s="11">
        <f>+AA83+U83+S83+AC83+W83+Y83</f>
        <v>26.992000000000001</v>
      </c>
      <c r="AF83" s="42">
        <f t="shared" si="318"/>
        <v>1.4845897427602273E-4</v>
      </c>
      <c r="AH83" s="7" t="s">
        <v>10</v>
      </c>
      <c r="AI83" s="8"/>
      <c r="AJ83" s="42"/>
      <c r="AK83" s="8"/>
      <c r="AL83" s="42"/>
      <c r="AM83" s="8">
        <f>(BDER!G472+BDER!G495+BDER!G562+BDER!G607)/1000</f>
        <v>15.527719999999999</v>
      </c>
      <c r="AN83" s="42">
        <f t="shared" si="319"/>
        <v>1.1527561256789342E-2</v>
      </c>
      <c r="AO83" s="8">
        <f>(BDER!G517+BDER!G539+BDER!G584+BDER!G629+BDER!G651)/1000</f>
        <v>21.002410000000001</v>
      </c>
      <c r="AP83" s="42">
        <f t="shared" si="320"/>
        <v>0.15940998054586492</v>
      </c>
      <c r="AQ83" s="8"/>
      <c r="AR83" s="42"/>
      <c r="AS83" s="8"/>
      <c r="AT83" s="42"/>
      <c r="AU83" s="11">
        <f>+AQ83+AK83+AI83+AS83+AM83+AO83</f>
        <v>36.53013</v>
      </c>
      <c r="AV83" s="42">
        <f t="shared" si="321"/>
        <v>1.4453719125425311E-4</v>
      </c>
    </row>
    <row r="84" spans="2:48" x14ac:dyDescent="0.35">
      <c r="B84" s="4" t="s">
        <v>11</v>
      </c>
      <c r="C84" s="14"/>
      <c r="D84" s="139" t="str">
        <f t="shared" si="310"/>
        <v>N.D.</v>
      </c>
      <c r="E84" s="14">
        <f>E11/TC_MES</f>
        <v>967.69954956291292</v>
      </c>
      <c r="F84" s="139">
        <f t="shared" si="311"/>
        <v>0.36724565116836178</v>
      </c>
      <c r="G84" s="14">
        <f>G11/TC_MES</f>
        <v>1013.9403300000002</v>
      </c>
      <c r="H84" s="139">
        <f t="shared" si="312"/>
        <v>0.64331130086640298</v>
      </c>
      <c r="I84" s="14">
        <f>I11/TC_MES</f>
        <v>51.770320000000005</v>
      </c>
      <c r="J84" s="139">
        <f t="shared" si="299"/>
        <v>0.50214786431829372</v>
      </c>
      <c r="K84" s="14">
        <f>K11/TC_MES</f>
        <v>1538.7857227265538</v>
      </c>
      <c r="L84" s="139">
        <f t="shared" si="313"/>
        <v>0.18039928276925271</v>
      </c>
      <c r="M84" s="14">
        <f>M11/TC_MES</f>
        <v>32.721090443416003</v>
      </c>
      <c r="N84" s="139">
        <f t="shared" si="314"/>
        <v>8.9345966326448104E-2</v>
      </c>
      <c r="O84" s="14">
        <f>O11/TC_MES</f>
        <v>3604.9170127328825</v>
      </c>
      <c r="P84" s="139">
        <f t="shared" si="315"/>
        <v>0.27288556099995098</v>
      </c>
      <c r="Q84" s="25"/>
      <c r="R84" s="4" t="s">
        <v>11</v>
      </c>
      <c r="S84" s="14"/>
      <c r="T84" s="43"/>
      <c r="U84" s="14"/>
      <c r="V84" s="43"/>
      <c r="W84" s="14">
        <f>SUM(W81:W83)</f>
        <v>1008.524</v>
      </c>
      <c r="X84" s="43">
        <f t="shared" si="316"/>
        <v>0.72008573707250167</v>
      </c>
      <c r="Y84" s="14">
        <f>SUM(Y81:Y83)</f>
        <v>46.898000000000003</v>
      </c>
      <c r="Z84" s="43">
        <f>IF(Y$77=0,"N.D.",Y84/Y$77)</f>
        <v>0.45148495788206983</v>
      </c>
      <c r="AA84" s="14"/>
      <c r="AB84" s="43"/>
      <c r="AC84" s="14"/>
      <c r="AD84" s="43"/>
      <c r="AE84" s="14">
        <f>SUM(AE81:AE83)</f>
        <v>1055.422</v>
      </c>
      <c r="AF84" s="43">
        <f t="shared" si="318"/>
        <v>5.8049372980271356E-3</v>
      </c>
      <c r="AH84" s="4" t="s">
        <v>11</v>
      </c>
      <c r="AI84" s="14"/>
      <c r="AJ84" s="43"/>
      <c r="AK84" s="14"/>
      <c r="AL84" s="43"/>
      <c r="AM84" s="14">
        <f>SUM(AM81:AM83)</f>
        <v>990.40090000000021</v>
      </c>
      <c r="AN84" s="43">
        <f t="shared" si="319"/>
        <v>0.73525971897543874</v>
      </c>
      <c r="AO84" s="14">
        <f>SUM(AO81:AO83)</f>
        <v>102.13254999999999</v>
      </c>
      <c r="AP84" s="43">
        <f t="shared" si="320"/>
        <v>0.77519426621038134</v>
      </c>
      <c r="AQ84" s="14"/>
      <c r="AR84" s="43"/>
      <c r="AS84" s="14"/>
      <c r="AT84" s="43"/>
      <c r="AU84" s="14">
        <f>SUM(AU81:AU83)</f>
        <v>1092.5334500000001</v>
      </c>
      <c r="AV84" s="43">
        <f t="shared" si="321"/>
        <v>4.3227800233483701E-3</v>
      </c>
    </row>
    <row r="85" spans="2:48" x14ac:dyDescent="0.35">
      <c r="B85" s="4" t="s">
        <v>12</v>
      </c>
      <c r="C85" s="20"/>
      <c r="D85" s="142" t="str">
        <f t="shared" si="310"/>
        <v>N.D.</v>
      </c>
      <c r="E85" s="20">
        <f>E16/TC_MES</f>
        <v>314.46622117400454</v>
      </c>
      <c r="F85" s="142">
        <f t="shared" si="311"/>
        <v>0.11934112423392554</v>
      </c>
      <c r="G85" s="20">
        <f>G16/TC_MES</f>
        <v>89.099649999999869</v>
      </c>
      <c r="H85" s="142">
        <f t="shared" si="312"/>
        <v>5.6530754377075727E-2</v>
      </c>
      <c r="I85" s="20">
        <f>I16/TC_MES</f>
        <v>51.327439999999982</v>
      </c>
      <c r="J85" s="142">
        <f t="shared" si="299"/>
        <v>0.49785213568170622</v>
      </c>
      <c r="K85" s="20">
        <f>K16/TC_MES</f>
        <v>466.87775453898263</v>
      </c>
      <c r="L85" s="142">
        <f t="shared" si="313"/>
        <v>5.4734334232394349E-2</v>
      </c>
      <c r="M85" s="20">
        <f>M16/TC_MES</f>
        <v>141.85555951109532</v>
      </c>
      <c r="N85" s="142">
        <f t="shared" si="314"/>
        <v>0.38734106570241245</v>
      </c>
      <c r="O85" s="20">
        <f>O16/TC_MES</f>
        <v>1063.6266252240832</v>
      </c>
      <c r="P85" s="142">
        <f t="shared" si="315"/>
        <v>8.0514571429404894E-2</v>
      </c>
      <c r="Q85" s="25"/>
      <c r="R85" s="4" t="s">
        <v>12</v>
      </c>
      <c r="S85" s="20"/>
      <c r="T85" s="45"/>
      <c r="U85" s="20"/>
      <c r="V85" s="45"/>
      <c r="W85" s="20">
        <f>W79-W84</f>
        <v>-45.983000000000061</v>
      </c>
      <c r="X85" s="45">
        <f t="shared" si="316"/>
        <v>-3.2831843811158577E-2</v>
      </c>
      <c r="Y85" s="20">
        <f>Y79-Y84</f>
        <v>56.976999999999997</v>
      </c>
      <c r="Z85" s="45">
        <f>IF(Y$77=0,"N.D.",Y85/Y$77)</f>
        <v>0.54851504211793012</v>
      </c>
      <c r="AA85" s="20"/>
      <c r="AB85" s="45"/>
      <c r="AC85" s="20"/>
      <c r="AD85" s="45"/>
      <c r="AE85" s="20">
        <f>AE79-AE84</f>
        <v>10.993999999999915</v>
      </c>
      <c r="AF85" s="45">
        <f t="shared" si="318"/>
        <v>6.046821144007784E-5</v>
      </c>
      <c r="AH85" s="4" t="s">
        <v>12</v>
      </c>
      <c r="AI85" s="20"/>
      <c r="AJ85" s="45"/>
      <c r="AK85" s="20"/>
      <c r="AL85" s="45"/>
      <c r="AM85" s="20">
        <f>+AM79-AM84</f>
        <v>-85.12873000000036</v>
      </c>
      <c r="AN85" s="45">
        <f t="shared" si="319"/>
        <v>-6.3198373604604202E-2</v>
      </c>
      <c r="AO85" s="20">
        <f>+AO79-AO84</f>
        <v>29.61836000000001</v>
      </c>
      <c r="AP85" s="45">
        <f t="shared" si="320"/>
        <v>0.22480573378961868</v>
      </c>
      <c r="AQ85" s="20"/>
      <c r="AR85" s="45"/>
      <c r="AS85" s="20"/>
      <c r="AT85" s="45"/>
      <c r="AU85" s="20">
        <f>+AU79-AU84</f>
        <v>-55.510370000000194</v>
      </c>
      <c r="AV85" s="45">
        <f t="shared" si="321"/>
        <v>-2.1963548898633491E-4</v>
      </c>
    </row>
    <row r="86" spans="2:48" x14ac:dyDescent="0.35">
      <c r="B86" s="1"/>
      <c r="C86" s="30"/>
      <c r="D86" s="140"/>
      <c r="E86" s="30"/>
      <c r="F86" s="140"/>
      <c r="G86" s="30"/>
      <c r="H86" s="140"/>
      <c r="I86" s="30"/>
      <c r="J86" s="140"/>
      <c r="K86" s="30"/>
      <c r="L86" s="140"/>
      <c r="M86" s="30"/>
      <c r="N86" s="140"/>
      <c r="O86" s="30"/>
      <c r="P86" s="140"/>
      <c r="Q86" s="25"/>
      <c r="R86" s="1"/>
      <c r="S86" s="30"/>
      <c r="T86" s="44"/>
      <c r="U86" s="30"/>
      <c r="V86" s="44"/>
      <c r="W86" s="30"/>
      <c r="X86" s="44"/>
      <c r="Y86" s="30"/>
      <c r="Z86" s="44"/>
      <c r="AA86" s="30"/>
      <c r="AB86" s="44"/>
      <c r="AC86" s="30"/>
      <c r="AD86" s="44"/>
      <c r="AE86" s="30"/>
      <c r="AF86" s="44"/>
      <c r="AH86" s="1"/>
      <c r="AI86" s="30"/>
      <c r="AJ86" s="44"/>
      <c r="AK86" s="30"/>
      <c r="AL86" s="44"/>
      <c r="AM86" s="30"/>
      <c r="AN86" s="44"/>
      <c r="AO86" s="30"/>
      <c r="AP86" s="44"/>
      <c r="AQ86" s="30"/>
      <c r="AR86" s="44"/>
      <c r="AS86" s="30"/>
      <c r="AT86" s="44"/>
      <c r="AU86" s="30"/>
      <c r="AV86" s="44"/>
    </row>
    <row r="87" spans="2:48" x14ac:dyDescent="0.35">
      <c r="B87" s="7" t="s">
        <v>13</v>
      </c>
      <c r="C87" s="8"/>
      <c r="D87" s="141" t="str">
        <f t="shared" ref="D87:D93" si="322">IF(C$77=0,"N.D.",C87/C$77)</f>
        <v>N.D.</v>
      </c>
      <c r="E87" s="8">
        <f t="shared" ref="E87:E93" si="323">E18/TC_MES</f>
        <v>8.2237713104703136</v>
      </c>
      <c r="F87" s="141">
        <f t="shared" ref="F87:F93" si="324">IF(E$77=0,"N.D.",E87/E$77)</f>
        <v>3.1209524188964338E-3</v>
      </c>
      <c r="G87" s="8">
        <f t="shared" ref="G87:G93" si="325">G18/TC_MES</f>
        <v>0</v>
      </c>
      <c r="H87" s="141">
        <f t="shared" ref="H87:H93" si="326">IF(G$77=0,"N.D.",G87/G$77)</f>
        <v>0</v>
      </c>
      <c r="I87" s="8">
        <f t="shared" ref="I87:I93" si="327">I18/TC_MES</f>
        <v>0</v>
      </c>
      <c r="J87" s="141">
        <f t="shared" ref="J87:J93" si="328">IF(I$77=0,"N.D.",I87/I$77)</f>
        <v>0</v>
      </c>
      <c r="K87" s="8">
        <f t="shared" ref="K87:K93" si="329">K18/TC_MES</f>
        <v>37.317314880740483</v>
      </c>
      <c r="L87" s="141">
        <f t="shared" ref="L87:L93" si="330">IF(K$77=0,"N.D.",K87/K$77)</f>
        <v>4.3748890699554805E-3</v>
      </c>
      <c r="M87" s="8">
        <f t="shared" ref="M87:M93" si="331">M18/TC_MES</f>
        <v>0.85138147225188887</v>
      </c>
      <c r="N87" s="141">
        <f t="shared" ref="N87:N93" si="332">IF(M$77=0,"N.D.",M87/M$77)</f>
        <v>2.3247238805296313E-3</v>
      </c>
      <c r="O87" s="8">
        <f t="shared" ref="O87:O93" si="333">O18/TC_MES</f>
        <v>46.392467663462689</v>
      </c>
      <c r="P87" s="141">
        <f t="shared" ref="P87:P93" si="334">IF(O$77=0,"N.D.",O87/O$77)</f>
        <v>3.5118241334822567E-3</v>
      </c>
      <c r="Q87" s="25"/>
      <c r="R87" s="7" t="s">
        <v>13</v>
      </c>
      <c r="S87" s="8"/>
      <c r="T87" s="29"/>
      <c r="U87" s="8"/>
      <c r="V87" s="29"/>
      <c r="W87" s="8">
        <f>(BDER!K475+BDER!K498+BDER!K565+BDER!K610)/1000</f>
        <v>0</v>
      </c>
      <c r="X87" s="29">
        <f t="shared" ref="X87:X93" si="335">IF(W$77=0,"N.D.",W87/W$77)</f>
        <v>0</v>
      </c>
      <c r="Y87" s="8">
        <f>(BDER!K520+BDER!K542+BDER!K587+BDER!K632+BDER!K654)/1000</f>
        <v>0</v>
      </c>
      <c r="Z87" s="29">
        <f t="shared" ref="Z87:Z93" si="336">IF(Y$77=0,"N.D.",Y87/Y$77)</f>
        <v>0</v>
      </c>
      <c r="AA87" s="8"/>
      <c r="AB87" s="29"/>
      <c r="AC87" s="8"/>
      <c r="AD87" s="29"/>
      <c r="AE87" s="8">
        <f>+AA87+U87+S87+AC87+W87+Y87</f>
        <v>0</v>
      </c>
      <c r="AF87" s="29">
        <f t="shared" ref="AF87:AF93" si="337">IF(AE$4=0,"N.D.",AE87/AE$4)</f>
        <v>0</v>
      </c>
      <c r="AH87" s="7" t="s">
        <v>13</v>
      </c>
      <c r="AI87" s="8"/>
      <c r="AJ87" s="29"/>
      <c r="AK87" s="8"/>
      <c r="AL87" s="29"/>
      <c r="AM87" s="8">
        <f>(BDER!G475+BDER!G498+BDER!G565+BDER!G610)/1000</f>
        <v>0</v>
      </c>
      <c r="AN87" s="29">
        <f t="shared" ref="AN87:AN93" si="338">IF(AM$77=0,"N.D.",AM87/AM$77)</f>
        <v>0</v>
      </c>
      <c r="AO87" s="8">
        <f>(BDER!G520+BDER!G542+BDER!G587+BDER!G632+BDER!G654)/1000</f>
        <v>0</v>
      </c>
      <c r="AP87" s="29">
        <f t="shared" ref="AP87:AP93" si="339">IF(AO$77=0,"N.D.",AO87/AO$77)</f>
        <v>0</v>
      </c>
      <c r="AQ87" s="8"/>
      <c r="AR87" s="29"/>
      <c r="AS87" s="8"/>
      <c r="AT87" s="29"/>
      <c r="AU87" s="8">
        <f>+AQ87+AK87+AI87+AS87+AM87+AO87</f>
        <v>0</v>
      </c>
      <c r="AV87" s="29">
        <f>IF(AU$4=0,"N.D.",AU87/AU$4)</f>
        <v>0</v>
      </c>
    </row>
    <row r="88" spans="2:48" x14ac:dyDescent="0.35">
      <c r="B88" s="7" t="s">
        <v>14</v>
      </c>
      <c r="C88" s="11"/>
      <c r="D88" s="138" t="str">
        <f t="shared" si="322"/>
        <v>N.D.</v>
      </c>
      <c r="E88" s="11">
        <f t="shared" si="323"/>
        <v>-12.39684347929275</v>
      </c>
      <c r="F88" s="138">
        <f t="shared" si="324"/>
        <v>-4.7046491424342059E-3</v>
      </c>
      <c r="G88" s="11">
        <f t="shared" si="325"/>
        <v>-10.13327</v>
      </c>
      <c r="H88" s="138">
        <f t="shared" si="326"/>
        <v>-6.4292216345023913E-3</v>
      </c>
      <c r="I88" s="11">
        <f t="shared" si="327"/>
        <v>0</v>
      </c>
      <c r="J88" s="138">
        <f t="shared" si="328"/>
        <v>0</v>
      </c>
      <c r="K88" s="11">
        <f t="shared" si="329"/>
        <v>-67.535274020015038</v>
      </c>
      <c r="L88" s="138">
        <f t="shared" si="330"/>
        <v>-7.9174863757172156E-3</v>
      </c>
      <c r="M88" s="11">
        <f t="shared" si="331"/>
        <v>-0.40918031327874688</v>
      </c>
      <c r="N88" s="138">
        <f t="shared" si="332"/>
        <v>-1.1172797115324919E-3</v>
      </c>
      <c r="O88" s="11">
        <f t="shared" si="333"/>
        <v>-90.474567812586542</v>
      </c>
      <c r="P88" s="138">
        <f t="shared" si="334"/>
        <v>-6.8487577124692074E-3</v>
      </c>
      <c r="Q88" s="25"/>
      <c r="R88" s="7" t="s">
        <v>14</v>
      </c>
      <c r="S88" s="8"/>
      <c r="T88" s="42"/>
      <c r="U88" s="8"/>
      <c r="V88" s="42"/>
      <c r="W88" s="8">
        <f>(BDER!K476+BDER!K499+BDER!K566+BDER!K611)/1000</f>
        <v>-10.44</v>
      </c>
      <c r="X88" s="42">
        <f t="shared" si="335"/>
        <v>-7.4541558703976477E-3</v>
      </c>
      <c r="Y88" s="8">
        <f>(BDER!K521+BDER!K543+BDER!K588+BDER!K633+BDER!K655)/1000</f>
        <v>0</v>
      </c>
      <c r="Z88" s="42">
        <f t="shared" si="336"/>
        <v>0</v>
      </c>
      <c r="AA88" s="8"/>
      <c r="AB88" s="42"/>
      <c r="AC88" s="8"/>
      <c r="AD88" s="42"/>
      <c r="AE88" s="11">
        <f>+AA88+U88+S88+AC88+W88+Y88</f>
        <v>-10.44</v>
      </c>
      <c r="AF88" s="42">
        <f t="shared" si="337"/>
        <v>-5.7421150394253005E-5</v>
      </c>
      <c r="AH88" s="7" t="s">
        <v>14</v>
      </c>
      <c r="AI88" s="8"/>
      <c r="AJ88" s="42"/>
      <c r="AK88" s="8"/>
      <c r="AL88" s="42"/>
      <c r="AM88" s="8">
        <f>(BDER!G476+BDER!G499+BDER!G566+BDER!G611)/1000</f>
        <v>-9.0666000000000011</v>
      </c>
      <c r="AN88" s="42">
        <f t="shared" si="338"/>
        <v>-6.7309165087215813E-3</v>
      </c>
      <c r="AO88" s="8">
        <f>(BDER!G521+BDER!G543+BDER!G588+BDER!G633+BDER!G655)/1000</f>
        <v>3.14161</v>
      </c>
      <c r="AP88" s="42">
        <f t="shared" si="339"/>
        <v>2.3845072493237428E-2</v>
      </c>
      <c r="AQ88" s="8"/>
      <c r="AR88" s="42"/>
      <c r="AS88" s="8"/>
      <c r="AT88" s="42"/>
      <c r="AU88" s="11">
        <f>+AQ88+AK88+AI88+AS88+AM88+AO88</f>
        <v>-5.9249900000000011</v>
      </c>
      <c r="AV88" s="42">
        <f t="shared" ref="AV88:AV93" si="340">IF(AU$4=0,"N.D.",AU88/AU$4)</f>
        <v>-2.3443152619756276E-5</v>
      </c>
    </row>
    <row r="89" spans="2:48" x14ac:dyDescent="0.35">
      <c r="B89" s="7" t="s">
        <v>15</v>
      </c>
      <c r="C89" s="11"/>
      <c r="D89" s="138" t="str">
        <f t="shared" si="322"/>
        <v>N.D.</v>
      </c>
      <c r="E89" s="11">
        <f t="shared" si="323"/>
        <v>44.953336003322661</v>
      </c>
      <c r="F89" s="138">
        <f t="shared" si="324"/>
        <v>1.7059961596744652E-2</v>
      </c>
      <c r="G89" s="11">
        <f t="shared" si="325"/>
        <v>0</v>
      </c>
      <c r="H89" s="138">
        <f t="shared" si="326"/>
        <v>0</v>
      </c>
      <c r="I89" s="11">
        <f t="shared" si="327"/>
        <v>11.86004</v>
      </c>
      <c r="J89" s="138">
        <f t="shared" si="328"/>
        <v>0.11503683494190368</v>
      </c>
      <c r="K89" s="11">
        <f t="shared" si="329"/>
        <v>10.126931292274831</v>
      </c>
      <c r="L89" s="138">
        <f t="shared" si="330"/>
        <v>1.1872290695177736E-3</v>
      </c>
      <c r="M89" s="11">
        <f t="shared" si="331"/>
        <v>0.21219047901586172</v>
      </c>
      <c r="N89" s="138">
        <f t="shared" si="332"/>
        <v>5.7939277499716689E-4</v>
      </c>
      <c r="O89" s="11">
        <f t="shared" si="333"/>
        <v>67.201942021280814</v>
      </c>
      <c r="P89" s="138">
        <f t="shared" si="334"/>
        <v>5.0870629154542036E-3</v>
      </c>
      <c r="Q89" s="25"/>
      <c r="R89" s="7" t="s">
        <v>15</v>
      </c>
      <c r="S89" s="8"/>
      <c r="T89" s="42"/>
      <c r="U89" s="8"/>
      <c r="V89" s="42"/>
      <c r="W89" s="8">
        <f>(BDER!K477+BDER!K500+BDER!K567+BDER!K612)/1000</f>
        <v>0</v>
      </c>
      <c r="X89" s="42">
        <f t="shared" si="335"/>
        <v>0</v>
      </c>
      <c r="Y89" s="8">
        <f>(BDER!K522+BDER!K544+BDER!K589+BDER!K634+BDER!K656)/1000</f>
        <v>8.6999999999999993</v>
      </c>
      <c r="Z89" s="42">
        <f t="shared" si="336"/>
        <v>8.3754512635379058E-2</v>
      </c>
      <c r="AA89" s="8"/>
      <c r="AB89" s="42"/>
      <c r="AC89" s="8"/>
      <c r="AD89" s="42"/>
      <c r="AE89" s="11">
        <f>+AA89+U89+S89+AC89+W89+Y89</f>
        <v>8.6999999999999993</v>
      </c>
      <c r="AF89" s="42">
        <f t="shared" si="337"/>
        <v>4.78509586618775E-5</v>
      </c>
      <c r="AH89" s="7" t="s">
        <v>15</v>
      </c>
      <c r="AI89" s="8"/>
      <c r="AJ89" s="42"/>
      <c r="AK89" s="8"/>
      <c r="AL89" s="42"/>
      <c r="AM89" s="8">
        <f>(BDER!G477+BDER!G500+BDER!G567+BDER!G612)/1000</f>
        <v>8.5325000000000006</v>
      </c>
      <c r="AN89" s="42">
        <f t="shared" si="338"/>
        <v>6.3344081696189184E-3</v>
      </c>
      <c r="AO89" s="8">
        <f>(BDER!G522+BDER!G544+BDER!G589+BDER!G634+BDER!G656)/1000</f>
        <v>40.283670000000008</v>
      </c>
      <c r="AP89" s="42">
        <f t="shared" si="339"/>
        <v>0.30575629420700023</v>
      </c>
      <c r="AQ89" s="8"/>
      <c r="AR89" s="42"/>
      <c r="AS89" s="8"/>
      <c r="AT89" s="42"/>
      <c r="AU89" s="11">
        <f>+AQ89+AK89+AI89+AS89+AM89+AO89</f>
        <v>48.816170000000007</v>
      </c>
      <c r="AV89" s="42">
        <f t="shared" si="340"/>
        <v>1.9314883630554104E-4</v>
      </c>
    </row>
    <row r="90" spans="2:48" x14ac:dyDescent="0.35">
      <c r="B90" s="7" t="s">
        <v>16</v>
      </c>
      <c r="C90" s="11"/>
      <c r="D90" s="138" t="str">
        <f t="shared" si="322"/>
        <v>N.D.</v>
      </c>
      <c r="E90" s="11">
        <f t="shared" si="323"/>
        <v>1.5685059926426961</v>
      </c>
      <c r="F90" s="138">
        <f t="shared" si="324"/>
        <v>5.9525397618478016E-4</v>
      </c>
      <c r="G90" s="11">
        <f t="shared" si="325"/>
        <v>0</v>
      </c>
      <c r="H90" s="138">
        <f t="shared" si="326"/>
        <v>0</v>
      </c>
      <c r="I90" s="11">
        <f t="shared" si="327"/>
        <v>0</v>
      </c>
      <c r="J90" s="138">
        <f t="shared" si="328"/>
        <v>0</v>
      </c>
      <c r="K90" s="11">
        <f t="shared" si="329"/>
        <v>3.2171806396107758</v>
      </c>
      <c r="L90" s="138">
        <f t="shared" si="330"/>
        <v>3.7716562569644024E-4</v>
      </c>
      <c r="M90" s="11">
        <f t="shared" si="331"/>
        <v>18.430908093034297</v>
      </c>
      <c r="N90" s="138">
        <f t="shared" si="332"/>
        <v>5.0326174083157725E-2</v>
      </c>
      <c r="O90" s="11">
        <f t="shared" si="333"/>
        <v>23.21659472528777</v>
      </c>
      <c r="P90" s="138">
        <f t="shared" si="334"/>
        <v>1.7574533487847873E-3</v>
      </c>
      <c r="Q90" s="25"/>
      <c r="R90" s="7" t="s">
        <v>16</v>
      </c>
      <c r="S90" s="8"/>
      <c r="T90" s="42"/>
      <c r="U90" s="8"/>
      <c r="V90" s="42"/>
      <c r="W90" s="8">
        <f>(BDER!K478+BDER!K501+BDER!K568+BDER!K613)/1000</f>
        <v>0</v>
      </c>
      <c r="X90" s="42">
        <f t="shared" si="335"/>
        <v>0</v>
      </c>
      <c r="Y90" s="8">
        <f>(BDER!K523+BDER!K545+BDER!K590+BDER!K635+BDER!K657)/1000</f>
        <v>0</v>
      </c>
      <c r="Z90" s="42">
        <f t="shared" si="336"/>
        <v>0</v>
      </c>
      <c r="AA90" s="8"/>
      <c r="AB90" s="42"/>
      <c r="AC90" s="8"/>
      <c r="AD90" s="42"/>
      <c r="AE90" s="11">
        <f>+AA90+U90+S90+AC90+W90+Y90</f>
        <v>0</v>
      </c>
      <c r="AF90" s="42">
        <f t="shared" si="337"/>
        <v>0</v>
      </c>
      <c r="AH90" s="7" t="s">
        <v>16</v>
      </c>
      <c r="AI90" s="8"/>
      <c r="AJ90" s="42"/>
      <c r="AK90" s="8"/>
      <c r="AL90" s="42"/>
      <c r="AM90" s="8">
        <f>(BDER!G478+BDER!G501+BDER!G568+BDER!G613)/1000</f>
        <v>0</v>
      </c>
      <c r="AN90" s="42">
        <f t="shared" si="338"/>
        <v>0</v>
      </c>
      <c r="AO90" s="8">
        <f>(BDER!G523+BDER!G545+BDER!G590+BDER!G635+BDER!G657)/1000</f>
        <v>0</v>
      </c>
      <c r="AP90" s="42">
        <f t="shared" si="339"/>
        <v>0</v>
      </c>
      <c r="AQ90" s="8"/>
      <c r="AR90" s="42"/>
      <c r="AS90" s="8"/>
      <c r="AT90" s="42"/>
      <c r="AU90" s="11">
        <f>+AQ90+AK90+AI90+AS90+AM90+AO90</f>
        <v>0</v>
      </c>
      <c r="AV90" s="42">
        <f t="shared" si="340"/>
        <v>0</v>
      </c>
    </row>
    <row r="91" spans="2:48" x14ac:dyDescent="0.35">
      <c r="B91" s="7"/>
      <c r="C91" s="11"/>
      <c r="D91" s="138" t="str">
        <f t="shared" si="322"/>
        <v>N.D.</v>
      </c>
      <c r="E91" s="11">
        <f t="shared" si="323"/>
        <v>0</v>
      </c>
      <c r="F91" s="138">
        <f t="shared" si="324"/>
        <v>0</v>
      </c>
      <c r="G91" s="11">
        <f t="shared" si="325"/>
        <v>0</v>
      </c>
      <c r="H91" s="138">
        <f t="shared" si="326"/>
        <v>0</v>
      </c>
      <c r="I91" s="11">
        <f t="shared" si="327"/>
        <v>0</v>
      </c>
      <c r="J91" s="138">
        <f t="shared" si="328"/>
        <v>0</v>
      </c>
      <c r="K91" s="11">
        <f t="shared" si="329"/>
        <v>0</v>
      </c>
      <c r="L91" s="138">
        <f t="shared" si="330"/>
        <v>0</v>
      </c>
      <c r="M91" s="11">
        <f t="shared" si="331"/>
        <v>0</v>
      </c>
      <c r="N91" s="138">
        <f t="shared" si="332"/>
        <v>0</v>
      </c>
      <c r="O91" s="11">
        <f t="shared" si="333"/>
        <v>0</v>
      </c>
      <c r="P91" s="138">
        <f t="shared" si="334"/>
        <v>0</v>
      </c>
      <c r="Q91" s="25"/>
      <c r="R91" s="7"/>
      <c r="S91" s="8"/>
      <c r="T91" s="42"/>
      <c r="U91" s="8"/>
      <c r="V91" s="42"/>
      <c r="W91" s="8">
        <f>(BDER!K479+BDER!K502+BDER!K569+BDER!K614)/1000</f>
        <v>0</v>
      </c>
      <c r="X91" s="42">
        <f t="shared" si="335"/>
        <v>0</v>
      </c>
      <c r="Y91" s="8">
        <f>(BDER!K524+BDER!K546+BDER!K591+BDER!K636+BDER!K658)/1000</f>
        <v>0</v>
      </c>
      <c r="Z91" s="42">
        <f t="shared" si="336"/>
        <v>0</v>
      </c>
      <c r="AA91" s="8"/>
      <c r="AB91" s="42"/>
      <c r="AC91" s="8"/>
      <c r="AD91" s="42"/>
      <c r="AE91" s="11">
        <f>+AA91+U91+S91+AC91+W91+Y91</f>
        <v>0</v>
      </c>
      <c r="AF91" s="42">
        <f t="shared" si="337"/>
        <v>0</v>
      </c>
      <c r="AH91" s="7"/>
      <c r="AI91" s="8"/>
      <c r="AJ91" s="42"/>
      <c r="AK91" s="8"/>
      <c r="AL91" s="42"/>
      <c r="AM91" s="8">
        <f>(BDER!G479+BDER!G502+BDER!G569+BDER!G614)/1000</f>
        <v>0</v>
      </c>
      <c r="AN91" s="42">
        <f t="shared" si="338"/>
        <v>0</v>
      </c>
      <c r="AO91" s="8">
        <f>(BDER!G524+BDER!G546+BDER!G591+BDER!G636+BDER!G658)/1000</f>
        <v>0</v>
      </c>
      <c r="AP91" s="42">
        <f t="shared" si="339"/>
        <v>0</v>
      </c>
      <c r="AQ91" s="8"/>
      <c r="AR91" s="42"/>
      <c r="AS91" s="8"/>
      <c r="AT91" s="42"/>
      <c r="AU91" s="11">
        <f>+AQ91+AK91+AI91+AS91+AM91+AO91</f>
        <v>0</v>
      </c>
      <c r="AV91" s="42">
        <f t="shared" si="340"/>
        <v>0</v>
      </c>
    </row>
    <row r="92" spans="2:48" x14ac:dyDescent="0.35">
      <c r="B92" s="4" t="s">
        <v>17</v>
      </c>
      <c r="C92" s="14"/>
      <c r="D92" s="139" t="str">
        <f t="shared" si="322"/>
        <v>N.D.</v>
      </c>
      <c r="E92" s="14">
        <f t="shared" si="323"/>
        <v>39.211757841857533</v>
      </c>
      <c r="F92" s="139">
        <f t="shared" si="324"/>
        <v>1.4881010897022103E-2</v>
      </c>
      <c r="G92" s="14">
        <f t="shared" si="325"/>
        <v>-10.13327</v>
      </c>
      <c r="H92" s="139">
        <f t="shared" si="326"/>
        <v>-6.4292216345023913E-3</v>
      </c>
      <c r="I92" s="14">
        <f t="shared" si="327"/>
        <v>11.86004</v>
      </c>
      <c r="J92" s="139">
        <f t="shared" si="328"/>
        <v>0.11503683494190368</v>
      </c>
      <c r="K92" s="14">
        <f t="shared" si="329"/>
        <v>-23.3082084866105</v>
      </c>
      <c r="L92" s="139">
        <f t="shared" si="330"/>
        <v>-2.7325338619404028E-3</v>
      </c>
      <c r="M92" s="14">
        <f t="shared" si="331"/>
        <v>-17.776516455045293</v>
      </c>
      <c r="N92" s="139">
        <f t="shared" si="332"/>
        <v>-4.8539337139163412E-2</v>
      </c>
      <c r="O92" s="14">
        <f t="shared" si="333"/>
        <v>-9.6752853130804395E-2</v>
      </c>
      <c r="P92" s="139">
        <f t="shared" si="334"/>
        <v>-7.3240123175345322E-6</v>
      </c>
      <c r="Q92" s="25"/>
      <c r="R92" s="4" t="s">
        <v>17</v>
      </c>
      <c r="S92" s="14"/>
      <c r="T92" s="43"/>
      <c r="U92" s="14"/>
      <c r="V92" s="43"/>
      <c r="W92" s="14">
        <f>W87+W88+W89-W90-W91</f>
        <v>-10.44</v>
      </c>
      <c r="X92" s="43">
        <f t="shared" si="335"/>
        <v>-7.4541558703976477E-3</v>
      </c>
      <c r="Y92" s="14">
        <f>Y87+Y88+Y89-Y90-Y91</f>
        <v>8.6999999999999993</v>
      </c>
      <c r="Z92" s="43">
        <f t="shared" si="336"/>
        <v>8.3754512635379058E-2</v>
      </c>
      <c r="AA92" s="14"/>
      <c r="AB92" s="43"/>
      <c r="AC92" s="14"/>
      <c r="AD92" s="43"/>
      <c r="AE92" s="14">
        <f>AE87+AE88+AE89-AE90</f>
        <v>-1.7400000000000002</v>
      </c>
      <c r="AF92" s="43">
        <f t="shared" si="337"/>
        <v>-9.5701917323755019E-6</v>
      </c>
      <c r="AH92" s="4" t="s">
        <v>17</v>
      </c>
      <c r="AI92" s="14"/>
      <c r="AJ92" s="43"/>
      <c r="AK92" s="14"/>
      <c r="AL92" s="43"/>
      <c r="AM92" s="14">
        <f>AM87+AM88+AM89-AM90-AM91</f>
        <v>-0.53410000000000046</v>
      </c>
      <c r="AN92" s="43">
        <f t="shared" si="338"/>
        <v>-3.9650833910266246E-4</v>
      </c>
      <c r="AO92" s="14">
        <f>AO87+AO88+AO89-AO90-AO91</f>
        <v>43.425280000000008</v>
      </c>
      <c r="AP92" s="43">
        <f t="shared" si="339"/>
        <v>0.32960136670023765</v>
      </c>
      <c r="AQ92" s="14"/>
      <c r="AR92" s="43"/>
      <c r="AS92" s="14"/>
      <c r="AT92" s="43"/>
      <c r="AU92" s="14">
        <f>AU87+AU88+AU89-AU90</f>
        <v>42.891180000000006</v>
      </c>
      <c r="AV92" s="43">
        <f t="shared" si="340"/>
        <v>1.6970568368578477E-4</v>
      </c>
    </row>
    <row r="93" spans="2:48" x14ac:dyDescent="0.35">
      <c r="B93" s="4" t="s">
        <v>18</v>
      </c>
      <c r="C93" s="14"/>
      <c r="D93" s="139" t="str">
        <f t="shared" si="322"/>
        <v>N.D.</v>
      </c>
      <c r="E93" s="14">
        <f t="shared" si="323"/>
        <v>275.254463332147</v>
      </c>
      <c r="F93" s="139">
        <f t="shared" si="324"/>
        <v>0.10446011333690343</v>
      </c>
      <c r="G93" s="14">
        <f t="shared" si="325"/>
        <v>99.232919999999865</v>
      </c>
      <c r="H93" s="139">
        <f t="shared" si="326"/>
        <v>6.2959976011578114E-2</v>
      </c>
      <c r="I93" s="14">
        <f t="shared" si="327"/>
        <v>39.467399999999977</v>
      </c>
      <c r="J93" s="139">
        <f t="shared" si="328"/>
        <v>0.38281530073980247</v>
      </c>
      <c r="K93" s="14">
        <f t="shared" si="329"/>
        <v>490.18596302559314</v>
      </c>
      <c r="L93" s="139">
        <f t="shared" si="330"/>
        <v>5.7466868094334753E-2</v>
      </c>
      <c r="M93" s="14">
        <f t="shared" si="331"/>
        <v>159.63207596614063</v>
      </c>
      <c r="N93" s="139">
        <f t="shared" si="332"/>
        <v>0.43588040284157592</v>
      </c>
      <c r="O93" s="14">
        <f t="shared" si="333"/>
        <v>1063.723378077214</v>
      </c>
      <c r="P93" s="139">
        <f t="shared" si="334"/>
        <v>8.0521895441722419E-2</v>
      </c>
      <c r="Q93" s="25"/>
      <c r="R93" s="4" t="s">
        <v>18</v>
      </c>
      <c r="S93" s="14"/>
      <c r="T93" s="43"/>
      <c r="U93" s="14"/>
      <c r="V93" s="43"/>
      <c r="W93" s="14">
        <f>+W85-W92</f>
        <v>-35.543000000000063</v>
      </c>
      <c r="X93" s="43">
        <f t="shared" si="335"/>
        <v>-2.5377687940760927E-2</v>
      </c>
      <c r="Y93" s="14">
        <f>+Y85-Y92</f>
        <v>48.277000000000001</v>
      </c>
      <c r="Z93" s="43">
        <f t="shared" si="336"/>
        <v>0.46476052948255114</v>
      </c>
      <c r="AA93" s="14"/>
      <c r="AB93" s="43"/>
      <c r="AC93" s="14"/>
      <c r="AD93" s="43"/>
      <c r="AE93" s="14">
        <f>+AE85-AE92</f>
        <v>12.733999999999915</v>
      </c>
      <c r="AF93" s="43">
        <f t="shared" si="337"/>
        <v>7.0038403172453345E-5</v>
      </c>
      <c r="AH93" s="4" t="s">
        <v>18</v>
      </c>
      <c r="AI93" s="14"/>
      <c r="AJ93" s="43"/>
      <c r="AK93" s="14"/>
      <c r="AL93" s="43"/>
      <c r="AM93" s="14">
        <f>+AM85-AM92</f>
        <v>-84.594630000000365</v>
      </c>
      <c r="AN93" s="43">
        <f t="shared" si="338"/>
        <v>-6.280186526550155E-2</v>
      </c>
      <c r="AO93" s="14">
        <f>+AO85-AO92</f>
        <v>-13.806919999999998</v>
      </c>
      <c r="AP93" s="43">
        <f t="shared" si="339"/>
        <v>-0.10479563291061897</v>
      </c>
      <c r="AQ93" s="14"/>
      <c r="AR93" s="43"/>
      <c r="AS93" s="14"/>
      <c r="AT93" s="43"/>
      <c r="AU93" s="14">
        <f>+AU85-AU92</f>
        <v>-98.401550000000199</v>
      </c>
      <c r="AV93" s="43">
        <f t="shared" si="340"/>
        <v>-3.8934117267211968E-4</v>
      </c>
    </row>
    <row r="94" spans="2:48" x14ac:dyDescent="0.35">
      <c r="B94" s="1"/>
      <c r="C94" s="30"/>
      <c r="D94" s="140"/>
      <c r="E94" s="30"/>
      <c r="F94" s="140"/>
      <c r="G94" s="30"/>
      <c r="H94" s="140"/>
      <c r="I94" s="30"/>
      <c r="J94" s="140"/>
      <c r="K94" s="30"/>
      <c r="L94" s="140"/>
      <c r="M94" s="30"/>
      <c r="N94" s="140"/>
      <c r="O94" s="30"/>
      <c r="P94" s="140"/>
      <c r="Q94" s="25"/>
      <c r="R94" s="1"/>
      <c r="S94" s="30"/>
      <c r="T94" s="44"/>
      <c r="U94" s="30"/>
      <c r="V94" s="44"/>
      <c r="W94" s="30"/>
      <c r="X94" s="44"/>
      <c r="Y94" s="30"/>
      <c r="Z94" s="44"/>
      <c r="AA94" s="30"/>
      <c r="AB94" s="44"/>
      <c r="AC94" s="30"/>
      <c r="AD94" s="44"/>
      <c r="AE94" s="30"/>
      <c r="AF94" s="44"/>
      <c r="AH94" s="1"/>
      <c r="AI94" s="30"/>
      <c r="AJ94" s="44"/>
      <c r="AK94" s="30"/>
      <c r="AL94" s="44"/>
      <c r="AM94" s="30"/>
      <c r="AN94" s="44"/>
      <c r="AO94" s="30"/>
      <c r="AP94" s="44"/>
      <c r="AQ94" s="30"/>
      <c r="AR94" s="44"/>
      <c r="AS94" s="30"/>
      <c r="AT94" s="44"/>
      <c r="AU94" s="30"/>
      <c r="AV94" s="44"/>
    </row>
    <row r="95" spans="2:48" x14ac:dyDescent="0.35">
      <c r="B95" s="7" t="s">
        <v>19</v>
      </c>
      <c r="C95" s="8"/>
      <c r="D95" s="141" t="str">
        <f t="shared" ref="D95:D102" si="341">IF(C$77=0,"N.D.",C95/C$77)</f>
        <v>N.D.</v>
      </c>
      <c r="E95" s="8">
        <f t="shared" ref="E95:E103" si="342">E26/TC_MES</f>
        <v>76.007953601518935</v>
      </c>
      <c r="F95" s="141">
        <f t="shared" ref="F95:F103" si="343">IF(E$77=0,"N.D.",E95/E$77)</f>
        <v>2.8845306817567872E-2</v>
      </c>
      <c r="G95" s="8">
        <f t="shared" ref="G95:G103" si="344">G26/TC_MES</f>
        <v>0</v>
      </c>
      <c r="H95" s="141">
        <f t="shared" ref="H95:H103" si="345">IF(G$77=0,"N.D.",G95/G$77)</f>
        <v>0</v>
      </c>
      <c r="I95" s="8">
        <f t="shared" ref="I95:I103" si="346">I26/TC_MES</f>
        <v>0</v>
      </c>
      <c r="J95" s="141">
        <f t="shared" ref="J95:J103" si="347">IF(I$77=0,"N.D.",I95/I$77)</f>
        <v>0</v>
      </c>
      <c r="K95" s="8">
        <f t="shared" ref="K95:K103" si="348">K26/TC_MES</f>
        <v>198.1323978481864</v>
      </c>
      <c r="L95" s="141">
        <f t="shared" ref="L95:L103" si="349">IF(K$77=0,"N.D.",K95/K$77)</f>
        <v>2.3228017999694341E-2</v>
      </c>
      <c r="M95" s="8">
        <f t="shared" ref="M95:M103" si="350">M26/TC_MES</f>
        <v>34.157321704046517</v>
      </c>
      <c r="N95" s="141">
        <f t="shared" ref="N95:N103" si="351">IF(M$77=0,"N.D.",M95/M$77)</f>
        <v>9.3267640943960936E-2</v>
      </c>
      <c r="O95" s="8">
        <f t="shared" ref="O95:O103" si="352">O26/TC_MES</f>
        <v>308.29767315375182</v>
      </c>
      <c r="P95" s="141">
        <f t="shared" ref="P95:P103" si="353">IF(O$77=0,"N.D.",O95/O$77)</f>
        <v>2.3337564553188497E-2</v>
      </c>
      <c r="Q95" s="25"/>
      <c r="R95" s="7" t="s">
        <v>35</v>
      </c>
      <c r="S95" s="8"/>
      <c r="T95" s="29"/>
      <c r="U95" s="8"/>
      <c r="V95" s="29"/>
      <c r="W95" s="8">
        <f>(BDER!K482+BDER!K505+BDER!K572+BDER!K617)/1000</f>
        <v>0</v>
      </c>
      <c r="X95" s="29">
        <f t="shared" ref="X95:X98" si="354">IF(W$77=0,"N.D.",W95/W$77)</f>
        <v>0</v>
      </c>
      <c r="Y95" s="8">
        <f>(BDER!K527+BDER!K549+BDER!K594+BDER!K639+BDER!K661)/1000</f>
        <v>0</v>
      </c>
      <c r="Z95" s="29">
        <f t="shared" ref="Z95:Z98" si="355">IF(Y$77=0,"N.D.",Y95/Y$77)</f>
        <v>0</v>
      </c>
      <c r="AA95" s="8"/>
      <c r="AB95" s="29"/>
      <c r="AC95" s="8"/>
      <c r="AD95" s="29"/>
      <c r="AE95" s="8">
        <f>+AA95+U95+S95+AC95+W95+Y95</f>
        <v>0</v>
      </c>
      <c r="AF95" s="29">
        <f t="shared" ref="AF95:AF98" si="356">IF(AE$4=0,"N.D.",AE95/AE$4)</f>
        <v>0</v>
      </c>
      <c r="AH95" s="7" t="s">
        <v>35</v>
      </c>
      <c r="AI95" s="8"/>
      <c r="AJ95" s="29"/>
      <c r="AK95" s="8"/>
      <c r="AL95" s="29"/>
      <c r="AM95" s="8">
        <f>(BDER!G482+BDER!G505+BDER!G572+BDER!G617)/1000</f>
        <v>0</v>
      </c>
      <c r="AN95" s="29">
        <f t="shared" ref="AN95:AN98" si="357">IF(AM$77=0,"N.D.",AM95/AM$77)</f>
        <v>0</v>
      </c>
      <c r="AO95" s="8">
        <f>(BDER!G527+BDER!G549+BDER!G594+BDER!G639+BDER!G661)/1000</f>
        <v>0</v>
      </c>
      <c r="AP95" s="29">
        <f t="shared" ref="AP95:AP98" si="358">IF(AO$77=0,"N.D.",AO95/AO$77)</f>
        <v>0</v>
      </c>
      <c r="AQ95" s="8"/>
      <c r="AR95" s="29"/>
      <c r="AS95" s="8"/>
      <c r="AT95" s="29"/>
      <c r="AU95" s="8">
        <f>+AQ95+AK95+AI95+AS95+AM95+AO95</f>
        <v>0</v>
      </c>
      <c r="AV95" s="29">
        <f t="shared" ref="AV95:AV98" si="359">IF(AU$4=0,"N.D.",AU95/AU$4)</f>
        <v>0</v>
      </c>
    </row>
    <row r="96" spans="2:48" x14ac:dyDescent="0.35">
      <c r="B96" s="7" t="s">
        <v>43</v>
      </c>
      <c r="C96" s="11"/>
      <c r="D96" s="138" t="str">
        <f t="shared" si="341"/>
        <v>N.D.</v>
      </c>
      <c r="E96" s="11">
        <f t="shared" si="342"/>
        <v>0</v>
      </c>
      <c r="F96" s="138">
        <f t="shared" si="343"/>
        <v>0</v>
      </c>
      <c r="G96" s="11">
        <f t="shared" si="344"/>
        <v>0</v>
      </c>
      <c r="H96" s="138">
        <f t="shared" si="345"/>
        <v>0</v>
      </c>
      <c r="I96" s="11">
        <f t="shared" si="346"/>
        <v>0</v>
      </c>
      <c r="J96" s="138">
        <f t="shared" si="347"/>
        <v>0</v>
      </c>
      <c r="K96" s="11">
        <f t="shared" si="348"/>
        <v>0</v>
      </c>
      <c r="L96" s="138">
        <f t="shared" si="349"/>
        <v>0</v>
      </c>
      <c r="M96" s="11">
        <f t="shared" si="350"/>
        <v>0</v>
      </c>
      <c r="N96" s="138">
        <f t="shared" si="351"/>
        <v>0</v>
      </c>
      <c r="O96" s="11">
        <f t="shared" si="352"/>
        <v>0</v>
      </c>
      <c r="P96" s="138">
        <f t="shared" si="353"/>
        <v>0</v>
      </c>
      <c r="Q96" s="25"/>
      <c r="R96" s="7" t="s">
        <v>43</v>
      </c>
      <c r="S96" s="8"/>
      <c r="T96" s="42"/>
      <c r="U96" s="8"/>
      <c r="V96" s="42"/>
      <c r="W96" s="8">
        <f>(BDER!K483+BDER!K506+BDER!K573+BDER!K618)/1000</f>
        <v>0</v>
      </c>
      <c r="X96" s="42">
        <f t="shared" si="354"/>
        <v>0</v>
      </c>
      <c r="Y96" s="8">
        <f>(BDER!K528+BDER!K550+BDER!K595+BDER!K640+BDER!K662)/1000</f>
        <v>0</v>
      </c>
      <c r="Z96" s="42">
        <f t="shared" si="355"/>
        <v>0</v>
      </c>
      <c r="AA96" s="8"/>
      <c r="AB96" s="42"/>
      <c r="AC96" s="8"/>
      <c r="AD96" s="42"/>
      <c r="AE96" s="11">
        <f>+AA96+U96+S96+AC96+W96+Y96</f>
        <v>0</v>
      </c>
      <c r="AF96" s="42">
        <f t="shared" si="356"/>
        <v>0</v>
      </c>
      <c r="AH96" s="7" t="s">
        <v>43</v>
      </c>
      <c r="AI96" s="8"/>
      <c r="AJ96" s="42"/>
      <c r="AK96" s="8"/>
      <c r="AL96" s="42"/>
      <c r="AM96" s="8">
        <f>(BDER!G483+BDER!G506+BDER!G573+BDER!G618)/1000</f>
        <v>0</v>
      </c>
      <c r="AN96" s="42">
        <f t="shared" si="357"/>
        <v>0</v>
      </c>
      <c r="AO96" s="8">
        <f>(BDER!G528+BDER!G550+BDER!G595+BDER!G640+BDER!G662)/1000</f>
        <v>0</v>
      </c>
      <c r="AP96" s="42">
        <f t="shared" si="358"/>
        <v>0</v>
      </c>
      <c r="AQ96" s="8"/>
      <c r="AR96" s="42"/>
      <c r="AS96" s="8"/>
      <c r="AT96" s="42"/>
      <c r="AU96" s="11">
        <f>+AQ96+AK96+AI96+AS96+AM96+AO96</f>
        <v>0</v>
      </c>
      <c r="AV96" s="42">
        <f t="shared" si="359"/>
        <v>0</v>
      </c>
    </row>
    <row r="97" spans="2:48" x14ac:dyDescent="0.35">
      <c r="B97" s="4" t="s">
        <v>21</v>
      </c>
      <c r="C97" s="14"/>
      <c r="D97" s="139" t="str">
        <f t="shared" si="341"/>
        <v>N.D.</v>
      </c>
      <c r="E97" s="14">
        <f t="shared" si="342"/>
        <v>199.24650973062808</v>
      </c>
      <c r="F97" s="139">
        <f t="shared" si="343"/>
        <v>7.5614806519335567E-2</v>
      </c>
      <c r="G97" s="14">
        <f t="shared" si="344"/>
        <v>99.232919999999865</v>
      </c>
      <c r="H97" s="139">
        <f t="shared" si="345"/>
        <v>6.2959976011578114E-2</v>
      </c>
      <c r="I97" s="14">
        <f t="shared" si="346"/>
        <v>39.467399999999977</v>
      </c>
      <c r="J97" s="139">
        <f t="shared" si="347"/>
        <v>0.38281530073980247</v>
      </c>
      <c r="K97" s="14">
        <f t="shared" si="348"/>
        <v>292.05356517740677</v>
      </c>
      <c r="L97" s="139">
        <f t="shared" si="349"/>
        <v>3.4238850094640415E-2</v>
      </c>
      <c r="M97" s="14">
        <f t="shared" si="350"/>
        <v>125.47475426209412</v>
      </c>
      <c r="N97" s="139">
        <f t="shared" si="351"/>
        <v>0.34261276189761503</v>
      </c>
      <c r="O97" s="14">
        <f t="shared" si="352"/>
        <v>755.42570492346215</v>
      </c>
      <c r="P97" s="139">
        <f t="shared" si="353"/>
        <v>5.7184330888533919E-2</v>
      </c>
      <c r="Q97" s="25"/>
      <c r="R97" s="4" t="s">
        <v>21</v>
      </c>
      <c r="S97" s="14"/>
      <c r="T97" s="43"/>
      <c r="U97" s="14"/>
      <c r="V97" s="43"/>
      <c r="W97" s="14">
        <f>+W93-W95-W96</f>
        <v>-35.543000000000063</v>
      </c>
      <c r="X97" s="43">
        <f t="shared" si="354"/>
        <v>-2.5377687940760927E-2</v>
      </c>
      <c r="Y97" s="14">
        <f>+Y93-Y95-Y96</f>
        <v>48.277000000000001</v>
      </c>
      <c r="Z97" s="43">
        <f t="shared" si="355"/>
        <v>0.46476052948255114</v>
      </c>
      <c r="AA97" s="14"/>
      <c r="AB97" s="43"/>
      <c r="AC97" s="14"/>
      <c r="AD97" s="43"/>
      <c r="AE97" s="14">
        <f>+AE93-AE95-AE96</f>
        <v>12.733999999999915</v>
      </c>
      <c r="AF97" s="43">
        <f t="shared" si="356"/>
        <v>7.0038403172453345E-5</v>
      </c>
      <c r="AH97" s="4" t="s">
        <v>21</v>
      </c>
      <c r="AI97" s="14"/>
      <c r="AJ97" s="43"/>
      <c r="AK97" s="14"/>
      <c r="AL97" s="43"/>
      <c r="AM97" s="14">
        <f>+AM93-AM95-AM96</f>
        <v>-84.594630000000365</v>
      </c>
      <c r="AN97" s="43">
        <f t="shared" si="357"/>
        <v>-6.280186526550155E-2</v>
      </c>
      <c r="AO97" s="14">
        <f>+AO93-AO95-AO96</f>
        <v>-13.806919999999998</v>
      </c>
      <c r="AP97" s="43">
        <f t="shared" si="358"/>
        <v>-0.10479563291061897</v>
      </c>
      <c r="AQ97" s="14"/>
      <c r="AR97" s="43"/>
      <c r="AS97" s="14"/>
      <c r="AT97" s="43"/>
      <c r="AU97" s="14">
        <f>+AU93-AU95-AU96</f>
        <v>-98.401550000000199</v>
      </c>
      <c r="AV97" s="43">
        <f t="shared" si="359"/>
        <v>-3.8934117267211968E-4</v>
      </c>
    </row>
    <row r="98" spans="2:48" x14ac:dyDescent="0.35">
      <c r="B98" s="4" t="s">
        <v>22</v>
      </c>
      <c r="C98" s="20"/>
      <c r="D98" s="142" t="str">
        <f t="shared" si="341"/>
        <v>N.D.</v>
      </c>
      <c r="E98" s="20">
        <f t="shared" si="342"/>
        <v>359.48588168980694</v>
      </c>
      <c r="F98" s="142">
        <f t="shared" si="343"/>
        <v>0.13642625623483651</v>
      </c>
      <c r="G98" s="20">
        <f t="shared" si="344"/>
        <v>107.71133999999986</v>
      </c>
      <c r="H98" s="142">
        <f t="shared" si="345"/>
        <v>6.8339250548859545E-2</v>
      </c>
      <c r="I98" s="20">
        <f t="shared" si="346"/>
        <v>81.451769999999982</v>
      </c>
      <c r="J98" s="142">
        <f t="shared" si="347"/>
        <v>0.79004403199448747</v>
      </c>
      <c r="K98" s="20">
        <f t="shared" si="348"/>
        <v>562.88878851706897</v>
      </c>
      <c r="L98" s="142">
        <f t="shared" si="349"/>
        <v>6.5990171488858801E-2</v>
      </c>
      <c r="M98" s="20">
        <f t="shared" si="350"/>
        <v>143.43408735809504</v>
      </c>
      <c r="N98" s="142">
        <f t="shared" si="351"/>
        <v>0.39165128562333129</v>
      </c>
      <c r="O98" s="20">
        <f t="shared" si="352"/>
        <v>1254.9718675649717</v>
      </c>
      <c r="P98" s="142">
        <f t="shared" si="353"/>
        <v>9.4999052935202583E-2</v>
      </c>
      <c r="Q98" s="25"/>
      <c r="R98" s="4" t="s">
        <v>22</v>
      </c>
      <c r="S98" s="20"/>
      <c r="T98" s="45"/>
      <c r="U98" s="20"/>
      <c r="V98" s="45"/>
      <c r="W98" s="20">
        <f>+W85+W83</f>
        <v>-32.689000000000064</v>
      </c>
      <c r="X98" s="45">
        <f t="shared" si="354"/>
        <v>-2.3339933069677125E-2</v>
      </c>
      <c r="Y98" s="20">
        <f>+Y85+Y83</f>
        <v>70.674999999999997</v>
      </c>
      <c r="Z98" s="45">
        <f t="shared" si="355"/>
        <v>0.68038507821901317</v>
      </c>
      <c r="AA98" s="20"/>
      <c r="AB98" s="45"/>
      <c r="AC98" s="20"/>
      <c r="AD98" s="45"/>
      <c r="AE98" s="20">
        <f>+AE85+AE83</f>
        <v>37.985999999999919</v>
      </c>
      <c r="AF98" s="45">
        <f t="shared" si="356"/>
        <v>2.0892718571610059E-4</v>
      </c>
      <c r="AH98" s="4" t="s">
        <v>22</v>
      </c>
      <c r="AI98" s="20"/>
      <c r="AJ98" s="45"/>
      <c r="AK98" s="20"/>
      <c r="AL98" s="45"/>
      <c r="AM98" s="20">
        <f>+AM85+AM83</f>
        <v>-69.601010000000358</v>
      </c>
      <c r="AN98" s="45">
        <f t="shared" si="357"/>
        <v>-5.1670812347814864E-2</v>
      </c>
      <c r="AO98" s="20">
        <f>+AO85+AO83</f>
        <v>50.620770000000007</v>
      </c>
      <c r="AP98" s="45">
        <f t="shared" si="358"/>
        <v>0.38421571433548357</v>
      </c>
      <c r="AQ98" s="20"/>
      <c r="AR98" s="45"/>
      <c r="AS98" s="20"/>
      <c r="AT98" s="45"/>
      <c r="AU98" s="20">
        <f>+AU85+AU83</f>
        <v>-18.980240000000194</v>
      </c>
      <c r="AV98" s="45">
        <f t="shared" si="359"/>
        <v>-7.5098297732081792E-5</v>
      </c>
    </row>
    <row r="99" spans="2:48" x14ac:dyDescent="0.35">
      <c r="B99" s="4" t="s">
        <v>36</v>
      </c>
      <c r="C99" s="20"/>
      <c r="D99" s="142" t="str">
        <f t="shared" si="341"/>
        <v>N.D.</v>
      </c>
      <c r="E99" s="20">
        <f t="shared" si="342"/>
        <v>244.26617024643048</v>
      </c>
      <c r="F99" s="142">
        <f t="shared" si="343"/>
        <v>9.2699938520246522E-2</v>
      </c>
      <c r="G99" s="20">
        <f t="shared" si="344"/>
        <v>117.84460999999988</v>
      </c>
      <c r="H99" s="142">
        <f t="shared" si="345"/>
        <v>7.4768472183361939E-2</v>
      </c>
      <c r="I99" s="20">
        <f t="shared" si="346"/>
        <v>69.59172999999997</v>
      </c>
      <c r="J99" s="142">
        <f t="shared" si="347"/>
        <v>0.67500719705258361</v>
      </c>
      <c r="K99" s="20">
        <f t="shared" si="348"/>
        <v>425.38191403623358</v>
      </c>
      <c r="L99" s="142">
        <f t="shared" si="349"/>
        <v>4.9869576421060352E-2</v>
      </c>
      <c r="M99" s="20">
        <f t="shared" si="350"/>
        <v>127.90466358134572</v>
      </c>
      <c r="N99" s="142">
        <f t="shared" si="351"/>
        <v>0.34924770569906338</v>
      </c>
      <c r="O99" s="20">
        <f t="shared" si="352"/>
        <v>984.93964361734277</v>
      </c>
      <c r="P99" s="142">
        <f t="shared" si="353"/>
        <v>7.4558112225682496E-2</v>
      </c>
      <c r="Q99" s="25"/>
      <c r="R99" s="25"/>
    </row>
    <row r="100" spans="2:48" x14ac:dyDescent="0.35">
      <c r="B100" s="7" t="s">
        <v>37</v>
      </c>
      <c r="C100" s="20"/>
      <c r="D100" s="142" t="str">
        <f t="shared" si="341"/>
        <v>N.D.</v>
      </c>
      <c r="E100" s="20">
        <f t="shared" si="342"/>
        <v>0</v>
      </c>
      <c r="F100" s="142">
        <f t="shared" si="343"/>
        <v>0</v>
      </c>
      <c r="G100" s="20">
        <f t="shared" si="344"/>
        <v>0</v>
      </c>
      <c r="H100" s="142">
        <f t="shared" si="345"/>
        <v>0</v>
      </c>
      <c r="I100" s="20">
        <f t="shared" si="346"/>
        <v>0</v>
      </c>
      <c r="J100" s="142">
        <f t="shared" si="347"/>
        <v>0</v>
      </c>
      <c r="K100" s="20">
        <f t="shared" si="348"/>
        <v>0</v>
      </c>
      <c r="L100" s="142">
        <f t="shared" si="349"/>
        <v>0</v>
      </c>
      <c r="M100" s="20">
        <f t="shared" si="350"/>
        <v>0</v>
      </c>
      <c r="N100" s="142">
        <f t="shared" si="351"/>
        <v>0</v>
      </c>
      <c r="O100" s="20">
        <f t="shared" si="352"/>
        <v>0</v>
      </c>
      <c r="P100" s="142">
        <f t="shared" si="353"/>
        <v>0</v>
      </c>
      <c r="Q100" s="25"/>
      <c r="R100" s="25"/>
    </row>
    <row r="101" spans="2:48" x14ac:dyDescent="0.35">
      <c r="B101" s="4" t="s">
        <v>38</v>
      </c>
      <c r="C101" s="20"/>
      <c r="D101" s="142" t="str">
        <f t="shared" si="341"/>
        <v>N.D.</v>
      </c>
      <c r="E101" s="20">
        <f t="shared" si="342"/>
        <v>244.26617024643048</v>
      </c>
      <c r="F101" s="142">
        <f t="shared" si="343"/>
        <v>9.2699938520246522E-2</v>
      </c>
      <c r="G101" s="20">
        <f t="shared" si="344"/>
        <v>117.84460999999988</v>
      </c>
      <c r="H101" s="142">
        <f t="shared" si="345"/>
        <v>7.4768472183361939E-2</v>
      </c>
      <c r="I101" s="20">
        <f t="shared" si="346"/>
        <v>69.59172999999997</v>
      </c>
      <c r="J101" s="142">
        <f t="shared" si="347"/>
        <v>0.67500719705258361</v>
      </c>
      <c r="K101" s="20">
        <f t="shared" si="348"/>
        <v>425.38191403623358</v>
      </c>
      <c r="L101" s="142">
        <f t="shared" si="349"/>
        <v>4.9869576421060352E-2</v>
      </c>
      <c r="M101" s="20">
        <f t="shared" si="350"/>
        <v>127.90466358134572</v>
      </c>
      <c r="N101" s="142">
        <f t="shared" si="351"/>
        <v>0.34924770569906338</v>
      </c>
      <c r="O101" s="20">
        <f t="shared" si="352"/>
        <v>984.93964361734277</v>
      </c>
      <c r="P101" s="142">
        <f t="shared" si="353"/>
        <v>7.4558112225682496E-2</v>
      </c>
      <c r="Q101" s="25"/>
      <c r="R101" s="25"/>
    </row>
    <row r="102" spans="2:48" x14ac:dyDescent="0.35">
      <c r="B102" s="7" t="s">
        <v>39</v>
      </c>
      <c r="C102" s="20"/>
      <c r="D102" s="142" t="str">
        <f t="shared" si="341"/>
        <v>N.D.</v>
      </c>
      <c r="E102" s="20">
        <f t="shared" si="342"/>
        <v>0</v>
      </c>
      <c r="F102" s="142">
        <f t="shared" si="343"/>
        <v>0</v>
      </c>
      <c r="G102" s="20">
        <f t="shared" si="344"/>
        <v>0</v>
      </c>
      <c r="H102" s="142">
        <f t="shared" si="345"/>
        <v>0</v>
      </c>
      <c r="I102" s="20">
        <f t="shared" si="346"/>
        <v>0</v>
      </c>
      <c r="J102" s="142">
        <f t="shared" si="347"/>
        <v>0</v>
      </c>
      <c r="K102" s="20">
        <f t="shared" si="348"/>
        <v>0</v>
      </c>
      <c r="L102" s="142">
        <f t="shared" si="349"/>
        <v>0</v>
      </c>
      <c r="M102" s="20">
        <f t="shared" si="350"/>
        <v>0</v>
      </c>
      <c r="N102" s="142">
        <f t="shared" si="351"/>
        <v>0</v>
      </c>
      <c r="O102" s="20">
        <f t="shared" si="352"/>
        <v>0</v>
      </c>
      <c r="P102" s="142">
        <f t="shared" si="353"/>
        <v>0</v>
      </c>
      <c r="Q102" s="25"/>
      <c r="R102" s="25"/>
    </row>
    <row r="103" spans="2:48" x14ac:dyDescent="0.35">
      <c r="B103" s="4" t="s">
        <v>40</v>
      </c>
      <c r="C103" s="20"/>
      <c r="D103" s="142" t="str">
        <f>IF(C$77=0,"N.D.",C103/C$77)</f>
        <v>N.D.</v>
      </c>
      <c r="E103" s="20">
        <f t="shared" si="342"/>
        <v>244.26617024643048</v>
      </c>
      <c r="F103" s="142">
        <f t="shared" si="343"/>
        <v>9.2699938520246522E-2</v>
      </c>
      <c r="G103" s="20">
        <f t="shared" si="344"/>
        <v>117.84460999999988</v>
      </c>
      <c r="H103" s="142">
        <f t="shared" si="345"/>
        <v>7.4768472183361939E-2</v>
      </c>
      <c r="I103" s="20">
        <f t="shared" si="346"/>
        <v>69.59172999999997</v>
      </c>
      <c r="J103" s="142">
        <f t="shared" si="347"/>
        <v>0.67500719705258361</v>
      </c>
      <c r="K103" s="20">
        <f t="shared" si="348"/>
        <v>425.38191403623358</v>
      </c>
      <c r="L103" s="142">
        <f t="shared" si="349"/>
        <v>4.9869576421060352E-2</v>
      </c>
      <c r="M103" s="20">
        <f t="shared" si="350"/>
        <v>127.90466358134572</v>
      </c>
      <c r="N103" s="142">
        <f t="shared" si="351"/>
        <v>0.34924770569906338</v>
      </c>
      <c r="O103" s="20">
        <f t="shared" si="352"/>
        <v>984.93964361734277</v>
      </c>
      <c r="P103" s="142">
        <f t="shared" si="353"/>
        <v>7.4558112225682496E-2</v>
      </c>
      <c r="Q103" s="25"/>
      <c r="R103" s="25"/>
    </row>
    <row r="104" spans="2:48" x14ac:dyDescent="0.35">
      <c r="B104" s="7"/>
      <c r="C104" s="143"/>
      <c r="D104" s="144"/>
      <c r="E104" s="143"/>
      <c r="F104" s="144"/>
      <c r="G104" s="143"/>
      <c r="H104" s="144"/>
      <c r="I104" s="143"/>
      <c r="J104" s="144"/>
      <c r="K104" s="143"/>
      <c r="L104" s="144"/>
      <c r="M104" s="143"/>
      <c r="N104" s="144"/>
      <c r="O104" s="143"/>
      <c r="P104" s="25"/>
      <c r="Q104" s="25"/>
      <c r="R104" s="25"/>
    </row>
    <row r="106" spans="2:48" x14ac:dyDescent="0.35">
      <c r="B106" t="s">
        <v>367</v>
      </c>
    </row>
    <row r="107" spans="2:48" ht="14.5" customHeight="1" x14ac:dyDescent="0.35">
      <c r="B107" s="26" t="s">
        <v>110</v>
      </c>
      <c r="C107" s="7"/>
      <c r="D107" s="369" t="s">
        <v>369</v>
      </c>
      <c r="E107" s="369"/>
      <c r="F107" s="369"/>
      <c r="G107" s="369"/>
      <c r="H107" s="369"/>
      <c r="I107" s="369"/>
      <c r="J107" s="369"/>
      <c r="K107" s="369"/>
      <c r="L107" s="369"/>
      <c r="M107" s="369"/>
      <c r="N107" s="369"/>
      <c r="O107" s="369"/>
      <c r="P107" s="369"/>
      <c r="R107" s="26" t="s">
        <v>42</v>
      </c>
      <c r="S107" s="39"/>
      <c r="T107" s="39"/>
      <c r="U107" s="39"/>
      <c r="V107" s="39"/>
      <c r="W107" s="39"/>
      <c r="X107" s="7"/>
      <c r="Y107" s="39"/>
      <c r="Z107" s="7"/>
      <c r="AA107" s="38"/>
      <c r="AB107" s="39"/>
      <c r="AC107" s="39"/>
      <c r="AD107" s="39"/>
      <c r="AE107" s="41"/>
      <c r="AF107" s="40"/>
      <c r="AH107" s="26" t="s">
        <v>45</v>
      </c>
      <c r="AI107" s="25"/>
      <c r="AJ107" s="25"/>
      <c r="AK107" s="25"/>
      <c r="AL107" s="25"/>
      <c r="AM107" s="25"/>
      <c r="AN107" s="25"/>
      <c r="AO107" s="25"/>
      <c r="AP107" s="25"/>
      <c r="AQ107" s="25"/>
      <c r="AR107" s="25"/>
      <c r="AS107" s="25"/>
      <c r="AT107" s="25"/>
      <c r="AU107" s="25"/>
      <c r="AV107" s="25"/>
    </row>
    <row r="108" spans="2:48" x14ac:dyDescent="0.35">
      <c r="B108" s="26"/>
      <c r="C108" s="2" t="s">
        <v>25</v>
      </c>
      <c r="D108" s="27"/>
      <c r="E108" s="2" t="s">
        <v>26</v>
      </c>
      <c r="F108" s="27"/>
      <c r="G108" s="2" t="s">
        <v>27</v>
      </c>
      <c r="H108" s="27"/>
      <c r="I108" s="2" t="s">
        <v>28</v>
      </c>
      <c r="J108" s="27"/>
      <c r="K108" s="28" t="s">
        <v>29</v>
      </c>
      <c r="L108" s="27"/>
      <c r="M108" s="2" t="s">
        <v>108</v>
      </c>
      <c r="N108" s="27"/>
      <c r="O108" s="2" t="s">
        <v>31</v>
      </c>
      <c r="P108" s="1"/>
      <c r="R108" s="25"/>
      <c r="S108" s="2" t="s">
        <v>25</v>
      </c>
      <c r="T108" s="27"/>
      <c r="U108" s="2" t="s">
        <v>26</v>
      </c>
      <c r="V108" s="27"/>
      <c r="W108" s="2" t="s">
        <v>27</v>
      </c>
      <c r="X108" s="27"/>
      <c r="Y108" s="2" t="s">
        <v>28</v>
      </c>
      <c r="Z108" s="27"/>
      <c r="AA108" s="28" t="s">
        <v>29</v>
      </c>
      <c r="AB108" s="27"/>
      <c r="AC108" s="2" t="s">
        <v>30</v>
      </c>
      <c r="AD108" s="27"/>
      <c r="AE108" s="2" t="s">
        <v>31</v>
      </c>
      <c r="AF108" s="1"/>
      <c r="AH108" s="25"/>
      <c r="AI108" s="2" t="s">
        <v>25</v>
      </c>
      <c r="AJ108" s="27"/>
      <c r="AK108" s="2" t="s">
        <v>26</v>
      </c>
      <c r="AL108" s="27"/>
      <c r="AM108" s="2" t="s">
        <v>27</v>
      </c>
      <c r="AN108" s="27"/>
      <c r="AO108" s="2" t="s">
        <v>28</v>
      </c>
      <c r="AP108" s="27"/>
      <c r="AQ108" s="28" t="s">
        <v>29</v>
      </c>
      <c r="AR108" s="27"/>
      <c r="AS108" s="2" t="s">
        <v>30</v>
      </c>
      <c r="AT108" s="27"/>
      <c r="AU108" s="2" t="s">
        <v>31</v>
      </c>
      <c r="AV108" s="1"/>
    </row>
    <row r="109" spans="2:48" x14ac:dyDescent="0.35">
      <c r="B109" s="7" t="s">
        <v>5</v>
      </c>
      <c r="C109" s="8"/>
      <c r="D109" s="29" t="str">
        <f>IF(C$109=0,"N.D.",C109/C$109)</f>
        <v>N.D.</v>
      </c>
      <c r="E109" s="8">
        <f>E41/TC_PROM</f>
        <v>2635.0197653376058</v>
      </c>
      <c r="F109" s="137">
        <f t="shared" ref="F109:F111" si="360">IF(E$109=0,"N.D.",E109/E$109)</f>
        <v>1</v>
      </c>
      <c r="G109" s="8">
        <f>G41/TC_PROM</f>
        <v>1576.1270300000001</v>
      </c>
      <c r="H109" s="137">
        <f t="shared" ref="H109:H111" si="361">IF(G$109=0,"N.D.",G109/G$109)</f>
        <v>1</v>
      </c>
      <c r="I109" s="8">
        <f>I41/TC_PROM</f>
        <v>103.09775999999999</v>
      </c>
      <c r="J109" s="137">
        <f t="shared" ref="J109:J111" si="362">IF(I$109=0,"N.D.",I109/I$109)</f>
        <v>1</v>
      </c>
      <c r="K109" s="8">
        <f>K41/TC_PROM</f>
        <v>8529.8882517997718</v>
      </c>
      <c r="L109" s="137">
        <f t="shared" ref="L109:L111" si="363">IF(K$109=0,"N.D.",K109/K$109)</f>
        <v>1</v>
      </c>
      <c r="M109" s="8">
        <f>M41/TC_PROM</f>
        <v>366.22907321704054</v>
      </c>
      <c r="N109" s="137">
        <f t="shared" ref="N109:N111" si="364">IF(M$109=0,"N.D.",M109/M$109)</f>
        <v>1</v>
      </c>
      <c r="O109" s="8">
        <f>O41/TC_PROM</f>
        <v>13210.361880354418</v>
      </c>
      <c r="P109" s="137">
        <f t="shared" ref="P109:P111" si="365">IF(O$109=0,"N.D.",O109/O$109)</f>
        <v>1</v>
      </c>
      <c r="R109" s="7" t="s">
        <v>5</v>
      </c>
      <c r="S109" s="8"/>
      <c r="T109" s="29"/>
      <c r="U109" s="8"/>
      <c r="V109" s="29"/>
      <c r="W109" s="8">
        <f>(BDER!L466+BDER!L489+BDER!L556+BDER!L601)/1000</f>
        <v>1400.5609999999999</v>
      </c>
      <c r="X109" s="29">
        <f>IF(W$109=0,"N.D.",W109/W$109)</f>
        <v>1</v>
      </c>
      <c r="Y109" s="8">
        <f>(BDER!L512+BDER!L534+BDER!L579+BDER!L624+BDER!L646)/1000</f>
        <v>103.875</v>
      </c>
      <c r="Z109" s="29">
        <f>IF(Y$109=0,"N.D.",Y109/Y$109)</f>
        <v>1</v>
      </c>
      <c r="AA109" s="8"/>
      <c r="AB109" s="29"/>
      <c r="AC109" s="8"/>
      <c r="AD109" s="29"/>
      <c r="AE109" s="8">
        <f>+AA109+U109+S109+AC109+W109+Y109</f>
        <v>1504.4359999999999</v>
      </c>
      <c r="AF109" s="29">
        <f t="shared" ref="AF109:AF111" si="366">IF(AE$41=0,"N.D.",AE109/AE$41)</f>
        <v>8.2745637753379713E-3</v>
      </c>
      <c r="AH109" s="7" t="s">
        <v>5</v>
      </c>
      <c r="AI109" s="8"/>
      <c r="AJ109" s="29"/>
      <c r="AK109" s="8"/>
      <c r="AL109" s="29"/>
      <c r="AM109" s="8">
        <f>(BDER!H466+BDER!H489+BDER!H556+BDER!H601)/1000</f>
        <v>1347.0082399999999</v>
      </c>
      <c r="AN109" s="29">
        <f>IF(AM$109=0,"N.D.",AM109/AM$109)</f>
        <v>1</v>
      </c>
      <c r="AO109" s="8">
        <f>(BDER!H512+BDER!H534+BDER!H579+BDER!H624+BDER!H646)/1000</f>
        <v>131.75091</v>
      </c>
      <c r="AP109" s="29">
        <f t="shared" ref="AP109:AP111" si="367">IF(AO$109=0,"N.D.",AO109/AO$109)</f>
        <v>1</v>
      </c>
      <c r="AQ109" s="8"/>
      <c r="AR109" s="29"/>
      <c r="AS109" s="8"/>
      <c r="AT109" s="29"/>
      <c r="AU109" s="8">
        <f>+AQ109+AK109+AI109+AS109+AM109+AO109</f>
        <v>1478.7591499999999</v>
      </c>
      <c r="AV109" s="29">
        <f t="shared" ref="AV109:AV111" si="368">IF(AU$41=0,"N.D.",AU109/AU$41)</f>
        <v>5.8509426077193467E-3</v>
      </c>
    </row>
    <row r="110" spans="2:48" x14ac:dyDescent="0.35">
      <c r="B110" s="7" t="s">
        <v>6</v>
      </c>
      <c r="C110" s="11"/>
      <c r="D110" s="138" t="str">
        <f t="shared" ref="D110:D111" si="369">IF(C$109=0,"N.D.",C110/C$109)</f>
        <v>N.D.</v>
      </c>
      <c r="E110" s="11">
        <f>E42/TC_PROM</f>
        <v>1352.8539946006886</v>
      </c>
      <c r="F110" s="138">
        <f t="shared" si="360"/>
        <v>0.51341322459771277</v>
      </c>
      <c r="G110" s="11">
        <f>G42/TC_PROM</f>
        <v>473.08704999999998</v>
      </c>
      <c r="H110" s="138">
        <f t="shared" si="361"/>
        <v>0.30015794475652124</v>
      </c>
      <c r="I110" s="11">
        <f>I42/TC_PROM</f>
        <v>0</v>
      </c>
      <c r="J110" s="138">
        <f t="shared" si="362"/>
        <v>0</v>
      </c>
      <c r="K110" s="11">
        <f>K42/TC_PROM</f>
        <v>6524.2247745342356</v>
      </c>
      <c r="L110" s="138">
        <f t="shared" si="363"/>
        <v>0.76486638299835297</v>
      </c>
      <c r="M110" s="11">
        <f>M42/TC_PROM</f>
        <v>191.6524232625292</v>
      </c>
      <c r="N110" s="138">
        <f t="shared" si="364"/>
        <v>0.52331296797113935</v>
      </c>
      <c r="O110" s="11">
        <f>O42/TC_PROM</f>
        <v>8541.8182423974522</v>
      </c>
      <c r="P110" s="138">
        <f t="shared" si="365"/>
        <v>0.64659986757064414</v>
      </c>
      <c r="R110" s="7" t="s">
        <v>6</v>
      </c>
      <c r="S110" s="8"/>
      <c r="T110" s="42"/>
      <c r="U110" s="8"/>
      <c r="V110" s="42"/>
      <c r="W110" s="8">
        <f>(BDER!L467+BDER!L490+BDER!L557+BDER!L602)/1000</f>
        <v>438.02</v>
      </c>
      <c r="X110" s="42">
        <f t="shared" ref="X110:X111" si="370">IF(W$109=0,"N.D.",W110/W$109)</f>
        <v>0.31274610673865688</v>
      </c>
      <c r="Y110" s="8">
        <f>(BDER!L513+BDER!L535+BDER!L580+BDER!L625+BDER!L647)/1000</f>
        <v>0</v>
      </c>
      <c r="Z110" s="42">
        <f t="shared" ref="Z110:Z111" si="371">IF(Y$109=0,"N.D.",Y110/Y$109)</f>
        <v>0</v>
      </c>
      <c r="AA110" s="8"/>
      <c r="AB110" s="42"/>
      <c r="AC110" s="8"/>
      <c r="AD110" s="42"/>
      <c r="AE110" s="11">
        <f>+AA110+U110+S110+AC110+W110+Y110</f>
        <v>438.02</v>
      </c>
      <c r="AF110" s="42">
        <f t="shared" si="366"/>
        <v>2.4091582658707566E-3</v>
      </c>
      <c r="AH110" s="7" t="s">
        <v>6</v>
      </c>
      <c r="AI110" s="8"/>
      <c r="AJ110" s="42"/>
      <c r="AK110" s="8"/>
      <c r="AL110" s="42"/>
      <c r="AM110" s="8">
        <f>(BDER!H467+BDER!H490+BDER!H557+BDER!H602)/1000</f>
        <v>441.73607000000004</v>
      </c>
      <c r="AN110" s="29">
        <f>IF(AM$109=0,"N.D.",AM110/AM$109)</f>
        <v>0.32793865462916549</v>
      </c>
      <c r="AO110" s="8">
        <f>(BDER!H513+BDER!H535+BDER!H580+BDER!H625+BDER!H647)/1000</f>
        <v>0</v>
      </c>
      <c r="AP110" s="42">
        <f t="shared" si="367"/>
        <v>0</v>
      </c>
      <c r="AQ110" s="8"/>
      <c r="AR110" s="42"/>
      <c r="AS110" s="8"/>
      <c r="AT110" s="42"/>
      <c r="AU110" s="11">
        <f>+AQ110+AK110+AI110+AS110+AM110+AO110</f>
        <v>441.73607000000004</v>
      </c>
      <c r="AV110" s="42">
        <f t="shared" si="368"/>
        <v>1.747798073357312E-3</v>
      </c>
    </row>
    <row r="111" spans="2:48" x14ac:dyDescent="0.35">
      <c r="B111" s="4" t="s">
        <v>7</v>
      </c>
      <c r="C111" s="14"/>
      <c r="D111" s="139" t="str">
        <f t="shared" si="369"/>
        <v>N.D.</v>
      </c>
      <c r="E111" s="14">
        <f>E43/TC_PROM</f>
        <v>1282.1657707369175</v>
      </c>
      <c r="F111" s="139">
        <f t="shared" si="360"/>
        <v>0.48658677540228734</v>
      </c>
      <c r="G111" s="14">
        <f>G43/TC_PROM</f>
        <v>1103.03998</v>
      </c>
      <c r="H111" s="139">
        <f t="shared" si="361"/>
        <v>0.69984205524347864</v>
      </c>
      <c r="I111" s="14">
        <f>I43/TC_PROM</f>
        <v>103.09775999999999</v>
      </c>
      <c r="J111" s="139">
        <f t="shared" si="362"/>
        <v>1</v>
      </c>
      <c r="K111" s="14">
        <f>K43/TC_PROM</f>
        <v>2005.6634772655364</v>
      </c>
      <c r="L111" s="139">
        <f t="shared" si="363"/>
        <v>0.23513361700164706</v>
      </c>
      <c r="M111" s="14">
        <f>M43/TC_PROM</f>
        <v>174.57664995451134</v>
      </c>
      <c r="N111" s="139">
        <f t="shared" si="364"/>
        <v>0.47668703202886059</v>
      </c>
      <c r="O111" s="14">
        <f>O43/TC_PROM</f>
        <v>4668.5436379569655</v>
      </c>
      <c r="P111" s="139">
        <f t="shared" si="365"/>
        <v>0.35340013242935586</v>
      </c>
      <c r="R111" s="4" t="s">
        <v>7</v>
      </c>
      <c r="S111" s="14"/>
      <c r="T111" s="43"/>
      <c r="U111" s="14"/>
      <c r="V111" s="43"/>
      <c r="W111" s="14">
        <f>+W109-W110</f>
        <v>962.54099999999994</v>
      </c>
      <c r="X111" s="43">
        <f t="shared" si="370"/>
        <v>0.68725389326134312</v>
      </c>
      <c r="Y111" s="14">
        <f>+Y109-Y110</f>
        <v>103.875</v>
      </c>
      <c r="Z111" s="43">
        <f t="shared" si="371"/>
        <v>1</v>
      </c>
      <c r="AA111" s="14"/>
      <c r="AB111" s="43"/>
      <c r="AC111" s="14"/>
      <c r="AD111" s="43"/>
      <c r="AE111" s="14">
        <f>+AA111+U111+S111+AC111+W111+Y111</f>
        <v>1066.4159999999999</v>
      </c>
      <c r="AF111" s="43">
        <f t="shared" si="366"/>
        <v>5.8654055094672138E-3</v>
      </c>
      <c r="AH111" s="4" t="s">
        <v>7</v>
      </c>
      <c r="AI111" s="14"/>
      <c r="AJ111" s="43"/>
      <c r="AK111" s="14"/>
      <c r="AL111" s="43"/>
      <c r="AM111" s="14">
        <f>+AM109-AM110</f>
        <v>905.27216999999985</v>
      </c>
      <c r="AN111" s="43">
        <f>IF(AM$109=0,"N.D.",AM111/AM$109)</f>
        <v>0.67206134537083451</v>
      </c>
      <c r="AO111" s="14">
        <f>+AO109-AO110</f>
        <v>131.75091</v>
      </c>
      <c r="AP111" s="43">
        <f t="shared" si="367"/>
        <v>1</v>
      </c>
      <c r="AQ111" s="14"/>
      <c r="AR111" s="43"/>
      <c r="AS111" s="14"/>
      <c r="AT111" s="43"/>
      <c r="AU111" s="14">
        <f>+AQ111+AK111+AI111+AS111+AM111+AO111</f>
        <v>1037.0230799999999</v>
      </c>
      <c r="AV111" s="43">
        <f t="shared" si="368"/>
        <v>4.1031445343620351E-3</v>
      </c>
    </row>
    <row r="112" spans="2:48" x14ac:dyDescent="0.35">
      <c r="B112" s="1"/>
      <c r="C112" s="30"/>
      <c r="D112" s="140"/>
      <c r="E112" s="30"/>
      <c r="F112" s="140"/>
      <c r="G112" s="30"/>
      <c r="H112" s="140"/>
      <c r="I112" s="30"/>
      <c r="J112" s="140"/>
      <c r="K112" s="30"/>
      <c r="L112" s="140"/>
      <c r="M112" s="30"/>
      <c r="N112" s="140"/>
      <c r="O112" s="30"/>
      <c r="P112" s="140"/>
      <c r="R112" s="1"/>
      <c r="S112" s="30"/>
      <c r="T112" s="44"/>
      <c r="U112" s="30"/>
      <c r="V112" s="44"/>
      <c r="W112" s="30"/>
      <c r="X112" s="44"/>
      <c r="Y112" s="30"/>
      <c r="Z112" s="44"/>
      <c r="AA112" s="30"/>
      <c r="AB112" s="44"/>
      <c r="AC112" s="30"/>
      <c r="AD112" s="44"/>
      <c r="AE112" s="30"/>
      <c r="AF112" s="44"/>
      <c r="AH112" s="1"/>
      <c r="AI112" s="30"/>
      <c r="AJ112" s="44"/>
      <c r="AK112" s="30"/>
      <c r="AL112" s="44"/>
      <c r="AM112" s="30"/>
      <c r="AN112" s="44"/>
      <c r="AO112" s="30"/>
      <c r="AP112" s="44"/>
      <c r="AQ112" s="30"/>
      <c r="AR112" s="44"/>
      <c r="AS112" s="30"/>
      <c r="AT112" s="44"/>
      <c r="AU112" s="30"/>
      <c r="AV112" s="44"/>
    </row>
    <row r="113" spans="2:48" x14ac:dyDescent="0.35">
      <c r="B113" s="7" t="s">
        <v>8</v>
      </c>
      <c r="C113" s="8"/>
      <c r="D113" s="141" t="str">
        <f t="shared" ref="D113:D117" si="372">IF(C$109=0,"N.D.",C113/C$109)</f>
        <v>N.D.</v>
      </c>
      <c r="E113" s="8">
        <f>E45/TC_PROM</f>
        <v>635.63713856255686</v>
      </c>
      <c r="F113" s="141">
        <f t="shared" ref="F113:F117" si="373">IF(E$109=0,"N.D.",E113/E$109)</f>
        <v>0.24122670612344244</v>
      </c>
      <c r="G113" s="8">
        <f>G45/TC_PROM</f>
        <v>960.94997000000012</v>
      </c>
      <c r="H113" s="141">
        <f t="shared" ref="H113:H117" si="374">IF(G$109=0,"N.D.",G113/G$109)</f>
        <v>0.60969068590873676</v>
      </c>
      <c r="I113" s="8">
        <f>I45/TC_PROM</f>
        <v>21.622600000000002</v>
      </c>
      <c r="J113" s="141">
        <f t="shared" ref="J113:J117" si="375">IF(I$109=0,"N.D.",I113/I$109)</f>
        <v>0.20972909595708</v>
      </c>
      <c r="K113" s="8">
        <f>K45/TC_PROM</f>
        <v>1054.7699079842571</v>
      </c>
      <c r="L113" s="141">
        <f t="shared" ref="L113:L117" si="376">IF(K$109=0,"N.D.",K113/K$109)</f>
        <v>0.12365577096062248</v>
      </c>
      <c r="M113" s="8">
        <f>M45/TC_PROM</f>
        <v>2.3917170997982677</v>
      </c>
      <c r="N113" s="141">
        <f t="shared" ref="N113:N117" si="377">IF(M$109=0,"N.D.",M113/M$109)</f>
        <v>6.5306587453280917E-3</v>
      </c>
      <c r="O113" s="8">
        <f>O45/TC_PROM</f>
        <v>2675.3713336466121</v>
      </c>
      <c r="P113" s="141">
        <f t="shared" ref="P113:P117" si="378">IF(O$109=0,"N.D.",O113/O$109)</f>
        <v>0.20252066959840431</v>
      </c>
      <c r="R113" s="7" t="s">
        <v>8</v>
      </c>
      <c r="S113" s="8"/>
      <c r="T113" s="29"/>
      <c r="U113" s="8"/>
      <c r="V113" s="29"/>
      <c r="W113" s="8">
        <f>(BDER!L470+BDER!L493+BDER!L560+BDER!L605)/1000</f>
        <v>933.46400000000006</v>
      </c>
      <c r="X113" s="29">
        <f t="shared" ref="X113:X117" si="379">IF(W$109=0,"N.D.",W113/W$109)</f>
        <v>0.6664929267629186</v>
      </c>
      <c r="Y113" s="8">
        <f>(BDER!L515+BDER!L537+BDER!L582+BDER!L627+BDER!L649)/1000</f>
        <v>33.200000000000003</v>
      </c>
      <c r="Z113" s="29">
        <f t="shared" ref="Z113:Z117" si="380">IF(Y$109=0,"N.D.",Y113/Y$109)</f>
        <v>0.31961492178098677</v>
      </c>
      <c r="AA113" s="8"/>
      <c r="AB113" s="29"/>
      <c r="AC113" s="8"/>
      <c r="AD113" s="29"/>
      <c r="AE113" s="8">
        <f>+AA113+U113+S113+AC113+W113+Y113</f>
        <v>966.6640000000001</v>
      </c>
      <c r="AF113" s="29">
        <f t="shared" ref="AF113:AF117" si="381">IF(AE$41=0,"N.D.",AE113/AE$41)</f>
        <v>5.3167585176925472E-3</v>
      </c>
      <c r="AH113" s="7" t="s">
        <v>8</v>
      </c>
      <c r="AI113" s="8"/>
      <c r="AJ113" s="29"/>
      <c r="AK113" s="8"/>
      <c r="AL113" s="29"/>
      <c r="AM113" s="8">
        <f>(BDER!H470+BDER!H493+BDER!H560+BDER!H605)/1000</f>
        <v>917.8534800000001</v>
      </c>
      <c r="AN113" s="29">
        <f t="shared" ref="AN113:AN117" si="382">IF(AM$109=0,"N.D.",AM113/AM$109)</f>
        <v>0.68140153322298913</v>
      </c>
      <c r="AO113" s="8">
        <f>(BDER!H515+BDER!H537+BDER!H582+BDER!H627+BDER!H649)/1000</f>
        <v>81.070549999999997</v>
      </c>
      <c r="AP113" s="29">
        <f t="shared" ref="AP113:AP117" si="383">IF(AO$109=0,"N.D.",AO113/AO$109)</f>
        <v>0.61533199277333261</v>
      </c>
      <c r="AQ113" s="8"/>
      <c r="AR113" s="29"/>
      <c r="AS113" s="8"/>
      <c r="AT113" s="29"/>
      <c r="AU113" s="8">
        <f>+AQ113+AK113+AI113+AS113+AM113+AO113</f>
        <v>998.92403000000013</v>
      </c>
      <c r="AV113" s="29">
        <f t="shared" ref="AV113:AV117" si="384">IF(AU$41=0,"N.D.",AU113/AU$41)</f>
        <v>3.9523996649499819E-3</v>
      </c>
    </row>
    <row r="114" spans="2:48" x14ac:dyDescent="0.35">
      <c r="B114" s="7" t="s">
        <v>9</v>
      </c>
      <c r="C114" s="11"/>
      <c r="D114" s="138" t="str">
        <f t="shared" si="372"/>
        <v>N.D.</v>
      </c>
      <c r="E114" s="11">
        <f>E46/TC_PROM+E51/TC_PROM+E52/TC_PROM</f>
        <v>287.04275048455361</v>
      </c>
      <c r="F114" s="138">
        <f t="shared" si="373"/>
        <v>0.10893381304400838</v>
      </c>
      <c r="G114" s="11">
        <f>G46/TC_PROM+G51/TC_PROM+G52/TC_PROM</f>
        <v>34.37867</v>
      </c>
      <c r="H114" s="138">
        <f t="shared" si="374"/>
        <v>2.1812118785882378E-2</v>
      </c>
      <c r="I114" s="11">
        <f>I46/TC_PROM+I51/TC_PROM+I52/TC_PROM</f>
        <v>2.3390000000000001E-2</v>
      </c>
      <c r="J114" s="138">
        <f t="shared" si="375"/>
        <v>2.2687204843247809E-4</v>
      </c>
      <c r="K114" s="11">
        <f>K46/TC_PROM+K51/TC_PROM+K52/TC_PROM</f>
        <v>388.0047807642103</v>
      </c>
      <c r="L114" s="138">
        <f t="shared" si="376"/>
        <v>4.5487674552165777E-2</v>
      </c>
      <c r="M114" s="11">
        <f>M46/TC_PROM+M51/TC_PROM+M52/TC_PROM</f>
        <v>28.750845496618016</v>
      </c>
      <c r="N114" s="138">
        <f t="shared" si="377"/>
        <v>7.8505087660201214E-2</v>
      </c>
      <c r="O114" s="11">
        <f>O46/TC_PROM+O51/TC_PROM+O52/TC_PROM</f>
        <v>738.20043674538204</v>
      </c>
      <c r="P114" s="138">
        <f t="shared" si="378"/>
        <v>5.5880409895748974E-2</v>
      </c>
      <c r="R114" s="7" t="s">
        <v>9</v>
      </c>
      <c r="S114" s="8"/>
      <c r="T114" s="42"/>
      <c r="U114" s="8"/>
      <c r="V114" s="42"/>
      <c r="W114" s="8">
        <f>(BDER!L471+BDER!L494+BDER!L561+BDER!L606)/1000</f>
        <v>61.765999999999998</v>
      </c>
      <c r="X114" s="42">
        <f t="shared" si="379"/>
        <v>4.4100899568101641E-2</v>
      </c>
      <c r="Y114" s="8">
        <f>(BDER!L516+BDER!L538+BDER!L583+BDER!L628+BDER!L650)/1000</f>
        <v>0</v>
      </c>
      <c r="Z114" s="42">
        <f t="shared" si="380"/>
        <v>0</v>
      </c>
      <c r="AA114" s="8"/>
      <c r="AB114" s="42"/>
      <c r="AC114" s="8"/>
      <c r="AD114" s="42"/>
      <c r="AE114" s="11">
        <f>+AA114+U114+S114+AC114+W114+Y114</f>
        <v>61.765999999999998</v>
      </c>
      <c r="AF114" s="42">
        <f t="shared" si="381"/>
        <v>3.3971980605856618E-4</v>
      </c>
      <c r="AH114" s="7" t="s">
        <v>9</v>
      </c>
      <c r="AI114" s="8"/>
      <c r="AJ114" s="42"/>
      <c r="AK114" s="8"/>
      <c r="AL114" s="42"/>
      <c r="AM114" s="8">
        <f>(BDER!H471+BDER!H494+BDER!H561+BDER!H606)/1000</f>
        <v>57.019700000000007</v>
      </c>
      <c r="AN114" s="42">
        <f t="shared" si="382"/>
        <v>4.2330624495660107E-2</v>
      </c>
      <c r="AO114" s="8">
        <f>(BDER!H516+BDER!H538+BDER!H583+BDER!H628+BDER!H650)/1000</f>
        <v>5.9590000000000004E-2</v>
      </c>
      <c r="AP114" s="42">
        <f t="shared" si="383"/>
        <v>4.522928911838256E-4</v>
      </c>
      <c r="AQ114" s="8"/>
      <c r="AR114" s="42"/>
      <c r="AS114" s="8"/>
      <c r="AT114" s="42"/>
      <c r="AU114" s="11">
        <f>+AQ114+AK114+AI114+AS114+AM114+AO114</f>
        <v>57.079290000000007</v>
      </c>
      <c r="AV114" s="42">
        <f t="shared" si="384"/>
        <v>2.2584316714413494E-4</v>
      </c>
    </row>
    <row r="115" spans="2:48" x14ac:dyDescent="0.35">
      <c r="B115" s="7" t="s">
        <v>10</v>
      </c>
      <c r="C115" s="11"/>
      <c r="D115" s="138" t="str">
        <f t="shared" si="372"/>
        <v>N.D.</v>
      </c>
      <c r="E115" s="11">
        <f>E47/TC_PROM</f>
        <v>45.019660515802386</v>
      </c>
      <c r="F115" s="138">
        <f t="shared" si="373"/>
        <v>1.7085132000910948E-2</v>
      </c>
      <c r="G115" s="11">
        <f>G47/TC_PROM</f>
        <v>18.611690000000003</v>
      </c>
      <c r="H115" s="138">
        <f t="shared" si="374"/>
        <v>1.180849617178382E-2</v>
      </c>
      <c r="I115" s="11">
        <f>I47/TC_PROM</f>
        <v>30.12433</v>
      </c>
      <c r="J115" s="138">
        <f t="shared" si="375"/>
        <v>0.2921918963127812</v>
      </c>
      <c r="K115" s="11">
        <f>K47/TC_PROM</f>
        <v>96.011033978086331</v>
      </c>
      <c r="L115" s="138">
        <f t="shared" si="376"/>
        <v>1.1255837256464455E-2</v>
      </c>
      <c r="M115" s="11">
        <f>M47/TC_PROM</f>
        <v>1.5785278469997233</v>
      </c>
      <c r="N115" s="138">
        <f t="shared" si="377"/>
        <v>4.3102199209188148E-3</v>
      </c>
      <c r="O115" s="11">
        <f>O47/TC_PROM</f>
        <v>191.34524234088843</v>
      </c>
      <c r="P115" s="138">
        <f t="shared" si="378"/>
        <v>1.4484481505797696E-2</v>
      </c>
      <c r="R115" s="7" t="s">
        <v>10</v>
      </c>
      <c r="S115" s="8"/>
      <c r="T115" s="42"/>
      <c r="U115" s="8"/>
      <c r="V115" s="42"/>
      <c r="W115" s="8">
        <f>(BDER!L472+BDER!L495+BDER!L562+BDER!L607)/1000</f>
        <v>13.294</v>
      </c>
      <c r="X115" s="42">
        <f t="shared" si="379"/>
        <v>9.4919107414814501E-3</v>
      </c>
      <c r="Y115" s="8">
        <f>(BDER!L517+BDER!L539+BDER!L584+BDER!L629+BDER!L651)/1000</f>
        <v>13.698</v>
      </c>
      <c r="Z115" s="42">
        <f t="shared" si="380"/>
        <v>0.13187003610108303</v>
      </c>
      <c r="AA115" s="8"/>
      <c r="AB115" s="42"/>
      <c r="AC115" s="8"/>
      <c r="AD115" s="42"/>
      <c r="AE115" s="11">
        <f>+AA115+U115+S115+AC115+W115+Y115</f>
        <v>26.992000000000001</v>
      </c>
      <c r="AF115" s="42">
        <f t="shared" si="381"/>
        <v>1.4845897427602273E-4</v>
      </c>
      <c r="AH115" s="7" t="s">
        <v>10</v>
      </c>
      <c r="AI115" s="8"/>
      <c r="AJ115" s="42"/>
      <c r="AK115" s="8"/>
      <c r="AL115" s="42"/>
      <c r="AM115" s="8">
        <f>(BDER!H472+BDER!H495+BDER!H562+BDER!H607)/1000</f>
        <v>15.527719999999999</v>
      </c>
      <c r="AN115" s="42">
        <f t="shared" si="382"/>
        <v>1.1527561256789342E-2</v>
      </c>
      <c r="AO115" s="8">
        <f>(BDER!H517+BDER!H539+BDER!H584+BDER!H629+BDER!H651)/1000</f>
        <v>21.002410000000001</v>
      </c>
      <c r="AP115" s="42">
        <f t="shared" si="383"/>
        <v>0.15940998054586492</v>
      </c>
      <c r="AQ115" s="8"/>
      <c r="AR115" s="42"/>
      <c r="AS115" s="8"/>
      <c r="AT115" s="42"/>
      <c r="AU115" s="11">
        <f>+AQ115+AK115+AI115+AS115+AM115+AO115</f>
        <v>36.53013</v>
      </c>
      <c r="AV115" s="42">
        <f t="shared" si="384"/>
        <v>1.4453719125425311E-4</v>
      </c>
    </row>
    <row r="116" spans="2:48" x14ac:dyDescent="0.35">
      <c r="B116" s="4" t="s">
        <v>11</v>
      </c>
      <c r="C116" s="14"/>
      <c r="D116" s="139" t="str">
        <f t="shared" si="372"/>
        <v>N.D.</v>
      </c>
      <c r="E116" s="14">
        <f>E48/TC_PROM</f>
        <v>967.69954956291292</v>
      </c>
      <c r="F116" s="139">
        <f t="shared" si="373"/>
        <v>0.36724565116836178</v>
      </c>
      <c r="G116" s="14">
        <f>G48/TC_PROM</f>
        <v>1013.9403300000002</v>
      </c>
      <c r="H116" s="139">
        <f t="shared" si="374"/>
        <v>0.64331130086640298</v>
      </c>
      <c r="I116" s="14">
        <f>I48/TC_PROM</f>
        <v>51.770319999999998</v>
      </c>
      <c r="J116" s="139">
        <f t="shared" si="375"/>
        <v>0.50214786431829361</v>
      </c>
      <c r="K116" s="14">
        <f>K48/TC_PROM</f>
        <v>1538.7857227265538</v>
      </c>
      <c r="L116" s="139">
        <f t="shared" si="376"/>
        <v>0.18039928276925271</v>
      </c>
      <c r="M116" s="14">
        <f>M48/TC_PROM</f>
        <v>32.72109044341601</v>
      </c>
      <c r="N116" s="139">
        <f t="shared" si="377"/>
        <v>8.9345966326448131E-2</v>
      </c>
      <c r="O116" s="14">
        <f>O48/TC_PROM</f>
        <v>3604.9170127328825</v>
      </c>
      <c r="P116" s="139">
        <f t="shared" si="378"/>
        <v>0.27288556099995098</v>
      </c>
      <c r="R116" s="4" t="s">
        <v>11</v>
      </c>
      <c r="S116" s="14"/>
      <c r="T116" s="43"/>
      <c r="U116" s="14"/>
      <c r="V116" s="43"/>
      <c r="W116" s="14">
        <f>+W115+W114+W113</f>
        <v>1008.5240000000001</v>
      </c>
      <c r="X116" s="43">
        <f t="shared" si="379"/>
        <v>0.72008573707250179</v>
      </c>
      <c r="Y116" s="14">
        <f>+Y115+Y114+Y113</f>
        <v>46.898000000000003</v>
      </c>
      <c r="Z116" s="43">
        <f t="shared" si="380"/>
        <v>0.45148495788206983</v>
      </c>
      <c r="AA116" s="14"/>
      <c r="AB116" s="43"/>
      <c r="AC116" s="14"/>
      <c r="AD116" s="43"/>
      <c r="AE116" s="14">
        <f>+AA116+U116+S116+AC116+W116+Y116</f>
        <v>1055.422</v>
      </c>
      <c r="AF116" s="43">
        <f t="shared" si="381"/>
        <v>5.8049372980271356E-3</v>
      </c>
      <c r="AH116" s="4" t="s">
        <v>11</v>
      </c>
      <c r="AI116" s="14"/>
      <c r="AJ116" s="43"/>
      <c r="AK116" s="14"/>
      <c r="AL116" s="43"/>
      <c r="AM116" s="14">
        <f>+AM115+AM114+AM113</f>
        <v>990.40090000000009</v>
      </c>
      <c r="AN116" s="43">
        <f t="shared" si="382"/>
        <v>0.73525971897543863</v>
      </c>
      <c r="AO116" s="14">
        <f>+AO115+AO114+AO113</f>
        <v>102.13254999999999</v>
      </c>
      <c r="AP116" s="43">
        <f t="shared" si="383"/>
        <v>0.77519426621038134</v>
      </c>
      <c r="AQ116" s="14"/>
      <c r="AR116" s="43"/>
      <c r="AS116" s="14"/>
      <c r="AT116" s="43"/>
      <c r="AU116" s="14">
        <f>+AQ116+AK116+AI116+AS116+AM116+AO116</f>
        <v>1092.5334500000001</v>
      </c>
      <c r="AV116" s="43">
        <f t="shared" si="384"/>
        <v>4.3227800233483701E-3</v>
      </c>
    </row>
    <row r="117" spans="2:48" x14ac:dyDescent="0.35">
      <c r="B117" s="4" t="s">
        <v>12</v>
      </c>
      <c r="C117" s="20"/>
      <c r="D117" s="142" t="str">
        <f t="shared" si="372"/>
        <v>N.D.</v>
      </c>
      <c r="E117" s="20">
        <f>E53/TC_PROM</f>
        <v>314.46622117400454</v>
      </c>
      <c r="F117" s="142">
        <f t="shared" si="373"/>
        <v>0.11934112423392554</v>
      </c>
      <c r="G117" s="20">
        <f>G53/TC_PROM</f>
        <v>89.099649999999869</v>
      </c>
      <c r="H117" s="142">
        <f t="shared" si="374"/>
        <v>5.6530754377075727E-2</v>
      </c>
      <c r="I117" s="20">
        <f>I53/TC_PROM</f>
        <v>51.327439999999989</v>
      </c>
      <c r="J117" s="142">
        <f t="shared" si="375"/>
        <v>0.49785213568170628</v>
      </c>
      <c r="K117" s="20">
        <f>K53/TC_PROM</f>
        <v>466.87775453898263</v>
      </c>
      <c r="L117" s="142">
        <f t="shared" si="376"/>
        <v>5.4734334232394349E-2</v>
      </c>
      <c r="M117" s="20">
        <f>M53/TC_PROM</f>
        <v>141.85555951109532</v>
      </c>
      <c r="N117" s="142">
        <f t="shared" si="377"/>
        <v>0.38734106570241245</v>
      </c>
      <c r="O117" s="20">
        <f>O53/TC_PROM</f>
        <v>1063.6266252240832</v>
      </c>
      <c r="P117" s="142">
        <f t="shared" si="378"/>
        <v>8.0514571429404894E-2</v>
      </c>
      <c r="R117" s="4" t="s">
        <v>12</v>
      </c>
      <c r="S117" s="20"/>
      <c r="T117" s="45"/>
      <c r="U117" s="20"/>
      <c r="V117" s="45"/>
      <c r="W117" s="20">
        <f>+W111-W116</f>
        <v>-45.983000000000175</v>
      </c>
      <c r="X117" s="45">
        <f t="shared" si="379"/>
        <v>-3.2831843811158654E-2</v>
      </c>
      <c r="Y117" s="20">
        <f>+Y111-Y116</f>
        <v>56.976999999999997</v>
      </c>
      <c r="Z117" s="45">
        <f t="shared" si="380"/>
        <v>0.54851504211793012</v>
      </c>
      <c r="AA117" s="20"/>
      <c r="AB117" s="45"/>
      <c r="AC117" s="20"/>
      <c r="AD117" s="45"/>
      <c r="AE117" s="20">
        <f>+AA117+U117+S117+AC117+W117+Y117</f>
        <v>10.993999999999822</v>
      </c>
      <c r="AF117" s="45">
        <f t="shared" si="381"/>
        <v>6.0468211440077331E-5</v>
      </c>
      <c r="AH117" s="4" t="s">
        <v>12</v>
      </c>
      <c r="AI117" s="20"/>
      <c r="AJ117" s="45"/>
      <c r="AK117" s="20"/>
      <c r="AL117" s="45"/>
      <c r="AM117" s="20">
        <f>+AM111-AM116</f>
        <v>-85.128730000000246</v>
      </c>
      <c r="AN117" s="45">
        <f t="shared" si="382"/>
        <v>-6.3198373604604119E-2</v>
      </c>
      <c r="AO117" s="20">
        <f>+AO111-AO116</f>
        <v>29.61836000000001</v>
      </c>
      <c r="AP117" s="45">
        <f t="shared" si="383"/>
        <v>0.22480573378961868</v>
      </c>
      <c r="AQ117" s="20"/>
      <c r="AR117" s="45"/>
      <c r="AS117" s="20"/>
      <c r="AT117" s="45"/>
      <c r="AU117" s="20">
        <f>+AQ117+AK117+AI117+AS117+AM117+AO117</f>
        <v>-55.510370000000236</v>
      </c>
      <c r="AV117" s="45">
        <f t="shared" si="384"/>
        <v>-2.1963548898633507E-4</v>
      </c>
    </row>
    <row r="118" spans="2:48" x14ac:dyDescent="0.35">
      <c r="B118" s="1"/>
      <c r="C118" s="30"/>
      <c r="D118" s="140"/>
      <c r="E118" s="30"/>
      <c r="F118" s="140"/>
      <c r="G118" s="30"/>
      <c r="H118" s="140"/>
      <c r="I118" s="30"/>
      <c r="J118" s="140"/>
      <c r="K118" s="30"/>
      <c r="L118" s="140"/>
      <c r="M118" s="30"/>
      <c r="N118" s="140"/>
      <c r="O118" s="30"/>
      <c r="P118" s="140"/>
      <c r="R118" s="1"/>
      <c r="S118" s="30"/>
      <c r="T118" s="44"/>
      <c r="U118" s="30"/>
      <c r="V118" s="44"/>
      <c r="W118" s="30"/>
      <c r="X118" s="44"/>
      <c r="Y118" s="30"/>
      <c r="Z118" s="44"/>
      <c r="AA118" s="30"/>
      <c r="AB118" s="44"/>
      <c r="AC118" s="30"/>
      <c r="AD118" s="44"/>
      <c r="AE118" s="30"/>
      <c r="AF118" s="44"/>
      <c r="AH118" s="1"/>
      <c r="AI118" s="30"/>
      <c r="AJ118" s="44"/>
      <c r="AK118" s="30"/>
      <c r="AL118" s="44"/>
      <c r="AM118" s="30"/>
      <c r="AN118" s="44"/>
      <c r="AO118" s="30"/>
      <c r="AP118" s="44"/>
      <c r="AQ118" s="30"/>
      <c r="AR118" s="44"/>
      <c r="AS118" s="30"/>
      <c r="AT118" s="44"/>
      <c r="AU118" s="30"/>
      <c r="AV118" s="44"/>
    </row>
    <row r="119" spans="2:48" x14ac:dyDescent="0.35">
      <c r="B119" s="7" t="s">
        <v>13</v>
      </c>
      <c r="C119" s="8"/>
      <c r="D119" s="141" t="str">
        <f t="shared" ref="D119:D125" si="385">IF(C$109=0,"N.D.",C119/C$109)</f>
        <v>N.D.</v>
      </c>
      <c r="E119" s="8">
        <f t="shared" ref="E119:E125" si="386">E55/TC_PROM</f>
        <v>8.2237713104703136</v>
      </c>
      <c r="F119" s="141">
        <f t="shared" ref="F119:F125" si="387">IF(E$109=0,"N.D.",E119/E$109)</f>
        <v>3.1209524188964338E-3</v>
      </c>
      <c r="G119" s="8">
        <f t="shared" ref="G119:G125" si="388">G55/TC_PROM</f>
        <v>0</v>
      </c>
      <c r="H119" s="141">
        <f t="shared" ref="H119:H125" si="389">IF(G$109=0,"N.D.",G119/G$109)</f>
        <v>0</v>
      </c>
      <c r="I119" s="8">
        <f t="shared" ref="I119:I125" si="390">I55/TC_PROM</f>
        <v>0</v>
      </c>
      <c r="J119" s="141">
        <f t="shared" ref="J119:J125" si="391">IF(I$109=0,"N.D.",I119/I$109)</f>
        <v>0</v>
      </c>
      <c r="K119" s="8">
        <f t="shared" ref="K119:K125" si="392">K55/TC_PROM</f>
        <v>37.317314880740483</v>
      </c>
      <c r="L119" s="141">
        <f t="shared" ref="L119:L125" si="393">IF(K$109=0,"N.D.",K119/K$109)</f>
        <v>4.3748890699554805E-3</v>
      </c>
      <c r="M119" s="8">
        <f t="shared" ref="M119:M125" si="394">M55/TC_PROM</f>
        <v>0.85138147225188887</v>
      </c>
      <c r="N119" s="141">
        <f t="shared" ref="N119:N125" si="395">IF(M$109=0,"N.D.",M119/M$109)</f>
        <v>2.3247238805296313E-3</v>
      </c>
      <c r="O119" s="8">
        <f t="shared" ref="O119:O125" si="396">O55/TC_PROM</f>
        <v>46.392467663462689</v>
      </c>
      <c r="P119" s="141">
        <f t="shared" ref="P119:P125" si="397">IF(O$109=0,"N.D.",O119/O$109)</f>
        <v>3.5118241334822567E-3</v>
      </c>
      <c r="R119" s="7" t="s">
        <v>13</v>
      </c>
      <c r="S119" s="8"/>
      <c r="T119" s="29"/>
      <c r="U119" s="8"/>
      <c r="V119" s="29"/>
      <c r="W119" s="8">
        <f>(BDER!L475+BDER!L498+BDER!L565+BDER!L610)/1000</f>
        <v>0</v>
      </c>
      <c r="X119" s="29">
        <f t="shared" ref="X119:X125" si="398">IF(W$109=0,"N.D.",W119/W$109)</f>
        <v>0</v>
      </c>
      <c r="Y119" s="8">
        <f>(BDER!L520+BDER!L542+BDER!L587+BDER!L632+BDER!L654)/1000</f>
        <v>0</v>
      </c>
      <c r="Z119" s="29">
        <f t="shared" ref="Z119:Z125" si="399">IF(Y$109=0,"N.D.",Y119/Y$109)</f>
        <v>0</v>
      </c>
      <c r="AA119" s="8"/>
      <c r="AB119" s="29"/>
      <c r="AC119" s="8"/>
      <c r="AD119" s="29"/>
      <c r="AE119" s="8">
        <f>+AA119+U119+S119+AC119+W119+Y119</f>
        <v>0</v>
      </c>
      <c r="AF119" s="29">
        <f>IF(AE$41=0,"N.D.",AE119/AE$41)</f>
        <v>0</v>
      </c>
      <c r="AH119" s="7" t="s">
        <v>13</v>
      </c>
      <c r="AI119" s="8"/>
      <c r="AJ119" s="29"/>
      <c r="AK119" s="8"/>
      <c r="AL119" s="29"/>
      <c r="AM119" s="8">
        <f>(BDER!H475+BDER!H498+BDER!H565+BDER!H610)/1000</f>
        <v>0</v>
      </c>
      <c r="AN119" s="29">
        <f t="shared" ref="AN119:AN125" si="400">IF(AM$109=0,"N.D.",AM119/AM$109)</f>
        <v>0</v>
      </c>
      <c r="AO119" s="8">
        <f>(BDER!H520+BDER!H542+BDER!H587+BDER!H632+BDER!H654)/1000</f>
        <v>0</v>
      </c>
      <c r="AP119" s="29">
        <f t="shared" ref="AP119:AP125" si="401">IF(AO$109=0,"N.D.",AO119/AO$109)</f>
        <v>0</v>
      </c>
      <c r="AQ119" s="8"/>
      <c r="AR119" s="29"/>
      <c r="AS119" s="8"/>
      <c r="AT119" s="29"/>
      <c r="AU119" s="8">
        <f>+AQ119+AK119+AI119+AS119+AM119+AO119</f>
        <v>0</v>
      </c>
      <c r="AV119" s="29">
        <f t="shared" ref="AV119:AV125" si="402">IF(AU$41=0,"N.D.",AU119/AU$41)</f>
        <v>0</v>
      </c>
    </row>
    <row r="120" spans="2:48" x14ac:dyDescent="0.35">
      <c r="B120" s="7" t="s">
        <v>14</v>
      </c>
      <c r="C120" s="11"/>
      <c r="D120" s="138" t="str">
        <f t="shared" si="385"/>
        <v>N.D.</v>
      </c>
      <c r="E120" s="11">
        <f t="shared" si="386"/>
        <v>-12.39684347929275</v>
      </c>
      <c r="F120" s="138">
        <f t="shared" si="387"/>
        <v>-4.7046491424342059E-3</v>
      </c>
      <c r="G120" s="11">
        <f t="shared" si="388"/>
        <v>-10.13327</v>
      </c>
      <c r="H120" s="138">
        <f t="shared" si="389"/>
        <v>-6.4292216345023913E-3</v>
      </c>
      <c r="I120" s="11">
        <f t="shared" si="390"/>
        <v>0</v>
      </c>
      <c r="J120" s="138">
        <f t="shared" si="391"/>
        <v>0</v>
      </c>
      <c r="K120" s="11">
        <f t="shared" si="392"/>
        <v>-67.535274020015038</v>
      </c>
      <c r="L120" s="138">
        <f t="shared" si="393"/>
        <v>-7.9174863757172156E-3</v>
      </c>
      <c r="M120" s="11">
        <f t="shared" si="394"/>
        <v>-0.40918031327874688</v>
      </c>
      <c r="N120" s="138">
        <f t="shared" si="395"/>
        <v>-1.1172797115324919E-3</v>
      </c>
      <c r="O120" s="11">
        <f t="shared" si="396"/>
        <v>-90.474567812586542</v>
      </c>
      <c r="P120" s="138">
        <f t="shared" si="397"/>
        <v>-6.8487577124692074E-3</v>
      </c>
      <c r="R120" s="7" t="s">
        <v>14</v>
      </c>
      <c r="S120" s="8"/>
      <c r="T120" s="42"/>
      <c r="U120" s="8"/>
      <c r="V120" s="42"/>
      <c r="W120" s="8">
        <f>(BDER!L476+BDER!L499+BDER!L566+BDER!L611)/1000</f>
        <v>-10.44</v>
      </c>
      <c r="X120" s="42">
        <f t="shared" si="398"/>
        <v>-7.4541558703976477E-3</v>
      </c>
      <c r="Y120" s="8">
        <f>(BDER!L521+BDER!L543+BDER!L588+BDER!L633+BDER!L655)/1000</f>
        <v>0</v>
      </c>
      <c r="Z120" s="42">
        <f t="shared" si="399"/>
        <v>0</v>
      </c>
      <c r="AA120" s="8"/>
      <c r="AB120" s="42"/>
      <c r="AC120" s="8"/>
      <c r="AD120" s="42"/>
      <c r="AE120" s="11">
        <f>+AA120+U120+S120+AC120+W120+Y120</f>
        <v>-10.44</v>
      </c>
      <c r="AF120" s="42">
        <f>IF(AE$41=0,"N.D.",AE120/AE$41)</f>
        <v>-5.7421150394253005E-5</v>
      </c>
      <c r="AH120" s="7" t="s">
        <v>14</v>
      </c>
      <c r="AI120" s="8"/>
      <c r="AJ120" s="42"/>
      <c r="AK120" s="8"/>
      <c r="AL120" s="42"/>
      <c r="AM120" s="8">
        <f>(BDER!H476+BDER!H499+BDER!H566+BDER!H611)/1000</f>
        <v>-9.0666000000000011</v>
      </c>
      <c r="AN120" s="42">
        <f t="shared" si="400"/>
        <v>-6.7309165087215813E-3</v>
      </c>
      <c r="AO120" s="8">
        <f>(BDER!H521+BDER!H543+BDER!H588+BDER!H633+BDER!H655)/1000</f>
        <v>3.14161</v>
      </c>
      <c r="AP120" s="42">
        <f t="shared" si="401"/>
        <v>2.3845072493237428E-2</v>
      </c>
      <c r="AQ120" s="8"/>
      <c r="AR120" s="42"/>
      <c r="AS120" s="8"/>
      <c r="AT120" s="42"/>
      <c r="AU120" s="11">
        <f>+AQ120+AK120+AI120+AS120+AM120+AO120</f>
        <v>-5.9249900000000011</v>
      </c>
      <c r="AV120" s="42">
        <f t="shared" si="402"/>
        <v>-2.3443152619756276E-5</v>
      </c>
    </row>
    <row r="121" spans="2:48" x14ac:dyDescent="0.35">
      <c r="B121" s="7" t="s">
        <v>15</v>
      </c>
      <c r="C121" s="11"/>
      <c r="D121" s="138" t="str">
        <f t="shared" si="385"/>
        <v>N.D.</v>
      </c>
      <c r="E121" s="11">
        <f t="shared" si="386"/>
        <v>44.953336003322661</v>
      </c>
      <c r="F121" s="138">
        <f t="shared" si="387"/>
        <v>1.7059961596744652E-2</v>
      </c>
      <c r="G121" s="11">
        <f t="shared" si="388"/>
        <v>0</v>
      </c>
      <c r="H121" s="138">
        <f t="shared" si="389"/>
        <v>0</v>
      </c>
      <c r="I121" s="11">
        <f t="shared" si="390"/>
        <v>11.86004</v>
      </c>
      <c r="J121" s="138">
        <f t="shared" si="391"/>
        <v>0.11503683494190368</v>
      </c>
      <c r="K121" s="11">
        <f t="shared" si="392"/>
        <v>10.126931292274831</v>
      </c>
      <c r="L121" s="138">
        <f t="shared" si="393"/>
        <v>1.1872290695177736E-3</v>
      </c>
      <c r="M121" s="11">
        <f t="shared" si="394"/>
        <v>0.21219047901586172</v>
      </c>
      <c r="N121" s="138">
        <f t="shared" si="395"/>
        <v>5.7939277499716689E-4</v>
      </c>
      <c r="O121" s="11">
        <f t="shared" si="396"/>
        <v>67.201942021280814</v>
      </c>
      <c r="P121" s="138">
        <f t="shared" si="397"/>
        <v>5.0870629154542036E-3</v>
      </c>
      <c r="R121" s="7" t="s">
        <v>15</v>
      </c>
      <c r="S121" s="8"/>
      <c r="T121" s="42"/>
      <c r="U121" s="8"/>
      <c r="V121" s="42"/>
      <c r="W121" s="8">
        <f>(BDER!L477+BDER!L500+BDER!L567+BDER!L612)/1000</f>
        <v>0</v>
      </c>
      <c r="X121" s="42">
        <f t="shared" si="398"/>
        <v>0</v>
      </c>
      <c r="Y121" s="8">
        <f>(BDER!L522+BDER!L544+BDER!L589+BDER!L634+BDER!L656)/1000</f>
        <v>8.6999999999999993</v>
      </c>
      <c r="Z121" s="42">
        <f t="shared" si="399"/>
        <v>8.3754512635379058E-2</v>
      </c>
      <c r="AA121" s="8"/>
      <c r="AB121" s="42"/>
      <c r="AC121" s="8"/>
      <c r="AD121" s="42"/>
      <c r="AE121" s="11">
        <f>+AA121+U121+S121+AC121+W121+Y121</f>
        <v>8.6999999999999993</v>
      </c>
      <c r="AF121" s="42">
        <f t="shared" ref="AF121:AF125" si="403">IF(AE$41=0,"N.D.",AE121/AE$41)</f>
        <v>4.78509586618775E-5</v>
      </c>
      <c r="AH121" s="7" t="s">
        <v>15</v>
      </c>
      <c r="AI121" s="8"/>
      <c r="AJ121" s="42"/>
      <c r="AK121" s="8"/>
      <c r="AL121" s="42"/>
      <c r="AM121" s="8">
        <f>(BDER!H477+BDER!H500+BDER!H567+BDER!H612)/1000</f>
        <v>8.5325000000000006</v>
      </c>
      <c r="AN121" s="42">
        <f t="shared" si="400"/>
        <v>6.3344081696189184E-3</v>
      </c>
      <c r="AO121" s="8">
        <f>(BDER!H522+BDER!H544+BDER!H589+BDER!H634+BDER!H656)/1000</f>
        <v>40.283670000000008</v>
      </c>
      <c r="AP121" s="42">
        <f t="shared" si="401"/>
        <v>0.30575629420700023</v>
      </c>
      <c r="AQ121" s="8"/>
      <c r="AR121" s="42"/>
      <c r="AS121" s="8"/>
      <c r="AT121" s="42"/>
      <c r="AU121" s="11">
        <f>+AQ121+AK121+AI121+AS121+AM121+AO121</f>
        <v>48.816170000000007</v>
      </c>
      <c r="AV121" s="42">
        <f t="shared" si="402"/>
        <v>1.9314883630554104E-4</v>
      </c>
    </row>
    <row r="122" spans="2:48" x14ac:dyDescent="0.35">
      <c r="B122" s="7" t="s">
        <v>16</v>
      </c>
      <c r="C122" s="11"/>
      <c r="D122" s="138" t="str">
        <f t="shared" si="385"/>
        <v>N.D.</v>
      </c>
      <c r="E122" s="11">
        <f t="shared" si="386"/>
        <v>1.5685059926426961</v>
      </c>
      <c r="F122" s="138">
        <f t="shared" si="387"/>
        <v>5.9525397618478016E-4</v>
      </c>
      <c r="G122" s="11">
        <f t="shared" si="388"/>
        <v>0</v>
      </c>
      <c r="H122" s="138">
        <f t="shared" si="389"/>
        <v>0</v>
      </c>
      <c r="I122" s="11">
        <f t="shared" si="390"/>
        <v>0</v>
      </c>
      <c r="J122" s="138">
        <f t="shared" si="391"/>
        <v>0</v>
      </c>
      <c r="K122" s="11">
        <f t="shared" si="392"/>
        <v>3.2171806396107758</v>
      </c>
      <c r="L122" s="138">
        <f t="shared" si="393"/>
        <v>3.7716562569644024E-4</v>
      </c>
      <c r="M122" s="11">
        <f t="shared" si="394"/>
        <v>18.430908093034297</v>
      </c>
      <c r="N122" s="138">
        <f t="shared" si="395"/>
        <v>5.0326174083157725E-2</v>
      </c>
      <c r="O122" s="11">
        <f t="shared" si="396"/>
        <v>23.21659472528777</v>
      </c>
      <c r="P122" s="138">
        <f t="shared" si="397"/>
        <v>1.7574533487847873E-3</v>
      </c>
      <c r="R122" s="7" t="s">
        <v>16</v>
      </c>
      <c r="S122" s="8"/>
      <c r="T122" s="42"/>
      <c r="U122" s="8"/>
      <c r="V122" s="42"/>
      <c r="W122" s="8">
        <f>(BDER!L478+BDER!L501+BDER!L568+BDER!L613)/1000</f>
        <v>0</v>
      </c>
      <c r="X122" s="42">
        <f t="shared" si="398"/>
        <v>0</v>
      </c>
      <c r="Y122" s="8">
        <f>(BDER!L523+BDER!L545+BDER!L590+BDER!L635+BDER!L657)/1000</f>
        <v>0</v>
      </c>
      <c r="Z122" s="42">
        <f t="shared" si="399"/>
        <v>0</v>
      </c>
      <c r="AA122" s="8"/>
      <c r="AB122" s="42"/>
      <c r="AC122" s="8"/>
      <c r="AD122" s="42"/>
      <c r="AE122" s="11">
        <f>+AA122+U122+S122+AC122+W122+Y122</f>
        <v>0</v>
      </c>
      <c r="AF122" s="42">
        <f t="shared" si="403"/>
        <v>0</v>
      </c>
      <c r="AH122" s="7" t="s">
        <v>16</v>
      </c>
      <c r="AI122" s="8"/>
      <c r="AJ122" s="42"/>
      <c r="AK122" s="8"/>
      <c r="AL122" s="42"/>
      <c r="AM122" s="8">
        <f>(BDER!H478+BDER!H501+BDER!H568+BDER!H613)/1000</f>
        <v>0</v>
      </c>
      <c r="AN122" s="42">
        <f t="shared" si="400"/>
        <v>0</v>
      </c>
      <c r="AO122" s="8">
        <f>(BDER!H523+BDER!H545+BDER!H590+BDER!H635+BDER!H657)/1000</f>
        <v>0</v>
      </c>
      <c r="AP122" s="42">
        <f t="shared" si="401"/>
        <v>0</v>
      </c>
      <c r="AQ122" s="8"/>
      <c r="AR122" s="42"/>
      <c r="AS122" s="8"/>
      <c r="AT122" s="42"/>
      <c r="AU122" s="11">
        <f>+AQ122+AK122+AI122+AS122+AM122+AO122</f>
        <v>0</v>
      </c>
      <c r="AV122" s="42">
        <f t="shared" si="402"/>
        <v>0</v>
      </c>
    </row>
    <row r="123" spans="2:48" x14ac:dyDescent="0.35">
      <c r="B123" s="7"/>
      <c r="C123" s="11"/>
      <c r="D123" s="138" t="str">
        <f t="shared" si="385"/>
        <v>N.D.</v>
      </c>
      <c r="E123" s="11">
        <f t="shared" si="386"/>
        <v>0</v>
      </c>
      <c r="F123" s="138">
        <f t="shared" si="387"/>
        <v>0</v>
      </c>
      <c r="G123" s="11">
        <f t="shared" si="388"/>
        <v>0</v>
      </c>
      <c r="H123" s="138">
        <f t="shared" si="389"/>
        <v>0</v>
      </c>
      <c r="I123" s="11">
        <f t="shared" si="390"/>
        <v>0</v>
      </c>
      <c r="J123" s="138">
        <f t="shared" si="391"/>
        <v>0</v>
      </c>
      <c r="K123" s="11">
        <f t="shared" si="392"/>
        <v>0</v>
      </c>
      <c r="L123" s="138">
        <f t="shared" si="393"/>
        <v>0</v>
      </c>
      <c r="M123" s="11">
        <f t="shared" si="394"/>
        <v>0</v>
      </c>
      <c r="N123" s="138">
        <f t="shared" si="395"/>
        <v>0</v>
      </c>
      <c r="O123" s="11">
        <f t="shared" si="396"/>
        <v>0</v>
      </c>
      <c r="P123" s="138">
        <f t="shared" si="397"/>
        <v>0</v>
      </c>
      <c r="R123" s="7"/>
      <c r="S123" s="8"/>
      <c r="T123" s="42"/>
      <c r="U123" s="8"/>
      <c r="V123" s="42"/>
      <c r="W123" s="8">
        <f>(BDER!L479+BDER!L502+BDER!L569+BDER!L614)/1000</f>
        <v>0</v>
      </c>
      <c r="X123" s="42">
        <f t="shared" si="398"/>
        <v>0</v>
      </c>
      <c r="Y123" s="8">
        <f>(BDER!L524+BDER!L546+BDER!L591+BDER!L636+BDER!L658)/1000</f>
        <v>0</v>
      </c>
      <c r="Z123" s="42">
        <f t="shared" si="399"/>
        <v>0</v>
      </c>
      <c r="AA123" s="8"/>
      <c r="AB123" s="42"/>
      <c r="AC123" s="8"/>
      <c r="AD123" s="42"/>
      <c r="AE123" s="11">
        <f>+AA123+U123+S123+AC123+W123+Y123</f>
        <v>0</v>
      </c>
      <c r="AF123" s="42">
        <f t="shared" si="403"/>
        <v>0</v>
      </c>
      <c r="AH123" s="7"/>
      <c r="AI123" s="8"/>
      <c r="AJ123" s="42"/>
      <c r="AK123" s="8"/>
      <c r="AL123" s="42"/>
      <c r="AM123" s="8">
        <f>(BDER!H479+BDER!H502+BDER!H569+BDER!H614)/1000</f>
        <v>0</v>
      </c>
      <c r="AN123" s="42">
        <f t="shared" si="400"/>
        <v>0</v>
      </c>
      <c r="AO123" s="8">
        <f>(BDER!H524+BDER!H546+BDER!H591+BDER!H636+BDER!H658)/1000</f>
        <v>0</v>
      </c>
      <c r="AP123" s="42">
        <f t="shared" si="401"/>
        <v>0</v>
      </c>
      <c r="AQ123" s="8"/>
      <c r="AR123" s="42"/>
      <c r="AS123" s="8"/>
      <c r="AT123" s="42"/>
      <c r="AU123" s="11">
        <f>+AQ123+AK123+AI123+AS123+AM123+AO123</f>
        <v>0</v>
      </c>
      <c r="AV123" s="42">
        <f t="shared" si="402"/>
        <v>0</v>
      </c>
    </row>
    <row r="124" spans="2:48" x14ac:dyDescent="0.35">
      <c r="B124" s="4" t="s">
        <v>17</v>
      </c>
      <c r="C124" s="14"/>
      <c r="D124" s="139" t="str">
        <f t="shared" si="385"/>
        <v>N.D.</v>
      </c>
      <c r="E124" s="14">
        <f t="shared" si="386"/>
        <v>39.211757841857533</v>
      </c>
      <c r="F124" s="139">
        <f t="shared" si="387"/>
        <v>1.4881010897022103E-2</v>
      </c>
      <c r="G124" s="14">
        <f t="shared" si="388"/>
        <v>-10.13327</v>
      </c>
      <c r="H124" s="139">
        <f t="shared" si="389"/>
        <v>-6.4292216345023913E-3</v>
      </c>
      <c r="I124" s="14">
        <f t="shared" si="390"/>
        <v>11.86004</v>
      </c>
      <c r="J124" s="139">
        <f t="shared" si="391"/>
        <v>0.11503683494190368</v>
      </c>
      <c r="K124" s="14">
        <f t="shared" si="392"/>
        <v>-23.3082084866105</v>
      </c>
      <c r="L124" s="139">
        <f t="shared" si="393"/>
        <v>-2.7325338619404028E-3</v>
      </c>
      <c r="M124" s="14">
        <f t="shared" si="394"/>
        <v>-17.776516455045293</v>
      </c>
      <c r="N124" s="139">
        <f t="shared" si="395"/>
        <v>-4.8539337139163412E-2</v>
      </c>
      <c r="O124" s="14">
        <f t="shared" si="396"/>
        <v>-9.6752853130804395E-2</v>
      </c>
      <c r="P124" s="139">
        <f t="shared" si="397"/>
        <v>-7.3240123175345322E-6</v>
      </c>
      <c r="R124" s="4" t="s">
        <v>17</v>
      </c>
      <c r="S124" s="14"/>
      <c r="T124" s="43"/>
      <c r="U124" s="14"/>
      <c r="V124" s="43"/>
      <c r="W124" s="14">
        <f>W119+W120+W121-W122-W123</f>
        <v>-10.44</v>
      </c>
      <c r="X124" s="43">
        <f t="shared" si="398"/>
        <v>-7.4541558703976477E-3</v>
      </c>
      <c r="Y124" s="14">
        <f>Y119+Y120+Y121-Y122-Y123</f>
        <v>8.6999999999999993</v>
      </c>
      <c r="Z124" s="43">
        <f t="shared" si="399"/>
        <v>8.3754512635379058E-2</v>
      </c>
      <c r="AA124" s="14"/>
      <c r="AB124" s="43"/>
      <c r="AC124" s="14"/>
      <c r="AD124" s="43"/>
      <c r="AE124" s="14">
        <f>AE119+AE120+AE121-AE122</f>
        <v>-1.7400000000000002</v>
      </c>
      <c r="AF124" s="43">
        <f t="shared" si="403"/>
        <v>-9.5701917323755019E-6</v>
      </c>
      <c r="AH124" s="4" t="s">
        <v>17</v>
      </c>
      <c r="AI124" s="14"/>
      <c r="AJ124" s="43"/>
      <c r="AK124" s="14"/>
      <c r="AL124" s="43"/>
      <c r="AM124" s="14">
        <f>AM119+AM120+AM121-AM122-AM123</f>
        <v>-0.53410000000000046</v>
      </c>
      <c r="AN124" s="43">
        <f t="shared" si="400"/>
        <v>-3.9650833910266246E-4</v>
      </c>
      <c r="AO124" s="14">
        <f>AO119+AO120+AO121-AO122-AO123</f>
        <v>43.425280000000008</v>
      </c>
      <c r="AP124" s="43">
        <f t="shared" si="401"/>
        <v>0.32960136670023765</v>
      </c>
      <c r="AQ124" s="14"/>
      <c r="AR124" s="43"/>
      <c r="AS124" s="14"/>
      <c r="AT124" s="43"/>
      <c r="AU124" s="14">
        <f>AU119+AU120+AU121-AU122</f>
        <v>42.891180000000006</v>
      </c>
      <c r="AV124" s="43">
        <f t="shared" si="402"/>
        <v>1.6970568368578477E-4</v>
      </c>
    </row>
    <row r="125" spans="2:48" x14ac:dyDescent="0.35">
      <c r="B125" s="4" t="s">
        <v>18</v>
      </c>
      <c r="C125" s="14"/>
      <c r="D125" s="139" t="str">
        <f t="shared" si="385"/>
        <v>N.D.</v>
      </c>
      <c r="E125" s="14">
        <f t="shared" si="386"/>
        <v>275.254463332147</v>
      </c>
      <c r="F125" s="139">
        <f t="shared" si="387"/>
        <v>0.10446011333690343</v>
      </c>
      <c r="G125" s="14">
        <f t="shared" si="388"/>
        <v>99.232919999999865</v>
      </c>
      <c r="H125" s="139">
        <f t="shared" si="389"/>
        <v>6.2959976011578114E-2</v>
      </c>
      <c r="I125" s="14">
        <f t="shared" si="390"/>
        <v>39.467399999999991</v>
      </c>
      <c r="J125" s="139">
        <f t="shared" si="391"/>
        <v>0.38281530073980263</v>
      </c>
      <c r="K125" s="14">
        <f t="shared" si="392"/>
        <v>490.18596302559314</v>
      </c>
      <c r="L125" s="139">
        <f t="shared" si="393"/>
        <v>5.7466868094334753E-2</v>
      </c>
      <c r="M125" s="14">
        <f t="shared" si="394"/>
        <v>159.63207596614063</v>
      </c>
      <c r="N125" s="139">
        <f t="shared" si="395"/>
        <v>0.43588040284157592</v>
      </c>
      <c r="O125" s="14">
        <f t="shared" si="396"/>
        <v>1063.723378077214</v>
      </c>
      <c r="P125" s="139">
        <f t="shared" si="397"/>
        <v>8.0521895441722419E-2</v>
      </c>
      <c r="R125" s="4" t="s">
        <v>18</v>
      </c>
      <c r="S125" s="14"/>
      <c r="T125" s="43"/>
      <c r="U125" s="14"/>
      <c r="V125" s="43"/>
      <c r="W125" s="14">
        <f>+W117-W124</f>
        <v>-35.543000000000177</v>
      </c>
      <c r="X125" s="43">
        <f t="shared" si="398"/>
        <v>-2.537768794076101E-2</v>
      </c>
      <c r="Y125" s="14">
        <f>+Y117-Y124</f>
        <v>48.277000000000001</v>
      </c>
      <c r="Z125" s="43">
        <f t="shared" si="399"/>
        <v>0.46476052948255114</v>
      </c>
      <c r="AA125" s="14"/>
      <c r="AB125" s="43"/>
      <c r="AC125" s="14"/>
      <c r="AD125" s="43"/>
      <c r="AE125" s="14">
        <f>+AE117-AE124</f>
        <v>12.733999999999822</v>
      </c>
      <c r="AF125" s="43">
        <f t="shared" si="403"/>
        <v>7.003840317245283E-5</v>
      </c>
      <c r="AH125" s="4" t="s">
        <v>18</v>
      </c>
      <c r="AI125" s="14"/>
      <c r="AJ125" s="43"/>
      <c r="AK125" s="14"/>
      <c r="AL125" s="43"/>
      <c r="AM125" s="14">
        <f>+AM117-AM124</f>
        <v>-84.594630000000251</v>
      </c>
      <c r="AN125" s="43">
        <f t="shared" si="400"/>
        <v>-6.2801865265501466E-2</v>
      </c>
      <c r="AO125" s="14">
        <f>+AO117-AO124</f>
        <v>-13.806919999999998</v>
      </c>
      <c r="AP125" s="43">
        <f t="shared" si="401"/>
        <v>-0.10479563291061897</v>
      </c>
      <c r="AQ125" s="14"/>
      <c r="AR125" s="43"/>
      <c r="AS125" s="14"/>
      <c r="AT125" s="43"/>
      <c r="AU125" s="14">
        <f>+AU117-AU124</f>
        <v>-98.401550000000242</v>
      </c>
      <c r="AV125" s="43">
        <f t="shared" si="402"/>
        <v>-3.8934117267211985E-4</v>
      </c>
    </row>
    <row r="126" spans="2:48" x14ac:dyDescent="0.35">
      <c r="B126" s="1"/>
      <c r="C126" s="30"/>
      <c r="D126" s="140"/>
      <c r="E126" s="30"/>
      <c r="F126" s="140"/>
      <c r="G126" s="30"/>
      <c r="H126" s="140"/>
      <c r="I126" s="30"/>
      <c r="J126" s="140"/>
      <c r="K126" s="30"/>
      <c r="L126" s="140"/>
      <c r="M126" s="30"/>
      <c r="N126" s="140"/>
      <c r="O126" s="30"/>
      <c r="P126" s="140"/>
      <c r="R126" s="1"/>
      <c r="S126" s="30"/>
      <c r="T126" s="44"/>
      <c r="U126" s="30"/>
      <c r="V126" s="44"/>
      <c r="W126" s="30"/>
      <c r="X126" s="44"/>
      <c r="Y126" s="30"/>
      <c r="Z126" s="44"/>
      <c r="AA126" s="30"/>
      <c r="AB126" s="44"/>
      <c r="AC126" s="30"/>
      <c r="AD126" s="44"/>
      <c r="AE126" s="30"/>
      <c r="AF126" s="44"/>
      <c r="AH126" s="1"/>
      <c r="AI126" s="30"/>
      <c r="AJ126" s="44"/>
      <c r="AK126" s="30"/>
      <c r="AL126" s="44"/>
      <c r="AM126" s="30"/>
      <c r="AN126" s="44"/>
      <c r="AO126" s="30"/>
      <c r="AP126" s="44"/>
      <c r="AQ126" s="30"/>
      <c r="AR126" s="44"/>
      <c r="AS126" s="30"/>
      <c r="AT126" s="44"/>
      <c r="AU126" s="30"/>
      <c r="AV126" s="44"/>
    </row>
    <row r="127" spans="2:48" x14ac:dyDescent="0.35">
      <c r="B127" s="7" t="s">
        <v>19</v>
      </c>
      <c r="C127" s="8"/>
      <c r="D127" s="141" t="str">
        <f t="shared" ref="D127:D134" si="404">IF(C$109=0,"N.D.",C127/C$109)</f>
        <v>N.D.</v>
      </c>
      <c r="E127" s="8">
        <f t="shared" ref="E127:E135" si="405">E63/TC_PROM</f>
        <v>76.007953601518935</v>
      </c>
      <c r="F127" s="141">
        <f t="shared" ref="F127:F135" si="406">IF(E$109=0,"N.D.",E127/E$109)</f>
        <v>2.8845306817567872E-2</v>
      </c>
      <c r="G127" s="8">
        <f t="shared" ref="G127:G135" si="407">G63/TC_PROM</f>
        <v>0</v>
      </c>
      <c r="H127" s="141">
        <f t="shared" ref="H127:H135" si="408">IF(G$109=0,"N.D.",G127/G$109)</f>
        <v>0</v>
      </c>
      <c r="I127" s="8">
        <f t="shared" ref="I127:I135" si="409">I63/TC_PROM</f>
        <v>0</v>
      </c>
      <c r="J127" s="141">
        <f t="shared" ref="J127:J135" si="410">IF(I$109=0,"N.D.",I127/I$109)</f>
        <v>0</v>
      </c>
      <c r="K127" s="8">
        <f t="shared" ref="K127:K135" si="411">K63/TC_PROM</f>
        <v>198.1323978481864</v>
      </c>
      <c r="L127" s="141">
        <f t="shared" ref="L127:L135" si="412">IF(K$109=0,"N.D.",K127/K$109)</f>
        <v>2.3228017999694341E-2</v>
      </c>
      <c r="M127" s="8">
        <f t="shared" ref="M127:M135" si="413">M63/TC_PROM</f>
        <v>34.157321704046517</v>
      </c>
      <c r="N127" s="141">
        <f t="shared" ref="N127:N135" si="414">IF(M$109=0,"N.D.",M127/M$109)</f>
        <v>9.3267640943960936E-2</v>
      </c>
      <c r="O127" s="8">
        <f t="shared" ref="O127:O135" si="415">O63/TC_PROM</f>
        <v>308.29767315375182</v>
      </c>
      <c r="P127" s="141">
        <f t="shared" ref="P127:P135" si="416">IF(O$109=0,"N.D.",O127/O$109)</f>
        <v>2.3337564553188497E-2</v>
      </c>
      <c r="R127" s="7" t="s">
        <v>35</v>
      </c>
      <c r="S127" s="8"/>
      <c r="T127" s="29"/>
      <c r="U127" s="8"/>
      <c r="V127" s="29"/>
      <c r="W127" s="8">
        <f>(BDER!L482+BDER!L505+BDER!L572+BDER!L617)/1000</f>
        <v>0</v>
      </c>
      <c r="X127" s="29">
        <f t="shared" ref="X127:X130" si="417">IF(W$109=0,"N.D.",W127/W$109)</f>
        <v>0</v>
      </c>
      <c r="Y127" s="8">
        <f>(BDER!L527+BDER!L549+BDER!L594+BDER!L639+BDER!L661)/1000</f>
        <v>0</v>
      </c>
      <c r="Z127" s="29">
        <f t="shared" ref="Z127:Z130" si="418">IF(Y$109=0,"N.D.",Y127/Y$109)</f>
        <v>0</v>
      </c>
      <c r="AA127" s="8"/>
      <c r="AB127" s="29"/>
      <c r="AC127" s="8"/>
      <c r="AD127" s="29"/>
      <c r="AE127" s="8">
        <f>+AA127+U127+S127+AC127+W127+Y127</f>
        <v>0</v>
      </c>
      <c r="AF127" s="29">
        <f t="shared" ref="AF127:AF130" si="419">IF(AE$41=0,"N.D.",AE127/AE$41)</f>
        <v>0</v>
      </c>
      <c r="AH127" s="7" t="s">
        <v>35</v>
      </c>
      <c r="AI127" s="8"/>
      <c r="AJ127" s="29"/>
      <c r="AK127" s="8"/>
      <c r="AL127" s="29"/>
      <c r="AM127" s="8">
        <f>(BDER!H482+BDER!H505+BDER!H572+BDER!H617)/1000</f>
        <v>0</v>
      </c>
      <c r="AN127" s="29">
        <f t="shared" ref="AN127:AN130" si="420">IF(AM$109=0,"N.D.",AM127/AM$109)</f>
        <v>0</v>
      </c>
      <c r="AO127" s="8">
        <f>(BDER!H527+BDER!H549+BDER!H594+BDER!H639+BDER!H661)/1000</f>
        <v>0</v>
      </c>
      <c r="AP127" s="29">
        <f t="shared" ref="AP127:AP130" si="421">IF(AO$109=0,"N.D.",AO127/AO$109)</f>
        <v>0</v>
      </c>
      <c r="AQ127" s="8"/>
      <c r="AR127" s="29"/>
      <c r="AS127" s="8"/>
      <c r="AT127" s="29"/>
      <c r="AU127" s="8">
        <f>+AQ127+AK127+AI127+AS127+AM127+AO127</f>
        <v>0</v>
      </c>
      <c r="AV127" s="29">
        <f t="shared" ref="AV127:AV130" si="422">IF(AU$41=0,"N.D.",AU127/AU$41)</f>
        <v>0</v>
      </c>
    </row>
    <row r="128" spans="2:48" x14ac:dyDescent="0.35">
      <c r="B128" s="7" t="s">
        <v>43</v>
      </c>
      <c r="C128" s="11"/>
      <c r="D128" s="138" t="str">
        <f t="shared" si="404"/>
        <v>N.D.</v>
      </c>
      <c r="E128" s="11">
        <f t="shared" si="405"/>
        <v>0</v>
      </c>
      <c r="F128" s="138">
        <f t="shared" si="406"/>
        <v>0</v>
      </c>
      <c r="G128" s="11">
        <f t="shared" si="407"/>
        <v>0</v>
      </c>
      <c r="H128" s="138">
        <f t="shared" si="408"/>
        <v>0</v>
      </c>
      <c r="I128" s="11">
        <f t="shared" si="409"/>
        <v>0</v>
      </c>
      <c r="J128" s="138">
        <f t="shared" si="410"/>
        <v>0</v>
      </c>
      <c r="K128" s="11">
        <f t="shared" si="411"/>
        <v>0</v>
      </c>
      <c r="L128" s="138">
        <f t="shared" si="412"/>
        <v>0</v>
      </c>
      <c r="M128" s="11">
        <f t="shared" si="413"/>
        <v>0</v>
      </c>
      <c r="N128" s="138">
        <f t="shared" si="414"/>
        <v>0</v>
      </c>
      <c r="O128" s="11">
        <f t="shared" si="415"/>
        <v>0</v>
      </c>
      <c r="P128" s="138">
        <f t="shared" si="416"/>
        <v>0</v>
      </c>
      <c r="R128" s="7" t="s">
        <v>43</v>
      </c>
      <c r="S128" s="8"/>
      <c r="T128" s="42"/>
      <c r="U128" s="8"/>
      <c r="V128" s="42"/>
      <c r="W128" s="8">
        <f>(BDER!L483+BDER!L506+BDER!L573+BDER!L618)/1000</f>
        <v>0</v>
      </c>
      <c r="X128" s="42">
        <f t="shared" si="417"/>
        <v>0</v>
      </c>
      <c r="Y128" s="8">
        <f>(BDER!L528+BDER!L550+BDER!L595+BDER!L640+BDER!L662)/1000</f>
        <v>0</v>
      </c>
      <c r="Z128" s="42">
        <f t="shared" si="418"/>
        <v>0</v>
      </c>
      <c r="AA128" s="8"/>
      <c r="AB128" s="42"/>
      <c r="AC128" s="8"/>
      <c r="AD128" s="42"/>
      <c r="AE128" s="11">
        <f>+AA128+U128+S128+AC128+W128+Y128</f>
        <v>0</v>
      </c>
      <c r="AF128" s="42">
        <f t="shared" si="419"/>
        <v>0</v>
      </c>
      <c r="AH128" s="7" t="s">
        <v>43</v>
      </c>
      <c r="AI128" s="8"/>
      <c r="AJ128" s="42"/>
      <c r="AK128" s="8"/>
      <c r="AL128" s="42"/>
      <c r="AM128" s="8">
        <f>(BDER!H483+BDER!H506+BDER!H573+BDER!H618)/1000</f>
        <v>0</v>
      </c>
      <c r="AN128" s="42">
        <f t="shared" si="420"/>
        <v>0</v>
      </c>
      <c r="AO128" s="8">
        <f>(BDER!H528+BDER!H550+BDER!H595+BDER!H640+BDER!H662)/1000</f>
        <v>0</v>
      </c>
      <c r="AP128" s="42">
        <f t="shared" si="421"/>
        <v>0</v>
      </c>
      <c r="AQ128" s="8"/>
      <c r="AR128" s="42"/>
      <c r="AS128" s="8"/>
      <c r="AT128" s="42"/>
      <c r="AU128" s="11">
        <f>+AQ128+AK128+AI128+AS128+AM128+AO128</f>
        <v>0</v>
      </c>
      <c r="AV128" s="42">
        <f t="shared" si="422"/>
        <v>0</v>
      </c>
    </row>
    <row r="129" spans="2:48" x14ac:dyDescent="0.35">
      <c r="B129" s="4" t="s">
        <v>21</v>
      </c>
      <c r="C129" s="14"/>
      <c r="D129" s="139" t="str">
        <f t="shared" si="404"/>
        <v>N.D.</v>
      </c>
      <c r="E129" s="14">
        <f t="shared" si="405"/>
        <v>199.24650973062808</v>
      </c>
      <c r="F129" s="139">
        <f t="shared" si="406"/>
        <v>7.5614806519335567E-2</v>
      </c>
      <c r="G129" s="14">
        <f t="shared" si="407"/>
        <v>99.232919999999865</v>
      </c>
      <c r="H129" s="139">
        <f t="shared" si="408"/>
        <v>6.2959976011578114E-2</v>
      </c>
      <c r="I129" s="14">
        <f t="shared" si="409"/>
        <v>39.467399999999991</v>
      </c>
      <c r="J129" s="139">
        <f t="shared" si="410"/>
        <v>0.38281530073980263</v>
      </c>
      <c r="K129" s="14">
        <f t="shared" si="411"/>
        <v>292.05356517740677</v>
      </c>
      <c r="L129" s="139">
        <f t="shared" si="412"/>
        <v>3.4238850094640415E-2</v>
      </c>
      <c r="M129" s="14">
        <f t="shared" si="413"/>
        <v>125.47475426209412</v>
      </c>
      <c r="N129" s="139">
        <f t="shared" si="414"/>
        <v>0.34261276189761503</v>
      </c>
      <c r="O129" s="14">
        <f t="shared" si="415"/>
        <v>755.42570492346215</v>
      </c>
      <c r="P129" s="139">
        <f t="shared" si="416"/>
        <v>5.7184330888533919E-2</v>
      </c>
      <c r="R129" s="4" t="s">
        <v>21</v>
      </c>
      <c r="S129" s="14"/>
      <c r="T129" s="43"/>
      <c r="U129" s="14"/>
      <c r="V129" s="43"/>
      <c r="W129" s="14">
        <f>+W125-W127-W128</f>
        <v>-35.543000000000177</v>
      </c>
      <c r="X129" s="43">
        <f t="shared" si="417"/>
        <v>-2.537768794076101E-2</v>
      </c>
      <c r="Y129" s="14">
        <f>+Y125-Y127-Y128</f>
        <v>48.277000000000001</v>
      </c>
      <c r="Z129" s="43">
        <f t="shared" si="418"/>
        <v>0.46476052948255114</v>
      </c>
      <c r="AA129" s="14"/>
      <c r="AB129" s="43"/>
      <c r="AC129" s="14"/>
      <c r="AD129" s="43"/>
      <c r="AE129" s="14">
        <f>+AE125-AE127-AE128</f>
        <v>12.733999999999822</v>
      </c>
      <c r="AF129" s="43">
        <f t="shared" si="419"/>
        <v>7.003840317245283E-5</v>
      </c>
      <c r="AH129" s="4" t="s">
        <v>21</v>
      </c>
      <c r="AI129" s="14"/>
      <c r="AJ129" s="43"/>
      <c r="AK129" s="14"/>
      <c r="AL129" s="43"/>
      <c r="AM129" s="14">
        <f>+AM125-AM127-AM128</f>
        <v>-84.594630000000251</v>
      </c>
      <c r="AN129" s="43">
        <f t="shared" si="420"/>
        <v>-6.2801865265501466E-2</v>
      </c>
      <c r="AO129" s="14">
        <f>+AO125-AO127-AO128</f>
        <v>-13.806919999999998</v>
      </c>
      <c r="AP129" s="43">
        <f t="shared" si="421"/>
        <v>-0.10479563291061897</v>
      </c>
      <c r="AQ129" s="14"/>
      <c r="AR129" s="43"/>
      <c r="AS129" s="14"/>
      <c r="AT129" s="43"/>
      <c r="AU129" s="14">
        <f>+AU125-AU127-AU128</f>
        <v>-98.401550000000242</v>
      </c>
      <c r="AV129" s="43">
        <f t="shared" si="422"/>
        <v>-3.8934117267211985E-4</v>
      </c>
    </row>
    <row r="130" spans="2:48" x14ac:dyDescent="0.35">
      <c r="B130" s="4" t="s">
        <v>22</v>
      </c>
      <c r="C130" s="20"/>
      <c r="D130" s="142" t="str">
        <f t="shared" si="404"/>
        <v>N.D.</v>
      </c>
      <c r="E130" s="20">
        <f t="shared" si="405"/>
        <v>359.48588168980694</v>
      </c>
      <c r="F130" s="142">
        <f t="shared" si="406"/>
        <v>0.13642625623483651</v>
      </c>
      <c r="G130" s="20">
        <f t="shared" si="407"/>
        <v>107.71133999999986</v>
      </c>
      <c r="H130" s="142">
        <f t="shared" si="408"/>
        <v>6.8339250548859545E-2</v>
      </c>
      <c r="I130" s="20">
        <f t="shared" si="409"/>
        <v>81.451769999999996</v>
      </c>
      <c r="J130" s="142">
        <f t="shared" si="410"/>
        <v>0.79004403199448758</v>
      </c>
      <c r="K130" s="20">
        <f t="shared" si="411"/>
        <v>562.88878851706897</v>
      </c>
      <c r="L130" s="142">
        <f t="shared" si="412"/>
        <v>6.5990171488858801E-2</v>
      </c>
      <c r="M130" s="20">
        <f t="shared" si="413"/>
        <v>143.43408735809504</v>
      </c>
      <c r="N130" s="142">
        <f t="shared" si="414"/>
        <v>0.39165128562333129</v>
      </c>
      <c r="O130" s="20">
        <f t="shared" si="415"/>
        <v>1254.9718675649717</v>
      </c>
      <c r="P130" s="142">
        <f t="shared" si="416"/>
        <v>9.4999052935202583E-2</v>
      </c>
      <c r="R130" s="4" t="s">
        <v>22</v>
      </c>
      <c r="S130" s="20"/>
      <c r="T130" s="45"/>
      <c r="U130" s="20"/>
      <c r="V130" s="45"/>
      <c r="W130" s="20">
        <f>+W117+W115</f>
        <v>-32.689000000000178</v>
      </c>
      <c r="X130" s="45">
        <f t="shared" si="417"/>
        <v>-2.3339933069677209E-2</v>
      </c>
      <c r="Y130" s="20">
        <f>+Y117+Y115</f>
        <v>70.674999999999997</v>
      </c>
      <c r="Z130" s="45">
        <f t="shared" si="418"/>
        <v>0.68038507821901317</v>
      </c>
      <c r="AA130" s="20"/>
      <c r="AB130" s="45"/>
      <c r="AC130" s="20"/>
      <c r="AD130" s="45"/>
      <c r="AE130" s="20">
        <f>+AE117+AE115</f>
        <v>37.985999999999819</v>
      </c>
      <c r="AF130" s="45">
        <f t="shared" si="419"/>
        <v>2.0892718571610002E-4</v>
      </c>
      <c r="AH130" s="4" t="s">
        <v>22</v>
      </c>
      <c r="AI130" s="20"/>
      <c r="AJ130" s="45"/>
      <c r="AK130" s="20"/>
      <c r="AL130" s="45"/>
      <c r="AM130" s="20">
        <f>+AM117+AM115</f>
        <v>-69.601010000000244</v>
      </c>
      <c r="AN130" s="45">
        <f t="shared" si="420"/>
        <v>-5.1670812347814774E-2</v>
      </c>
      <c r="AO130" s="20">
        <f>+AO117+AO115</f>
        <v>50.620770000000007</v>
      </c>
      <c r="AP130" s="45">
        <f t="shared" si="421"/>
        <v>0.38421571433548357</v>
      </c>
      <c r="AQ130" s="20"/>
      <c r="AR130" s="45"/>
      <c r="AS130" s="20"/>
      <c r="AT130" s="45"/>
      <c r="AU130" s="20">
        <f>+AU117+AU115</f>
        <v>-18.980240000000236</v>
      </c>
      <c r="AV130" s="45">
        <f t="shared" si="422"/>
        <v>-7.5098297732081968E-5</v>
      </c>
    </row>
    <row r="131" spans="2:48" x14ac:dyDescent="0.35">
      <c r="B131" s="4" t="s">
        <v>36</v>
      </c>
      <c r="C131" s="20"/>
      <c r="D131" s="142" t="str">
        <f t="shared" si="404"/>
        <v>N.D.</v>
      </c>
      <c r="E131" s="20">
        <f t="shared" si="405"/>
        <v>244.26617024643048</v>
      </c>
      <c r="F131" s="142">
        <f t="shared" si="406"/>
        <v>9.2699938520246522E-2</v>
      </c>
      <c r="G131" s="20">
        <f t="shared" si="407"/>
        <v>117.84460999999988</v>
      </c>
      <c r="H131" s="142">
        <f t="shared" si="408"/>
        <v>7.4768472183361939E-2</v>
      </c>
      <c r="I131" s="20">
        <f t="shared" si="409"/>
        <v>69.591729999999998</v>
      </c>
      <c r="J131" s="142">
        <f t="shared" si="410"/>
        <v>0.67500719705258394</v>
      </c>
      <c r="K131" s="20">
        <f t="shared" si="411"/>
        <v>425.38191403623358</v>
      </c>
      <c r="L131" s="142">
        <f t="shared" si="412"/>
        <v>4.9869576421060352E-2</v>
      </c>
      <c r="M131" s="20">
        <f t="shared" si="413"/>
        <v>127.90466358134572</v>
      </c>
      <c r="N131" s="142">
        <f t="shared" si="414"/>
        <v>0.34924770569906338</v>
      </c>
      <c r="O131" s="20">
        <f t="shared" si="415"/>
        <v>984.93964361734209</v>
      </c>
      <c r="P131" s="142">
        <f t="shared" si="416"/>
        <v>7.4558112225682455E-2</v>
      </c>
    </row>
    <row r="132" spans="2:48" x14ac:dyDescent="0.35">
      <c r="B132" s="7" t="s">
        <v>37</v>
      </c>
      <c r="C132" s="20"/>
      <c r="D132" s="142" t="str">
        <f t="shared" si="404"/>
        <v>N.D.</v>
      </c>
      <c r="E132" s="20">
        <f t="shared" si="405"/>
        <v>0</v>
      </c>
      <c r="F132" s="142">
        <f t="shared" si="406"/>
        <v>0</v>
      </c>
      <c r="G132" s="20">
        <f t="shared" si="407"/>
        <v>0</v>
      </c>
      <c r="H132" s="142">
        <f t="shared" si="408"/>
        <v>0</v>
      </c>
      <c r="I132" s="20">
        <f t="shared" si="409"/>
        <v>0</v>
      </c>
      <c r="J132" s="142">
        <f t="shared" si="410"/>
        <v>0</v>
      </c>
      <c r="K132" s="20">
        <f t="shared" si="411"/>
        <v>0</v>
      </c>
      <c r="L132" s="142">
        <f t="shared" si="412"/>
        <v>0</v>
      </c>
      <c r="M132" s="20">
        <f t="shared" si="413"/>
        <v>0</v>
      </c>
      <c r="N132" s="142">
        <f t="shared" si="414"/>
        <v>0</v>
      </c>
      <c r="O132" s="20">
        <f t="shared" si="415"/>
        <v>0</v>
      </c>
      <c r="P132" s="142">
        <f t="shared" si="416"/>
        <v>0</v>
      </c>
    </row>
    <row r="133" spans="2:48" x14ac:dyDescent="0.35">
      <c r="B133" s="4" t="s">
        <v>38</v>
      </c>
      <c r="C133" s="20"/>
      <c r="D133" s="142" t="str">
        <f t="shared" si="404"/>
        <v>N.D.</v>
      </c>
      <c r="E133" s="20">
        <f t="shared" si="405"/>
        <v>244.26617024643048</v>
      </c>
      <c r="F133" s="142">
        <f t="shared" si="406"/>
        <v>9.2699938520246522E-2</v>
      </c>
      <c r="G133" s="20">
        <f t="shared" si="407"/>
        <v>117.84460999999988</v>
      </c>
      <c r="H133" s="142">
        <f t="shared" si="408"/>
        <v>7.4768472183361939E-2</v>
      </c>
      <c r="I133" s="20">
        <f t="shared" si="409"/>
        <v>69.591729999999998</v>
      </c>
      <c r="J133" s="142">
        <f t="shared" si="410"/>
        <v>0.67500719705258394</v>
      </c>
      <c r="K133" s="20">
        <f t="shared" si="411"/>
        <v>425.38191403623358</v>
      </c>
      <c r="L133" s="142">
        <f t="shared" si="412"/>
        <v>4.9869576421060352E-2</v>
      </c>
      <c r="M133" s="20">
        <f t="shared" si="413"/>
        <v>127.90466358134572</v>
      </c>
      <c r="N133" s="142">
        <f t="shared" si="414"/>
        <v>0.34924770569906338</v>
      </c>
      <c r="O133" s="20">
        <f t="shared" si="415"/>
        <v>984.93964361734209</v>
      </c>
      <c r="P133" s="142">
        <f t="shared" si="416"/>
        <v>7.4558112225682455E-2</v>
      </c>
    </row>
    <row r="134" spans="2:48" x14ac:dyDescent="0.35">
      <c r="B134" s="7" t="s">
        <v>39</v>
      </c>
      <c r="C134" s="20"/>
      <c r="D134" s="142" t="str">
        <f t="shared" si="404"/>
        <v>N.D.</v>
      </c>
      <c r="E134" s="20">
        <f t="shared" si="405"/>
        <v>0</v>
      </c>
      <c r="F134" s="142">
        <f t="shared" si="406"/>
        <v>0</v>
      </c>
      <c r="G134" s="20">
        <f t="shared" si="407"/>
        <v>0</v>
      </c>
      <c r="H134" s="142">
        <f t="shared" si="408"/>
        <v>0</v>
      </c>
      <c r="I134" s="20">
        <f t="shared" si="409"/>
        <v>0</v>
      </c>
      <c r="J134" s="142">
        <f t="shared" si="410"/>
        <v>0</v>
      </c>
      <c r="K134" s="20">
        <f t="shared" si="411"/>
        <v>0</v>
      </c>
      <c r="L134" s="142">
        <f t="shared" si="412"/>
        <v>0</v>
      </c>
      <c r="M134" s="20">
        <f t="shared" si="413"/>
        <v>0</v>
      </c>
      <c r="N134" s="142">
        <f t="shared" si="414"/>
        <v>0</v>
      </c>
      <c r="O134" s="20">
        <f t="shared" si="415"/>
        <v>0</v>
      </c>
      <c r="P134" s="142">
        <f t="shared" si="416"/>
        <v>0</v>
      </c>
    </row>
    <row r="135" spans="2:48" x14ac:dyDescent="0.35">
      <c r="B135" s="4" t="s">
        <v>40</v>
      </c>
      <c r="C135" s="20"/>
      <c r="D135" s="142" t="str">
        <f>IF(C$109=0,"N.D.",C135/C$109)</f>
        <v>N.D.</v>
      </c>
      <c r="E135" s="20">
        <f t="shared" si="405"/>
        <v>244.26617024643048</v>
      </c>
      <c r="F135" s="142">
        <f t="shared" si="406"/>
        <v>9.2699938520246522E-2</v>
      </c>
      <c r="G135" s="20">
        <f t="shared" si="407"/>
        <v>117.84460999999988</v>
      </c>
      <c r="H135" s="142">
        <f t="shared" si="408"/>
        <v>7.4768472183361939E-2</v>
      </c>
      <c r="I135" s="20">
        <f t="shared" si="409"/>
        <v>69.591729999999998</v>
      </c>
      <c r="J135" s="142">
        <f t="shared" si="410"/>
        <v>0.67500719705258394</v>
      </c>
      <c r="K135" s="20">
        <f t="shared" si="411"/>
        <v>425.38191403623358</v>
      </c>
      <c r="L135" s="142">
        <f t="shared" si="412"/>
        <v>4.9869576421060352E-2</v>
      </c>
      <c r="M135" s="20">
        <f t="shared" si="413"/>
        <v>127.90466358134572</v>
      </c>
      <c r="N135" s="142">
        <f t="shared" si="414"/>
        <v>0.34924770569906338</v>
      </c>
      <c r="O135" s="20">
        <f t="shared" si="415"/>
        <v>984.93964361734209</v>
      </c>
      <c r="P135" s="142">
        <f t="shared" si="416"/>
        <v>7.4558112225682455E-2</v>
      </c>
    </row>
    <row r="136" spans="2:48" x14ac:dyDescent="0.35">
      <c r="B136" s="7"/>
      <c r="C136" s="143"/>
      <c r="D136" s="144"/>
      <c r="E136" s="143"/>
      <c r="F136" s="144"/>
      <c r="G136" s="143"/>
      <c r="H136" s="144"/>
      <c r="I136" s="143"/>
      <c r="J136" s="144"/>
      <c r="K136" s="143"/>
      <c r="L136" s="144"/>
      <c r="M136" s="143"/>
      <c r="N136" s="144"/>
      <c r="O136" s="143"/>
      <c r="P136" s="25"/>
    </row>
  </sheetData>
  <mergeCells count="6">
    <mergeCell ref="D107:P107"/>
    <mergeCell ref="AX39:BH39"/>
    <mergeCell ref="AX2:BH2"/>
    <mergeCell ref="B2:P2"/>
    <mergeCell ref="B39:P39"/>
    <mergeCell ref="D75:P75"/>
  </mergeCells>
  <conditionalFormatting sqref="C72">
    <cfRule type="expression" dxfId="6" priority="7">
      <formula>ROUND(C72,0)=0</formula>
    </cfRule>
  </conditionalFormatting>
  <conditionalFormatting sqref="E72">
    <cfRule type="expression" dxfId="5" priority="6">
      <formula>ROUND(E72,0)=0</formula>
    </cfRule>
  </conditionalFormatting>
  <conditionalFormatting sqref="G72">
    <cfRule type="expression" dxfId="4" priority="5">
      <formula>ROUND(G72,0)=0</formula>
    </cfRule>
  </conditionalFormatting>
  <conditionalFormatting sqref="I72">
    <cfRule type="expression" dxfId="3" priority="4">
      <formula>ROUND(I72,0)=0</formula>
    </cfRule>
  </conditionalFormatting>
  <conditionalFormatting sqref="K72">
    <cfRule type="expression" dxfId="2" priority="3">
      <formula>ROUND(K72,0)=0</formula>
    </cfRule>
  </conditionalFormatting>
  <conditionalFormatting sqref="M72">
    <cfRule type="expression" dxfId="1" priority="2">
      <formula>ROUND(M72,0)=0</formula>
    </cfRule>
  </conditionalFormatting>
  <conditionalFormatting sqref="O72">
    <cfRule type="expression" dxfId="0" priority="1">
      <formula>ROUND(O72,0)=0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RD"/>
  <dimension ref="A2:CG53"/>
  <sheetViews>
    <sheetView showGridLines="0" zoomScale="70" zoomScaleNormal="70" workbookViewId="0">
      <selection activeCell="AR32" sqref="AR32"/>
    </sheetView>
  </sheetViews>
  <sheetFormatPr baseColWidth="10" defaultRowHeight="14.5" x14ac:dyDescent="0.35"/>
  <cols>
    <col min="2" max="2" width="16.81640625" bestFit="1" customWidth="1"/>
    <col min="3" max="3" width="12.26953125" bestFit="1" customWidth="1"/>
    <col min="4" max="4" width="9" customWidth="1"/>
    <col min="5" max="5" width="11.1796875" bestFit="1" customWidth="1"/>
    <col min="6" max="6" width="9.1796875" customWidth="1"/>
    <col min="7" max="7" width="13.1796875" customWidth="1"/>
    <col min="8" max="8" width="8.54296875" customWidth="1"/>
    <col min="10" max="10" width="8.54296875" customWidth="1"/>
    <col min="11" max="11" width="12.26953125" customWidth="1"/>
    <col min="12" max="12" width="8.54296875" customWidth="1"/>
    <col min="13" max="13" width="12.26953125" bestFit="1" customWidth="1"/>
    <col min="14" max="14" width="12" customWidth="1"/>
    <col min="16" max="16" width="8.81640625" customWidth="1"/>
    <col min="18" max="18" width="9" customWidth="1"/>
    <col min="19" max="19" width="11.453125" customWidth="1"/>
    <col min="20" max="20" width="8.81640625" customWidth="1"/>
    <col min="22" max="22" width="9" customWidth="1"/>
    <col min="24" max="24" width="8.54296875" customWidth="1"/>
    <col min="26" max="26" width="8.54296875" customWidth="1"/>
    <col min="28" max="28" width="8.453125" customWidth="1"/>
    <col min="29" max="29" width="10.7265625" style="253" customWidth="1"/>
    <col min="30" max="30" width="17.81640625" bestFit="1" customWidth="1"/>
    <col min="31" max="32" width="11.1796875" bestFit="1" customWidth="1"/>
    <col min="33" max="33" width="8.81640625" customWidth="1"/>
    <col min="35" max="35" width="8.81640625" customWidth="1"/>
    <col min="37" max="37" width="9" customWidth="1"/>
    <col min="39" max="39" width="8.453125" customWidth="1"/>
    <col min="41" max="41" width="9.1796875" customWidth="1"/>
    <col min="43" max="43" width="8.7265625" customWidth="1"/>
    <col min="45" max="45" width="8.453125" customWidth="1"/>
    <col min="46" max="46" width="11.453125" customWidth="1"/>
    <col min="47" max="47" width="8.54296875" customWidth="1"/>
    <col min="49" max="49" width="11.54296875" customWidth="1"/>
    <col min="50" max="50" width="17.81640625" bestFit="1" customWidth="1"/>
    <col min="51" max="51" width="12.1796875" bestFit="1" customWidth="1"/>
    <col min="52" max="52" width="9.453125" customWidth="1"/>
    <col min="53" max="53" width="7.81640625" bestFit="1" customWidth="1"/>
    <col min="54" max="54" width="9.1796875" customWidth="1"/>
    <col min="55" max="55" width="10.1796875" customWidth="1"/>
    <col min="56" max="56" width="9" customWidth="1"/>
    <col min="57" max="57" width="12.1796875" customWidth="1"/>
    <col min="59" max="59" width="16.81640625" customWidth="1"/>
    <col min="61" max="61" width="9.1796875" customWidth="1"/>
    <col min="63" max="63" width="8.81640625" customWidth="1"/>
    <col min="65" max="65" width="8.7265625" customWidth="1"/>
    <col min="67" max="67" width="8.54296875" customWidth="1"/>
    <col min="69" max="69" width="8.81640625" customWidth="1"/>
    <col min="70" max="70" width="10.26953125" customWidth="1"/>
    <col min="71" max="71" width="8.81640625" customWidth="1"/>
    <col min="73" max="73" width="14.26953125" customWidth="1"/>
    <col min="75" max="75" width="8.81640625" customWidth="1"/>
    <col min="76" max="76" width="9.1796875" customWidth="1"/>
    <col min="77" max="77" width="8.81640625" customWidth="1"/>
    <col min="78" max="78" width="9.453125" customWidth="1"/>
    <col min="79" max="79" width="9" customWidth="1"/>
    <col min="80" max="80" width="9.453125" customWidth="1"/>
    <col min="81" max="81" width="8.1796875" bestFit="1" customWidth="1"/>
    <col min="82" max="82" width="9.7265625" customWidth="1"/>
    <col min="83" max="83" width="9.1796875" customWidth="1"/>
    <col min="85" max="85" width="8.7265625" customWidth="1"/>
  </cols>
  <sheetData>
    <row r="2" spans="1:85" x14ac:dyDescent="0.35">
      <c r="A2" t="s">
        <v>192</v>
      </c>
      <c r="B2" t="s">
        <v>135</v>
      </c>
      <c r="AC2" s="253" t="s">
        <v>334</v>
      </c>
      <c r="AE2" t="s">
        <v>150</v>
      </c>
    </row>
    <row r="3" spans="1:85" x14ac:dyDescent="0.35">
      <c r="B3" s="26"/>
      <c r="C3" s="2" t="s">
        <v>136</v>
      </c>
      <c r="D3" s="2"/>
      <c r="E3" s="2" t="s">
        <v>137</v>
      </c>
      <c r="F3" s="2"/>
      <c r="G3" s="2" t="s">
        <v>138</v>
      </c>
      <c r="H3" s="2"/>
      <c r="I3" s="2" t="s">
        <v>139</v>
      </c>
      <c r="J3" s="2"/>
      <c r="K3" s="2" t="s">
        <v>140</v>
      </c>
      <c r="L3" s="2"/>
      <c r="N3" t="s">
        <v>142</v>
      </c>
      <c r="P3" s="2"/>
      <c r="R3" s="2"/>
      <c r="T3" s="2"/>
      <c r="V3" s="2"/>
      <c r="X3" s="2"/>
      <c r="Z3" s="2"/>
      <c r="AB3" s="2"/>
      <c r="AC3" s="278"/>
      <c r="AE3" s="26"/>
      <c r="AF3" s="2" t="s">
        <v>152</v>
      </c>
      <c r="AG3" s="2"/>
      <c r="AH3" s="2" t="s">
        <v>153</v>
      </c>
      <c r="AI3" s="2"/>
      <c r="AJ3" s="2" t="s">
        <v>154</v>
      </c>
      <c r="AK3" s="2"/>
      <c r="AL3" s="2" t="s">
        <v>155</v>
      </c>
      <c r="AM3" s="2"/>
      <c r="AN3" s="2" t="s">
        <v>156</v>
      </c>
      <c r="AO3" s="2"/>
      <c r="AP3" s="2" t="s">
        <v>157</v>
      </c>
      <c r="AQ3" s="2"/>
      <c r="AR3" s="2" t="s">
        <v>158</v>
      </c>
      <c r="AS3" s="2"/>
      <c r="AT3" s="2" t="s">
        <v>140</v>
      </c>
      <c r="AU3" s="2"/>
      <c r="AX3" t="s">
        <v>159</v>
      </c>
      <c r="AY3" s="2"/>
      <c r="BA3" s="2"/>
      <c r="BC3" s="2"/>
      <c r="BD3" s="2"/>
      <c r="BE3" s="2"/>
      <c r="BG3" t="s">
        <v>184</v>
      </c>
      <c r="BI3" s="2"/>
      <c r="BK3" s="2"/>
      <c r="BM3" s="2"/>
      <c r="BO3" s="2"/>
      <c r="BQ3" s="2"/>
      <c r="BS3" s="2"/>
      <c r="BU3" t="s">
        <v>185</v>
      </c>
      <c r="BW3" s="2"/>
      <c r="BY3" s="2"/>
      <c r="CA3" s="2"/>
      <c r="CC3" s="2"/>
      <c r="CE3" s="2"/>
      <c r="CG3" s="2"/>
    </row>
    <row r="4" spans="1:85" x14ac:dyDescent="0.35">
      <c r="B4" s="7" t="s">
        <v>141</v>
      </c>
      <c r="C4" s="194">
        <f>ajustes!B2</f>
        <v>0</v>
      </c>
      <c r="D4" s="203"/>
      <c r="E4" s="8">
        <f>+ajustes!C2</f>
        <v>0</v>
      </c>
      <c r="F4" s="203"/>
      <c r="G4" s="8">
        <f>+ajustes!D2</f>
        <v>0</v>
      </c>
      <c r="H4" s="203"/>
      <c r="I4" s="8">
        <f>+ajustes!E2</f>
        <v>0</v>
      </c>
      <c r="J4" s="203"/>
      <c r="K4" s="8">
        <f>SUM(C4,E4,G4,I4)</f>
        <v>0</v>
      </c>
      <c r="L4" s="203"/>
      <c r="N4" s="26"/>
      <c r="O4" s="2" t="s">
        <v>144</v>
      </c>
      <c r="P4" s="30"/>
      <c r="Q4" s="2" t="s">
        <v>145</v>
      </c>
      <c r="R4" s="30"/>
      <c r="S4" s="2" t="s">
        <v>146</v>
      </c>
      <c r="T4" s="30"/>
      <c r="U4" s="2" t="s">
        <v>147</v>
      </c>
      <c r="V4" s="30"/>
      <c r="W4" s="2" t="s">
        <v>148</v>
      </c>
      <c r="X4" s="30"/>
      <c r="Y4" s="2" t="s">
        <v>149</v>
      </c>
      <c r="Z4" s="30"/>
      <c r="AA4" s="2" t="s">
        <v>140</v>
      </c>
      <c r="AB4" s="30"/>
      <c r="AC4" s="275"/>
      <c r="AE4" s="7" t="s">
        <v>151</v>
      </c>
      <c r="AF4" s="203">
        <f>ajustes!L2</f>
        <v>0</v>
      </c>
      <c r="AG4" s="203"/>
      <c r="AH4" s="203">
        <f>ajustes!M2</f>
        <v>0</v>
      </c>
      <c r="AI4" s="203"/>
      <c r="AJ4" s="203">
        <f>ajustes!N2</f>
        <v>0</v>
      </c>
      <c r="AK4" s="203"/>
      <c r="AL4" s="203">
        <f>ajustes!O2</f>
        <v>0</v>
      </c>
      <c r="AM4" s="203"/>
      <c r="AN4" s="203">
        <f>ajustes!P2</f>
        <v>0</v>
      </c>
      <c r="AO4" s="203"/>
      <c r="AP4" s="203">
        <f>ajustes!Q2</f>
        <v>0</v>
      </c>
      <c r="AQ4" s="203"/>
      <c r="AR4" s="203">
        <f>ajustes!R2</f>
        <v>0</v>
      </c>
      <c r="AS4" s="203"/>
      <c r="AT4" s="203">
        <f>SUM(AF4,AH4,AJ4,AL4,AN4,AP4,AR4)</f>
        <v>0</v>
      </c>
      <c r="AU4" s="203"/>
      <c r="AX4" s="26"/>
      <c r="AY4" s="2" t="s">
        <v>160</v>
      </c>
      <c r="AZ4" s="30"/>
      <c r="BA4" s="2" t="s">
        <v>161</v>
      </c>
      <c r="BB4" s="30"/>
      <c r="BC4" s="2" t="s">
        <v>140</v>
      </c>
      <c r="BD4" s="30"/>
      <c r="BE4" s="30"/>
      <c r="BG4" s="26"/>
      <c r="BH4" s="2" t="s">
        <v>180</v>
      </c>
      <c r="BI4" s="30"/>
      <c r="BJ4" s="2" t="s">
        <v>181</v>
      </c>
      <c r="BK4" s="30"/>
      <c r="BL4" s="2" t="s">
        <v>182</v>
      </c>
      <c r="BM4" s="30"/>
      <c r="BN4" s="2" t="s">
        <v>183</v>
      </c>
      <c r="BO4" s="30"/>
      <c r="BP4" s="2" t="s">
        <v>140</v>
      </c>
      <c r="BQ4" s="30"/>
      <c r="BU4" s="26"/>
      <c r="BV4" s="2" t="s">
        <v>186</v>
      </c>
      <c r="BW4" s="30"/>
      <c r="BX4" s="2" t="s">
        <v>187</v>
      </c>
      <c r="BY4" s="30"/>
      <c r="BZ4" s="2" t="s">
        <v>188</v>
      </c>
      <c r="CA4" s="30"/>
      <c r="CB4" s="2" t="s">
        <v>189</v>
      </c>
      <c r="CC4" s="30"/>
      <c r="CD4" s="2" t="s">
        <v>190</v>
      </c>
      <c r="CE4" s="30"/>
      <c r="CF4" s="2" t="s">
        <v>140</v>
      </c>
      <c r="CG4" s="30"/>
    </row>
    <row r="5" spans="1:85" x14ac:dyDescent="0.35">
      <c r="B5" s="7" t="s">
        <v>5</v>
      </c>
      <c r="C5" s="194">
        <f>(BDER!$C158+BDER!C169)/1000 + ajustes!B3</f>
        <v>0</v>
      </c>
      <c r="D5" s="219" t="str">
        <f t="shared" ref="D5:F7" si="0">IF(C$5=0,"N.D.",C5/C$5)</f>
        <v>N.D.</v>
      </c>
      <c r="E5" s="8">
        <f>BDER!$C136/1000+ajustes!C3</f>
        <v>0</v>
      </c>
      <c r="F5" s="219" t="str">
        <f t="shared" si="0"/>
        <v>N.D.</v>
      </c>
      <c r="G5" s="195">
        <f>BDER!$C202/1000+ajustes!D3</f>
        <v>0</v>
      </c>
      <c r="H5" s="219" t="str">
        <f t="shared" ref="H5" si="1">IF(G$5=0,"N.D.",G5/G$5)</f>
        <v>N.D.</v>
      </c>
      <c r="I5" s="8">
        <f>BDER!$C180/1000+ajustes!E3</f>
        <v>0</v>
      </c>
      <c r="J5" s="219" t="str">
        <f t="shared" ref="J5:L5" si="2">IF(I$5=0,"N.D.",I5/I$5)</f>
        <v>N.D.</v>
      </c>
      <c r="K5" s="204">
        <f>SUM(C5,E5,G5,I5)</f>
        <v>0</v>
      </c>
      <c r="L5" s="219" t="str">
        <f t="shared" si="2"/>
        <v>N.D.</v>
      </c>
      <c r="N5" s="7" t="s">
        <v>5</v>
      </c>
      <c r="O5" s="194">
        <f>BDER!$C$4/1000+ajustes!F3</f>
        <v>29520.115260000002</v>
      </c>
      <c r="P5" s="220">
        <f t="shared" ref="P5:R5" si="3">IF(O$5=0,"N.D.",O5/O$5)</f>
        <v>1</v>
      </c>
      <c r="Q5" s="8">
        <f>BDER!$C$26/1000+ajustes!G3</f>
        <v>6265.6663200000003</v>
      </c>
      <c r="R5" s="220">
        <f t="shared" si="3"/>
        <v>1</v>
      </c>
      <c r="S5" s="195">
        <f>BDER!$C$48/1000+ajustes!H3</f>
        <v>27870.030770000001</v>
      </c>
      <c r="T5" s="220">
        <f t="shared" ref="T5:V5" si="4">IF(S$5=0,"N.D.",S5/S$5)</f>
        <v>1</v>
      </c>
      <c r="U5" s="8">
        <f>BDER!$C$70/1000+ajustes!I3</f>
        <v>3454.2553399999997</v>
      </c>
      <c r="V5" s="220">
        <f t="shared" si="4"/>
        <v>1</v>
      </c>
      <c r="W5" s="195">
        <f>BDER!$C$92/1000+ajustes!J3</f>
        <v>325.86959999999999</v>
      </c>
      <c r="X5" s="220">
        <f t="shared" ref="X5:Z5" si="5">IF(W$5=0,"N.D.",W5/W$5)</f>
        <v>1</v>
      </c>
      <c r="Y5" s="194">
        <f>BDER!$C$114/1000+ajustes!K3</f>
        <v>264.06</v>
      </c>
      <c r="Z5" s="220">
        <f t="shared" si="5"/>
        <v>1</v>
      </c>
      <c r="AA5" s="8">
        <f>SUM(O5,Q5,S5,U5,W5,Y5)-AC5</f>
        <v>53292.74775000001</v>
      </c>
      <c r="AB5" s="220">
        <f t="shared" ref="AB5" si="6">IF(AA$5=0,"N.D.",AA5/AA$5)</f>
        <v>1</v>
      </c>
      <c r="AC5" s="276">
        <f>(ELIM!C2+ELIM!C4+ELIM!C6+ELIM!C8+ELIM!C10)/1000</f>
        <v>14407.249540000001</v>
      </c>
      <c r="AE5" s="7" t="s">
        <v>5</v>
      </c>
      <c r="AF5" s="11">
        <f>BDER!$C288/1000+ajustes!L3+ajustes!L15</f>
        <v>52571.553240000001</v>
      </c>
      <c r="AG5" s="219">
        <f>IF(AF$5=0,"N.D.",AF5/AF$5)</f>
        <v>1</v>
      </c>
      <c r="AH5" s="11">
        <f>BDER!$C310/1000+ajustes!M3+ajustes!M15</f>
        <v>34577.601049999997</v>
      </c>
      <c r="AI5" s="219">
        <f>IF(AH$5=0,"N.D.",AH5/AH$5)</f>
        <v>1</v>
      </c>
      <c r="AJ5" s="11">
        <f>BDER!$C354/1000+ajustes!N3+ajustes!N15</f>
        <v>7055.5321699999995</v>
      </c>
      <c r="AK5" s="219">
        <f>IF(AJ$5=0,"N.D.",AJ5/AJ$5)</f>
        <v>1</v>
      </c>
      <c r="AL5" s="11">
        <f>BDER!$C332/2000+ajustes!O3+ajustes!O15</f>
        <v>9354.9886750000005</v>
      </c>
      <c r="AM5" s="219">
        <f>IF(AL$5=0,"N.D.",AL5/AL$5)</f>
        <v>1</v>
      </c>
      <c r="AN5" s="11">
        <f>ajustes!P3</f>
        <v>0</v>
      </c>
      <c r="AO5" s="219" t="str">
        <f>IF(AN$5=0,"N.D.",AN5/AN$5)</f>
        <v>N.D.</v>
      </c>
      <c r="AP5" s="11">
        <f>BDER!$C400/1000+ajustes!Q3+ajustes!Q15</f>
        <v>5092.0520099999994</v>
      </c>
      <c r="AQ5" s="219">
        <f>IF(AP$5=0,"N.D.",AP5/AP$5)</f>
        <v>1</v>
      </c>
      <c r="AR5" s="11">
        <f>BDER!$C376/1000+ajustes!R3</f>
        <v>63863.556770000003</v>
      </c>
      <c r="AS5" s="219">
        <f>IF(AR$5=0,"N.D.",AR5/AR$5)</f>
        <v>1</v>
      </c>
      <c r="AT5" s="11">
        <f>SUM(AF5,AH5,AJ5,AL5,AN5,AP5,AR5)</f>
        <v>172515.28391500001</v>
      </c>
      <c r="AU5" s="219">
        <f>IF(AT$5=0,"N.D.",AT5/AT$5)</f>
        <v>1</v>
      </c>
      <c r="AX5" s="7" t="s">
        <v>5</v>
      </c>
      <c r="AY5" s="8">
        <f>BDER!$C444/1000+ajustes!S3</f>
        <v>6260.7734</v>
      </c>
      <c r="AZ5" s="220">
        <f>IF(AY$5=0,"N.D.",AY5/AY$5)</f>
        <v>1</v>
      </c>
      <c r="BA5" s="195">
        <f>BDER!$C422/1000+ajustes!T3</f>
        <v>1146.1363600000002</v>
      </c>
      <c r="BB5" s="220">
        <f>IF(BA$5=0,"N.D.",BA5/BA$5)</f>
        <v>1</v>
      </c>
      <c r="BC5" s="8">
        <f>SUM(AY5,BA5)</f>
        <v>7406.9097600000005</v>
      </c>
      <c r="BD5" s="220">
        <f>IF(BC$5=0,"N.D.",BC5/BC$5)</f>
        <v>1</v>
      </c>
      <c r="BE5" s="187"/>
      <c r="BG5" s="7" t="s">
        <v>162</v>
      </c>
      <c r="BH5" s="194">
        <f>BDER!$C466/1000+ajustes!V3</f>
        <v>310.46297999999996</v>
      </c>
      <c r="BI5" s="220">
        <f>IF(BH$5=0,"N.D.",BH5/BH$5)</f>
        <v>1</v>
      </c>
      <c r="BJ5" s="8">
        <f>BDER!$C489/1000+ajustes!W3</f>
        <v>605.32353000000001</v>
      </c>
      <c r="BK5" s="220">
        <f>IF(BJ$5=0,"N.D.",BJ5/BJ$5)</f>
        <v>1</v>
      </c>
      <c r="BL5" s="195">
        <f>BDER!$C556/1000+ajustes!X3</f>
        <v>274.95384000000001</v>
      </c>
      <c r="BM5" s="220">
        <f>IF(BL$5=0,"N.D.",BL5/BL$5)</f>
        <v>1</v>
      </c>
      <c r="BN5" s="8">
        <f>BDER!$C601/1000+ajustes!Y3</f>
        <v>385.38668000000001</v>
      </c>
      <c r="BO5" s="220">
        <f>IF(BN$5=0,"N.D.",BN5/BN$5)</f>
        <v>1</v>
      </c>
      <c r="BP5" s="204">
        <f>SUM(BH5,BJ5,BL5,BN5)</f>
        <v>1576.1270300000001</v>
      </c>
      <c r="BQ5" s="220">
        <f>IF(BP$5=0,"N.D.",BP5/BP$5)</f>
        <v>1</v>
      </c>
      <c r="BU5" s="7" t="s">
        <v>162</v>
      </c>
      <c r="BV5" s="194">
        <f>BDER!$C512/1000+ajustes!Z3</f>
        <v>44.332889999999999</v>
      </c>
      <c r="BW5" s="220">
        <f t="shared" ref="BW5:BY5" si="7">IF(BV$5=0,"N.D.",BV5/BV$5)</f>
        <v>1</v>
      </c>
      <c r="BX5" s="8">
        <f>BDER!$C579/1000+ajustes!AA3</f>
        <v>29.854590000000002</v>
      </c>
      <c r="BY5" s="220">
        <f t="shared" si="7"/>
        <v>1</v>
      </c>
      <c r="BZ5" s="195">
        <f>BDER!$C624/1000+ajustes!AB3</f>
        <v>19.984279999999998</v>
      </c>
      <c r="CA5" s="220">
        <f t="shared" ref="CA5:CC5" si="8">IF(BZ$5=0,"N.D.",BZ5/BZ$5)</f>
        <v>1</v>
      </c>
      <c r="CB5" s="8">
        <f>BDER!$C534/1000+ajustes!AC3</f>
        <v>3.7429999999999999</v>
      </c>
      <c r="CC5" s="220">
        <f t="shared" si="8"/>
        <v>1</v>
      </c>
      <c r="CD5" s="204">
        <f>BDER!$C646/1000+ajustes!AD3</f>
        <v>5.1829999999999998</v>
      </c>
      <c r="CE5" s="220">
        <f t="shared" ref="CE5:CG5" si="9">IF(CD$5=0,"N.D.",CD5/CD$5)</f>
        <v>1</v>
      </c>
      <c r="CF5" s="204">
        <f>SUM(BV5,BX5,BZ5,CB5,CD5)</f>
        <v>103.09775999999999</v>
      </c>
      <c r="CG5" s="220">
        <f t="shared" si="9"/>
        <v>1</v>
      </c>
    </row>
    <row r="6" spans="1:85" x14ac:dyDescent="0.35">
      <c r="B6" s="7" t="s">
        <v>6</v>
      </c>
      <c r="C6" s="196">
        <f>BDER!$C159/1000 +ajustes!B4</f>
        <v>0</v>
      </c>
      <c r="D6" s="219" t="str">
        <f t="shared" si="0"/>
        <v>N.D.</v>
      </c>
      <c r="E6" s="34">
        <f>BDER!$C137/1000+ajustes!C4</f>
        <v>0</v>
      </c>
      <c r="F6" s="219" t="str">
        <f t="shared" si="0"/>
        <v>N.D.</v>
      </c>
      <c r="G6" s="197">
        <f>BDER!$C203/1000+ajustes!D4</f>
        <v>0</v>
      </c>
      <c r="H6" s="219" t="str">
        <f t="shared" ref="H6" si="10">IF(G$5=0,"N.D.",G6/G$5)</f>
        <v>N.D.</v>
      </c>
      <c r="I6" s="34">
        <f>BDER!$C181/1000+ajustes!E4</f>
        <v>0</v>
      </c>
      <c r="J6" s="219" t="str">
        <f t="shared" ref="J6:L6" si="11">IF(I$5=0,"N.D.",I6/I$5)</f>
        <v>N.D.</v>
      </c>
      <c r="K6" s="207">
        <f>SUM(C6,E6,G6,I6)</f>
        <v>0</v>
      </c>
      <c r="L6" s="219" t="str">
        <f t="shared" si="11"/>
        <v>N.D.</v>
      </c>
      <c r="N6" s="7" t="s">
        <v>6</v>
      </c>
      <c r="O6" s="196">
        <f>BDER!$C$5/1000+ajustes!F4</f>
        <v>10010.61952</v>
      </c>
      <c r="P6" s="219">
        <f t="shared" ref="P6:R6" si="12">IF(O$5=0,"N.D.",O6/O$5)</f>
        <v>0.33911180331888718</v>
      </c>
      <c r="Q6" s="34">
        <f>BDER!$C$27/1000+ajustes!G4</f>
        <v>3392.0287499999999</v>
      </c>
      <c r="R6" s="219">
        <f t="shared" si="12"/>
        <v>0.54136760190574584</v>
      </c>
      <c r="S6" s="197">
        <f>BDER!$C$49/1000+ajustes!H4</f>
        <v>22942.53861</v>
      </c>
      <c r="T6" s="219">
        <f t="shared" ref="T6:V6" si="13">IF(S$5=0,"N.D.",S6/S$5)</f>
        <v>0.82319746251216641</v>
      </c>
      <c r="U6" s="34">
        <f>BDER!$C$71/1000+ajustes!I4</f>
        <v>0</v>
      </c>
      <c r="V6" s="219">
        <f t="shared" si="13"/>
        <v>0</v>
      </c>
      <c r="W6" s="197">
        <f>BDER!$C$93/1000+ajustes!J4</f>
        <v>210.03906000000001</v>
      </c>
      <c r="X6" s="219">
        <f t="shared" ref="X6:Z6" si="14">IF(W$5=0,"N.D.",W6/W$5)</f>
        <v>0.6445494148579678</v>
      </c>
      <c r="Y6" s="196">
        <f>BDER!$C$115/1000+ajustes!K4</f>
        <v>0</v>
      </c>
      <c r="Z6" s="219">
        <f t="shared" si="14"/>
        <v>0</v>
      </c>
      <c r="AA6" s="34">
        <f>SUM(O6,Q6,S6,U6,W6,Y6)-AC6</f>
        <v>27361.201470000004</v>
      </c>
      <c r="AB6" s="219">
        <f t="shared" ref="AB6" si="15">IF(AA$5=0,"N.D.",AA6/AA$5)</f>
        <v>0.51341322459771266</v>
      </c>
      <c r="AC6" s="276">
        <f>ELIM!$C$4/1000</f>
        <v>9194.0244700000003</v>
      </c>
      <c r="AE6" s="7" t="s">
        <v>6</v>
      </c>
      <c r="AF6" s="34">
        <f>BDER!$C291/1000+ajustes!L4</f>
        <v>43447.640039999998</v>
      </c>
      <c r="AG6" s="219">
        <f t="shared" ref="AG6:AI7" si="16">IF(AF$5=0,"N.D.",AF6/AF$5)</f>
        <v>0.82644771482502233</v>
      </c>
      <c r="AH6" s="34">
        <f>BDER!$C313/1000+ajustes!M4</f>
        <v>21350.560329999997</v>
      </c>
      <c r="AI6" s="219">
        <f t="shared" si="16"/>
        <v>0.61746794692687335</v>
      </c>
      <c r="AJ6" s="34">
        <f>BDER!$C357/1000+ajustes!N4</f>
        <v>4203.5497100000002</v>
      </c>
      <c r="AK6" s="219">
        <f t="shared" ref="AK6:AM6" si="17">IF(AJ$5=0,"N.D.",AJ6/AJ$5)</f>
        <v>0.5957806737631246</v>
      </c>
      <c r="AL6" s="34">
        <f>BDER!$C335/2000+ajustes!O4</f>
        <v>5243.8104999999996</v>
      </c>
      <c r="AM6" s="219">
        <f t="shared" si="17"/>
        <v>0.56053627451344823</v>
      </c>
      <c r="AN6" s="34">
        <f>ajustes!P4</f>
        <v>0</v>
      </c>
      <c r="AO6" s="219" t="str">
        <f t="shared" ref="AO6:AQ6" si="18">IF(AN$5=0,"N.D.",AN6/AN$5)</f>
        <v>N.D.</v>
      </c>
      <c r="AP6" s="34">
        <f>BDER!$C401/1000+ajustes!Q4</f>
        <v>3185.3146699999998</v>
      </c>
      <c r="AQ6" s="219">
        <f t="shared" si="18"/>
        <v>0.62554637378890399</v>
      </c>
      <c r="AR6" s="34">
        <f>BDER!$C379/1000+ajustes!R4</f>
        <v>54520.26597</v>
      </c>
      <c r="AS6" s="219">
        <f t="shared" ref="AS6:AU6" si="19">IF(AR$5=0,"N.D.",AR6/AR$5)</f>
        <v>0.85369917880319146</v>
      </c>
      <c r="AT6" s="34">
        <f>SUM(AF6,AH6,AJ6,AL6,AN6,AP6,AR6)</f>
        <v>131951.14121999999</v>
      </c>
      <c r="AU6" s="219">
        <f t="shared" si="19"/>
        <v>0.76486638299835297</v>
      </c>
      <c r="AX6" s="7" t="s">
        <v>6</v>
      </c>
      <c r="AY6" s="34">
        <f>BDER!$C445/1000+ajustes!S4</f>
        <v>3000.3692599999999</v>
      </c>
      <c r="AZ6" s="219">
        <f>IF(AY$5=0,"N.D.",AY6/AY$5)</f>
        <v>0.47923300658030521</v>
      </c>
      <c r="BA6" s="197">
        <f>BDER!$C423/1000+ajustes!T4</f>
        <v>875.76267000000007</v>
      </c>
      <c r="BB6" s="219">
        <f>IF(BA$5=0,"N.D.",BA6/BA$5)</f>
        <v>0.76409989296561531</v>
      </c>
      <c r="BC6" s="34">
        <f>SUM(AY6,BA6)</f>
        <v>3876.13193</v>
      </c>
      <c r="BD6" s="219">
        <f>IF(BC$5=0,"N.D.",BC6/BC$5)</f>
        <v>0.52331296797113935</v>
      </c>
      <c r="BE6" s="187"/>
      <c r="BG6" s="7" t="s">
        <v>163</v>
      </c>
      <c r="BH6" s="196">
        <f>BDER!$C467/1000+ajustes!V4</f>
        <v>100.60966000000001</v>
      </c>
      <c r="BI6" s="219">
        <f>IF(BH$5=0,"N.D.",BH6/BH$5)</f>
        <v>0.32406330700040314</v>
      </c>
      <c r="BJ6" s="34">
        <f>BDER!$C490/1000+ajustes!W4</f>
        <v>174.99967000000001</v>
      </c>
      <c r="BK6" s="219">
        <f>IF(BJ$5=0,"N.D.",BJ6/BJ$5)</f>
        <v>0.28910105311782613</v>
      </c>
      <c r="BL6" s="197">
        <f>BDER!$C557/1000+ajustes!X4</f>
        <v>80.626460000000009</v>
      </c>
      <c r="BM6" s="219">
        <f>IF(BL$5=0,"N.D.",BL6/BL$5)</f>
        <v>0.29323634832668644</v>
      </c>
      <c r="BN6" s="34">
        <f>BDER!$C602/1000+ajustes!Y4</f>
        <v>116.85126</v>
      </c>
      <c r="BO6" s="219">
        <f>IF(BN$5=0,"N.D.",BN6/BN$5)</f>
        <v>0.30320523791844595</v>
      </c>
      <c r="BP6" s="207">
        <f>SUM(BH6,BJ6,BL6,BN6)</f>
        <v>473.08704999999998</v>
      </c>
      <c r="BQ6" s="219">
        <f>IF(BP$5=0,"N.D.",BP6/BP$5)</f>
        <v>0.30015794475652124</v>
      </c>
      <c r="BU6" s="7" t="s">
        <v>163</v>
      </c>
      <c r="BV6" s="196">
        <f>BDER!$C513/1000+ajustes!Z4</f>
        <v>0</v>
      </c>
      <c r="BW6" s="219">
        <f t="shared" ref="BW6:BY6" si="20">IF(BV$5=0,"N.D.",BV6/BV$5)</f>
        <v>0</v>
      </c>
      <c r="BX6" s="34">
        <f>BDER!$C580/1000+ajustes!AA4</f>
        <v>0</v>
      </c>
      <c r="BY6" s="219">
        <f t="shared" si="20"/>
        <v>0</v>
      </c>
      <c r="BZ6" s="197">
        <f>BDER!$C625/1000+ajustes!AB4</f>
        <v>0</v>
      </c>
      <c r="CA6" s="219">
        <f t="shared" ref="CA6:CC6" si="21">IF(BZ$5=0,"N.D.",BZ6/BZ$5)</f>
        <v>0</v>
      </c>
      <c r="CB6" s="34">
        <f>BDER!$C535/1000+ajustes!AC4</f>
        <v>0</v>
      </c>
      <c r="CC6" s="219">
        <f t="shared" si="21"/>
        <v>0</v>
      </c>
      <c r="CD6" s="207">
        <f>BDER!$C647/1000+ajustes!AD4</f>
        <v>0</v>
      </c>
      <c r="CE6" s="219">
        <f t="shared" ref="CE6:CG6" si="22">IF(CD$5=0,"N.D.",CD6/CD$5)</f>
        <v>0</v>
      </c>
      <c r="CF6" s="207">
        <f>SUM(BV6,BX6,BZ6,CB6,CD6)</f>
        <v>0</v>
      </c>
      <c r="CG6" s="219">
        <f t="shared" si="22"/>
        <v>0</v>
      </c>
    </row>
    <row r="7" spans="1:85" x14ac:dyDescent="0.35">
      <c r="B7" s="4" t="s">
        <v>7</v>
      </c>
      <c r="C7" s="191">
        <f>C5-C6</f>
        <v>0</v>
      </c>
      <c r="D7" s="22" t="str">
        <f t="shared" si="0"/>
        <v>N.D.</v>
      </c>
      <c r="E7" s="211">
        <f>E5-E6</f>
        <v>0</v>
      </c>
      <c r="F7" s="22" t="str">
        <f t="shared" si="0"/>
        <v>N.D.</v>
      </c>
      <c r="G7" s="20">
        <f>G5-G6</f>
        <v>0</v>
      </c>
      <c r="H7" s="22" t="str">
        <f t="shared" ref="H7" si="23">IF(G$5=0,"N.D.",G7/G$5)</f>
        <v>N.D.</v>
      </c>
      <c r="I7" s="211">
        <f>I5-I6</f>
        <v>0</v>
      </c>
      <c r="J7" s="22" t="str">
        <f t="shared" ref="J7" si="24">IF(I$5=0,"N.D.",I7/I$5)</f>
        <v>N.D.</v>
      </c>
      <c r="K7" s="20">
        <f>K5-K6</f>
        <v>0</v>
      </c>
      <c r="L7" s="22" t="str">
        <f>IF(K$5=0,"N.D.",K7/K$5)</f>
        <v>N.D.</v>
      </c>
      <c r="N7" s="4" t="s">
        <v>7</v>
      </c>
      <c r="O7" s="216">
        <f>O5-O6</f>
        <v>19509.495740000002</v>
      </c>
      <c r="P7" s="22">
        <f>IF(O$5=0,"N.D.",O7/O$5)</f>
        <v>0.66088819668111287</v>
      </c>
      <c r="Q7" s="208">
        <f>Q5-Q6</f>
        <v>2873.6375700000003</v>
      </c>
      <c r="R7" s="22">
        <f>IF(Q$5=0,"N.D.",Q7/Q$5)</f>
        <v>0.4586323980942541</v>
      </c>
      <c r="S7" s="202">
        <f>S5-S6</f>
        <v>4927.4921600000016</v>
      </c>
      <c r="T7" s="22">
        <f>IF(S$5=0,"N.D.",S7/S$5)</f>
        <v>0.17680253748783362</v>
      </c>
      <c r="U7" s="208">
        <f>U5-U6</f>
        <v>3454.2553399999997</v>
      </c>
      <c r="V7" s="22">
        <f>IF(U$5=0,"N.D.",U7/U$5)</f>
        <v>1</v>
      </c>
      <c r="W7" s="202">
        <f>W5-W6</f>
        <v>115.83053999999998</v>
      </c>
      <c r="X7" s="22">
        <f>IF(W$5=0,"N.D.",W7/W$5)</f>
        <v>0.35545058514203226</v>
      </c>
      <c r="Y7" s="208">
        <f>Y5-Y6</f>
        <v>264.06</v>
      </c>
      <c r="Z7" s="22">
        <f>IF(Y$5=0,"N.D.",Y7/Y$5)</f>
        <v>1</v>
      </c>
      <c r="AA7" s="213">
        <f>AA5-AA6</f>
        <v>25931.546280000006</v>
      </c>
      <c r="AB7" s="22">
        <f>IF(AA$5=0,"N.D.",AA7/AA$5)</f>
        <v>0.48658677540228729</v>
      </c>
      <c r="AC7" s="276"/>
      <c r="AE7" s="4" t="s">
        <v>7</v>
      </c>
      <c r="AF7" s="20">
        <f>AF5-AF6</f>
        <v>9123.9132000000027</v>
      </c>
      <c r="AG7" s="22">
        <f t="shared" si="16"/>
        <v>0.1735522851749777</v>
      </c>
      <c r="AH7" s="20">
        <f>AH5-AH6</f>
        <v>13227.040720000001</v>
      </c>
      <c r="AI7" s="22">
        <f t="shared" si="16"/>
        <v>0.38253205307312671</v>
      </c>
      <c r="AJ7" s="20">
        <f>AJ5-AJ6</f>
        <v>2851.9824599999993</v>
      </c>
      <c r="AK7" s="22">
        <f t="shared" ref="AK7:AM7" si="25">IF(AJ$5=0,"N.D.",AJ7/AJ$5)</f>
        <v>0.4042193262368754</v>
      </c>
      <c r="AL7" s="20">
        <f>AL5-AL6</f>
        <v>4111.1781750000009</v>
      </c>
      <c r="AM7" s="22">
        <f t="shared" si="25"/>
        <v>0.43946372548655177</v>
      </c>
      <c r="AN7" s="20">
        <f>AN5-AN6</f>
        <v>0</v>
      </c>
      <c r="AO7" s="22" t="str">
        <f t="shared" ref="AO7:AQ7" si="26">IF(AN$5=0,"N.D.",AN7/AN$5)</f>
        <v>N.D.</v>
      </c>
      <c r="AP7" s="20">
        <f>AP5-AP6</f>
        <v>1906.7373399999997</v>
      </c>
      <c r="AQ7" s="22">
        <f t="shared" si="26"/>
        <v>0.37445362621109596</v>
      </c>
      <c r="AR7" s="20">
        <f>AR5-AR6</f>
        <v>9343.2908000000025</v>
      </c>
      <c r="AS7" s="22">
        <f t="shared" ref="AS7:AU7" si="27">IF(AR$5=0,"N.D.",AR7/AR$5)</f>
        <v>0.14630082119680854</v>
      </c>
      <c r="AT7" s="20">
        <f>AT5-AT6</f>
        <v>40564.142695000017</v>
      </c>
      <c r="AU7" s="22">
        <f t="shared" si="27"/>
        <v>0.23513361700164706</v>
      </c>
      <c r="AX7" s="4" t="s">
        <v>7</v>
      </c>
      <c r="AY7" s="20">
        <f>AY5-AY6</f>
        <v>3260.4041400000001</v>
      </c>
      <c r="AZ7" s="22">
        <f>IF(AY$5=0,"N.D.",AY7/AY$5)</f>
        <v>0.52076699341969479</v>
      </c>
      <c r="BA7" s="20">
        <f>BA5-BA6</f>
        <v>270.37369000000012</v>
      </c>
      <c r="BB7" s="22">
        <f>IF(BA$5=0,"N.D.",BA7/BA$5)</f>
        <v>0.23590010703438472</v>
      </c>
      <c r="BC7" s="20">
        <f>BC5-BC6</f>
        <v>3530.7778300000004</v>
      </c>
      <c r="BD7" s="22">
        <f>IF(BC$5=0,"N.D.",BC7/BC$5)</f>
        <v>0.47668703202886059</v>
      </c>
      <c r="BE7" s="221"/>
      <c r="BG7" s="4" t="s">
        <v>164</v>
      </c>
      <c r="BH7" s="20">
        <f>BH5-BH6</f>
        <v>209.85331999999994</v>
      </c>
      <c r="BI7" s="22">
        <f>IF(BH$5=0,"N.D.",BH7/BH$5)</f>
        <v>0.6759366929995968</v>
      </c>
      <c r="BJ7" s="20">
        <f>BJ5-BJ6</f>
        <v>430.32385999999997</v>
      </c>
      <c r="BK7" s="22">
        <f>IF(BJ$5=0,"N.D.",BJ7/BJ$5)</f>
        <v>0.71089894688217381</v>
      </c>
      <c r="BL7" s="20">
        <f>BL5-BL6</f>
        <v>194.32738000000001</v>
      </c>
      <c r="BM7" s="22">
        <f>IF(BL$5=0,"N.D.",BL7/BL$5)</f>
        <v>0.70676365167331356</v>
      </c>
      <c r="BN7" s="20">
        <f>BN5-BN6</f>
        <v>268.53542000000004</v>
      </c>
      <c r="BO7" s="22">
        <f>IF(BN$5=0,"N.D.",BN7/BN$5)</f>
        <v>0.69679476208155411</v>
      </c>
      <c r="BP7" s="14">
        <f>BP5-BP6</f>
        <v>1103.03998</v>
      </c>
      <c r="BQ7" s="22">
        <f>IF(BP$5=0,"N.D.",BP7/BP$5)</f>
        <v>0.69984205524347864</v>
      </c>
      <c r="BU7" s="4" t="s">
        <v>164</v>
      </c>
      <c r="BV7" s="20">
        <f>BV5-BV6</f>
        <v>44.332889999999999</v>
      </c>
      <c r="BW7" s="22">
        <f>IF(BV$5=0,"N.D.",BV7/BV$5)</f>
        <v>1</v>
      </c>
      <c r="BX7" s="20">
        <f>BX5-BX6</f>
        <v>29.854590000000002</v>
      </c>
      <c r="BY7" s="22">
        <f>IF(BX$5=0,"N.D.",BX7/BX$5)</f>
        <v>1</v>
      </c>
      <c r="BZ7" s="20">
        <f>BZ5-BZ6</f>
        <v>19.984279999999998</v>
      </c>
      <c r="CA7" s="22">
        <f>IF(BZ$5=0,"N.D.",BZ7/BZ$5)</f>
        <v>1</v>
      </c>
      <c r="CB7" s="20">
        <f>CB5-CB6</f>
        <v>3.7429999999999999</v>
      </c>
      <c r="CC7" s="22">
        <f>IF(CB$5=0,"N.D.",CB7/CB$5)</f>
        <v>1</v>
      </c>
      <c r="CD7" s="20">
        <f>CD5-CD6</f>
        <v>5.1829999999999998</v>
      </c>
      <c r="CE7" s="22">
        <f>IF(CD$5=0,"N.D.",CD7/CD$5)</f>
        <v>1</v>
      </c>
      <c r="CF7" s="20">
        <f>CF5-CF6</f>
        <v>103.09775999999999</v>
      </c>
      <c r="CG7" s="22">
        <f>IF(CF$5=0,"N.D.",CF7/CF$5)</f>
        <v>1</v>
      </c>
    </row>
    <row r="8" spans="1:85" x14ac:dyDescent="0.35">
      <c r="B8" s="1"/>
      <c r="C8" s="30"/>
      <c r="D8" s="30"/>
      <c r="E8" s="30"/>
      <c r="F8" s="30"/>
      <c r="G8" s="30"/>
      <c r="H8" s="30"/>
      <c r="I8" s="30"/>
      <c r="J8" s="30"/>
      <c r="K8" s="30"/>
      <c r="L8" s="30"/>
      <c r="N8" s="1"/>
      <c r="O8" s="217"/>
      <c r="P8" s="30"/>
      <c r="Q8" s="217"/>
      <c r="R8" s="30"/>
      <c r="S8" s="217"/>
      <c r="T8" s="30"/>
      <c r="U8" s="217"/>
      <c r="V8" s="30"/>
      <c r="W8" s="217"/>
      <c r="X8" s="30"/>
      <c r="Y8" s="217"/>
      <c r="Z8" s="30"/>
      <c r="AA8" s="217"/>
      <c r="AB8" s="30"/>
      <c r="AC8" s="276"/>
      <c r="AE8" s="1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X8" s="1"/>
      <c r="AY8" s="30"/>
      <c r="AZ8" s="30"/>
      <c r="BA8" s="30"/>
      <c r="BB8" s="30"/>
      <c r="BC8" s="30"/>
      <c r="BD8" s="30"/>
      <c r="BE8" s="30"/>
      <c r="BG8" s="1"/>
      <c r="BH8" s="30"/>
      <c r="BI8" s="30"/>
      <c r="BJ8" s="30"/>
      <c r="BK8" s="30"/>
      <c r="BL8" s="30"/>
      <c r="BM8" s="30"/>
      <c r="BN8" s="30"/>
      <c r="BO8" s="30"/>
      <c r="BP8" s="30"/>
      <c r="BQ8" s="30"/>
      <c r="BU8" s="1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</row>
    <row r="9" spans="1:85" x14ac:dyDescent="0.35">
      <c r="B9" s="7" t="s">
        <v>8</v>
      </c>
      <c r="C9" s="194">
        <f>BDER!$C161/1000+ajustes!B5</f>
        <v>0</v>
      </c>
      <c r="D9" s="220" t="str">
        <f t="shared" ref="D9:F13" si="28">IF(C$5=0,"N.D.",C9/C$5)</f>
        <v>N.D.</v>
      </c>
      <c r="E9" s="8">
        <f>BDER!$C139/1000+ajustes!C5</f>
        <v>0.67500000000000004</v>
      </c>
      <c r="F9" s="220" t="str">
        <f t="shared" si="28"/>
        <v>N.D.</v>
      </c>
      <c r="G9" s="195">
        <f>BDER!$C205/1000+ajustes!D5</f>
        <v>0</v>
      </c>
      <c r="H9" s="220" t="str">
        <f t="shared" ref="H9" si="29">IF(G$5=0,"N.D.",G9/G$5)</f>
        <v>N.D.</v>
      </c>
      <c r="I9" s="8">
        <f>BDER!$C183/1000+ajustes!E5</f>
        <v>0</v>
      </c>
      <c r="J9" s="220" t="str">
        <f t="shared" ref="J9:L9" si="30">IF(I$5=0,"N.D.",I9/I$5)</f>
        <v>N.D.</v>
      </c>
      <c r="K9" s="204">
        <f>SUM(C9,E9,G9,I9)</f>
        <v>0.67500000000000004</v>
      </c>
      <c r="L9" s="220" t="str">
        <f t="shared" si="30"/>
        <v>N.D.</v>
      </c>
      <c r="N9" s="7" t="s">
        <v>8</v>
      </c>
      <c r="O9" s="198">
        <f>BDER!$C7/1000+ajustes!F5</f>
        <v>11909.221089999999</v>
      </c>
      <c r="P9" s="220">
        <f t="shared" ref="P9:R9" si="31">IF(O$5=0,"N.D.",O9/O$5)</f>
        <v>0.40342732354223193</v>
      </c>
      <c r="Q9" s="11">
        <f>BDER!$C29/1000+ajustes!G5</f>
        <v>0</v>
      </c>
      <c r="R9" s="220">
        <f t="shared" si="31"/>
        <v>0</v>
      </c>
      <c r="S9" s="30">
        <f>BDER!$C51/1000+ajustes!H5</f>
        <v>2705.3826400000003</v>
      </c>
      <c r="T9" s="220">
        <f t="shared" ref="T9:V9" si="32">IF(S$5=0,"N.D.",S9/S$5)</f>
        <v>9.7071390495633819E-2</v>
      </c>
      <c r="U9" s="11">
        <f>BDER!$C73/1000+ajustes!I5</f>
        <v>0</v>
      </c>
      <c r="V9" s="220">
        <f t="shared" si="32"/>
        <v>0</v>
      </c>
      <c r="W9" s="30">
        <f>BDER!$C95/1000+ajustes!J5</f>
        <v>0</v>
      </c>
      <c r="X9" s="220">
        <f t="shared" ref="X9:Z9" si="33">IF(W$5=0,"N.D.",W9/W$5)</f>
        <v>0</v>
      </c>
      <c r="Y9" s="11">
        <f>BDER!$C117/1000+ajustes!K5</f>
        <v>0</v>
      </c>
      <c r="Z9" s="220">
        <f t="shared" si="33"/>
        <v>0</v>
      </c>
      <c r="AA9" s="206">
        <f>SUM(O9,Q9,S9,U9,W9,Y9)-AC9</f>
        <v>12855.633999999998</v>
      </c>
      <c r="AB9" s="220">
        <f t="shared" ref="AB9" si="34">IF(AA$5=0,"N.D.",AA9/AA$5)</f>
        <v>0.24122670612344241</v>
      </c>
      <c r="AC9" s="276">
        <f>(ELIM!C2+ELIM!C8+ELIM!C10)/1000</f>
        <v>1758.96973</v>
      </c>
      <c r="AE9" s="7" t="s">
        <v>8</v>
      </c>
      <c r="AF9" s="8">
        <f>BDER!$C293/1000+ajustes!L5</f>
        <v>4154.7879300000004</v>
      </c>
      <c r="AG9" s="220">
        <f t="shared" ref="AG9:AI9" si="35">IF(AF$5=0,"N.D.",AF9/AF$5)</f>
        <v>7.903110473134653E-2</v>
      </c>
      <c r="AH9" s="8">
        <f>BDER!$C315/1000+ajustes!M5</f>
        <v>7349.6965999999993</v>
      </c>
      <c r="AI9" s="220">
        <f t="shared" si="35"/>
        <v>0.21255657931191266</v>
      </c>
      <c r="AJ9" s="8">
        <f>BDER!$C359/1000+ajustes!N5</f>
        <v>3799.5397699999999</v>
      </c>
      <c r="AK9" s="220">
        <f t="shared" ref="AK9:AM9" si="36">IF(AJ$5=0,"N.D.",AJ9/AJ$5)</f>
        <v>0.5385192326321715</v>
      </c>
      <c r="AL9" s="8">
        <f>BDER!$C337/2000+ajustes!O5</f>
        <v>1860.8726650000001</v>
      </c>
      <c r="AM9" s="220">
        <f t="shared" si="36"/>
        <v>0.19891768228142723</v>
      </c>
      <c r="AN9" s="8">
        <f>ajustes!P5</f>
        <v>0</v>
      </c>
      <c r="AO9" s="220" t="str">
        <f t="shared" ref="AO9:AQ9" si="37">IF(AN$5=0,"N.D.",AN9/AN$5)</f>
        <v>N.D.</v>
      </c>
      <c r="AP9" s="8">
        <f>BDER!$C403/1000+ajustes!Q5</f>
        <v>1165.6634199999999</v>
      </c>
      <c r="AQ9" s="220">
        <f t="shared" si="37"/>
        <v>0.22891820776983776</v>
      </c>
      <c r="AR9" s="8">
        <f>BDER!$C381/1000+ajustes!R5</f>
        <v>3001.9500499999999</v>
      </c>
      <c r="AS9" s="220">
        <f t="shared" ref="AS9:AU9" si="38">IF(AR$5=0,"N.D.",AR9/AR$5)</f>
        <v>4.7005682142184889E-2</v>
      </c>
      <c r="AT9" s="8">
        <f>SUM(AF9,AH9,AJ9,AL9,AN9,AP9,AR9)</f>
        <v>21332.510435</v>
      </c>
      <c r="AU9" s="220">
        <f t="shared" si="38"/>
        <v>0.12365577096062248</v>
      </c>
      <c r="AX9" s="7" t="s">
        <v>8</v>
      </c>
      <c r="AY9" s="8">
        <f>BDER!$C447/1000+ajustes!S5</f>
        <v>48.372</v>
      </c>
      <c r="AZ9" s="220">
        <f>IF(AY$5=0,"N.D.",AY9/AY$5)</f>
        <v>7.7262020056499724E-3</v>
      </c>
      <c r="BA9" s="204">
        <f>BDER!$C425/1000+ajustes!T5</f>
        <v>0</v>
      </c>
      <c r="BB9" s="220">
        <f>IF(BA$5=0,"N.D.",BA9/BA$5)</f>
        <v>0</v>
      </c>
      <c r="BC9" s="204">
        <f>SUM(AY9,BA9)</f>
        <v>48.372</v>
      </c>
      <c r="BD9" s="220">
        <f>IF(BC$5=0,"N.D.",BC9/BC$5)</f>
        <v>6.5306587453280917E-3</v>
      </c>
      <c r="BE9" s="187"/>
      <c r="BG9" s="7" t="s">
        <v>165</v>
      </c>
      <c r="BH9" s="194">
        <f>BDER!$C470/1000+ajustes!V5</f>
        <v>186.79787999999999</v>
      </c>
      <c r="BI9" s="220">
        <f>IF(BH$5=0,"N.D.",BH9/BH$5)</f>
        <v>0.60167521422360892</v>
      </c>
      <c r="BJ9" s="8">
        <f>BDER!$C493/1000+ajustes!W5</f>
        <v>393.12997999999999</v>
      </c>
      <c r="BK9" s="220">
        <f>IF(BJ$5=0,"N.D.",BJ9/BJ$5)</f>
        <v>0.64945431742922666</v>
      </c>
      <c r="BL9" s="195">
        <f>BDER!$C560/1000+ajustes!X5</f>
        <v>150.45585</v>
      </c>
      <c r="BM9" s="220">
        <f>IF(BL$5=0,"N.D.",BL9/BL$5)</f>
        <v>0.54720403250232841</v>
      </c>
      <c r="BN9" s="8">
        <f>BDER!$C605/1000+ajustes!Y5</f>
        <v>230.56626</v>
      </c>
      <c r="BO9" s="220">
        <f>IF(BN$5=0,"N.D.",BN9/BN$5)</f>
        <v>0.5982725194342472</v>
      </c>
      <c r="BP9" s="204">
        <f>SUM(BH9,BJ9,BL9,BN9)</f>
        <v>960.94997000000012</v>
      </c>
      <c r="BQ9" s="220">
        <f>IF(BP$5=0,"N.D.",BP9/BP$5)</f>
        <v>0.60969068590873676</v>
      </c>
      <c r="BU9" s="7" t="s">
        <v>165</v>
      </c>
      <c r="BV9" s="194">
        <f>BDER!$C515/1000+ajustes!Z5</f>
        <v>10.7103</v>
      </c>
      <c r="BW9" s="220">
        <f t="shared" ref="BW9:BY9" si="39">IF(BV$5=0,"N.D.",BV9/BV$5)</f>
        <v>0.24158813016701597</v>
      </c>
      <c r="BX9" s="8">
        <f>BDER!$C582/1000+ajustes!AA5</f>
        <v>9.3706800000000001</v>
      </c>
      <c r="BY9" s="220">
        <f t="shared" si="39"/>
        <v>0.31387736358127843</v>
      </c>
      <c r="BZ9" s="195">
        <f>BDER!$C627/1000+ajustes!AB5</f>
        <v>1.5264200000000001</v>
      </c>
      <c r="CA9" s="220">
        <f t="shared" ref="CA9:CC9" si="40">IF(BZ$5=0,"N.D.",BZ9/BZ$5)</f>
        <v>7.6381035493898214E-2</v>
      </c>
      <c r="CB9" s="8">
        <f>BDER!$C537/1000+ajustes!AC5</f>
        <v>1.52E-2</v>
      </c>
      <c r="CC9" s="220">
        <f t="shared" si="40"/>
        <v>4.0609137055837565E-3</v>
      </c>
      <c r="CD9" s="204">
        <f>BDER!$C649/1000+ajustes!AD5</f>
        <v>0</v>
      </c>
      <c r="CE9" s="220">
        <f t="shared" ref="CE9:CG9" si="41">IF(CD$5=0,"N.D.",CD9/CD$5)</f>
        <v>0</v>
      </c>
      <c r="CF9" s="204">
        <f>SUM(BV9,BX9,BZ9,CB9,CD9)</f>
        <v>21.622600000000002</v>
      </c>
      <c r="CG9" s="220">
        <f t="shared" si="41"/>
        <v>0.20972909595708</v>
      </c>
    </row>
    <row r="10" spans="1:85" x14ac:dyDescent="0.35">
      <c r="B10" s="7" t="s">
        <v>9</v>
      </c>
      <c r="C10" s="198">
        <f>BDER!$C162/1000+ajustes!B6</f>
        <v>53.631160000000001</v>
      </c>
      <c r="D10" s="219" t="str">
        <f t="shared" si="28"/>
        <v>N.D.</v>
      </c>
      <c r="E10" s="11">
        <f>BDER!$C140/1000+ajustes!C6</f>
        <v>20.104099999999999</v>
      </c>
      <c r="F10" s="219" t="str">
        <f t="shared" si="28"/>
        <v>N.D.</v>
      </c>
      <c r="G10" s="30">
        <f>BDER!$C206/1000+ajustes!D6</f>
        <v>1.2529999999999999</v>
      </c>
      <c r="H10" s="219" t="str">
        <f t="shared" ref="H10" si="42">IF(G$5=0,"N.D.",G10/G$5)</f>
        <v>N.D.</v>
      </c>
      <c r="I10" s="11">
        <f>BDER!$C184/1000+ajustes!E6</f>
        <v>0.97499999999999998</v>
      </c>
      <c r="J10" s="219" t="str">
        <f t="shared" ref="J10:L10" si="43">IF(I$5=0,"N.D.",I10/I$5)</f>
        <v>N.D.</v>
      </c>
      <c r="K10" s="206">
        <f>SUM(C10,E10,G10,I10)</f>
        <v>75.963259999999991</v>
      </c>
      <c r="L10" s="219" t="str">
        <f t="shared" si="43"/>
        <v>N.D.</v>
      </c>
      <c r="N10" s="7" t="s">
        <v>9</v>
      </c>
      <c r="O10" s="198">
        <f>BDER!$C8/1000+ajustes!F6</f>
        <v>3264.7161800000003</v>
      </c>
      <c r="P10" s="219">
        <f t="shared" ref="P10:R10" si="44">IF(O$5=0,"N.D.",O10/O$5)</f>
        <v>0.11059293472419864</v>
      </c>
      <c r="Q10" s="11">
        <f>BDER!$C30/1000+ajustes!G6</f>
        <v>1410.2374</v>
      </c>
      <c r="R10" s="219">
        <f t="shared" si="44"/>
        <v>0.22507381146335925</v>
      </c>
      <c r="S10" s="30">
        <f>BDER!$C52/1000+ajustes!H6</f>
        <v>1099.5268899999999</v>
      </c>
      <c r="T10" s="219">
        <f t="shared" ref="T10:V10" si="45">IF(S$5=0,"N.D.",S10/S$5)</f>
        <v>3.9451943884595858E-2</v>
      </c>
      <c r="U10" s="11">
        <f>BDER!$C74/1000+ajustes!I6</f>
        <v>3161.4376600000001</v>
      </c>
      <c r="V10" s="219">
        <f t="shared" si="45"/>
        <v>0.91522986832814746</v>
      </c>
      <c r="W10" s="30">
        <f>BDER!$C96/1000+ajustes!J6</f>
        <v>155.48488</v>
      </c>
      <c r="X10" s="219">
        <f t="shared" ref="X10:Z10" si="46">IF(W$5=0,"N.D.",W10/W$5)</f>
        <v>0.47713833999857613</v>
      </c>
      <c r="Y10" s="11">
        <f>BDER!$C118/1000+ajustes!K6</f>
        <v>168.23454999999998</v>
      </c>
      <c r="Z10" s="219">
        <f t="shared" si="46"/>
        <v>0.63710728622282808</v>
      </c>
      <c r="AA10" s="206">
        <f>SUM(O10,Q10,S10,U10,W10,Y10)-AC10</f>
        <v>5805.3822199999995</v>
      </c>
      <c r="AB10" s="219">
        <f t="shared" ref="AB10" si="47">IF(AA$5=0,"N.D.",AA10/AA$5)</f>
        <v>0.10893381304400838</v>
      </c>
      <c r="AC10" s="276">
        <f>ELIM!C6/1000</f>
        <v>3454.2553399999997</v>
      </c>
      <c r="AE10" s="7" t="s">
        <v>9</v>
      </c>
      <c r="AF10" s="11">
        <f>BDER!$C294/1000+BDER!C289/1000+ajustes!L6</f>
        <v>2792.0953100000002</v>
      </c>
      <c r="AG10" s="219">
        <f t="shared" ref="AG10:AI10" si="48">IF(AF$5=0,"N.D.",AF10/AF$5)</f>
        <v>5.3110382667476232E-2</v>
      </c>
      <c r="AH10" s="11">
        <f>BDER!$C316/1000-BDER!C311/1000+ajustes!M6</f>
        <v>2439.0699400000003</v>
      </c>
      <c r="AI10" s="219">
        <f t="shared" si="48"/>
        <v>7.0539015603570926E-2</v>
      </c>
      <c r="AJ10" s="11">
        <f>BDER!$C360/1000-BDER!C355/1000+ajustes!N6</f>
        <v>803.80454999999984</v>
      </c>
      <c r="AK10" s="219">
        <f t="shared" ref="AK10:AM10" si="49">IF(AJ$5=0,"N.D.",AJ10/AJ$5)</f>
        <v>0.11392543193520722</v>
      </c>
      <c r="AL10" s="11">
        <f>BDER!$C338/2000+BDER!C333/2000+ajustes!O6</f>
        <v>473.85307999999998</v>
      </c>
      <c r="AM10" s="219">
        <f t="shared" si="49"/>
        <v>5.0652448277816856E-2</v>
      </c>
      <c r="AN10" s="11">
        <f>ajustes!P6</f>
        <v>0</v>
      </c>
      <c r="AO10" s="219" t="str">
        <f t="shared" ref="AO10:AQ10" si="50">IF(AN$5=0,"N.D.",AN10/AN$5)</f>
        <v>N.D.</v>
      </c>
      <c r="AP10" s="11">
        <f>BDER!$C404/1000+ajustes!Q6</f>
        <v>6.0264100000000003</v>
      </c>
      <c r="AQ10" s="219">
        <f t="shared" si="50"/>
        <v>1.1834934105474702E-3</v>
      </c>
      <c r="AR10" s="11">
        <f>BDER!$C382/1000+BDER!$C377/1000+ajustes!R6</f>
        <v>1332.4698000000001</v>
      </c>
      <c r="AS10" s="219">
        <f t="shared" ref="AS10:AU10" si="51">IF(AR$5=0,"N.D.",AR10/AR$5)</f>
        <v>2.0864321804042234E-2</v>
      </c>
      <c r="AT10" s="11">
        <f>SUM(AF10,AH10,AJ10,AL10,AN10,AP10,AR10)</f>
        <v>7847.31909</v>
      </c>
      <c r="AU10" s="219">
        <f t="shared" si="51"/>
        <v>4.5487674552165777E-2</v>
      </c>
      <c r="AX10" s="7" t="s">
        <v>9</v>
      </c>
      <c r="AY10" s="11">
        <f>BDER!$C448/1000+ajustes!S6</f>
        <v>470.91111000000001</v>
      </c>
      <c r="AZ10" s="219">
        <f>IF(AY$5=0,"N.D.",AY10/AY$5)</f>
        <v>7.5216124257108552E-2</v>
      </c>
      <c r="BA10" s="206">
        <f>BDER!$C426/1000+ajustes!T6</f>
        <v>110.56899</v>
      </c>
      <c r="BB10" s="219">
        <f>IF(BA$5=0,"N.D.",BA10/BA$5)</f>
        <v>9.647106038935889E-2</v>
      </c>
      <c r="BC10" s="206">
        <f>SUM(AY10,BA10)</f>
        <v>581.48009999999999</v>
      </c>
      <c r="BD10" s="219">
        <f>IF(BC$5=0,"N.D.",BC10/BC$5)</f>
        <v>7.8505087660201214E-2</v>
      </c>
      <c r="BE10" s="187"/>
      <c r="BG10" s="7" t="s">
        <v>166</v>
      </c>
      <c r="BH10" s="198">
        <f>BDER!$C471/1000+ajustes!V6</f>
        <v>7.5118100000000005</v>
      </c>
      <c r="BI10" s="219">
        <f>IF(BH$5=0,"N.D.",BH10/BH$5)</f>
        <v>2.4195509558015586E-2</v>
      </c>
      <c r="BJ10" s="11">
        <f>BDER!$C494/1000+ajustes!W6</f>
        <v>12.14926</v>
      </c>
      <c r="BK10" s="219">
        <f>IF(BJ$5=0,"N.D.",BJ10/BJ$5)</f>
        <v>2.0070688479597018E-2</v>
      </c>
      <c r="BL10" s="30">
        <f>BDER!$C561/1000+ajustes!X6</f>
        <v>6.6761899999999992</v>
      </c>
      <c r="BM10" s="219">
        <f>IF(BL$5=0,"N.D.",BL10/BL$5)</f>
        <v>2.4281130243534694E-2</v>
      </c>
      <c r="BN10" s="11">
        <f>BDER!$C606/1000+ajustes!Y6</f>
        <v>8.0414099999999991</v>
      </c>
      <c r="BO10" s="219">
        <f>IF(BN$5=0,"N.D.",BN10/BN$5)</f>
        <v>2.0865822347570496E-2</v>
      </c>
      <c r="BP10" s="206">
        <f>SUM(BH10,BJ10,BL10,BN10)</f>
        <v>34.37867</v>
      </c>
      <c r="BQ10" s="219">
        <f>IF(BP$5=0,"N.D.",BP10/BP$5)</f>
        <v>2.1812118785882378E-2</v>
      </c>
      <c r="BU10" s="7" t="s">
        <v>166</v>
      </c>
      <c r="BV10" s="198">
        <f>BDER!$C516/1000+ajustes!Z6</f>
        <v>0</v>
      </c>
      <c r="BW10" s="219">
        <f t="shared" ref="BW10:BY10" si="52">IF(BV$5=0,"N.D.",BV10/BV$5)</f>
        <v>0</v>
      </c>
      <c r="BX10" s="11">
        <f>BDER!$C583/1000+ajustes!AA6</f>
        <v>0</v>
      </c>
      <c r="BY10" s="219">
        <f t="shared" si="52"/>
        <v>0</v>
      </c>
      <c r="BZ10" s="30">
        <f>BDER!$C628/1000+ajustes!AB6</f>
        <v>0</v>
      </c>
      <c r="CA10" s="219">
        <f t="shared" ref="CA10:CC10" si="53">IF(BZ$5=0,"N.D.",BZ10/BZ$5)</f>
        <v>0</v>
      </c>
      <c r="CB10" s="11">
        <f>BDER!$C538/1000+ajustes!AC6</f>
        <v>0</v>
      </c>
      <c r="CC10" s="219">
        <f t="shared" si="53"/>
        <v>0</v>
      </c>
      <c r="CD10" s="206">
        <f>BDER!$C650/1000+ajustes!AD6</f>
        <v>2.3390000000000001E-2</v>
      </c>
      <c r="CE10" s="219">
        <f t="shared" ref="CE10:CG10" si="54">IF(CD$5=0,"N.D.",CD10/CD$5)</f>
        <v>4.5128304071001355E-3</v>
      </c>
      <c r="CF10" s="206">
        <f>SUM(BV10,BX10,BZ10,CB10,CD10)</f>
        <v>2.3390000000000001E-2</v>
      </c>
      <c r="CG10" s="219">
        <f t="shared" si="54"/>
        <v>2.2687204843247809E-4</v>
      </c>
    </row>
    <row r="11" spans="1:85" x14ac:dyDescent="0.35">
      <c r="B11" s="7" t="s">
        <v>10</v>
      </c>
      <c r="C11" s="196">
        <f>BDER!$C163/1000+ajustes!B7</f>
        <v>0</v>
      </c>
      <c r="D11" s="219" t="str">
        <f t="shared" si="28"/>
        <v>N.D.</v>
      </c>
      <c r="E11" s="34">
        <f>BDER!$C141/1000+ajustes!C7</f>
        <v>0</v>
      </c>
      <c r="F11" s="219" t="str">
        <f t="shared" si="28"/>
        <v>N.D.</v>
      </c>
      <c r="G11" s="197">
        <f>BDER!$C207/1000+ajustes!D7</f>
        <v>0</v>
      </c>
      <c r="H11" s="219" t="str">
        <f t="shared" ref="H11" si="55">IF(G$5=0,"N.D.",G11/G$5)</f>
        <v>N.D.</v>
      </c>
      <c r="I11" s="34">
        <f>BDER!$C185/1000+ajustes!E7</f>
        <v>0</v>
      </c>
      <c r="J11" s="219" t="str">
        <f t="shared" ref="J11:L11" si="56">IF(I$5=0,"N.D.",I11/I$5)</f>
        <v>N.D.</v>
      </c>
      <c r="K11" s="207">
        <f>SUM(C11,E11,G11,I11)</f>
        <v>0</v>
      </c>
      <c r="L11" s="219" t="str">
        <f t="shared" si="56"/>
        <v>N.D.</v>
      </c>
      <c r="N11" s="7" t="s">
        <v>10</v>
      </c>
      <c r="O11" s="196">
        <f>BDER!$C9/1000+ajustes!F7</f>
        <v>708.43615</v>
      </c>
      <c r="P11" s="219">
        <f t="shared" ref="P11:R11" si="57">IF(O$5=0,"N.D.",O11/O$5)</f>
        <v>2.3998420865244275E-2</v>
      </c>
      <c r="Q11" s="34">
        <f>BDER!$C31/1000+ajustes!G7</f>
        <v>0</v>
      </c>
      <c r="R11" s="219">
        <f t="shared" si="57"/>
        <v>0</v>
      </c>
      <c r="S11" s="197">
        <f>BDER!$C53/1000+ajustes!H7</f>
        <v>110.02908000000001</v>
      </c>
      <c r="T11" s="219">
        <f t="shared" ref="T11:V11" si="58">IF(S$5=0,"N.D.",S11/S$5)</f>
        <v>3.9479353613932162E-3</v>
      </c>
      <c r="U11" s="34">
        <f>BDER!$C75/1000+ajustes!I7</f>
        <v>45.176319999999997</v>
      </c>
      <c r="V11" s="219">
        <f t="shared" si="58"/>
        <v>1.3078454124934493E-2</v>
      </c>
      <c r="W11" s="197">
        <f>BDER!$C97/1000+ajustes!J7</f>
        <v>0</v>
      </c>
      <c r="X11" s="219">
        <f t="shared" ref="X11:Z11" si="59">IF(W$5=0,"N.D.",W11/W$5)</f>
        <v>0</v>
      </c>
      <c r="Y11" s="34">
        <f>BDER!$C119/1000+ajustes!K7</f>
        <v>46.872080000000004</v>
      </c>
      <c r="Z11" s="219">
        <f t="shared" si="59"/>
        <v>0.1775054154358858</v>
      </c>
      <c r="AA11" s="207">
        <f>SUM(O11,Q11,S11,U11,W11,Y11)</f>
        <v>910.51363000000003</v>
      </c>
      <c r="AB11" s="219">
        <f t="shared" ref="AB11" si="60">IF(AA$5=0,"N.D.",AA11/AA$5)</f>
        <v>1.7085132000910948E-2</v>
      </c>
      <c r="AC11" s="276"/>
      <c r="AE11" s="7" t="s">
        <v>10</v>
      </c>
      <c r="AF11" s="11">
        <f>BDER!$C295/1000+ajustes!L7</f>
        <v>355.15084000000002</v>
      </c>
      <c r="AG11" s="219">
        <f t="shared" ref="AG11:AI11" si="61">IF(AF$5=0,"N.D.",AF11/AF$5)</f>
        <v>6.7555706101865218E-3</v>
      </c>
      <c r="AH11" s="11">
        <f>BDER!$C317/1000+ajustes!M7</f>
        <v>631.87184999999999</v>
      </c>
      <c r="AI11" s="219">
        <f t="shared" si="61"/>
        <v>1.8274022222834342E-2</v>
      </c>
      <c r="AJ11" s="11">
        <f>BDER!$C361/1000+ajustes!N7</f>
        <v>249.58118999999999</v>
      </c>
      <c r="AK11" s="219">
        <f t="shared" ref="AK11:AM11" si="62">IF(AJ$5=0,"N.D.",AJ11/AJ$5)</f>
        <v>3.537382921464307E-2</v>
      </c>
      <c r="AL11" s="11">
        <f>BDER!$C339/2000+ajustes!O7</f>
        <v>177.5445</v>
      </c>
      <c r="AM11" s="219">
        <f t="shared" si="62"/>
        <v>1.8978590586054344E-2</v>
      </c>
      <c r="AN11" s="11">
        <f>ajustes!P7</f>
        <v>0</v>
      </c>
      <c r="AO11" s="219" t="str">
        <f t="shared" ref="AO11:AQ11" si="63">IF(AN$5=0,"N.D.",AN11/AN$5)</f>
        <v>N.D.</v>
      </c>
      <c r="AP11" s="11">
        <f>BDER!$C405/1000+ajustes!Q7</f>
        <v>296.23773</v>
      </c>
      <c r="AQ11" s="219">
        <f t="shared" si="63"/>
        <v>5.8176493370106018E-2</v>
      </c>
      <c r="AR11" s="11">
        <f>BDER!$C383/1000+ajustes!R7</f>
        <v>231.41785000000002</v>
      </c>
      <c r="AS11" s="219">
        <f t="shared" ref="AS11:AU11" si="64">IF(AR$5=0,"N.D.",AR11/AR$5)</f>
        <v>3.6236292136599081E-3</v>
      </c>
      <c r="AT11" s="11">
        <f>SUM(AF11,AH11,AJ11,AL11,AN11,AP11,AR11)</f>
        <v>1941.8039600000002</v>
      </c>
      <c r="AU11" s="219">
        <f t="shared" si="64"/>
        <v>1.1255837256464455E-2</v>
      </c>
      <c r="AX11" s="7" t="s">
        <v>10</v>
      </c>
      <c r="AY11" s="34">
        <f>BDER!$C449/1000+ajustes!S7</f>
        <v>6.8756700000000004</v>
      </c>
      <c r="AZ11" s="219">
        <f>IF(AY$5=0,"N.D.",AY11/AY$5)</f>
        <v>1.0982141599311039E-3</v>
      </c>
      <c r="BA11" s="207">
        <f>BDER!$C427/1000+ajustes!T7</f>
        <v>25.04974</v>
      </c>
      <c r="BB11" s="219">
        <f>IF(BA$5=0,"N.D.",BA11/BA$5)</f>
        <v>2.1855811292820337E-2</v>
      </c>
      <c r="BC11" s="206">
        <f>SUM(AY11,BA11)</f>
        <v>31.925409999999999</v>
      </c>
      <c r="BD11" s="219">
        <f>IF(BC$5=0,"N.D.",BC11/BC$5)</f>
        <v>4.3102199209188148E-3</v>
      </c>
      <c r="BE11" s="187"/>
      <c r="BG11" s="7" t="s">
        <v>167</v>
      </c>
      <c r="BH11" s="196">
        <f>BDER!$C472/1000+ajustes!V7</f>
        <v>1.1249899999999999</v>
      </c>
      <c r="BI11" s="219">
        <f>IF(BH$5=0,"N.D.",BH11/BH$5)</f>
        <v>3.6235882294243264E-3</v>
      </c>
      <c r="BJ11" s="34">
        <f>BDER!$C495/1000+ajustes!W7</f>
        <v>6.0633999999999997</v>
      </c>
      <c r="BK11" s="219">
        <f>IF(BJ$5=0,"N.D.",BJ11/BJ$5)</f>
        <v>1.0016792177234543E-2</v>
      </c>
      <c r="BL11" s="197">
        <f>BDER!$C562/1000+ajustes!X7</f>
        <v>6.3042799999999994</v>
      </c>
      <c r="BM11" s="219">
        <f>IF(BL$5=0,"N.D.",BL11/BL$5)</f>
        <v>2.2928503198936953E-2</v>
      </c>
      <c r="BN11" s="34">
        <f>BDER!$C607/1000+ajustes!Y8</f>
        <v>5.1190200000000008</v>
      </c>
      <c r="BO11" s="219">
        <f>IF(BN$5=0,"N.D.",BN11/BN$5)</f>
        <v>1.3282815067713291E-2</v>
      </c>
      <c r="BP11" s="206">
        <f>SUM(BH11,BJ11,BL11,BN11)</f>
        <v>18.611690000000003</v>
      </c>
      <c r="BQ11" s="219">
        <f>IF(BP$5=0,"N.D.",BP11/BP$5)</f>
        <v>1.180849617178382E-2</v>
      </c>
      <c r="BU11" s="7" t="s">
        <v>167</v>
      </c>
      <c r="BV11" s="196">
        <f>BDER!$C517/1000+ajustes!Z7</f>
        <v>21.015999999999998</v>
      </c>
      <c r="BW11" s="219">
        <f t="shared" ref="BW11:BY11" si="65">IF(BV$5=0,"N.D.",BV11/BV$5)</f>
        <v>0.47404985328048765</v>
      </c>
      <c r="BX11" s="34">
        <f>BDER!$C584/1000+ajustes!AA7</f>
        <v>2.5131700000000001</v>
      </c>
      <c r="BY11" s="219">
        <f t="shared" si="65"/>
        <v>8.4180355516521921E-2</v>
      </c>
      <c r="BZ11" s="197">
        <f>BDER!$C629/1000+ajustes!AB7</f>
        <v>2.8091200000000001</v>
      </c>
      <c r="CA11" s="219">
        <f t="shared" ref="CA11:CC11" si="66">IF(BZ$5=0,"N.D.",BZ11/BZ$5)</f>
        <v>0.14056648525741233</v>
      </c>
      <c r="CB11" s="34">
        <f>BDER!$C539/1000+ajustes!AC7</f>
        <v>3.7860399999999998</v>
      </c>
      <c r="CC11" s="219">
        <f t="shared" si="66"/>
        <v>1.0114987977558108</v>
      </c>
      <c r="CD11" s="207">
        <f>BDER!$C651/1000+ajustes!AD7</f>
        <v>0</v>
      </c>
      <c r="CE11" s="219">
        <f t="shared" ref="CE11:CG11" si="67">IF(CD$5=0,"N.D.",CD11/CD$5)</f>
        <v>0</v>
      </c>
      <c r="CF11" s="206">
        <f>SUM(BV11,BX11,BZ11,CB11,CD11)</f>
        <v>30.124329999999997</v>
      </c>
      <c r="CG11" s="219">
        <f t="shared" si="67"/>
        <v>0.2921918963127812</v>
      </c>
    </row>
    <row r="12" spans="1:85" x14ac:dyDescent="0.35">
      <c r="B12" s="4" t="s">
        <v>11</v>
      </c>
      <c r="C12" s="212">
        <f>SUM(C9:C11)</f>
        <v>53.631160000000001</v>
      </c>
      <c r="D12" s="22" t="str">
        <f t="shared" si="28"/>
        <v>N.D.</v>
      </c>
      <c r="E12" s="209">
        <f>SUM(E9:E11)</f>
        <v>20.7791</v>
      </c>
      <c r="F12" s="22" t="str">
        <f t="shared" si="28"/>
        <v>N.D.</v>
      </c>
      <c r="G12" s="212">
        <f>SUM(G9:G11)</f>
        <v>1.2529999999999999</v>
      </c>
      <c r="H12" s="22" t="str">
        <f t="shared" ref="H12" si="68">IF(G$5=0,"N.D.",G12/G$5)</f>
        <v>N.D.</v>
      </c>
      <c r="I12" s="14">
        <f>SUM(I9:I11)</f>
        <v>0.97499999999999998</v>
      </c>
      <c r="J12" s="22" t="str">
        <f t="shared" ref="J12:L12" si="69">IF(I$5=0,"N.D.",I12/I$5)</f>
        <v>N.D.</v>
      </c>
      <c r="K12" s="210">
        <f>SUM(K9:K11)</f>
        <v>76.638259999999988</v>
      </c>
      <c r="L12" s="22" t="str">
        <f t="shared" si="69"/>
        <v>N.D.</v>
      </c>
      <c r="N12" s="4" t="s">
        <v>11</v>
      </c>
      <c r="O12" s="216">
        <f>SUM(O9:O11)</f>
        <v>15882.373419999998</v>
      </c>
      <c r="P12" s="22">
        <f t="shared" ref="P12:R12" si="70">IF(O$5=0,"N.D.",O12/O$5)</f>
        <v>0.53801867913167478</v>
      </c>
      <c r="Q12" s="208">
        <f>SUM(Q9:Q11)</f>
        <v>1410.2374</v>
      </c>
      <c r="R12" s="22">
        <f t="shared" si="70"/>
        <v>0.22507381146335925</v>
      </c>
      <c r="S12" s="202">
        <f>SUM(S9:S11)</f>
        <v>3914.9386099999997</v>
      </c>
      <c r="T12" s="22">
        <f t="shared" ref="T12:V12" si="71">IF(S$5=0,"N.D.",S12/S$5)</f>
        <v>0.14047126974162288</v>
      </c>
      <c r="U12" s="208">
        <f>SUM(U9:U11)</f>
        <v>3206.6139800000001</v>
      </c>
      <c r="V12" s="22">
        <f t="shared" si="71"/>
        <v>0.92830832245308204</v>
      </c>
      <c r="W12" s="202">
        <f>SUM(W9:W11)</f>
        <v>155.48488</v>
      </c>
      <c r="X12" s="22">
        <f t="shared" ref="X12:Z12" si="72">IF(W$5=0,"N.D.",W12/W$5)</f>
        <v>0.47713833999857613</v>
      </c>
      <c r="Y12" s="208">
        <f>SUM(Y9:Y11)</f>
        <v>215.10663</v>
      </c>
      <c r="Z12" s="22">
        <f t="shared" si="72"/>
        <v>0.81461270165871391</v>
      </c>
      <c r="AA12" s="213">
        <f>SUM(AA9:AA11)</f>
        <v>19571.529849999999</v>
      </c>
      <c r="AB12" s="22">
        <f t="shared" ref="AB12" si="73">IF(AA$5=0,"N.D.",AA12/AA$5)</f>
        <v>0.36724565116836178</v>
      </c>
      <c r="AC12" s="276"/>
      <c r="AE12" s="4" t="s">
        <v>11</v>
      </c>
      <c r="AF12" s="14">
        <f>SUM(AF9:AF11)</f>
        <v>7302.0340800000013</v>
      </c>
      <c r="AG12" s="22">
        <f t="shared" ref="AG12:AI12" si="74">IF(AF$5=0,"N.D.",AF12/AF$5)</f>
        <v>0.13889705800900931</v>
      </c>
      <c r="AH12" s="14">
        <f>SUM(AH9:AH11)</f>
        <v>10420.63839</v>
      </c>
      <c r="AI12" s="22">
        <f t="shared" si="74"/>
        <v>0.30136961713831795</v>
      </c>
      <c r="AJ12" s="14">
        <f>SUM(AJ9:AJ11)</f>
        <v>4852.92551</v>
      </c>
      <c r="AK12" s="22">
        <f t="shared" ref="AK12:AM12" si="75">IF(AJ$5=0,"N.D.",AJ12/AJ$5)</f>
        <v>0.68781849378202187</v>
      </c>
      <c r="AL12" s="14">
        <f>SUM(AL9:AL11)</f>
        <v>2512.2702450000002</v>
      </c>
      <c r="AM12" s="22">
        <f t="shared" si="75"/>
        <v>0.26854872114529843</v>
      </c>
      <c r="AN12" s="14">
        <f>SUM(AN9:AN11)</f>
        <v>0</v>
      </c>
      <c r="AO12" s="22" t="str">
        <f t="shared" ref="AO12:AQ12" si="76">IF(AN$5=0,"N.D.",AN12/AN$5)</f>
        <v>N.D.</v>
      </c>
      <c r="AP12" s="14">
        <f>SUM(AP9:AP11)</f>
        <v>1467.9275599999999</v>
      </c>
      <c r="AQ12" s="22">
        <f t="shared" si="76"/>
        <v>0.28827819455049125</v>
      </c>
      <c r="AR12" s="14">
        <f>SUM(AR9:AR11)</f>
        <v>4565.8377</v>
      </c>
      <c r="AS12" s="22">
        <f t="shared" ref="AS12:AU12" si="77">IF(AR$5=0,"N.D.",AR12/AR$5)</f>
        <v>7.1493633159887035E-2</v>
      </c>
      <c r="AT12" s="14">
        <f>SUM(AT9:AT11)</f>
        <v>31121.633485000002</v>
      </c>
      <c r="AU12" s="22">
        <f t="shared" si="77"/>
        <v>0.18039928276925271</v>
      </c>
      <c r="AX12" s="4" t="s">
        <v>11</v>
      </c>
      <c r="AY12" s="208">
        <f>SUM(AY9:AY11)</f>
        <v>526.15877999999998</v>
      </c>
      <c r="AZ12" s="22">
        <f>IF(AY$5=0,"N.D.",AY12/AY$5)</f>
        <v>8.404054042268963E-2</v>
      </c>
      <c r="BA12" s="208">
        <f>SUM(BA9:BA11)</f>
        <v>135.61873</v>
      </c>
      <c r="BB12" s="22">
        <f>IF(BA$5=0,"N.D.",BA12/BA$5)</f>
        <v>0.11832687168217923</v>
      </c>
      <c r="BC12" s="14">
        <f>SUM(BC9:BC11)</f>
        <v>661.77750999999989</v>
      </c>
      <c r="BD12" s="22">
        <f>IF(BC$5=0,"N.D.",BC12/BC$5)</f>
        <v>8.9345966326448104E-2</v>
      </c>
      <c r="BE12" s="221"/>
      <c r="BG12" s="4" t="s">
        <v>168</v>
      </c>
      <c r="BH12" s="208">
        <f>SUM(BH9:BH11)</f>
        <v>195.43467999999999</v>
      </c>
      <c r="BI12" s="22">
        <f>IF(BH$5=0,"N.D.",BH12/BH$5)</f>
        <v>0.62949431201104877</v>
      </c>
      <c r="BJ12" s="208">
        <f>SUM(BJ9:BJ11)</f>
        <v>411.34264000000002</v>
      </c>
      <c r="BK12" s="22">
        <f>IF(BJ$5=0,"N.D.",BJ12/BJ$5)</f>
        <v>0.67954179808605819</v>
      </c>
      <c r="BL12" s="208">
        <f>SUM(BL9:BL11)</f>
        <v>163.43631999999999</v>
      </c>
      <c r="BM12" s="22">
        <f>IF(BL$5=0,"N.D.",BL12/BL$5)</f>
        <v>0.59441366594479994</v>
      </c>
      <c r="BN12" s="208">
        <f>SUM(BN9:BN11)</f>
        <v>243.72668999999999</v>
      </c>
      <c r="BO12" s="22">
        <f>IF(BN$5=0,"N.D.",BN12/BN$5)</f>
        <v>0.63242115684953093</v>
      </c>
      <c r="BP12" s="14">
        <f>SUM(BP9:BP11)</f>
        <v>1013.9403300000001</v>
      </c>
      <c r="BQ12" s="22">
        <f>IF(BP$5=0,"N.D.",BP12/BP$5)</f>
        <v>0.64331130086640287</v>
      </c>
      <c r="BU12" s="4" t="s">
        <v>168</v>
      </c>
      <c r="BV12" s="208">
        <f>SUM(BV9:BV11)</f>
        <v>31.726299999999998</v>
      </c>
      <c r="BW12" s="22">
        <f t="shared" ref="BW12:BY12" si="78">IF(BV$5=0,"N.D.",BV12/BV$5)</f>
        <v>0.71563798344750362</v>
      </c>
      <c r="BX12" s="208">
        <f>SUM(BX9:BX11)</f>
        <v>11.883850000000001</v>
      </c>
      <c r="BY12" s="22">
        <f t="shared" si="78"/>
        <v>0.39805771909780036</v>
      </c>
      <c r="BZ12" s="208">
        <f>SUM(BZ9:BZ11)</f>
        <v>4.3355399999999999</v>
      </c>
      <c r="CA12" s="22">
        <f t="shared" ref="CA12:CC12" si="79">IF(BZ$5=0,"N.D.",BZ12/BZ$5)</f>
        <v>0.21694752075131055</v>
      </c>
      <c r="CB12" s="208">
        <f>SUM(CB9:CB11)</f>
        <v>3.80124</v>
      </c>
      <c r="CC12" s="22">
        <f t="shared" si="79"/>
        <v>1.0155597114613946</v>
      </c>
      <c r="CD12" s="208">
        <f>SUM(CD9:CD11)</f>
        <v>2.3390000000000001E-2</v>
      </c>
      <c r="CE12" s="22">
        <f t="shared" ref="CE12:CG12" si="80">IF(CD$5=0,"N.D.",CD12/CD$5)</f>
        <v>4.5128304071001355E-3</v>
      </c>
      <c r="CF12" s="14">
        <f>SUM(CF9:CF11)</f>
        <v>51.770319999999998</v>
      </c>
      <c r="CG12" s="22">
        <f t="shared" si="80"/>
        <v>0.50214786431829361</v>
      </c>
    </row>
    <row r="13" spans="1:85" x14ac:dyDescent="0.35">
      <c r="B13" s="4" t="s">
        <v>12</v>
      </c>
      <c r="C13" s="215">
        <f>C7-C12</f>
        <v>-53.631160000000001</v>
      </c>
      <c r="D13" s="22" t="str">
        <f t="shared" si="28"/>
        <v>N.D.</v>
      </c>
      <c r="E13" s="31">
        <f>E7-E12</f>
        <v>-20.7791</v>
      </c>
      <c r="F13" s="22" t="str">
        <f t="shared" si="28"/>
        <v>N.D.</v>
      </c>
      <c r="G13" s="14">
        <f>G7-G12</f>
        <v>-1.2529999999999999</v>
      </c>
      <c r="H13" s="22" t="str">
        <f t="shared" ref="H13" si="81">IF(G$5=0,"N.D.",G13/G$5)</f>
        <v>N.D.</v>
      </c>
      <c r="I13" s="31">
        <f>I7-I12</f>
        <v>-0.97499999999999998</v>
      </c>
      <c r="J13" s="22" t="str">
        <f t="shared" ref="J13:L13" si="82">IF(I$5=0,"N.D.",I13/I$5)</f>
        <v>N.D.</v>
      </c>
      <c r="K13" s="14">
        <f>K7-K12</f>
        <v>-76.638259999999988</v>
      </c>
      <c r="L13" s="22" t="str">
        <f t="shared" si="82"/>
        <v>N.D.</v>
      </c>
      <c r="N13" s="4" t="s">
        <v>12</v>
      </c>
      <c r="O13" s="212">
        <f>O7-O12</f>
        <v>3627.122320000004</v>
      </c>
      <c r="P13" s="22">
        <f t="shared" ref="P13:R13" si="83">IF(O$5=0,"N.D.",O13/O$5)</f>
        <v>0.12286951754943805</v>
      </c>
      <c r="Q13" s="200">
        <f>Q7-Q12</f>
        <v>1463.4001700000003</v>
      </c>
      <c r="R13" s="22">
        <f t="shared" si="83"/>
        <v>0.23355858663089488</v>
      </c>
      <c r="S13" s="209">
        <f>S7-S12</f>
        <v>1012.5535500000019</v>
      </c>
      <c r="T13" s="22">
        <f t="shared" ref="T13:V13" si="84">IF(S$5=0,"N.D.",S13/S$5)</f>
        <v>3.6331267746210739E-2</v>
      </c>
      <c r="U13" s="200">
        <f>U7-U12</f>
        <v>247.64135999999962</v>
      </c>
      <c r="V13" s="22">
        <f t="shared" si="84"/>
        <v>7.1691677546918006E-2</v>
      </c>
      <c r="W13" s="209">
        <f>W7-W12</f>
        <v>-39.654340000000019</v>
      </c>
      <c r="X13" s="22">
        <f t="shared" ref="X13:Z13" si="85">IF(W$5=0,"N.D.",W13/W$5)</f>
        <v>-0.1216877548565439</v>
      </c>
      <c r="Y13" s="200">
        <f>Y7-Y12</f>
        <v>48.953370000000007</v>
      </c>
      <c r="Z13" s="22">
        <f t="shared" si="85"/>
        <v>0.18538729834128609</v>
      </c>
      <c r="AA13" s="210">
        <f>AA7-AA12</f>
        <v>6360.0164300000069</v>
      </c>
      <c r="AB13" s="22">
        <f t="shared" ref="AB13" si="86">IF(AA$5=0,"N.D.",AA13/AA$5)</f>
        <v>0.11934112423392554</v>
      </c>
      <c r="AC13" s="276"/>
      <c r="AE13" s="4" t="s">
        <v>12</v>
      </c>
      <c r="AF13" s="20">
        <f>AF7-AF12</f>
        <v>1821.8791200000014</v>
      </c>
      <c r="AG13" s="22">
        <f t="shared" ref="AG13:AI13" si="87">IF(AF$5=0,"N.D.",AF13/AF$5)</f>
        <v>3.4655227165968389E-2</v>
      </c>
      <c r="AH13" s="20">
        <f>AH7-AH12</f>
        <v>2806.4023300000008</v>
      </c>
      <c r="AI13" s="22">
        <f t="shared" si="87"/>
        <v>8.1162435934808763E-2</v>
      </c>
      <c r="AJ13" s="20">
        <f>AJ7-AJ12</f>
        <v>-2000.9430500000008</v>
      </c>
      <c r="AK13" s="22">
        <f t="shared" ref="AK13:AM13" si="88">IF(AJ$5=0,"N.D.",AJ13/AJ$5)</f>
        <v>-0.28359916754514647</v>
      </c>
      <c r="AL13" s="20">
        <f>AL7-AL12</f>
        <v>1598.9079300000008</v>
      </c>
      <c r="AM13" s="22">
        <f t="shared" si="88"/>
        <v>0.17091500434125331</v>
      </c>
      <c r="AN13" s="20">
        <f>AN7-AN12</f>
        <v>0</v>
      </c>
      <c r="AO13" s="22" t="str">
        <f t="shared" ref="AO13:AQ13" si="89">IF(AN$5=0,"N.D.",AN13/AN$5)</f>
        <v>N.D.</v>
      </c>
      <c r="AP13" s="20">
        <f>AP7-AP12</f>
        <v>438.80977999999982</v>
      </c>
      <c r="AQ13" s="22">
        <f t="shared" si="89"/>
        <v>8.6175431660604707E-2</v>
      </c>
      <c r="AR13" s="20">
        <f>AR7-AR12</f>
        <v>4777.4531000000025</v>
      </c>
      <c r="AS13" s="22">
        <f t="shared" ref="AS13:AU13" si="90">IF(AR$5=0,"N.D.",AR13/AR$5)</f>
        <v>7.4807188036921518E-2</v>
      </c>
      <c r="AT13" s="20">
        <f>AT7-AT12</f>
        <v>9442.5092100000147</v>
      </c>
      <c r="AU13" s="22">
        <f t="shared" si="90"/>
        <v>5.4734334232394349E-2</v>
      </c>
      <c r="AX13" s="4" t="s">
        <v>12</v>
      </c>
      <c r="AY13" s="14">
        <f>AY7-AY12</f>
        <v>2734.2453599999999</v>
      </c>
      <c r="AZ13" s="22">
        <f>IF(AY$5=0,"N.D.",AY13/AY$5)</f>
        <v>0.43672645299700513</v>
      </c>
      <c r="BA13" s="14">
        <f>BA7-BA12</f>
        <v>134.75496000000012</v>
      </c>
      <c r="BB13" s="22">
        <f>IF(BA$5=0,"N.D.",BA13/BA$5)</f>
        <v>0.11757323535220547</v>
      </c>
      <c r="BC13" s="20">
        <f>BC7-BC12</f>
        <v>2869.0003200000006</v>
      </c>
      <c r="BD13" s="22">
        <f>IF(BC$5=0,"N.D.",BC13/BC$5)</f>
        <v>0.3873410657024125</v>
      </c>
      <c r="BE13" s="221"/>
      <c r="BG13" s="4" t="s">
        <v>169</v>
      </c>
      <c r="BH13" s="14">
        <f>BH7-BH12</f>
        <v>14.418639999999954</v>
      </c>
      <c r="BI13" s="22">
        <f>IF(BH$5=0,"N.D.",BH13/BH$5)</f>
        <v>4.6442380988547992E-2</v>
      </c>
      <c r="BJ13" s="14">
        <f>BJ7-BJ12</f>
        <v>18.981219999999951</v>
      </c>
      <c r="BK13" s="22">
        <f>IF(BJ$5=0,"N.D.",BJ13/BJ$5)</f>
        <v>3.1357148796115605E-2</v>
      </c>
      <c r="BL13" s="14">
        <f>BL7-BL12</f>
        <v>30.89106000000001</v>
      </c>
      <c r="BM13" s="22">
        <f>IF(BL$5=0,"N.D.",BL13/BL$5)</f>
        <v>0.11234998572851358</v>
      </c>
      <c r="BN13" s="14">
        <f>BN7-BN12</f>
        <v>24.808730000000054</v>
      </c>
      <c r="BO13" s="22">
        <f>IF(BN$5=0,"N.D.",BN13/BN$5)</f>
        <v>6.4373605232023207E-2</v>
      </c>
      <c r="BP13" s="20">
        <f>BP7-BP12</f>
        <v>89.099649999999883</v>
      </c>
      <c r="BQ13" s="22">
        <f>IF(BP$5=0,"N.D.",BP13/BP$5)</f>
        <v>5.6530754377075734E-2</v>
      </c>
      <c r="BU13" s="4" t="s">
        <v>169</v>
      </c>
      <c r="BV13" s="14">
        <f>BV7-BV12</f>
        <v>12.606590000000001</v>
      </c>
      <c r="BW13" s="22">
        <f t="shared" ref="BW13:BY13" si="91">IF(BV$5=0,"N.D.",BV13/BV$5)</f>
        <v>0.28436201655249638</v>
      </c>
      <c r="BX13" s="14">
        <f>BX7-BX12</f>
        <v>17.970739999999999</v>
      </c>
      <c r="BY13" s="22">
        <f t="shared" si="91"/>
        <v>0.60194228090219959</v>
      </c>
      <c r="BZ13" s="14">
        <f>BZ7-BZ12</f>
        <v>15.648739999999998</v>
      </c>
      <c r="CA13" s="22">
        <f t="shared" ref="CA13:CC13" si="92">IF(BZ$5=0,"N.D.",BZ13/BZ$5)</f>
        <v>0.78305247924868948</v>
      </c>
      <c r="CB13" s="14">
        <f>CB7-CB12</f>
        <v>-5.8240000000000069E-2</v>
      </c>
      <c r="CC13" s="22">
        <f t="shared" si="92"/>
        <v>-1.5559711461394623E-2</v>
      </c>
      <c r="CD13" s="14">
        <f>CD7-CD12</f>
        <v>5.1596099999999998</v>
      </c>
      <c r="CE13" s="22">
        <f t="shared" ref="CE13:CG13" si="93">IF(CD$5=0,"N.D.",CD13/CD$5)</f>
        <v>0.99548716959289985</v>
      </c>
      <c r="CF13" s="20">
        <f>CF7-CF12</f>
        <v>51.327439999999996</v>
      </c>
      <c r="CG13" s="22">
        <f t="shared" si="93"/>
        <v>0.49785213568170639</v>
      </c>
    </row>
    <row r="14" spans="1:85" x14ac:dyDescent="0.35">
      <c r="B14" s="1"/>
      <c r="C14" s="30"/>
      <c r="D14" s="30"/>
      <c r="E14" s="30"/>
      <c r="F14" s="30"/>
      <c r="G14" s="30"/>
      <c r="H14" s="30"/>
      <c r="I14" s="30"/>
      <c r="J14" s="30"/>
      <c r="K14" s="30"/>
      <c r="L14" s="30"/>
      <c r="N14" s="1"/>
      <c r="O14" s="217"/>
      <c r="P14" s="30"/>
      <c r="Q14" s="217"/>
      <c r="R14" s="30"/>
      <c r="S14" s="217"/>
      <c r="T14" s="30"/>
      <c r="U14" s="217"/>
      <c r="V14" s="30"/>
      <c r="W14" s="217"/>
      <c r="X14" s="30"/>
      <c r="Y14" s="217"/>
      <c r="Z14" s="30"/>
      <c r="AA14" s="217"/>
      <c r="AB14" s="30"/>
      <c r="AC14" s="276"/>
      <c r="AE14" s="1"/>
      <c r="AF14" s="30"/>
      <c r="AG14" s="30"/>
      <c r="AH14" s="30"/>
      <c r="AI14" s="30"/>
      <c r="AJ14" s="30"/>
      <c r="AK14" s="30"/>
      <c r="AL14" s="30"/>
      <c r="AM14" s="30"/>
      <c r="AN14" s="30"/>
      <c r="AO14" s="30"/>
      <c r="AP14" s="30"/>
      <c r="AQ14" s="30"/>
      <c r="AR14" s="30"/>
      <c r="AS14" s="30"/>
      <c r="AT14" s="30"/>
      <c r="AU14" s="30"/>
      <c r="AX14" s="1"/>
      <c r="AY14" s="30"/>
      <c r="AZ14" s="30"/>
      <c r="BA14" s="30"/>
      <c r="BB14" s="30"/>
      <c r="BC14" s="30"/>
      <c r="BD14" s="30"/>
      <c r="BE14" s="30"/>
      <c r="BG14" s="1"/>
      <c r="BH14" s="30"/>
      <c r="BI14" s="30"/>
      <c r="BJ14" s="30"/>
      <c r="BK14" s="30"/>
      <c r="BL14" s="30"/>
      <c r="BM14" s="30"/>
      <c r="BN14" s="30"/>
      <c r="BO14" s="30"/>
      <c r="BP14" s="30"/>
      <c r="BQ14" s="30"/>
      <c r="BU14" s="1"/>
      <c r="BV14" s="30"/>
      <c r="BW14" s="30"/>
      <c r="BX14" s="30"/>
      <c r="BY14" s="30"/>
      <c r="BZ14" s="30"/>
      <c r="CA14" s="30"/>
      <c r="CB14" s="30"/>
      <c r="CC14" s="30"/>
      <c r="CD14" s="30"/>
      <c r="CE14" s="30"/>
      <c r="CF14" s="30"/>
      <c r="CG14" s="30"/>
    </row>
    <row r="15" spans="1:85" x14ac:dyDescent="0.35">
      <c r="B15" s="7" t="s">
        <v>13</v>
      </c>
      <c r="C15" s="194">
        <f>BDER!$C166/1000+ajustes!B8</f>
        <v>0</v>
      </c>
      <c r="D15" s="220" t="str">
        <f t="shared" ref="D15:F26" si="94">IF(C$5=0,"N.D.",C15/C$5)</f>
        <v>N.D.</v>
      </c>
      <c r="E15" s="8">
        <f>BDER!$C144/1000+ajustes!C8</f>
        <v>0</v>
      </c>
      <c r="F15" s="220" t="str">
        <f t="shared" si="94"/>
        <v>N.D.</v>
      </c>
      <c r="G15" s="195">
        <f>BDER!$C210/1000+ajustes!D8</f>
        <v>0</v>
      </c>
      <c r="H15" s="220" t="str">
        <f t="shared" ref="H15" si="95">IF(G$5=0,"N.D.",G15/G$5)</f>
        <v>N.D.</v>
      </c>
      <c r="I15" s="8">
        <f>BDER!$C188/1000+ajustes!E8</f>
        <v>0</v>
      </c>
      <c r="J15" s="220" t="str">
        <f t="shared" ref="J15:L15" si="96">IF(I$5=0,"N.D.",I15/I$5)</f>
        <v>N.D.</v>
      </c>
      <c r="K15" s="204">
        <f t="shared" ref="K15:K19" si="97">SUM(C15,E15,G15,I15)</f>
        <v>0</v>
      </c>
      <c r="L15" s="220" t="str">
        <f t="shared" si="96"/>
        <v>N.D.</v>
      </c>
      <c r="N15" s="7" t="s">
        <v>13</v>
      </c>
      <c r="O15" s="198">
        <f>BDER!$C$12/1000+ajustes!F8</f>
        <v>26.30068</v>
      </c>
      <c r="P15" s="220">
        <f t="shared" ref="P15:R15" si="98">IF(O$5=0,"N.D.",O15/O$5)</f>
        <v>8.9094096579079543E-4</v>
      </c>
      <c r="Q15" s="11">
        <f>BDER!$C$34/1000+ajustes!G8</f>
        <v>140.81405999999998</v>
      </c>
      <c r="R15" s="220">
        <f t="shared" si="98"/>
        <v>2.2473916229870342E-2</v>
      </c>
      <c r="S15" s="30">
        <f>BDER!$C$56/1000+ajustes!H8</f>
        <v>1.51942</v>
      </c>
      <c r="T15" s="220">
        <f t="shared" ref="T15:V15" si="99">IF(S$5=0,"N.D.",S15/S$5)</f>
        <v>5.4518059651212933E-5</v>
      </c>
      <c r="U15" s="11">
        <f>BDER!$C$78/1000+ajustes!I8</f>
        <v>-2.1919599999999999</v>
      </c>
      <c r="V15" s="220">
        <f t="shared" si="99"/>
        <v>-6.3456802819909666E-4</v>
      </c>
      <c r="W15" s="30">
        <f>BDER!$C$100/1000+ajustes!J8</f>
        <v>1.2019999999999999E-2</v>
      </c>
      <c r="X15" s="220">
        <f t="shared" ref="X15:Z15" si="100">IF(W$5=0,"N.D.",W15/W$5)</f>
        <v>3.6885920012176648E-5</v>
      </c>
      <c r="Y15" s="11">
        <f>BDER!$C$122/1000+ajustes!K8</f>
        <v>-0.13009000000000001</v>
      </c>
      <c r="Z15" s="220">
        <f t="shared" si="100"/>
        <v>-4.926531848822238E-4</v>
      </c>
      <c r="AA15" s="206">
        <f t="shared" ref="AA15:AA19" si="101">SUM(O15,Q15,S15,U15,W15,Y15)</f>
        <v>166.32413</v>
      </c>
      <c r="AB15" s="220">
        <f t="shared" ref="AB15" si="102">IF(AA$5=0,"N.D.",AA15/AA$5)</f>
        <v>3.1209524188964334E-3</v>
      </c>
      <c r="AC15" s="276"/>
      <c r="AE15" s="7" t="s">
        <v>13</v>
      </c>
      <c r="AF15" s="8">
        <f>BDER!$C298/1000+ajustes!L8</f>
        <v>-0.96553</v>
      </c>
      <c r="AG15" s="220">
        <f t="shared" ref="AG15:AI15" si="103">IF(AF$5=0,"N.D.",AF15/AF$5)</f>
        <v>-1.8366016229198253E-5</v>
      </c>
      <c r="AH15" s="8">
        <f>BDER!$C320/1000+ajustes!M8</f>
        <v>6.13</v>
      </c>
      <c r="AI15" s="220">
        <f t="shared" si="103"/>
        <v>1.7728239709677605E-4</v>
      </c>
      <c r="AJ15" s="8">
        <f>BDER!$C364/1000+ajustes!N8</f>
        <v>0</v>
      </c>
      <c r="AK15" s="220">
        <f t="shared" ref="AK15:AM15" si="104">IF(AJ$5=0,"N.D.",AJ15/AJ$5)</f>
        <v>0</v>
      </c>
      <c r="AL15" s="8">
        <f>BDER!$C342/2000+ajustes!O8</f>
        <v>0</v>
      </c>
      <c r="AM15" s="220">
        <f t="shared" si="104"/>
        <v>0</v>
      </c>
      <c r="AN15" s="8">
        <f>ajustes!P8</f>
        <v>0</v>
      </c>
      <c r="AO15" s="220" t="str">
        <f t="shared" ref="AO15:AQ15" si="105">IF(AN$5=0,"N.D.",AN15/AN$5)</f>
        <v>N.D.</v>
      </c>
      <c r="AP15" s="8">
        <f>BDER!$C408/1000+ajustes!Q8</f>
        <v>0</v>
      </c>
      <c r="AQ15" s="220">
        <f t="shared" si="105"/>
        <v>0</v>
      </c>
      <c r="AR15" s="8">
        <f>BDER!$C386/1000+ajustes!R8</f>
        <v>749.57076000000006</v>
      </c>
      <c r="AS15" s="220">
        <f t="shared" ref="AS15:AU15" si="106">IF(AR$5=0,"N.D.",AR15/AR$5)</f>
        <v>1.1737065674239303E-2</v>
      </c>
      <c r="AT15" s="8">
        <f t="shared" ref="AT15:AT19" si="107">SUM(AF15,AH15,AJ15,AL15,AN15,AP15,AR15)</f>
        <v>754.73523000000012</v>
      </c>
      <c r="AU15" s="220">
        <f t="shared" si="106"/>
        <v>4.3748890699554805E-3</v>
      </c>
      <c r="AX15" s="7" t="s">
        <v>13</v>
      </c>
      <c r="AY15" s="8">
        <f>BDER!$C452/1000+ajustes!S8</f>
        <v>17.21902</v>
      </c>
      <c r="AZ15" s="220">
        <f t="shared" ref="AZ15:AZ21" si="108">IF(AY$5=0,"N.D.",AY15/AY$5)</f>
        <v>2.7503023827695153E-3</v>
      </c>
      <c r="BA15" s="204">
        <f>BDER!$C430/1000+ajustes!T8</f>
        <v>0</v>
      </c>
      <c r="BB15" s="220">
        <f t="shared" ref="BB15:BB21" si="109">IF(BA$5=0,"N.D.",BA15/BA$5)</f>
        <v>0</v>
      </c>
      <c r="BC15" s="204">
        <f t="shared" ref="BC15:BC19" si="110">SUM(AY15,BA15)</f>
        <v>17.21902</v>
      </c>
      <c r="BD15" s="220">
        <f t="shared" ref="BD15:BD21" si="111">IF(BC$5=0,"N.D.",BC15/BC$5)</f>
        <v>2.3247238805296313E-3</v>
      </c>
      <c r="BE15" s="187"/>
      <c r="BG15" s="7" t="s">
        <v>170</v>
      </c>
      <c r="BH15" s="194">
        <f>BDER!$C476/1000+ajustes!V9</f>
        <v>-1.12845</v>
      </c>
      <c r="BI15" s="220">
        <f>IF(BH$5=0,"N.D.",BH15/BH$5)</f>
        <v>-3.6347328753978982E-3</v>
      </c>
      <c r="BJ15" s="8">
        <f>BDER!$C499/1000+ajustes!W9</f>
        <v>-4.1493000000000002</v>
      </c>
      <c r="BK15" s="220">
        <f>IF(BJ$5=0,"N.D.",BJ15/BJ$5)</f>
        <v>-6.8546814956953681E-3</v>
      </c>
      <c r="BL15" s="195">
        <f>BDER!$C566/1000+ajustes!X9</f>
        <v>-2.4061699999999999</v>
      </c>
      <c r="BM15" s="220">
        <f>IF(BL$5=0,"N.D.",BL15/BL$5)</f>
        <v>-8.7511780159171444E-3</v>
      </c>
      <c r="BN15" s="8">
        <f>BDER!$C611/1000+ajustes!Y9</f>
        <v>-2.4493499999999999</v>
      </c>
      <c r="BO15" s="220">
        <f>IF(BN$5=0,"N.D.",BN15/BN$5)</f>
        <v>-6.3555647538207595E-3</v>
      </c>
      <c r="BP15" s="204">
        <f>SUM(BH15,BJ15,BL15,BN15)</f>
        <v>-10.13327</v>
      </c>
      <c r="BQ15" s="220">
        <f>IF(BP$5=0,"N.D.",BP15/BP$5)</f>
        <v>-6.4292216345023913E-3</v>
      </c>
      <c r="BU15" s="7" t="s">
        <v>170</v>
      </c>
      <c r="BV15" s="194">
        <f>BDER!$C521/1000+ajustes!Z9</f>
        <v>0</v>
      </c>
      <c r="BW15" s="220">
        <f t="shared" ref="BW15:BY15" si="112">IF(BV$5=0,"N.D.",BV15/BV$5)</f>
        <v>0</v>
      </c>
      <c r="BX15" s="8">
        <f>BDER!$C588/1000+ajustes!AA9</f>
        <v>0</v>
      </c>
      <c r="BY15" s="220">
        <f t="shared" si="112"/>
        <v>0</v>
      </c>
      <c r="BZ15" s="195">
        <f>BDER!$C633/1000+ajustes!AB9</f>
        <v>0</v>
      </c>
      <c r="CA15" s="220">
        <f t="shared" ref="CA15:CC15" si="113">IF(BZ$5=0,"N.D.",BZ15/BZ$5)</f>
        <v>0</v>
      </c>
      <c r="CB15" s="8">
        <f>BDER!$C543/1000+ajustes!AC9</f>
        <v>0</v>
      </c>
      <c r="CC15" s="220">
        <f t="shared" si="113"/>
        <v>0</v>
      </c>
      <c r="CD15" s="204">
        <f>BDER!$C655/1000+ajustes!AD9</f>
        <v>0</v>
      </c>
      <c r="CE15" s="220">
        <f t="shared" ref="CE15:CG15" si="114">IF(CD$5=0,"N.D.",CD15/CD$5)</f>
        <v>0</v>
      </c>
      <c r="CF15" s="204">
        <f>SUM(BV15,BX15,BZ15,CB15,CD15)</f>
        <v>0</v>
      </c>
      <c r="CG15" s="220">
        <f t="shared" si="114"/>
        <v>0</v>
      </c>
    </row>
    <row r="16" spans="1:85" x14ac:dyDescent="0.35">
      <c r="B16" s="7" t="s">
        <v>14</v>
      </c>
      <c r="C16" s="198">
        <f>BDER!$C167/1000+ajustes!B9</f>
        <v>0</v>
      </c>
      <c r="D16" s="219" t="str">
        <f t="shared" si="94"/>
        <v>N.D.</v>
      </c>
      <c r="E16" s="11">
        <f>BDER!$C145/1000+ajustes!C9</f>
        <v>0</v>
      </c>
      <c r="F16" s="219" t="str">
        <f t="shared" si="94"/>
        <v>N.D.</v>
      </c>
      <c r="G16" s="30">
        <f>BDER!$C211/1000+ajustes!D9</f>
        <v>0</v>
      </c>
      <c r="H16" s="219" t="str">
        <f t="shared" ref="H16" si="115">IF(G$5=0,"N.D.",G16/G$5)</f>
        <v>N.D.</v>
      </c>
      <c r="I16" s="11">
        <f>BDER!$C189/1000+ajustes!E9</f>
        <v>0</v>
      </c>
      <c r="J16" s="219" t="str">
        <f t="shared" ref="J16:L16" si="116">IF(I$5=0,"N.D.",I16/I$5)</f>
        <v>N.D.</v>
      </c>
      <c r="K16" s="206">
        <f t="shared" si="97"/>
        <v>0</v>
      </c>
      <c r="L16" s="219" t="str">
        <f t="shared" si="116"/>
        <v>N.D.</v>
      </c>
      <c r="N16" s="7" t="s">
        <v>14</v>
      </c>
      <c r="O16" s="198">
        <f>BDER!$C$13/1000+ajustes!F9</f>
        <v>-263.64979999999997</v>
      </c>
      <c r="P16" s="219">
        <f t="shared" ref="P16:R16" si="117">IF(O$5=0,"N.D.",O16/O$5)</f>
        <v>-8.9311914156801273E-3</v>
      </c>
      <c r="Q16" s="11">
        <f>BDER!$C$35/1000+ajustes!G9</f>
        <v>16.52196</v>
      </c>
      <c r="R16" s="219">
        <f t="shared" si="117"/>
        <v>2.6369039071330565E-3</v>
      </c>
      <c r="S16" s="30">
        <f>BDER!$C$57/1000+ajustes!H9</f>
        <v>2</v>
      </c>
      <c r="T16" s="219">
        <f t="shared" ref="T16:V16" si="118">IF(S$5=0,"N.D.",S16/S$5)</f>
        <v>7.1761671757924643E-5</v>
      </c>
      <c r="U16" s="11">
        <f>BDER!$C$79/1000+ajustes!I9</f>
        <v>0</v>
      </c>
      <c r="V16" s="219">
        <f t="shared" si="118"/>
        <v>0</v>
      </c>
      <c r="W16" s="30">
        <f>BDER!$C$101/1000+ajustes!J9</f>
        <v>-5.5958399999999999</v>
      </c>
      <c r="X16" s="219">
        <f t="shared" ref="X16:Z16" si="119">IF(W$5=0,"N.D.",W16/W$5)</f>
        <v>-1.7172022183106372E-2</v>
      </c>
      <c r="Y16" s="11">
        <f>BDER!$C$123/1000+ajustes!K9</f>
        <v>0</v>
      </c>
      <c r="Z16" s="219">
        <f t="shared" si="119"/>
        <v>0</v>
      </c>
      <c r="AA16" s="206">
        <f t="shared" si="101"/>
        <v>-250.72367999999997</v>
      </c>
      <c r="AB16" s="219">
        <f t="shared" ref="AB16" si="120">IF(AA$5=0,"N.D.",AA16/AA$5)</f>
        <v>-4.704649142434205E-3</v>
      </c>
      <c r="AC16" s="276"/>
      <c r="AE16" s="7" t="s">
        <v>14</v>
      </c>
      <c r="AF16" s="11">
        <f>BDER!$C299/1000+ajustes!L9</f>
        <v>-628.07591000000002</v>
      </c>
      <c r="AG16" s="219">
        <f t="shared" ref="AG16:AI16" si="121">IF(AF$5=0,"N.D.",AF16/AF$5)</f>
        <v>-1.1947067782698063E-2</v>
      </c>
      <c r="AH16" s="11">
        <f>BDER!$C321/1000+ajustes!M9</f>
        <v>-285.52610999999996</v>
      </c>
      <c r="AI16" s="219">
        <f t="shared" si="121"/>
        <v>-8.2575453857288341E-3</v>
      </c>
      <c r="AJ16" s="11">
        <f>BDER!$C365/1000+ajustes!N9</f>
        <v>-335.98178000000001</v>
      </c>
      <c r="AK16" s="219">
        <f t="shared" ref="AK16:AM16" si="122">IF(AJ$5=0,"N.D.",AJ16/AJ$5)</f>
        <v>-4.7619622716566827E-2</v>
      </c>
      <c r="AL16" s="11">
        <f>BDER!$C343/2000+ajustes!O9</f>
        <v>0</v>
      </c>
      <c r="AM16" s="219">
        <f t="shared" si="122"/>
        <v>0</v>
      </c>
      <c r="AN16" s="11">
        <f>ajustes!P9</f>
        <v>0</v>
      </c>
      <c r="AO16" s="219" t="str">
        <f t="shared" ref="AO16:AQ16" si="123">IF(AN$5=0,"N.D.",AN16/AN$5)</f>
        <v>N.D.</v>
      </c>
      <c r="AP16" s="11">
        <f>BDER!$C409/1000+ajustes!Q9</f>
        <v>-12.93192</v>
      </c>
      <c r="AQ16" s="219">
        <f t="shared" si="123"/>
        <v>-2.5396284198597571E-3</v>
      </c>
      <c r="AR16" s="11">
        <f>BDER!$C387/1000+ajustes!R9</f>
        <v>-103.37169</v>
      </c>
      <c r="AS16" s="219">
        <f t="shared" ref="AS16:AU16" si="124">IF(AR$5=0,"N.D.",AR16/AR$5)</f>
        <v>-1.6186334621525339E-3</v>
      </c>
      <c r="AT16" s="11">
        <f t="shared" si="107"/>
        <v>-1365.88741</v>
      </c>
      <c r="AU16" s="219">
        <f t="shared" si="124"/>
        <v>-7.9174863757172174E-3</v>
      </c>
      <c r="AX16" s="7" t="s">
        <v>14</v>
      </c>
      <c r="AY16" s="11">
        <f>BDER!$C453/1000+ajustes!S9</f>
        <v>0</v>
      </c>
      <c r="AZ16" s="219">
        <f t="shared" si="108"/>
        <v>0</v>
      </c>
      <c r="BA16" s="206">
        <f>BDER!$C431/1000+ajustes!T9</f>
        <v>-8.2755899999999993</v>
      </c>
      <c r="BB16" s="219">
        <f t="shared" si="109"/>
        <v>-7.220423580314648E-3</v>
      </c>
      <c r="BC16" s="206">
        <f t="shared" si="110"/>
        <v>-8.2755899999999993</v>
      </c>
      <c r="BD16" s="219">
        <f t="shared" si="111"/>
        <v>-1.1172797115324919E-3</v>
      </c>
      <c r="BE16" s="187"/>
      <c r="BG16" s="7" t="s">
        <v>171</v>
      </c>
      <c r="BH16" s="198">
        <f>BDER!$C477/1000+ajustes!V10</f>
        <v>0</v>
      </c>
      <c r="BI16" s="219">
        <f>IF(BH$5=0,"N.D.",BH16/BH$5)</f>
        <v>0</v>
      </c>
      <c r="BJ16" s="11">
        <f>BDER!$C500/1000+ajustes!W10</f>
        <v>0</v>
      </c>
      <c r="BK16" s="219">
        <f>IF(BJ$5=0,"N.D.",BJ16/BJ$5)</f>
        <v>0</v>
      </c>
      <c r="BL16" s="30">
        <f>BDER!$C567/1000+ajustes!X10</f>
        <v>0</v>
      </c>
      <c r="BM16" s="219">
        <f>IF(BL$5=0,"N.D.",BL16/BL$5)</f>
        <v>0</v>
      </c>
      <c r="BN16" s="11">
        <f>BDER!$C612/1000+ajustes!Y10</f>
        <v>0</v>
      </c>
      <c r="BO16" s="219">
        <f>IF(BN$5=0,"N.D.",BN16/BN$5)</f>
        <v>0</v>
      </c>
      <c r="BP16" s="206">
        <f>SUM(BH16,BJ16,BL16,BN16)</f>
        <v>0</v>
      </c>
      <c r="BQ16" s="219">
        <f>IF(BP$5=0,"N.D.",BP16/BP$5)</f>
        <v>0</v>
      </c>
      <c r="BU16" s="7" t="s">
        <v>171</v>
      </c>
      <c r="BV16" s="198">
        <f>BDER!$C522/1000+ajustes!Z10</f>
        <v>5.0595600000000003</v>
      </c>
      <c r="BW16" s="219">
        <f t="shared" ref="BW16:BY16" si="125">IF(BV$5=0,"N.D.",BV16/BV$5)</f>
        <v>0.11412655479938259</v>
      </c>
      <c r="BX16" s="11">
        <f>BDER!$C589/1000+ajustes!AA10</f>
        <v>2.5373699999999997</v>
      </c>
      <c r="BY16" s="219">
        <f t="shared" si="125"/>
        <v>8.4990951140176421E-2</v>
      </c>
      <c r="BZ16" s="30">
        <f>BDER!$C634/1000+ajustes!AB10</f>
        <v>1.3479000000000001</v>
      </c>
      <c r="CA16" s="219">
        <f t="shared" ref="CA16:CC16" si="126">IF(BZ$5=0,"N.D.",BZ16/BZ$5)</f>
        <v>6.744801413911336E-2</v>
      </c>
      <c r="CB16" s="11">
        <f>BDER!$C544/1000+ajustes!AC10</f>
        <v>0</v>
      </c>
      <c r="CC16" s="219">
        <f t="shared" si="126"/>
        <v>0</v>
      </c>
      <c r="CD16" s="206">
        <f>BDER!$C656/1000+ajustes!AD10</f>
        <v>2.9152100000000001</v>
      </c>
      <c r="CE16" s="219">
        <f t="shared" ref="CE16:CG16" si="127">IF(CD$5=0,"N.D.",CD16/CD$5)</f>
        <v>0.56245610650202593</v>
      </c>
      <c r="CF16" s="206">
        <f>SUM(BV16,BX16,BZ16,CB16,CD16)</f>
        <v>11.86004</v>
      </c>
      <c r="CG16" s="219">
        <f t="shared" si="127"/>
        <v>0.11503683494190368</v>
      </c>
    </row>
    <row r="17" spans="1:85" x14ac:dyDescent="0.35">
      <c r="B17" s="7" t="s">
        <v>15</v>
      </c>
      <c r="C17" s="198">
        <f>BDER!$C168/1000+ajustes!B10</f>
        <v>0</v>
      </c>
      <c r="D17" s="219" t="str">
        <f t="shared" si="94"/>
        <v>N.D.</v>
      </c>
      <c r="E17" s="11">
        <f>BDER!$C146/1000+ajustes!C10</f>
        <v>0</v>
      </c>
      <c r="F17" s="219" t="str">
        <f t="shared" si="94"/>
        <v>N.D.</v>
      </c>
      <c r="G17" s="30">
        <f>BDER!$C212/1000+ajustes!D10</f>
        <v>0</v>
      </c>
      <c r="H17" s="219" t="str">
        <f t="shared" ref="H17" si="128">IF(G$5=0,"N.D.",G17/G$5)</f>
        <v>N.D.</v>
      </c>
      <c r="I17" s="11">
        <f>BDER!$C190/1000+ajustes!E10</f>
        <v>0</v>
      </c>
      <c r="J17" s="219" t="str">
        <f t="shared" ref="J17:L17" si="129">IF(I$5=0,"N.D.",I17/I$5)</f>
        <v>N.D.</v>
      </c>
      <c r="K17" s="206">
        <f t="shared" si="97"/>
        <v>0</v>
      </c>
      <c r="L17" s="219" t="str">
        <f t="shared" si="129"/>
        <v>N.D.</v>
      </c>
      <c r="N17" s="7" t="s">
        <v>15</v>
      </c>
      <c r="O17" s="198">
        <f>BDER!$C$14/1000+ajustes!F10</f>
        <v>713.4135500000001</v>
      </c>
      <c r="P17" s="219">
        <f t="shared" ref="P17:R17" si="130">IF(O$5=0,"N.D.",O17/O$5)</f>
        <v>2.4167031318020674E-2</v>
      </c>
      <c r="Q17" s="11">
        <f>BDER!$C$36/1000+ajustes!G10</f>
        <v>1.0768</v>
      </c>
      <c r="R17" s="219">
        <f t="shared" si="130"/>
        <v>1.7185722076562801E-4</v>
      </c>
      <c r="S17" s="30">
        <f>BDER!$C$58/1000+ajustes!H10</f>
        <v>187.72045</v>
      </c>
      <c r="T17" s="219">
        <f t="shared" ref="T17:V17" si="131">IF(S$5=0,"N.D.",S17/S$5)</f>
        <v>6.7355666575749529E-3</v>
      </c>
      <c r="U17" s="11">
        <f>BDER!$C$80/1000+ajustes!I10</f>
        <v>4.5594099999999997</v>
      </c>
      <c r="V17" s="219">
        <f t="shared" si="131"/>
        <v>1.3199400597872421E-3</v>
      </c>
      <c r="W17" s="30">
        <f>BDER!$C$102/1000+ajustes!J10</f>
        <v>0.86776999999999993</v>
      </c>
      <c r="X17" s="219">
        <f t="shared" ref="X17:Z17" si="132">IF(W$5=0,"N.D.",W17/W$5)</f>
        <v>2.6629363401802436E-3</v>
      </c>
      <c r="Y17" s="11">
        <f>BDER!$C$124/1000+ajustes!K10</f>
        <v>1.5342499999999999</v>
      </c>
      <c r="Z17" s="219">
        <f t="shared" si="132"/>
        <v>5.8102325229114592E-3</v>
      </c>
      <c r="AA17" s="206">
        <f t="shared" si="101"/>
        <v>909.17223000000013</v>
      </c>
      <c r="AB17" s="219">
        <f t="shared" ref="AB17" si="133">IF(AA$5=0,"N.D.",AA17/AA$5)</f>
        <v>1.7059961596744652E-2</v>
      </c>
      <c r="AC17" s="276"/>
      <c r="AE17" s="7" t="s">
        <v>15</v>
      </c>
      <c r="AF17" s="11">
        <f>BDER!$C300/1000+ajustes!L10</f>
        <v>2.2859999999999998E-2</v>
      </c>
      <c r="AG17" s="219">
        <f t="shared" ref="AG17:AI17" si="134">IF(AF$5=0,"N.D.",AF17/AF$5)</f>
        <v>4.3483592534615397E-7</v>
      </c>
      <c r="AH17" s="11">
        <f>BDER!$C322/1000+ajustes!M10</f>
        <v>0.78415000000000001</v>
      </c>
      <c r="AI17" s="219">
        <f t="shared" si="134"/>
        <v>2.2677975804802111E-5</v>
      </c>
      <c r="AJ17" s="11">
        <f>BDER!$C366/1000+ajustes!N10</f>
        <v>0</v>
      </c>
      <c r="AK17" s="219">
        <f t="shared" ref="AK17:AM17" si="135">IF(AJ$5=0,"N.D.",AJ17/AJ$5)</f>
        <v>0</v>
      </c>
      <c r="AL17" s="11">
        <f>BDER!$C344/2000+ajustes!O10</f>
        <v>15.367749999999999</v>
      </c>
      <c r="AM17" s="219">
        <f t="shared" si="135"/>
        <v>1.6427331484717162E-3</v>
      </c>
      <c r="AN17" s="11">
        <f>ajustes!P10</f>
        <v>0</v>
      </c>
      <c r="AO17" s="219" t="str">
        <f t="shared" ref="AO17:AQ17" si="136">IF(AN$5=0,"N.D.",AN17/AN$5)</f>
        <v>N.D.</v>
      </c>
      <c r="AP17" s="11">
        <f>BDER!$C410/1000+ajustes!Q10</f>
        <v>0</v>
      </c>
      <c r="AQ17" s="219">
        <f t="shared" si="136"/>
        <v>0</v>
      </c>
      <c r="AR17" s="11">
        <f>BDER!$C388/1000+ajustes!R10</f>
        <v>188.6404</v>
      </c>
      <c r="AS17" s="219">
        <f t="shared" ref="AS17:AU17" si="137">IF(AR$5=0,"N.D.",AR17/AR$5)</f>
        <v>2.9538035389944659E-3</v>
      </c>
      <c r="AT17" s="11">
        <f t="shared" si="107"/>
        <v>204.81515999999999</v>
      </c>
      <c r="AU17" s="219">
        <f t="shared" si="137"/>
        <v>1.1872290695177736E-3</v>
      </c>
      <c r="AX17" s="7" t="s">
        <v>15</v>
      </c>
      <c r="AY17" s="11">
        <f>BDER!$C454/1000+ajustes!S10</f>
        <v>2.88239</v>
      </c>
      <c r="AZ17" s="219">
        <f t="shared" si="108"/>
        <v>4.603888075553094E-4</v>
      </c>
      <c r="BA17" s="206">
        <f>BDER!$C432/1000+ajustes!T10</f>
        <v>1.4091199999999999</v>
      </c>
      <c r="BB17" s="219">
        <f t="shared" si="109"/>
        <v>1.2294523140335585E-3</v>
      </c>
      <c r="BC17" s="206">
        <f t="shared" si="110"/>
        <v>4.2915099999999997</v>
      </c>
      <c r="BD17" s="219">
        <f t="shared" si="111"/>
        <v>5.7939277499716689E-4</v>
      </c>
      <c r="BE17" s="187"/>
      <c r="BG17" s="7" t="s">
        <v>172</v>
      </c>
      <c r="BH17" s="196">
        <f>BDER!$C478/1000+ajustes!V11</f>
        <v>0</v>
      </c>
      <c r="BI17" s="219">
        <f>IF(BH$5=0,"N.D.",BH17/BH$5)</f>
        <v>0</v>
      </c>
      <c r="BJ17" s="34">
        <f>BDER!$C501/1000+ajustes!W11</f>
        <v>0</v>
      </c>
      <c r="BK17" s="219">
        <f>IF(BJ$5=0,"N.D.",BJ17/BJ$5)</f>
        <v>0</v>
      </c>
      <c r="BL17" s="197">
        <f>BDER!$C568/1000+ajustes!X11</f>
        <v>0</v>
      </c>
      <c r="BM17" s="219">
        <f>IF(BL$5=0,"N.D.",BL17/BL$5)</f>
        <v>0</v>
      </c>
      <c r="BN17" s="34">
        <f>BDER!$C613/1000+ajustes!Y11</f>
        <v>0</v>
      </c>
      <c r="BO17" s="219">
        <f>IF(BN$5=0,"N.D.",BN17/BN$5)</f>
        <v>0</v>
      </c>
      <c r="BP17" s="206">
        <f>SUM(BH17,BJ17,BL17,BN17)</f>
        <v>0</v>
      </c>
      <c r="BQ17" s="219">
        <f>IF(BP$5=0,"N.D.",BP17/BP$5)</f>
        <v>0</v>
      </c>
      <c r="BU17" s="7" t="s">
        <v>172</v>
      </c>
      <c r="BV17" s="196">
        <f>BDER!$C523/1000+ajustes!Z11</f>
        <v>0</v>
      </c>
      <c r="BW17" s="219">
        <f t="shared" ref="BW17:BY17" si="138">IF(BV$5=0,"N.D.",BV17/BV$5)</f>
        <v>0</v>
      </c>
      <c r="BX17" s="34">
        <f>BDER!$C590/1000+ajustes!AA11</f>
        <v>0</v>
      </c>
      <c r="BY17" s="219">
        <f t="shared" si="138"/>
        <v>0</v>
      </c>
      <c r="BZ17" s="197">
        <f>BDER!$C635/1000+ajustes!AB11</f>
        <v>0</v>
      </c>
      <c r="CA17" s="219">
        <f t="shared" ref="CA17:CC17" si="139">IF(BZ$5=0,"N.D.",BZ17/BZ$5)</f>
        <v>0</v>
      </c>
      <c r="CB17" s="34">
        <f>BDER!$C545/1000+ajustes!AC11</f>
        <v>0</v>
      </c>
      <c r="CC17" s="219">
        <f t="shared" si="139"/>
        <v>0</v>
      </c>
      <c r="CD17" s="207">
        <f>BDER!$C657/1000+ajustes!AD11</f>
        <v>0</v>
      </c>
      <c r="CE17" s="219">
        <f t="shared" ref="CE17:CG17" si="140">IF(CD$5=0,"N.D.",CD17/CD$5)</f>
        <v>0</v>
      </c>
      <c r="CF17" s="206">
        <f>SUM(BV17,BX17,BZ17,CB17,CD17)</f>
        <v>0</v>
      </c>
      <c r="CG17" s="219">
        <f t="shared" si="140"/>
        <v>0</v>
      </c>
    </row>
    <row r="18" spans="1:85" x14ac:dyDescent="0.35">
      <c r="B18" s="7" t="s">
        <v>16</v>
      </c>
      <c r="C18" s="198">
        <f>BDER!$C169/1000-BDER!$C169/1000+ajustes!B11</f>
        <v>0</v>
      </c>
      <c r="D18" s="219" t="str">
        <f t="shared" si="94"/>
        <v>N.D.</v>
      </c>
      <c r="E18" s="11">
        <f>BDER!$C147/1000+ajustes!C11</f>
        <v>0</v>
      </c>
      <c r="F18" s="219" t="str">
        <f t="shared" si="94"/>
        <v>N.D.</v>
      </c>
      <c r="G18" s="30">
        <f>BDER!$C213/1000+ajustes!D11</f>
        <v>0</v>
      </c>
      <c r="H18" s="219" t="str">
        <f t="shared" ref="H18" si="141">IF(G$5=0,"N.D.",G18/G$5)</f>
        <v>N.D.</v>
      </c>
      <c r="I18" s="11">
        <f>BDER!$C191/1000+ajustes!E11</f>
        <v>0</v>
      </c>
      <c r="J18" s="219" t="str">
        <f t="shared" ref="J18:L18" si="142">IF(I$5=0,"N.D.",I18/I$5)</f>
        <v>N.D.</v>
      </c>
      <c r="K18" s="206">
        <f t="shared" si="97"/>
        <v>0</v>
      </c>
      <c r="L18" s="219" t="str">
        <f t="shared" si="142"/>
        <v>N.D.</v>
      </c>
      <c r="N18" s="7" t="s">
        <v>16</v>
      </c>
      <c r="O18" s="198">
        <f>BDER!$C$15/1000+ajustes!F11</f>
        <v>18.106249999999999</v>
      </c>
      <c r="P18" s="219">
        <f t="shared" ref="P18:R18" si="143">IF(O$5=0,"N.D.",O18/O$5)</f>
        <v>6.1335295748435358E-4</v>
      </c>
      <c r="Q18" s="11">
        <f>BDER!$C$37/1000+ajustes!G11</f>
        <v>8.2839899999999993</v>
      </c>
      <c r="R18" s="219">
        <f t="shared" si="143"/>
        <v>1.3221243483007566E-3</v>
      </c>
      <c r="S18" s="30">
        <f>BDER!$C$59/1000+ajustes!H11</f>
        <v>5.3323999999999998</v>
      </c>
      <c r="T18" s="219">
        <f t="shared" ref="T18:V18" si="144">IF(S$5=0,"N.D.",S18/S$5)</f>
        <v>1.9133096924097868E-4</v>
      </c>
      <c r="U18" s="11">
        <f>BDER!$C$81/1000+ajustes!I11</f>
        <v>0</v>
      </c>
      <c r="V18" s="219">
        <f t="shared" si="144"/>
        <v>0</v>
      </c>
      <c r="W18" s="30">
        <f>BDER!$C$103/1000+ajustes!J11</f>
        <v>0</v>
      </c>
      <c r="X18" s="219">
        <f t="shared" ref="X18:Z18" si="145">IF(W$5=0,"N.D.",W18/W$5)</f>
        <v>0</v>
      </c>
      <c r="Y18" s="11">
        <f>BDER!$C$125/1000+ajustes!K11</f>
        <v>8.0000000000000007E-5</v>
      </c>
      <c r="Z18" s="219">
        <f t="shared" si="145"/>
        <v>3.0296144815572221E-7</v>
      </c>
      <c r="AA18" s="206">
        <f t="shared" si="101"/>
        <v>31.722719999999999</v>
      </c>
      <c r="AB18" s="219">
        <f t="shared" ref="AB18" si="146">IF(AA$5=0,"N.D.",AA18/AA$5)</f>
        <v>5.9525397618478005E-4</v>
      </c>
      <c r="AC18" s="276"/>
      <c r="AE18" s="7" t="s">
        <v>16</v>
      </c>
      <c r="AF18" s="11">
        <f>BDER!$C301/1000+ajustes!L11</f>
        <v>2.2000000000000001E-4</v>
      </c>
      <c r="AG18" s="219">
        <f t="shared" ref="AG18:AI18" si="147">IF(AF$5=0,"N.D.",AF18/AF$5)</f>
        <v>4.1847726848711233E-9</v>
      </c>
      <c r="AH18" s="11">
        <f>BDER!$C323/1000+ajustes!M11</f>
        <v>5.6159999999999995E-2</v>
      </c>
      <c r="AI18" s="219">
        <f t="shared" si="147"/>
        <v>1.6241728256043951E-6</v>
      </c>
      <c r="AJ18" s="11">
        <f>BDER!$C367/1000+ajustes!N11</f>
        <v>0</v>
      </c>
      <c r="AK18" s="219">
        <f t="shared" ref="AK18:AM18" si="148">IF(AJ$5=0,"N.D.",AJ18/AJ$5)</f>
        <v>0</v>
      </c>
      <c r="AL18" s="11">
        <f>BDER!$C345/2000+ajustes!O11</f>
        <v>65.005485000000007</v>
      </c>
      <c r="AM18" s="219">
        <f t="shared" si="148"/>
        <v>6.9487507957886442E-3</v>
      </c>
      <c r="AN18" s="11">
        <f>ajustes!P11</f>
        <v>0</v>
      </c>
      <c r="AO18" s="219" t="str">
        <f t="shared" ref="AO18:AQ18" si="149">IF(AN$5=0,"N.D.",AN18/AN$5)</f>
        <v>N.D.</v>
      </c>
      <c r="AP18" s="11">
        <f>BDER!$C411/1000+ajustes!Q11</f>
        <v>4.9699999999999996E-3</v>
      </c>
      <c r="AQ18" s="219">
        <f t="shared" si="149"/>
        <v>9.7603087915042728E-7</v>
      </c>
      <c r="AR18" s="11">
        <f>BDER!$C389/1000+ajustes!R11</f>
        <v>0</v>
      </c>
      <c r="AS18" s="219">
        <f t="shared" ref="AS18:AU18" si="150">IF(AR$5=0,"N.D.",AR18/AR$5)</f>
        <v>0</v>
      </c>
      <c r="AT18" s="11">
        <f t="shared" si="107"/>
        <v>65.066835000000012</v>
      </c>
      <c r="AU18" s="219">
        <f t="shared" si="150"/>
        <v>3.7716562569644024E-4</v>
      </c>
      <c r="AX18" s="7" t="s">
        <v>16</v>
      </c>
      <c r="AY18" s="11">
        <f>BDER!$C455/1000+ajustes!S11</f>
        <v>372.76143000000002</v>
      </c>
      <c r="AZ18" s="219">
        <f t="shared" si="108"/>
        <v>5.9539198463883072E-2</v>
      </c>
      <c r="BA18" s="206">
        <f>BDER!$C433/1000+ajustes!T11</f>
        <v>0</v>
      </c>
      <c r="BB18" s="219">
        <f t="shared" si="109"/>
        <v>0</v>
      </c>
      <c r="BC18" s="206">
        <f t="shared" si="110"/>
        <v>372.76143000000002</v>
      </c>
      <c r="BD18" s="219">
        <f t="shared" si="111"/>
        <v>5.0326174083157725E-2</v>
      </c>
      <c r="BE18" s="187"/>
      <c r="BG18" s="7" t="s">
        <v>173</v>
      </c>
      <c r="BH18" s="208">
        <f>BH15+BH16</f>
        <v>-1.12845</v>
      </c>
      <c r="BI18" s="22">
        <f>IF(BH$5=0,"N.D.",BH18/BH$5)</f>
        <v>-3.6347328753978982E-3</v>
      </c>
      <c r="BJ18" s="208">
        <f>BJ15+BJ16</f>
        <v>-4.1493000000000002</v>
      </c>
      <c r="BK18" s="22">
        <f>IF(BJ$5=0,"N.D.",BJ18/BJ$5)</f>
        <v>-6.8546814956953681E-3</v>
      </c>
      <c r="BL18" s="208">
        <f>BL15+BL16</f>
        <v>-2.4061699999999999</v>
      </c>
      <c r="BM18" s="22">
        <f>IF(BL$5=0,"N.D.",BL18/BL$5)</f>
        <v>-8.7511780159171444E-3</v>
      </c>
      <c r="BN18" s="208">
        <f>BN15+BN16</f>
        <v>-2.4493499999999999</v>
      </c>
      <c r="BO18" s="22">
        <f>IF(BN$5=0,"N.D.",BN18/BN$5)</f>
        <v>-6.3555647538207595E-3</v>
      </c>
      <c r="BP18" s="14">
        <f>BP15+BP16</f>
        <v>-10.13327</v>
      </c>
      <c r="BQ18" s="22">
        <f>IF(BP$5=0,"N.D.",BP18/BP$5)</f>
        <v>-6.4292216345023913E-3</v>
      </c>
      <c r="BU18" s="7" t="s">
        <v>173</v>
      </c>
      <c r="BV18" s="208">
        <f>BV15+BV16</f>
        <v>5.0595600000000003</v>
      </c>
      <c r="BW18" s="22">
        <f t="shared" ref="BW18:BY18" si="151">IF(BV$5=0,"N.D.",BV18/BV$5)</f>
        <v>0.11412655479938259</v>
      </c>
      <c r="BX18" s="208">
        <f>BX15+BX16</f>
        <v>2.5373699999999997</v>
      </c>
      <c r="BY18" s="22">
        <f t="shared" si="151"/>
        <v>8.4990951140176421E-2</v>
      </c>
      <c r="BZ18" s="208">
        <f>BZ15+BZ16</f>
        <v>1.3479000000000001</v>
      </c>
      <c r="CA18" s="22">
        <f t="shared" ref="CA18:CC18" si="152">IF(BZ$5=0,"N.D.",BZ18/BZ$5)</f>
        <v>6.744801413911336E-2</v>
      </c>
      <c r="CB18" s="208">
        <f>CB15+CB16</f>
        <v>0</v>
      </c>
      <c r="CC18" s="22">
        <f t="shared" si="152"/>
        <v>0</v>
      </c>
      <c r="CD18" s="208">
        <f>CD15+CD16</f>
        <v>2.9152100000000001</v>
      </c>
      <c r="CE18" s="22">
        <f t="shared" ref="CE18:CG18" si="153">IF(CD$5=0,"N.D.",CD18/CD$5)</f>
        <v>0.56245610650202593</v>
      </c>
      <c r="CF18" s="14">
        <f>CF15+CF16</f>
        <v>11.86004</v>
      </c>
      <c r="CG18" s="22">
        <f t="shared" si="153"/>
        <v>0.11503683494190368</v>
      </c>
    </row>
    <row r="19" spans="1:85" x14ac:dyDescent="0.35">
      <c r="B19" s="7" t="s">
        <v>143</v>
      </c>
      <c r="C19" s="196">
        <f>BDER!$C170/1000+ajustes!B12</f>
        <v>0</v>
      </c>
      <c r="D19" s="219" t="str">
        <f t="shared" si="94"/>
        <v>N.D.</v>
      </c>
      <c r="E19" s="34">
        <f>BDER!$C148/1000+ajustes!C12</f>
        <v>0</v>
      </c>
      <c r="F19" s="219" t="str">
        <f t="shared" si="94"/>
        <v>N.D.</v>
      </c>
      <c r="G19" s="197">
        <f>BDER!$C214/1000+ajustes!D12</f>
        <v>0</v>
      </c>
      <c r="H19" s="219" t="str">
        <f t="shared" ref="H19" si="154">IF(G$5=0,"N.D.",G19/G$5)</f>
        <v>N.D.</v>
      </c>
      <c r="I19" s="34">
        <f>BDER!$C192/1000+ajustes!E12</f>
        <v>0</v>
      </c>
      <c r="J19" s="219" t="str">
        <f t="shared" ref="J19:L19" si="155">IF(I$5=0,"N.D.",I19/I$5)</f>
        <v>N.D.</v>
      </c>
      <c r="K19" s="207">
        <f t="shared" si="97"/>
        <v>0</v>
      </c>
      <c r="L19" s="219" t="str">
        <f t="shared" si="155"/>
        <v>N.D.</v>
      </c>
      <c r="N19" s="7" t="s">
        <v>143</v>
      </c>
      <c r="O19" s="196">
        <f>BDER!$C16/1000+ajustes!F12</f>
        <v>0</v>
      </c>
      <c r="P19" s="219">
        <f t="shared" ref="P19:R19" si="156">IF(O$5=0,"N.D.",O19/O$5)</f>
        <v>0</v>
      </c>
      <c r="Q19" s="34">
        <f>BDER!$C38/1000+ajustes!G12</f>
        <v>0</v>
      </c>
      <c r="R19" s="219">
        <f t="shared" si="156"/>
        <v>0</v>
      </c>
      <c r="S19" s="197">
        <f>BDER!$C60/1000+ajustes!H12</f>
        <v>0</v>
      </c>
      <c r="T19" s="219">
        <f t="shared" ref="T19:V19" si="157">IF(S$5=0,"N.D.",S19/S$5)</f>
        <v>0</v>
      </c>
      <c r="U19" s="34">
        <f>BDER!$C82/1000+ajustes!I12</f>
        <v>0</v>
      </c>
      <c r="V19" s="219">
        <f t="shared" si="157"/>
        <v>0</v>
      </c>
      <c r="W19" s="197">
        <f>BDER!$C104/1000+ajustes!J12</f>
        <v>0</v>
      </c>
      <c r="X19" s="219">
        <f t="shared" ref="X19:Z19" si="158">IF(W$5=0,"N.D.",W19/W$5)</f>
        <v>0</v>
      </c>
      <c r="Y19" s="34">
        <f>BDER!$C126/1000+ajustes!K12</f>
        <v>0</v>
      </c>
      <c r="Z19" s="219">
        <f t="shared" si="158"/>
        <v>0</v>
      </c>
      <c r="AA19" s="207">
        <f t="shared" si="101"/>
        <v>0</v>
      </c>
      <c r="AB19" s="219">
        <f t="shared" ref="AB19" si="159">IF(AA$5=0,"N.D.",AA19/AA$5)</f>
        <v>0</v>
      </c>
      <c r="AC19" s="276"/>
      <c r="AE19" s="7" t="s">
        <v>143</v>
      </c>
      <c r="AF19" s="11">
        <f>BDER!$C302/1000+ajustes!L12</f>
        <v>0</v>
      </c>
      <c r="AG19" s="219">
        <f t="shared" ref="AG19:AI19" si="160">IF(AF$5=0,"N.D.",AF19/AF$5)</f>
        <v>0</v>
      </c>
      <c r="AH19" s="11">
        <f>BDER!$C324/1000+ajustes!M12</f>
        <v>0</v>
      </c>
      <c r="AI19" s="219">
        <f t="shared" si="160"/>
        <v>0</v>
      </c>
      <c r="AJ19" s="11">
        <f>BDER!$C368/1000+ajustes!N12</f>
        <v>0</v>
      </c>
      <c r="AK19" s="219">
        <f t="shared" ref="AK19:AM19" si="161">IF(AJ$5=0,"N.D.",AJ19/AJ$5)</f>
        <v>0</v>
      </c>
      <c r="AL19" s="11">
        <f>BDER!$C346/2000+ajustes!O12</f>
        <v>0</v>
      </c>
      <c r="AM19" s="219">
        <f t="shared" si="161"/>
        <v>0</v>
      </c>
      <c r="AN19" s="11">
        <f>ajustes!P12</f>
        <v>0</v>
      </c>
      <c r="AO19" s="219" t="str">
        <f t="shared" ref="AO19:AQ19" si="162">IF(AN$5=0,"N.D.",AN19/AN$5)</f>
        <v>N.D.</v>
      </c>
      <c r="AP19" s="11">
        <f>BDER!$C412/1000+ajustes!Q12</f>
        <v>0</v>
      </c>
      <c r="AQ19" s="219">
        <f t="shared" si="162"/>
        <v>0</v>
      </c>
      <c r="AR19" s="11">
        <f>BDER!$C390/1000+ajustes!R12</f>
        <v>0</v>
      </c>
      <c r="AS19" s="219">
        <f t="shared" ref="AS19:AU19" si="163">IF(AR$5=0,"N.D.",AR19/AR$5)</f>
        <v>0</v>
      </c>
      <c r="AT19" s="11">
        <f t="shared" si="107"/>
        <v>0</v>
      </c>
      <c r="AU19" s="219">
        <f t="shared" si="163"/>
        <v>0</v>
      </c>
      <c r="AX19" s="7" t="s">
        <v>143</v>
      </c>
      <c r="AY19" s="34">
        <f>BDER!$C456/1000+ajustes!S12</f>
        <v>0</v>
      </c>
      <c r="AZ19" s="219">
        <f t="shared" si="108"/>
        <v>0</v>
      </c>
      <c r="BA19" s="207">
        <f>BDER!$C434/1000+ajustes!T12</f>
        <v>0</v>
      </c>
      <c r="BB19" s="219">
        <f t="shared" si="109"/>
        <v>0</v>
      </c>
      <c r="BC19" s="206">
        <f t="shared" si="110"/>
        <v>0</v>
      </c>
      <c r="BD19" s="219">
        <f t="shared" si="111"/>
        <v>0</v>
      </c>
      <c r="BE19" s="187"/>
      <c r="BG19" s="7" t="s">
        <v>174</v>
      </c>
      <c r="BH19" s="14">
        <f>BH13-BH18</f>
        <v>15.547089999999955</v>
      </c>
      <c r="BI19" s="22">
        <f>IF(BH$5=0,"N.D.",BH19/BH$5)</f>
        <v>5.0077113863945893E-2</v>
      </c>
      <c r="BJ19" s="14">
        <f>BJ13-BJ18</f>
        <v>23.130519999999951</v>
      </c>
      <c r="BK19" s="22">
        <f>IF(BJ$5=0,"N.D.",BJ19/BJ$5)</f>
        <v>3.821183029181098E-2</v>
      </c>
      <c r="BL19" s="14">
        <f>BL13-BL18</f>
        <v>33.297230000000013</v>
      </c>
      <c r="BM19" s="22">
        <f>IF(BL$5=0,"N.D.",BL19/BL$5)</f>
        <v>0.12110116374443074</v>
      </c>
      <c r="BN19" s="14">
        <f>BN13-BN18</f>
        <v>27.258080000000053</v>
      </c>
      <c r="BO19" s="22">
        <f>IF(BN$5=0,"N.D.",BN19/BN$5)</f>
        <v>7.0729169985843957E-2</v>
      </c>
      <c r="BP19" s="14">
        <f>BP13-BP18</f>
        <v>99.232919999999879</v>
      </c>
      <c r="BQ19" s="22">
        <f>IF(BP$5=0,"N.D.",BP19/BP$5)</f>
        <v>6.2959976011578128E-2</v>
      </c>
      <c r="BU19" s="7" t="s">
        <v>174</v>
      </c>
      <c r="BV19" s="14">
        <f>BV13-BV18</f>
        <v>7.5470300000000003</v>
      </c>
      <c r="BW19" s="22">
        <f t="shared" ref="BW19:BY19" si="164">IF(BV$5=0,"N.D.",BV19/BV$5)</f>
        <v>0.17023546175311377</v>
      </c>
      <c r="BX19" s="14">
        <f>BX13-BX18</f>
        <v>15.43337</v>
      </c>
      <c r="BY19" s="22">
        <f t="shared" si="164"/>
        <v>0.51695132976202318</v>
      </c>
      <c r="BZ19" s="14">
        <f>BZ13-BZ18</f>
        <v>14.300839999999997</v>
      </c>
      <c r="CA19" s="22">
        <f t="shared" ref="CA19:CC19" si="165">IF(BZ$5=0,"N.D.",BZ19/BZ$5)</f>
        <v>0.71560446510957609</v>
      </c>
      <c r="CB19" s="14">
        <f>CB13-CB18</f>
        <v>-5.8240000000000069E-2</v>
      </c>
      <c r="CC19" s="22">
        <f t="shared" si="165"/>
        <v>-1.5559711461394623E-2</v>
      </c>
      <c r="CD19" s="14">
        <f>CD13-CD18</f>
        <v>2.2443999999999997</v>
      </c>
      <c r="CE19" s="22">
        <f t="shared" ref="CE19:CG19" si="166">IF(CD$5=0,"N.D.",CD19/CD$5)</f>
        <v>0.43303106309087397</v>
      </c>
      <c r="CF19" s="14">
        <f>CF13-CF18</f>
        <v>39.467399999999998</v>
      </c>
      <c r="CG19" s="22">
        <f t="shared" si="166"/>
        <v>0.38281530073980269</v>
      </c>
    </row>
    <row r="20" spans="1:85" x14ac:dyDescent="0.35">
      <c r="B20" s="4" t="s">
        <v>17</v>
      </c>
      <c r="C20" s="216">
        <f>C15+C16+C17-C18</f>
        <v>0</v>
      </c>
      <c r="D20" s="22" t="str">
        <f t="shared" si="94"/>
        <v>N.D.</v>
      </c>
      <c r="E20" s="202">
        <f>E15+E16+E17-E18</f>
        <v>0</v>
      </c>
      <c r="F20" s="22" t="str">
        <f t="shared" si="94"/>
        <v>N.D.</v>
      </c>
      <c r="G20" s="208">
        <f>G15+G16+G17-G18</f>
        <v>0</v>
      </c>
      <c r="H20" s="22" t="str">
        <f t="shared" ref="H20" si="167">IF(G$5=0,"N.D.",G20/G$5)</f>
        <v>N.D.</v>
      </c>
      <c r="I20" s="202">
        <f>I15+I16+I17-I18</f>
        <v>0</v>
      </c>
      <c r="J20" s="22" t="str">
        <f t="shared" ref="J20:L20" si="168">IF(I$5=0,"N.D.",I20/I$5)</f>
        <v>N.D.</v>
      </c>
      <c r="K20" s="208">
        <f>K15+K16+K17-K18</f>
        <v>0</v>
      </c>
      <c r="L20" s="22" t="str">
        <f t="shared" si="168"/>
        <v>N.D.</v>
      </c>
      <c r="N20" s="4" t="s">
        <v>17</v>
      </c>
      <c r="O20" s="216">
        <f>O15+O16+O17-O18</f>
        <v>457.95818000000014</v>
      </c>
      <c r="P20" s="22">
        <f t="shared" ref="P20:R20" si="169">IF(O$5=0,"N.D.",O20/O$5)</f>
        <v>1.551342791064699E-2</v>
      </c>
      <c r="Q20" s="208">
        <f>Q15+Q16+Q17-Q18</f>
        <v>150.12882999999999</v>
      </c>
      <c r="R20" s="22">
        <f t="shared" si="169"/>
        <v>2.3960553009468272E-2</v>
      </c>
      <c r="S20" s="202">
        <f>S15+S16+S17-S18</f>
        <v>185.90746999999999</v>
      </c>
      <c r="T20" s="22">
        <f t="shared" ref="T20:V20" si="170">IF(S$5=0,"N.D.",S20/S$5)</f>
        <v>6.6705154197431111E-3</v>
      </c>
      <c r="U20" s="208">
        <f>U15+U16+U17-U18</f>
        <v>2.3674499999999998</v>
      </c>
      <c r="V20" s="22">
        <f t="shared" si="170"/>
        <v>6.8537203158814547E-4</v>
      </c>
      <c r="W20" s="202">
        <f>W15+W16+W17-W18</f>
        <v>-4.7160500000000001</v>
      </c>
      <c r="X20" s="22">
        <f t="shared" ref="X20:Z20" si="171">IF(W$5=0,"N.D.",W20/W$5)</f>
        <v>-1.4472199922913952E-2</v>
      </c>
      <c r="Y20" s="208">
        <f>Y15+Y16+Y17-Y18</f>
        <v>1.4040799999999998</v>
      </c>
      <c r="Z20" s="22">
        <f t="shared" si="171"/>
        <v>5.3172763765810789E-3</v>
      </c>
      <c r="AA20" s="213">
        <f>AA15+AA16+AA17-AA18</f>
        <v>793.04996000000017</v>
      </c>
      <c r="AB20" s="22">
        <f t="shared" ref="AB20" si="172">IF(AA$5=0,"N.D.",AA20/AA$5)</f>
        <v>1.4881010897022101E-2</v>
      </c>
      <c r="AC20" s="276"/>
      <c r="AE20" s="4" t="s">
        <v>17</v>
      </c>
      <c r="AF20" s="14">
        <f>AF15+AF16+AF17-AF18</f>
        <v>-629.01879999999994</v>
      </c>
      <c r="AG20" s="22">
        <f t="shared" ref="AG20:AI20" si="173">IF(AF$5=0,"N.D.",AF20/AF$5)</f>
        <v>-1.19650031477746E-2</v>
      </c>
      <c r="AH20" s="14">
        <f>AH15+AH16+AH17-AH18</f>
        <v>-278.66811999999993</v>
      </c>
      <c r="AI20" s="22">
        <f t="shared" si="173"/>
        <v>-8.0592091856528589E-3</v>
      </c>
      <c r="AJ20" s="14">
        <f>AJ15+AJ16+AJ17-AJ18</f>
        <v>-335.98178000000001</v>
      </c>
      <c r="AK20" s="22">
        <f t="shared" ref="AK20:AM20" si="174">IF(AJ$5=0,"N.D.",AJ20/AJ$5)</f>
        <v>-4.7619622716566827E-2</v>
      </c>
      <c r="AL20" s="14">
        <f>AL15+AL16+AL17-AL18</f>
        <v>-49.637735000000006</v>
      </c>
      <c r="AM20" s="22">
        <f t="shared" si="174"/>
        <v>-5.306017647316928E-3</v>
      </c>
      <c r="AN20" s="14">
        <f>AN15+AN16+AN17-AN18</f>
        <v>0</v>
      </c>
      <c r="AO20" s="22" t="str">
        <f t="shared" ref="AO20:AQ20" si="175">IF(AN$5=0,"N.D.",AN20/AN$5)</f>
        <v>N.D.</v>
      </c>
      <c r="AP20" s="14">
        <f>AP15+AP16+AP17-AP18</f>
        <v>-12.93689</v>
      </c>
      <c r="AQ20" s="22">
        <f t="shared" si="175"/>
        <v>-2.5406044507389077E-3</v>
      </c>
      <c r="AR20" s="14">
        <f>AR15+AR16+AR17-AR18</f>
        <v>834.83947000000012</v>
      </c>
      <c r="AS20" s="22">
        <f t="shared" ref="AS20:AU20" si="176">IF(AR$5=0,"N.D.",AR20/AR$5)</f>
        <v>1.3072235751081235E-2</v>
      </c>
      <c r="AT20" s="14">
        <f>AT15+AT16+AT17-AT18</f>
        <v>-471.40385499999996</v>
      </c>
      <c r="AU20" s="22">
        <f t="shared" si="176"/>
        <v>-2.7325338619404024E-3</v>
      </c>
      <c r="AX20" s="4" t="s">
        <v>17</v>
      </c>
      <c r="AY20" s="208">
        <f>AY15+AY16+AY17-AY18</f>
        <v>-352.66002000000003</v>
      </c>
      <c r="AZ20" s="22">
        <f t="shared" si="108"/>
        <v>-5.6328507273558252E-2</v>
      </c>
      <c r="BA20" s="208">
        <f>BA15+BA16+BA17-BA18</f>
        <v>-6.8664699999999996</v>
      </c>
      <c r="BB20" s="22">
        <f t="shared" si="109"/>
        <v>-5.9909712662810895E-3</v>
      </c>
      <c r="BC20" s="14">
        <f>BC15+BC16+BC17-BC18</f>
        <v>-359.52649000000002</v>
      </c>
      <c r="BD20" s="22">
        <f t="shared" si="111"/>
        <v>-4.8539337139163419E-2</v>
      </c>
      <c r="BE20" s="221"/>
      <c r="BG20" s="4"/>
      <c r="BI20" s="221"/>
      <c r="BK20" s="221"/>
      <c r="BM20" s="221"/>
      <c r="BO20" s="221"/>
      <c r="BQ20" s="221"/>
      <c r="BU20" s="4"/>
      <c r="BW20" s="221"/>
      <c r="BY20" s="221"/>
      <c r="CA20" s="221"/>
      <c r="CC20" s="221"/>
      <c r="CE20" s="221"/>
      <c r="CG20" s="221"/>
    </row>
    <row r="21" spans="1:85" x14ac:dyDescent="0.35">
      <c r="B21" s="4" t="s">
        <v>18</v>
      </c>
      <c r="C21" s="215">
        <f>C13-C20</f>
        <v>-53.631160000000001</v>
      </c>
      <c r="D21" s="22" t="str">
        <f t="shared" si="94"/>
        <v>N.D.</v>
      </c>
      <c r="E21" s="31">
        <f>E13-E20</f>
        <v>-20.7791</v>
      </c>
      <c r="F21" s="22" t="str">
        <f t="shared" si="94"/>
        <v>N.D.</v>
      </c>
      <c r="G21" s="14">
        <f>G13-G20</f>
        <v>-1.2529999999999999</v>
      </c>
      <c r="H21" s="22" t="str">
        <f t="shared" ref="H21" si="177">IF(G$5=0,"N.D.",G21/G$5)</f>
        <v>N.D.</v>
      </c>
      <c r="I21" s="31">
        <f>I13-I20</f>
        <v>-0.97499999999999998</v>
      </c>
      <c r="J21" s="22" t="str">
        <f t="shared" ref="J21:L21" si="178">IF(I$5=0,"N.D.",I21/I$5)</f>
        <v>N.D.</v>
      </c>
      <c r="K21" s="14">
        <f>K13-K20</f>
        <v>-76.638259999999988</v>
      </c>
      <c r="L21" s="22" t="str">
        <f t="shared" si="178"/>
        <v>N.D.</v>
      </c>
      <c r="N21" s="4" t="s">
        <v>18</v>
      </c>
      <c r="O21" s="212">
        <f>O13-O20</f>
        <v>3169.164140000004</v>
      </c>
      <c r="P21" s="22">
        <f t="shared" ref="P21:R21" si="179">IF(O$5=0,"N.D.",O21/O$5)</f>
        <v>0.10735608963879105</v>
      </c>
      <c r="Q21" s="200">
        <f>Q13-Q20</f>
        <v>1313.2713400000002</v>
      </c>
      <c r="R21" s="22">
        <f t="shared" si="179"/>
        <v>0.20959803362142659</v>
      </c>
      <c r="S21" s="209">
        <f>S13-S20</f>
        <v>826.64608000000192</v>
      </c>
      <c r="T21" s="22">
        <f t="shared" ref="T21:V21" si="180">IF(S$5=0,"N.D.",S21/S$5)</f>
        <v>2.9660752326467629E-2</v>
      </c>
      <c r="U21" s="200">
        <f>U13-U20</f>
        <v>245.27390999999963</v>
      </c>
      <c r="V21" s="22">
        <f t="shared" si="180"/>
        <v>7.1006305515329868E-2</v>
      </c>
      <c r="W21" s="209">
        <f>W13-W20</f>
        <v>-34.938290000000016</v>
      </c>
      <c r="X21" s="22">
        <f t="shared" ref="X21:Z21" si="181">IF(W$5=0,"N.D.",W21/W$5)</f>
        <v>-0.10721555493362994</v>
      </c>
      <c r="Y21" s="200">
        <f>Y13-Y20</f>
        <v>47.549290000000006</v>
      </c>
      <c r="Z21" s="22">
        <f t="shared" si="181"/>
        <v>0.18007002196470501</v>
      </c>
      <c r="AA21" s="210">
        <f>AA13-AA20</f>
        <v>5566.9664700000067</v>
      </c>
      <c r="AB21" s="22">
        <f t="shared" ref="AB21" si="182">IF(AA$5=0,"N.D.",AA21/AA$5)</f>
        <v>0.10446011333690344</v>
      </c>
      <c r="AC21" s="276"/>
      <c r="AE21" s="4" t="s">
        <v>18</v>
      </c>
      <c r="AF21" s="14">
        <f>AF13-AF20</f>
        <v>2450.8979200000012</v>
      </c>
      <c r="AG21" s="22">
        <f t="shared" ref="AG21:AI21" si="183">IF(AF$5=0,"N.D.",AF21/AF$5)</f>
        <v>4.6620230313742982E-2</v>
      </c>
      <c r="AH21" s="14">
        <f>AH13-AH20</f>
        <v>3085.0704500000006</v>
      </c>
      <c r="AI21" s="22">
        <f t="shared" si="183"/>
        <v>8.9221645120461615E-2</v>
      </c>
      <c r="AJ21" s="14">
        <f>AJ13-AJ20</f>
        <v>-1664.9612700000007</v>
      </c>
      <c r="AK21" s="22">
        <f t="shared" ref="AK21:AM21" si="184">IF(AJ$5=0,"N.D.",AJ21/AJ$5)</f>
        <v>-0.23597954482857963</v>
      </c>
      <c r="AL21" s="14">
        <f>AL13-AL20</f>
        <v>1648.5456650000008</v>
      </c>
      <c r="AM21" s="22">
        <f t="shared" si="184"/>
        <v>0.17622102198857026</v>
      </c>
      <c r="AN21" s="14">
        <f>AN13-AN20</f>
        <v>0</v>
      </c>
      <c r="AO21" s="22" t="str">
        <f t="shared" ref="AO21:AQ21" si="185">IF(AN$5=0,"N.D.",AN21/AN$5)</f>
        <v>N.D.</v>
      </c>
      <c r="AP21" s="14">
        <f>AP13-AP20</f>
        <v>451.74666999999982</v>
      </c>
      <c r="AQ21" s="22">
        <f t="shared" si="185"/>
        <v>8.8716036111343627E-2</v>
      </c>
      <c r="AR21" s="14">
        <f>AR13-AR20</f>
        <v>3942.6136300000026</v>
      </c>
      <c r="AS21" s="22">
        <f t="shared" ref="AS21:AU21" si="186">IF(AR$5=0,"N.D.",AR21/AR$5)</f>
        <v>6.1734952285840285E-2</v>
      </c>
      <c r="AT21" s="14">
        <f>AT13-AT20</f>
        <v>9913.9130650000152</v>
      </c>
      <c r="AU21" s="22">
        <f t="shared" si="186"/>
        <v>5.7466868094334753E-2</v>
      </c>
      <c r="AX21" s="4" t="s">
        <v>18</v>
      </c>
      <c r="AY21" s="14">
        <f>AY13-AY20</f>
        <v>3086.9053800000002</v>
      </c>
      <c r="AZ21" s="22">
        <f t="shared" si="108"/>
        <v>0.49305496027056339</v>
      </c>
      <c r="BA21" s="14">
        <f>BA13-BA20</f>
        <v>141.62143000000012</v>
      </c>
      <c r="BB21" s="22">
        <f t="shared" si="109"/>
        <v>0.12356420661848656</v>
      </c>
      <c r="BC21" s="14">
        <f>BC13-BC20</f>
        <v>3228.5268100000008</v>
      </c>
      <c r="BD21" s="22">
        <f t="shared" si="111"/>
        <v>0.43588040284157592</v>
      </c>
      <c r="BE21" s="221"/>
      <c r="BG21" s="7" t="s">
        <v>178</v>
      </c>
      <c r="BH21" s="8">
        <f>BDER!$C482/1000+ajustes!V13</f>
        <v>0</v>
      </c>
      <c r="BI21" s="220">
        <f>IF(BH$5=0,"N.D.",BH21/BH$5)</f>
        <v>0</v>
      </c>
      <c r="BJ21" s="8">
        <f>BDER!$C505/1000+ajustes!W13</f>
        <v>0</v>
      </c>
      <c r="BK21" s="220">
        <f>IF(BJ$5=0,"N.D.",BJ21/BJ$5)</f>
        <v>0</v>
      </c>
      <c r="BL21" s="195">
        <f>BDER!$C572/1000+ajustes!X13</f>
        <v>0</v>
      </c>
      <c r="BM21" s="220">
        <f>IF(BL$5=0,"N.D.",BL21/BL$5)</f>
        <v>0</v>
      </c>
      <c r="BN21" s="8">
        <f>BDER!$C617/1000+ajustes!Y13</f>
        <v>0</v>
      </c>
      <c r="BO21" s="220">
        <f>IF(BN$5=0,"N.D.",BN21/BN$5)</f>
        <v>0</v>
      </c>
      <c r="BP21" s="204">
        <f>SUM(BH21,BJ21,BL21,BN21)</f>
        <v>0</v>
      </c>
      <c r="BQ21" s="220">
        <f>IF(BP$5=0,"N.D.",BP21/BP$5)</f>
        <v>0</v>
      </c>
      <c r="BU21" s="7" t="s">
        <v>178</v>
      </c>
      <c r="BV21" s="194">
        <f>BDER!$C527/1000+ajustes!Z13</f>
        <v>0</v>
      </c>
      <c r="BW21" s="220">
        <f t="shared" ref="BW21:BY21" si="187">IF(BV$5=0,"N.D.",BV21/BV$5)</f>
        <v>0</v>
      </c>
      <c r="BX21" s="8">
        <f>BDER!$C594/1000+ajustes!AA13</f>
        <v>0</v>
      </c>
      <c r="BY21" s="220">
        <f t="shared" si="187"/>
        <v>0</v>
      </c>
      <c r="BZ21" s="195">
        <f>BDER!$C639/1000+ajustes!AB13</f>
        <v>0</v>
      </c>
      <c r="CA21" s="220">
        <f t="shared" ref="CA21:CC21" si="188">IF(BZ$5=0,"N.D.",BZ21/BZ$5)</f>
        <v>0</v>
      </c>
      <c r="CB21" s="8">
        <f>BDER!$C549/1000+ajustes!AC13</f>
        <v>0</v>
      </c>
      <c r="CC21" s="220">
        <f t="shared" si="188"/>
        <v>0</v>
      </c>
      <c r="CD21" s="204">
        <f>BDER!$C661/1000+ajustes!AD13</f>
        <v>0</v>
      </c>
      <c r="CE21" s="220">
        <f t="shared" ref="CE21:CG21" si="189">IF(CD$5=0,"N.D.",CD21/CD$5)</f>
        <v>0</v>
      </c>
      <c r="CF21" s="204">
        <f>SUM(BV21,BX21,BZ21,CB21,CD21)</f>
        <v>0</v>
      </c>
      <c r="CG21" s="220">
        <f t="shared" si="189"/>
        <v>0</v>
      </c>
    </row>
    <row r="22" spans="1:85" x14ac:dyDescent="0.35">
      <c r="B22" s="1"/>
      <c r="C22" s="30"/>
      <c r="D22" s="30"/>
      <c r="E22" s="30"/>
      <c r="F22" s="30"/>
      <c r="G22" s="30"/>
      <c r="H22" s="30"/>
      <c r="I22" s="30"/>
      <c r="J22" s="30"/>
      <c r="K22" s="30"/>
      <c r="L22" s="30"/>
      <c r="N22" s="1"/>
      <c r="O22" s="217"/>
      <c r="P22" s="30"/>
      <c r="Q22" s="217"/>
      <c r="R22" s="30"/>
      <c r="S22" s="217"/>
      <c r="T22" s="30"/>
      <c r="U22" s="217"/>
      <c r="V22" s="30"/>
      <c r="W22" s="217"/>
      <c r="X22" s="30"/>
      <c r="Y22" s="217"/>
      <c r="Z22" s="30"/>
      <c r="AA22" s="217"/>
      <c r="AB22" s="30"/>
      <c r="AC22" s="276"/>
      <c r="AE22" s="1"/>
      <c r="AF22" s="30"/>
      <c r="AG22" s="30"/>
      <c r="AH22" s="30"/>
      <c r="AI22" s="30"/>
      <c r="AJ22" s="30"/>
      <c r="AK22" s="30"/>
      <c r="AL22" s="30"/>
      <c r="AM22" s="30"/>
      <c r="AN22" s="30"/>
      <c r="AO22" s="30"/>
      <c r="AP22" s="30"/>
      <c r="AQ22" s="30"/>
      <c r="AR22" s="30"/>
      <c r="AS22" s="30"/>
      <c r="AT22" s="30"/>
      <c r="AU22" s="30"/>
      <c r="AX22" s="1"/>
      <c r="AY22" s="30"/>
      <c r="AZ22" s="30"/>
      <c r="BA22" s="30"/>
      <c r="BB22" s="30"/>
      <c r="BC22" s="30"/>
      <c r="BD22" s="30"/>
      <c r="BE22" s="30"/>
      <c r="BG22" s="1" t="s">
        <v>175</v>
      </c>
      <c r="BH22" s="34">
        <f>BDER!$C483/1000+ajustes!V14</f>
        <v>0</v>
      </c>
      <c r="BI22" s="190">
        <f>IF(BH$5=0,"N.D.",BH22/BH$5)</f>
        <v>0</v>
      </c>
      <c r="BJ22" s="34">
        <f>BDER!$C506/1000+ajustes!W14</f>
        <v>0</v>
      </c>
      <c r="BK22" s="190">
        <f>IF(BJ$5=0,"N.D.",BJ22/BJ$5)</f>
        <v>0</v>
      </c>
      <c r="BL22" s="197">
        <f>BDER!$C573/1000+ajustes!X14</f>
        <v>0</v>
      </c>
      <c r="BM22" s="190">
        <f>IF(BL$5=0,"N.D.",BL22/BL$5)</f>
        <v>0</v>
      </c>
      <c r="BN22" s="34">
        <f>BDER!$C618/1000+ajustes!Y14</f>
        <v>0</v>
      </c>
      <c r="BO22" s="190">
        <f>IF(BN$5=0,"N.D.",BN22/BN$5)</f>
        <v>0</v>
      </c>
      <c r="BP22" s="206">
        <f>SUM(BH22,BJ22,BL22,BN22)</f>
        <v>0</v>
      </c>
      <c r="BQ22" s="190">
        <f>IF(BP$5=0,"N.D.",BP22/BP$5)</f>
        <v>0</v>
      </c>
      <c r="BU22" s="1" t="s">
        <v>175</v>
      </c>
      <c r="BV22" s="196">
        <f>BDER!$C528/1000+ajustes!Z14</f>
        <v>0</v>
      </c>
      <c r="BW22" s="190">
        <f t="shared" ref="BW22:BY22" si="190">IF(BV$5=0,"N.D.",BV22/BV$5)</f>
        <v>0</v>
      </c>
      <c r="BX22" s="34">
        <f>BDER!$C595/1000+ajustes!AA14</f>
        <v>0</v>
      </c>
      <c r="BY22" s="190">
        <f t="shared" si="190"/>
        <v>0</v>
      </c>
      <c r="BZ22" s="197">
        <f>BDER!$C640/1000+ajustes!AB14</f>
        <v>0</v>
      </c>
      <c r="CA22" s="190">
        <f t="shared" ref="CA22:CC22" si="191">IF(BZ$5=0,"N.D.",BZ22/BZ$5)</f>
        <v>0</v>
      </c>
      <c r="CB22" s="34">
        <f>BDER!$C550/1000+ajustes!AC14</f>
        <v>0</v>
      </c>
      <c r="CC22" s="190">
        <f t="shared" si="191"/>
        <v>0</v>
      </c>
      <c r="CD22" s="207">
        <f>BDER!$C662/1000+ajustes!AD14</f>
        <v>0</v>
      </c>
      <c r="CE22" s="190">
        <f t="shared" ref="CE22:CG22" si="192">IF(CD$5=0,"N.D.",CD22/CD$5)</f>
        <v>0</v>
      </c>
      <c r="CF22" s="206">
        <f>SUM(BV22,BX22,BZ22,CB22,CD22)</f>
        <v>0</v>
      </c>
      <c r="CG22" s="190">
        <f t="shared" si="192"/>
        <v>0</v>
      </c>
    </row>
    <row r="23" spans="1:85" x14ac:dyDescent="0.35">
      <c r="B23" s="7" t="s">
        <v>19</v>
      </c>
      <c r="C23" s="194">
        <f>BDER!$C173/1000+ajustes!B13</f>
        <v>0</v>
      </c>
      <c r="D23" s="220" t="str">
        <f t="shared" si="94"/>
        <v>N.D.</v>
      </c>
      <c r="E23" s="8">
        <f>BDER!$C151/1000+ajustes!C13</f>
        <v>0</v>
      </c>
      <c r="F23" s="220" t="str">
        <f t="shared" si="94"/>
        <v>N.D.</v>
      </c>
      <c r="G23" s="195">
        <f>BDER!$C217/1000+ajustes!D13</f>
        <v>0</v>
      </c>
      <c r="H23" s="220" t="str">
        <f t="shared" ref="H23" si="193">IF(G$5=0,"N.D.",G23/G$5)</f>
        <v>N.D.</v>
      </c>
      <c r="I23" s="195">
        <f>BDER!$C195/1000+ajustes!E13</f>
        <v>0</v>
      </c>
      <c r="J23" s="220" t="str">
        <f t="shared" ref="J23:L23" si="194">IF(I$5=0,"N.D.",I23/I$5)</f>
        <v>N.D.</v>
      </c>
      <c r="K23" s="8">
        <f>SUM(C23,E23,G23,I23)</f>
        <v>0</v>
      </c>
      <c r="L23" s="220" t="str">
        <f t="shared" si="194"/>
        <v>N.D.</v>
      </c>
      <c r="N23" s="7" t="s">
        <v>19</v>
      </c>
      <c r="O23" s="198">
        <f>BDER!$C19/1000+ajustes!F13</f>
        <v>697.85526000000004</v>
      </c>
      <c r="P23" s="220">
        <f t="shared" ref="P23:R23" si="195">IF(O$5=0,"N.D.",O23/O$5)</f>
        <v>2.3639991031661034E-2</v>
      </c>
      <c r="Q23" s="11">
        <f>BDER!$C41/1000+ajustes!G13</f>
        <v>183.95400000000001</v>
      </c>
      <c r="R23" s="220">
        <f t="shared" si="195"/>
        <v>2.935904828075811E-2</v>
      </c>
      <c r="S23" s="30">
        <f>BDER!$C63/1000+ajustes!H13</f>
        <v>541</v>
      </c>
      <c r="T23" s="220">
        <f t="shared" ref="T23:V23" si="196">IF(S$5=0,"N.D.",S23/S$5)</f>
        <v>1.9411532210518619E-2</v>
      </c>
      <c r="U23" s="11">
        <f>BDER!$C85/1000+ajustes!I13</f>
        <v>74.197399999999988</v>
      </c>
      <c r="V23" s="220">
        <f t="shared" si="196"/>
        <v>2.1479998638433022E-2</v>
      </c>
      <c r="W23" s="30">
        <f>BDER!$C107/1000+ajustes!J13</f>
        <v>9.4629999999999992</v>
      </c>
      <c r="X23" s="220">
        <f t="shared" ref="X23:Z23" si="197">IF(W$5=0,"N.D.",W23/W$5)</f>
        <v>2.9039223051183661E-2</v>
      </c>
      <c r="Y23" s="11">
        <f>BDER!$C129/1000+ajustes!K13</f>
        <v>30.776</v>
      </c>
      <c r="Z23" s="220">
        <f t="shared" si="197"/>
        <v>0.11654926910550632</v>
      </c>
      <c r="AA23" s="206">
        <f>SUM(O23,Q23,S23,U23,W23,Y23)</f>
        <v>1537.24566</v>
      </c>
      <c r="AB23" s="220">
        <f t="shared" ref="AB23" si="198">IF(AA$5=0,"N.D.",AA23/AA$5)</f>
        <v>2.8845306817567869E-2</v>
      </c>
      <c r="AC23" s="276"/>
      <c r="AE23" s="7" t="s">
        <v>19</v>
      </c>
      <c r="AF23" s="8">
        <f>BDER!$C305/1000+ajustes!L13</f>
        <v>1382.15146</v>
      </c>
      <c r="AG23" s="220">
        <f t="shared" ref="AG23:AI23" si="199">IF(AF$5=0,"N.D.",AF23/AF$5)</f>
        <v>2.6290862164376105E-2</v>
      </c>
      <c r="AH23" s="8">
        <f>BDER!$C327/1000+ajustes!M13</f>
        <v>546.01316000000008</v>
      </c>
      <c r="AI23" s="220">
        <f t="shared" si="199"/>
        <v>1.5790949731025371E-2</v>
      </c>
      <c r="AJ23" s="8">
        <f>BDER!$C371/1000+ajustes!N13</f>
        <v>187.42599999999999</v>
      </c>
      <c r="AK23" s="220">
        <f t="shared" ref="AK23:AM23" si="200">IF(AJ$5=0,"N.D.",AJ23/AJ$5)</f>
        <v>2.6564403008029938E-2</v>
      </c>
      <c r="AL23" s="8">
        <f>BDER!$C349/2000+ajustes!O13</f>
        <v>455.26850000000002</v>
      </c>
      <c r="AM23" s="220">
        <f t="shared" si="200"/>
        <v>4.8665852607245402E-2</v>
      </c>
      <c r="AN23" s="8">
        <f>ajustes!P13</f>
        <v>0</v>
      </c>
      <c r="AO23" s="220" t="str">
        <f t="shared" ref="AO23:AQ23" si="201">IF(AN$5=0,"N.D.",AN23/AN$5)</f>
        <v>N.D.</v>
      </c>
      <c r="AP23" s="8">
        <f>BDER!$C415/1000+ajustes!Q13</f>
        <v>93.35</v>
      </c>
      <c r="AQ23" s="220">
        <f t="shared" si="201"/>
        <v>1.8332491462513558E-2</v>
      </c>
      <c r="AR23" s="8">
        <f>BDER!$C393/1000+ajustes!R13</f>
        <v>1342.979</v>
      </c>
      <c r="AS23" s="220">
        <f t="shared" ref="AS23:AU23" si="202">IF(AR$5=0,"N.D.",AR23/AR$5)</f>
        <v>2.102887887745811E-2</v>
      </c>
      <c r="AT23" s="8">
        <f>SUM(AF23,AH23,AJ23,AL23,AN23,AP23,AR23)</f>
        <v>4007.1881199999998</v>
      </c>
      <c r="AU23" s="220">
        <f t="shared" si="202"/>
        <v>2.3228017999694341E-2</v>
      </c>
      <c r="AX23" s="7" t="s">
        <v>19</v>
      </c>
      <c r="AY23" s="8">
        <f>BDER!$C459/1000+ajustes!S13</f>
        <v>649.26599999999996</v>
      </c>
      <c r="AZ23" s="220">
        <f>IF(AY$5=0,"N.D.",AY23/AY$5)</f>
        <v>0.10370380119491307</v>
      </c>
      <c r="BA23" s="204">
        <f>BDER!$C437/1000+ajustes!T13</f>
        <v>41.558999999999997</v>
      </c>
      <c r="BB23" s="220">
        <f>IF(BA$5=0,"N.D.",BA23/BA$5)</f>
        <v>3.6260083398802559E-2</v>
      </c>
      <c r="BC23" s="204">
        <f>SUM(AY23,BA23)</f>
        <v>690.82499999999993</v>
      </c>
      <c r="BD23" s="220">
        <f>IF(BC$5=0,"N.D.",BC23/BC$5)</f>
        <v>9.3267640943960936E-2</v>
      </c>
      <c r="BE23" s="187"/>
      <c r="BG23" s="4" t="s">
        <v>176</v>
      </c>
      <c r="BH23" s="208">
        <f>BH19-BH21-BH22</f>
        <v>15.547089999999955</v>
      </c>
      <c r="BI23" s="35">
        <f>IF(BH$5=0,"N.D.",BH23/BH$5)</f>
        <v>5.0077113863945893E-2</v>
      </c>
      <c r="BJ23" s="208">
        <f>BJ19-BJ21-BJ22</f>
        <v>23.130519999999951</v>
      </c>
      <c r="BK23" s="35">
        <f>IF(BJ$5=0,"N.D.",BJ23/BJ$5)</f>
        <v>3.821183029181098E-2</v>
      </c>
      <c r="BL23" s="208">
        <f>BL19-BL21-BL22</f>
        <v>33.297230000000013</v>
      </c>
      <c r="BM23" s="35">
        <f>IF(BL$5=0,"N.D.",BL23/BL$5)</f>
        <v>0.12110116374443074</v>
      </c>
      <c r="BN23" s="208">
        <f>BN19-BN21-BN22</f>
        <v>27.258080000000053</v>
      </c>
      <c r="BO23" s="35">
        <f>IF(BN$5=0,"N.D.",BN23/BN$5)</f>
        <v>7.0729169985843957E-2</v>
      </c>
      <c r="BP23" s="14">
        <f>BP19-BP21-BP22</f>
        <v>99.232919999999879</v>
      </c>
      <c r="BQ23" s="35">
        <f>IF(BP$5=0,"N.D.",BP23/BP$5)</f>
        <v>6.2959976011578128E-2</v>
      </c>
      <c r="BU23" s="4" t="s">
        <v>176</v>
      </c>
      <c r="BV23" s="208">
        <f>BV19-BV21-BV22</f>
        <v>7.5470300000000003</v>
      </c>
      <c r="BW23" s="35">
        <f t="shared" ref="BW23:BY23" si="203">IF(BV$5=0,"N.D.",BV23/BV$5)</f>
        <v>0.17023546175311377</v>
      </c>
      <c r="BX23" s="208">
        <f>BX19-BX21-BX22</f>
        <v>15.43337</v>
      </c>
      <c r="BY23" s="35">
        <f t="shared" si="203"/>
        <v>0.51695132976202318</v>
      </c>
      <c r="BZ23" s="208">
        <f>BZ19-BZ21-BZ22</f>
        <v>14.300839999999997</v>
      </c>
      <c r="CA23" s="35">
        <f t="shared" ref="CA23:CC23" si="204">IF(BZ$5=0,"N.D.",BZ23/BZ$5)</f>
        <v>0.71560446510957609</v>
      </c>
      <c r="CB23" s="208">
        <f>CB19-CB21-CB22</f>
        <v>-5.8240000000000069E-2</v>
      </c>
      <c r="CC23" s="35">
        <f t="shared" si="204"/>
        <v>-1.5559711461394623E-2</v>
      </c>
      <c r="CD23" s="208">
        <f>CD19-CD21-CD22</f>
        <v>2.2443999999999997</v>
      </c>
      <c r="CE23" s="35">
        <f t="shared" ref="CE23:CG23" si="205">IF(CD$5=0,"N.D.",CD23/CD$5)</f>
        <v>0.43303106309087397</v>
      </c>
      <c r="CF23" s="14">
        <f>CF19-CF21-CF22</f>
        <v>39.467399999999998</v>
      </c>
      <c r="CG23" s="35">
        <f t="shared" si="205"/>
        <v>0.38281530073980269</v>
      </c>
    </row>
    <row r="24" spans="1:85" x14ac:dyDescent="0.35">
      <c r="B24" s="7" t="s">
        <v>43</v>
      </c>
      <c r="C24" s="196">
        <f>BDER!$C174+ajustes!B14</f>
        <v>0</v>
      </c>
      <c r="D24" s="219" t="str">
        <f t="shared" si="94"/>
        <v>N.D.</v>
      </c>
      <c r="E24" s="34">
        <f>BDER!$C152/1000+ajustes!C14</f>
        <v>0</v>
      </c>
      <c r="F24" s="219" t="str">
        <f t="shared" si="94"/>
        <v>N.D.</v>
      </c>
      <c r="G24" s="197">
        <f>BDER!$C218/1000+ajustes!D14</f>
        <v>0</v>
      </c>
      <c r="H24" s="219" t="str">
        <f t="shared" ref="H24" si="206">IF(G$5=0,"N.D.",G24/G$5)</f>
        <v>N.D.</v>
      </c>
      <c r="I24" s="197">
        <f>BDER!$C196/1000+ajustes!E14</f>
        <v>0</v>
      </c>
      <c r="J24" s="219" t="str">
        <f t="shared" ref="J24:L24" si="207">IF(I$5=0,"N.D.",I24/I$5)</f>
        <v>N.D.</v>
      </c>
      <c r="K24" s="34">
        <f>SUM(C24,E24,G24,I24)</f>
        <v>0</v>
      </c>
      <c r="L24" s="219" t="str">
        <f t="shared" si="207"/>
        <v>N.D.</v>
      </c>
      <c r="N24" s="7" t="s">
        <v>43</v>
      </c>
      <c r="O24" s="196">
        <f>BDER!$C20/1000+ajustes!F14</f>
        <v>0</v>
      </c>
      <c r="P24" s="219">
        <f t="shared" ref="P24:R24" si="208">IF(O$5=0,"N.D.",O24/O$5)</f>
        <v>0</v>
      </c>
      <c r="Q24" s="34">
        <f>BDER!$C42/1000+ajustes!G14</f>
        <v>0</v>
      </c>
      <c r="R24" s="219">
        <f t="shared" si="208"/>
        <v>0</v>
      </c>
      <c r="S24" s="197">
        <f>BDER!$C64/1000+ajustes!H14</f>
        <v>0</v>
      </c>
      <c r="T24" s="219">
        <f t="shared" ref="T24:V24" si="209">IF(S$5=0,"N.D.",S24/S$5)</f>
        <v>0</v>
      </c>
      <c r="U24" s="34">
        <f>BDER!$C86/1000+ajustes!I14</f>
        <v>0</v>
      </c>
      <c r="V24" s="219">
        <f t="shared" si="209"/>
        <v>0</v>
      </c>
      <c r="W24" s="197">
        <f>BDER!$C108/1000+ajustes!J14</f>
        <v>0</v>
      </c>
      <c r="X24" s="219">
        <f t="shared" ref="X24:Z24" si="210">IF(W$5=0,"N.D.",W24/W$5)</f>
        <v>0</v>
      </c>
      <c r="Y24" s="34">
        <f>BDER!$C130/1000+ajustes!K14</f>
        <v>0</v>
      </c>
      <c r="Z24" s="219">
        <f t="shared" si="210"/>
        <v>0</v>
      </c>
      <c r="AA24" s="207">
        <f>SUM(O24,Q24,S24,U24,W24,Y24)</f>
        <v>0</v>
      </c>
      <c r="AB24" s="219">
        <f t="shared" ref="AB24" si="211">IF(AA$5=0,"N.D.",AA24/AA$5)</f>
        <v>0</v>
      </c>
      <c r="AC24" s="276"/>
      <c r="AE24" s="7" t="s">
        <v>43</v>
      </c>
      <c r="AF24" s="11">
        <f>BDER!$C306/1000+ajustes!L14</f>
        <v>0</v>
      </c>
      <c r="AG24" s="219">
        <f t="shared" ref="AG24:AI24" si="212">IF(AF$5=0,"N.D.",AF24/AF$5)</f>
        <v>0</v>
      </c>
      <c r="AH24" s="11">
        <f>BDER!$C328/1000+ajustes!M14</f>
        <v>0</v>
      </c>
      <c r="AI24" s="219">
        <f t="shared" si="212"/>
        <v>0</v>
      </c>
      <c r="AJ24" s="11">
        <f>BDER!$C372/1000+ajustes!N14</f>
        <v>0</v>
      </c>
      <c r="AK24" s="219">
        <f t="shared" ref="AK24:AM24" si="213">IF(AJ$5=0,"N.D.",AJ24/AJ$5)</f>
        <v>0</v>
      </c>
      <c r="AL24" s="11">
        <f>BDER!$C350/2000+ajustes!O14</f>
        <v>0</v>
      </c>
      <c r="AM24" s="219">
        <f t="shared" si="213"/>
        <v>0</v>
      </c>
      <c r="AN24" s="11">
        <f>ajustes!P14</f>
        <v>0</v>
      </c>
      <c r="AO24" s="219" t="str">
        <f t="shared" ref="AO24:AQ24" si="214">IF(AN$5=0,"N.D.",AN24/AN$5)</f>
        <v>N.D.</v>
      </c>
      <c r="AP24" s="11">
        <f>BDER!$C416/1000+ajustes!Q14</f>
        <v>0</v>
      </c>
      <c r="AQ24" s="219">
        <f t="shared" si="214"/>
        <v>0</v>
      </c>
      <c r="AR24" s="11">
        <f>BDER!$C394/1000+ajustes!R14</f>
        <v>0</v>
      </c>
      <c r="AS24" s="219">
        <f t="shared" ref="AS24:AU24" si="215">IF(AR$5=0,"N.D.",AR24/AR$5)</f>
        <v>0</v>
      </c>
      <c r="AT24" s="11">
        <f>SUM(AF24,AH24,AJ24,AL24,AN24,AP24,AR24)</f>
        <v>0</v>
      </c>
      <c r="AU24" s="219">
        <f t="shared" si="215"/>
        <v>0</v>
      </c>
      <c r="AX24" s="7" t="s">
        <v>43</v>
      </c>
      <c r="AY24" s="34">
        <f>BDER!$C460/1000+ajustes!S14</f>
        <v>0</v>
      </c>
      <c r="AZ24" s="219">
        <f>IF(AY$5=0,"N.D.",AY24/AY$5)</f>
        <v>0</v>
      </c>
      <c r="BA24" s="207">
        <f>BDER!$C438/1000+ajustes!T14</f>
        <v>0</v>
      </c>
      <c r="BB24" s="219">
        <f>IF(BA$5=0,"N.D.",BA24/BA$5)</f>
        <v>0</v>
      </c>
      <c r="BC24" s="206">
        <f>SUM(AY24,BA24)</f>
        <v>0</v>
      </c>
      <c r="BD24" s="219">
        <f>IF(BC$5=0,"N.D.",BC24/BC$5)</f>
        <v>0</v>
      </c>
      <c r="BE24" s="187"/>
      <c r="BG24" s="4" t="s">
        <v>177</v>
      </c>
      <c r="BH24" s="14">
        <f>BH13+BH11</f>
        <v>15.543629999999954</v>
      </c>
      <c r="BI24" s="22">
        <f>IF(BH$5=0,"N.D.",BH24/BH$5)</f>
        <v>5.0065969217972323E-2</v>
      </c>
      <c r="BJ24" s="14">
        <f>BJ13+BJ11</f>
        <v>25.044619999999952</v>
      </c>
      <c r="BK24" s="22">
        <f>IF(BJ$5=0,"N.D.",BJ24/BJ$5)</f>
        <v>4.1373940973350155E-2</v>
      </c>
      <c r="BL24" s="14">
        <f>BL13+BL11</f>
        <v>37.195340000000009</v>
      </c>
      <c r="BM24" s="22">
        <f>IF(BL$5=0,"N.D.",BL24/BL$5)</f>
        <v>0.13527848892745054</v>
      </c>
      <c r="BN24" s="14">
        <f>BN13+BN11</f>
        <v>29.927750000000053</v>
      </c>
      <c r="BO24" s="22">
        <f>IF(BN$5=0,"N.D.",BN24/BN$5)</f>
        <v>7.7656420299736489E-2</v>
      </c>
      <c r="BP24" s="20">
        <f>BP13+BP11</f>
        <v>107.71133999999989</v>
      </c>
      <c r="BQ24" s="22">
        <f>IF(BP$5=0,"N.D.",BP24/BP$5)</f>
        <v>6.8339250548859559E-2</v>
      </c>
      <c r="BU24" s="4" t="s">
        <v>177</v>
      </c>
      <c r="BV24" s="14">
        <f>BV13+BV11</f>
        <v>33.622590000000002</v>
      </c>
      <c r="BW24" s="22">
        <f t="shared" ref="BW24:BY24" si="216">IF(BV$5=0,"N.D.",BV24/BV$5)</f>
        <v>0.75841186983298414</v>
      </c>
      <c r="BX24" s="14">
        <f>BX13+BX11</f>
        <v>20.483909999999998</v>
      </c>
      <c r="BY24" s="22">
        <f t="shared" si="216"/>
        <v>0.6861226364187214</v>
      </c>
      <c r="BZ24" s="14">
        <f>BZ13+BZ11</f>
        <v>18.457859999999997</v>
      </c>
      <c r="CA24" s="22">
        <f t="shared" ref="CA24:CC24" si="217">IF(BZ$5=0,"N.D.",BZ24/BZ$5)</f>
        <v>0.9236189645061017</v>
      </c>
      <c r="CB24" s="14">
        <f>CB13+CB11</f>
        <v>3.7277999999999998</v>
      </c>
      <c r="CC24" s="22">
        <f t="shared" si="217"/>
        <v>0.99593908629441619</v>
      </c>
      <c r="CD24" s="14">
        <f>CD13+CD11</f>
        <v>5.1596099999999998</v>
      </c>
      <c r="CE24" s="22">
        <f t="shared" ref="CE24:CG24" si="218">IF(CD$5=0,"N.D.",CD24/CD$5)</f>
        <v>0.99548716959289985</v>
      </c>
      <c r="CF24" s="20">
        <f>CF13+CF11</f>
        <v>81.451769999999996</v>
      </c>
      <c r="CG24" s="22">
        <f t="shared" si="218"/>
        <v>0.79004403199448758</v>
      </c>
    </row>
    <row r="25" spans="1:85" x14ac:dyDescent="0.35">
      <c r="B25" s="4" t="s">
        <v>21</v>
      </c>
      <c r="C25" s="212">
        <f>C21-C23</f>
        <v>-53.631160000000001</v>
      </c>
      <c r="D25" s="22" t="str">
        <f t="shared" si="94"/>
        <v>N.D.</v>
      </c>
      <c r="E25" s="200">
        <f>E21-E23</f>
        <v>-20.7791</v>
      </c>
      <c r="F25" s="22" t="str">
        <f t="shared" si="94"/>
        <v>N.D.</v>
      </c>
      <c r="G25" s="200">
        <f>G21-G23</f>
        <v>-1.2529999999999999</v>
      </c>
      <c r="H25" s="22" t="str">
        <f t="shared" ref="H25" si="219">IF(G$5=0,"N.D.",G25/G$5)</f>
        <v>N.D.</v>
      </c>
      <c r="I25" s="200">
        <f>I21-I23</f>
        <v>-0.97499999999999998</v>
      </c>
      <c r="J25" s="22" t="str">
        <f t="shared" ref="J25:L25" si="220">IF(I$5=0,"N.D.",I25/I$5)</f>
        <v>N.D.</v>
      </c>
      <c r="K25" s="210">
        <f>K21-K23</f>
        <v>-76.638259999999988</v>
      </c>
      <c r="L25" s="22" t="str">
        <f t="shared" si="220"/>
        <v>N.D.</v>
      </c>
      <c r="N25" s="4" t="s">
        <v>21</v>
      </c>
      <c r="O25" s="216">
        <f>O21-O23</f>
        <v>2471.3088800000041</v>
      </c>
      <c r="P25" s="22">
        <f t="shared" ref="P25:R25" si="221">IF(O$5=0,"N.D.",O25/O$5)</f>
        <v>8.3716098607130029E-2</v>
      </c>
      <c r="Q25" s="208">
        <f>Q21-Q23</f>
        <v>1129.3173400000003</v>
      </c>
      <c r="R25" s="22">
        <f t="shared" si="221"/>
        <v>0.18023898534066848</v>
      </c>
      <c r="S25" s="202">
        <f>S21-S23</f>
        <v>285.64608000000192</v>
      </c>
      <c r="T25" s="22">
        <f t="shared" ref="T25:V25" si="222">IF(S$5=0,"N.D.",S25/S$5)</f>
        <v>1.0249220115949011E-2</v>
      </c>
      <c r="U25" s="208">
        <f>U21-U23</f>
        <v>171.07650999999964</v>
      </c>
      <c r="V25" s="22">
        <f t="shared" si="222"/>
        <v>4.9526306876896846E-2</v>
      </c>
      <c r="W25" s="202">
        <f>W21-W23</f>
        <v>-44.401290000000017</v>
      </c>
      <c r="X25" s="22">
        <f t="shared" ref="X25:Z25" si="223">IF(W$5=0,"N.D.",W25/W$5)</f>
        <v>-0.13625477798481361</v>
      </c>
      <c r="Y25" s="208">
        <f>Y21-Y23</f>
        <v>16.773290000000006</v>
      </c>
      <c r="Z25" s="22">
        <f t="shared" si="223"/>
        <v>6.3520752859198684E-2</v>
      </c>
      <c r="AA25" s="213">
        <f>AA21-AA23</f>
        <v>4029.7208100000066</v>
      </c>
      <c r="AB25" s="22">
        <f t="shared" ref="AB25" si="224">IF(AA$5=0,"N.D.",AA25/AA$5)</f>
        <v>7.5614806519335567E-2</v>
      </c>
      <c r="AC25" s="276"/>
      <c r="AE25" s="4" t="s">
        <v>21</v>
      </c>
      <c r="AF25" s="14">
        <f>AF21-AF23</f>
        <v>1068.7464600000012</v>
      </c>
      <c r="AG25" s="22">
        <f t="shared" ref="AG25:AI25" si="225">IF(AF$5=0,"N.D.",AF25/AF$5)</f>
        <v>2.032936814936688E-2</v>
      </c>
      <c r="AH25" s="14">
        <f>AH21-AH23</f>
        <v>2539.0572900000006</v>
      </c>
      <c r="AI25" s="22">
        <f t="shared" si="225"/>
        <v>7.3430695389436237E-2</v>
      </c>
      <c r="AJ25" s="14">
        <f>AJ21-AJ23</f>
        <v>-1852.3872700000006</v>
      </c>
      <c r="AK25" s="22">
        <f t="shared" ref="AK25:AM25" si="226">IF(AJ$5=0,"N.D.",AJ25/AJ$5)</f>
        <v>-0.26254394783660956</v>
      </c>
      <c r="AL25" s="14">
        <f>AL21-AL23</f>
        <v>1193.2771650000009</v>
      </c>
      <c r="AM25" s="22">
        <f t="shared" si="226"/>
        <v>0.12755516938132486</v>
      </c>
      <c r="AN25" s="14">
        <f>AN21-AN23</f>
        <v>0</v>
      </c>
      <c r="AO25" s="22" t="str">
        <f t="shared" ref="AO25:AQ25" si="227">IF(AN$5=0,"N.D.",AN25/AN$5)</f>
        <v>N.D.</v>
      </c>
      <c r="AP25" s="14">
        <f>AP21-AP23</f>
        <v>358.39666999999986</v>
      </c>
      <c r="AQ25" s="22">
        <f t="shared" si="227"/>
        <v>7.0383544648830065E-2</v>
      </c>
      <c r="AR25" s="14">
        <f>AR21-AR23</f>
        <v>2599.6346300000023</v>
      </c>
      <c r="AS25" s="22">
        <f t="shared" ref="AS25:AU25" si="228">IF(AR$5=0,"N.D.",AR25/AR$5)</f>
        <v>4.0706073408382171E-2</v>
      </c>
      <c r="AT25" s="14">
        <f>AT21-AT23</f>
        <v>5906.7249450000154</v>
      </c>
      <c r="AU25" s="22">
        <f t="shared" si="228"/>
        <v>3.4238850094640408E-2</v>
      </c>
      <c r="AX25" s="4" t="s">
        <v>21</v>
      </c>
      <c r="AY25" s="208">
        <f>AY21-AY23</f>
        <v>2437.6393800000001</v>
      </c>
      <c r="AZ25" s="22">
        <f>IF(AY$5=0,"N.D.",AY25/AY$5)</f>
        <v>0.38935115907565032</v>
      </c>
      <c r="BA25" s="208">
        <f>BA21-BA23</f>
        <v>100.06243000000012</v>
      </c>
      <c r="BB25" s="22">
        <f>IF(BA$5=0,"N.D.",BA25/BA$5)</f>
        <v>8.7304123219684004E-2</v>
      </c>
      <c r="BC25" s="14">
        <f>BC21-BC23</f>
        <v>2537.7018100000009</v>
      </c>
      <c r="BD25" s="22">
        <f>IF(BC$5=0,"N.D.",BC25/BC$5)</f>
        <v>0.34261276189761503</v>
      </c>
      <c r="BE25" s="221"/>
    </row>
    <row r="26" spans="1:85" x14ac:dyDescent="0.35">
      <c r="B26" s="4" t="s">
        <v>22</v>
      </c>
      <c r="C26" s="215">
        <f>C13+C11</f>
        <v>-53.631160000000001</v>
      </c>
      <c r="D26" s="22" t="str">
        <f t="shared" si="94"/>
        <v>N.D.</v>
      </c>
      <c r="E26" s="14">
        <f>E13+E11</f>
        <v>-20.7791</v>
      </c>
      <c r="F26" s="22" t="str">
        <f t="shared" si="94"/>
        <v>N.D.</v>
      </c>
      <c r="G26" s="14">
        <f>G13+G11</f>
        <v>-1.2529999999999999</v>
      </c>
      <c r="H26" s="22" t="str">
        <f t="shared" ref="H26" si="229">IF(G$5=0,"N.D.",G26/G$5)</f>
        <v>N.D.</v>
      </c>
      <c r="I26" s="14">
        <f>I13+I11</f>
        <v>-0.97499999999999998</v>
      </c>
      <c r="J26" s="22" t="str">
        <f t="shared" ref="J26:L26" si="230">IF(I$5=0,"N.D.",I26/I$5)</f>
        <v>N.D.</v>
      </c>
      <c r="K26" s="214">
        <f>K13+K11</f>
        <v>-76.638259999999988</v>
      </c>
      <c r="L26" s="22" t="str">
        <f t="shared" si="230"/>
        <v>N.D.</v>
      </c>
      <c r="N26" s="4" t="s">
        <v>22</v>
      </c>
      <c r="O26" s="215">
        <f>O13+O11</f>
        <v>4335.5584700000036</v>
      </c>
      <c r="P26" s="22">
        <f t="shared" ref="P26:R26" si="231">IF(O$5=0,"N.D.",O26/O$5)</f>
        <v>0.14686793841468229</v>
      </c>
      <c r="Q26" s="14">
        <f>Q13+Q11</f>
        <v>1463.4001700000003</v>
      </c>
      <c r="R26" s="22">
        <f t="shared" si="231"/>
        <v>0.23355858663089488</v>
      </c>
      <c r="S26" s="31">
        <f>S13+S11</f>
        <v>1122.5826300000019</v>
      </c>
      <c r="T26" s="22">
        <f t="shared" ref="T26:V26" si="232">IF(S$5=0,"N.D.",S26/S$5)</f>
        <v>4.0279203107603953E-2</v>
      </c>
      <c r="U26" s="14">
        <f>U13+U11</f>
        <v>292.8176799999996</v>
      </c>
      <c r="V26" s="22">
        <f t="shared" si="232"/>
        <v>8.4770131671852503E-2</v>
      </c>
      <c r="W26" s="31">
        <f>W13+W11</f>
        <v>-39.654340000000019</v>
      </c>
      <c r="X26" s="22">
        <f t="shared" ref="X26:Z26" si="233">IF(W$5=0,"N.D.",W26/W$5)</f>
        <v>-0.1216877548565439</v>
      </c>
      <c r="Y26" s="14">
        <f>Y13+Y11</f>
        <v>95.825450000000018</v>
      </c>
      <c r="Z26" s="22">
        <f t="shared" si="233"/>
        <v>0.36289271377717192</v>
      </c>
      <c r="AA26" s="214">
        <f>AA13+AA11</f>
        <v>7270.5300600000073</v>
      </c>
      <c r="AB26" s="22">
        <f t="shared" ref="AB26" si="234">IF(AA$5=0,"N.D.",AA26/AA$5)</f>
        <v>0.13642625623483651</v>
      </c>
      <c r="AC26" s="276"/>
      <c r="AE26" s="4" t="s">
        <v>22</v>
      </c>
      <c r="AF26" s="20">
        <f>AF13+AF11</f>
        <v>2177.0299600000017</v>
      </c>
      <c r="AG26" s="22">
        <f t="shared" ref="AG26:AI26" si="235">IF(AF$5=0,"N.D.",AF26/AF$5)</f>
        <v>4.141079777615491E-2</v>
      </c>
      <c r="AH26" s="20">
        <f>AH13+AH11</f>
        <v>3438.2741800000008</v>
      </c>
      <c r="AI26" s="22">
        <f t="shared" si="235"/>
        <v>9.9436458157643098E-2</v>
      </c>
      <c r="AJ26" s="20">
        <f>AJ13+AJ11</f>
        <v>-1751.3618600000009</v>
      </c>
      <c r="AK26" s="22">
        <f t="shared" ref="AK26:AM26" si="236">IF(AJ$5=0,"N.D.",AJ26/AJ$5)</f>
        <v>-0.24822533833050342</v>
      </c>
      <c r="AL26" s="20">
        <f>AL13+AL11</f>
        <v>1776.4524300000007</v>
      </c>
      <c r="AM26" s="22">
        <f t="shared" si="236"/>
        <v>0.18989359492730767</v>
      </c>
      <c r="AN26" s="20">
        <f>AN13+AN11</f>
        <v>0</v>
      </c>
      <c r="AO26" s="22" t="str">
        <f t="shared" ref="AO26:AQ26" si="237">IF(AN$5=0,"N.D.",AN26/AN$5)</f>
        <v>N.D.</v>
      </c>
      <c r="AP26" s="20">
        <f>AP13+AP11</f>
        <v>735.04750999999987</v>
      </c>
      <c r="AQ26" s="22">
        <f t="shared" si="237"/>
        <v>0.14435192503071073</v>
      </c>
      <c r="AR26" s="20">
        <f>AR13+AR11</f>
        <v>5008.8709500000023</v>
      </c>
      <c r="AS26" s="22">
        <f t="shared" ref="AS26:AU26" si="238">IF(AR$5=0,"N.D.",AR26/AR$5)</f>
        <v>7.8430817250581417E-2</v>
      </c>
      <c r="AT26" s="20">
        <f>AT13+AT11</f>
        <v>11384.313170000016</v>
      </c>
      <c r="AU26" s="22">
        <f t="shared" si="238"/>
        <v>6.5990171488858801E-2</v>
      </c>
      <c r="AX26" s="4" t="s">
        <v>22</v>
      </c>
      <c r="AY26" s="14">
        <f>AY13+AY11</f>
        <v>2741.1210299999998</v>
      </c>
      <c r="AZ26" s="22">
        <f>IF(AY$5=0,"N.D.",AY26/AY$5)</f>
        <v>0.43782466715693619</v>
      </c>
      <c r="BA26" s="14">
        <f>BA13+BA11</f>
        <v>159.80470000000014</v>
      </c>
      <c r="BB26" s="22">
        <f>IF(BA$5=0,"N.D.",BA26/BA$5)</f>
        <v>0.13942904664502584</v>
      </c>
      <c r="BC26" s="20">
        <f>BC13+BC11</f>
        <v>2900.9257300000004</v>
      </c>
      <c r="BD26" s="22">
        <f>IF(BC$5=0,"N.D.",BC26/BC$5)</f>
        <v>0.39165128562333129</v>
      </c>
      <c r="BE26" s="221"/>
    </row>
    <row r="29" spans="1:85" x14ac:dyDescent="0.35">
      <c r="A29" t="s">
        <v>191</v>
      </c>
      <c r="B29" t="s">
        <v>135</v>
      </c>
      <c r="AE29" t="s">
        <v>150</v>
      </c>
    </row>
    <row r="30" spans="1:85" x14ac:dyDescent="0.35">
      <c r="B30" s="26"/>
      <c r="C30" s="2" t="s">
        <v>136</v>
      </c>
      <c r="D30" s="2"/>
      <c r="E30" s="2" t="s">
        <v>137</v>
      </c>
      <c r="F30" s="2"/>
      <c r="G30" s="2" t="s">
        <v>138</v>
      </c>
      <c r="H30" s="2"/>
      <c r="I30" s="2" t="s">
        <v>139</v>
      </c>
      <c r="J30" s="2"/>
      <c r="K30" s="2" t="s">
        <v>140</v>
      </c>
      <c r="L30" s="2"/>
      <c r="N30" t="s">
        <v>142</v>
      </c>
      <c r="P30" s="2"/>
      <c r="R30" s="2"/>
      <c r="T30" s="2"/>
      <c r="V30" s="2"/>
      <c r="X30" s="2"/>
      <c r="Z30" s="2"/>
      <c r="AB30" s="2"/>
      <c r="AC30" s="278"/>
      <c r="AE30" s="26"/>
      <c r="AF30" s="2" t="s">
        <v>152</v>
      </c>
      <c r="AG30" s="2"/>
      <c r="AH30" s="2" t="s">
        <v>153</v>
      </c>
      <c r="AI30" s="2"/>
      <c r="AJ30" s="2" t="s">
        <v>154</v>
      </c>
      <c r="AK30" s="2"/>
      <c r="AL30" s="2" t="s">
        <v>155</v>
      </c>
      <c r="AM30" s="2"/>
      <c r="AN30" s="2" t="s">
        <v>156</v>
      </c>
      <c r="AO30" s="2"/>
      <c r="AP30" s="2" t="s">
        <v>157</v>
      </c>
      <c r="AQ30" s="2"/>
      <c r="AR30" s="2" t="s">
        <v>158</v>
      </c>
      <c r="AS30" s="2"/>
      <c r="AT30" s="2" t="s">
        <v>140</v>
      </c>
      <c r="AU30" s="2"/>
      <c r="AX30" t="s">
        <v>159</v>
      </c>
      <c r="AZ30" s="2"/>
      <c r="BB30" s="2"/>
      <c r="BD30" s="2"/>
      <c r="BE30" s="2"/>
      <c r="BG30" t="s">
        <v>184</v>
      </c>
      <c r="BI30" s="2"/>
      <c r="BK30" s="2"/>
      <c r="BM30" s="2"/>
      <c r="BO30" s="2"/>
      <c r="BQ30" s="2"/>
      <c r="BS30" s="2"/>
      <c r="BU30" t="s">
        <v>185</v>
      </c>
      <c r="BW30" s="2"/>
      <c r="BY30" s="2"/>
      <c r="CA30" s="2"/>
      <c r="CC30" s="2"/>
      <c r="CE30" s="2"/>
      <c r="CG30" s="2"/>
    </row>
    <row r="31" spans="1:85" x14ac:dyDescent="0.35">
      <c r="B31" s="7" t="s">
        <v>141</v>
      </c>
      <c r="C31" s="8">
        <f>ajustes!B17</f>
        <v>0</v>
      </c>
      <c r="D31" s="203"/>
      <c r="E31" s="8">
        <f>+ajustes!C17</f>
        <v>0</v>
      </c>
      <c r="F31" s="203"/>
      <c r="G31" s="8">
        <f>+ajustes!D17</f>
        <v>0</v>
      </c>
      <c r="H31" s="203"/>
      <c r="I31" s="8">
        <f>+ajustes!E17</f>
        <v>0</v>
      </c>
      <c r="J31" s="203"/>
      <c r="K31" s="8">
        <f>SUM(C31,E31,G31,I31)</f>
        <v>0</v>
      </c>
      <c r="L31" s="203"/>
      <c r="N31" s="26"/>
      <c r="O31" s="2" t="s">
        <v>144</v>
      </c>
      <c r="P31" s="30"/>
      <c r="Q31" s="2" t="s">
        <v>145</v>
      </c>
      <c r="R31" s="30"/>
      <c r="S31" s="2" t="s">
        <v>146</v>
      </c>
      <c r="T31" s="30"/>
      <c r="U31" s="2" t="s">
        <v>147</v>
      </c>
      <c r="V31" s="30"/>
      <c r="W31" s="2" t="s">
        <v>148</v>
      </c>
      <c r="X31" s="30"/>
      <c r="Y31" s="2" t="s">
        <v>149</v>
      </c>
      <c r="Z31" s="30"/>
      <c r="AA31" s="2" t="s">
        <v>140</v>
      </c>
      <c r="AB31" s="30"/>
      <c r="AC31" s="275"/>
      <c r="AE31" s="7" t="s">
        <v>151</v>
      </c>
      <c r="AF31" s="203">
        <f>+ajustes!L17</f>
        <v>0</v>
      </c>
      <c r="AG31" s="203"/>
      <c r="AH31" s="203">
        <f>+ajustes!M17</f>
        <v>0</v>
      </c>
      <c r="AI31" s="203"/>
      <c r="AJ31" s="203">
        <f>+ajustes!N17</f>
        <v>0</v>
      </c>
      <c r="AK31" s="203"/>
      <c r="AL31" s="203">
        <f>+ajustes!O17</f>
        <v>0</v>
      </c>
      <c r="AM31" s="203"/>
      <c r="AN31" s="203">
        <f>ajustes!P17</f>
        <v>0</v>
      </c>
      <c r="AO31" s="203"/>
      <c r="AP31" s="203">
        <f>+ajustes!Q17</f>
        <v>0</v>
      </c>
      <c r="AQ31" s="203"/>
      <c r="AR31" s="203">
        <f>+ajustes!R17</f>
        <v>0</v>
      </c>
      <c r="AS31" s="203"/>
      <c r="AT31" s="203">
        <f>SUM(AF31,AH31,AJ31,AL31,AN31,AP31,AR31)</f>
        <v>0</v>
      </c>
      <c r="AU31" s="203"/>
      <c r="AX31" s="26"/>
      <c r="AY31" s="2" t="s">
        <v>160</v>
      </c>
      <c r="AZ31" s="30"/>
      <c r="BA31" s="2" t="s">
        <v>161</v>
      </c>
      <c r="BB31" s="30"/>
      <c r="BC31" s="2" t="s">
        <v>140</v>
      </c>
      <c r="BD31" s="30"/>
      <c r="BE31" s="30"/>
      <c r="BG31" s="26"/>
      <c r="BH31" s="2" t="s">
        <v>179</v>
      </c>
      <c r="BI31" s="30"/>
      <c r="BJ31" s="2" t="s">
        <v>180</v>
      </c>
      <c r="BK31" s="30"/>
      <c r="BL31" s="2" t="s">
        <v>181</v>
      </c>
      <c r="BM31" s="30"/>
      <c r="BN31" s="2" t="s">
        <v>182</v>
      </c>
      <c r="BO31" s="30"/>
      <c r="BP31" s="2" t="s">
        <v>183</v>
      </c>
      <c r="BQ31" s="30"/>
      <c r="BR31" s="2" t="s">
        <v>140</v>
      </c>
      <c r="BS31" s="30"/>
      <c r="BU31" s="26"/>
      <c r="BV31" s="2" t="s">
        <v>186</v>
      </c>
      <c r="BW31" s="30"/>
      <c r="BX31" s="2" t="s">
        <v>187</v>
      </c>
      <c r="BY31" s="30"/>
      <c r="BZ31" s="2" t="s">
        <v>188</v>
      </c>
      <c r="CA31" s="30"/>
      <c r="CB31" s="2" t="s">
        <v>189</v>
      </c>
      <c r="CC31" s="30"/>
      <c r="CD31" s="2" t="s">
        <v>190</v>
      </c>
      <c r="CE31" s="30"/>
      <c r="CF31" s="2" t="s">
        <v>140</v>
      </c>
      <c r="CG31" s="30"/>
    </row>
    <row r="32" spans="1:85" x14ac:dyDescent="0.35">
      <c r="B32" s="7" t="s">
        <v>5</v>
      </c>
      <c r="C32" s="194">
        <f>BDER!$D158/1000+BDER!D169/1000+ajustes!B18</f>
        <v>0</v>
      </c>
      <c r="D32" s="219" t="str">
        <f>IF(C$32=0,"N.D.",C32/C$32)</f>
        <v>N.D.</v>
      </c>
      <c r="E32" s="8">
        <f>BDER!$D136/1000+ajustes!C18</f>
        <v>0</v>
      </c>
      <c r="F32" s="219" t="str">
        <f>IF(E$32=0,"N.D.",E32/E$32)</f>
        <v>N.D.</v>
      </c>
      <c r="G32" s="195">
        <f>BDER!$D202/1000+ajustes!D18</f>
        <v>0</v>
      </c>
      <c r="H32" s="219" t="str">
        <f>IF(G$32=0,"N.D.",G32/G$32)</f>
        <v>N.D.</v>
      </c>
      <c r="I32" s="8">
        <f>BDER!$D180/1000+ajustes!E18</f>
        <v>0</v>
      </c>
      <c r="J32" s="219" t="str">
        <f>IF(I$32=0,"N.D.",I32/I$32)</f>
        <v>N.D.</v>
      </c>
      <c r="K32" s="204">
        <f>SUM(C32,E32,G32,I32)</f>
        <v>0</v>
      </c>
      <c r="L32" s="219" t="str">
        <f>IF(K$32=0,"N.D.",K32/K$32)</f>
        <v>N.D.</v>
      </c>
      <c r="N32" s="7" t="s">
        <v>5</v>
      </c>
      <c r="O32" s="194">
        <f>BDER!$D4/1000+ajustes!F18</f>
        <v>29520.115260000002</v>
      </c>
      <c r="P32" s="220">
        <f>IF(O$32=0,"N.D.",O32/O$32)</f>
        <v>1</v>
      </c>
      <c r="Q32" s="8">
        <f>BDER!$D26/1000+ajustes!G18</f>
        <v>6265.6663200000003</v>
      </c>
      <c r="R32" s="220">
        <f>IF(Q$32=0,"N.D.",Q32/Q$32)</f>
        <v>1</v>
      </c>
      <c r="S32" s="195">
        <f>BDER!$D48/1000+ajustes!H18</f>
        <v>27870.030770000001</v>
      </c>
      <c r="T32" s="220">
        <f>IF(S$32=0,"N.D.",S32/S$32)</f>
        <v>1</v>
      </c>
      <c r="U32" s="8">
        <f>BDER!$D70/1000+ajustes!I18</f>
        <v>3454.2553399999997</v>
      </c>
      <c r="V32" s="220">
        <f>IF(U$32=0,"N.D.",U32/U$32)</f>
        <v>1</v>
      </c>
      <c r="W32" s="195">
        <f>BDER!$D92/1000+ajustes!J18</f>
        <v>325.86959999999999</v>
      </c>
      <c r="X32" s="220">
        <f>IF(W$32=0,"N.D.",W32/W$32)</f>
        <v>1</v>
      </c>
      <c r="Y32" s="194">
        <f>BDER!$D114/1000+ajustes!K18</f>
        <v>264.06</v>
      </c>
      <c r="Z32" s="220">
        <f>IF(Y$32=0,"N.D.",Y32/Y$32)</f>
        <v>1</v>
      </c>
      <c r="AA32" s="8">
        <f>SUM(O32,Q32,S32,U32,W32,Y32)-AC32</f>
        <v>53292.74775000001</v>
      </c>
      <c r="AB32" s="220">
        <f>IF(AA$32=0,"N.D.",AA32/AA$32)</f>
        <v>1</v>
      </c>
      <c r="AC32" s="276">
        <f>(ELIM!D2+ELIM!D4+ELIM!D6+ELIM!D8+ELIM!D10)/1000</f>
        <v>14407.249540000001</v>
      </c>
      <c r="AE32" s="7" t="s">
        <v>5</v>
      </c>
      <c r="AF32" s="11">
        <f>BDER!$D288/1000+ajustes!L18+ajustes!L30</f>
        <v>52571.553240000001</v>
      </c>
      <c r="AG32" s="219">
        <f>IF(AF$32=0,"N.D.",AF32/AF$32)</f>
        <v>1</v>
      </c>
      <c r="AH32" s="11">
        <f>BDER!$D310/1000+ajustes!M18+ajustes!M30</f>
        <v>34577.601049999997</v>
      </c>
      <c r="AI32" s="219">
        <f>IF(AH$32=0,"N.D.",AH32/AH$32)</f>
        <v>1</v>
      </c>
      <c r="AJ32" s="11">
        <f>BDER!$D354/1000+ajustes!N18+ajustes!N30</f>
        <v>7055.5321699999995</v>
      </c>
      <c r="AK32" s="219">
        <f>IF(AJ$32=0,"N.D.",AJ32/AJ$32)</f>
        <v>1</v>
      </c>
      <c r="AL32" s="11">
        <f>BDER!$D332/2000+ajustes!O18+ajustes!O30</f>
        <v>9354.9886750000005</v>
      </c>
      <c r="AM32" s="219">
        <f>IF(AL$32=0,"N.D.",AL32/AL$32)</f>
        <v>1</v>
      </c>
      <c r="AN32" s="11">
        <f>ajustes!P18</f>
        <v>0</v>
      </c>
      <c r="AO32" s="219" t="str">
        <f>IF(AN$32=0,"N.D.",AN32/AN$32)</f>
        <v>N.D.</v>
      </c>
      <c r="AP32" s="11">
        <f>BDER!$D400/1000+ajustes!Q18+ajustes!Q30</f>
        <v>5092.0520099999994</v>
      </c>
      <c r="AQ32" s="219">
        <f>IF(AP$32=0,"N.D.",AP32/AP$32)</f>
        <v>1</v>
      </c>
      <c r="AR32" s="11">
        <f>BDER!$D376/1000+ajustes!R18</f>
        <v>63863.556770000003</v>
      </c>
      <c r="AS32" s="219">
        <f>IF(AR$32=0,"N.D.",AR32/AR$32)</f>
        <v>1</v>
      </c>
      <c r="AT32" s="11">
        <f>SUM(AF32,AH32,AJ32,AL32,AP32,AR32,AN32)</f>
        <v>172515.28391500001</v>
      </c>
      <c r="AU32" s="219">
        <f>IF(AT$32=0,"N.D.",AT32/AT$32)</f>
        <v>1</v>
      </c>
      <c r="AX32" s="7" t="s">
        <v>5</v>
      </c>
      <c r="AY32" s="8">
        <f>BDER!$D444/1000+ajustes!S18</f>
        <v>6260.7734</v>
      </c>
      <c r="AZ32" s="220">
        <f>IF(AY$32=0,"N.D.",AY32/AY$32)</f>
        <v>1</v>
      </c>
      <c r="BA32" s="195">
        <f>BDER!$D422/1000+ajustes!T18</f>
        <v>1146.1363600000002</v>
      </c>
      <c r="BB32" s="220">
        <f>IF(BA$32=0,"N.D.",BA32/BA$32)</f>
        <v>1</v>
      </c>
      <c r="BC32" s="8">
        <f>SUM(AY32,BA32)</f>
        <v>7406.9097600000005</v>
      </c>
      <c r="BD32" s="220">
        <f>IF(BC$32=0,"N.D.",BC32/BC$32)</f>
        <v>1</v>
      </c>
      <c r="BE32" s="187"/>
      <c r="BG32" s="7" t="s">
        <v>162</v>
      </c>
      <c r="BH32" s="194">
        <f>BDER!$D$668/1000+ajustes!U18</f>
        <v>0</v>
      </c>
      <c r="BI32" s="220" t="str">
        <f>IF(BH$32=0,"N.D.",BH32/BH$32)</f>
        <v>N.D.</v>
      </c>
      <c r="BJ32" s="194">
        <f>BDER!$D466/1000+ajustes!V18</f>
        <v>310.46297999999996</v>
      </c>
      <c r="BK32" s="220">
        <f>IF(BJ$32=0,"N.D.",BJ32/BJ$32)</f>
        <v>1</v>
      </c>
      <c r="BL32" s="8">
        <f>BDER!$D489/1000+ajustes!W18</f>
        <v>605.32353000000001</v>
      </c>
      <c r="BM32" s="220">
        <f>IF(BL$32=0,"N.D.",BL32/BL$32)</f>
        <v>1</v>
      </c>
      <c r="BN32" s="195">
        <f>BDER!$D556/1000+ajustes!X18</f>
        <v>274.95384000000001</v>
      </c>
      <c r="BO32" s="220">
        <f>IF(BN$32=0,"N.D.",BN32/BN$32)</f>
        <v>1</v>
      </c>
      <c r="BP32" s="8">
        <f>BDER!$D601/1000+ajustes!Y18</f>
        <v>385.38668000000001</v>
      </c>
      <c r="BQ32" s="220">
        <f>IF(BP$32=0,"N.D.",BP32/BP$32)</f>
        <v>1</v>
      </c>
      <c r="BR32" s="204">
        <f>SUM(BJ32,BL32,BN32,BP32)+BH32</f>
        <v>1576.1270300000001</v>
      </c>
      <c r="BS32" s="220">
        <f>IF(BR$32=0,"N.D.",BR32/BR$32)</f>
        <v>1</v>
      </c>
      <c r="BU32" s="7" t="s">
        <v>162</v>
      </c>
      <c r="BV32" s="194">
        <f>BDER!$D512/1000+ajustes!Z18</f>
        <v>44.332889999999999</v>
      </c>
      <c r="BW32" s="220">
        <f>IF(BV$32=0,"N.D.",BV32/BV$32)</f>
        <v>1</v>
      </c>
      <c r="BX32" s="8">
        <f>BDER!$D579/1000+ajustes!AA18</f>
        <v>29.854590000000002</v>
      </c>
      <c r="BY32" s="220">
        <f>IF(BX$32=0,"N.D.",BX32/BX$32)</f>
        <v>1</v>
      </c>
      <c r="BZ32" s="195">
        <f>BDER!$D624/1000+ajustes!AB18</f>
        <v>19.984279999999998</v>
      </c>
      <c r="CA32" s="220">
        <f>IF(BZ$32=0,"N.D.",BZ32/BZ$32)</f>
        <v>1</v>
      </c>
      <c r="CB32" s="8">
        <f>BDER!$D534/1000+ajustes!AC18</f>
        <v>3.7429999999999999</v>
      </c>
      <c r="CC32" s="220">
        <f>IF(CB$32=0,"N.D.",CB32/CB$32)</f>
        <v>1</v>
      </c>
      <c r="CD32" s="204">
        <f>BDER!$D646/1000+ajustes!AD18</f>
        <v>5.1829999999999998</v>
      </c>
      <c r="CE32" s="220">
        <f>IF(CD$32=0,"N.D.",CD32/CD$32)</f>
        <v>1</v>
      </c>
      <c r="CF32" s="204">
        <f>SUM(BV32,BX32,BZ32,CB32,CD32)</f>
        <v>103.09775999999999</v>
      </c>
      <c r="CG32" s="220">
        <f>IF(CF$32=0,"N.D.",CF32/CF$32)</f>
        <v>1</v>
      </c>
    </row>
    <row r="33" spans="2:85" x14ac:dyDescent="0.35">
      <c r="B33" s="7" t="s">
        <v>6</v>
      </c>
      <c r="C33" s="196">
        <f>BDER!$D159/1000+ajustes!B19</f>
        <v>0</v>
      </c>
      <c r="D33" s="219" t="str">
        <f t="shared" ref="D33:F34" si="239">IF(C$32=0,"N.D.",C33/C$32)</f>
        <v>N.D.</v>
      </c>
      <c r="E33" s="34">
        <f>BDER!$D137/1000+ajustes!C19</f>
        <v>0</v>
      </c>
      <c r="F33" s="219" t="str">
        <f t="shared" si="239"/>
        <v>N.D.</v>
      </c>
      <c r="G33" s="197">
        <f>BDER!$D203/1000+ajustes!D19</f>
        <v>0</v>
      </c>
      <c r="H33" s="219" t="str">
        <f t="shared" ref="H33" si="240">IF(G$32=0,"N.D.",G33/G$32)</f>
        <v>N.D.</v>
      </c>
      <c r="I33" s="34">
        <f>BDER!$D181/1000+ajustes!E19</f>
        <v>0</v>
      </c>
      <c r="J33" s="219" t="str">
        <f t="shared" ref="J33:L33" si="241">IF(I$32=0,"N.D.",I33/I$32)</f>
        <v>N.D.</v>
      </c>
      <c r="K33" s="207">
        <f>SUM(C33,E33,G33,I33)</f>
        <v>0</v>
      </c>
      <c r="L33" s="219" t="str">
        <f t="shared" si="241"/>
        <v>N.D.</v>
      </c>
      <c r="N33" s="7" t="s">
        <v>6</v>
      </c>
      <c r="O33" s="196">
        <f>BDER!$D5/1000+ajustes!F19</f>
        <v>10010.61952</v>
      </c>
      <c r="P33" s="219">
        <f t="shared" ref="P33:R33" si="242">IF(O$32=0,"N.D.",O33/O$32)</f>
        <v>0.33911180331888718</v>
      </c>
      <c r="Q33" s="34">
        <f>BDER!$D27/1000+ajustes!G19</f>
        <v>3392.0287499999999</v>
      </c>
      <c r="R33" s="219">
        <f t="shared" si="242"/>
        <v>0.54136760190574584</v>
      </c>
      <c r="S33" s="197">
        <f>BDER!$D49/1000+ajustes!H19</f>
        <v>22942.53861</v>
      </c>
      <c r="T33" s="219">
        <f t="shared" ref="T33:V33" si="243">IF(S$32=0,"N.D.",S33/S$32)</f>
        <v>0.82319746251216641</v>
      </c>
      <c r="U33" s="34">
        <f>BDER!$D71/1000+ajustes!I19</f>
        <v>0</v>
      </c>
      <c r="V33" s="219">
        <f t="shared" si="243"/>
        <v>0</v>
      </c>
      <c r="W33" s="197">
        <f>BDER!$D93/1000+ajustes!J19</f>
        <v>210.03906000000001</v>
      </c>
      <c r="X33" s="219">
        <f t="shared" ref="X33:Z33" si="244">IF(W$32=0,"N.D.",W33/W$32)</f>
        <v>0.6445494148579678</v>
      </c>
      <c r="Y33" s="196">
        <f>BDER!$D115/1000+ajustes!K19</f>
        <v>0</v>
      </c>
      <c r="Z33" s="219">
        <f t="shared" si="244"/>
        <v>0</v>
      </c>
      <c r="AA33" s="34">
        <f>SUM(O33,Q33,S33,U33,W33,Y33)-AC33</f>
        <v>27361.201470000004</v>
      </c>
      <c r="AB33" s="219">
        <f t="shared" ref="AB33" si="245">IF(AA$32=0,"N.D.",AA33/AA$32)</f>
        <v>0.51341322459771266</v>
      </c>
      <c r="AC33" s="276">
        <f>ELIM!D4/1000</f>
        <v>9194.0244700000003</v>
      </c>
      <c r="AE33" s="7" t="s">
        <v>6</v>
      </c>
      <c r="AF33" s="34">
        <f>BDER!$D291/1000+ajustes!L19</f>
        <v>43447.640039999998</v>
      </c>
      <c r="AG33" s="219">
        <f>IF(AF$32=0,"N.D.",AF33/AF$32)</f>
        <v>0.82644771482502233</v>
      </c>
      <c r="AH33" s="34">
        <f>BDER!$D313/1000+ajustes!M19</f>
        <v>21350.560329999997</v>
      </c>
      <c r="AI33" s="219">
        <f>IF(AH$32=0,"N.D.",AH33/AH$32)</f>
        <v>0.61746794692687335</v>
      </c>
      <c r="AJ33" s="34">
        <f>BDER!$D357/1000+ajustes!N19</f>
        <v>4203.5497100000002</v>
      </c>
      <c r="AK33" s="219">
        <f>IF(AJ$32=0,"N.D.",AJ33/AJ$32)</f>
        <v>0.5957806737631246</v>
      </c>
      <c r="AL33" s="34">
        <f>BDER!$D335/2000+ajustes!O19</f>
        <v>5243.8104999999996</v>
      </c>
      <c r="AM33" s="219">
        <f>IF(AL$32=0,"N.D.",AL33/AL$32)</f>
        <v>0.56053627451344823</v>
      </c>
      <c r="AN33" s="34">
        <f>ajustes!P19</f>
        <v>0</v>
      </c>
      <c r="AO33" s="219" t="str">
        <f>IF(AN$32=0,"N.D.",AN33/AN$32)</f>
        <v>N.D.</v>
      </c>
      <c r="AP33" s="34">
        <f>BDER!$D401/1000+ajustes!Q19</f>
        <v>3185.3146699999998</v>
      </c>
      <c r="AQ33" s="219">
        <f>IF(AP$32=0,"N.D.",AP33/AP$32)</f>
        <v>0.62554637378890399</v>
      </c>
      <c r="AR33" s="34">
        <f>BDER!$D379/1000+ajustes!R19</f>
        <v>54520.26597</v>
      </c>
      <c r="AS33" s="219">
        <f>IF(AR$32=0,"N.D.",AR33/AR$32)</f>
        <v>0.85369917880319146</v>
      </c>
      <c r="AT33" s="34">
        <f>SUM(AF33,AH33,AJ33,AL33,AP33,AR33,AN33)</f>
        <v>131951.14121999999</v>
      </c>
      <c r="AU33" s="219">
        <f>IF(AT$32=0,"N.D.",AT33/AT$32)</f>
        <v>0.76486638299835297</v>
      </c>
      <c r="AX33" s="7" t="s">
        <v>6</v>
      </c>
      <c r="AY33" s="34">
        <f>BDER!$D445/1000+ajustes!S19</f>
        <v>3000.3692599999999</v>
      </c>
      <c r="AZ33" s="219">
        <f>IF(AY$32=0,"N.D.",AY33/AY$32)</f>
        <v>0.47923300658030521</v>
      </c>
      <c r="BA33" s="197">
        <f>BDER!$D423/1000+ajustes!T19</f>
        <v>875.76267000000007</v>
      </c>
      <c r="BB33" s="219">
        <f>IF(BA$32=0,"N.D.",BA33/BA$32)</f>
        <v>0.76409989296561531</v>
      </c>
      <c r="BC33" s="34">
        <f>SUM(AY33,BA33)</f>
        <v>3876.13193</v>
      </c>
      <c r="BD33" s="219">
        <f>IF(BC$32=0,"N.D.",BC33/BC$32)</f>
        <v>0.52331296797113935</v>
      </c>
      <c r="BE33" s="187"/>
      <c r="BG33" s="7" t="s">
        <v>163</v>
      </c>
      <c r="BH33" s="196">
        <f>BDER!$D$669/1000+ajustes!U19</f>
        <v>0</v>
      </c>
      <c r="BI33" s="219" t="str">
        <f t="shared" ref="BI33:BK34" si="246">IF(BH$32=0,"N.D.",BH33/BH$32)</f>
        <v>N.D.</v>
      </c>
      <c r="BJ33" s="196">
        <f>BDER!$D467/1000+ajustes!V19</f>
        <v>100.60966000000001</v>
      </c>
      <c r="BK33" s="219">
        <f t="shared" si="246"/>
        <v>0.32406330700040314</v>
      </c>
      <c r="BL33" s="34">
        <f>BDER!$D490/1000+ajustes!W19</f>
        <v>174.99967000000001</v>
      </c>
      <c r="BM33" s="219">
        <f t="shared" ref="BM33:BO33" si="247">IF(BL$32=0,"N.D.",BL33/BL$32)</f>
        <v>0.28910105311782613</v>
      </c>
      <c r="BN33" s="197">
        <f>BDER!$D557/1000+ajustes!X19</f>
        <v>80.626460000000009</v>
      </c>
      <c r="BO33" s="219">
        <f t="shared" si="247"/>
        <v>0.29323634832668644</v>
      </c>
      <c r="BP33" s="34">
        <f>BDER!$D602/1000+ajustes!Y19</f>
        <v>116.85126</v>
      </c>
      <c r="BQ33" s="219">
        <f t="shared" ref="BQ33:BS33" si="248">IF(BP$32=0,"N.D.",BP33/BP$32)</f>
        <v>0.30320523791844595</v>
      </c>
      <c r="BR33" s="207">
        <f>SUM(BJ33,BL33,BN33,BP33)+BH33</f>
        <v>473.08704999999998</v>
      </c>
      <c r="BS33" s="219">
        <f t="shared" si="248"/>
        <v>0.30015794475652124</v>
      </c>
      <c r="BU33" s="7" t="s">
        <v>163</v>
      </c>
      <c r="BV33" s="196">
        <f>BDER!$D513/1000+ajustes!Z19</f>
        <v>0</v>
      </c>
      <c r="BW33" s="219">
        <f t="shared" ref="BW33:BY33" si="249">IF(BV$32=0,"N.D.",BV33/BV$32)</f>
        <v>0</v>
      </c>
      <c r="BX33" s="34">
        <f>BDER!$D580/1000+ajustes!AA19</f>
        <v>0</v>
      </c>
      <c r="BY33" s="219">
        <f t="shared" si="249"/>
        <v>0</v>
      </c>
      <c r="BZ33" s="197">
        <f>BDER!$D625/1000+ajustes!AB19</f>
        <v>0</v>
      </c>
      <c r="CA33" s="219">
        <f t="shared" ref="CA33:CC33" si="250">IF(BZ$32=0,"N.D.",BZ33/BZ$32)</f>
        <v>0</v>
      </c>
      <c r="CB33" s="34">
        <f>BDER!$D535/1000+ajustes!AC19</f>
        <v>0</v>
      </c>
      <c r="CC33" s="219">
        <f t="shared" si="250"/>
        <v>0</v>
      </c>
      <c r="CD33" s="207">
        <f>BDER!$D647/1000+ajustes!AD19</f>
        <v>0</v>
      </c>
      <c r="CE33" s="219">
        <f t="shared" ref="CE33:CG33" si="251">IF(CD$32=0,"N.D.",CD33/CD$32)</f>
        <v>0</v>
      </c>
      <c r="CF33" s="207">
        <f>SUM(BV33,BX33,BZ33,CB33,CD33)</f>
        <v>0</v>
      </c>
      <c r="CG33" s="219">
        <f t="shared" si="251"/>
        <v>0</v>
      </c>
    </row>
    <row r="34" spans="2:85" x14ac:dyDescent="0.35">
      <c r="B34" s="4" t="s">
        <v>7</v>
      </c>
      <c r="C34" s="212">
        <f>C32-C33</f>
        <v>0</v>
      </c>
      <c r="D34" s="22" t="str">
        <f t="shared" si="239"/>
        <v>N.D.</v>
      </c>
      <c r="E34" s="200">
        <f>E32-E33</f>
        <v>0</v>
      </c>
      <c r="F34" s="22" t="str">
        <f t="shared" si="239"/>
        <v>N.D.</v>
      </c>
      <c r="G34" s="209">
        <f>G32-G33</f>
        <v>0</v>
      </c>
      <c r="H34" s="22" t="str">
        <f t="shared" ref="H34" si="252">IF(G$32=0,"N.D.",G34/G$32)</f>
        <v>N.D.</v>
      </c>
      <c r="I34" s="200">
        <f>I32-I33</f>
        <v>0</v>
      </c>
      <c r="J34" s="22" t="str">
        <f t="shared" ref="J34:L34" si="253">IF(I$32=0,"N.D.",I34/I$32)</f>
        <v>N.D.</v>
      </c>
      <c r="K34" s="210">
        <f>K32-K33</f>
        <v>0</v>
      </c>
      <c r="L34" s="22" t="str">
        <f t="shared" si="253"/>
        <v>N.D.</v>
      </c>
      <c r="N34" s="4" t="s">
        <v>7</v>
      </c>
      <c r="O34" s="216">
        <f>O32-O33</f>
        <v>19509.495740000002</v>
      </c>
      <c r="P34" s="22">
        <f t="shared" ref="P34:R34" si="254">IF(O$32=0,"N.D.",O34/O$32)</f>
        <v>0.66088819668111287</v>
      </c>
      <c r="Q34" s="208">
        <f>Q32-Q33</f>
        <v>2873.6375700000003</v>
      </c>
      <c r="R34" s="22">
        <f t="shared" si="254"/>
        <v>0.4586323980942541</v>
      </c>
      <c r="S34" s="202">
        <f>S32-S33</f>
        <v>4927.4921600000016</v>
      </c>
      <c r="T34" s="22">
        <f t="shared" ref="T34:V34" si="255">IF(S$32=0,"N.D.",S34/S$32)</f>
        <v>0.17680253748783362</v>
      </c>
      <c r="U34" s="208">
        <f>U32-U33</f>
        <v>3454.2553399999997</v>
      </c>
      <c r="V34" s="22">
        <f t="shared" si="255"/>
        <v>1</v>
      </c>
      <c r="W34" s="202">
        <f>W32-W33</f>
        <v>115.83053999999998</v>
      </c>
      <c r="X34" s="22">
        <f t="shared" ref="X34:Z34" si="256">IF(W$32=0,"N.D.",W34/W$32)</f>
        <v>0.35545058514203226</v>
      </c>
      <c r="Y34" s="208">
        <f>Y32-Y33</f>
        <v>264.06</v>
      </c>
      <c r="Z34" s="22">
        <f t="shared" si="256"/>
        <v>1</v>
      </c>
      <c r="AA34" s="213">
        <f>AA32-AA33</f>
        <v>25931.546280000006</v>
      </c>
      <c r="AB34" s="22">
        <f t="shared" ref="AB34" si="257">IF(AA$32=0,"N.D.",AA34/AA$32)</f>
        <v>0.48658677540228729</v>
      </c>
      <c r="AC34" s="277"/>
      <c r="AE34" s="4" t="s">
        <v>7</v>
      </c>
      <c r="AF34" s="20">
        <f>AF32-AF33</f>
        <v>9123.9132000000027</v>
      </c>
      <c r="AG34" s="22">
        <f t="shared" ref="AG34:AI34" si="258">IF(AF$32=0,"N.D.",AF34/AF$32)</f>
        <v>0.1735522851749777</v>
      </c>
      <c r="AH34" s="20">
        <f>AH32-AH33</f>
        <v>13227.040720000001</v>
      </c>
      <c r="AI34" s="22">
        <f t="shared" si="258"/>
        <v>0.38253205307312671</v>
      </c>
      <c r="AJ34" s="20">
        <f>AJ32-AJ33</f>
        <v>2851.9824599999993</v>
      </c>
      <c r="AK34" s="22">
        <f t="shared" ref="AK34:AM34" si="259">IF(AJ$32=0,"N.D.",AJ34/AJ$32)</f>
        <v>0.4042193262368754</v>
      </c>
      <c r="AL34" s="20">
        <f>AL32-AL33</f>
        <v>4111.1781750000009</v>
      </c>
      <c r="AM34" s="22">
        <f t="shared" si="259"/>
        <v>0.43946372548655177</v>
      </c>
      <c r="AN34" s="20">
        <f>AN32-AN33</f>
        <v>0</v>
      </c>
      <c r="AO34" s="22" t="str">
        <f t="shared" ref="AO34:AQ34" si="260">IF(AN$32=0,"N.D.",AN34/AN$32)</f>
        <v>N.D.</v>
      </c>
      <c r="AP34" s="20">
        <f>AP32-AP33</f>
        <v>1906.7373399999997</v>
      </c>
      <c r="AQ34" s="22">
        <f t="shared" si="260"/>
        <v>0.37445362621109596</v>
      </c>
      <c r="AR34" s="20">
        <f>AR32-AR33</f>
        <v>9343.2908000000025</v>
      </c>
      <c r="AS34" s="22">
        <f t="shared" ref="AS34:AU34" si="261">IF(AR$32=0,"N.D.",AR34/AR$32)</f>
        <v>0.14630082119680854</v>
      </c>
      <c r="AT34" s="20">
        <f>AT32-AT33</f>
        <v>40564.142695000017</v>
      </c>
      <c r="AU34" s="22">
        <f t="shared" si="261"/>
        <v>0.23513361700164706</v>
      </c>
      <c r="AX34" s="4" t="s">
        <v>7</v>
      </c>
      <c r="AY34" s="20">
        <f>AY32-AY33</f>
        <v>3260.4041400000001</v>
      </c>
      <c r="AZ34" s="22">
        <f>IF(AY$32=0,"N.D.",AY34/AY$32)</f>
        <v>0.52076699341969479</v>
      </c>
      <c r="BA34" s="20">
        <f>BA32-BA33</f>
        <v>270.37369000000012</v>
      </c>
      <c r="BB34" s="22">
        <f>IF(BA$32=0,"N.D.",BA34/BA$32)</f>
        <v>0.23590010703438472</v>
      </c>
      <c r="BC34" s="20">
        <f>BC32-BC33</f>
        <v>3530.7778300000004</v>
      </c>
      <c r="BD34" s="22">
        <f>IF(BC$32=0,"N.D.",BC34/BC$32)</f>
        <v>0.47668703202886059</v>
      </c>
      <c r="BE34" s="221"/>
      <c r="BG34" s="4" t="s">
        <v>164</v>
      </c>
      <c r="BH34" s="14">
        <f>BH32-BH33</f>
        <v>0</v>
      </c>
      <c r="BI34" s="22" t="str">
        <f>IF(BH$32=0,"N.D.",BH34/BH$32)</f>
        <v>N.D.</v>
      </c>
      <c r="BJ34" s="20">
        <f>BJ32-BJ33</f>
        <v>209.85331999999994</v>
      </c>
      <c r="BK34" s="22">
        <f t="shared" si="246"/>
        <v>0.6759366929995968</v>
      </c>
      <c r="BL34" s="20">
        <f>BL32-BL33</f>
        <v>430.32385999999997</v>
      </c>
      <c r="BM34" s="22">
        <f t="shared" ref="BM34:BO34" si="262">IF(BL$32=0,"N.D.",BL34/BL$32)</f>
        <v>0.71089894688217381</v>
      </c>
      <c r="BN34" s="20">
        <f>BN32-BN33</f>
        <v>194.32738000000001</v>
      </c>
      <c r="BO34" s="22">
        <f t="shared" si="262"/>
        <v>0.70676365167331356</v>
      </c>
      <c r="BP34" s="20">
        <f>BP32-BP33</f>
        <v>268.53542000000004</v>
      </c>
      <c r="BQ34" s="22">
        <f t="shared" ref="BQ34:BS34" si="263">IF(BP$32=0,"N.D.",BP34/BP$32)</f>
        <v>0.69679476208155411</v>
      </c>
      <c r="BR34" s="14">
        <f>BR32-BR33</f>
        <v>1103.03998</v>
      </c>
      <c r="BS34" s="22">
        <f t="shared" si="263"/>
        <v>0.69984205524347864</v>
      </c>
      <c r="BU34" s="4" t="s">
        <v>164</v>
      </c>
      <c r="BV34" s="20">
        <f>BV32-BV33</f>
        <v>44.332889999999999</v>
      </c>
      <c r="BW34" s="22">
        <f t="shared" ref="BW34:BY34" si="264">IF(BV$32=0,"N.D.",BV34/BV$32)</f>
        <v>1</v>
      </c>
      <c r="BX34" s="20">
        <f>BX32-BX33</f>
        <v>29.854590000000002</v>
      </c>
      <c r="BY34" s="22">
        <f t="shared" si="264"/>
        <v>1</v>
      </c>
      <c r="BZ34" s="20">
        <f>BZ32-BZ33</f>
        <v>19.984279999999998</v>
      </c>
      <c r="CA34" s="22">
        <f t="shared" ref="CA34:CC34" si="265">IF(BZ$32=0,"N.D.",BZ34/BZ$32)</f>
        <v>1</v>
      </c>
      <c r="CB34" s="20">
        <f>CB32-CB33</f>
        <v>3.7429999999999999</v>
      </c>
      <c r="CC34" s="22">
        <f t="shared" si="265"/>
        <v>1</v>
      </c>
      <c r="CD34" s="20">
        <f>CD32-CD33</f>
        <v>5.1829999999999998</v>
      </c>
      <c r="CE34" s="22">
        <f t="shared" ref="CE34:CG34" si="266">IF(CD$32=0,"N.D.",CD34/CD$32)</f>
        <v>1</v>
      </c>
      <c r="CF34" s="20">
        <f>CF32-CF33</f>
        <v>103.09775999999999</v>
      </c>
      <c r="CG34" s="22">
        <f t="shared" si="266"/>
        <v>1</v>
      </c>
    </row>
    <row r="35" spans="2:85" x14ac:dyDescent="0.35">
      <c r="B35" s="1"/>
      <c r="C35" s="217"/>
      <c r="D35" s="30"/>
      <c r="E35" s="217"/>
      <c r="F35" s="30"/>
      <c r="G35" s="217"/>
      <c r="H35" s="30"/>
      <c r="I35" s="217"/>
      <c r="J35" s="30"/>
      <c r="K35" s="217"/>
      <c r="L35" s="30"/>
      <c r="N35" s="1"/>
      <c r="O35" s="217"/>
      <c r="P35" s="30"/>
      <c r="Q35" s="217"/>
      <c r="R35" s="30"/>
      <c r="S35" s="217"/>
      <c r="T35" s="30"/>
      <c r="U35" s="217"/>
      <c r="V35" s="30"/>
      <c r="W35" s="217"/>
      <c r="X35" s="30"/>
      <c r="Y35" s="217"/>
      <c r="Z35" s="30"/>
      <c r="AA35" s="217"/>
      <c r="AB35" s="30"/>
      <c r="AC35" s="275"/>
      <c r="AE35" s="1"/>
      <c r="AF35" s="30"/>
      <c r="AG35" s="30"/>
      <c r="AH35" s="30"/>
      <c r="AI35" s="30"/>
      <c r="AJ35" s="30"/>
      <c r="AK35" s="30"/>
      <c r="AL35" s="30"/>
      <c r="AM35" s="30"/>
      <c r="AN35" s="30"/>
      <c r="AO35" s="30"/>
      <c r="AP35" s="30"/>
      <c r="AQ35" s="30"/>
      <c r="AR35" s="30"/>
      <c r="AS35" s="30"/>
      <c r="AT35" s="30"/>
      <c r="AU35" s="30"/>
      <c r="AX35" s="1"/>
      <c r="AY35" s="30"/>
      <c r="AZ35" s="30"/>
      <c r="BA35" s="30"/>
      <c r="BB35" s="30"/>
      <c r="BC35" s="30"/>
      <c r="BD35" s="30"/>
      <c r="BE35" s="30"/>
      <c r="BG35" s="1"/>
      <c r="BH35" s="30"/>
      <c r="BI35" s="30"/>
      <c r="BJ35" s="30"/>
      <c r="BK35" s="30"/>
      <c r="BL35" s="30"/>
      <c r="BM35" s="30"/>
      <c r="BN35" s="30"/>
      <c r="BO35" s="30"/>
      <c r="BP35" s="30"/>
      <c r="BQ35" s="30"/>
      <c r="BR35" s="30"/>
      <c r="BS35" s="30"/>
      <c r="BU35" s="1"/>
      <c r="BV35" s="30"/>
      <c r="BW35" s="30"/>
      <c r="BX35" s="30"/>
      <c r="BY35" s="30"/>
      <c r="BZ35" s="30"/>
      <c r="CA35" s="30"/>
      <c r="CB35" s="30"/>
      <c r="CC35" s="30"/>
      <c r="CD35" s="30"/>
      <c r="CE35" s="30"/>
      <c r="CF35" s="30"/>
      <c r="CG35" s="30"/>
    </row>
    <row r="36" spans="2:85" x14ac:dyDescent="0.35">
      <c r="B36" s="7" t="s">
        <v>8</v>
      </c>
      <c r="C36" s="198">
        <f>BDER!$D161/1000+ajustes!B20</f>
        <v>0</v>
      </c>
      <c r="D36" s="220" t="str">
        <f t="shared" ref="D36:F40" si="267">IF(C$32=0,"N.D.",C36/C$32)</f>
        <v>N.D.</v>
      </c>
      <c r="E36" s="11">
        <f>BDER!$D139/1000+ajustes!C20</f>
        <v>0.67500000000000004</v>
      </c>
      <c r="F36" s="220" t="str">
        <f t="shared" si="267"/>
        <v>N.D.</v>
      </c>
      <c r="G36" s="30">
        <f>BDER!$D205/1000+ajustes!D20</f>
        <v>0</v>
      </c>
      <c r="H36" s="220" t="str">
        <f t="shared" ref="H36" si="268">IF(G$32=0,"N.D.",G36/G$32)</f>
        <v>N.D.</v>
      </c>
      <c r="I36" s="11">
        <f>BDER!$D183/1000+ajustes!E20</f>
        <v>0</v>
      </c>
      <c r="J36" s="220" t="str">
        <f t="shared" ref="J36:L36" si="269">IF(I$32=0,"N.D.",I36/I$32)</f>
        <v>N.D.</v>
      </c>
      <c r="K36" s="206">
        <f>SUM(C36,E36,G36,I36)</f>
        <v>0.67500000000000004</v>
      </c>
      <c r="L36" s="220" t="str">
        <f t="shared" si="269"/>
        <v>N.D.</v>
      </c>
      <c r="N36" s="7" t="s">
        <v>8</v>
      </c>
      <c r="O36" s="198">
        <f>BDER!$D7/1000+ajustes!F20</f>
        <v>11909.221089999999</v>
      </c>
      <c r="P36" s="220">
        <f t="shared" ref="P36:R36" si="270">IF(O$32=0,"N.D.",O36/O$32)</f>
        <v>0.40342732354223193</v>
      </c>
      <c r="Q36" s="11">
        <f>BDER!$D29/1000+ajustes!G20</f>
        <v>0</v>
      </c>
      <c r="R36" s="220">
        <f t="shared" si="270"/>
        <v>0</v>
      </c>
      <c r="S36" s="30">
        <f>BDER!$D51/1000+ajustes!H20</f>
        <v>2705.3826400000003</v>
      </c>
      <c r="T36" s="220">
        <f t="shared" ref="T36:V36" si="271">IF(S$32=0,"N.D.",S36/S$32)</f>
        <v>9.7071390495633819E-2</v>
      </c>
      <c r="U36" s="11">
        <f>BDER!$D73/1000+ajustes!I20</f>
        <v>0</v>
      </c>
      <c r="V36" s="220">
        <f t="shared" si="271"/>
        <v>0</v>
      </c>
      <c r="W36" s="30">
        <f>BDER!$D95/1000+ajustes!J20</f>
        <v>0</v>
      </c>
      <c r="X36" s="220">
        <f t="shared" ref="X36:Z36" si="272">IF(W$32=0,"N.D.",W36/W$32)</f>
        <v>0</v>
      </c>
      <c r="Y36" s="11">
        <f>BDER!$D117/1000+ajustes!K20</f>
        <v>0</v>
      </c>
      <c r="Z36" s="220">
        <f t="shared" si="272"/>
        <v>0</v>
      </c>
      <c r="AA36" s="206">
        <f>SUM(O36,Q36,S36,U36,W36,Y36)-AC36</f>
        <v>12855.633999999998</v>
      </c>
      <c r="AB36" s="220">
        <f t="shared" ref="AB36" si="273">IF(AA$32=0,"N.D.",AA36/AA$32)</f>
        <v>0.24122670612344241</v>
      </c>
      <c r="AC36" s="276">
        <f>(ELIM!D2+ELIM!D8+ELIM!D10)/1000</f>
        <v>1758.96973</v>
      </c>
      <c r="AE36" s="7" t="s">
        <v>8</v>
      </c>
      <c r="AF36" s="8">
        <f>BDER!$D293/1000+ajustes!L20</f>
        <v>4154.7879300000004</v>
      </c>
      <c r="AG36" s="220">
        <f t="shared" ref="AG36:AI36" si="274">IF(AF$32=0,"N.D.",AF36/AF$32)</f>
        <v>7.903110473134653E-2</v>
      </c>
      <c r="AH36" s="8">
        <f>BDER!$D315/1000+ajustes!M20</f>
        <v>7349.6965999999993</v>
      </c>
      <c r="AI36" s="220">
        <f t="shared" si="274"/>
        <v>0.21255657931191266</v>
      </c>
      <c r="AJ36" s="8">
        <f>BDER!$D359/1000+ajustes!N20</f>
        <v>3799.5397699999999</v>
      </c>
      <c r="AK36" s="220">
        <f t="shared" ref="AK36:AM36" si="275">IF(AJ$32=0,"N.D.",AJ36/AJ$32)</f>
        <v>0.5385192326321715</v>
      </c>
      <c r="AL36" s="8">
        <f>BDER!$D337/2000+ajustes!O20</f>
        <v>1860.8726650000001</v>
      </c>
      <c r="AM36" s="220">
        <f t="shared" si="275"/>
        <v>0.19891768228142723</v>
      </c>
      <c r="AN36" s="8">
        <f>ajustes!P20</f>
        <v>0</v>
      </c>
      <c r="AO36" s="220" t="str">
        <f t="shared" ref="AO36:AQ36" si="276">IF(AN$32=0,"N.D.",AN36/AN$32)</f>
        <v>N.D.</v>
      </c>
      <c r="AP36" s="8">
        <f>BDER!$D403/1000+ajustes!Q20</f>
        <v>1165.6634199999999</v>
      </c>
      <c r="AQ36" s="220">
        <f t="shared" si="276"/>
        <v>0.22891820776983776</v>
      </c>
      <c r="AR36" s="8">
        <f>BDER!$D381/1000+ajustes!R20</f>
        <v>3001.9500499999999</v>
      </c>
      <c r="AS36" s="220">
        <f t="shared" ref="AS36:AU36" si="277">IF(AR$32=0,"N.D.",AR36/AR$32)</f>
        <v>4.7005682142184889E-2</v>
      </c>
      <c r="AT36" s="8">
        <f t="shared" ref="AT36:AT37" si="278">SUM(AF36,AH36,AJ36,AL36,AP36,AR36,AN36)</f>
        <v>21332.510435</v>
      </c>
      <c r="AU36" s="220">
        <f t="shared" si="277"/>
        <v>0.12365577096062248</v>
      </c>
      <c r="AX36" s="7" t="s">
        <v>8</v>
      </c>
      <c r="AY36" s="8">
        <f>BDER!$D447/1000+ajustes!S20</f>
        <v>48.372</v>
      </c>
      <c r="AZ36" s="220">
        <f>IF(AY$32=0,"N.D.",AY36/AY$32)</f>
        <v>7.7262020056499724E-3</v>
      </c>
      <c r="BA36" s="204">
        <f>BDER!$D425/1000+ajustes!T20</f>
        <v>0</v>
      </c>
      <c r="BB36" s="220">
        <f>IF(BA$32=0,"N.D.",BA36/BA$32)</f>
        <v>0</v>
      </c>
      <c r="BC36" s="204">
        <f>SUM(AY36,BA36)</f>
        <v>48.372</v>
      </c>
      <c r="BD36" s="220">
        <f>IF(BC$32=0,"N.D.",BC36/BC$32)</f>
        <v>6.5306587453280917E-3</v>
      </c>
      <c r="BE36" s="187"/>
      <c r="BG36" s="7" t="s">
        <v>165</v>
      </c>
      <c r="BH36" s="194">
        <f>BDER!$D$672/1000+ajustes!U20</f>
        <v>0</v>
      </c>
      <c r="BI36" s="220" t="str">
        <f t="shared" ref="BI36:BK40" si="279">IF(BH$32=0,"N.D.",BH36/BH$32)</f>
        <v>N.D.</v>
      </c>
      <c r="BJ36" s="194">
        <f>BDER!$D470/1000+ajustes!V20</f>
        <v>186.79787999999999</v>
      </c>
      <c r="BK36" s="220">
        <f t="shared" si="279"/>
        <v>0.60167521422360892</v>
      </c>
      <c r="BL36" s="8">
        <f>BDER!$D493/1000+ajustes!W20</f>
        <v>393.12997999999999</v>
      </c>
      <c r="BM36" s="220">
        <f t="shared" ref="BM36:BO36" si="280">IF(BL$32=0,"N.D.",BL36/BL$32)</f>
        <v>0.64945431742922666</v>
      </c>
      <c r="BN36" s="195">
        <f>BDER!$D560/1000+ajustes!X20</f>
        <v>150.45585</v>
      </c>
      <c r="BO36" s="220">
        <f t="shared" si="280"/>
        <v>0.54720403250232841</v>
      </c>
      <c r="BP36" s="8">
        <f>BDER!$D605/1000+ajustes!Y20</f>
        <v>230.56626</v>
      </c>
      <c r="BQ36" s="220">
        <f t="shared" ref="BQ36:BS36" si="281">IF(BP$32=0,"N.D.",BP36/BP$32)</f>
        <v>0.5982725194342472</v>
      </c>
      <c r="BR36" s="204">
        <f>SUM(BJ36,BL36,BN36,BP36)+BH36</f>
        <v>960.94997000000012</v>
      </c>
      <c r="BS36" s="220">
        <f t="shared" si="281"/>
        <v>0.60969068590873676</v>
      </c>
      <c r="BU36" s="7" t="s">
        <v>165</v>
      </c>
      <c r="BV36" s="194">
        <f>BDER!$D515/1000+ajustes!Z20</f>
        <v>10.7103</v>
      </c>
      <c r="BW36" s="220">
        <f t="shared" ref="BW36:BY36" si="282">IF(BV$32=0,"N.D.",BV36/BV$32)</f>
        <v>0.24158813016701597</v>
      </c>
      <c r="BX36" s="8">
        <f>BDER!$D582/1000+ajustes!AA20</f>
        <v>9.3706800000000001</v>
      </c>
      <c r="BY36" s="220">
        <f t="shared" si="282"/>
        <v>0.31387736358127843</v>
      </c>
      <c r="BZ36" s="195">
        <f>BDER!$D627/1000+ajustes!AB20</f>
        <v>1.5264200000000001</v>
      </c>
      <c r="CA36" s="220">
        <f t="shared" ref="CA36:CC36" si="283">IF(BZ$32=0,"N.D.",BZ36/BZ$32)</f>
        <v>7.6381035493898214E-2</v>
      </c>
      <c r="CB36" s="8">
        <f>BDER!$D537/1000+ajustes!AC20</f>
        <v>1.52E-2</v>
      </c>
      <c r="CC36" s="220">
        <f t="shared" si="283"/>
        <v>4.0609137055837565E-3</v>
      </c>
      <c r="CD36" s="204">
        <f>BDER!$D649/1000+ajustes!AD20</f>
        <v>0</v>
      </c>
      <c r="CE36" s="220">
        <f t="shared" ref="CE36:CG36" si="284">IF(CD$32=0,"N.D.",CD36/CD$32)</f>
        <v>0</v>
      </c>
      <c r="CF36" s="204">
        <f>SUM(BV36,BX36,BZ36,CB36,CD36)</f>
        <v>21.622600000000002</v>
      </c>
      <c r="CG36" s="220">
        <f t="shared" si="284"/>
        <v>0.20972909595708</v>
      </c>
    </row>
    <row r="37" spans="2:85" x14ac:dyDescent="0.35">
      <c r="B37" s="7" t="s">
        <v>9</v>
      </c>
      <c r="C37" s="198">
        <f>BDER!$D162/1000+ajustes!B21</f>
        <v>53.631160000000001</v>
      </c>
      <c r="D37" s="219" t="str">
        <f t="shared" si="267"/>
        <v>N.D.</v>
      </c>
      <c r="E37" s="11">
        <f>BDER!$D140/1000+ajustes!C21</f>
        <v>20.104099999999999</v>
      </c>
      <c r="F37" s="219" t="str">
        <f t="shared" si="267"/>
        <v>N.D.</v>
      </c>
      <c r="G37" s="30">
        <f>BDER!$D206/1000+ajustes!D21</f>
        <v>1.2529999999999999</v>
      </c>
      <c r="H37" s="219" t="str">
        <f t="shared" ref="H37" si="285">IF(G$32=0,"N.D.",G37/G$32)</f>
        <v>N.D.</v>
      </c>
      <c r="I37" s="11">
        <f>BDER!$D184/1000+ajustes!E21</f>
        <v>0.97499999999999998</v>
      </c>
      <c r="J37" s="219" t="str">
        <f t="shared" ref="J37:L37" si="286">IF(I$32=0,"N.D.",I37/I$32)</f>
        <v>N.D.</v>
      </c>
      <c r="K37" s="206">
        <f>SUM(C37,E37,G37,I37)</f>
        <v>75.963259999999991</v>
      </c>
      <c r="L37" s="219" t="str">
        <f t="shared" si="286"/>
        <v>N.D.</v>
      </c>
      <c r="N37" s="7" t="s">
        <v>9</v>
      </c>
      <c r="O37" s="198">
        <f>BDER!$D8/1000+ajustes!F21</f>
        <v>3264.7161800000003</v>
      </c>
      <c r="P37" s="219">
        <f t="shared" ref="P37:R37" si="287">IF(O$32=0,"N.D.",O37/O$32)</f>
        <v>0.11059293472419864</v>
      </c>
      <c r="Q37" s="11">
        <f>BDER!$D30/1000+ajustes!G21</f>
        <v>1410.2374</v>
      </c>
      <c r="R37" s="219">
        <f t="shared" si="287"/>
        <v>0.22507381146335925</v>
      </c>
      <c r="S37" s="30">
        <f>BDER!$D52/1000+ajustes!H21</f>
        <v>1099.5268899999999</v>
      </c>
      <c r="T37" s="219">
        <f t="shared" ref="T37:V37" si="288">IF(S$32=0,"N.D.",S37/S$32)</f>
        <v>3.9451943884595858E-2</v>
      </c>
      <c r="U37" s="11">
        <f>BDER!$D74/1000+ajustes!I21</f>
        <v>3161.4376600000001</v>
      </c>
      <c r="V37" s="219">
        <f t="shared" si="288"/>
        <v>0.91522986832814746</v>
      </c>
      <c r="W37" s="30">
        <f>BDER!$D96/1000+ajustes!J21</f>
        <v>155.48488</v>
      </c>
      <c r="X37" s="219">
        <f t="shared" ref="X37:Z37" si="289">IF(W$32=0,"N.D.",W37/W$32)</f>
        <v>0.47713833999857613</v>
      </c>
      <c r="Y37" s="11">
        <f>BDER!$D118/1000+ajustes!K21</f>
        <v>168.23454999999998</v>
      </c>
      <c r="Z37" s="219">
        <f t="shared" si="289"/>
        <v>0.63710728622282808</v>
      </c>
      <c r="AA37" s="206">
        <f>SUM(O37,Q37,S37,U37,W37,Y37)-AC37</f>
        <v>5805.3822199999995</v>
      </c>
      <c r="AB37" s="219">
        <f t="shared" ref="AB37" si="290">IF(AA$32=0,"N.D.",AA37/AA$32)</f>
        <v>0.10893381304400838</v>
      </c>
      <c r="AC37" s="276">
        <f>ELIM!D6/1000</f>
        <v>3454.2553399999997</v>
      </c>
      <c r="AD37" s="201"/>
      <c r="AE37" s="7" t="s">
        <v>9</v>
      </c>
      <c r="AF37" s="11">
        <f>BDER!$D294/1000+BDER!$D289/1000+ajustes!L21</f>
        <v>2792.0953100000002</v>
      </c>
      <c r="AG37" s="219">
        <f t="shared" ref="AG37:AI37" si="291">IF(AF$32=0,"N.D.",AF37/AF$32)</f>
        <v>5.3110382667476232E-2</v>
      </c>
      <c r="AH37" s="11">
        <f>BDER!$D316/1000-BDER!$D311/1000+ajustes!M21</f>
        <v>2439.0699400000003</v>
      </c>
      <c r="AI37" s="219">
        <f t="shared" si="291"/>
        <v>7.0539015603570926E-2</v>
      </c>
      <c r="AJ37" s="11">
        <f>BDER!$D360/1000-BDER!$D355/1000+ajustes!N21</f>
        <v>803.80454999999984</v>
      </c>
      <c r="AK37" s="219">
        <f t="shared" ref="AK37:AM37" si="292">IF(AJ$32=0,"N.D.",AJ37/AJ$32)</f>
        <v>0.11392543193520722</v>
      </c>
      <c r="AL37" s="11">
        <f>BDER!$D338/2000+BDER!$D333/2000+ajustes!O21</f>
        <v>473.85307999999998</v>
      </c>
      <c r="AM37" s="219">
        <f t="shared" si="292"/>
        <v>5.0652448277816856E-2</v>
      </c>
      <c r="AN37" s="11">
        <f>ajustes!P21</f>
        <v>0</v>
      </c>
      <c r="AO37" s="219" t="str">
        <f t="shared" ref="AO37:AQ37" si="293">IF(AN$32=0,"N.D.",AN37/AN$32)</f>
        <v>N.D.</v>
      </c>
      <c r="AP37" s="11">
        <f>BDER!$D404/1000+ajustes!Q21</f>
        <v>6.0264100000000003</v>
      </c>
      <c r="AQ37" s="219">
        <f t="shared" si="293"/>
        <v>1.1834934105474702E-3</v>
      </c>
      <c r="AR37" s="11">
        <f>BDER!$D382/1000+BDER!$D377/1000+ajustes!R21</f>
        <v>1332.4698000000001</v>
      </c>
      <c r="AS37" s="219">
        <f t="shared" ref="AS37:AU37" si="294">IF(AR$32=0,"N.D.",AR37/AR$32)</f>
        <v>2.0864321804042234E-2</v>
      </c>
      <c r="AT37" s="11">
        <f t="shared" si="278"/>
        <v>7847.31909</v>
      </c>
      <c r="AU37" s="219">
        <f t="shared" si="294"/>
        <v>4.5487674552165777E-2</v>
      </c>
      <c r="AX37" s="7" t="s">
        <v>9</v>
      </c>
      <c r="AY37" s="11">
        <f>BDER!$D448/1000+ajustes!S21</f>
        <v>470.91111000000001</v>
      </c>
      <c r="AZ37" s="219">
        <f>IF(AY$32=0,"N.D.",AY37/AY$32)</f>
        <v>7.5216124257108552E-2</v>
      </c>
      <c r="BA37" s="206">
        <f>BDER!$D426/1000+ajustes!T21</f>
        <v>110.56899</v>
      </c>
      <c r="BB37" s="219">
        <f>IF(BA$32=0,"N.D.",BA37/BA$32)</f>
        <v>9.647106038935889E-2</v>
      </c>
      <c r="BC37" s="206">
        <f>SUM(AY37,BA37)</f>
        <v>581.48009999999999</v>
      </c>
      <c r="BD37" s="219">
        <f>IF(BC$32=0,"N.D.",BC37/BC$32)</f>
        <v>7.8505087660201214E-2</v>
      </c>
      <c r="BE37" s="187"/>
      <c r="BG37" s="7" t="s">
        <v>166</v>
      </c>
      <c r="BH37" s="198">
        <f>BDER!$D$673/1000+ajustes!U21</f>
        <v>0.01</v>
      </c>
      <c r="BI37" s="219" t="str">
        <f t="shared" si="279"/>
        <v>N.D.</v>
      </c>
      <c r="BJ37" s="198">
        <f>BDER!$D471/1000+ajustes!V21</f>
        <v>7.5118100000000005</v>
      </c>
      <c r="BK37" s="219">
        <f t="shared" si="279"/>
        <v>2.4195509558015586E-2</v>
      </c>
      <c r="BL37" s="11">
        <f>BDER!$D494/1000+ajustes!W21</f>
        <v>12.14926</v>
      </c>
      <c r="BM37" s="219">
        <f t="shared" ref="BM37:BO37" si="295">IF(BL$32=0,"N.D.",BL37/BL$32)</f>
        <v>2.0070688479597018E-2</v>
      </c>
      <c r="BN37" s="30">
        <f>BDER!$D561/1000+ajustes!X21</f>
        <v>6.6761899999999992</v>
      </c>
      <c r="BO37" s="219">
        <f t="shared" si="295"/>
        <v>2.4281130243534694E-2</v>
      </c>
      <c r="BP37" s="11">
        <f>BDER!$D606/1000+ajustes!Y21</f>
        <v>8.0414099999999991</v>
      </c>
      <c r="BQ37" s="219">
        <f t="shared" ref="BQ37:BS37" si="296">IF(BP$32=0,"N.D.",BP37/BP$32)</f>
        <v>2.0865822347570496E-2</v>
      </c>
      <c r="BR37" s="206">
        <f>SUM(BJ37,BL37,BN37,BP37)+BH37</f>
        <v>34.388669999999998</v>
      </c>
      <c r="BS37" s="219">
        <f t="shared" si="296"/>
        <v>2.1818463452149536E-2</v>
      </c>
      <c r="BU37" s="7" t="s">
        <v>166</v>
      </c>
      <c r="BV37" s="198">
        <f>BDER!$D516/1000+ajustes!Z21</f>
        <v>0</v>
      </c>
      <c r="BW37" s="219">
        <f t="shared" ref="BW37:BY37" si="297">IF(BV$32=0,"N.D.",BV37/BV$32)</f>
        <v>0</v>
      </c>
      <c r="BX37" s="11">
        <f>BDER!$D583/1000+ajustes!AA21</f>
        <v>0</v>
      </c>
      <c r="BY37" s="219">
        <f t="shared" si="297"/>
        <v>0</v>
      </c>
      <c r="BZ37" s="30">
        <f>BDER!$D628/1000+ajustes!AB21</f>
        <v>0</v>
      </c>
      <c r="CA37" s="219">
        <f t="shared" ref="CA37:CC37" si="298">IF(BZ$32=0,"N.D.",BZ37/BZ$32)</f>
        <v>0</v>
      </c>
      <c r="CB37" s="11">
        <f>BDER!$D538/1000+ajustes!AC21</f>
        <v>0</v>
      </c>
      <c r="CC37" s="219">
        <f t="shared" si="298"/>
        <v>0</v>
      </c>
      <c r="CD37" s="206">
        <f>BDER!$D650/1000+ajustes!AD21</f>
        <v>2.3390000000000001E-2</v>
      </c>
      <c r="CE37" s="219">
        <f t="shared" ref="CE37:CG37" si="299">IF(CD$32=0,"N.D.",CD37/CD$32)</f>
        <v>4.5128304071001355E-3</v>
      </c>
      <c r="CF37" s="206">
        <f>SUM(BV37,BX37,BZ37,CB37,CD37)</f>
        <v>2.3390000000000001E-2</v>
      </c>
      <c r="CG37" s="219">
        <f t="shared" si="299"/>
        <v>2.2687204843247809E-4</v>
      </c>
    </row>
    <row r="38" spans="2:85" x14ac:dyDescent="0.35">
      <c r="B38" s="7" t="s">
        <v>10</v>
      </c>
      <c r="C38" s="196">
        <f>BDER!$D163/1000+ajustes!B22</f>
        <v>0</v>
      </c>
      <c r="D38" s="219" t="str">
        <f t="shared" si="267"/>
        <v>N.D.</v>
      </c>
      <c r="E38" s="34">
        <f>BDER!$D141/1000+ajustes!C22</f>
        <v>0</v>
      </c>
      <c r="F38" s="219" t="str">
        <f t="shared" si="267"/>
        <v>N.D.</v>
      </c>
      <c r="G38" s="197">
        <f>BDER!$D207/1000+ajustes!D22</f>
        <v>0</v>
      </c>
      <c r="H38" s="219" t="str">
        <f t="shared" ref="H38" si="300">IF(G$32=0,"N.D.",G38/G$32)</f>
        <v>N.D.</v>
      </c>
      <c r="I38" s="34">
        <f>BDER!$D185/1000+ajustes!E22</f>
        <v>0</v>
      </c>
      <c r="J38" s="219" t="str">
        <f t="shared" ref="J38:L38" si="301">IF(I$32=0,"N.D.",I38/I$32)</f>
        <v>N.D.</v>
      </c>
      <c r="K38" s="207">
        <f>SUM(C38,E38,G38,I38)</f>
        <v>0</v>
      </c>
      <c r="L38" s="219" t="str">
        <f t="shared" si="301"/>
        <v>N.D.</v>
      </c>
      <c r="N38" s="7" t="s">
        <v>10</v>
      </c>
      <c r="O38" s="196">
        <f>BDER!$D9/1000+ajustes!F22</f>
        <v>708.43615</v>
      </c>
      <c r="P38" s="219">
        <f t="shared" ref="P38:R38" si="302">IF(O$32=0,"N.D.",O38/O$32)</f>
        <v>2.3998420865244275E-2</v>
      </c>
      <c r="Q38" s="34">
        <f>BDER!$D31/1000+ajustes!G22</f>
        <v>0</v>
      </c>
      <c r="R38" s="219">
        <f t="shared" si="302"/>
        <v>0</v>
      </c>
      <c r="S38" s="197">
        <f>BDER!$D53/1000+ajustes!H22</f>
        <v>110.02908000000001</v>
      </c>
      <c r="T38" s="219">
        <f t="shared" ref="T38:V38" si="303">IF(S$32=0,"N.D.",S38/S$32)</f>
        <v>3.9479353613932162E-3</v>
      </c>
      <c r="U38" s="34">
        <f>BDER!$D75/1000+ajustes!I22</f>
        <v>45.176319999999997</v>
      </c>
      <c r="V38" s="219">
        <f t="shared" si="303"/>
        <v>1.3078454124934493E-2</v>
      </c>
      <c r="W38" s="197">
        <f>BDER!$D97/1000+ajustes!J22</f>
        <v>0</v>
      </c>
      <c r="X38" s="219">
        <f t="shared" ref="X38:Z38" si="304">IF(W$32=0,"N.D.",W38/W$32)</f>
        <v>0</v>
      </c>
      <c r="Y38" s="34">
        <f>BDER!$D119/1000+ajustes!K22</f>
        <v>46.872080000000004</v>
      </c>
      <c r="Z38" s="219">
        <f t="shared" si="304"/>
        <v>0.1775054154358858</v>
      </c>
      <c r="AA38" s="207">
        <f>SUM(O38,Q38,S38,U38,W38,Y38)</f>
        <v>910.51363000000003</v>
      </c>
      <c r="AB38" s="219">
        <f t="shared" ref="AB38" si="305">IF(AA$32=0,"N.D.",AA38/AA$32)</f>
        <v>1.7085132000910948E-2</v>
      </c>
      <c r="AC38" s="276"/>
      <c r="AE38" s="7" t="s">
        <v>10</v>
      </c>
      <c r="AF38" s="11">
        <f>BDER!$D295/1000+ajustes!L22</f>
        <v>355.15084000000002</v>
      </c>
      <c r="AG38" s="219">
        <f t="shared" ref="AG38:AI38" si="306">IF(AF$32=0,"N.D.",AF38/AF$32)</f>
        <v>6.7555706101865218E-3</v>
      </c>
      <c r="AH38" s="11">
        <f>BDER!$D317/1000+ajustes!M22</f>
        <v>631.87184999999999</v>
      </c>
      <c r="AI38" s="219">
        <f t="shared" si="306"/>
        <v>1.8274022222834342E-2</v>
      </c>
      <c r="AJ38" s="11">
        <f>BDER!$D361/1000+ajustes!N22</f>
        <v>249.58118999999999</v>
      </c>
      <c r="AK38" s="219">
        <f t="shared" ref="AK38:AM38" si="307">IF(AJ$32=0,"N.D.",AJ38/AJ$32)</f>
        <v>3.537382921464307E-2</v>
      </c>
      <c r="AL38" s="11">
        <f>BDER!$D339/2000+ajustes!O22</f>
        <v>177.5445</v>
      </c>
      <c r="AM38" s="219">
        <f t="shared" si="307"/>
        <v>1.8978590586054344E-2</v>
      </c>
      <c r="AN38" s="11">
        <f>ajustes!P22</f>
        <v>0</v>
      </c>
      <c r="AO38" s="219" t="str">
        <f t="shared" ref="AO38:AQ38" si="308">IF(AN$32=0,"N.D.",AN38/AN$32)</f>
        <v>N.D.</v>
      </c>
      <c r="AP38" s="11">
        <f>BDER!$D405/1000+ajustes!Q22</f>
        <v>296.23773</v>
      </c>
      <c r="AQ38" s="219">
        <f t="shared" si="308"/>
        <v>5.8176493370106018E-2</v>
      </c>
      <c r="AR38" s="11">
        <f>BDER!$D383/1000+ajustes!R22</f>
        <v>231.41785000000002</v>
      </c>
      <c r="AS38" s="219">
        <f t="shared" ref="AS38:AU38" si="309">IF(AR$32=0,"N.D.",AR38/AR$32)</f>
        <v>3.6236292136599081E-3</v>
      </c>
      <c r="AT38" s="11">
        <f>SUM(AF38,AH38,AJ38,AL38,AP38,AR38,AN38)</f>
        <v>1941.8039600000002</v>
      </c>
      <c r="AU38" s="219">
        <f t="shared" si="309"/>
        <v>1.1255837256464455E-2</v>
      </c>
      <c r="AX38" s="7" t="s">
        <v>10</v>
      </c>
      <c r="AY38" s="34">
        <f>BDER!$D449/1000+ajustes!S22</f>
        <v>6.8756700000000004</v>
      </c>
      <c r="AZ38" s="219">
        <f>IF(AY$32=0,"N.D.",AY38/AY$32)</f>
        <v>1.0982141599311039E-3</v>
      </c>
      <c r="BA38" s="207">
        <f>BDER!$D427/1000+ajustes!T22</f>
        <v>25.04974</v>
      </c>
      <c r="BB38" s="219">
        <f>IF(BA$32=0,"N.D.",BA38/BA$32)</f>
        <v>2.1855811292820337E-2</v>
      </c>
      <c r="BC38" s="206">
        <f>SUM(AY38,BA38)</f>
        <v>31.925409999999999</v>
      </c>
      <c r="BD38" s="219">
        <f>IF(BC$32=0,"N.D.",BC38/BC$32)</f>
        <v>4.3102199209188148E-3</v>
      </c>
      <c r="BE38" s="187"/>
      <c r="BG38" s="7" t="s">
        <v>167</v>
      </c>
      <c r="BH38" s="198">
        <f>BDER!$D$674/1000+ajustes!U22</f>
        <v>0</v>
      </c>
      <c r="BI38" s="219" t="str">
        <f t="shared" si="279"/>
        <v>N.D.</v>
      </c>
      <c r="BJ38" s="196">
        <f>BDER!$D472/1000+ajustes!V22</f>
        <v>1.1249899999999999</v>
      </c>
      <c r="BK38" s="219">
        <f t="shared" si="279"/>
        <v>3.6235882294243264E-3</v>
      </c>
      <c r="BL38" s="34">
        <f>BDER!$D495/1000+ajustes!W22</f>
        <v>6.0633999999999997</v>
      </c>
      <c r="BM38" s="219">
        <f t="shared" ref="BM38:BO38" si="310">IF(BL$32=0,"N.D.",BL38/BL$32)</f>
        <v>1.0016792177234543E-2</v>
      </c>
      <c r="BN38" s="197">
        <f>BDER!$D562/1000+ajustes!X22</f>
        <v>6.3042799999999994</v>
      </c>
      <c r="BO38" s="219">
        <f t="shared" si="310"/>
        <v>2.2928503198936953E-2</v>
      </c>
      <c r="BP38" s="34">
        <f>BDER!$D607/1000+ajustes!Y22</f>
        <v>5.1190200000000008</v>
      </c>
      <c r="BQ38" s="219">
        <f t="shared" ref="BQ38:BS38" si="311">IF(BP$32=0,"N.D.",BP38/BP$32)</f>
        <v>1.3282815067713291E-2</v>
      </c>
      <c r="BR38" s="206">
        <f>SUM(BJ38,BL38,BN38,BP38)+BH38</f>
        <v>18.611690000000003</v>
      </c>
      <c r="BS38" s="219">
        <f t="shared" si="311"/>
        <v>1.180849617178382E-2</v>
      </c>
      <c r="BU38" s="7" t="s">
        <v>167</v>
      </c>
      <c r="BV38" s="196">
        <f>BDER!$D517/1000+ajustes!Z22</f>
        <v>21.015999999999998</v>
      </c>
      <c r="BW38" s="219">
        <f t="shared" ref="BW38:BY38" si="312">IF(BV$32=0,"N.D.",BV38/BV$32)</f>
        <v>0.47404985328048765</v>
      </c>
      <c r="BX38" s="34">
        <f>BDER!$D584/1000+ajustes!AA22</f>
        <v>2.5131700000000001</v>
      </c>
      <c r="BY38" s="219">
        <f t="shared" si="312"/>
        <v>8.4180355516521921E-2</v>
      </c>
      <c r="BZ38" s="197">
        <f>BDER!$D629/1000+ajustes!AB22</f>
        <v>2.8091200000000001</v>
      </c>
      <c r="CA38" s="219">
        <f t="shared" ref="CA38:CC38" si="313">IF(BZ$32=0,"N.D.",BZ38/BZ$32)</f>
        <v>0.14056648525741233</v>
      </c>
      <c r="CB38" s="34">
        <f>BDER!$D539/1000+ajustes!AC22</f>
        <v>3.7860399999999998</v>
      </c>
      <c r="CC38" s="219">
        <f t="shared" si="313"/>
        <v>1.0114987977558108</v>
      </c>
      <c r="CD38" s="207">
        <f>BDER!$D651/1000+ajustes!AD22</f>
        <v>0</v>
      </c>
      <c r="CE38" s="219">
        <f t="shared" ref="CE38:CG38" si="314">IF(CD$32=0,"N.D.",CD38/CD$32)</f>
        <v>0</v>
      </c>
      <c r="CF38" s="206">
        <f>SUM(BV38,BX38,BZ38,CB38,CD38)</f>
        <v>30.124329999999997</v>
      </c>
      <c r="CG38" s="219">
        <f t="shared" si="314"/>
        <v>0.2921918963127812</v>
      </c>
    </row>
    <row r="39" spans="2:85" x14ac:dyDescent="0.35">
      <c r="B39" s="4" t="s">
        <v>11</v>
      </c>
      <c r="C39" s="216">
        <f>SUM(C36:C38)</f>
        <v>53.631160000000001</v>
      </c>
      <c r="D39" s="22" t="str">
        <f t="shared" si="267"/>
        <v>N.D.</v>
      </c>
      <c r="E39" s="208">
        <f>SUM(E36:E38)</f>
        <v>20.7791</v>
      </c>
      <c r="F39" s="22" t="str">
        <f t="shared" si="267"/>
        <v>N.D.</v>
      </c>
      <c r="G39" s="202">
        <f>SUM(G36:G38)</f>
        <v>1.2529999999999999</v>
      </c>
      <c r="H39" s="22" t="str">
        <f t="shared" ref="H39" si="315">IF(G$32=0,"N.D.",G39/G$32)</f>
        <v>N.D.</v>
      </c>
      <c r="I39" s="208">
        <f>SUM(I36:I38)</f>
        <v>0.97499999999999998</v>
      </c>
      <c r="J39" s="22" t="str">
        <f t="shared" ref="J39:L39" si="316">IF(I$32=0,"N.D.",I39/I$32)</f>
        <v>N.D.</v>
      </c>
      <c r="K39" s="213">
        <f>SUM(K36:K38)</f>
        <v>76.638259999999988</v>
      </c>
      <c r="L39" s="22" t="str">
        <f t="shared" si="316"/>
        <v>N.D.</v>
      </c>
      <c r="N39" s="4" t="s">
        <v>11</v>
      </c>
      <c r="O39" s="216">
        <f>SUM(O36:O38)</f>
        <v>15882.373419999998</v>
      </c>
      <c r="P39" s="22">
        <f t="shared" ref="P39:R39" si="317">IF(O$32=0,"N.D.",O39/O$32)</f>
        <v>0.53801867913167478</v>
      </c>
      <c r="Q39" s="208">
        <f>SUM(Q36:Q38)</f>
        <v>1410.2374</v>
      </c>
      <c r="R39" s="22">
        <f t="shared" si="317"/>
        <v>0.22507381146335925</v>
      </c>
      <c r="S39" s="202">
        <f>SUM(S36:S38)</f>
        <v>3914.9386099999997</v>
      </c>
      <c r="T39" s="22">
        <f t="shared" ref="T39:V39" si="318">IF(S$32=0,"N.D.",S39/S$32)</f>
        <v>0.14047126974162288</v>
      </c>
      <c r="U39" s="208">
        <f>SUM(U36:U38)</f>
        <v>3206.6139800000001</v>
      </c>
      <c r="V39" s="22">
        <f t="shared" si="318"/>
        <v>0.92830832245308204</v>
      </c>
      <c r="W39" s="202">
        <f>SUM(W36:W38)</f>
        <v>155.48488</v>
      </c>
      <c r="X39" s="22">
        <f t="shared" ref="X39:Z39" si="319">IF(W$32=0,"N.D.",W39/W$32)</f>
        <v>0.47713833999857613</v>
      </c>
      <c r="Y39" s="208">
        <f>SUM(Y36:Y38)</f>
        <v>215.10663</v>
      </c>
      <c r="Z39" s="22">
        <f t="shared" si="319"/>
        <v>0.81461270165871391</v>
      </c>
      <c r="AA39" s="213">
        <f>SUM(AA36:AA38)</f>
        <v>19571.529849999999</v>
      </c>
      <c r="AB39" s="22">
        <f t="shared" ref="AB39" si="320">IF(AA$32=0,"N.D.",AA39/AA$32)</f>
        <v>0.36724565116836178</v>
      </c>
      <c r="AC39" s="277"/>
      <c r="AE39" s="4" t="s">
        <v>11</v>
      </c>
      <c r="AF39" s="14">
        <f>SUM(AF36:AF38)</f>
        <v>7302.0340800000013</v>
      </c>
      <c r="AG39" s="22">
        <f t="shared" ref="AG39:AI39" si="321">IF(AF$32=0,"N.D.",AF39/AF$32)</f>
        <v>0.13889705800900931</v>
      </c>
      <c r="AH39" s="14">
        <f>SUM(AH36:AH38)</f>
        <v>10420.63839</v>
      </c>
      <c r="AI39" s="22">
        <f t="shared" si="321"/>
        <v>0.30136961713831795</v>
      </c>
      <c r="AJ39" s="14">
        <f>SUM(AJ36:AJ38)</f>
        <v>4852.92551</v>
      </c>
      <c r="AK39" s="22">
        <f t="shared" ref="AK39:AM39" si="322">IF(AJ$32=0,"N.D.",AJ39/AJ$32)</f>
        <v>0.68781849378202187</v>
      </c>
      <c r="AL39" s="14">
        <f>SUM(AL36:AL38)</f>
        <v>2512.2702450000002</v>
      </c>
      <c r="AM39" s="22">
        <f t="shared" si="322"/>
        <v>0.26854872114529843</v>
      </c>
      <c r="AN39" s="14">
        <f>SUM(AN36:AN38)</f>
        <v>0</v>
      </c>
      <c r="AO39" s="22" t="str">
        <f t="shared" ref="AO39:AQ39" si="323">IF(AN$32=0,"N.D.",AN39/AN$32)</f>
        <v>N.D.</v>
      </c>
      <c r="AP39" s="14">
        <f>SUM(AP36:AP38)</f>
        <v>1467.9275599999999</v>
      </c>
      <c r="AQ39" s="22">
        <f t="shared" si="323"/>
        <v>0.28827819455049125</v>
      </c>
      <c r="AR39" s="14">
        <f>SUM(AR36:AR38)</f>
        <v>4565.8377</v>
      </c>
      <c r="AS39" s="22">
        <f t="shared" ref="AS39:AU39" si="324">IF(AR$32=0,"N.D.",AR39/AR$32)</f>
        <v>7.1493633159887035E-2</v>
      </c>
      <c r="AT39" s="14">
        <f>SUM(AT36:AT38)</f>
        <v>31121.633485000002</v>
      </c>
      <c r="AU39" s="22">
        <f t="shared" si="324"/>
        <v>0.18039928276925271</v>
      </c>
      <c r="AX39" s="4" t="s">
        <v>11</v>
      </c>
      <c r="AY39" s="208">
        <f>SUM(AY36:AY38)</f>
        <v>526.15877999999998</v>
      </c>
      <c r="AZ39" s="22">
        <f>IF(AY$32=0,"N.D.",AY39/AY$32)</f>
        <v>8.404054042268963E-2</v>
      </c>
      <c r="BA39" s="208">
        <f>SUM(BA36:BA38)</f>
        <v>135.61873</v>
      </c>
      <c r="BB39" s="22">
        <f>IF(BA$32=0,"N.D.",BA39/BA$32)</f>
        <v>0.11832687168217923</v>
      </c>
      <c r="BC39" s="14">
        <f>SUM(BC36:BC38)</f>
        <v>661.77750999999989</v>
      </c>
      <c r="BD39" s="22">
        <f>IF(BC$32=0,"N.D.",BC39/BC$32)</f>
        <v>8.9345966326448104E-2</v>
      </c>
      <c r="BE39" s="221"/>
      <c r="BG39" s="4" t="s">
        <v>168</v>
      </c>
      <c r="BH39" s="14">
        <f>SUM(BH36:BH38)</f>
        <v>0.01</v>
      </c>
      <c r="BI39" s="22" t="str">
        <f t="shared" si="279"/>
        <v>N.D.</v>
      </c>
      <c r="BJ39" s="208">
        <f>SUM(BJ36:BJ38)</f>
        <v>195.43467999999999</v>
      </c>
      <c r="BK39" s="22">
        <f t="shared" si="279"/>
        <v>0.62949431201104877</v>
      </c>
      <c r="BL39" s="208">
        <f>SUM(BL36:BL38)</f>
        <v>411.34264000000002</v>
      </c>
      <c r="BM39" s="22">
        <f t="shared" ref="BM39:BO39" si="325">IF(BL$32=0,"N.D.",BL39/BL$32)</f>
        <v>0.67954179808605819</v>
      </c>
      <c r="BN39" s="208">
        <f>SUM(BN36:BN38)</f>
        <v>163.43631999999999</v>
      </c>
      <c r="BO39" s="22">
        <f t="shared" si="325"/>
        <v>0.59441366594479994</v>
      </c>
      <c r="BP39" s="208">
        <f>SUM(BP36:BP38)</f>
        <v>243.72668999999999</v>
      </c>
      <c r="BQ39" s="22">
        <f t="shared" ref="BQ39:BS39" si="326">IF(BP$32=0,"N.D.",BP39/BP$32)</f>
        <v>0.63242115684953093</v>
      </c>
      <c r="BR39" s="14">
        <f>SUM(BR36:BR38)</f>
        <v>1013.9503300000001</v>
      </c>
      <c r="BS39" s="22">
        <f t="shared" si="326"/>
        <v>0.64331764553267012</v>
      </c>
      <c r="BU39" s="4" t="s">
        <v>168</v>
      </c>
      <c r="BV39" s="208">
        <f>SUM(BV36:BV38)</f>
        <v>31.726299999999998</v>
      </c>
      <c r="BW39" s="22">
        <f t="shared" ref="BW39:BY39" si="327">IF(BV$32=0,"N.D.",BV39/BV$32)</f>
        <v>0.71563798344750362</v>
      </c>
      <c r="BX39" s="208">
        <f>SUM(BX36:BX38)</f>
        <v>11.883850000000001</v>
      </c>
      <c r="BY39" s="22">
        <f t="shared" si="327"/>
        <v>0.39805771909780036</v>
      </c>
      <c r="BZ39" s="208">
        <f>SUM(BZ36:BZ38)</f>
        <v>4.3355399999999999</v>
      </c>
      <c r="CA39" s="22">
        <f t="shared" ref="CA39:CC39" si="328">IF(BZ$32=0,"N.D.",BZ39/BZ$32)</f>
        <v>0.21694752075131055</v>
      </c>
      <c r="CB39" s="208">
        <f>SUM(CB36:CB38)</f>
        <v>3.80124</v>
      </c>
      <c r="CC39" s="22">
        <f t="shared" si="328"/>
        <v>1.0155597114613946</v>
      </c>
      <c r="CD39" s="208">
        <f>SUM(CD36:CD38)</f>
        <v>2.3390000000000001E-2</v>
      </c>
      <c r="CE39" s="22">
        <f t="shared" ref="CE39:CG39" si="329">IF(CD$32=0,"N.D.",CD39/CD$32)</f>
        <v>4.5128304071001355E-3</v>
      </c>
      <c r="CF39" s="14">
        <f>SUM(CF36:CF38)</f>
        <v>51.770319999999998</v>
      </c>
      <c r="CG39" s="22">
        <f t="shared" si="329"/>
        <v>0.50214786431829361</v>
      </c>
    </row>
    <row r="40" spans="2:85" x14ac:dyDescent="0.35">
      <c r="B40" s="4" t="s">
        <v>12</v>
      </c>
      <c r="C40" s="212">
        <f>C34-C39</f>
        <v>-53.631160000000001</v>
      </c>
      <c r="D40" s="22" t="str">
        <f t="shared" si="267"/>
        <v>N.D.</v>
      </c>
      <c r="E40" s="200">
        <f>E34-E39</f>
        <v>-20.7791</v>
      </c>
      <c r="F40" s="22" t="str">
        <f t="shared" si="267"/>
        <v>N.D.</v>
      </c>
      <c r="G40" s="209">
        <f>G34-G39</f>
        <v>-1.2529999999999999</v>
      </c>
      <c r="H40" s="22" t="str">
        <f t="shared" ref="H40" si="330">IF(G$32=0,"N.D.",G40/G$32)</f>
        <v>N.D.</v>
      </c>
      <c r="I40" s="200">
        <f>I34-I39</f>
        <v>-0.97499999999999998</v>
      </c>
      <c r="J40" s="22" t="str">
        <f t="shared" ref="J40:L40" si="331">IF(I$32=0,"N.D.",I40/I$32)</f>
        <v>N.D.</v>
      </c>
      <c r="K40" s="210">
        <f>K34-K39</f>
        <v>-76.638259999999988</v>
      </c>
      <c r="L40" s="22" t="str">
        <f t="shared" si="331"/>
        <v>N.D.</v>
      </c>
      <c r="N40" s="4" t="s">
        <v>12</v>
      </c>
      <c r="O40" s="212">
        <f>O34-O39</f>
        <v>3627.122320000004</v>
      </c>
      <c r="P40" s="22">
        <f t="shared" ref="P40:R40" si="332">IF(O$32=0,"N.D.",O40/O$32)</f>
        <v>0.12286951754943805</v>
      </c>
      <c r="Q40" s="200">
        <f>Q34-Q39</f>
        <v>1463.4001700000003</v>
      </c>
      <c r="R40" s="22">
        <f t="shared" si="332"/>
        <v>0.23355858663089488</v>
      </c>
      <c r="S40" s="209">
        <f>S34-S39</f>
        <v>1012.5535500000019</v>
      </c>
      <c r="T40" s="22">
        <f t="shared" ref="T40:V40" si="333">IF(S$32=0,"N.D.",S40/S$32)</f>
        <v>3.6331267746210739E-2</v>
      </c>
      <c r="U40" s="200">
        <f>U34-U39</f>
        <v>247.64135999999962</v>
      </c>
      <c r="V40" s="22">
        <f t="shared" si="333"/>
        <v>7.1691677546918006E-2</v>
      </c>
      <c r="W40" s="209">
        <f>W34-W39</f>
        <v>-39.654340000000019</v>
      </c>
      <c r="X40" s="22">
        <f t="shared" ref="X40:Z40" si="334">IF(W$32=0,"N.D.",W40/W$32)</f>
        <v>-0.1216877548565439</v>
      </c>
      <c r="Y40" s="200">
        <f>Y34-Y39</f>
        <v>48.953370000000007</v>
      </c>
      <c r="Z40" s="22">
        <f t="shared" si="334"/>
        <v>0.18538729834128609</v>
      </c>
      <c r="AA40" s="210">
        <f>AA34-AA39</f>
        <v>6360.0164300000069</v>
      </c>
      <c r="AB40" s="22">
        <f t="shared" ref="AB40" si="335">IF(AA$32=0,"N.D.",AA40/AA$32)</f>
        <v>0.11934112423392554</v>
      </c>
      <c r="AC40" s="277"/>
      <c r="AE40" s="4" t="s">
        <v>12</v>
      </c>
      <c r="AF40" s="20">
        <f>AF34-AF39</f>
        <v>1821.8791200000014</v>
      </c>
      <c r="AG40" s="22">
        <f t="shared" ref="AG40:AI40" si="336">IF(AF$32=0,"N.D.",AF40/AF$32)</f>
        <v>3.4655227165968389E-2</v>
      </c>
      <c r="AH40" s="20">
        <f>AH34-AH39</f>
        <v>2806.4023300000008</v>
      </c>
      <c r="AI40" s="22">
        <f t="shared" si="336"/>
        <v>8.1162435934808763E-2</v>
      </c>
      <c r="AJ40" s="20">
        <f>AJ34-AJ39</f>
        <v>-2000.9430500000008</v>
      </c>
      <c r="AK40" s="22">
        <f t="shared" ref="AK40:AM40" si="337">IF(AJ$32=0,"N.D.",AJ40/AJ$32)</f>
        <v>-0.28359916754514647</v>
      </c>
      <c r="AL40" s="20">
        <f>AL34-AL39</f>
        <v>1598.9079300000008</v>
      </c>
      <c r="AM40" s="22">
        <f t="shared" si="337"/>
        <v>0.17091500434125331</v>
      </c>
      <c r="AN40" s="20">
        <f>AN34-AN39</f>
        <v>0</v>
      </c>
      <c r="AO40" s="22" t="str">
        <f t="shared" ref="AO40:AQ40" si="338">IF(AN$32=0,"N.D.",AN40/AN$32)</f>
        <v>N.D.</v>
      </c>
      <c r="AP40" s="20">
        <f>AP34-AP39</f>
        <v>438.80977999999982</v>
      </c>
      <c r="AQ40" s="22">
        <f t="shared" si="338"/>
        <v>8.6175431660604707E-2</v>
      </c>
      <c r="AR40" s="20">
        <f>AR34-AR39</f>
        <v>4777.4531000000025</v>
      </c>
      <c r="AS40" s="22">
        <f t="shared" ref="AS40:AU40" si="339">IF(AR$32=0,"N.D.",AR40/AR$32)</f>
        <v>7.4807188036921518E-2</v>
      </c>
      <c r="AT40" s="20">
        <f>AT34-AT39</f>
        <v>9442.5092100000147</v>
      </c>
      <c r="AU40" s="22">
        <f t="shared" si="339"/>
        <v>5.4734334232394349E-2</v>
      </c>
      <c r="AX40" s="4" t="s">
        <v>12</v>
      </c>
      <c r="AY40" s="14">
        <f>AY34-AY39</f>
        <v>2734.2453599999999</v>
      </c>
      <c r="AZ40" s="22">
        <f>IF(AY$32=0,"N.D.",AY40/AY$32)</f>
        <v>0.43672645299700513</v>
      </c>
      <c r="BA40" s="14">
        <f>BA34-BA39</f>
        <v>134.75496000000012</v>
      </c>
      <c r="BB40" s="22">
        <f>IF(BA$32=0,"N.D.",BA40/BA$32)</f>
        <v>0.11757323535220547</v>
      </c>
      <c r="BC40" s="20">
        <f>BC34-BC39</f>
        <v>2869.0003200000006</v>
      </c>
      <c r="BD40" s="22">
        <f>IF(BC$32=0,"N.D.",BC40/BC$32)</f>
        <v>0.3873410657024125</v>
      </c>
      <c r="BE40" s="221"/>
      <c r="BG40" s="4" t="s">
        <v>169</v>
      </c>
      <c r="BH40" s="20">
        <f>BH34-BH39</f>
        <v>-0.01</v>
      </c>
      <c r="BI40" s="22" t="str">
        <f t="shared" si="279"/>
        <v>N.D.</v>
      </c>
      <c r="BJ40" s="14">
        <f>BJ34-BJ39</f>
        <v>14.418639999999954</v>
      </c>
      <c r="BK40" s="22">
        <f t="shared" si="279"/>
        <v>4.6442380988547992E-2</v>
      </c>
      <c r="BL40" s="14">
        <f>BL34-BL39</f>
        <v>18.981219999999951</v>
      </c>
      <c r="BM40" s="22">
        <f t="shared" ref="BM40:BO40" si="340">IF(BL$32=0,"N.D.",BL40/BL$32)</f>
        <v>3.1357148796115605E-2</v>
      </c>
      <c r="BN40" s="14">
        <f>BN34-BN39</f>
        <v>30.89106000000001</v>
      </c>
      <c r="BO40" s="22">
        <f t="shared" si="340"/>
        <v>0.11234998572851358</v>
      </c>
      <c r="BP40" s="14">
        <f>BP34-BP39</f>
        <v>24.808730000000054</v>
      </c>
      <c r="BQ40" s="22">
        <f t="shared" ref="BQ40:BS40" si="341">IF(BP$32=0,"N.D.",BP40/BP$32)</f>
        <v>6.4373605232023207E-2</v>
      </c>
      <c r="BR40" s="20">
        <f>BR34-BR39</f>
        <v>89.089649999999892</v>
      </c>
      <c r="BS40" s="22">
        <f t="shared" si="341"/>
        <v>5.6524409710808583E-2</v>
      </c>
      <c r="BU40" s="4" t="s">
        <v>169</v>
      </c>
      <c r="BV40" s="14">
        <f>BV34-BV39</f>
        <v>12.606590000000001</v>
      </c>
      <c r="BW40" s="22">
        <f t="shared" ref="BW40:BY40" si="342">IF(BV$32=0,"N.D.",BV40/BV$32)</f>
        <v>0.28436201655249638</v>
      </c>
      <c r="BX40" s="14">
        <f>BX34-BX39</f>
        <v>17.970739999999999</v>
      </c>
      <c r="BY40" s="22">
        <f t="shared" si="342"/>
        <v>0.60194228090219959</v>
      </c>
      <c r="BZ40" s="14">
        <f>BZ34-BZ39</f>
        <v>15.648739999999998</v>
      </c>
      <c r="CA40" s="22">
        <f t="shared" ref="CA40:CC40" si="343">IF(BZ$32=0,"N.D.",BZ40/BZ$32)</f>
        <v>0.78305247924868948</v>
      </c>
      <c r="CB40" s="14">
        <f>CB34-CB39</f>
        <v>-5.8240000000000069E-2</v>
      </c>
      <c r="CC40" s="22">
        <f t="shared" si="343"/>
        <v>-1.5559711461394623E-2</v>
      </c>
      <c r="CD40" s="14">
        <f>CD34-CD39</f>
        <v>5.1596099999999998</v>
      </c>
      <c r="CE40" s="22">
        <f t="shared" ref="CE40:CG40" si="344">IF(CD$32=0,"N.D.",CD40/CD$32)</f>
        <v>0.99548716959289985</v>
      </c>
      <c r="CF40" s="20">
        <f>CF34-CF39</f>
        <v>51.327439999999996</v>
      </c>
      <c r="CG40" s="22">
        <f t="shared" si="344"/>
        <v>0.49785213568170639</v>
      </c>
    </row>
    <row r="41" spans="2:85" x14ac:dyDescent="0.35">
      <c r="B41" s="1"/>
      <c r="C41" s="217"/>
      <c r="D41" s="30"/>
      <c r="E41" s="217"/>
      <c r="F41" s="30"/>
      <c r="G41" s="217"/>
      <c r="H41" s="30"/>
      <c r="I41" s="217"/>
      <c r="J41" s="30"/>
      <c r="K41" s="217"/>
      <c r="L41" s="30"/>
      <c r="N41" s="1"/>
      <c r="O41" s="217"/>
      <c r="P41" s="30"/>
      <c r="Q41" s="217"/>
      <c r="R41" s="30"/>
      <c r="S41" s="217"/>
      <c r="T41" s="30"/>
      <c r="U41" s="217"/>
      <c r="V41" s="30"/>
      <c r="W41" s="217"/>
      <c r="X41" s="30"/>
      <c r="Y41" s="217"/>
      <c r="Z41" s="30"/>
      <c r="AA41" s="217"/>
      <c r="AB41" s="30"/>
      <c r="AC41" s="275"/>
      <c r="AE41" s="1"/>
      <c r="AF41" s="30"/>
      <c r="AG41" s="30"/>
      <c r="AH41" s="30"/>
      <c r="AI41" s="30"/>
      <c r="AJ41" s="30"/>
      <c r="AK41" s="30"/>
      <c r="AL41" s="30"/>
      <c r="AM41" s="30"/>
      <c r="AN41" s="30"/>
      <c r="AO41" s="30"/>
      <c r="AP41" s="30"/>
      <c r="AQ41" s="30"/>
      <c r="AR41" s="30"/>
      <c r="AS41" s="30"/>
      <c r="AT41" s="30"/>
      <c r="AU41" s="30"/>
      <c r="AX41" s="1"/>
      <c r="AY41" s="30"/>
      <c r="AZ41" s="30"/>
      <c r="BA41" s="30"/>
      <c r="BB41" s="30"/>
      <c r="BC41" s="30"/>
      <c r="BD41" s="30"/>
      <c r="BE41" s="30"/>
      <c r="BG41" s="1"/>
      <c r="BH41" s="30"/>
      <c r="BI41" s="30"/>
      <c r="BJ41" s="30"/>
      <c r="BK41" s="30"/>
      <c r="BL41" s="30"/>
      <c r="BM41" s="30"/>
      <c r="BN41" s="30"/>
      <c r="BO41" s="30"/>
      <c r="BP41" s="30"/>
      <c r="BQ41" s="30"/>
      <c r="BR41" s="30"/>
      <c r="BS41" s="30"/>
      <c r="BU41" s="1"/>
      <c r="BV41" s="30"/>
      <c r="BW41" s="30"/>
      <c r="BX41" s="30"/>
      <c r="BY41" s="30"/>
      <c r="BZ41" s="30"/>
      <c r="CA41" s="30"/>
      <c r="CB41" s="30"/>
      <c r="CC41" s="30"/>
      <c r="CD41" s="30"/>
      <c r="CE41" s="30"/>
      <c r="CF41" s="30"/>
      <c r="CG41" s="30"/>
    </row>
    <row r="42" spans="2:85" x14ac:dyDescent="0.35">
      <c r="B42" s="7" t="s">
        <v>13</v>
      </c>
      <c r="C42" s="198">
        <f>BDER!$D166/1000+ajustes!B23</f>
        <v>0</v>
      </c>
      <c r="D42" s="220" t="str">
        <f t="shared" ref="D42:F48" si="345">IF(C$32=0,"N.D.",C42/C$32)</f>
        <v>N.D.</v>
      </c>
      <c r="E42" s="11">
        <f>BDER!$D144/1000+ajustes!C23</f>
        <v>0</v>
      </c>
      <c r="F42" s="220" t="str">
        <f t="shared" si="345"/>
        <v>N.D.</v>
      </c>
      <c r="G42" s="30">
        <f>BDER!$D210/1000+ajustes!D23</f>
        <v>0</v>
      </c>
      <c r="H42" s="220" t="str">
        <f t="shared" ref="H42" si="346">IF(G$32=0,"N.D.",G42/G$32)</f>
        <v>N.D.</v>
      </c>
      <c r="I42" s="11">
        <f>BDER!$D188/1000+ajustes!E23</f>
        <v>0</v>
      </c>
      <c r="J42" s="220" t="str">
        <f t="shared" ref="J42:L42" si="347">IF(I$32=0,"N.D.",I42/I$32)</f>
        <v>N.D.</v>
      </c>
      <c r="K42" s="206">
        <f t="shared" ref="K42:K46" si="348">SUM(C42,E42,G42,I42)</f>
        <v>0</v>
      </c>
      <c r="L42" s="220" t="str">
        <f t="shared" si="347"/>
        <v>N.D.</v>
      </c>
      <c r="N42" s="7" t="s">
        <v>13</v>
      </c>
      <c r="O42" s="198">
        <f>BDER!$D12/1000+ajustes!F23</f>
        <v>26.30068</v>
      </c>
      <c r="P42" s="220">
        <f t="shared" ref="P42:R42" si="349">IF(O$32=0,"N.D.",O42/O$32)</f>
        <v>8.9094096579079543E-4</v>
      </c>
      <c r="Q42" s="11">
        <f>BDER!$D34/1000+ajustes!G23</f>
        <v>140.81405999999998</v>
      </c>
      <c r="R42" s="220">
        <f t="shared" si="349"/>
        <v>2.2473916229870342E-2</v>
      </c>
      <c r="S42" s="30">
        <f>BDER!$D56/1000+ajustes!H23</f>
        <v>1.51942</v>
      </c>
      <c r="T42" s="220">
        <f t="shared" ref="T42:V42" si="350">IF(S$32=0,"N.D.",S42/S$32)</f>
        <v>5.4518059651212933E-5</v>
      </c>
      <c r="U42" s="11">
        <f>BDER!$D78/1000+ajustes!I23</f>
        <v>-2.1919599999999999</v>
      </c>
      <c r="V42" s="220">
        <f t="shared" si="350"/>
        <v>-6.3456802819909666E-4</v>
      </c>
      <c r="W42" s="30">
        <f>BDER!$D100/1000+ajustes!J23</f>
        <v>1.2019999999999999E-2</v>
      </c>
      <c r="X42" s="220">
        <f t="shared" ref="X42:Z42" si="351">IF(W$32=0,"N.D.",W42/W$32)</f>
        <v>3.6885920012176648E-5</v>
      </c>
      <c r="Y42" s="11">
        <f>BDER!$D122/1000+ajustes!K23</f>
        <v>-0.13009000000000001</v>
      </c>
      <c r="Z42" s="220">
        <f t="shared" si="351"/>
        <v>-4.926531848822238E-4</v>
      </c>
      <c r="AA42" s="206">
        <f t="shared" ref="AA42:AA46" si="352">SUM(O42,Q42,S42,U42,W42,Y42)</f>
        <v>166.32413</v>
      </c>
      <c r="AB42" s="220">
        <f t="shared" ref="AB42" si="353">IF(AA$32=0,"N.D.",AA42/AA$32)</f>
        <v>3.1209524188964334E-3</v>
      </c>
      <c r="AC42" s="276"/>
      <c r="AE42" s="7" t="s">
        <v>13</v>
      </c>
      <c r="AF42" s="8">
        <f>BDER!$D298/1000+ajustes!L23</f>
        <v>-0.96553</v>
      </c>
      <c r="AG42" s="220">
        <f t="shared" ref="AG42:AI42" si="354">IF(AF$32=0,"N.D.",AF42/AF$32)</f>
        <v>-1.8366016229198253E-5</v>
      </c>
      <c r="AH42" s="8">
        <f>BDER!$D320/1000+ajustes!M23</f>
        <v>6.13</v>
      </c>
      <c r="AI42" s="220">
        <f t="shared" si="354"/>
        <v>1.7728239709677605E-4</v>
      </c>
      <c r="AJ42" s="8">
        <f>BDER!$D364/1000+ajustes!N23</f>
        <v>0</v>
      </c>
      <c r="AK42" s="220">
        <f t="shared" ref="AK42:AM42" si="355">IF(AJ$32=0,"N.D.",AJ42/AJ$32)</f>
        <v>0</v>
      </c>
      <c r="AL42" s="8">
        <f>BDER!$D342/2000+ajustes!O23</f>
        <v>0</v>
      </c>
      <c r="AM42" s="220">
        <f t="shared" si="355"/>
        <v>0</v>
      </c>
      <c r="AN42" s="8">
        <f>ajustes!P23</f>
        <v>0</v>
      </c>
      <c r="AO42" s="220" t="str">
        <f t="shared" ref="AO42:AQ42" si="356">IF(AN$32=0,"N.D.",AN42/AN$32)</f>
        <v>N.D.</v>
      </c>
      <c r="AP42" s="8">
        <f>BDER!$D408/1000+ajustes!Q23</f>
        <v>0</v>
      </c>
      <c r="AQ42" s="220">
        <f t="shared" si="356"/>
        <v>0</v>
      </c>
      <c r="AR42" s="8">
        <f>BDER!$D386/1000+ajustes!R23</f>
        <v>749.57076000000006</v>
      </c>
      <c r="AS42" s="220">
        <f t="shared" ref="AS42:AU42" si="357">IF(AR$32=0,"N.D.",AR42/AR$32)</f>
        <v>1.1737065674239303E-2</v>
      </c>
      <c r="AT42" s="8">
        <f>SUM(AF42,AH42,AJ42,AL42,AP42,AR42,AN42)</f>
        <v>754.73523000000012</v>
      </c>
      <c r="AU42" s="220">
        <f t="shared" si="357"/>
        <v>4.3748890699554805E-3</v>
      </c>
      <c r="AX42" s="7" t="s">
        <v>13</v>
      </c>
      <c r="AY42" s="8">
        <f>BDER!$D452/1000+ajustes!S23</f>
        <v>17.21902</v>
      </c>
      <c r="AZ42" s="220">
        <f t="shared" ref="AZ42:AZ48" si="358">IF(AY$32=0,"N.D.",AY42/AY$32)</f>
        <v>2.7503023827695153E-3</v>
      </c>
      <c r="BA42" s="204">
        <f>BDER!$D430/1000+ajustes!T23</f>
        <v>0</v>
      </c>
      <c r="BB42" s="220">
        <f t="shared" ref="BB42:BB48" si="359">IF(BA$32=0,"N.D.",BA42/BA$32)</f>
        <v>0</v>
      </c>
      <c r="BC42" s="204">
        <f t="shared" ref="BC42:BC46" si="360">SUM(AY42,BA42)</f>
        <v>17.21902</v>
      </c>
      <c r="BD42" s="220">
        <f t="shared" ref="BD42:BD48" si="361">IF(BC$32=0,"N.D.",BC42/BC$32)</f>
        <v>2.3247238805296313E-3</v>
      </c>
      <c r="BE42" s="187"/>
      <c r="BG42" s="7" t="s">
        <v>170</v>
      </c>
      <c r="BH42" s="194">
        <f>BDER!$D$678/1000+ajustes!U24</f>
        <v>0</v>
      </c>
      <c r="BI42" s="220" t="str">
        <f t="shared" ref="BI42:BK46" si="362">IF(BH$32=0,"N.D.",BH42/BH$32)</f>
        <v>N.D.</v>
      </c>
      <c r="BJ42" s="194">
        <f>BDER!$D476/1000+ajustes!V24</f>
        <v>-1.12845</v>
      </c>
      <c r="BK42" s="220">
        <f t="shared" si="362"/>
        <v>-3.6347328753978982E-3</v>
      </c>
      <c r="BL42" s="8">
        <f>BDER!$D499/1000+ajustes!W24</f>
        <v>-4.1493000000000002</v>
      </c>
      <c r="BM42" s="220">
        <f t="shared" ref="BM42:BO42" si="363">IF(BL$32=0,"N.D.",BL42/BL$32)</f>
        <v>-6.8546814956953681E-3</v>
      </c>
      <c r="BN42" s="195">
        <f>BDER!$D566/1000+ajustes!X24</f>
        <v>-2.4061699999999999</v>
      </c>
      <c r="BO42" s="220">
        <f t="shared" si="363"/>
        <v>-8.7511780159171444E-3</v>
      </c>
      <c r="BP42" s="8">
        <f>BDER!$D611/1000+ajustes!Y24</f>
        <v>-2.4493499999999999</v>
      </c>
      <c r="BQ42" s="220">
        <f t="shared" ref="BQ42:BS42" si="364">IF(BP$32=0,"N.D.",BP42/BP$32)</f>
        <v>-6.3555647538207595E-3</v>
      </c>
      <c r="BR42" s="204">
        <f>SUM(BJ42,BL42,BN42,BP42)+BH42</f>
        <v>-10.13327</v>
      </c>
      <c r="BS42" s="220">
        <f t="shared" si="364"/>
        <v>-6.4292216345023913E-3</v>
      </c>
      <c r="BU42" s="7" t="s">
        <v>170</v>
      </c>
      <c r="BV42" s="194">
        <f>BDER!$D521/1000+ajustes!Z24</f>
        <v>0</v>
      </c>
      <c r="BW42" s="220">
        <f t="shared" ref="BW42:BY42" si="365">IF(BV$32=0,"N.D.",BV42/BV$32)</f>
        <v>0</v>
      </c>
      <c r="BX42" s="8">
        <f>BDER!$D588/1000+ajustes!AA24</f>
        <v>0</v>
      </c>
      <c r="BY42" s="220">
        <f t="shared" si="365"/>
        <v>0</v>
      </c>
      <c r="BZ42" s="195">
        <f>BDER!$D633/1000+ajustes!AB24</f>
        <v>0</v>
      </c>
      <c r="CA42" s="220">
        <f t="shared" ref="CA42:CC42" si="366">IF(BZ$32=0,"N.D.",BZ42/BZ$32)</f>
        <v>0</v>
      </c>
      <c r="CB42" s="8">
        <f>BDER!$D543/1000+ajustes!AC24</f>
        <v>0</v>
      </c>
      <c r="CC42" s="220">
        <f t="shared" si="366"/>
        <v>0</v>
      </c>
      <c r="CD42" s="204">
        <f>BDER!$D655/1000+ajustes!AD24</f>
        <v>0</v>
      </c>
      <c r="CE42" s="220">
        <f t="shared" ref="CE42:CG42" si="367">IF(CD$32=0,"N.D.",CD42/CD$32)</f>
        <v>0</v>
      </c>
      <c r="CF42" s="204">
        <f>SUM(BV42,BX42,BZ42,CB42,CD42)</f>
        <v>0</v>
      </c>
      <c r="CG42" s="220">
        <f t="shared" si="367"/>
        <v>0</v>
      </c>
    </row>
    <row r="43" spans="2:85" x14ac:dyDescent="0.35">
      <c r="B43" s="7" t="s">
        <v>14</v>
      </c>
      <c r="C43" s="198">
        <f>BDER!$D167/1000+ajustes!B24</f>
        <v>0</v>
      </c>
      <c r="D43" s="219" t="str">
        <f t="shared" si="345"/>
        <v>N.D.</v>
      </c>
      <c r="E43" s="11">
        <f>BDER!$D145/1000+ajustes!C24</f>
        <v>0</v>
      </c>
      <c r="F43" s="219" t="str">
        <f t="shared" si="345"/>
        <v>N.D.</v>
      </c>
      <c r="G43" s="30">
        <f>BDER!$D211/1000+ajustes!D24</f>
        <v>0</v>
      </c>
      <c r="H43" s="219" t="str">
        <f t="shared" ref="H43" si="368">IF(G$32=0,"N.D.",G43/G$32)</f>
        <v>N.D.</v>
      </c>
      <c r="I43" s="11">
        <f>BDER!$D189/1000+ajustes!E24</f>
        <v>0</v>
      </c>
      <c r="J43" s="219" t="str">
        <f t="shared" ref="J43:L43" si="369">IF(I$32=0,"N.D.",I43/I$32)</f>
        <v>N.D.</v>
      </c>
      <c r="K43" s="206">
        <f t="shared" si="348"/>
        <v>0</v>
      </c>
      <c r="L43" s="219" t="str">
        <f t="shared" si="369"/>
        <v>N.D.</v>
      </c>
      <c r="N43" s="7" t="s">
        <v>14</v>
      </c>
      <c r="O43" s="198">
        <f>BDER!$D13/1000+ajustes!F24</f>
        <v>-263.64979999999997</v>
      </c>
      <c r="P43" s="219">
        <f t="shared" ref="P43:R43" si="370">IF(O$32=0,"N.D.",O43/O$32)</f>
        <v>-8.9311914156801273E-3</v>
      </c>
      <c r="Q43" s="11">
        <f>BDER!$D35/1000+ajustes!G24</f>
        <v>16.52196</v>
      </c>
      <c r="R43" s="219">
        <f t="shared" si="370"/>
        <v>2.6369039071330565E-3</v>
      </c>
      <c r="S43" s="30">
        <f>BDER!$D57/1000+ajustes!H24</f>
        <v>2</v>
      </c>
      <c r="T43" s="219">
        <f t="shared" ref="T43:V43" si="371">IF(S$32=0,"N.D.",S43/S$32)</f>
        <v>7.1761671757924643E-5</v>
      </c>
      <c r="U43" s="11">
        <f>BDER!$D79/1000+ajustes!I24</f>
        <v>0</v>
      </c>
      <c r="V43" s="219">
        <f t="shared" si="371"/>
        <v>0</v>
      </c>
      <c r="W43" s="30">
        <f>BDER!$D101/1000+ajustes!J24</f>
        <v>-5.5958399999999999</v>
      </c>
      <c r="X43" s="219">
        <f t="shared" ref="X43:Z43" si="372">IF(W$32=0,"N.D.",W43/W$32)</f>
        <v>-1.7172022183106372E-2</v>
      </c>
      <c r="Y43" s="11">
        <f>BDER!$D123/1000+ajustes!K24</f>
        <v>0</v>
      </c>
      <c r="Z43" s="219">
        <f t="shared" si="372"/>
        <v>0</v>
      </c>
      <c r="AA43" s="206">
        <f t="shared" si="352"/>
        <v>-250.72367999999997</v>
      </c>
      <c r="AB43" s="219">
        <f t="shared" ref="AB43" si="373">IF(AA$32=0,"N.D.",AA43/AA$32)</f>
        <v>-4.704649142434205E-3</v>
      </c>
      <c r="AC43" s="276"/>
      <c r="AE43" s="7" t="s">
        <v>14</v>
      </c>
      <c r="AF43" s="11">
        <f>BDER!$D299/1000+ajustes!L24</f>
        <v>-628.07591000000002</v>
      </c>
      <c r="AG43" s="219">
        <f t="shared" ref="AG43:AI43" si="374">IF(AF$32=0,"N.D.",AF43/AF$32)</f>
        <v>-1.1947067782698063E-2</v>
      </c>
      <c r="AH43" s="11">
        <f>BDER!$D321/1000+ajustes!M24</f>
        <v>-285.52610999999996</v>
      </c>
      <c r="AI43" s="219">
        <f t="shared" si="374"/>
        <v>-8.2575453857288341E-3</v>
      </c>
      <c r="AJ43" s="11">
        <f>BDER!$D365/1000+ajustes!N24</f>
        <v>-335.98178000000001</v>
      </c>
      <c r="AK43" s="219">
        <f t="shared" ref="AK43:AM43" si="375">IF(AJ$32=0,"N.D.",AJ43/AJ$32)</f>
        <v>-4.7619622716566827E-2</v>
      </c>
      <c r="AL43" s="11">
        <f>BDER!$D343/2000+ajustes!O24</f>
        <v>0</v>
      </c>
      <c r="AM43" s="219">
        <f t="shared" si="375"/>
        <v>0</v>
      </c>
      <c r="AN43" s="11">
        <f>ajustes!P24</f>
        <v>0</v>
      </c>
      <c r="AO43" s="219" t="str">
        <f t="shared" ref="AO43:AQ43" si="376">IF(AN$32=0,"N.D.",AN43/AN$32)</f>
        <v>N.D.</v>
      </c>
      <c r="AP43" s="11">
        <f>BDER!$D409/1000+ajustes!Q24</f>
        <v>-12.93192</v>
      </c>
      <c r="AQ43" s="219">
        <f t="shared" si="376"/>
        <v>-2.5396284198597571E-3</v>
      </c>
      <c r="AR43" s="11">
        <f>BDER!$D387/1000+ajustes!R24</f>
        <v>-103.37169</v>
      </c>
      <c r="AS43" s="219">
        <f t="shared" ref="AS43:AU43" si="377">IF(AR$32=0,"N.D.",AR43/AR$32)</f>
        <v>-1.6186334621525339E-3</v>
      </c>
      <c r="AT43" s="11">
        <f t="shared" ref="AT43:AT46" si="378">SUM(AF43,AH43,AJ43,AL43,AP43,AR43,AN43)</f>
        <v>-1365.88741</v>
      </c>
      <c r="AU43" s="219">
        <f t="shared" si="377"/>
        <v>-7.9174863757172174E-3</v>
      </c>
      <c r="AX43" s="7" t="s">
        <v>14</v>
      </c>
      <c r="AY43" s="11">
        <f>BDER!$D453/1000+ajustes!S24</f>
        <v>0</v>
      </c>
      <c r="AZ43" s="219">
        <f t="shared" si="358"/>
        <v>0</v>
      </c>
      <c r="BA43" s="206">
        <f>BDER!$D431/1000+ajustes!T24</f>
        <v>-8.2755899999999993</v>
      </c>
      <c r="BB43" s="219">
        <f t="shared" si="359"/>
        <v>-7.220423580314648E-3</v>
      </c>
      <c r="BC43" s="206">
        <f t="shared" si="360"/>
        <v>-8.2755899999999993</v>
      </c>
      <c r="BD43" s="219">
        <f t="shared" si="361"/>
        <v>-1.1172797115324919E-3</v>
      </c>
      <c r="BE43" s="187"/>
      <c r="BG43" s="7" t="s">
        <v>171</v>
      </c>
      <c r="BH43" s="198">
        <f>BDER!$D$679/1000+ajustes!U25</f>
        <v>0</v>
      </c>
      <c r="BI43" s="219" t="str">
        <f t="shared" si="362"/>
        <v>N.D.</v>
      </c>
      <c r="BJ43" s="198">
        <f>BDER!$D477/1000+ajustes!V25</f>
        <v>0</v>
      </c>
      <c r="BK43" s="219">
        <f t="shared" si="362"/>
        <v>0</v>
      </c>
      <c r="BL43" s="11">
        <f>BDER!$D500/1000+ajustes!W25</f>
        <v>0</v>
      </c>
      <c r="BM43" s="219">
        <f t="shared" ref="BM43:BO43" si="379">IF(BL$32=0,"N.D.",BL43/BL$32)</f>
        <v>0</v>
      </c>
      <c r="BN43" s="30">
        <f>BDER!$D567/1000+ajustes!X25</f>
        <v>0</v>
      </c>
      <c r="BO43" s="219">
        <f t="shared" si="379"/>
        <v>0</v>
      </c>
      <c r="BP43" s="11">
        <f>BDER!$D612/1000+ajustes!Y25</f>
        <v>0</v>
      </c>
      <c r="BQ43" s="219">
        <f t="shared" ref="BQ43:BS43" si="380">IF(BP$32=0,"N.D.",BP43/BP$32)</f>
        <v>0</v>
      </c>
      <c r="BR43" s="206">
        <f t="shared" ref="BR43:BR44" si="381">SUM(BJ43,BL43,BN43,BP43)+BH43</f>
        <v>0</v>
      </c>
      <c r="BS43" s="219">
        <f t="shared" si="380"/>
        <v>0</v>
      </c>
      <c r="BU43" s="7" t="s">
        <v>171</v>
      </c>
      <c r="BV43" s="198">
        <f>BDER!$D522/1000+ajustes!Z25</f>
        <v>5.0595600000000003</v>
      </c>
      <c r="BW43" s="219">
        <f t="shared" ref="BW43:BY43" si="382">IF(BV$32=0,"N.D.",BV43/BV$32)</f>
        <v>0.11412655479938259</v>
      </c>
      <c r="BX43" s="11">
        <f>BDER!$D589/1000+ajustes!AA25</f>
        <v>2.5373699999999997</v>
      </c>
      <c r="BY43" s="219">
        <f t="shared" si="382"/>
        <v>8.4990951140176421E-2</v>
      </c>
      <c r="BZ43" s="30">
        <f>BDER!$D634/1000+ajustes!AB25</f>
        <v>1.3479000000000001</v>
      </c>
      <c r="CA43" s="219">
        <f t="shared" ref="CA43:CC43" si="383">IF(BZ$32=0,"N.D.",BZ43/BZ$32)</f>
        <v>6.744801413911336E-2</v>
      </c>
      <c r="CB43" s="11">
        <f>BDER!$D544/1000+ajustes!AC25</f>
        <v>0</v>
      </c>
      <c r="CC43" s="219">
        <f t="shared" si="383"/>
        <v>0</v>
      </c>
      <c r="CD43" s="206">
        <f>BDER!$D656/1000+ajustes!AD25</f>
        <v>2.9152100000000001</v>
      </c>
      <c r="CE43" s="219">
        <f t="shared" ref="CE43:CG43" si="384">IF(CD$32=0,"N.D.",CD43/CD$32)</f>
        <v>0.56245610650202593</v>
      </c>
      <c r="CF43" s="206">
        <f>SUM(BV43,BX43,BZ43,CB43,CD43)</f>
        <v>11.86004</v>
      </c>
      <c r="CG43" s="219">
        <f t="shared" si="384"/>
        <v>0.11503683494190368</v>
      </c>
    </row>
    <row r="44" spans="2:85" x14ac:dyDescent="0.35">
      <c r="B44" s="7" t="s">
        <v>15</v>
      </c>
      <c r="C44" s="198">
        <f>BDER!$D168/1000+ajustes!B25</f>
        <v>0</v>
      </c>
      <c r="D44" s="219" t="str">
        <f t="shared" si="345"/>
        <v>N.D.</v>
      </c>
      <c r="E44" s="11">
        <f>BDER!$D146/1000+ajustes!C25</f>
        <v>0</v>
      </c>
      <c r="F44" s="219" t="str">
        <f t="shared" si="345"/>
        <v>N.D.</v>
      </c>
      <c r="G44" s="30">
        <f>BDER!$D212/1000+ajustes!D25</f>
        <v>0</v>
      </c>
      <c r="H44" s="219" t="str">
        <f t="shared" ref="H44" si="385">IF(G$32=0,"N.D.",G44/G$32)</f>
        <v>N.D.</v>
      </c>
      <c r="I44" s="11">
        <f>BDER!$D190/1000+ajustes!E25</f>
        <v>0</v>
      </c>
      <c r="J44" s="219" t="str">
        <f t="shared" ref="J44:L44" si="386">IF(I$32=0,"N.D.",I44/I$32)</f>
        <v>N.D.</v>
      </c>
      <c r="K44" s="206">
        <f t="shared" si="348"/>
        <v>0</v>
      </c>
      <c r="L44" s="219" t="str">
        <f t="shared" si="386"/>
        <v>N.D.</v>
      </c>
      <c r="N44" s="7" t="s">
        <v>15</v>
      </c>
      <c r="O44" s="198">
        <f>BDER!$D14/1000+ajustes!F25</f>
        <v>713.4135500000001</v>
      </c>
      <c r="P44" s="219">
        <f t="shared" ref="P44:R44" si="387">IF(O$32=0,"N.D.",O44/O$32)</f>
        <v>2.4167031318020674E-2</v>
      </c>
      <c r="Q44" s="11">
        <f>BDER!$D36/1000+ajustes!G25</f>
        <v>1.0768</v>
      </c>
      <c r="R44" s="219">
        <f t="shared" si="387"/>
        <v>1.7185722076562801E-4</v>
      </c>
      <c r="S44" s="30">
        <f>BDER!$D58/1000+ajustes!H25</f>
        <v>187.72045</v>
      </c>
      <c r="T44" s="219">
        <f t="shared" ref="T44:V44" si="388">IF(S$32=0,"N.D.",S44/S$32)</f>
        <v>6.7355666575749529E-3</v>
      </c>
      <c r="U44" s="11">
        <f>BDER!$D80/1000+ajustes!I25</f>
        <v>4.5594099999999997</v>
      </c>
      <c r="V44" s="219">
        <f t="shared" si="388"/>
        <v>1.3199400597872421E-3</v>
      </c>
      <c r="W44" s="30">
        <f>BDER!$D102/1000+ajustes!J25</f>
        <v>0.86776999999999993</v>
      </c>
      <c r="X44" s="219">
        <f t="shared" ref="X44:Z44" si="389">IF(W$32=0,"N.D.",W44/W$32)</f>
        <v>2.6629363401802436E-3</v>
      </c>
      <c r="Y44" s="11">
        <f>BDER!$D124/1000+ajustes!K25</f>
        <v>1.5342499999999999</v>
      </c>
      <c r="Z44" s="219">
        <f t="shared" si="389"/>
        <v>5.8102325229114592E-3</v>
      </c>
      <c r="AA44" s="206">
        <f t="shared" si="352"/>
        <v>909.17223000000013</v>
      </c>
      <c r="AB44" s="219">
        <f t="shared" ref="AB44" si="390">IF(AA$32=0,"N.D.",AA44/AA$32)</f>
        <v>1.7059961596744652E-2</v>
      </c>
      <c r="AC44" s="276"/>
      <c r="AE44" s="7" t="s">
        <v>15</v>
      </c>
      <c r="AF44" s="11">
        <f>BDER!$D300/1000+ajustes!L25</f>
        <v>2.2859999999999998E-2</v>
      </c>
      <c r="AG44" s="219">
        <f t="shared" ref="AG44:AI44" si="391">IF(AF$32=0,"N.D.",AF44/AF$32)</f>
        <v>4.3483592534615397E-7</v>
      </c>
      <c r="AH44" s="11">
        <f>BDER!$D322/1000+ajustes!M25</f>
        <v>0.78415000000000001</v>
      </c>
      <c r="AI44" s="219">
        <f t="shared" si="391"/>
        <v>2.2677975804802111E-5</v>
      </c>
      <c r="AJ44" s="11">
        <f>BDER!$D366/1000+ajustes!N25</f>
        <v>0</v>
      </c>
      <c r="AK44" s="219">
        <f t="shared" ref="AK44:AM44" si="392">IF(AJ$32=0,"N.D.",AJ44/AJ$32)</f>
        <v>0</v>
      </c>
      <c r="AL44" s="11">
        <f>BDER!$D344/2000+ajustes!O25</f>
        <v>15.367749999999999</v>
      </c>
      <c r="AM44" s="219">
        <f t="shared" si="392"/>
        <v>1.6427331484717162E-3</v>
      </c>
      <c r="AN44" s="11">
        <f>ajustes!P25</f>
        <v>0</v>
      </c>
      <c r="AO44" s="219" t="str">
        <f t="shared" ref="AO44:AQ44" si="393">IF(AN$32=0,"N.D.",AN44/AN$32)</f>
        <v>N.D.</v>
      </c>
      <c r="AP44" s="11">
        <f>BDER!$D410/1000+ajustes!Q25</f>
        <v>0</v>
      </c>
      <c r="AQ44" s="219">
        <f t="shared" si="393"/>
        <v>0</v>
      </c>
      <c r="AR44" s="11">
        <f>BDER!$D388/1000+ajustes!R25</f>
        <v>188.6404</v>
      </c>
      <c r="AS44" s="219">
        <f t="shared" ref="AS44:AU44" si="394">IF(AR$32=0,"N.D.",AR44/AR$32)</f>
        <v>2.9538035389944659E-3</v>
      </c>
      <c r="AT44" s="11">
        <f>SUM(AF44,AH44,AJ44,AL44,AP44,AR44,AN44)</f>
        <v>204.81515999999999</v>
      </c>
      <c r="AU44" s="219">
        <f t="shared" si="394"/>
        <v>1.1872290695177736E-3</v>
      </c>
      <c r="AX44" s="7" t="s">
        <v>15</v>
      </c>
      <c r="AY44" s="11">
        <f>BDER!$D454/1000+ajustes!S25</f>
        <v>2.88239</v>
      </c>
      <c r="AZ44" s="219">
        <f t="shared" si="358"/>
        <v>4.603888075553094E-4</v>
      </c>
      <c r="BA44" s="206">
        <f>BDER!$D432/1000+ajustes!T25</f>
        <v>1.4091199999999999</v>
      </c>
      <c r="BB44" s="219">
        <f t="shared" si="359"/>
        <v>1.2294523140335585E-3</v>
      </c>
      <c r="BC44" s="206">
        <f t="shared" si="360"/>
        <v>4.2915099999999997</v>
      </c>
      <c r="BD44" s="219">
        <f t="shared" si="361"/>
        <v>5.7939277499716689E-4</v>
      </c>
      <c r="BE44" s="187"/>
      <c r="BG44" s="7" t="s">
        <v>172</v>
      </c>
      <c r="BH44" s="198">
        <f>BDER!$D$680/1000+ajustes!U26</f>
        <v>0</v>
      </c>
      <c r="BI44" s="219" t="str">
        <f t="shared" si="362"/>
        <v>N.D.</v>
      </c>
      <c r="BJ44" s="196">
        <f>BDER!$D478/1000+ajustes!V26</f>
        <v>0</v>
      </c>
      <c r="BK44" s="219">
        <f t="shared" si="362"/>
        <v>0</v>
      </c>
      <c r="BL44" s="34">
        <f>BDER!$D501/1000+ajustes!W26</f>
        <v>0</v>
      </c>
      <c r="BM44" s="219">
        <f t="shared" ref="BM44:BO44" si="395">IF(BL$32=0,"N.D.",BL44/BL$32)</f>
        <v>0</v>
      </c>
      <c r="BN44" s="197">
        <f>BDER!$D568/1000+ajustes!X26</f>
        <v>0</v>
      </c>
      <c r="BO44" s="219">
        <f t="shared" si="395"/>
        <v>0</v>
      </c>
      <c r="BP44" s="34">
        <f>BDER!$D613/1000+ajustes!Y26</f>
        <v>0</v>
      </c>
      <c r="BQ44" s="219">
        <f t="shared" ref="BQ44:BS44" si="396">IF(BP$32=0,"N.D.",BP44/BP$32)</f>
        <v>0</v>
      </c>
      <c r="BR44" s="206">
        <f t="shared" si="381"/>
        <v>0</v>
      </c>
      <c r="BS44" s="219">
        <f t="shared" si="396"/>
        <v>0</v>
      </c>
      <c r="BU44" s="7" t="s">
        <v>172</v>
      </c>
      <c r="BV44" s="196">
        <f>BDER!$D523/1000+ajustes!Z26</f>
        <v>0</v>
      </c>
      <c r="BW44" s="219">
        <f t="shared" ref="BW44:BY44" si="397">IF(BV$32=0,"N.D.",BV44/BV$32)</f>
        <v>0</v>
      </c>
      <c r="BX44" s="34">
        <f>BDER!$D590/1000+ajustes!AA26</f>
        <v>0</v>
      </c>
      <c r="BY44" s="219">
        <f t="shared" si="397"/>
        <v>0</v>
      </c>
      <c r="BZ44" s="197">
        <f>BDER!$D635/1000+ajustes!AB26</f>
        <v>0</v>
      </c>
      <c r="CA44" s="219">
        <f t="shared" ref="CA44:CC44" si="398">IF(BZ$32=0,"N.D.",BZ44/BZ$32)</f>
        <v>0</v>
      </c>
      <c r="CB44" s="34">
        <f>BDER!$D545/1000+ajustes!AC26</f>
        <v>0</v>
      </c>
      <c r="CC44" s="219">
        <f t="shared" si="398"/>
        <v>0</v>
      </c>
      <c r="CD44" s="207">
        <f>BDER!$D657/1000+ajustes!AD26</f>
        <v>0</v>
      </c>
      <c r="CE44" s="219">
        <f t="shared" ref="CE44:CG44" si="399">IF(CD$32=0,"N.D.",CD44/CD$32)</f>
        <v>0</v>
      </c>
      <c r="CF44" s="206">
        <f>SUM(BV44,BX44,BZ44,CB44,CD44)</f>
        <v>0</v>
      </c>
      <c r="CG44" s="219">
        <f t="shared" si="399"/>
        <v>0</v>
      </c>
    </row>
    <row r="45" spans="2:85" x14ac:dyDescent="0.35">
      <c r="B45" s="7" t="s">
        <v>16</v>
      </c>
      <c r="C45" s="198">
        <f>BDER!$D169/1000-BDER!$D169/1000+ajustes!B26</f>
        <v>0</v>
      </c>
      <c r="D45" s="219" t="str">
        <f t="shared" si="345"/>
        <v>N.D.</v>
      </c>
      <c r="E45" s="11">
        <f>BDER!$D147/1000+ajustes!C26</f>
        <v>0</v>
      </c>
      <c r="F45" s="219" t="str">
        <f t="shared" si="345"/>
        <v>N.D.</v>
      </c>
      <c r="G45" s="30">
        <f>BDER!$D213/1000+ajustes!D26</f>
        <v>0</v>
      </c>
      <c r="H45" s="219" t="str">
        <f t="shared" ref="H45" si="400">IF(G$32=0,"N.D.",G45/G$32)</f>
        <v>N.D.</v>
      </c>
      <c r="I45" s="11">
        <f>BDER!$D191/1000+ajustes!E26</f>
        <v>0</v>
      </c>
      <c r="J45" s="219" t="str">
        <f t="shared" ref="J45:L45" si="401">IF(I$32=0,"N.D.",I45/I$32)</f>
        <v>N.D.</v>
      </c>
      <c r="K45" s="206">
        <f t="shared" si="348"/>
        <v>0</v>
      </c>
      <c r="L45" s="219" t="str">
        <f t="shared" si="401"/>
        <v>N.D.</v>
      </c>
      <c r="N45" s="7" t="s">
        <v>16</v>
      </c>
      <c r="O45" s="198">
        <f>BDER!$D15/1000+ajustes!F26</f>
        <v>18.106249999999999</v>
      </c>
      <c r="P45" s="219">
        <f t="shared" ref="P45:R45" si="402">IF(O$32=0,"N.D.",O45/O$32)</f>
        <v>6.1335295748435358E-4</v>
      </c>
      <c r="Q45" s="11">
        <f>BDER!$D37/1000+ajustes!G26</f>
        <v>8.2839899999999993</v>
      </c>
      <c r="R45" s="219">
        <f t="shared" si="402"/>
        <v>1.3221243483007566E-3</v>
      </c>
      <c r="S45" s="30">
        <f>BDER!$D59/1000+ajustes!H26</f>
        <v>5.3323999999999998</v>
      </c>
      <c r="T45" s="219">
        <f t="shared" ref="T45:V45" si="403">IF(S$32=0,"N.D.",S45/S$32)</f>
        <v>1.9133096924097868E-4</v>
      </c>
      <c r="U45" s="11">
        <f>BDER!$D81/1000+ajustes!I26</f>
        <v>0</v>
      </c>
      <c r="V45" s="219">
        <f t="shared" si="403"/>
        <v>0</v>
      </c>
      <c r="W45" s="30">
        <f>BDER!$D103/1000+ajustes!J26</f>
        <v>0</v>
      </c>
      <c r="X45" s="219">
        <f t="shared" ref="X45:Z45" si="404">IF(W$32=0,"N.D.",W45/W$32)</f>
        <v>0</v>
      </c>
      <c r="Y45" s="11">
        <f>BDER!$D125/1000+ajustes!K26</f>
        <v>8.0000000000000007E-5</v>
      </c>
      <c r="Z45" s="219">
        <f t="shared" si="404"/>
        <v>3.0296144815572221E-7</v>
      </c>
      <c r="AA45" s="206">
        <f t="shared" si="352"/>
        <v>31.722719999999999</v>
      </c>
      <c r="AB45" s="219">
        <f t="shared" ref="AB45" si="405">IF(AA$32=0,"N.D.",AA45/AA$32)</f>
        <v>5.9525397618478005E-4</v>
      </c>
      <c r="AC45" s="276"/>
      <c r="AE45" s="7" t="s">
        <v>16</v>
      </c>
      <c r="AF45" s="11">
        <f>BDER!$D301/1000+ajustes!L26</f>
        <v>2.2000000000000001E-4</v>
      </c>
      <c r="AG45" s="219">
        <f t="shared" ref="AG45:AI45" si="406">IF(AF$32=0,"N.D.",AF45/AF$32)</f>
        <v>4.1847726848711233E-9</v>
      </c>
      <c r="AH45" s="11">
        <f>BDER!$D323/1000+ajustes!M26</f>
        <v>5.6159999999999995E-2</v>
      </c>
      <c r="AI45" s="219">
        <f t="shared" si="406"/>
        <v>1.6241728256043951E-6</v>
      </c>
      <c r="AJ45" s="11">
        <f>BDER!$D367/1000+ajustes!N26</f>
        <v>0</v>
      </c>
      <c r="AK45" s="219">
        <f t="shared" ref="AK45:AM45" si="407">IF(AJ$32=0,"N.D.",AJ45/AJ$32)</f>
        <v>0</v>
      </c>
      <c r="AL45" s="11">
        <f>BDER!$D345/2000+ajustes!O26</f>
        <v>65.005485000000007</v>
      </c>
      <c r="AM45" s="219">
        <f t="shared" si="407"/>
        <v>6.9487507957886442E-3</v>
      </c>
      <c r="AN45" s="11">
        <f>ajustes!P26</f>
        <v>0</v>
      </c>
      <c r="AO45" s="219" t="str">
        <f t="shared" ref="AO45:AQ45" si="408">IF(AN$32=0,"N.D.",AN45/AN$32)</f>
        <v>N.D.</v>
      </c>
      <c r="AP45" s="11">
        <f>BDER!$D411/1000+ajustes!Q26</f>
        <v>4.9699999999999996E-3</v>
      </c>
      <c r="AQ45" s="219">
        <f t="shared" si="408"/>
        <v>9.7603087915042728E-7</v>
      </c>
      <c r="AR45" s="11">
        <f>BDER!$D389/1000+ajustes!R26</f>
        <v>0</v>
      </c>
      <c r="AS45" s="219">
        <f t="shared" ref="AS45:AU45" si="409">IF(AR$32=0,"N.D.",AR45/AR$32)</f>
        <v>0</v>
      </c>
      <c r="AT45" s="11">
        <f t="shared" si="378"/>
        <v>65.066835000000012</v>
      </c>
      <c r="AU45" s="219">
        <f t="shared" si="409"/>
        <v>3.7716562569644024E-4</v>
      </c>
      <c r="AX45" s="7" t="s">
        <v>16</v>
      </c>
      <c r="AY45" s="11">
        <f>BDER!$D455/1000+ajustes!S26</f>
        <v>372.76143000000002</v>
      </c>
      <c r="AZ45" s="219">
        <f t="shared" si="358"/>
        <v>5.9539198463883072E-2</v>
      </c>
      <c r="BA45" s="206">
        <f>BDER!$D433/1000+ajustes!T26</f>
        <v>0</v>
      </c>
      <c r="BB45" s="219">
        <f t="shared" si="359"/>
        <v>0</v>
      </c>
      <c r="BC45" s="206">
        <f t="shared" si="360"/>
        <v>372.76143000000002</v>
      </c>
      <c r="BD45" s="219">
        <f t="shared" si="361"/>
        <v>5.0326174083157725E-2</v>
      </c>
      <c r="BE45" s="187"/>
      <c r="BG45" s="7" t="s">
        <v>173</v>
      </c>
      <c r="BH45" s="14">
        <f>BH42+BH43</f>
        <v>0</v>
      </c>
      <c r="BI45" s="22" t="str">
        <f t="shared" si="362"/>
        <v>N.D.</v>
      </c>
      <c r="BJ45" s="208">
        <f>BJ42+BJ43</f>
        <v>-1.12845</v>
      </c>
      <c r="BK45" s="22">
        <f t="shared" si="362"/>
        <v>-3.6347328753978982E-3</v>
      </c>
      <c r="BL45" s="208">
        <f>BL42+BL43</f>
        <v>-4.1493000000000002</v>
      </c>
      <c r="BM45" s="22">
        <f t="shared" ref="BM45:BO45" si="410">IF(BL$32=0,"N.D.",BL45/BL$32)</f>
        <v>-6.8546814956953681E-3</v>
      </c>
      <c r="BN45" s="208">
        <f>BN42+BN43</f>
        <v>-2.4061699999999999</v>
      </c>
      <c r="BO45" s="22">
        <f t="shared" si="410"/>
        <v>-8.7511780159171444E-3</v>
      </c>
      <c r="BP45" s="208">
        <f>BP42+BP43</f>
        <v>-2.4493499999999999</v>
      </c>
      <c r="BQ45" s="22">
        <f t="shared" ref="BQ45:BS45" si="411">IF(BP$32=0,"N.D.",BP45/BP$32)</f>
        <v>-6.3555647538207595E-3</v>
      </c>
      <c r="BR45" s="14">
        <f>BR42+BR43</f>
        <v>-10.13327</v>
      </c>
      <c r="BS45" s="22">
        <f t="shared" si="411"/>
        <v>-6.4292216345023913E-3</v>
      </c>
      <c r="BU45" s="7" t="s">
        <v>173</v>
      </c>
      <c r="BV45" s="208">
        <f>BV42+BV43</f>
        <v>5.0595600000000003</v>
      </c>
      <c r="BW45" s="22">
        <f t="shared" ref="BW45:BY45" si="412">IF(BV$32=0,"N.D.",BV45/BV$32)</f>
        <v>0.11412655479938259</v>
      </c>
      <c r="BX45" s="208">
        <f>BX42+BX43</f>
        <v>2.5373699999999997</v>
      </c>
      <c r="BY45" s="22">
        <f t="shared" si="412"/>
        <v>8.4990951140176421E-2</v>
      </c>
      <c r="BZ45" s="208">
        <f>BZ42+BZ43</f>
        <v>1.3479000000000001</v>
      </c>
      <c r="CA45" s="22">
        <f t="shared" ref="CA45:CC45" si="413">IF(BZ$32=0,"N.D.",BZ45/BZ$32)</f>
        <v>6.744801413911336E-2</v>
      </c>
      <c r="CB45" s="208">
        <f>CB42+CB43</f>
        <v>0</v>
      </c>
      <c r="CC45" s="22">
        <f t="shared" si="413"/>
        <v>0</v>
      </c>
      <c r="CD45" s="208">
        <f>CD42+CD43</f>
        <v>2.9152100000000001</v>
      </c>
      <c r="CE45" s="22">
        <f t="shared" ref="CE45:CG45" si="414">IF(CD$32=0,"N.D.",CD45/CD$32)</f>
        <v>0.56245610650202593</v>
      </c>
      <c r="CF45" s="14">
        <f>CF42+CF43</f>
        <v>11.86004</v>
      </c>
      <c r="CG45" s="22">
        <f t="shared" si="414"/>
        <v>0.11503683494190368</v>
      </c>
    </row>
    <row r="46" spans="2:85" x14ac:dyDescent="0.35">
      <c r="B46" s="7" t="s">
        <v>143</v>
      </c>
      <c r="C46" s="196">
        <f>BDER!$D170/1000+ajustes!B27</f>
        <v>0</v>
      </c>
      <c r="D46" s="219" t="str">
        <f t="shared" si="345"/>
        <v>N.D.</v>
      </c>
      <c r="E46" s="34">
        <f>BDER!$D148/1000+ajustes!C27</f>
        <v>0</v>
      </c>
      <c r="F46" s="219" t="str">
        <f t="shared" si="345"/>
        <v>N.D.</v>
      </c>
      <c r="G46" s="197">
        <f>BDER!$D214/1000+ajustes!D27</f>
        <v>0</v>
      </c>
      <c r="H46" s="219" t="str">
        <f t="shared" ref="H46" si="415">IF(G$32=0,"N.D.",G46/G$32)</f>
        <v>N.D.</v>
      </c>
      <c r="I46" s="34">
        <f>BDER!$D192/1000+ajustes!E27</f>
        <v>0</v>
      </c>
      <c r="J46" s="219" t="str">
        <f t="shared" ref="J46:L46" si="416">IF(I$32=0,"N.D.",I46/I$32)</f>
        <v>N.D.</v>
      </c>
      <c r="K46" s="207">
        <f t="shared" si="348"/>
        <v>0</v>
      </c>
      <c r="L46" s="219" t="str">
        <f t="shared" si="416"/>
        <v>N.D.</v>
      </c>
      <c r="N46" s="7" t="s">
        <v>143</v>
      </c>
      <c r="O46" s="196">
        <f>BDER!$D16/1000+ajustes!F27</f>
        <v>0</v>
      </c>
      <c r="P46" s="219">
        <f t="shared" ref="P46:R46" si="417">IF(O$32=0,"N.D.",O46/O$32)</f>
        <v>0</v>
      </c>
      <c r="Q46" s="34">
        <f>BDER!$D38/1000+ajustes!G27</f>
        <v>0</v>
      </c>
      <c r="R46" s="219">
        <f t="shared" si="417"/>
        <v>0</v>
      </c>
      <c r="S46" s="197">
        <f>BDER!$D60/1000+ajustes!H27</f>
        <v>0</v>
      </c>
      <c r="T46" s="219">
        <f t="shared" ref="T46:V46" si="418">IF(S$32=0,"N.D.",S46/S$32)</f>
        <v>0</v>
      </c>
      <c r="U46" s="34">
        <f>BDER!$D82/1000+ajustes!I27</f>
        <v>0</v>
      </c>
      <c r="V46" s="219">
        <f t="shared" si="418"/>
        <v>0</v>
      </c>
      <c r="W46" s="197">
        <f>BDER!$D104/1000+ajustes!J27</f>
        <v>0</v>
      </c>
      <c r="X46" s="219">
        <f t="shared" ref="X46:Z46" si="419">IF(W$32=0,"N.D.",W46/W$32)</f>
        <v>0</v>
      </c>
      <c r="Y46" s="34">
        <f>BDER!$D126/1000+ajustes!K27</f>
        <v>0</v>
      </c>
      <c r="Z46" s="219">
        <f t="shared" si="419"/>
        <v>0</v>
      </c>
      <c r="AA46" s="207">
        <f t="shared" si="352"/>
        <v>0</v>
      </c>
      <c r="AB46" s="219">
        <f t="shared" ref="AB46" si="420">IF(AA$32=0,"N.D.",AA46/AA$32)</f>
        <v>0</v>
      </c>
      <c r="AC46" s="276"/>
      <c r="AE46" s="7" t="s">
        <v>143</v>
      </c>
      <c r="AF46" s="11">
        <f>BDER!$D302/1000+ajustes!L27</f>
        <v>0</v>
      </c>
      <c r="AG46" s="219">
        <f t="shared" ref="AG46:AI46" si="421">IF(AF$32=0,"N.D.",AF46/AF$32)</f>
        <v>0</v>
      </c>
      <c r="AH46" s="11">
        <f>BDER!$D324/1000+ajustes!M27</f>
        <v>0</v>
      </c>
      <c r="AI46" s="219">
        <f t="shared" si="421"/>
        <v>0</v>
      </c>
      <c r="AJ46" s="11">
        <f>BDER!$D368/1000+ajustes!N27</f>
        <v>0</v>
      </c>
      <c r="AK46" s="219">
        <f t="shared" ref="AK46:AM46" si="422">IF(AJ$32=0,"N.D.",AJ46/AJ$32)</f>
        <v>0</v>
      </c>
      <c r="AL46" s="11">
        <f>BDER!$D346/2000+ajustes!O27</f>
        <v>0</v>
      </c>
      <c r="AM46" s="219">
        <f t="shared" si="422"/>
        <v>0</v>
      </c>
      <c r="AN46" s="11">
        <f>ajustes!P27</f>
        <v>0</v>
      </c>
      <c r="AO46" s="219" t="str">
        <f t="shared" ref="AO46:AQ46" si="423">IF(AN$32=0,"N.D.",AN46/AN$32)</f>
        <v>N.D.</v>
      </c>
      <c r="AP46" s="11">
        <f>BDER!$D412/1000+ajustes!Q27</f>
        <v>0</v>
      </c>
      <c r="AQ46" s="219">
        <f t="shared" si="423"/>
        <v>0</v>
      </c>
      <c r="AR46" s="11">
        <f>BDER!$D390/1000+ajustes!R27</f>
        <v>0</v>
      </c>
      <c r="AS46" s="219">
        <f t="shared" ref="AS46:AU46" si="424">IF(AR$32=0,"N.D.",AR46/AR$32)</f>
        <v>0</v>
      </c>
      <c r="AT46" s="11">
        <f t="shared" si="378"/>
        <v>0</v>
      </c>
      <c r="AU46" s="219">
        <f t="shared" si="424"/>
        <v>0</v>
      </c>
      <c r="AX46" s="7" t="s">
        <v>143</v>
      </c>
      <c r="AY46" s="34">
        <f>BDER!$D456/1000+ajustes!S27</f>
        <v>0</v>
      </c>
      <c r="AZ46" s="219">
        <f t="shared" si="358"/>
        <v>0</v>
      </c>
      <c r="BA46" s="207">
        <f>BDER!$D434/1000+ajustes!T27</f>
        <v>0</v>
      </c>
      <c r="BB46" s="219">
        <f t="shared" si="359"/>
        <v>0</v>
      </c>
      <c r="BC46" s="206">
        <f t="shared" si="360"/>
        <v>0</v>
      </c>
      <c r="BD46" s="219">
        <f t="shared" si="361"/>
        <v>0</v>
      </c>
      <c r="BE46" s="187"/>
      <c r="BG46" s="7" t="s">
        <v>174</v>
      </c>
      <c r="BH46" s="14">
        <f>BH40-BH45</f>
        <v>-0.01</v>
      </c>
      <c r="BI46" s="22" t="str">
        <f t="shared" si="362"/>
        <v>N.D.</v>
      </c>
      <c r="BJ46" s="14">
        <f>BJ40-BJ45</f>
        <v>15.547089999999955</v>
      </c>
      <c r="BK46" s="22">
        <f t="shared" si="362"/>
        <v>5.0077113863945893E-2</v>
      </c>
      <c r="BL46" s="14">
        <f>BL40-BL45</f>
        <v>23.130519999999951</v>
      </c>
      <c r="BM46" s="22">
        <f t="shared" ref="BM46:BO46" si="425">IF(BL$32=0,"N.D.",BL46/BL$32)</f>
        <v>3.821183029181098E-2</v>
      </c>
      <c r="BN46" s="14">
        <f>BN40-BN45</f>
        <v>33.297230000000013</v>
      </c>
      <c r="BO46" s="22">
        <f t="shared" si="425"/>
        <v>0.12110116374443074</v>
      </c>
      <c r="BP46" s="14">
        <f>BP40-BP45</f>
        <v>27.258080000000053</v>
      </c>
      <c r="BQ46" s="22">
        <f t="shared" ref="BQ46:BS46" si="426">IF(BP$32=0,"N.D.",BP46/BP$32)</f>
        <v>7.0729169985843957E-2</v>
      </c>
      <c r="BR46" s="14">
        <f>BR40-BR45</f>
        <v>99.222919999999888</v>
      </c>
      <c r="BS46" s="22">
        <f t="shared" si="426"/>
        <v>6.295363134531097E-2</v>
      </c>
      <c r="BU46" s="7" t="s">
        <v>174</v>
      </c>
      <c r="BV46" s="14">
        <f>BV40-BV45</f>
        <v>7.5470300000000003</v>
      </c>
      <c r="BW46" s="22">
        <f t="shared" ref="BW46:BY46" si="427">IF(BV$32=0,"N.D.",BV46/BV$32)</f>
        <v>0.17023546175311377</v>
      </c>
      <c r="BX46" s="14">
        <f>BX40-BX45</f>
        <v>15.43337</v>
      </c>
      <c r="BY46" s="22">
        <f t="shared" si="427"/>
        <v>0.51695132976202318</v>
      </c>
      <c r="BZ46" s="14">
        <f>BZ40-BZ45</f>
        <v>14.300839999999997</v>
      </c>
      <c r="CA46" s="22">
        <f t="shared" ref="CA46:CC46" si="428">IF(BZ$32=0,"N.D.",BZ46/BZ$32)</f>
        <v>0.71560446510957609</v>
      </c>
      <c r="CB46" s="14">
        <f>CB40-CB45</f>
        <v>-5.8240000000000069E-2</v>
      </c>
      <c r="CC46" s="22">
        <f t="shared" si="428"/>
        <v>-1.5559711461394623E-2</v>
      </c>
      <c r="CD46" s="14">
        <f>CD40-CD45</f>
        <v>2.2443999999999997</v>
      </c>
      <c r="CE46" s="22">
        <f t="shared" ref="CE46:CG46" si="429">IF(CD$32=0,"N.D.",CD46/CD$32)</f>
        <v>0.43303106309087397</v>
      </c>
      <c r="CF46" s="14">
        <f>CF40-CF45</f>
        <v>39.467399999999998</v>
      </c>
      <c r="CG46" s="22">
        <f t="shared" si="429"/>
        <v>0.38281530073980269</v>
      </c>
    </row>
    <row r="47" spans="2:85" x14ac:dyDescent="0.35">
      <c r="B47" s="4" t="s">
        <v>17</v>
      </c>
      <c r="C47" s="216">
        <f>C42+C43+C44-C45</f>
        <v>0</v>
      </c>
      <c r="D47" s="22" t="str">
        <f t="shared" si="345"/>
        <v>N.D.</v>
      </c>
      <c r="E47" s="208">
        <f>E42+E43+E44-E45</f>
        <v>0</v>
      </c>
      <c r="F47" s="22" t="str">
        <f t="shared" si="345"/>
        <v>N.D.</v>
      </c>
      <c r="G47" s="202">
        <f>G42+G43+G44-G45</f>
        <v>0</v>
      </c>
      <c r="H47" s="22" t="str">
        <f t="shared" ref="H47" si="430">IF(G$32=0,"N.D.",G47/G$32)</f>
        <v>N.D.</v>
      </c>
      <c r="I47" s="208">
        <f>I42+I43+I44-I45</f>
        <v>0</v>
      </c>
      <c r="J47" s="22" t="str">
        <f t="shared" ref="J47:L47" si="431">IF(I$32=0,"N.D.",I47/I$32)</f>
        <v>N.D.</v>
      </c>
      <c r="K47" s="213">
        <f>K42+K43+K44-K45</f>
        <v>0</v>
      </c>
      <c r="L47" s="22" t="str">
        <f t="shared" si="431"/>
        <v>N.D.</v>
      </c>
      <c r="N47" s="4" t="s">
        <v>17</v>
      </c>
      <c r="O47" s="216">
        <f>O42+O43+O44-O45</f>
        <v>457.95818000000014</v>
      </c>
      <c r="P47" s="22">
        <f t="shared" ref="P47:R47" si="432">IF(O$32=0,"N.D.",O47/O$32)</f>
        <v>1.551342791064699E-2</v>
      </c>
      <c r="Q47" s="208">
        <f>Q42+Q43+Q44-Q45</f>
        <v>150.12882999999999</v>
      </c>
      <c r="R47" s="22">
        <f t="shared" si="432"/>
        <v>2.3960553009468272E-2</v>
      </c>
      <c r="S47" s="202">
        <f>S42+S43+S44-S45</f>
        <v>185.90746999999999</v>
      </c>
      <c r="T47" s="22">
        <f t="shared" ref="T47:V47" si="433">IF(S$32=0,"N.D.",S47/S$32)</f>
        <v>6.6705154197431111E-3</v>
      </c>
      <c r="U47" s="208">
        <f>U42+U43+U44-U45</f>
        <v>2.3674499999999998</v>
      </c>
      <c r="V47" s="22">
        <f t="shared" si="433"/>
        <v>6.8537203158814547E-4</v>
      </c>
      <c r="W47" s="202">
        <f>W42+W43+W44-W45</f>
        <v>-4.7160500000000001</v>
      </c>
      <c r="X47" s="22">
        <f t="shared" ref="X47:Z47" si="434">IF(W$32=0,"N.D.",W47/W$32)</f>
        <v>-1.4472199922913952E-2</v>
      </c>
      <c r="Y47" s="208">
        <f>Y42+Y43+Y44-Y45</f>
        <v>1.4040799999999998</v>
      </c>
      <c r="Z47" s="22">
        <f t="shared" si="434"/>
        <v>5.3172763765810789E-3</v>
      </c>
      <c r="AA47" s="213">
        <f>AA42+AA43+AA44-AA45</f>
        <v>793.04996000000017</v>
      </c>
      <c r="AB47" s="22">
        <f t="shared" ref="AB47" si="435">IF(AA$32=0,"N.D.",AA47/AA$32)</f>
        <v>1.4881010897022101E-2</v>
      </c>
      <c r="AC47" s="277"/>
      <c r="AE47" s="4" t="s">
        <v>17</v>
      </c>
      <c r="AF47" s="14">
        <f>AF42+AF43+AF44-AF45</f>
        <v>-629.01879999999994</v>
      </c>
      <c r="AG47" s="22">
        <f t="shared" ref="AG47:AI47" si="436">IF(AF$32=0,"N.D.",AF47/AF$32)</f>
        <v>-1.19650031477746E-2</v>
      </c>
      <c r="AH47" s="14">
        <f>AH42+AH43+AH44-AH45</f>
        <v>-278.66811999999993</v>
      </c>
      <c r="AI47" s="22">
        <f t="shared" si="436"/>
        <v>-8.0592091856528589E-3</v>
      </c>
      <c r="AJ47" s="14">
        <f>AJ42+AJ43+AJ44-AJ45</f>
        <v>-335.98178000000001</v>
      </c>
      <c r="AK47" s="22">
        <f t="shared" ref="AK47:AM47" si="437">IF(AJ$32=0,"N.D.",AJ47/AJ$32)</f>
        <v>-4.7619622716566827E-2</v>
      </c>
      <c r="AL47" s="14">
        <f>AL42+AL43+AL44-AL45</f>
        <v>-49.637735000000006</v>
      </c>
      <c r="AM47" s="22">
        <f t="shared" si="437"/>
        <v>-5.306017647316928E-3</v>
      </c>
      <c r="AN47" s="14">
        <f>AN42+AN43+AN44-AN45</f>
        <v>0</v>
      </c>
      <c r="AO47" s="22" t="str">
        <f t="shared" ref="AO47:AQ47" si="438">IF(AN$32=0,"N.D.",AN47/AN$32)</f>
        <v>N.D.</v>
      </c>
      <c r="AP47" s="14">
        <f>AP42+AP43+AP44-AP45</f>
        <v>-12.93689</v>
      </c>
      <c r="AQ47" s="22">
        <f t="shared" si="438"/>
        <v>-2.5406044507389077E-3</v>
      </c>
      <c r="AR47" s="14">
        <f>AR42+AR43+AR44-AR45</f>
        <v>834.83947000000012</v>
      </c>
      <c r="AS47" s="22">
        <f t="shared" ref="AS47:AU47" si="439">IF(AR$32=0,"N.D.",AR47/AR$32)</f>
        <v>1.3072235751081235E-2</v>
      </c>
      <c r="AT47" s="14">
        <f>AT42+AT43+AT44-AT45</f>
        <v>-471.40385499999996</v>
      </c>
      <c r="AU47" s="22">
        <f t="shared" si="439"/>
        <v>-2.7325338619404024E-3</v>
      </c>
      <c r="AX47" s="4" t="s">
        <v>17</v>
      </c>
      <c r="AY47" s="208">
        <f>AY42+AY43+AY44-AY45</f>
        <v>-352.66002000000003</v>
      </c>
      <c r="AZ47" s="22">
        <f t="shared" si="358"/>
        <v>-5.6328507273558252E-2</v>
      </c>
      <c r="BA47" s="208">
        <f>BA42+BA43+BA44-BA45</f>
        <v>-6.8664699999999996</v>
      </c>
      <c r="BB47" s="22">
        <f t="shared" si="359"/>
        <v>-5.9909712662810895E-3</v>
      </c>
      <c r="BC47" s="14">
        <f>BC42+BC43+BC44-BC45</f>
        <v>-359.52649000000002</v>
      </c>
      <c r="BD47" s="22">
        <f t="shared" si="361"/>
        <v>-4.8539337139163419E-2</v>
      </c>
      <c r="BE47" s="221"/>
      <c r="BG47" s="4"/>
      <c r="BI47" s="187"/>
      <c r="BK47" s="187"/>
      <c r="BM47" s="187"/>
      <c r="BO47" s="187"/>
      <c r="BQ47" s="187"/>
      <c r="BS47" s="187"/>
      <c r="BU47" s="4"/>
      <c r="BW47" s="187"/>
      <c r="BY47" s="187"/>
      <c r="CA47" s="187"/>
      <c r="CC47" s="187"/>
      <c r="CE47" s="187"/>
      <c r="CG47" s="187"/>
    </row>
    <row r="48" spans="2:85" x14ac:dyDescent="0.35">
      <c r="B48" s="4" t="s">
        <v>18</v>
      </c>
      <c r="C48" s="212">
        <f>C40-C47</f>
        <v>-53.631160000000001</v>
      </c>
      <c r="D48" s="22" t="str">
        <f t="shared" si="345"/>
        <v>N.D.</v>
      </c>
      <c r="E48" s="200">
        <f>E40-E47</f>
        <v>-20.7791</v>
      </c>
      <c r="F48" s="22" t="str">
        <f t="shared" si="345"/>
        <v>N.D.</v>
      </c>
      <c r="G48" s="209">
        <f>G40-G47</f>
        <v>-1.2529999999999999</v>
      </c>
      <c r="H48" s="22" t="str">
        <f t="shared" ref="H48" si="440">IF(G$32=0,"N.D.",G48/G$32)</f>
        <v>N.D.</v>
      </c>
      <c r="I48" s="200">
        <f>I40-I47</f>
        <v>-0.97499999999999998</v>
      </c>
      <c r="J48" s="22" t="str">
        <f t="shared" ref="J48:L48" si="441">IF(I$32=0,"N.D.",I48/I$32)</f>
        <v>N.D.</v>
      </c>
      <c r="K48" s="210">
        <f>K40-K47</f>
        <v>-76.638259999999988</v>
      </c>
      <c r="L48" s="22" t="str">
        <f t="shared" si="441"/>
        <v>N.D.</v>
      </c>
      <c r="N48" s="4" t="s">
        <v>18</v>
      </c>
      <c r="O48" s="212">
        <f>O40-O47</f>
        <v>3169.164140000004</v>
      </c>
      <c r="P48" s="22">
        <f t="shared" ref="P48:R48" si="442">IF(O$32=0,"N.D.",O48/O$32)</f>
        <v>0.10735608963879105</v>
      </c>
      <c r="Q48" s="200">
        <f>Q40-Q47</f>
        <v>1313.2713400000002</v>
      </c>
      <c r="R48" s="22">
        <f t="shared" si="442"/>
        <v>0.20959803362142659</v>
      </c>
      <c r="S48" s="209">
        <f>S40-S47</f>
        <v>826.64608000000192</v>
      </c>
      <c r="T48" s="22">
        <f t="shared" ref="T48:V48" si="443">IF(S$32=0,"N.D.",S48/S$32)</f>
        <v>2.9660752326467629E-2</v>
      </c>
      <c r="U48" s="200">
        <f>U40-U47</f>
        <v>245.27390999999963</v>
      </c>
      <c r="V48" s="22">
        <f t="shared" si="443"/>
        <v>7.1006305515329868E-2</v>
      </c>
      <c r="W48" s="209">
        <f>W40-W47</f>
        <v>-34.938290000000016</v>
      </c>
      <c r="X48" s="22">
        <f t="shared" ref="X48:Z48" si="444">IF(W$32=0,"N.D.",W48/W$32)</f>
        <v>-0.10721555493362994</v>
      </c>
      <c r="Y48" s="200">
        <f>Y40-Y47</f>
        <v>47.549290000000006</v>
      </c>
      <c r="Z48" s="22">
        <f t="shared" si="444"/>
        <v>0.18007002196470501</v>
      </c>
      <c r="AA48" s="210">
        <f>AA40-AA47</f>
        <v>5566.9664700000067</v>
      </c>
      <c r="AB48" s="22">
        <f t="shared" ref="AB48" si="445">IF(AA$32=0,"N.D.",AA48/AA$32)</f>
        <v>0.10446011333690344</v>
      </c>
      <c r="AC48" s="277"/>
      <c r="AE48" s="4" t="s">
        <v>18</v>
      </c>
      <c r="AF48" s="14">
        <f>AF40-AF47</f>
        <v>2450.8979200000012</v>
      </c>
      <c r="AG48" s="22">
        <f t="shared" ref="AG48:AI48" si="446">IF(AF$32=0,"N.D.",AF48/AF$32)</f>
        <v>4.6620230313742982E-2</v>
      </c>
      <c r="AH48" s="14">
        <f>AH40-AH47</f>
        <v>3085.0704500000006</v>
      </c>
      <c r="AI48" s="22">
        <f t="shared" si="446"/>
        <v>8.9221645120461615E-2</v>
      </c>
      <c r="AJ48" s="14">
        <f>AJ40-AJ47</f>
        <v>-1664.9612700000007</v>
      </c>
      <c r="AK48" s="22">
        <f t="shared" ref="AK48:AM48" si="447">IF(AJ$32=0,"N.D.",AJ48/AJ$32)</f>
        <v>-0.23597954482857963</v>
      </c>
      <c r="AL48" s="14">
        <f>AL40-AL47</f>
        <v>1648.5456650000008</v>
      </c>
      <c r="AM48" s="22">
        <f t="shared" si="447"/>
        <v>0.17622102198857026</v>
      </c>
      <c r="AN48" s="14">
        <f>AN40-AN47</f>
        <v>0</v>
      </c>
      <c r="AO48" s="22" t="str">
        <f t="shared" ref="AO48:AQ48" si="448">IF(AN$32=0,"N.D.",AN48/AN$32)</f>
        <v>N.D.</v>
      </c>
      <c r="AP48" s="14">
        <f>AP40-AP47</f>
        <v>451.74666999999982</v>
      </c>
      <c r="AQ48" s="22">
        <f t="shared" si="448"/>
        <v>8.8716036111343627E-2</v>
      </c>
      <c r="AR48" s="14">
        <f>AR40-AR47</f>
        <v>3942.6136300000026</v>
      </c>
      <c r="AS48" s="22">
        <f t="shared" ref="AS48:AU48" si="449">IF(AR$32=0,"N.D.",AR48/AR$32)</f>
        <v>6.1734952285840285E-2</v>
      </c>
      <c r="AT48" s="14">
        <f>AT40-AT47</f>
        <v>9913.9130650000152</v>
      </c>
      <c r="AU48" s="22">
        <f t="shared" si="449"/>
        <v>5.7466868094334753E-2</v>
      </c>
      <c r="AX48" s="4" t="s">
        <v>18</v>
      </c>
      <c r="AY48" s="14">
        <f>AY40-AY47</f>
        <v>3086.9053800000002</v>
      </c>
      <c r="AZ48" s="22">
        <f t="shared" si="358"/>
        <v>0.49305496027056339</v>
      </c>
      <c r="BA48" s="14">
        <f>BA40-BA47</f>
        <v>141.62143000000012</v>
      </c>
      <c r="BB48" s="22">
        <f t="shared" si="359"/>
        <v>0.12356420661848656</v>
      </c>
      <c r="BC48" s="14">
        <f>BC40-BC47</f>
        <v>3228.5268100000008</v>
      </c>
      <c r="BD48" s="22">
        <f t="shared" si="361"/>
        <v>0.43588040284157592</v>
      </c>
      <c r="BE48" s="221"/>
      <c r="BG48" s="7" t="s">
        <v>178</v>
      </c>
      <c r="BH48" s="194">
        <f>BDER!$D$685/1000+ajustes!U28</f>
        <v>0</v>
      </c>
      <c r="BI48" s="220" t="str">
        <f t="shared" ref="BI48:BK51" si="450">IF(BH$32=0,"N.D.",BH48/BH$32)</f>
        <v>N.D.</v>
      </c>
      <c r="BJ48" s="195">
        <f>BDER!$D482/1000+ajustes!V28</f>
        <v>0</v>
      </c>
      <c r="BK48" s="220">
        <f t="shared" si="450"/>
        <v>0</v>
      </c>
      <c r="BL48" s="8">
        <f>BDER!$D505/1000+ajustes!W28</f>
        <v>0</v>
      </c>
      <c r="BM48" s="220">
        <f t="shared" ref="BM48:BO48" si="451">IF(BL$32=0,"N.D.",BL48/BL$32)</f>
        <v>0</v>
      </c>
      <c r="BN48" s="195">
        <f>BDER!$D572/1000+ajustes!X28</f>
        <v>0</v>
      </c>
      <c r="BO48" s="220">
        <f t="shared" si="451"/>
        <v>0</v>
      </c>
      <c r="BP48" s="8">
        <f>BDER!$D617/1000+ajustes!Y28</f>
        <v>0</v>
      </c>
      <c r="BQ48" s="220">
        <f t="shared" ref="BQ48:BS48" si="452">IF(BP$32=0,"N.D.",BP48/BP$32)</f>
        <v>0</v>
      </c>
      <c r="BR48" s="204">
        <f t="shared" ref="BR48:BR49" si="453">SUM(BJ48,BL48,BN48,BP48)+BH48</f>
        <v>0</v>
      </c>
      <c r="BS48" s="220">
        <f t="shared" si="452"/>
        <v>0</v>
      </c>
      <c r="BU48" s="7" t="s">
        <v>178</v>
      </c>
      <c r="BV48" s="194">
        <f>BDER!$D527/1000+ajustes!Z28</f>
        <v>0</v>
      </c>
      <c r="BW48" s="220">
        <f t="shared" ref="BW48:BY48" si="454">IF(BV$32=0,"N.D.",BV48/BV$32)</f>
        <v>0</v>
      </c>
      <c r="BX48" s="8">
        <f>BDER!$D595/1000+ajustes!AA28</f>
        <v>0</v>
      </c>
      <c r="BY48" s="220">
        <f t="shared" si="454"/>
        <v>0</v>
      </c>
      <c r="BZ48" s="195">
        <f>BDER!$D640/1000+ajustes!AB28</f>
        <v>0</v>
      </c>
      <c r="CA48" s="220">
        <f t="shared" ref="CA48:CC48" si="455">IF(BZ$32=0,"N.D.",BZ48/BZ$32)</f>
        <v>0</v>
      </c>
      <c r="CB48" s="8">
        <f>BDER!$D550/1000+ajustes!AC28</f>
        <v>0</v>
      </c>
      <c r="CC48" s="220">
        <f t="shared" si="455"/>
        <v>0</v>
      </c>
      <c r="CD48" s="204">
        <f>BDER!$D662/1000+ajustes!AD28</f>
        <v>0</v>
      </c>
      <c r="CE48" s="220">
        <f t="shared" ref="CE48:CG48" si="456">IF(CD$32=0,"N.D.",CD48/CD$32)</f>
        <v>0</v>
      </c>
      <c r="CF48" s="204">
        <f>SUM(BV48,BX48,BZ48,CB48,CD48)</f>
        <v>0</v>
      </c>
      <c r="CG48" s="220">
        <f t="shared" si="456"/>
        <v>0</v>
      </c>
    </row>
    <row r="49" spans="2:85" x14ac:dyDescent="0.35">
      <c r="B49" s="1"/>
      <c r="C49" s="217"/>
      <c r="D49" s="30"/>
      <c r="E49" s="217"/>
      <c r="F49" s="30"/>
      <c r="G49" s="217"/>
      <c r="H49" s="30"/>
      <c r="I49" s="217"/>
      <c r="J49" s="30"/>
      <c r="K49" s="217"/>
      <c r="L49" s="30"/>
      <c r="N49" s="1"/>
      <c r="O49" s="217"/>
      <c r="P49" s="30"/>
      <c r="Q49" s="217"/>
      <c r="R49" s="30"/>
      <c r="S49" s="217"/>
      <c r="T49" s="30"/>
      <c r="U49" s="217"/>
      <c r="V49" s="30"/>
      <c r="W49" s="217"/>
      <c r="X49" s="30"/>
      <c r="Y49" s="217"/>
      <c r="Z49" s="30"/>
      <c r="AA49" s="217"/>
      <c r="AB49" s="30"/>
      <c r="AC49" s="275"/>
      <c r="AE49" s="1"/>
      <c r="AF49" s="30"/>
      <c r="AG49" s="30"/>
      <c r="AH49" s="30"/>
      <c r="AI49" s="30"/>
      <c r="AJ49" s="30"/>
      <c r="AK49" s="30"/>
      <c r="AL49" s="30"/>
      <c r="AM49" s="30"/>
      <c r="AN49" s="30"/>
      <c r="AO49" s="30"/>
      <c r="AP49" s="30"/>
      <c r="AQ49" s="30"/>
      <c r="AR49" s="30"/>
      <c r="AS49" s="30"/>
      <c r="AT49" s="30"/>
      <c r="AU49" s="30"/>
      <c r="AX49" s="1"/>
      <c r="AY49" s="30"/>
      <c r="AZ49" s="30"/>
      <c r="BA49" s="30"/>
      <c r="BB49" s="30"/>
      <c r="BC49" s="30"/>
      <c r="BD49" s="30"/>
      <c r="BE49" s="30"/>
      <c r="BG49" s="1" t="s">
        <v>175</v>
      </c>
      <c r="BH49" s="198">
        <f>BDER!$D$684/1000+ajustes!U29</f>
        <v>0</v>
      </c>
      <c r="BI49" s="190" t="str">
        <f t="shared" si="450"/>
        <v>N.D.</v>
      </c>
      <c r="BJ49" s="197">
        <f>BDER!$D483/1000+ajustes!V29</f>
        <v>0</v>
      </c>
      <c r="BK49" s="190">
        <f t="shared" si="450"/>
        <v>0</v>
      </c>
      <c r="BL49" s="34">
        <f>BDER!$D506/1000+ajustes!W29</f>
        <v>0</v>
      </c>
      <c r="BM49" s="190">
        <f t="shared" ref="BM49:BO49" si="457">IF(BL$32=0,"N.D.",BL49/BL$32)</f>
        <v>0</v>
      </c>
      <c r="BN49" s="197">
        <f>BDER!$D573/1000+ajustes!X29</f>
        <v>0</v>
      </c>
      <c r="BO49" s="190">
        <f t="shared" si="457"/>
        <v>0</v>
      </c>
      <c r="BP49" s="34">
        <f>BDER!$D618/1000+ajustes!Y29</f>
        <v>0</v>
      </c>
      <c r="BQ49" s="190">
        <f t="shared" ref="BQ49:BS49" si="458">IF(BP$32=0,"N.D.",BP49/BP$32)</f>
        <v>0</v>
      </c>
      <c r="BR49" s="206">
        <f t="shared" si="453"/>
        <v>0</v>
      </c>
      <c r="BS49" s="190">
        <f t="shared" si="458"/>
        <v>0</v>
      </c>
      <c r="BU49" s="1" t="s">
        <v>175</v>
      </c>
      <c r="BV49" s="196">
        <f>BDER!$D528/1000+ajustes!Z29</f>
        <v>0</v>
      </c>
      <c r="BW49" s="190">
        <f t="shared" ref="BW49:BY49" si="459">IF(BV$32=0,"N.D.",BV49/BV$32)</f>
        <v>0</v>
      </c>
      <c r="BX49" s="34">
        <f>BDER!$D594/1000+ajustes!AA29</f>
        <v>0</v>
      </c>
      <c r="BY49" s="190">
        <f t="shared" si="459"/>
        <v>0</v>
      </c>
      <c r="BZ49" s="197">
        <f>BDER!$D639/1000+ajustes!AB29</f>
        <v>0</v>
      </c>
      <c r="CA49" s="190">
        <f t="shared" ref="CA49:CC49" si="460">IF(BZ$32=0,"N.D.",BZ49/BZ$32)</f>
        <v>0</v>
      </c>
      <c r="CB49" s="34">
        <f>BDER!$D549/1000+ajustes!AC29</f>
        <v>0</v>
      </c>
      <c r="CC49" s="190">
        <f t="shared" si="460"/>
        <v>0</v>
      </c>
      <c r="CD49" s="207">
        <f>BDER!$D661/1000+ajustes!AD29</f>
        <v>0</v>
      </c>
      <c r="CE49" s="190">
        <f t="shared" ref="CE49:CG49" si="461">IF(CD$32=0,"N.D.",CD49/CD$32)</f>
        <v>0</v>
      </c>
      <c r="CF49" s="206">
        <f>SUM(BV49,BX49,BZ49,CB49,CD49)</f>
        <v>0</v>
      </c>
      <c r="CG49" s="190">
        <f t="shared" si="461"/>
        <v>0</v>
      </c>
    </row>
    <row r="50" spans="2:85" x14ac:dyDescent="0.35">
      <c r="B50" s="7" t="s">
        <v>19</v>
      </c>
      <c r="C50" s="198">
        <f>BDER!$D173/1000+ajustes!B28</f>
        <v>0</v>
      </c>
      <c r="D50" s="220" t="str">
        <f t="shared" ref="D50:F53" si="462">IF(C$32=0,"N.D.",C50/C$32)</f>
        <v>N.D.</v>
      </c>
      <c r="E50" s="11">
        <f>BDER!$D151/1000+ajustes!C28</f>
        <v>0</v>
      </c>
      <c r="F50" s="220" t="str">
        <f t="shared" si="462"/>
        <v>N.D.</v>
      </c>
      <c r="G50" s="30">
        <f>BDER!$D217/1000+ajustes!D28</f>
        <v>0</v>
      </c>
      <c r="H50" s="220" t="str">
        <f t="shared" ref="H50" si="463">IF(G$32=0,"N.D.",G50/G$32)</f>
        <v>N.D.</v>
      </c>
      <c r="I50" s="11">
        <f>BDER!$D195/1000+ajustes!E28</f>
        <v>0</v>
      </c>
      <c r="J50" s="220" t="str">
        <f t="shared" ref="J50:L50" si="464">IF(I$32=0,"N.D.",I50/I$32)</f>
        <v>N.D.</v>
      </c>
      <c r="K50" s="206">
        <f>SUM(C50,E50,G50,I50)</f>
        <v>0</v>
      </c>
      <c r="L50" s="220" t="str">
        <f t="shared" si="464"/>
        <v>N.D.</v>
      </c>
      <c r="N50" s="7" t="s">
        <v>19</v>
      </c>
      <c r="O50" s="198">
        <f>BDER!$D19/1000+ajustes!F28</f>
        <v>697.85526000000004</v>
      </c>
      <c r="P50" s="220">
        <f t="shared" ref="P50:R50" si="465">IF(O$32=0,"N.D.",O50/O$32)</f>
        <v>2.3639991031661034E-2</v>
      </c>
      <c r="Q50" s="11">
        <f>BDER!$D41/1000+ajustes!G28</f>
        <v>183.95400000000001</v>
      </c>
      <c r="R50" s="220">
        <f t="shared" si="465"/>
        <v>2.935904828075811E-2</v>
      </c>
      <c r="S50" s="30">
        <f>BDER!$D63/1000+ajustes!H28</f>
        <v>541</v>
      </c>
      <c r="T50" s="220">
        <f t="shared" ref="T50:V50" si="466">IF(S$32=0,"N.D.",S50/S$32)</f>
        <v>1.9411532210518619E-2</v>
      </c>
      <c r="U50" s="11">
        <f>BDER!$D85/1000+ajustes!I28</f>
        <v>74.197399999999988</v>
      </c>
      <c r="V50" s="220">
        <f t="shared" si="466"/>
        <v>2.1479998638433022E-2</v>
      </c>
      <c r="W50" s="30">
        <f>BDER!$D107/1000+ajustes!J28</f>
        <v>9.4629999999999992</v>
      </c>
      <c r="X50" s="220">
        <f t="shared" ref="X50:Z50" si="467">IF(W$32=0,"N.D.",W50/W$32)</f>
        <v>2.9039223051183661E-2</v>
      </c>
      <c r="Y50" s="11">
        <f>BDER!$D129/1000+ajustes!K28</f>
        <v>30.776</v>
      </c>
      <c r="Z50" s="220">
        <f t="shared" si="467"/>
        <v>0.11654926910550632</v>
      </c>
      <c r="AA50" s="206">
        <f>SUM(O50,Q50,S50,U50,W50,Y50)</f>
        <v>1537.24566</v>
      </c>
      <c r="AB50" s="220">
        <f t="shared" ref="AB50" si="468">IF(AA$32=0,"N.D.",AA50/AA$32)</f>
        <v>2.8845306817567869E-2</v>
      </c>
      <c r="AC50" s="276"/>
      <c r="AE50" s="7" t="s">
        <v>19</v>
      </c>
      <c r="AF50" s="8">
        <f>BDER!$D305/1000+ajustes!L28</f>
        <v>1382.15146</v>
      </c>
      <c r="AG50" s="220">
        <f t="shared" ref="AG50:AI50" si="469">IF(AF$32=0,"N.D.",AF50/AF$32)</f>
        <v>2.6290862164376105E-2</v>
      </c>
      <c r="AH50" s="8">
        <f>BDER!$D327/1000+ajustes!M28</f>
        <v>546.01316000000008</v>
      </c>
      <c r="AI50" s="220">
        <f t="shared" si="469"/>
        <v>1.5790949731025371E-2</v>
      </c>
      <c r="AJ50" s="8">
        <f>BDER!$D371/1000+ajustes!N28</f>
        <v>187.42599999999999</v>
      </c>
      <c r="AK50" s="220">
        <f t="shared" ref="AK50:AM50" si="470">IF(AJ$32=0,"N.D.",AJ50/AJ$32)</f>
        <v>2.6564403008029938E-2</v>
      </c>
      <c r="AL50" s="8">
        <f>BDER!$D349/2000+ajustes!O28</f>
        <v>455.26850000000002</v>
      </c>
      <c r="AM50" s="220">
        <f t="shared" si="470"/>
        <v>4.8665852607245402E-2</v>
      </c>
      <c r="AN50" s="8">
        <f>ajustes!P28</f>
        <v>0</v>
      </c>
      <c r="AO50" s="220" t="str">
        <f t="shared" ref="AO50:AQ50" si="471">IF(AN$32=0,"N.D.",AN50/AN$32)</f>
        <v>N.D.</v>
      </c>
      <c r="AP50" s="8">
        <f>BDER!$D415/1000+ajustes!Q28</f>
        <v>93.35</v>
      </c>
      <c r="AQ50" s="220">
        <f t="shared" si="471"/>
        <v>1.8332491462513558E-2</v>
      </c>
      <c r="AR50" s="8">
        <f>BDER!$D393/1000+ajustes!R28</f>
        <v>1342.979</v>
      </c>
      <c r="AS50" s="220">
        <f t="shared" ref="AS50:AU50" si="472">IF(AR$32=0,"N.D.",AR50/AR$32)</f>
        <v>2.102887887745811E-2</v>
      </c>
      <c r="AT50" s="8">
        <f t="shared" ref="AT50:AT51" si="473">SUM(AF50,AH50,AJ50,AL50,AP50,AR50,AN50)</f>
        <v>4007.1881199999998</v>
      </c>
      <c r="AU50" s="220">
        <f t="shared" si="472"/>
        <v>2.3228017999694341E-2</v>
      </c>
      <c r="AX50" s="7" t="s">
        <v>19</v>
      </c>
      <c r="AY50" s="8">
        <f>BDER!$D459/1000+ajustes!S28</f>
        <v>649.26599999999996</v>
      </c>
      <c r="AZ50" s="220">
        <f>IF(AY$32=0,"N.D.",AY50/AY$32)</f>
        <v>0.10370380119491307</v>
      </c>
      <c r="BA50" s="204">
        <f>BDER!$D437/1000+ajustes!T28</f>
        <v>41.558999999999997</v>
      </c>
      <c r="BB50" s="220">
        <f>IF(BA$32=0,"N.D.",BA50/BA$32)</f>
        <v>3.6260083398802559E-2</v>
      </c>
      <c r="BC50" s="204">
        <f>SUM(AY50,BA50)</f>
        <v>690.82499999999993</v>
      </c>
      <c r="BD50" s="220">
        <f>IF(BC$32=0,"N.D.",BC50/BC$32)</f>
        <v>9.3267640943960936E-2</v>
      </c>
      <c r="BE50" s="187"/>
      <c r="BG50" s="4" t="s">
        <v>176</v>
      </c>
      <c r="BH50" s="14">
        <f>BH46-BH48-BH49</f>
        <v>-0.01</v>
      </c>
      <c r="BI50" s="35" t="str">
        <f t="shared" si="450"/>
        <v>N.D.</v>
      </c>
      <c r="BJ50" s="208">
        <f>BJ46-BJ48-BJ49</f>
        <v>15.547089999999955</v>
      </c>
      <c r="BK50" s="35">
        <f t="shared" si="450"/>
        <v>5.0077113863945893E-2</v>
      </c>
      <c r="BL50" s="208">
        <f>BL46-BL48-BL49</f>
        <v>23.130519999999951</v>
      </c>
      <c r="BM50" s="35">
        <f t="shared" ref="BM50:BO50" si="474">IF(BL$32=0,"N.D.",BL50/BL$32)</f>
        <v>3.821183029181098E-2</v>
      </c>
      <c r="BN50" s="208">
        <f>BN46-BN48-BN49</f>
        <v>33.297230000000013</v>
      </c>
      <c r="BO50" s="35">
        <f t="shared" si="474"/>
        <v>0.12110116374443074</v>
      </c>
      <c r="BP50" s="208">
        <f>BP46-BP48-BP49</f>
        <v>27.258080000000053</v>
      </c>
      <c r="BQ50" s="35">
        <f t="shared" ref="BQ50:BS50" si="475">IF(BP$32=0,"N.D.",BP50/BP$32)</f>
        <v>7.0729169985843957E-2</v>
      </c>
      <c r="BR50" s="14">
        <f>BR46-BR48-BR49</f>
        <v>99.222919999999888</v>
      </c>
      <c r="BS50" s="35">
        <f t="shared" si="475"/>
        <v>6.295363134531097E-2</v>
      </c>
      <c r="BU50" s="4" t="s">
        <v>176</v>
      </c>
      <c r="BV50" s="208">
        <f>BV46-BV48-BV49</f>
        <v>7.5470300000000003</v>
      </c>
      <c r="BW50" s="35">
        <f t="shared" ref="BW50:BY50" si="476">IF(BV$32=0,"N.D.",BV50/BV$32)</f>
        <v>0.17023546175311377</v>
      </c>
      <c r="BX50" s="208">
        <f>BX46-BX48-BX49</f>
        <v>15.43337</v>
      </c>
      <c r="BY50" s="35">
        <f t="shared" si="476"/>
        <v>0.51695132976202318</v>
      </c>
      <c r="BZ50" s="208">
        <f>BZ46-BZ48-BZ49</f>
        <v>14.300839999999997</v>
      </c>
      <c r="CA50" s="35">
        <f t="shared" ref="CA50:CC50" si="477">IF(BZ$32=0,"N.D.",BZ50/BZ$32)</f>
        <v>0.71560446510957609</v>
      </c>
      <c r="CB50" s="208">
        <f>CB46-CB48-CB49</f>
        <v>-5.8240000000000069E-2</v>
      </c>
      <c r="CC50" s="35">
        <f t="shared" si="477"/>
        <v>-1.5559711461394623E-2</v>
      </c>
      <c r="CD50" s="208">
        <f>CD46-CD48-CD49</f>
        <v>2.2443999999999997</v>
      </c>
      <c r="CE50" s="35">
        <f t="shared" ref="CE50:CG50" si="478">IF(CD$32=0,"N.D.",CD50/CD$32)</f>
        <v>0.43303106309087397</v>
      </c>
      <c r="CF50" s="14">
        <f>CF46-CF48-CF49</f>
        <v>39.467399999999998</v>
      </c>
      <c r="CG50" s="35">
        <f t="shared" si="478"/>
        <v>0.38281530073980269</v>
      </c>
    </row>
    <row r="51" spans="2:85" x14ac:dyDescent="0.35">
      <c r="B51" s="7" t="s">
        <v>43</v>
      </c>
      <c r="C51" s="196">
        <f>BDER!$D174/1000+ajustes!B29</f>
        <v>0</v>
      </c>
      <c r="D51" s="219" t="str">
        <f t="shared" si="462"/>
        <v>N.D.</v>
      </c>
      <c r="E51" s="34">
        <f>BDER!$D152/1000+ajustes!C29</f>
        <v>0</v>
      </c>
      <c r="F51" s="219" t="str">
        <f t="shared" si="462"/>
        <v>N.D.</v>
      </c>
      <c r="G51" s="197">
        <f>BDER!$D218/1000+ajustes!D29</f>
        <v>0</v>
      </c>
      <c r="H51" s="219" t="str">
        <f t="shared" ref="H51" si="479">IF(G$32=0,"N.D.",G51/G$32)</f>
        <v>N.D.</v>
      </c>
      <c r="I51" s="34">
        <f>BDER!$D196/1000+ajustes!E29</f>
        <v>0</v>
      </c>
      <c r="J51" s="219" t="str">
        <f t="shared" ref="J51:L51" si="480">IF(I$32=0,"N.D.",I51/I$32)</f>
        <v>N.D.</v>
      </c>
      <c r="K51" s="207">
        <f>SUM(C51,E51,G51,I51)</f>
        <v>0</v>
      </c>
      <c r="L51" s="219" t="str">
        <f t="shared" si="480"/>
        <v>N.D.</v>
      </c>
      <c r="N51" s="7" t="s">
        <v>43</v>
      </c>
      <c r="O51" s="196">
        <f>BDER!$D20/1000+ajustes!F29</f>
        <v>0</v>
      </c>
      <c r="P51" s="219">
        <f t="shared" ref="P51:R51" si="481">IF(O$32=0,"N.D.",O51/O$32)</f>
        <v>0</v>
      </c>
      <c r="Q51" s="34">
        <f>BDER!$D42/1000+ajustes!G29</f>
        <v>0</v>
      </c>
      <c r="R51" s="219">
        <f t="shared" si="481"/>
        <v>0</v>
      </c>
      <c r="S51" s="197">
        <f>BDER!$D64/1000+ajustes!H29</f>
        <v>0</v>
      </c>
      <c r="T51" s="219">
        <f t="shared" ref="T51:V51" si="482">IF(S$32=0,"N.D.",S51/S$32)</f>
        <v>0</v>
      </c>
      <c r="U51" s="34">
        <f>BDER!$D86/1000+ajustes!I29</f>
        <v>0</v>
      </c>
      <c r="V51" s="219">
        <f t="shared" si="482"/>
        <v>0</v>
      </c>
      <c r="W51" s="197">
        <f>BDER!$D108/1000+ajustes!J29</f>
        <v>0</v>
      </c>
      <c r="X51" s="219">
        <f t="shared" ref="X51:Z51" si="483">IF(W$32=0,"N.D.",W51/W$32)</f>
        <v>0</v>
      </c>
      <c r="Y51" s="34">
        <f>BDER!$D130/1000+ajustes!K29</f>
        <v>0</v>
      </c>
      <c r="Z51" s="219">
        <f t="shared" si="483"/>
        <v>0</v>
      </c>
      <c r="AA51" s="207">
        <f>SUM(O51,Q51,S51,U51,W51,Y51)</f>
        <v>0</v>
      </c>
      <c r="AB51" s="219">
        <f t="shared" ref="AB51" si="484">IF(AA$32=0,"N.D.",AA51/AA$32)</f>
        <v>0</v>
      </c>
      <c r="AC51" s="276"/>
      <c r="AE51" s="7" t="s">
        <v>43</v>
      </c>
      <c r="AF51" s="11">
        <f>BDER!$D306/1000+ajustes!L29</f>
        <v>0</v>
      </c>
      <c r="AG51" s="219">
        <f t="shared" ref="AG51:AI51" si="485">IF(AF$32=0,"N.D.",AF51/AF$32)</f>
        <v>0</v>
      </c>
      <c r="AH51" s="11">
        <f>BDER!$D328/1000+ajustes!M29</f>
        <v>0</v>
      </c>
      <c r="AI51" s="219">
        <f t="shared" si="485"/>
        <v>0</v>
      </c>
      <c r="AJ51" s="11">
        <f>BDER!$D372/1000+ajustes!N29</f>
        <v>0</v>
      </c>
      <c r="AK51" s="219">
        <f t="shared" ref="AK51:AM51" si="486">IF(AJ$32=0,"N.D.",AJ51/AJ$32)</f>
        <v>0</v>
      </c>
      <c r="AL51" s="11">
        <f>BDER!$D350/2000+ajustes!O29</f>
        <v>0</v>
      </c>
      <c r="AM51" s="219">
        <f t="shared" si="486"/>
        <v>0</v>
      </c>
      <c r="AN51" s="11">
        <f>ajustes!P29</f>
        <v>0</v>
      </c>
      <c r="AO51" s="219" t="str">
        <f t="shared" ref="AO51:AQ51" si="487">IF(AN$32=0,"N.D.",AN51/AN$32)</f>
        <v>N.D.</v>
      </c>
      <c r="AP51" s="11">
        <f>BDER!$D416/1000+ajustes!Q29</f>
        <v>0</v>
      </c>
      <c r="AQ51" s="219">
        <f t="shared" si="487"/>
        <v>0</v>
      </c>
      <c r="AR51" s="11">
        <f>BDER!$D394/1000+ajustes!R29</f>
        <v>0</v>
      </c>
      <c r="AS51" s="219">
        <f t="shared" ref="AS51:AU51" si="488">IF(AR$32=0,"N.D.",AR51/AR$32)</f>
        <v>0</v>
      </c>
      <c r="AT51" s="11">
        <f t="shared" si="473"/>
        <v>0</v>
      </c>
      <c r="AU51" s="219">
        <f t="shared" si="488"/>
        <v>0</v>
      </c>
      <c r="AX51" s="7" t="s">
        <v>43</v>
      </c>
      <c r="AY51" s="34">
        <f>BDER!$D460/1000+ajustes!S29</f>
        <v>0</v>
      </c>
      <c r="AZ51" s="219">
        <f>IF(AY$32=0,"N.D.",AY51/AY$32)</f>
        <v>0</v>
      </c>
      <c r="BA51" s="207">
        <f>BDER!$D438/1000+ajustes!T29</f>
        <v>0</v>
      </c>
      <c r="BB51" s="219">
        <f>IF(BA$32=0,"N.D.",BA51/BA$32)</f>
        <v>0</v>
      </c>
      <c r="BC51" s="206">
        <f>SUM(AY51,BA51)</f>
        <v>0</v>
      </c>
      <c r="BD51" s="219">
        <f>IF(BC$32=0,"N.D.",BC51/BC$32)</f>
        <v>0</v>
      </c>
      <c r="BE51" s="187"/>
      <c r="BG51" s="4" t="s">
        <v>177</v>
      </c>
      <c r="BH51" s="20">
        <f>BH40+BH38</f>
        <v>-0.01</v>
      </c>
      <c r="BI51" s="22" t="str">
        <f t="shared" si="450"/>
        <v>N.D.</v>
      </c>
      <c r="BJ51" s="14">
        <f>BJ40+BJ38</f>
        <v>15.543629999999954</v>
      </c>
      <c r="BK51" s="22">
        <f t="shared" si="450"/>
        <v>5.0065969217972323E-2</v>
      </c>
      <c r="BL51" s="14">
        <f>BL40+BL38</f>
        <v>25.044619999999952</v>
      </c>
      <c r="BM51" s="22">
        <f t="shared" ref="BM51:BO51" si="489">IF(BL$32=0,"N.D.",BL51/BL$32)</f>
        <v>4.1373940973350155E-2</v>
      </c>
      <c r="BN51" s="14">
        <f>BN40+BN38</f>
        <v>37.195340000000009</v>
      </c>
      <c r="BO51" s="22">
        <f t="shared" si="489"/>
        <v>0.13527848892745054</v>
      </c>
      <c r="BP51" s="14">
        <f>BP40+BP38</f>
        <v>29.927750000000053</v>
      </c>
      <c r="BQ51" s="22">
        <f t="shared" ref="BQ51:BS51" si="490">IF(BP$32=0,"N.D.",BP51/BP$32)</f>
        <v>7.7656420299736489E-2</v>
      </c>
      <c r="BR51" s="20">
        <f>BR40+BR38</f>
        <v>107.7013399999999</v>
      </c>
      <c r="BS51" s="22">
        <f t="shared" si="490"/>
        <v>6.8332905882592401E-2</v>
      </c>
      <c r="BU51" s="4" t="s">
        <v>177</v>
      </c>
      <c r="BV51" s="14">
        <f>BV40+BV38</f>
        <v>33.622590000000002</v>
      </c>
      <c r="BW51" s="22">
        <f t="shared" ref="BW51:BY51" si="491">IF(BV$32=0,"N.D.",BV51/BV$32)</f>
        <v>0.75841186983298414</v>
      </c>
      <c r="BX51" s="14">
        <f>BX40+BX38</f>
        <v>20.483909999999998</v>
      </c>
      <c r="BY51" s="22">
        <f t="shared" si="491"/>
        <v>0.6861226364187214</v>
      </c>
      <c r="BZ51" s="14">
        <f>BZ40+BZ38</f>
        <v>18.457859999999997</v>
      </c>
      <c r="CA51" s="22">
        <f t="shared" ref="CA51:CC51" si="492">IF(BZ$32=0,"N.D.",BZ51/BZ$32)</f>
        <v>0.9236189645061017</v>
      </c>
      <c r="CB51" s="14">
        <f>CB40+CB38</f>
        <v>3.7277999999999998</v>
      </c>
      <c r="CC51" s="22">
        <f t="shared" si="492"/>
        <v>0.99593908629441619</v>
      </c>
      <c r="CD51" s="14">
        <f>CD40+CD38</f>
        <v>5.1596099999999998</v>
      </c>
      <c r="CE51" s="22">
        <f t="shared" ref="CE51:CG51" si="493">IF(CD$32=0,"N.D.",CD51/CD$32)</f>
        <v>0.99548716959289985</v>
      </c>
      <c r="CF51" s="20">
        <f>CF40+CF38</f>
        <v>81.451769999999996</v>
      </c>
      <c r="CG51" s="22">
        <f t="shared" si="493"/>
        <v>0.79004403199448758</v>
      </c>
    </row>
    <row r="52" spans="2:85" x14ac:dyDescent="0.35">
      <c r="B52" s="4" t="s">
        <v>21</v>
      </c>
      <c r="C52" s="216">
        <f>C48-C50</f>
        <v>-53.631160000000001</v>
      </c>
      <c r="D52" s="22" t="str">
        <f t="shared" si="462"/>
        <v>N.D.</v>
      </c>
      <c r="E52" s="208">
        <f>E48-E50</f>
        <v>-20.7791</v>
      </c>
      <c r="F52" s="22" t="str">
        <f t="shared" si="462"/>
        <v>N.D.</v>
      </c>
      <c r="G52" s="202">
        <f>G48-G50</f>
        <v>-1.2529999999999999</v>
      </c>
      <c r="H52" s="22" t="str">
        <f t="shared" ref="H52" si="494">IF(G$32=0,"N.D.",G52/G$32)</f>
        <v>N.D.</v>
      </c>
      <c r="I52" s="208">
        <f>I48-I50</f>
        <v>-0.97499999999999998</v>
      </c>
      <c r="J52" s="22" t="str">
        <f t="shared" ref="J52:L52" si="495">IF(I$32=0,"N.D.",I52/I$32)</f>
        <v>N.D.</v>
      </c>
      <c r="K52" s="213">
        <f>K48-K50</f>
        <v>-76.638259999999988</v>
      </c>
      <c r="L52" s="22" t="str">
        <f t="shared" si="495"/>
        <v>N.D.</v>
      </c>
      <c r="N52" s="4" t="s">
        <v>21</v>
      </c>
      <c r="O52" s="216">
        <f>O48-O50</f>
        <v>2471.3088800000041</v>
      </c>
      <c r="P52" s="22">
        <f t="shared" ref="P52:R52" si="496">IF(O$32=0,"N.D.",O52/O$32)</f>
        <v>8.3716098607130029E-2</v>
      </c>
      <c r="Q52" s="208">
        <f>Q48-Q50</f>
        <v>1129.3173400000003</v>
      </c>
      <c r="R52" s="22">
        <f t="shared" si="496"/>
        <v>0.18023898534066848</v>
      </c>
      <c r="S52" s="202">
        <f>S48-S50</f>
        <v>285.64608000000192</v>
      </c>
      <c r="T52" s="22">
        <f t="shared" ref="T52:V52" si="497">IF(S$32=0,"N.D.",S52/S$32)</f>
        <v>1.0249220115949011E-2</v>
      </c>
      <c r="U52" s="208">
        <f>U48-U50</f>
        <v>171.07650999999964</v>
      </c>
      <c r="V52" s="22">
        <f t="shared" si="497"/>
        <v>4.9526306876896846E-2</v>
      </c>
      <c r="W52" s="202">
        <f>W48-W50</f>
        <v>-44.401290000000017</v>
      </c>
      <c r="X52" s="22">
        <f t="shared" ref="X52:Z52" si="498">IF(W$32=0,"N.D.",W52/W$32)</f>
        <v>-0.13625477798481361</v>
      </c>
      <c r="Y52" s="208">
        <f>Y48-Y50</f>
        <v>16.773290000000006</v>
      </c>
      <c r="Z52" s="22">
        <f t="shared" si="498"/>
        <v>6.3520752859198684E-2</v>
      </c>
      <c r="AA52" s="213">
        <f>AA48-AA50</f>
        <v>4029.7208100000066</v>
      </c>
      <c r="AB52" s="22">
        <f t="shared" ref="AB52" si="499">IF(AA$32=0,"N.D.",AA52/AA$32)</f>
        <v>7.5614806519335567E-2</v>
      </c>
      <c r="AC52" s="277"/>
      <c r="AE52" s="4" t="s">
        <v>21</v>
      </c>
      <c r="AF52" s="14">
        <f>AF48-AF50</f>
        <v>1068.7464600000012</v>
      </c>
      <c r="AG52" s="22">
        <f t="shared" ref="AG52:AI52" si="500">IF(AF$32=0,"N.D.",AF52/AF$32)</f>
        <v>2.032936814936688E-2</v>
      </c>
      <c r="AH52" s="14">
        <f>AH48-AH50</f>
        <v>2539.0572900000006</v>
      </c>
      <c r="AI52" s="22">
        <f t="shared" si="500"/>
        <v>7.3430695389436237E-2</v>
      </c>
      <c r="AJ52" s="14">
        <f>AJ48-AJ50</f>
        <v>-1852.3872700000006</v>
      </c>
      <c r="AK52" s="22">
        <f t="shared" ref="AK52:AM52" si="501">IF(AJ$32=0,"N.D.",AJ52/AJ$32)</f>
        <v>-0.26254394783660956</v>
      </c>
      <c r="AL52" s="14">
        <f>AL48-AL50</f>
        <v>1193.2771650000009</v>
      </c>
      <c r="AM52" s="22">
        <f t="shared" si="501"/>
        <v>0.12755516938132486</v>
      </c>
      <c r="AN52" s="14">
        <f>AN48-AN50</f>
        <v>0</v>
      </c>
      <c r="AO52" s="22" t="str">
        <f t="shared" ref="AO52:AQ52" si="502">IF(AN$32=0,"N.D.",AN52/AN$32)</f>
        <v>N.D.</v>
      </c>
      <c r="AP52" s="14">
        <f>AP48-AP50</f>
        <v>358.39666999999986</v>
      </c>
      <c r="AQ52" s="22">
        <f t="shared" si="502"/>
        <v>7.0383544648830065E-2</v>
      </c>
      <c r="AR52" s="14">
        <f>AR48-AR50</f>
        <v>2599.6346300000023</v>
      </c>
      <c r="AS52" s="22">
        <f t="shared" ref="AS52:AU52" si="503">IF(AR$32=0,"N.D.",AR52/AR$32)</f>
        <v>4.0706073408382171E-2</v>
      </c>
      <c r="AT52" s="14">
        <f>AT48-AT50</f>
        <v>5906.7249450000154</v>
      </c>
      <c r="AU52" s="22">
        <f t="shared" si="503"/>
        <v>3.4238850094640408E-2</v>
      </c>
      <c r="AX52" s="4" t="s">
        <v>21</v>
      </c>
      <c r="AY52" s="208">
        <f>AY48-AY50</f>
        <v>2437.6393800000001</v>
      </c>
      <c r="AZ52" s="22">
        <f>IF(AY$32=0,"N.D.",AY52/AY$32)</f>
        <v>0.38935115907565032</v>
      </c>
      <c r="BA52" s="208">
        <f>BA48-BA50</f>
        <v>100.06243000000012</v>
      </c>
      <c r="BB52" s="22">
        <f>IF(BA$32=0,"N.D.",BA52/BA$32)</f>
        <v>8.7304123219684004E-2</v>
      </c>
      <c r="BC52" s="14">
        <f>BC48-BC50</f>
        <v>2537.7018100000009</v>
      </c>
      <c r="BD52" s="22">
        <f>IF(BC$32=0,"N.D.",BC52/BC$32)</f>
        <v>0.34261276189761503</v>
      </c>
      <c r="BE52" s="221"/>
    </row>
    <row r="53" spans="2:85" x14ac:dyDescent="0.35">
      <c r="B53" s="4" t="s">
        <v>22</v>
      </c>
      <c r="C53" s="215">
        <f>C40+C38</f>
        <v>-53.631160000000001</v>
      </c>
      <c r="D53" s="22" t="str">
        <f t="shared" si="462"/>
        <v>N.D.</v>
      </c>
      <c r="E53" s="14">
        <f>E40+E38</f>
        <v>-20.7791</v>
      </c>
      <c r="F53" s="22" t="str">
        <f t="shared" si="462"/>
        <v>N.D.</v>
      </c>
      <c r="G53" s="31">
        <f>G40+G38</f>
        <v>-1.2529999999999999</v>
      </c>
      <c r="H53" s="22" t="str">
        <f t="shared" ref="H53" si="504">IF(G$32=0,"N.D.",G53/G$32)</f>
        <v>N.D.</v>
      </c>
      <c r="I53" s="14">
        <f>I40+I38</f>
        <v>-0.97499999999999998</v>
      </c>
      <c r="J53" s="22" t="str">
        <f t="shared" ref="J53:L53" si="505">IF(I$32=0,"N.D.",I53/I$32)</f>
        <v>N.D.</v>
      </c>
      <c r="K53" s="214">
        <f>K40+K38</f>
        <v>-76.638259999999988</v>
      </c>
      <c r="L53" s="22" t="str">
        <f t="shared" si="505"/>
        <v>N.D.</v>
      </c>
      <c r="N53" s="4" t="s">
        <v>22</v>
      </c>
      <c r="O53" s="215">
        <f>O40+O38</f>
        <v>4335.5584700000036</v>
      </c>
      <c r="P53" s="22">
        <f t="shared" ref="P53:R53" si="506">IF(O$32=0,"N.D.",O53/O$32)</f>
        <v>0.14686793841468229</v>
      </c>
      <c r="Q53" s="14">
        <f>Q40+Q38</f>
        <v>1463.4001700000003</v>
      </c>
      <c r="R53" s="22">
        <f t="shared" si="506"/>
        <v>0.23355858663089488</v>
      </c>
      <c r="S53" s="31">
        <f>S40+S38</f>
        <v>1122.5826300000019</v>
      </c>
      <c r="T53" s="22">
        <f t="shared" ref="T53:V53" si="507">IF(S$32=0,"N.D.",S53/S$32)</f>
        <v>4.0279203107603953E-2</v>
      </c>
      <c r="U53" s="14">
        <f>U40+U38</f>
        <v>292.8176799999996</v>
      </c>
      <c r="V53" s="22">
        <f t="shared" si="507"/>
        <v>8.4770131671852503E-2</v>
      </c>
      <c r="W53" s="31">
        <f>W40+W38</f>
        <v>-39.654340000000019</v>
      </c>
      <c r="X53" s="22">
        <f t="shared" ref="X53:Z53" si="508">IF(W$32=0,"N.D.",W53/W$32)</f>
        <v>-0.1216877548565439</v>
      </c>
      <c r="Y53" s="14">
        <f>Y40+Y38</f>
        <v>95.825450000000018</v>
      </c>
      <c r="Z53" s="22">
        <f t="shared" si="508"/>
        <v>0.36289271377717192</v>
      </c>
      <c r="AA53" s="214">
        <f>AA40+AA38</f>
        <v>7270.5300600000073</v>
      </c>
      <c r="AB53" s="22">
        <f t="shared" ref="AB53" si="509">IF(AA$32=0,"N.D.",AA53/AA$32)</f>
        <v>0.13642625623483651</v>
      </c>
      <c r="AC53" s="277"/>
      <c r="AE53" s="4" t="s">
        <v>22</v>
      </c>
      <c r="AF53" s="20">
        <f>AF40+AF38</f>
        <v>2177.0299600000017</v>
      </c>
      <c r="AG53" s="22">
        <f t="shared" ref="AG53:AI53" si="510">IF(AF$32=0,"N.D.",AF53/AF$32)</f>
        <v>4.141079777615491E-2</v>
      </c>
      <c r="AH53" s="20">
        <f>AH40+AH38</f>
        <v>3438.2741800000008</v>
      </c>
      <c r="AI53" s="22">
        <f t="shared" si="510"/>
        <v>9.9436458157643098E-2</v>
      </c>
      <c r="AJ53" s="20">
        <f>AJ40+AJ38</f>
        <v>-1751.3618600000009</v>
      </c>
      <c r="AK53" s="22">
        <f t="shared" ref="AK53:AM53" si="511">IF(AJ$32=0,"N.D.",AJ53/AJ$32)</f>
        <v>-0.24822533833050342</v>
      </c>
      <c r="AL53" s="20">
        <f>AL40+AL38</f>
        <v>1776.4524300000007</v>
      </c>
      <c r="AM53" s="22">
        <f t="shared" si="511"/>
        <v>0.18989359492730767</v>
      </c>
      <c r="AN53" s="20">
        <f>AN40+AN38</f>
        <v>0</v>
      </c>
      <c r="AO53" s="22" t="str">
        <f t="shared" ref="AO53:AQ53" si="512">IF(AN$32=0,"N.D.",AN53/AN$32)</f>
        <v>N.D.</v>
      </c>
      <c r="AP53" s="20">
        <f>AP40+AP38</f>
        <v>735.04750999999987</v>
      </c>
      <c r="AQ53" s="22">
        <f t="shared" si="512"/>
        <v>0.14435192503071073</v>
      </c>
      <c r="AR53" s="20">
        <f>AR40+AR38</f>
        <v>5008.8709500000023</v>
      </c>
      <c r="AS53" s="22">
        <f t="shared" ref="AS53:AU53" si="513">IF(AR$32=0,"N.D.",AR53/AR$32)</f>
        <v>7.8430817250581417E-2</v>
      </c>
      <c r="AT53" s="20">
        <f>AT40+AT38</f>
        <v>11384.313170000016</v>
      </c>
      <c r="AU53" s="22">
        <f t="shared" si="513"/>
        <v>6.5990171488858801E-2</v>
      </c>
      <c r="AX53" s="4" t="s">
        <v>22</v>
      </c>
      <c r="AY53" s="14">
        <f>AY40+AY38</f>
        <v>2741.1210299999998</v>
      </c>
      <c r="AZ53" s="22">
        <f>IF(AY$32=0,"N.D.",AY53/AY$32)</f>
        <v>0.43782466715693619</v>
      </c>
      <c r="BA53" s="14">
        <f>BA40+BA38</f>
        <v>159.80470000000014</v>
      </c>
      <c r="BB53" s="22">
        <f>IF(BA$32=0,"N.D.",BA53/BA$32)</f>
        <v>0.13942904664502584</v>
      </c>
      <c r="BC53" s="20">
        <f>BC40+BC38</f>
        <v>2900.9257300000004</v>
      </c>
      <c r="BD53" s="22">
        <f>IF(BC$32=0,"N.D.",BC53/BC$32)</f>
        <v>0.39165128562333129</v>
      </c>
      <c r="BE53" s="221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ariacion"/>
  <dimension ref="A1:BZ52"/>
  <sheetViews>
    <sheetView showGridLines="0" zoomScale="72" zoomScaleNormal="72" workbookViewId="0">
      <selection activeCell="CA9" sqref="CA9"/>
    </sheetView>
  </sheetViews>
  <sheetFormatPr baseColWidth="10" defaultRowHeight="14.5" x14ac:dyDescent="0.35"/>
  <cols>
    <col min="2" max="2" width="12.81640625" customWidth="1"/>
    <col min="3" max="3" width="0" hidden="1" customWidth="1"/>
    <col min="4" max="4" width="9.54296875" style="305" hidden="1" customWidth="1"/>
    <col min="5" max="5" width="2.1796875" style="315" hidden="1" customWidth="1"/>
    <col min="8" max="8" width="2" style="307" customWidth="1"/>
    <col min="9" max="10" width="10.81640625" style="307"/>
    <col min="11" max="11" width="1.81640625" style="307" customWidth="1"/>
    <col min="12" max="12" width="10.81640625" style="307"/>
    <col min="14" max="14" width="1.453125" style="307" customWidth="1"/>
    <col min="17" max="17" width="2.1796875" style="307" customWidth="1"/>
    <col min="20" max="20" width="1.81640625" style="307" customWidth="1"/>
    <col min="25" max="25" width="16.1796875" customWidth="1"/>
    <col min="26" max="26" width="1.54296875" customWidth="1"/>
    <col min="29" max="29" width="2.7265625" customWidth="1"/>
    <col min="32" max="32" width="2.81640625" customWidth="1"/>
    <col min="35" max="35" width="2.7265625" customWidth="1"/>
    <col min="38" max="38" width="2.453125" customWidth="1"/>
    <col min="45" max="45" width="11.81640625" bestFit="1" customWidth="1"/>
    <col min="48" max="48" width="10.54296875" customWidth="1"/>
    <col min="65" max="66" width="0" hidden="1" customWidth="1"/>
  </cols>
  <sheetData>
    <row r="1" spans="1:78" x14ac:dyDescent="0.35">
      <c r="A1" t="s">
        <v>392</v>
      </c>
      <c r="C1" t="s">
        <v>403</v>
      </c>
      <c r="X1" s="320" t="s">
        <v>409</v>
      </c>
      <c r="AB1" s="321"/>
      <c r="AD1" t="s">
        <v>403</v>
      </c>
      <c r="AE1" s="321"/>
      <c r="AH1" s="321"/>
      <c r="AK1" s="322"/>
      <c r="AM1" s="323"/>
      <c r="AN1" s="322"/>
      <c r="AQ1" s="26" t="s">
        <v>405</v>
      </c>
      <c r="AR1" s="25"/>
      <c r="AS1" s="25"/>
      <c r="AT1" s="25"/>
      <c r="AU1" s="25"/>
      <c r="AV1" s="25"/>
      <c r="AW1" s="25"/>
      <c r="AX1" s="25"/>
      <c r="AZ1" t="s">
        <v>408</v>
      </c>
      <c r="BL1" t="s">
        <v>410</v>
      </c>
    </row>
    <row r="2" spans="1:78" x14ac:dyDescent="0.35">
      <c r="C2" s="373" t="s">
        <v>25</v>
      </c>
      <c r="D2" s="373"/>
      <c r="E2" s="2"/>
      <c r="F2" s="373" t="s">
        <v>26</v>
      </c>
      <c r="G2" s="373"/>
      <c r="H2" s="2"/>
      <c r="I2" s="373" t="s">
        <v>27</v>
      </c>
      <c r="J2" s="373"/>
      <c r="K2" s="2"/>
      <c r="L2" s="373" t="s">
        <v>28</v>
      </c>
      <c r="M2" s="373"/>
      <c r="N2" s="2"/>
      <c r="O2" s="373" t="s">
        <v>29</v>
      </c>
      <c r="P2" s="373"/>
      <c r="Q2" s="2"/>
      <c r="R2" s="373" t="s">
        <v>108</v>
      </c>
      <c r="S2" s="373"/>
      <c r="T2" s="2"/>
      <c r="U2" s="373" t="s">
        <v>394</v>
      </c>
      <c r="V2" s="373"/>
      <c r="Y2" s="7"/>
      <c r="Z2" s="7"/>
      <c r="AA2" s="319" t="s">
        <v>0</v>
      </c>
      <c r="AB2" s="324" t="s">
        <v>395</v>
      </c>
      <c r="AC2" s="318"/>
      <c r="AD2" s="319" t="s">
        <v>401</v>
      </c>
      <c r="AE2" s="325" t="s">
        <v>395</v>
      </c>
      <c r="AF2" s="318"/>
      <c r="AG2" s="319" t="s">
        <v>402</v>
      </c>
      <c r="AH2" s="325" t="s">
        <v>395</v>
      </c>
      <c r="AI2" s="318"/>
      <c r="AJ2" s="319" t="s">
        <v>394</v>
      </c>
      <c r="AK2" s="326" t="s">
        <v>395</v>
      </c>
      <c r="AL2" s="318"/>
      <c r="AM2" s="319" t="s">
        <v>394</v>
      </c>
      <c r="AN2" s="326" t="s">
        <v>395</v>
      </c>
      <c r="AQ2" s="25"/>
      <c r="AR2" s="2" t="s">
        <v>25</v>
      </c>
      <c r="AS2" s="2" t="s">
        <v>26</v>
      </c>
      <c r="AT2" s="2" t="s">
        <v>27</v>
      </c>
      <c r="AU2" s="2" t="s">
        <v>28</v>
      </c>
      <c r="AV2" s="339" t="s">
        <v>29</v>
      </c>
      <c r="AW2" s="2" t="s">
        <v>30</v>
      </c>
      <c r="AX2" s="2" t="s">
        <v>31</v>
      </c>
      <c r="AZ2" s="341"/>
      <c r="BA2" s="342" t="s">
        <v>406</v>
      </c>
      <c r="BB2" s="343"/>
      <c r="BC2" s="342" t="s">
        <v>1</v>
      </c>
      <c r="BD2" s="342"/>
      <c r="BE2" s="342" t="s">
        <v>2</v>
      </c>
      <c r="BF2" s="342"/>
      <c r="BG2" s="344" t="s">
        <v>3</v>
      </c>
      <c r="BH2" s="345"/>
      <c r="BI2" s="344" t="s">
        <v>4</v>
      </c>
      <c r="BJ2" s="346"/>
      <c r="BL2" s="347"/>
      <c r="BM2" s="361" t="s">
        <v>25</v>
      </c>
      <c r="BN2" s="362"/>
      <c r="BO2" s="361" t="s">
        <v>26</v>
      </c>
      <c r="BP2" s="362"/>
      <c r="BQ2" s="363" t="s">
        <v>27</v>
      </c>
      <c r="BR2" s="364"/>
      <c r="BS2" s="363" t="s">
        <v>28</v>
      </c>
      <c r="BT2" s="364"/>
      <c r="BU2" s="361" t="s">
        <v>29</v>
      </c>
      <c r="BV2" s="362"/>
      <c r="BW2" s="361" t="s">
        <v>30</v>
      </c>
      <c r="BX2" s="362"/>
      <c r="BY2" s="363" t="s">
        <v>31</v>
      </c>
      <c r="BZ2" s="365"/>
    </row>
    <row r="3" spans="1:78" x14ac:dyDescent="0.35">
      <c r="B3" s="26"/>
      <c r="C3" s="2" t="s">
        <v>394</v>
      </c>
      <c r="D3" s="308" t="s">
        <v>395</v>
      </c>
      <c r="E3" s="308"/>
      <c r="F3" s="2" t="s">
        <v>394</v>
      </c>
      <c r="G3" s="308" t="s">
        <v>395</v>
      </c>
      <c r="H3" s="308"/>
      <c r="I3" s="2" t="s">
        <v>394</v>
      </c>
      <c r="J3" s="308" t="s">
        <v>395</v>
      </c>
      <c r="K3" s="308"/>
      <c r="L3" s="2" t="s">
        <v>394</v>
      </c>
      <c r="M3" s="308" t="s">
        <v>395</v>
      </c>
      <c r="N3" s="308"/>
      <c r="O3" s="2" t="s">
        <v>394</v>
      </c>
      <c r="P3" s="309" t="s">
        <v>395</v>
      </c>
      <c r="Q3" s="309"/>
      <c r="R3" s="2" t="s">
        <v>394</v>
      </c>
      <c r="S3" s="308" t="s">
        <v>395</v>
      </c>
      <c r="T3" s="308"/>
      <c r="U3" s="2" t="s">
        <v>396</v>
      </c>
      <c r="V3" s="308" t="s">
        <v>395</v>
      </c>
      <c r="Y3" s="25"/>
      <c r="Z3" s="25"/>
      <c r="AA3" s="2"/>
      <c r="AB3" s="309"/>
      <c r="AC3" s="25"/>
      <c r="AD3" s="2"/>
      <c r="AE3" s="309"/>
      <c r="AF3" s="25"/>
      <c r="AG3" s="2"/>
      <c r="AH3" s="309"/>
      <c r="AI3" s="25"/>
      <c r="AJ3" s="2" t="s">
        <v>401</v>
      </c>
      <c r="AK3" s="327"/>
      <c r="AL3" s="25"/>
      <c r="AM3" s="2" t="s">
        <v>402</v>
      </c>
      <c r="AN3" s="327"/>
      <c r="AQ3" s="7" t="s">
        <v>5</v>
      </c>
      <c r="AR3" s="8"/>
      <c r="AS3" s="8">
        <f>(BDER_sig!D4+BDER_sig!D26+BDER_sig!D48+BDER_sig!D70+BDER_sig!D92+BDER_sig!D114)/1000</f>
        <v>0</v>
      </c>
      <c r="AT3" s="8">
        <f>(BDER_sig!D466+BDER_sig!D489+BDER_sig!D556+BDER_sig!D601)/1000</f>
        <v>1551.0229999999999</v>
      </c>
      <c r="AU3" s="8">
        <f>(BDER_sig!D512+BDER_sig!D534+BDER_sig!D579+BDER_sig!D624+BDER_sig!D646)/1000</f>
        <v>103.315</v>
      </c>
      <c r="AV3" s="8">
        <f>(BDER_sig!D290+BDER_sig!D312+BDER_sig!D334+BDER_sig!D356)/1000</f>
        <v>68370.687999999995</v>
      </c>
      <c r="AW3" s="8">
        <f>(BDER_sig!D422+BDER_sig!D444)/1000</f>
        <v>15093.767</v>
      </c>
      <c r="AX3" s="8">
        <f>SUM(AR3:AW3)</f>
        <v>85118.793000000005</v>
      </c>
      <c r="AZ3" s="347" t="s">
        <v>5</v>
      </c>
      <c r="BA3" s="348">
        <f t="shared" ref="BA3:BA24" si="0">BY28</f>
        <v>0</v>
      </c>
      <c r="BB3" s="349" t="str">
        <f>IF(BA$3=0,"N.D.",BA3/BA$3)</f>
        <v>N.D.</v>
      </c>
      <c r="BC3" s="348">
        <f t="shared" ref="BC3:BC24" si="1">AX3</f>
        <v>85118.793000000005</v>
      </c>
      <c r="BD3" s="349">
        <f>IF(BC$3=0,"N.D.",BC3/BC$3)</f>
        <v>1</v>
      </c>
      <c r="BE3" s="348">
        <f t="shared" ref="BE3:BE24" si="2">AX28</f>
        <v>151950.71998000002</v>
      </c>
      <c r="BF3" s="349">
        <f>IF(BE$3=0,"N.D.",BE3/BE$3)</f>
        <v>1</v>
      </c>
      <c r="BG3" s="348">
        <f>+BA3-BC3</f>
        <v>-85118.793000000005</v>
      </c>
      <c r="BH3" s="350">
        <f>IF(BC3=0,"N.D.",BA3/BC3-1)</f>
        <v>-1</v>
      </c>
      <c r="BI3" s="348">
        <f>+BA3-BE3</f>
        <v>-151950.71998000002</v>
      </c>
      <c r="BJ3" s="350">
        <f>IF(BE3=0, "N.D.",BA3/BE3-1)</f>
        <v>-1</v>
      </c>
      <c r="BL3" s="347" t="s">
        <v>5</v>
      </c>
      <c r="BM3" s="351"/>
      <c r="BN3" s="349" t="str">
        <f>IF(BM$3=0,"N.D.",BM3/BM$3)</f>
        <v>N.D.</v>
      </c>
      <c r="BO3" s="351">
        <f>proyeccion!B3</f>
        <v>0</v>
      </c>
      <c r="BP3" s="349" t="str">
        <f>IF(BO$3=0,"N.D.",BO3/BO$3)</f>
        <v>N.D.</v>
      </c>
      <c r="BQ3" s="351">
        <f>proyeccion!G3</f>
        <v>0</v>
      </c>
      <c r="BR3" s="349" t="str">
        <f>IF(BQ$3=0,"N.D.",BQ3/BQ$3)</f>
        <v>N.D.</v>
      </c>
      <c r="BS3" s="351">
        <f>proyeccion!H3</f>
        <v>0</v>
      </c>
      <c r="BT3" s="349" t="str">
        <f>IF(BS$3=0,"N.D.",BS3/BS$3)</f>
        <v>N.D.</v>
      </c>
      <c r="BU3" s="351">
        <f>proyeccion!E3</f>
        <v>0</v>
      </c>
      <c r="BV3" s="349" t="str">
        <f>IF(BU$3=0,"N.D.",BU3/BU$3)</f>
        <v>N.D.</v>
      </c>
      <c r="BW3" s="351">
        <f>proyeccion!F3</f>
        <v>0</v>
      </c>
      <c r="BX3" s="349" t="str">
        <f>IF(BW$3=0,"N.D.",BW3/BW$3)</f>
        <v>N.D.</v>
      </c>
      <c r="BY3" s="351">
        <f>BM3+BO3+BQ3+BS3+BU3+BW3</f>
        <v>0</v>
      </c>
      <c r="BZ3" s="349" t="str">
        <f>IF(BY$3=0,"N.D.",BY3/BY$3)</f>
        <v>N.D.</v>
      </c>
    </row>
    <row r="4" spans="1:78" x14ac:dyDescent="0.35">
      <c r="B4" s="7" t="s">
        <v>5</v>
      </c>
      <c r="C4" s="8"/>
      <c r="D4" s="310"/>
      <c r="E4" s="42"/>
      <c r="F4" s="8">
        <f>TablasER!E4-TablasER!U4</f>
        <v>53292.74775000001</v>
      </c>
      <c r="G4" s="310">
        <f>IFERROR(F4/TablasER!U4,0)</f>
        <v>0</v>
      </c>
      <c r="H4" s="42"/>
      <c r="I4" s="204">
        <f>TablasER!G4-TablasER!W4</f>
        <v>3550.7878435439998</v>
      </c>
      <c r="J4" s="310">
        <f>IFERROR(I4/TablasER!W4,0)</f>
        <v>0.12535407597384191</v>
      </c>
      <c r="K4" s="42"/>
      <c r="L4" s="204">
        <f>TablasER!I4-TablasER!Y4</f>
        <v>-15.719523552000283</v>
      </c>
      <c r="M4" s="310">
        <f>IFERROR(L4/TablasER!Y4,0)</f>
        <v>-7.482454873646344E-3</v>
      </c>
      <c r="N4" s="42"/>
      <c r="O4" s="204">
        <f>TablasER!K4-TablasER!AA4</f>
        <v>32400.323915000015</v>
      </c>
      <c r="P4" s="310">
        <f>IFERROR(O4/TablasER!AA4,0)</f>
        <v>0.23124100320907931</v>
      </c>
      <c r="Q4" s="42"/>
      <c r="R4" s="204">
        <f>TablasER!M4-TablasER!AC4</f>
        <v>-3865.7522399999998</v>
      </c>
      <c r="S4" s="310">
        <f>IFERROR(R4/TablasER!AC4,0)</f>
        <v>-0.34293161987825055</v>
      </c>
      <c r="T4" s="42"/>
      <c r="U4" s="204">
        <f>TablasER!O4-TablasER!AE4</f>
        <v>85362.387744992011</v>
      </c>
      <c r="V4" s="29">
        <f>IFERROR(U4/TablasER!AE4,0)</f>
        <v>0.46950253876606574</v>
      </c>
      <c r="Y4" s="328" t="s">
        <v>5</v>
      </c>
      <c r="AA4" s="241">
        <f>TablasER!AY4</f>
        <v>267176.92695779202</v>
      </c>
      <c r="AB4" s="329">
        <f>IF($AA$4=0,"N.D.",AA4/$AA$4)</f>
        <v>1</v>
      </c>
      <c r="AD4" s="241">
        <f t="shared" ref="AD4:AD5" si="3">BY3</f>
        <v>0</v>
      </c>
      <c r="AE4" s="329" t="str">
        <f>IF($AD$4=0,"N.D.",AD4/$AD$4)</f>
        <v>N.D.</v>
      </c>
      <c r="AG4" s="241">
        <f>TablasER!BA4</f>
        <v>181814.53921280001</v>
      </c>
      <c r="AH4" s="329">
        <f>IF($AG$4=0,"N.D.",AG4/$AG$4)</f>
        <v>1</v>
      </c>
      <c r="AJ4" s="241">
        <f>AA4-AD4</f>
        <v>267176.92695779202</v>
      </c>
      <c r="AK4" s="329">
        <f>IFERROR(IF(0&gt;AJ4,(IF(0&gt;AJ4,AJ4/-1,AJ4)/AD4)/-1,(IF(0&gt;AJ4,AJ4/-1,AJ4)/AD4)),0)</f>
        <v>0</v>
      </c>
      <c r="AM4" s="241">
        <f>AA4-AG4</f>
        <v>85362.387744992011</v>
      </c>
      <c r="AN4" s="329">
        <f>IFERROR(IF(0&gt;AM4,(IF(0&gt;AM4,AM4/-1,AM4)/AG4)/-1,(IF(0&gt;AM4,AM4/-1,AM4)/AG4)),0)</f>
        <v>0.46950253876606574</v>
      </c>
      <c r="AQ4" s="7" t="s">
        <v>6</v>
      </c>
      <c r="AR4" s="8"/>
      <c r="AS4" s="8">
        <f>(BDER_sig!D5+BDER_sig!D27+BDER_sig!D49+BDER_sig!D71+BDER_sig!D93+BDER_sig!D115)/1000</f>
        <v>0</v>
      </c>
      <c r="AT4" s="8">
        <f>(BDER_sig!D467+BDER_sig!D490+BDER_sig!D557+BDER_sig!D602)/1000</f>
        <v>484.98599999999999</v>
      </c>
      <c r="AU4" s="8">
        <f>(BDER_sig!D513+BDER_sig!D535+BDER_sig!D580+BDER_sig!D625+BDER_sig!D647)/1000</f>
        <v>0</v>
      </c>
      <c r="AV4" s="8">
        <f>(BDER_sig!D291+BDER_sig!D313+BDER_sig!D335+BDER_sig!D357)/1000</f>
        <v>36110.963000000003</v>
      </c>
      <c r="AW4" s="8">
        <f>(BDER_sig!D423+BDER_sig!D445)/1000</f>
        <v>9472.8330000000005</v>
      </c>
      <c r="AX4" s="8">
        <f>SUM(AR4:AW4)</f>
        <v>46068.781999999999</v>
      </c>
      <c r="AZ4" s="347" t="s">
        <v>6</v>
      </c>
      <c r="BA4" s="351">
        <f t="shared" si="0"/>
        <v>0</v>
      </c>
      <c r="BB4" s="352" t="str">
        <f t="shared" ref="BB4:BB5" si="4">IF(BA$3=0,"N.D.",BA4/BA$3)</f>
        <v>N.D.</v>
      </c>
      <c r="BC4" s="351">
        <f t="shared" si="1"/>
        <v>46068.781999999999</v>
      </c>
      <c r="BD4" s="352">
        <f t="shared" ref="BD4:BD5" si="5">IF(BC$3=0,"N.D.",BC4/BC$3)</f>
        <v>0.54122926766595481</v>
      </c>
      <c r="BE4" s="351">
        <f t="shared" si="2"/>
        <v>89873.71587</v>
      </c>
      <c r="BF4" s="352">
        <f t="shared" ref="BF4:BF5" si="6">IF(BE$3=0,"N.D.",BE4/BE$3)</f>
        <v>0.59146620616097978</v>
      </c>
      <c r="BG4" s="351">
        <f t="shared" ref="BG4:BG5" si="7">+BA4-BC4</f>
        <v>-46068.781999999999</v>
      </c>
      <c r="BH4" s="353">
        <f t="shared" ref="BH4:BH5" si="8">IF(BC4=0,"N.D.",BA4/BC4-1)</f>
        <v>-1</v>
      </c>
      <c r="BI4" s="351">
        <f t="shared" ref="BI4:BI5" si="9">+BA4-BE4</f>
        <v>-89873.71587</v>
      </c>
      <c r="BJ4" s="353">
        <f t="shared" ref="BJ4:BJ5" si="10">IF(BE4=0, "N.D.",BA4/BE4-1)</f>
        <v>-1</v>
      </c>
      <c r="BL4" s="347" t="s">
        <v>6</v>
      </c>
      <c r="BM4" s="351"/>
      <c r="BN4" s="352" t="str">
        <f t="shared" ref="BN4:BN5" si="11">IF(BM$3=0,"N.D.",BM4/BM$3)</f>
        <v>N.D.</v>
      </c>
      <c r="BO4" s="351">
        <f>proyeccion!B4</f>
        <v>0</v>
      </c>
      <c r="BP4" s="352" t="str">
        <f t="shared" ref="BP4:BP5" si="12">IF(BO$3=0,"N.D.",BO4/BO$3)</f>
        <v>N.D.</v>
      </c>
      <c r="BQ4" s="351">
        <f>proyeccion!G4</f>
        <v>0</v>
      </c>
      <c r="BR4" s="352" t="str">
        <f t="shared" ref="BR4:BR5" si="13">IF(BQ$3=0,"N.D.",BQ4/BQ$3)</f>
        <v>N.D.</v>
      </c>
      <c r="BS4" s="351">
        <f>proyeccion!H4</f>
        <v>0</v>
      </c>
      <c r="BT4" s="352" t="str">
        <f t="shared" ref="BT4:BT5" si="14">IF(BS$3=0,"N.D.",BS4/BS$3)</f>
        <v>N.D.</v>
      </c>
      <c r="BU4" s="351">
        <f>proyeccion!E4</f>
        <v>0</v>
      </c>
      <c r="BV4" s="352" t="str">
        <f t="shared" ref="BV4:BV5" si="15">IF(BU$3=0,"N.D.",BU4/BU$3)</f>
        <v>N.D.</v>
      </c>
      <c r="BW4" s="351">
        <f>proyeccion!F4</f>
        <v>0</v>
      </c>
      <c r="BX4" s="352" t="str">
        <f t="shared" ref="BX4:BX5" si="16">IF(BW$3=0,"N.D.",BW4/BW$3)</f>
        <v>N.D.</v>
      </c>
      <c r="BY4" s="351">
        <f t="shared" ref="BY4:BY5" si="17">BM4+BO4+BQ4+BS4+BU4+BW4</f>
        <v>0</v>
      </c>
      <c r="BZ4" s="352" t="str">
        <f t="shared" ref="BZ4:BZ5" si="18">IF(BY$3=0,"N.D.",BY4/BY$3)</f>
        <v>N.D.</v>
      </c>
    </row>
    <row r="5" spans="1:78" x14ac:dyDescent="0.35">
      <c r="B5" s="7" t="s">
        <v>6</v>
      </c>
      <c r="C5" s="11"/>
      <c r="D5" s="44"/>
      <c r="E5" s="42"/>
      <c r="F5" s="11">
        <f>TablasER!E5-TablasER!U5</f>
        <v>27361.201470000004</v>
      </c>
      <c r="G5" s="44">
        <f>IFERROR(F5/TablasER!U5,0)</f>
        <v>0</v>
      </c>
      <c r="H5" s="42"/>
      <c r="I5" s="206">
        <f>TablasER!G5-TablasER!W5</f>
        <v>709.22407283999928</v>
      </c>
      <c r="J5" s="44">
        <f>IFERROR(I5/TablasER!W5,0)</f>
        <v>8.0058102369754733E-2</v>
      </c>
      <c r="K5" s="42"/>
      <c r="L5" s="206">
        <f>TablasER!I5-TablasER!Y5</f>
        <v>0</v>
      </c>
      <c r="M5" s="44">
        <f>IFERROR(L5/TablasER!Y5,0)</f>
        <v>0</v>
      </c>
      <c r="N5" s="42"/>
      <c r="O5" s="206">
        <f>TablasER!K5-TablasER!AA5</f>
        <v>38743.325219999984</v>
      </c>
      <c r="P5" s="44">
        <f>IFERROR(O5/TablasER!AA5,0)</f>
        <v>0.41566605551620245</v>
      </c>
      <c r="Q5" s="42"/>
      <c r="R5" s="206">
        <f>TablasER!M5-TablasER!AC5</f>
        <v>-3661.7010699999996</v>
      </c>
      <c r="S5" s="44">
        <f>IFERROR(R5/TablasER!AC5,0)</f>
        <v>-0.48577635906765243</v>
      </c>
      <c r="T5" s="42"/>
      <c r="U5" s="206">
        <f>TablasER!O5-TablasER!AE5</f>
        <v>63152.049692839995</v>
      </c>
      <c r="V5" s="42">
        <f>IFERROR(U5/TablasER!AE5,0)</f>
        <v>0.57618109232618508</v>
      </c>
      <c r="Y5" s="328" t="s">
        <v>6</v>
      </c>
      <c r="AA5" s="242">
        <f>TablasER!AY5</f>
        <v>172756.56558883999</v>
      </c>
      <c r="AB5" s="330">
        <f>IF($AA$4=0,"N.D.",AA5/$AA$4)</f>
        <v>0.64659986757064414</v>
      </c>
      <c r="AD5" s="242">
        <f t="shared" si="3"/>
        <v>0</v>
      </c>
      <c r="AE5" s="330" t="str">
        <f t="shared" ref="AE5:AE6" si="19">IF($AD$4=0,"N.D.",AD5/$AD$4)</f>
        <v>N.D.</v>
      </c>
      <c r="AG5" s="242">
        <f>TablasER!BA5</f>
        <v>109604.515896</v>
      </c>
      <c r="AH5" s="330">
        <f t="shared" ref="AH5:AH6" si="20">IF($AG$4=0,"N.D.",AG5/$AG$4)</f>
        <v>0.6028369148614473</v>
      </c>
      <c r="AJ5" s="242">
        <f>AA5-AD5</f>
        <v>172756.56558883999</v>
      </c>
      <c r="AK5" s="330">
        <f>IFERROR(IF(0&gt;AJ5,(IF(0&gt;AJ5,AJ5/-1,AJ5)/AD5)/-1,(IF(0&gt;AJ5,AJ5/-1,AJ5)/AD5)),0)</f>
        <v>0</v>
      </c>
      <c r="AM5" s="242">
        <f>AA5-AG5</f>
        <v>63152.049692839995</v>
      </c>
      <c r="AN5" s="330">
        <f>IFERROR(IF(0&gt;AM5,(IF(0&gt;AM5,AM5/-1,AM5)/AG5)/-1,(IF(0&gt;AM5,AM5/-1,AM5)/AG5)),0)</f>
        <v>0.57618109232618508</v>
      </c>
      <c r="AQ5" s="4" t="s">
        <v>7</v>
      </c>
      <c r="AR5" s="14"/>
      <c r="AS5" s="14">
        <f>(BDER_sig!D6+BDER_sig!D28+BDER_sig!D50+BDER_sig!D72+BDER_sig!D94+BDER_sig!D116)/1000</f>
        <v>0</v>
      </c>
      <c r="AT5" s="8">
        <f>(BDER_sig!D469+BDER_sig!D492+BDER_sig!D559+BDER_sig!D604)/1000</f>
        <v>1066.037</v>
      </c>
      <c r="AU5" s="14">
        <f>(BDER_sig!D514+BDER_sig!D536+BDER_sig!D581+BDER_sig!D626+BDER_sig!D648)/1000</f>
        <v>103.315</v>
      </c>
      <c r="AV5" s="14">
        <f>(BDER_sig!D292+BDER_sig!D314+BDER_sig!D336+BDER_sig!D358)/1000</f>
        <v>32259.724999999999</v>
      </c>
      <c r="AW5" s="14">
        <f>(BDER_sig!D424+BDER_sig!D446)/1000</f>
        <v>5620.9340000000002</v>
      </c>
      <c r="AX5" s="14">
        <f>SUM(AR5:AW5)</f>
        <v>39050.010999999999</v>
      </c>
      <c r="AZ5" s="344" t="s">
        <v>7</v>
      </c>
      <c r="BA5" s="354">
        <f t="shared" si="0"/>
        <v>0</v>
      </c>
      <c r="BB5" s="355" t="str">
        <f t="shared" si="4"/>
        <v>N.D.</v>
      </c>
      <c r="BC5" s="354">
        <f t="shared" si="1"/>
        <v>39050.010999999999</v>
      </c>
      <c r="BD5" s="355">
        <f t="shared" si="5"/>
        <v>0.45877073233404514</v>
      </c>
      <c r="BE5" s="354">
        <f t="shared" si="2"/>
        <v>62077.004110000002</v>
      </c>
      <c r="BF5" s="355">
        <f t="shared" si="6"/>
        <v>0.40853379383902011</v>
      </c>
      <c r="BG5" s="354">
        <f t="shared" si="7"/>
        <v>-39050.010999999999</v>
      </c>
      <c r="BH5" s="356">
        <f t="shared" si="8"/>
        <v>-1</v>
      </c>
      <c r="BI5" s="354">
        <f t="shared" si="9"/>
        <v>-62077.004110000002</v>
      </c>
      <c r="BJ5" s="356">
        <f t="shared" si="10"/>
        <v>-1</v>
      </c>
      <c r="BL5" s="344" t="s">
        <v>7</v>
      </c>
      <c r="BM5" s="354"/>
      <c r="BN5" s="355" t="str">
        <f t="shared" si="11"/>
        <v>N.D.</v>
      </c>
      <c r="BO5" s="354">
        <f>BO3-BO4</f>
        <v>0</v>
      </c>
      <c r="BP5" s="355" t="str">
        <f t="shared" si="12"/>
        <v>N.D.</v>
      </c>
      <c r="BQ5" s="354">
        <f>BQ3-BQ4</f>
        <v>0</v>
      </c>
      <c r="BR5" s="355" t="str">
        <f t="shared" si="13"/>
        <v>N.D.</v>
      </c>
      <c r="BS5" s="354">
        <f>BS3-BS4</f>
        <v>0</v>
      </c>
      <c r="BT5" s="355" t="str">
        <f t="shared" si="14"/>
        <v>N.D.</v>
      </c>
      <c r="BU5" s="354">
        <f>BU3-BU4</f>
        <v>0</v>
      </c>
      <c r="BV5" s="355" t="str">
        <f t="shared" si="15"/>
        <v>N.D.</v>
      </c>
      <c r="BW5" s="354">
        <f>BW3-BW4</f>
        <v>0</v>
      </c>
      <c r="BX5" s="355" t="str">
        <f t="shared" si="16"/>
        <v>N.D.</v>
      </c>
      <c r="BY5" s="354">
        <f t="shared" si="17"/>
        <v>0</v>
      </c>
      <c r="BZ5" s="355" t="str">
        <f t="shared" si="18"/>
        <v>N.D.</v>
      </c>
    </row>
    <row r="6" spans="1:78" x14ac:dyDescent="0.35">
      <c r="B6" s="4" t="s">
        <v>7</v>
      </c>
      <c r="C6" s="14"/>
      <c r="D6" s="311"/>
      <c r="E6" s="316"/>
      <c r="F6" s="14">
        <f>TablasER!E6-TablasER!U6</f>
        <v>25931.546280000006</v>
      </c>
      <c r="G6" s="311">
        <f>IFERROR(F6/TablasER!U6,0)</f>
        <v>0</v>
      </c>
      <c r="H6" s="316"/>
      <c r="I6" s="214">
        <f>TablasER!G6-TablasER!W6</f>
        <v>2841.5637707040005</v>
      </c>
      <c r="J6" s="311">
        <f>IFERROR(I6/TablasER!W6,0)</f>
        <v>0.14596674842941759</v>
      </c>
      <c r="K6" s="316"/>
      <c r="L6" s="214">
        <f>TablasER!I6-TablasER!Y6</f>
        <v>-15.719523552000283</v>
      </c>
      <c r="M6" s="311">
        <f>IFERROR(L6/TablasER!Y6,0)</f>
        <v>-7.482454873646344E-3</v>
      </c>
      <c r="N6" s="316"/>
      <c r="O6" s="214">
        <f>TablasER!K6-TablasER!AA6</f>
        <v>-6343.0013049999689</v>
      </c>
      <c r="P6" s="311">
        <f>IFERROR(O6/TablasER!AA6,0)</f>
        <v>-0.13522463241420052</v>
      </c>
      <c r="Q6" s="316"/>
      <c r="R6" s="214">
        <f>TablasER!M6-TablasER!AC6</f>
        <v>-204.05117000000018</v>
      </c>
      <c r="S6" s="311">
        <f>IFERROR(R6/TablasER!AC6,0)</f>
        <v>-5.4634675376034662E-2</v>
      </c>
      <c r="T6" s="316"/>
      <c r="U6" s="214">
        <f>TablasER!O6-TablasER!AE6</f>
        <v>22210.338052152016</v>
      </c>
      <c r="V6" s="43">
        <f>IFERROR(U6/TablasER!AE6,0)</f>
        <v>0.30757971029466036</v>
      </c>
      <c r="Y6" s="331" t="s">
        <v>7</v>
      </c>
      <c r="AA6" s="239">
        <f>AA4-AA5</f>
        <v>94420.361368952028</v>
      </c>
      <c r="AB6" s="332">
        <f>IF($AA$4=0,"N.D.",AA6/$AA$4)</f>
        <v>0.35340013242935581</v>
      </c>
      <c r="AD6" s="239">
        <f>AD4-AD5</f>
        <v>0</v>
      </c>
      <c r="AE6" s="332" t="str">
        <f t="shared" si="19"/>
        <v>N.D.</v>
      </c>
      <c r="AG6" s="239">
        <f>TablasER!BA6</f>
        <v>72210.023316800012</v>
      </c>
      <c r="AH6" s="332">
        <f t="shared" si="20"/>
        <v>0.39716308513855264</v>
      </c>
      <c r="AJ6" s="239">
        <f>AA6-AD6</f>
        <v>94420.361368952028</v>
      </c>
      <c r="AK6" s="332">
        <f>IFERROR(IF(0&gt;AJ6,(IF(0&gt;AJ6,AJ6/-1,AJ6)/AD6)/-1,(IF(0&gt;AJ6,AJ6/-1,AJ6)/AD6)),0)</f>
        <v>0</v>
      </c>
      <c r="AM6" s="239">
        <f>AA6-AG6</f>
        <v>22210.338052152016</v>
      </c>
      <c r="AN6" s="332">
        <f>IFERROR(IF(0&gt;AM6,(IF(0&gt;AM6,AM6/-1,AM6)/AG6)/-1,(IF(0&gt;AM6,AM6/-1,AM6)/AG6)),0)</f>
        <v>0.30757971029466036</v>
      </c>
      <c r="AQ6" s="1"/>
      <c r="AS6" s="307"/>
      <c r="AT6" s="307"/>
      <c r="AU6" s="307"/>
      <c r="AV6" s="307"/>
      <c r="AW6" s="307"/>
      <c r="AX6" s="30"/>
      <c r="AZ6" s="341"/>
      <c r="BA6" s="357"/>
      <c r="BB6" s="358"/>
      <c r="BC6" s="357"/>
      <c r="BD6" s="358"/>
      <c r="BE6" s="357"/>
      <c r="BF6" s="358"/>
      <c r="BG6" s="357"/>
      <c r="BH6" s="359"/>
      <c r="BI6" s="357"/>
      <c r="BJ6" s="359"/>
      <c r="BL6" s="347"/>
      <c r="BM6" s="357"/>
      <c r="BN6" s="358"/>
      <c r="BO6" s="357"/>
      <c r="BP6" s="358"/>
      <c r="BQ6" s="357"/>
      <c r="BR6" s="358"/>
      <c r="BS6" s="357"/>
      <c r="BT6" s="358"/>
      <c r="BU6" s="357"/>
      <c r="BV6" s="358"/>
      <c r="BW6" s="357"/>
      <c r="BX6" s="358"/>
      <c r="BY6" s="357"/>
      <c r="BZ6" s="358"/>
    </row>
    <row r="7" spans="1:78" s="307" customFormat="1" x14ac:dyDescent="0.35">
      <c r="B7" s="1"/>
      <c r="C7" s="30"/>
      <c r="D7" s="44"/>
      <c r="E7" s="44"/>
      <c r="F7" s="30"/>
      <c r="G7" s="44"/>
      <c r="H7" s="44"/>
      <c r="I7" s="30"/>
      <c r="J7" s="44"/>
      <c r="K7" s="44"/>
      <c r="L7" s="30"/>
      <c r="M7" s="44"/>
      <c r="N7" s="44"/>
      <c r="O7" s="30"/>
      <c r="P7" s="44"/>
      <c r="Q7" s="44"/>
      <c r="R7" s="30"/>
      <c r="S7" s="44"/>
      <c r="T7" s="44"/>
      <c r="U7" s="30"/>
      <c r="V7" s="44"/>
      <c r="Y7" s="333"/>
      <c r="Z7"/>
      <c r="AA7" s="334"/>
      <c r="AB7" s="335"/>
      <c r="AC7"/>
      <c r="AD7" s="334"/>
      <c r="AE7" s="335"/>
      <c r="AF7"/>
      <c r="AG7" s="334"/>
      <c r="AH7" s="335"/>
      <c r="AI7"/>
      <c r="AJ7" s="334"/>
      <c r="AK7" s="335"/>
      <c r="AL7"/>
      <c r="AM7" s="334"/>
      <c r="AN7" s="335"/>
      <c r="AQ7" s="7" t="s">
        <v>8</v>
      </c>
      <c r="AR7" s="203"/>
      <c r="AS7" s="203">
        <f>(BDER_sig!D7+BDER_sig!D29+BDER_sig!D51+BDER_sig!D73+BDER_sig!D95+BDER_sig!D117)/1000</f>
        <v>0</v>
      </c>
      <c r="AT7" s="8">
        <f>(BDER_sig!D470+BDER_sig!D493+BDER_sig!D560+BDER_sig!D605)/1000</f>
        <v>923.91499999999996</v>
      </c>
      <c r="AU7" s="203">
        <f>(BDER_sig!D515+BDER_sig!D537+BDER_sig!D582+BDER_sig!D627+BDER_sig!D649)/1000</f>
        <v>33.200000000000003</v>
      </c>
      <c r="AV7" s="203">
        <f>(BDER_sig!D293+BDER_sig!D315+BDER_sig!D337+BDER_sig!D359)/1000</f>
        <v>14987.626</v>
      </c>
      <c r="AW7" s="203">
        <f>(BDER_sig!D425+BDER_sig!D447)/1000</f>
        <v>441.80900000000003</v>
      </c>
      <c r="AX7" s="8">
        <f>SUM(AR7:AW7)</f>
        <v>16386.55</v>
      </c>
      <c r="AZ7" s="347" t="s">
        <v>8</v>
      </c>
      <c r="BA7" s="348">
        <f t="shared" si="0"/>
        <v>0</v>
      </c>
      <c r="BB7" s="349" t="str">
        <f t="shared" ref="BB7:BB11" si="21">IF(BA$3=0,"N.D.",BA7/BA$3)</f>
        <v>N.D.</v>
      </c>
      <c r="BC7" s="348">
        <f t="shared" si="1"/>
        <v>16386.55</v>
      </c>
      <c r="BD7" s="349">
        <f t="shared" ref="BD7:BD11" si="22">IF(BC$3=0,"N.D.",BC7/BC$3)</f>
        <v>0.19251389055763513</v>
      </c>
      <c r="BE7" s="348">
        <f t="shared" si="2"/>
        <v>33310.726360000001</v>
      </c>
      <c r="BF7" s="349">
        <f t="shared" ref="BF7:BF11" si="23">IF(BE$3=0,"N.D.",BE7/BE$3)</f>
        <v>0.21922058917775716</v>
      </c>
      <c r="BG7" s="348">
        <f t="shared" ref="BG7:BG11" si="24">+BA7-BC7</f>
        <v>-16386.55</v>
      </c>
      <c r="BH7" s="350">
        <f t="shared" ref="BH7:BH11" si="25">IF(BC7=0,"N.D.",BA7/BC7-1)</f>
        <v>-1</v>
      </c>
      <c r="BI7" s="348">
        <f t="shared" ref="BI7:BI11" si="26">+BA7-BE7</f>
        <v>-33310.726360000001</v>
      </c>
      <c r="BJ7" s="350">
        <f t="shared" ref="BJ7:BJ11" si="27">IF(BE7=0, "N.D.",BA7/BE7-1)</f>
        <v>-1</v>
      </c>
      <c r="BL7" s="347" t="s">
        <v>8</v>
      </c>
      <c r="BM7" s="348"/>
      <c r="BN7" s="349" t="str">
        <f>IF(BM$3=0,"N.D.",BM7/BM$3)</f>
        <v>N.D.</v>
      </c>
      <c r="BO7" s="348">
        <f>proyeccion!B5</f>
        <v>0</v>
      </c>
      <c r="BP7" s="349" t="str">
        <f t="shared" ref="BP7:BP11" si="28">IF(BO$3=0,"N.D.",BO7/BO$3)</f>
        <v>N.D.</v>
      </c>
      <c r="BQ7" s="348">
        <f>proyeccion!G5</f>
        <v>0</v>
      </c>
      <c r="BR7" s="349" t="str">
        <f t="shared" ref="BR7:BR11" si="29">IF(BQ$3=0,"N.D.",BQ7/BQ$3)</f>
        <v>N.D.</v>
      </c>
      <c r="BS7" s="348">
        <f>proyeccion!H5</f>
        <v>0</v>
      </c>
      <c r="BT7" s="349" t="str">
        <f t="shared" ref="BT7:BT11" si="30">IF(BS$3=0,"N.D.",BS7/BS$3)</f>
        <v>N.D.</v>
      </c>
      <c r="BU7" s="348">
        <f>proyeccion!E5</f>
        <v>0</v>
      </c>
      <c r="BV7" s="349" t="str">
        <f t="shared" ref="BV7:BV11" si="31">IF(BU$3=0,"N.D.",BU7/BU$3)</f>
        <v>N.D.</v>
      </c>
      <c r="BW7" s="348">
        <f>proyeccion!F5</f>
        <v>0</v>
      </c>
      <c r="BX7" s="349" t="str">
        <f t="shared" ref="BX7:BX11" si="32">IF(BW$3=0,"N.D.",BW7/BW$3)</f>
        <v>N.D.</v>
      </c>
      <c r="BY7" s="348">
        <f>BM7+BO7+BQ7+BS7+BU7+BW7</f>
        <v>0</v>
      </c>
      <c r="BZ7" s="349" t="str">
        <f t="shared" ref="BZ7:BZ11" si="33">IF(BY$3=0,"N.D.",BY7/BY$3)</f>
        <v>N.D.</v>
      </c>
    </row>
    <row r="8" spans="1:78" x14ac:dyDescent="0.35">
      <c r="B8" s="7" t="s">
        <v>8</v>
      </c>
      <c r="C8" s="8"/>
      <c r="D8" s="310"/>
      <c r="E8" s="42"/>
      <c r="F8" s="8">
        <f>TablasER!E8-TablasER!U8</f>
        <v>12855.633999999998</v>
      </c>
      <c r="G8" s="310">
        <f>IFERROR(F8/TablasER!U8,0)</f>
        <v>0</v>
      </c>
      <c r="H8" s="42"/>
      <c r="I8" s="204">
        <f>TablasER!G8-TablasER!W8</f>
        <v>555.8982460560037</v>
      </c>
      <c r="J8" s="310">
        <f>IFERROR(I8/TablasER!W8,0)</f>
        <v>2.9445131253053345E-2</v>
      </c>
      <c r="K8" s="42"/>
      <c r="L8" s="204">
        <f>TablasER!I8-TablasER!Y8</f>
        <v>-234.15059951999996</v>
      </c>
      <c r="M8" s="310">
        <f>IFERROR(L8/TablasER!Y8,0)</f>
        <v>-0.34871686746987945</v>
      </c>
      <c r="N8" s="42"/>
      <c r="O8" s="204">
        <f>TablasER!K8-TablasER!AA8</f>
        <v>1550.0724350000019</v>
      </c>
      <c r="P8" s="310">
        <f>IFERROR(O8/TablasER!AA8,0)</f>
        <v>7.8355986001321071E-2</v>
      </c>
      <c r="Q8" s="42"/>
      <c r="R8" s="204">
        <f>TablasER!M8-TablasER!AC8</f>
        <v>-238.30500000000001</v>
      </c>
      <c r="S8" s="310">
        <f>IFERROR(R8/TablasER!AC8,0)</f>
        <v>-0.83126654736864136</v>
      </c>
      <c r="T8" s="42"/>
      <c r="U8" s="204">
        <f>TablasER!O8-TablasER!AE8</f>
        <v>14489.149081536001</v>
      </c>
      <c r="V8" s="29">
        <f>IFERROR(U8/TablasER!AE8,0)</f>
        <v>0.3657056638807189</v>
      </c>
      <c r="Y8" s="328" t="s">
        <v>8</v>
      </c>
      <c r="AA8" s="241">
        <f>TablasER!AY8</f>
        <v>54108.850148735997</v>
      </c>
      <c r="AB8" s="329">
        <f t="shared" ref="AB8:AB12" si="34">IF($AA$4=0,"N.D.",AA8/$AA$4)</f>
        <v>0.20252066959840431</v>
      </c>
      <c r="AD8" s="241">
        <f t="shared" ref="AD8:AD10" si="35">BY7</f>
        <v>0</v>
      </c>
      <c r="AE8" s="329" t="str">
        <f t="shared" ref="AE8:AE12" si="36">IF($AD$4=0,"N.D.",AD8/$AD$4)</f>
        <v>N.D.</v>
      </c>
      <c r="AG8" s="241">
        <f>TablasER!BA8</f>
        <v>39619.701067199996</v>
      </c>
      <c r="AH8" s="329">
        <f t="shared" ref="AH8:AH12" si="37">IF($AG$4=0,"N.D.",AG8/$AG$4)</f>
        <v>0.21791272160488864</v>
      </c>
      <c r="AJ8" s="241">
        <f t="shared" ref="AJ8:AJ10" si="38">AA8-AD8</f>
        <v>54108.850148735997</v>
      </c>
      <c r="AK8" s="329">
        <f>IFERROR(IF(0&gt;AJ8,(IF(0&gt;AJ8,AJ8/-1,AJ8)/AD8)/-1,(IF(0&gt;AJ8,AJ8/-1,AJ8)/AD8)),0)</f>
        <v>0</v>
      </c>
      <c r="AM8" s="241">
        <f t="shared" ref="AM8:AM10" si="39">AA8-AG8</f>
        <v>14489.149081536001</v>
      </c>
      <c r="AN8" s="329">
        <f>IFERROR(IF(0&gt;AM8,(IF(0&gt;AM8,AM8/-1,AM8)/AG8)/-1,(IF(0&gt;AM8,AM8/-1,AM8)/AG8)),0)</f>
        <v>0.3657056638807189</v>
      </c>
      <c r="AQ8" s="7" t="s">
        <v>9</v>
      </c>
      <c r="AR8" s="8"/>
      <c r="AS8" s="203">
        <f>(BDER_sig!D8+BDER_sig!D30+BDER_sig!D52+BDER_sig!D74+BDER_sig!D96+BDER_sig!D118)/1000</f>
        <v>0</v>
      </c>
      <c r="AT8" s="8">
        <f>(BDER_sig!D471+BDER_sig!D494+BDER_sig!D561+BDER_sig!D606)/1000</f>
        <v>53.313000000000002</v>
      </c>
      <c r="AU8" s="203">
        <f>(BDER_sig!D516+BDER_sig!D538+BDER_sig!D583+BDER_sig!D628+BDER_sig!D650)/1000</f>
        <v>0</v>
      </c>
      <c r="AV8" s="203">
        <f>(BDER_sig!D294+BDER_sig!D316+BDER_sig!D338+BDER_sig!D360)/1000</f>
        <v>5291.799</v>
      </c>
      <c r="AW8" s="203">
        <f>(BDER_sig!D426+BDER_sig!D448)/1000</f>
        <v>539.61</v>
      </c>
      <c r="AX8" s="11">
        <f t="shared" ref="AX8:AX11" si="40">SUM(AR8:AW8)</f>
        <v>5884.7219999999998</v>
      </c>
      <c r="AZ8" s="347" t="s">
        <v>9</v>
      </c>
      <c r="BA8" s="351">
        <f t="shared" si="0"/>
        <v>0</v>
      </c>
      <c r="BB8" s="352" t="str">
        <f t="shared" si="21"/>
        <v>N.D.</v>
      </c>
      <c r="BC8" s="351">
        <f t="shared" si="1"/>
        <v>5884.7219999999998</v>
      </c>
      <c r="BD8" s="352">
        <f t="shared" si="22"/>
        <v>6.9135402331186716E-2</v>
      </c>
      <c r="BE8" s="351">
        <f t="shared" si="2"/>
        <v>14462.691000000003</v>
      </c>
      <c r="BF8" s="352">
        <f t="shared" si="23"/>
        <v>9.5180141310969787E-2</v>
      </c>
      <c r="BG8" s="351">
        <f t="shared" si="24"/>
        <v>-5884.7219999999998</v>
      </c>
      <c r="BH8" s="353">
        <f t="shared" si="25"/>
        <v>-1</v>
      </c>
      <c r="BI8" s="351">
        <f t="shared" si="26"/>
        <v>-14462.691000000003</v>
      </c>
      <c r="BJ8" s="353">
        <f t="shared" si="27"/>
        <v>-1</v>
      </c>
      <c r="BL8" s="347" t="s">
        <v>9</v>
      </c>
      <c r="BM8" s="351"/>
      <c r="BN8" s="352" t="str">
        <f>IF(BM$3=0,"N.D.",BM8/BM$3)</f>
        <v>N.D.</v>
      </c>
      <c r="BO8" s="351">
        <f>proyeccion!B6</f>
        <v>0</v>
      </c>
      <c r="BP8" s="352" t="str">
        <f t="shared" si="28"/>
        <v>N.D.</v>
      </c>
      <c r="BQ8" s="351">
        <f>proyeccion!G6</f>
        <v>0</v>
      </c>
      <c r="BR8" s="352" t="str">
        <f t="shared" si="29"/>
        <v>N.D.</v>
      </c>
      <c r="BS8" s="351">
        <f>proyeccion!H6</f>
        <v>0</v>
      </c>
      <c r="BT8" s="352" t="str">
        <f t="shared" si="30"/>
        <v>N.D.</v>
      </c>
      <c r="BU8" s="351">
        <f>proyeccion!E6</f>
        <v>0</v>
      </c>
      <c r="BV8" s="352" t="str">
        <f t="shared" si="31"/>
        <v>N.D.</v>
      </c>
      <c r="BW8" s="351">
        <f>proyeccion!F6</f>
        <v>0</v>
      </c>
      <c r="BX8" s="352" t="str">
        <f t="shared" si="32"/>
        <v>N.D.</v>
      </c>
      <c r="BY8" s="351">
        <f>BM8+BO8+BQ8+BS8+BU8+BW8</f>
        <v>0</v>
      </c>
      <c r="BZ8" s="352" t="str">
        <f t="shared" si="33"/>
        <v>N.D.</v>
      </c>
    </row>
    <row r="9" spans="1:78" x14ac:dyDescent="0.35">
      <c r="B9" s="7" t="s">
        <v>9</v>
      </c>
      <c r="C9" s="11"/>
      <c r="D9" s="44"/>
      <c r="E9" s="42"/>
      <c r="F9" s="11">
        <f>TablasER!E9-TablasER!U9</f>
        <v>5805.3822199999995</v>
      </c>
      <c r="G9" s="44">
        <f>IFERROR(F9/TablasER!U9,0)</f>
        <v>0</v>
      </c>
      <c r="H9" s="42"/>
      <c r="I9" s="206">
        <f>TablasER!G9-TablasER!W9</f>
        <v>-553.90327178399991</v>
      </c>
      <c r="J9" s="44">
        <f>IFERROR(I9/TablasER!W9,0)</f>
        <v>-0.44340462390311819</v>
      </c>
      <c r="K9" s="42"/>
      <c r="L9" s="206">
        <f>TablasER!I9-TablasER!Y9</f>
        <v>0.473058072</v>
      </c>
      <c r="M9" s="44">
        <f>IFERROR(L9/TablasER!Y9,0)</f>
        <v>0</v>
      </c>
      <c r="N9" s="42"/>
      <c r="O9" s="206">
        <f>TablasER!K9-TablasER!AA9</f>
        <v>934.25608999999986</v>
      </c>
      <c r="P9" s="44">
        <f>IFERROR(O9/TablasER!AA9,0)</f>
        <v>0.13514358107252891</v>
      </c>
      <c r="Q9" s="42"/>
      <c r="R9" s="206">
        <f>TablasER!M9-TablasER!AC9</f>
        <v>17.870099999999979</v>
      </c>
      <c r="S9" s="44">
        <f>IFERROR(R9/TablasER!AC9,0)</f>
        <v>3.1706499174961371E-2</v>
      </c>
      <c r="T9" s="42"/>
      <c r="U9" s="206">
        <f>TablasER!O9-TablasER!AE9</f>
        <v>6204.078196288001</v>
      </c>
      <c r="V9" s="42">
        <f>IFERROR(U9/TablasER!AE9,0)</f>
        <v>0.71099758655383372</v>
      </c>
      <c r="Y9" s="328" t="s">
        <v>9</v>
      </c>
      <c r="AA9" s="242">
        <f>TablasER!AY9</f>
        <v>14929.956193088001</v>
      </c>
      <c r="AB9" s="330">
        <f t="shared" si="34"/>
        <v>5.5880409895748967E-2</v>
      </c>
      <c r="AD9" s="242">
        <f t="shared" si="35"/>
        <v>0</v>
      </c>
      <c r="AE9" s="330" t="str">
        <f t="shared" si="36"/>
        <v>N.D.</v>
      </c>
      <c r="AG9" s="242">
        <f>TablasER!BA9</f>
        <v>8725.8779967999999</v>
      </c>
      <c r="AH9" s="330">
        <f t="shared" si="37"/>
        <v>4.7993290495800381E-2</v>
      </c>
      <c r="AJ9" s="242">
        <f t="shared" si="38"/>
        <v>14929.956193088001</v>
      </c>
      <c r="AK9" s="330">
        <f>IFERROR(IF(0&gt;AJ9,(IF(0&gt;AJ9,AJ9/-1,AJ9)/AD9)/-1,(IF(0&gt;AJ9,AJ9/-1,AJ9)/AD9)),0)</f>
        <v>0</v>
      </c>
      <c r="AM9" s="242">
        <f t="shared" si="39"/>
        <v>6204.078196288001</v>
      </c>
      <c r="AN9" s="330">
        <f>IFERROR(IF(0&gt;AM9,(IF(0&gt;AM9,AM9/-1,AM9)/AG9)/-1,(IF(0&gt;AM9,AM9/-1,AM9)/AG9)),0)</f>
        <v>0.71099758655383372</v>
      </c>
      <c r="AQ9" s="7" t="s">
        <v>10</v>
      </c>
      <c r="AR9" s="8"/>
      <c r="AS9" s="203">
        <f>(BDER_sig!D9+BDER_sig!D31+BDER_sig!D53+BDER_sig!D75+BDER_sig!D97+BDER_sig!D119)/1000</f>
        <v>0</v>
      </c>
      <c r="AT9" s="8">
        <f>(BDER_sig!D472+BDER_sig!D495+BDER_sig!D562+BDER_sig!D607)/1000</f>
        <v>13.294</v>
      </c>
      <c r="AU9" s="203">
        <f>(BDER_sig!D517+BDER_sig!D539+BDER_sig!D584+BDER_sig!D629+BDER_sig!D651)/1000</f>
        <v>13.698</v>
      </c>
      <c r="AV9" s="203">
        <f>(BDER_sig!D295+BDER_sig!D317+BDER_sig!D339+BDER_sig!D361)/1000</f>
        <v>1694.8679999999999</v>
      </c>
      <c r="AW9" s="203">
        <f>(BDER_sig!D427+BDER_sig!D449)/1000</f>
        <v>33.756</v>
      </c>
      <c r="AX9" s="11">
        <f t="shared" si="40"/>
        <v>1755.616</v>
      </c>
      <c r="AZ9" s="347" t="s">
        <v>10</v>
      </c>
      <c r="BA9" s="351">
        <f t="shared" si="0"/>
        <v>0</v>
      </c>
      <c r="BB9" s="352" t="str">
        <f t="shared" si="21"/>
        <v>N.D.</v>
      </c>
      <c r="BC9" s="351">
        <f t="shared" si="1"/>
        <v>1755.616</v>
      </c>
      <c r="BD9" s="352">
        <f t="shared" si="22"/>
        <v>2.0625480438849736E-2</v>
      </c>
      <c r="BE9" s="351">
        <f t="shared" si="2"/>
        <v>2834.8486099999996</v>
      </c>
      <c r="BF9" s="352">
        <f t="shared" si="23"/>
        <v>1.8656368396103202E-2</v>
      </c>
      <c r="BG9" s="351">
        <f t="shared" si="24"/>
        <v>-1755.616</v>
      </c>
      <c r="BH9" s="353">
        <f t="shared" si="25"/>
        <v>-1</v>
      </c>
      <c r="BI9" s="351">
        <f t="shared" si="26"/>
        <v>-2834.8486099999996</v>
      </c>
      <c r="BJ9" s="353">
        <f t="shared" si="27"/>
        <v>-1</v>
      </c>
      <c r="BL9" s="347" t="s">
        <v>10</v>
      </c>
      <c r="BM9" s="351"/>
      <c r="BN9" s="352" t="str">
        <f>IF(BM$3=0,"N.D.",BM9/BM$3)</f>
        <v>N.D.</v>
      </c>
      <c r="BO9" s="351">
        <f>proyeccion!B7</f>
        <v>0</v>
      </c>
      <c r="BP9" s="352" t="str">
        <f t="shared" si="28"/>
        <v>N.D.</v>
      </c>
      <c r="BQ9" s="351">
        <f>proyeccion!G7</f>
        <v>0</v>
      </c>
      <c r="BR9" s="352" t="str">
        <f t="shared" si="29"/>
        <v>N.D.</v>
      </c>
      <c r="BS9" s="351">
        <f>proyeccion!H7</f>
        <v>0</v>
      </c>
      <c r="BT9" s="352" t="str">
        <f t="shared" si="30"/>
        <v>N.D.</v>
      </c>
      <c r="BU9" s="351">
        <f>proyeccion!E7</f>
        <v>0</v>
      </c>
      <c r="BV9" s="352" t="str">
        <f t="shared" si="31"/>
        <v>N.D.</v>
      </c>
      <c r="BW9" s="351">
        <f>proyeccion!F7</f>
        <v>0</v>
      </c>
      <c r="BX9" s="352" t="str">
        <f t="shared" si="32"/>
        <v>N.D.</v>
      </c>
      <c r="BY9" s="351">
        <f>BM9+BO9+BQ9+BS9+BU9+BW9</f>
        <v>0</v>
      </c>
      <c r="BZ9" s="352" t="str">
        <f t="shared" si="33"/>
        <v>N.D.</v>
      </c>
    </row>
    <row r="10" spans="1:78" x14ac:dyDescent="0.35">
      <c r="B10" s="7" t="s">
        <v>10</v>
      </c>
      <c r="C10" s="34"/>
      <c r="D10" s="44"/>
      <c r="E10" s="42"/>
      <c r="F10" s="34">
        <f>TablasER!E10-TablasER!U10</f>
        <v>910.51363000000003</v>
      </c>
      <c r="G10" s="44">
        <f>IFERROR(F10/TablasER!U10,0)</f>
        <v>0</v>
      </c>
      <c r="H10" s="42"/>
      <c r="I10" s="207">
        <f>TablasER!G10-TablasER!W10</f>
        <v>107.54921671200003</v>
      </c>
      <c r="J10" s="44">
        <f>IFERROR(I10/TablasER!W10,0)</f>
        <v>0.40000676997141582</v>
      </c>
      <c r="K10" s="42"/>
      <c r="L10" s="207">
        <f>TablasER!I10-TablasER!Y10</f>
        <v>332.21923898399996</v>
      </c>
      <c r="M10" s="44">
        <f>IFERROR(L10/TablasER!Y10,0)</f>
        <v>1.199177252153599</v>
      </c>
      <c r="N10" s="42"/>
      <c r="O10" s="207">
        <f>TablasER!K10-TablasER!AA10</f>
        <v>-360.44603999999981</v>
      </c>
      <c r="P10" s="44">
        <f>IFERROR(O10/TablasER!AA10,0)</f>
        <v>-0.1565625105874687</v>
      </c>
      <c r="Q10" s="42"/>
      <c r="R10" s="207">
        <f>TablasER!M10-TablasER!AC10</f>
        <v>-1.8305900000000008</v>
      </c>
      <c r="S10" s="44">
        <f>IFERROR(R10/TablasER!AC10,0)</f>
        <v>-5.4230062803649746E-2</v>
      </c>
      <c r="T10" s="42"/>
      <c r="U10" s="207">
        <f>TablasER!O10-TablasER!AE10</f>
        <v>988.00545569600035</v>
      </c>
      <c r="V10" s="42">
        <f>IFERROR(U10/TablasER!AE10,0)</f>
        <v>0.34282963465023591</v>
      </c>
      <c r="Y10" s="328" t="s">
        <v>10</v>
      </c>
      <c r="AA10" s="242">
        <f>TablasER!AY10</f>
        <v>3869.9192572960001</v>
      </c>
      <c r="AB10" s="330">
        <f t="shared" si="34"/>
        <v>1.4484481505797694E-2</v>
      </c>
      <c r="AD10" s="242">
        <f t="shared" si="35"/>
        <v>0</v>
      </c>
      <c r="AE10" s="330" t="str">
        <f t="shared" si="36"/>
        <v>N.D.</v>
      </c>
      <c r="AG10" s="242">
        <f>TablasER!BA10</f>
        <v>2881.9138015999997</v>
      </c>
      <c r="AH10" s="330">
        <f t="shared" si="37"/>
        <v>1.5850843469822511E-2</v>
      </c>
      <c r="AJ10" s="242">
        <f t="shared" si="38"/>
        <v>3869.9192572960001</v>
      </c>
      <c r="AK10" s="330">
        <f>IFERROR(IF(0&gt;AJ10,(IF(0&gt;AJ10,AJ10/-1,AJ10)/AD10)/-1,(IF(0&gt;AJ10,AJ10/-1,AJ10)/AD10)),0)</f>
        <v>0</v>
      </c>
      <c r="AM10" s="242">
        <f t="shared" si="39"/>
        <v>988.00545569600035</v>
      </c>
      <c r="AN10" s="330">
        <f>IFERROR(IF(0&gt;AM10,(IF(0&gt;AM10,AM10/-1,AM10)/AG10)/-1,(IF(0&gt;AM10,AM10/-1,AM10)/AG10)),0)</f>
        <v>0.34282963465023591</v>
      </c>
      <c r="AQ10" s="4" t="s">
        <v>11</v>
      </c>
      <c r="AR10" s="14"/>
      <c r="AS10" s="203">
        <f>(BDER_sig!D10+BDER_sig!D32+BDER_sig!D54+BDER_sig!D76+BDER_sig!D98+BDER_sig!D120)/1000</f>
        <v>0</v>
      </c>
      <c r="AT10" s="8">
        <f>(BDER_sig!D473+BDER_sig!D496+BDER_sig!D563+BDER_sig!D608)/1000</f>
        <v>990.52200000000005</v>
      </c>
      <c r="AU10" s="203">
        <f>(BDER_sig!D518+BDER_sig!D540+BDER_sig!D585+BDER_sig!D630+BDER_sig!D652)/1000</f>
        <v>46.898000000000003</v>
      </c>
      <c r="AV10" s="203">
        <f>(BDER_sig!D296+BDER_sig!D318+BDER_sig!D340+BDER_sig!D362)/1000</f>
        <v>21974.293000000001</v>
      </c>
      <c r="AW10" s="203">
        <f>(BDER_sig!D428+BDER_sig!D450)/1000</f>
        <v>1015.175</v>
      </c>
      <c r="AX10" s="14">
        <f t="shared" si="40"/>
        <v>24026.888000000003</v>
      </c>
      <c r="AZ10" s="344" t="s">
        <v>11</v>
      </c>
      <c r="BA10" s="354">
        <f t="shared" si="0"/>
        <v>0</v>
      </c>
      <c r="BB10" s="355" t="str">
        <f t="shared" si="21"/>
        <v>N.D.</v>
      </c>
      <c r="BC10" s="354">
        <f t="shared" si="1"/>
        <v>24026.888000000003</v>
      </c>
      <c r="BD10" s="355">
        <f t="shared" si="22"/>
        <v>0.28227477332767159</v>
      </c>
      <c r="BE10" s="354">
        <f t="shared" si="2"/>
        <v>50608.265969999993</v>
      </c>
      <c r="BF10" s="355">
        <f t="shared" si="23"/>
        <v>0.33305709888483009</v>
      </c>
      <c r="BG10" s="354">
        <f t="shared" si="24"/>
        <v>-24026.888000000003</v>
      </c>
      <c r="BH10" s="356">
        <f t="shared" si="25"/>
        <v>-1</v>
      </c>
      <c r="BI10" s="354">
        <f t="shared" si="26"/>
        <v>-50608.265969999993</v>
      </c>
      <c r="BJ10" s="356">
        <f t="shared" si="27"/>
        <v>-1</v>
      </c>
      <c r="BL10" s="344" t="s">
        <v>11</v>
      </c>
      <c r="BM10" s="354"/>
      <c r="BN10" s="355" t="str">
        <f>IF(BM$3=0,"N.D.",BM10/BM$3)</f>
        <v>N.D.</v>
      </c>
      <c r="BO10" s="354">
        <f>BO7+BO8+BO9</f>
        <v>0</v>
      </c>
      <c r="BP10" s="355" t="str">
        <f t="shared" si="28"/>
        <v>N.D.</v>
      </c>
      <c r="BQ10" s="354">
        <f>BQ7+BQ8+BQ9</f>
        <v>0</v>
      </c>
      <c r="BR10" s="355" t="str">
        <f t="shared" si="29"/>
        <v>N.D.</v>
      </c>
      <c r="BS10" s="354">
        <f>BS7+BS8+BS9</f>
        <v>0</v>
      </c>
      <c r="BT10" s="355" t="str">
        <f t="shared" si="30"/>
        <v>N.D.</v>
      </c>
      <c r="BU10" s="354">
        <f>BU7+BU8+BU9</f>
        <v>0</v>
      </c>
      <c r="BV10" s="355" t="str">
        <f t="shared" si="31"/>
        <v>N.D.</v>
      </c>
      <c r="BW10" s="354">
        <f>BW7+BW8+BW9</f>
        <v>0</v>
      </c>
      <c r="BX10" s="355" t="str">
        <f t="shared" si="32"/>
        <v>N.D.</v>
      </c>
      <c r="BY10" s="354">
        <f>BM10+BO10+BQ10+BS10+BU10+BW10</f>
        <v>0</v>
      </c>
      <c r="BZ10" s="355" t="str">
        <f t="shared" si="33"/>
        <v>N.D.</v>
      </c>
    </row>
    <row r="11" spans="1:78" x14ac:dyDescent="0.35">
      <c r="B11" s="4" t="s">
        <v>11</v>
      </c>
      <c r="C11" s="14"/>
      <c r="D11" s="312"/>
      <c r="E11" s="316"/>
      <c r="F11" s="14">
        <f>TablasER!E11-TablasER!U11</f>
        <v>19571.529849999999</v>
      </c>
      <c r="G11" s="312">
        <f>IFERROR(F11/TablasER!U11,0)</f>
        <v>0</v>
      </c>
      <c r="H11" s="316"/>
      <c r="I11" s="214">
        <f>TablasER!G11-TablasER!W11</f>
        <v>109.54419098400831</v>
      </c>
      <c r="J11" s="312">
        <f>IFERROR(I11/TablasER!W11,0)</f>
        <v>5.3705514196988992E-3</v>
      </c>
      <c r="K11" s="316"/>
      <c r="L11" s="214">
        <f>TablasER!I11-TablasER!Y11</f>
        <v>98.541697536000129</v>
      </c>
      <c r="M11" s="312">
        <f>IFERROR(L11/TablasER!Y11,0)</f>
        <v>0.10389185039873783</v>
      </c>
      <c r="N11" s="316"/>
      <c r="O11" s="214">
        <f>TablasER!K11-TablasER!AA11</f>
        <v>2123.8824850000055</v>
      </c>
      <c r="P11" s="312">
        <f>IFERROR(O11/TablasER!AA11,0)</f>
        <v>7.3243007190454387E-2</v>
      </c>
      <c r="Q11" s="316"/>
      <c r="R11" s="214">
        <f>TablasER!M11-TablasER!AC11</f>
        <v>-222.26549000000011</v>
      </c>
      <c r="S11" s="312">
        <f>IFERROR(R11/TablasER!AC11,0)</f>
        <v>-0.25141932010094542</v>
      </c>
      <c r="T11" s="316"/>
      <c r="U11" s="214">
        <f>TablasER!O11-TablasER!AE11</f>
        <v>21681.232733519995</v>
      </c>
      <c r="V11" s="306">
        <f>IFERROR(U11/TablasER!AE11,0)</f>
        <v>0.42323431268445416</v>
      </c>
      <c r="Y11" s="331" t="s">
        <v>11</v>
      </c>
      <c r="AA11" s="239">
        <f>AA8+AA9+AA10</f>
        <v>72908.725599120007</v>
      </c>
      <c r="AB11" s="332">
        <f t="shared" si="34"/>
        <v>0.27288556099995098</v>
      </c>
      <c r="AD11" s="239">
        <f>AD8+AD9+AD10</f>
        <v>0</v>
      </c>
      <c r="AE11" s="332" t="str">
        <f t="shared" si="36"/>
        <v>N.D.</v>
      </c>
      <c r="AG11" s="239">
        <f>TablasER!BA11</f>
        <v>51227.492865599997</v>
      </c>
      <c r="AH11" s="332">
        <f t="shared" si="37"/>
        <v>0.28175685557051156</v>
      </c>
      <c r="AJ11" s="239">
        <f t="shared" ref="AJ11:AJ12" si="41">AA11-AD11</f>
        <v>72908.725599120007</v>
      </c>
      <c r="AK11" s="332">
        <f>IFERROR(IF(0&gt;AJ11,(IF(0&gt;AJ11,AJ11/-1,AJ11)/AD11)/-1,(IF(0&gt;AJ11,AJ11/-1,AJ11)/AD11)),0)</f>
        <v>0</v>
      </c>
      <c r="AM11" s="239">
        <f t="shared" ref="AM11:AM12" si="42">AA11-AG11</f>
        <v>21681.23273352001</v>
      </c>
      <c r="AN11" s="332">
        <f>IFERROR(IF(0&gt;AM11,(IF(0&gt;AM11,AM11/-1,AM11)/AG11)/-1,(IF(0&gt;AM11,AM11/-1,AM11)/AG11)),0)</f>
        <v>0.42323431268445449</v>
      </c>
      <c r="AQ11" s="4" t="s">
        <v>12</v>
      </c>
      <c r="AR11" s="20"/>
      <c r="AS11" s="203">
        <f>(BDER_sig!D11+BDER_sig!D33+BDER_sig!D55+BDER_sig!D77+BDER_sig!D99+BDER_sig!D121)/1000</f>
        <v>0</v>
      </c>
      <c r="AT11" s="8">
        <f>(BDER_sig!D474+BDER_sig!D497+BDER_sig!D564+BDER_sig!D609)/1000</f>
        <v>75.515000000000001</v>
      </c>
      <c r="AU11" s="203">
        <f>(BDER_sig!D519+BDER_sig!D541+BDER_sig!D586+BDER_sig!D631+BDER_sig!D653)/1000</f>
        <v>56.417000000000002</v>
      </c>
      <c r="AV11" s="203">
        <f>(BDER_sig!D297+BDER_sig!D319+BDER_sig!D341+BDER_sig!D363)/1000</f>
        <v>10285.432000000001</v>
      </c>
      <c r="AW11" s="203">
        <f>(BDER_sig!D429+BDER_sig!D451)/1000</f>
        <v>4605.759</v>
      </c>
      <c r="AX11" s="20">
        <f t="shared" si="40"/>
        <v>15023.123000000001</v>
      </c>
      <c r="AZ11" s="344" t="s">
        <v>12</v>
      </c>
      <c r="BA11" s="360">
        <f t="shared" si="0"/>
        <v>0</v>
      </c>
      <c r="BB11" s="355" t="str">
        <f t="shared" si="21"/>
        <v>N.D.</v>
      </c>
      <c r="BC11" s="360">
        <f t="shared" si="1"/>
        <v>15023.123000000001</v>
      </c>
      <c r="BD11" s="355">
        <f t="shared" si="22"/>
        <v>0.1764959590063736</v>
      </c>
      <c r="BE11" s="360">
        <f t="shared" si="2"/>
        <v>11468.738140000001</v>
      </c>
      <c r="BF11" s="355">
        <f t="shared" si="23"/>
        <v>7.5476694954189974E-2</v>
      </c>
      <c r="BG11" s="354">
        <f t="shared" si="24"/>
        <v>-15023.123000000001</v>
      </c>
      <c r="BH11" s="356">
        <f t="shared" si="25"/>
        <v>-1</v>
      </c>
      <c r="BI11" s="354">
        <f t="shared" si="26"/>
        <v>-11468.738140000001</v>
      </c>
      <c r="BJ11" s="356">
        <f t="shared" si="27"/>
        <v>-1</v>
      </c>
      <c r="BL11" s="344" t="s">
        <v>12</v>
      </c>
      <c r="BM11" s="354"/>
      <c r="BN11" s="355" t="str">
        <f>IF(BM$3=0,"N.D.",BM11/BM$3)</f>
        <v>N.D.</v>
      </c>
      <c r="BO11" s="354">
        <f>BO5-BO10</f>
        <v>0</v>
      </c>
      <c r="BP11" s="355" t="str">
        <f t="shared" si="28"/>
        <v>N.D.</v>
      </c>
      <c r="BQ11" s="354">
        <f>BQ5-BQ10</f>
        <v>0</v>
      </c>
      <c r="BR11" s="355" t="str">
        <f t="shared" si="29"/>
        <v>N.D.</v>
      </c>
      <c r="BS11" s="354">
        <f>BS5-BS10</f>
        <v>0</v>
      </c>
      <c r="BT11" s="355" t="str">
        <f t="shared" si="30"/>
        <v>N.D.</v>
      </c>
      <c r="BU11" s="354">
        <f>BU5-BU10</f>
        <v>0</v>
      </c>
      <c r="BV11" s="355" t="str">
        <f t="shared" si="31"/>
        <v>N.D.</v>
      </c>
      <c r="BW11" s="354">
        <f>BW5-BW10</f>
        <v>0</v>
      </c>
      <c r="BX11" s="355" t="str">
        <f t="shared" si="32"/>
        <v>N.D.</v>
      </c>
      <c r="BY11" s="354">
        <f>BM11+BO11+BQ11+BS11+BU11+BW11</f>
        <v>0</v>
      </c>
      <c r="BZ11" s="355" t="str">
        <f t="shared" si="33"/>
        <v>N.D.</v>
      </c>
    </row>
    <row r="12" spans="1:78" x14ac:dyDescent="0.35">
      <c r="B12" s="4" t="s">
        <v>12</v>
      </c>
      <c r="C12" s="14"/>
      <c r="D12" s="311"/>
      <c r="E12" s="316"/>
      <c r="F12" s="14">
        <f>TablasER!E16-TablasER!U12</f>
        <v>6360.0164300000069</v>
      </c>
      <c r="G12" s="311">
        <f>IFERROR(F12/TablasER!U12,0)</f>
        <v>0</v>
      </c>
      <c r="H12" s="316"/>
      <c r="I12" s="214">
        <f>TablasER!G16-TablasER!W12</f>
        <v>2732.0195797199922</v>
      </c>
      <c r="J12" s="311">
        <f>IFERROR(I12/TablasER!W12,0)</f>
        <v>-2.9376650066328933</v>
      </c>
      <c r="K12" s="316"/>
      <c r="L12" s="214">
        <f>TablasER!I16-TablasER!Y12</f>
        <v>-114.26122108800041</v>
      </c>
      <c r="M12" s="311">
        <f>IFERROR(L12/TablasER!Y12,0)</f>
        <v>-9.9155097670990414E-2</v>
      </c>
      <c r="N12" s="316"/>
      <c r="O12" s="214">
        <f>TablasER!K16-TablasER!AA12</f>
        <v>-8466.8837899999744</v>
      </c>
      <c r="P12" s="311">
        <f>IFERROR(O12/TablasER!AA12,0)</f>
        <v>-0.47276218630078526</v>
      </c>
      <c r="Q12" s="316"/>
      <c r="R12" s="214">
        <f>TablasER!M16-TablasER!AC12</f>
        <v>18.214320000000043</v>
      </c>
      <c r="S12" s="311">
        <f>IFERROR(R12/TablasER!AC12,0)</f>
        <v>6.3892273920245291E-3</v>
      </c>
      <c r="T12" s="316"/>
      <c r="U12" s="214">
        <f>TablasER!O16-TablasER!AE12</f>
        <v>529.1053186320205</v>
      </c>
      <c r="V12" s="43">
        <f>IFERROR(U12/TablasER!AE12,0)</f>
        <v>2.5216468521877464E-2</v>
      </c>
      <c r="Y12" s="331" t="s">
        <v>12</v>
      </c>
      <c r="AA12" s="247">
        <f>AA6-AA11</f>
        <v>21511.635769832021</v>
      </c>
      <c r="AB12" s="336">
        <f t="shared" si="34"/>
        <v>8.0514571429404824E-2</v>
      </c>
      <c r="AD12" s="247">
        <f>AD6-AD11</f>
        <v>0</v>
      </c>
      <c r="AE12" s="336" t="str">
        <f t="shared" si="36"/>
        <v>N.D.</v>
      </c>
      <c r="AG12" s="247">
        <f>TablasER!BA12</f>
        <v>20982.530451200015</v>
      </c>
      <c r="AH12" s="336">
        <f t="shared" si="37"/>
        <v>0.11540622956804114</v>
      </c>
      <c r="AJ12" s="239">
        <f t="shared" si="41"/>
        <v>21511.635769832021</v>
      </c>
      <c r="AK12" s="336">
        <f>IFERROR(IF(0&gt;AJ12,(IF(0&gt;AJ12,AJ12/-1,AJ12)/AD12)/-1,(IF(0&gt;AJ12,AJ12/-1,AJ12)/AD12)),0)</f>
        <v>0</v>
      </c>
      <c r="AM12" s="239">
        <f t="shared" si="42"/>
        <v>529.10531863200595</v>
      </c>
      <c r="AN12" s="336">
        <f>IFERROR(IF(0&gt;AM12,(IF(0&gt;AM12,AM12/-1,AM12)/AG12)/-1,(IF(0&gt;AM12,AM12/-1,AM12)/AG12)),0)</f>
        <v>2.521646852187677E-2</v>
      </c>
      <c r="AQ12" s="1"/>
      <c r="AS12" s="307"/>
      <c r="AT12" s="307"/>
      <c r="AU12" s="307"/>
      <c r="AV12" s="307"/>
      <c r="AW12" s="307"/>
      <c r="AX12" s="30"/>
      <c r="AZ12" s="341"/>
      <c r="BA12" s="357"/>
      <c r="BB12" s="358"/>
      <c r="BC12" s="357"/>
      <c r="BD12" s="358"/>
      <c r="BE12" s="357"/>
      <c r="BF12" s="358"/>
      <c r="BG12" s="357"/>
      <c r="BH12" s="359"/>
      <c r="BI12" s="357"/>
      <c r="BJ12" s="359"/>
      <c r="BL12" s="347"/>
      <c r="BM12" s="357"/>
      <c r="BN12" s="358"/>
      <c r="BO12" s="357"/>
      <c r="BP12" s="358"/>
      <c r="BQ12" s="357"/>
      <c r="BR12" s="358"/>
      <c r="BS12" s="357"/>
      <c r="BT12" s="358"/>
      <c r="BU12" s="357"/>
      <c r="BV12" s="358"/>
      <c r="BW12" s="357"/>
      <c r="BX12" s="358"/>
      <c r="BY12" s="357"/>
      <c r="BZ12" s="358"/>
    </row>
    <row r="13" spans="1:78" s="307" customFormat="1" x14ac:dyDescent="0.35">
      <c r="B13" s="1"/>
      <c r="C13" s="30"/>
      <c r="D13" s="44"/>
      <c r="E13" s="44"/>
      <c r="F13" s="30"/>
      <c r="G13" s="44"/>
      <c r="H13" s="44"/>
      <c r="I13" s="30"/>
      <c r="J13" s="44"/>
      <c r="K13" s="44"/>
      <c r="L13" s="30"/>
      <c r="M13" s="44"/>
      <c r="N13" s="44"/>
      <c r="O13" s="30"/>
      <c r="P13" s="44"/>
      <c r="Q13" s="44"/>
      <c r="R13" s="30"/>
      <c r="S13" s="44"/>
      <c r="T13" s="44"/>
      <c r="U13" s="30"/>
      <c r="V13" s="44"/>
      <c r="Y13" s="331"/>
      <c r="Z13"/>
      <c r="AA13" s="243"/>
      <c r="AB13" s="337"/>
      <c r="AC13"/>
      <c r="AD13" s="243"/>
      <c r="AE13" s="337"/>
      <c r="AF13"/>
      <c r="AG13" s="243"/>
      <c r="AH13" s="337"/>
      <c r="AI13"/>
      <c r="AJ13" s="243"/>
      <c r="AK13" s="337"/>
      <c r="AL13"/>
      <c r="AM13" s="243"/>
      <c r="AN13" s="337"/>
      <c r="AQ13" s="7" t="s">
        <v>13</v>
      </c>
      <c r="AR13" s="34"/>
      <c r="AS13" s="203">
        <f>(BDER_sig!D12+BDER_sig!D34+BDER_sig!D56+BDER_sig!D78+BDER_sig!D100+BDER_sig!D122)/1000</f>
        <v>0</v>
      </c>
      <c r="AT13" s="8">
        <f>(BDER_sig!D475+BDER_sig!D498+BDER_sig!D565+BDER_sig!D610)/1000</f>
        <v>0</v>
      </c>
      <c r="AU13" s="203">
        <f>(BDER_sig!D520+BDER_sig!D542+BDER_sig!D587+BDER_sig!D632+BDER_sig!D654)/1000</f>
        <v>0</v>
      </c>
      <c r="AV13" s="203">
        <f>(BDER_sig!D298+BDER_sig!D320+BDER_sig!D342+BDER_sig!D364)/1000</f>
        <v>0</v>
      </c>
      <c r="AW13" s="203">
        <f>(BDER_sig!D430+BDER_sig!D452)/1000</f>
        <v>-87</v>
      </c>
      <c r="AX13" s="8">
        <f>SUM(AR13:AW13)</f>
        <v>-87</v>
      </c>
      <c r="AZ13" s="347" t="s">
        <v>13</v>
      </c>
      <c r="BA13" s="348">
        <f t="shared" si="0"/>
        <v>0</v>
      </c>
      <c r="BB13" s="349" t="str">
        <f t="shared" ref="BB13:BB19" si="43">IF(BA$3=0,"N.D.",BA13/BA$3)</f>
        <v>N.D.</v>
      </c>
      <c r="BC13" s="348">
        <f t="shared" si="1"/>
        <v>-87</v>
      </c>
      <c r="BD13" s="349">
        <f t="shared" ref="BD13:BD19" si="44">IF(BC$3=0,"N.D.",BC13/BC$3)</f>
        <v>-1.0221009595378072E-3</v>
      </c>
      <c r="BE13" s="348">
        <f t="shared" si="2"/>
        <v>564.74417999999991</v>
      </c>
      <c r="BF13" s="349">
        <f t="shared" ref="BF13:BF19" si="45">IF(BE$3=0,"N.D.",BE13/BE$3)</f>
        <v>3.7166272069940332E-3</v>
      </c>
      <c r="BG13" s="348">
        <f t="shared" ref="BG13:BG19" si="46">+BA13-BC13</f>
        <v>87</v>
      </c>
      <c r="BH13" s="350">
        <f t="shared" ref="BH13:BH19" si="47">IF(BC13=0,"N.D.",BA13/BC13-1)</f>
        <v>-1</v>
      </c>
      <c r="BI13" s="348">
        <f t="shared" ref="BI13:BI19" si="48">+BA13-BE13</f>
        <v>-564.74417999999991</v>
      </c>
      <c r="BJ13" s="350">
        <f t="shared" ref="BJ13:BJ19" si="49">IF(BE13=0, "N.D.",BA13/BE13-1)</f>
        <v>-1</v>
      </c>
      <c r="BL13" s="347" t="s">
        <v>13</v>
      </c>
      <c r="BM13" s="348"/>
      <c r="BN13" s="349" t="str">
        <f>IF(BM$3=0,"N.D.",BM13/BM$3)</f>
        <v>N.D.</v>
      </c>
      <c r="BO13" s="348">
        <f>proyeccion!B8</f>
        <v>0</v>
      </c>
      <c r="BP13" s="349" t="str">
        <f t="shared" ref="BP13:BP19" si="50">IF(BO$3=0,"N.D.",BO13/BO$3)</f>
        <v>N.D.</v>
      </c>
      <c r="BQ13" s="348">
        <f>proyeccion!G8</f>
        <v>0</v>
      </c>
      <c r="BR13" s="349" t="str">
        <f t="shared" ref="BR13:BR19" si="51">IF(BQ$3=0,"N.D.",BQ13/BQ$3)</f>
        <v>N.D.</v>
      </c>
      <c r="BS13" s="348">
        <f>proyeccion!H8</f>
        <v>0</v>
      </c>
      <c r="BT13" s="349" t="str">
        <f t="shared" ref="BT13:BT19" si="52">IF(BS$3=0,"N.D.",BS13/BS$3)</f>
        <v>N.D.</v>
      </c>
      <c r="BU13" s="348">
        <f>proyeccion!E8</f>
        <v>0</v>
      </c>
      <c r="BV13" s="349" t="str">
        <f t="shared" ref="BV13:BV19" si="53">IF(BU$3=0,"N.D.",BU13/BU$3)</f>
        <v>N.D.</v>
      </c>
      <c r="BW13" s="348">
        <f>proyeccion!F8</f>
        <v>0</v>
      </c>
      <c r="BX13" s="349" t="str">
        <f t="shared" ref="BX13:BX19" si="54">IF(BW$3=0,"N.D.",BW13/BW$3)</f>
        <v>N.D.</v>
      </c>
      <c r="BY13" s="348">
        <f>BM13+BO13+BQ13+BS13+BU13+BW13</f>
        <v>0</v>
      </c>
      <c r="BZ13" s="349" t="str">
        <f t="shared" ref="BZ13:BZ19" si="55">IF(BY$3=0,"N.D.",BY13/BY$3)</f>
        <v>N.D.</v>
      </c>
    </row>
    <row r="14" spans="1:78" x14ac:dyDescent="0.35">
      <c r="B14" s="7" t="s">
        <v>13</v>
      </c>
      <c r="C14" s="8"/>
      <c r="D14" s="313"/>
      <c r="E14" s="302"/>
      <c r="F14" s="8">
        <f>TablasER!E18-TablasER!U14</f>
        <v>166.32413</v>
      </c>
      <c r="G14" s="313">
        <f>IFERROR(F14/TablasER!U14,0)</f>
        <v>0</v>
      </c>
      <c r="H14" s="302"/>
      <c r="I14" s="204">
        <f>TablasER!G18-TablasER!W14</f>
        <v>0</v>
      </c>
      <c r="J14" s="313">
        <f>IFERROR(I14/TablasER!W14,0)</f>
        <v>0</v>
      </c>
      <c r="K14" s="302"/>
      <c r="L14" s="204">
        <f>TablasER!I18-TablasER!Y14</f>
        <v>0</v>
      </c>
      <c r="M14" s="313">
        <f>IFERROR(L14/TablasER!Y14,0)</f>
        <v>0</v>
      </c>
      <c r="N14" s="302"/>
      <c r="O14" s="204">
        <f>TablasER!K18-TablasER!AA14</f>
        <v>3473.64723</v>
      </c>
      <c r="P14" s="313">
        <f>IFERROR(O14/TablasER!AA14,0)</f>
        <v>-1.2775872223889557</v>
      </c>
      <c r="Q14" s="302"/>
      <c r="R14" s="204">
        <f>TablasER!M18-TablasER!AC14</f>
        <v>104.21902</v>
      </c>
      <c r="S14" s="313">
        <f>IFERROR(R14/TablasER!AC14,0)</f>
        <v>-1.1979197701149424</v>
      </c>
      <c r="T14" s="302"/>
      <c r="U14" s="204">
        <f>TablasER!O18-TablasER!AE14</f>
        <v>3744.19038</v>
      </c>
      <c r="V14" s="137">
        <f>IFERROR(U14/TablasER!AE14,0)</f>
        <v>-1.3343933737052338</v>
      </c>
      <c r="Y14" s="328" t="s">
        <v>13</v>
      </c>
      <c r="AA14" s="241">
        <f>TablasER!AY14</f>
        <v>938.27838000000008</v>
      </c>
      <c r="AB14" s="329">
        <f t="shared" ref="AB14:AB20" si="56">IF($AA$4=0,"N.D.",AA14/$AA$4)</f>
        <v>3.5118241334822563E-3</v>
      </c>
      <c r="AD14" s="241">
        <f t="shared" ref="AD14:AD18" si="57">BY13</f>
        <v>0</v>
      </c>
      <c r="AE14" s="329" t="str">
        <f>IF($AD$4=0,"N.D.",AD14/$AD$4)</f>
        <v>N.D.</v>
      </c>
      <c r="AG14" s="241">
        <f>TablasER!BA14</f>
        <v>-2805.9119999999998</v>
      </c>
      <c r="AH14" s="329">
        <f>IF($AG$4=0,"N.D.",AG14/$AG$4)</f>
        <v>-1.543282518630644E-2</v>
      </c>
      <c r="AJ14" s="241">
        <f t="shared" ref="AJ14:AJ18" si="58">AA14-AD14</f>
        <v>938.27838000000008</v>
      </c>
      <c r="AK14" s="329">
        <f t="shared" ref="AK14:AK20" si="59">IFERROR(IF(0&gt;AJ14,(IF(0&gt;AJ14,AJ14/-1,AJ14)/AD14)/-1,(IF(0&gt;AJ14,AJ14/-1,AJ14)/AD14)),0)</f>
        <v>0</v>
      </c>
      <c r="AM14" s="241">
        <f t="shared" ref="AM14:AM18" si="60">AA14-AG14</f>
        <v>3744.19038</v>
      </c>
      <c r="AN14" s="329">
        <f t="shared" ref="AN14:AN20" si="61">IFERROR(IF(0&gt;AM14,(IF(0&gt;AM14,AM14/-1,AM14)/AG14)/-1,(IF(0&gt;AM14,AM14/-1,AM14)/AG14)),0)</f>
        <v>-1.3343933737052338</v>
      </c>
      <c r="AQ14" s="7" t="s">
        <v>14</v>
      </c>
      <c r="AR14" s="8"/>
      <c r="AS14" s="203">
        <f>(BDER_sig!D13+BDER_sig!D35+BDER_sig!D57+BDER_sig!D79+BDER_sig!D101+BDER_sig!D123)/1000</f>
        <v>0</v>
      </c>
      <c r="AT14" s="8">
        <f>(BDER_sig!D476+BDER_sig!D499+BDER_sig!D566+BDER_sig!D611)/1000</f>
        <v>-10.44</v>
      </c>
      <c r="AU14" s="203">
        <f>(BDER_sig!D521+BDER_sig!D543+BDER_sig!D588+BDER_sig!D633+BDER_sig!D655)/1000</f>
        <v>0</v>
      </c>
      <c r="AV14" s="203">
        <f>(BDER_sig!D299+BDER_sig!D321+BDER_sig!D343+BDER_sig!D365)/1000</f>
        <v>0</v>
      </c>
      <c r="AW14" s="203">
        <f>(BDER_sig!D431+BDER_sig!D453)/1000</f>
        <v>0</v>
      </c>
      <c r="AX14" s="11">
        <f t="shared" ref="AX14:AX19" si="62">SUM(AR14:AW14)</f>
        <v>-10.44</v>
      </c>
      <c r="AZ14" s="347" t="s">
        <v>14</v>
      </c>
      <c r="BA14" s="351">
        <f t="shared" si="0"/>
        <v>0</v>
      </c>
      <c r="BB14" s="352" t="str">
        <f t="shared" si="43"/>
        <v>N.D.</v>
      </c>
      <c r="BC14" s="351">
        <f t="shared" si="1"/>
        <v>-10.44</v>
      </c>
      <c r="BD14" s="352">
        <f t="shared" si="44"/>
        <v>-1.2265211514453687E-4</v>
      </c>
      <c r="BE14" s="351">
        <f t="shared" si="2"/>
        <v>-4370.3038500000002</v>
      </c>
      <c r="BF14" s="352">
        <f t="shared" si="45"/>
        <v>-2.8761323740849835E-2</v>
      </c>
      <c r="BG14" s="351">
        <f t="shared" si="46"/>
        <v>10.44</v>
      </c>
      <c r="BH14" s="353">
        <f t="shared" si="47"/>
        <v>-1</v>
      </c>
      <c r="BI14" s="351">
        <f t="shared" si="48"/>
        <v>4370.3038500000002</v>
      </c>
      <c r="BJ14" s="353">
        <f t="shared" si="49"/>
        <v>-1</v>
      </c>
      <c r="BL14" s="347" t="s">
        <v>14</v>
      </c>
      <c r="BM14" s="351"/>
      <c r="BN14" s="352" t="str">
        <f>IF(BM$3=0,"N.D.",BM14/BM$3)</f>
        <v>N.D.</v>
      </c>
      <c r="BO14" s="351">
        <f>proyeccion!B9</f>
        <v>0</v>
      </c>
      <c r="BP14" s="352" t="str">
        <f t="shared" si="50"/>
        <v>N.D.</v>
      </c>
      <c r="BQ14" s="351">
        <f>proyeccion!G9</f>
        <v>0</v>
      </c>
      <c r="BR14" s="352" t="str">
        <f t="shared" si="51"/>
        <v>N.D.</v>
      </c>
      <c r="BS14" s="351">
        <f>proyeccion!H9</f>
        <v>0</v>
      </c>
      <c r="BT14" s="352" t="str">
        <f t="shared" si="52"/>
        <v>N.D.</v>
      </c>
      <c r="BU14" s="351">
        <f>proyeccion!E9</f>
        <v>0</v>
      </c>
      <c r="BV14" s="352" t="str">
        <f t="shared" si="53"/>
        <v>N.D.</v>
      </c>
      <c r="BW14" s="351">
        <f>proyeccion!F9</f>
        <v>0</v>
      </c>
      <c r="BX14" s="352" t="str">
        <f t="shared" si="54"/>
        <v>N.D.</v>
      </c>
      <c r="BY14" s="351">
        <f>BM14+BO14+BQ14+BS14+BU14+BW14</f>
        <v>0</v>
      </c>
      <c r="BZ14" s="352" t="str">
        <f t="shared" si="55"/>
        <v>N.D.</v>
      </c>
    </row>
    <row r="15" spans="1:78" x14ac:dyDescent="0.35">
      <c r="B15" s="7" t="s">
        <v>14</v>
      </c>
      <c r="C15" s="11"/>
      <c r="D15" s="304"/>
      <c r="E15" s="302"/>
      <c r="F15" s="11">
        <f>TablasER!E19-TablasER!U15</f>
        <v>-250.72367999999997</v>
      </c>
      <c r="G15" s="304">
        <f>IFERROR(F15/TablasER!U15,0)</f>
        <v>0</v>
      </c>
      <c r="H15" s="302"/>
      <c r="I15" s="206">
        <f>TablasER!G19-TablasER!W15</f>
        <v>6.2035529040000199</v>
      </c>
      <c r="J15" s="304">
        <f>IFERROR(I15/TablasER!W15,0)</f>
        <v>-2.9380268199233811E-2</v>
      </c>
      <c r="K15" s="302"/>
      <c r="L15" s="206">
        <f>TablasER!I19-TablasER!Y15</f>
        <v>0</v>
      </c>
      <c r="M15" s="304">
        <f>IFERROR(L15/TablasER!Y15,0)</f>
        <v>0</v>
      </c>
      <c r="N15" s="302"/>
      <c r="O15" s="206">
        <f>TablasER!K19-TablasER!AA15</f>
        <v>-1365.88741</v>
      </c>
      <c r="P15" s="304">
        <f>IFERROR(O15/TablasER!AA15,0)</f>
        <v>0</v>
      </c>
      <c r="Q15" s="302"/>
      <c r="R15" s="206">
        <f>TablasER!M19-TablasER!AC15</f>
        <v>-8.2755899999999993</v>
      </c>
      <c r="S15" s="304">
        <f>IFERROR(R15/TablasER!AC15,0)</f>
        <v>0</v>
      </c>
      <c r="T15" s="302"/>
      <c r="U15" s="206">
        <f>TablasER!O19-TablasER!AE15</f>
        <v>-1618.6831270960001</v>
      </c>
      <c r="V15" s="302">
        <f>IFERROR(U15/TablasER!AE15,0)</f>
        <v>7.6661463422017757</v>
      </c>
      <c r="Y15" s="328" t="s">
        <v>14</v>
      </c>
      <c r="AA15" s="242">
        <f>TablasER!AY15</f>
        <v>-1829.8300390960001</v>
      </c>
      <c r="AB15" s="330">
        <f t="shared" si="56"/>
        <v>-6.8487577124692074E-3</v>
      </c>
      <c r="AD15" s="242">
        <f t="shared" si="57"/>
        <v>0</v>
      </c>
      <c r="AE15" s="330" t="str">
        <f>IF($AD$4=0,"N.D.",AD15/$AD$4)</f>
        <v>N.D.</v>
      </c>
      <c r="AG15" s="242">
        <f>TablasER!BA15</f>
        <v>-211.14691199999999</v>
      </c>
      <c r="AH15" s="330">
        <f>IF($AG$4=0,"N.D.",AG15/$AG$4)</f>
        <v>-1.1613312824936882E-3</v>
      </c>
      <c r="AJ15" s="242">
        <f t="shared" si="58"/>
        <v>-1829.8300390960001</v>
      </c>
      <c r="AK15" s="330">
        <f t="shared" si="59"/>
        <v>0</v>
      </c>
      <c r="AM15" s="242">
        <f t="shared" si="60"/>
        <v>-1618.6831270960001</v>
      </c>
      <c r="AN15" s="330">
        <f t="shared" si="61"/>
        <v>7.6661463422017757</v>
      </c>
      <c r="AQ15" s="7" t="s">
        <v>15</v>
      </c>
      <c r="AR15" s="8"/>
      <c r="AS15" s="203">
        <f>(BDER_sig!D14+BDER_sig!D36+BDER_sig!D58+BDER_sig!D80+BDER_sig!D102+BDER_sig!D124)/1000</f>
        <v>0</v>
      </c>
      <c r="AT15" s="8">
        <f>(BDER_sig!D477+BDER_sig!D500+BDER_sig!D567+BDER_sig!D612)/1000</f>
        <v>0.247</v>
      </c>
      <c r="AU15" s="203">
        <f>(BDER_sig!D522+BDER_sig!D544+BDER_sig!D589+BDER_sig!D634+BDER_sig!D656)/1000</f>
        <v>8.6999999999999993</v>
      </c>
      <c r="AV15" s="203">
        <f>(BDER_sig!D300+BDER_sig!D322+BDER_sig!D344+BDER_sig!D366)/1000</f>
        <v>125.19</v>
      </c>
      <c r="AW15" s="203">
        <f>(BDER_sig!D432+BDER_sig!D454)/1000</f>
        <v>6.1680000000000001</v>
      </c>
      <c r="AX15" s="11">
        <f t="shared" si="62"/>
        <v>140.30500000000001</v>
      </c>
      <c r="AZ15" s="347" t="s">
        <v>15</v>
      </c>
      <c r="BA15" s="351">
        <f t="shared" si="0"/>
        <v>0</v>
      </c>
      <c r="BB15" s="352" t="str">
        <f t="shared" si="43"/>
        <v>N.D.</v>
      </c>
      <c r="BC15" s="351">
        <f t="shared" si="1"/>
        <v>140.30500000000001</v>
      </c>
      <c r="BD15" s="352">
        <f t="shared" si="44"/>
        <v>1.648343392275311E-3</v>
      </c>
      <c r="BE15" s="351">
        <f t="shared" si="2"/>
        <v>661.23919000000001</v>
      </c>
      <c r="BF15" s="352">
        <f t="shared" si="45"/>
        <v>4.351668686315098E-3</v>
      </c>
      <c r="BG15" s="351">
        <f t="shared" si="46"/>
        <v>-140.30500000000001</v>
      </c>
      <c r="BH15" s="353">
        <f t="shared" si="47"/>
        <v>-1</v>
      </c>
      <c r="BI15" s="351">
        <f t="shared" si="48"/>
        <v>-661.23919000000001</v>
      </c>
      <c r="BJ15" s="353">
        <f t="shared" si="49"/>
        <v>-1</v>
      </c>
      <c r="BL15" s="347" t="s">
        <v>15</v>
      </c>
      <c r="BM15" s="351"/>
      <c r="BN15" s="352" t="str">
        <f>IF(BM$3=0,"N.D.",BM15/BM$3)</f>
        <v>N.D.</v>
      </c>
      <c r="BO15" s="351">
        <f>proyeccion!B10</f>
        <v>0</v>
      </c>
      <c r="BP15" s="352" t="str">
        <f t="shared" si="50"/>
        <v>N.D.</v>
      </c>
      <c r="BQ15" s="351">
        <f>proyeccion!G10</f>
        <v>0</v>
      </c>
      <c r="BR15" s="352" t="str">
        <f t="shared" si="51"/>
        <v>N.D.</v>
      </c>
      <c r="BS15" s="351">
        <f>proyeccion!H10</f>
        <v>0</v>
      </c>
      <c r="BT15" s="352" t="str">
        <f t="shared" si="52"/>
        <v>N.D.</v>
      </c>
      <c r="BU15" s="351">
        <f>proyeccion!E10</f>
        <v>0</v>
      </c>
      <c r="BV15" s="352" t="str">
        <f t="shared" si="53"/>
        <v>N.D.</v>
      </c>
      <c r="BW15" s="351">
        <f>proyeccion!F10</f>
        <v>0</v>
      </c>
      <c r="BX15" s="352" t="str">
        <f t="shared" si="54"/>
        <v>N.D.</v>
      </c>
      <c r="BY15" s="351">
        <f>BM15+BO15+BQ15+BS15+BU15+BW15</f>
        <v>0</v>
      </c>
      <c r="BZ15" s="352" t="str">
        <f t="shared" si="55"/>
        <v>N.D.</v>
      </c>
    </row>
    <row r="16" spans="1:78" x14ac:dyDescent="0.35">
      <c r="B16" s="7" t="s">
        <v>15</v>
      </c>
      <c r="C16" s="11"/>
      <c r="D16" s="304"/>
      <c r="E16" s="302"/>
      <c r="F16" s="11">
        <f>TablasER!E20-TablasER!U16</f>
        <v>909.17223000000013</v>
      </c>
      <c r="G16" s="304">
        <f>IFERROR(F16/TablasER!U16,0)</f>
        <v>0</v>
      </c>
      <c r="H16" s="302"/>
      <c r="I16" s="206">
        <f>TablasER!G20-TablasER!W16</f>
        <v>0</v>
      </c>
      <c r="J16" s="304">
        <f>IFERROR(I16/TablasER!W16,0)</f>
        <v>0</v>
      </c>
      <c r="K16" s="302"/>
      <c r="L16" s="206">
        <f>TablasER!I20-TablasER!Y16</f>
        <v>63.911176992000009</v>
      </c>
      <c r="M16" s="304">
        <f>IFERROR(L16/TablasER!Y16,0)</f>
        <v>0.36322298850574725</v>
      </c>
      <c r="N16" s="302"/>
      <c r="O16" s="206">
        <f>TablasER!K20-TablasER!AA16</f>
        <v>-83.06783999999999</v>
      </c>
      <c r="P16" s="304">
        <f>IFERROR(O16/TablasER!AA16,0)</f>
        <v>-0.28854722230906305</v>
      </c>
      <c r="Q16" s="302"/>
      <c r="R16" s="206">
        <f>TablasER!M20-TablasER!AC16</f>
        <v>-0.70849000000000029</v>
      </c>
      <c r="S16" s="304">
        <f>IFERROR(R16/TablasER!AC16,0)</f>
        <v>-0.14169800000000005</v>
      </c>
      <c r="T16" s="302"/>
      <c r="U16" s="206">
        <f>TablasER!O20-TablasER!AE16</f>
        <v>890.30707699200013</v>
      </c>
      <c r="V16" s="302">
        <f>IFERROR(U16/TablasER!AE16,0)</f>
        <v>1.8989621868976878</v>
      </c>
      <c r="Y16" s="328" t="s">
        <v>15</v>
      </c>
      <c r="AA16" s="242">
        <f>TablasER!AY16</f>
        <v>1359.1458369920001</v>
      </c>
      <c r="AB16" s="330">
        <f t="shared" si="56"/>
        <v>5.0870629154542027E-3</v>
      </c>
      <c r="AD16" s="242">
        <f t="shared" si="57"/>
        <v>0</v>
      </c>
      <c r="AE16" s="330" t="str">
        <f>IF($AD$4=0,"N.D.",AD16/$AD$4)</f>
        <v>N.D.</v>
      </c>
      <c r="AG16" s="242">
        <f>TablasER!BA16</f>
        <v>468.83875999999998</v>
      </c>
      <c r="AH16" s="330">
        <f>IF($AG$4=0,"N.D.",AG16/$AG$4)</f>
        <v>2.5786648418213687E-3</v>
      </c>
      <c r="AJ16" s="242">
        <f t="shared" si="58"/>
        <v>1359.1458369920001</v>
      </c>
      <c r="AK16" s="330">
        <f t="shared" si="59"/>
        <v>0</v>
      </c>
      <c r="AM16" s="242">
        <f t="shared" si="60"/>
        <v>890.30707699200013</v>
      </c>
      <c r="AN16" s="330">
        <f t="shared" si="61"/>
        <v>1.8989621868976878</v>
      </c>
      <c r="AQ16" s="7" t="s">
        <v>16</v>
      </c>
      <c r="AR16" s="8"/>
      <c r="AS16" s="203">
        <f>(BDER_sig!D15+BDER_sig!D37+BDER_sig!D59+BDER_sig!D81+BDER_sig!D103+BDER_sig!D125)/1000</f>
        <v>0</v>
      </c>
      <c r="AT16" s="8">
        <f>(BDER_sig!D478+BDER_sig!D501+BDER_sig!D568+BDER_sig!D613)/1000</f>
        <v>0</v>
      </c>
      <c r="AU16" s="203">
        <f>(BDER_sig!D523+BDER_sig!D545+BDER_sig!D590+BDER_sig!D635+BDER_sig!D657)/1000</f>
        <v>0</v>
      </c>
      <c r="AV16" s="203">
        <f>(BDER_sig!D301+BDER_sig!D323+BDER_sig!D345+BDER_sig!D367)/1000</f>
        <v>28.210999999999999</v>
      </c>
      <c r="AW16" s="203">
        <f>(BDER_sig!D433+BDER_sig!D455)/1000</f>
        <v>495</v>
      </c>
      <c r="AX16" s="11">
        <f t="shared" si="62"/>
        <v>523.21100000000001</v>
      </c>
      <c r="AZ16" s="347" t="s">
        <v>16</v>
      </c>
      <c r="BA16" s="351">
        <f t="shared" si="0"/>
        <v>0</v>
      </c>
      <c r="BB16" s="352" t="str">
        <f t="shared" si="43"/>
        <v>N.D.</v>
      </c>
      <c r="BC16" s="351">
        <f t="shared" si="1"/>
        <v>523.21100000000001</v>
      </c>
      <c r="BD16" s="352">
        <f t="shared" si="44"/>
        <v>6.1468329326521349E-3</v>
      </c>
      <c r="BE16" s="351">
        <f t="shared" si="2"/>
        <v>407.80991</v>
      </c>
      <c r="BF16" s="352">
        <f t="shared" si="45"/>
        <v>2.6838300605201248E-3</v>
      </c>
      <c r="BG16" s="351">
        <f t="shared" si="46"/>
        <v>-523.21100000000001</v>
      </c>
      <c r="BH16" s="353">
        <f t="shared" si="47"/>
        <v>-1</v>
      </c>
      <c r="BI16" s="351">
        <f t="shared" si="48"/>
        <v>-407.80991</v>
      </c>
      <c r="BJ16" s="353">
        <f t="shared" si="49"/>
        <v>-1</v>
      </c>
      <c r="BL16" s="347" t="s">
        <v>16</v>
      </c>
      <c r="BM16" s="351"/>
      <c r="BN16" s="352" t="str">
        <f>IF(BM$3=0,"N.D.",BM16/BM$3)</f>
        <v>N.D.</v>
      </c>
      <c r="BO16" s="351">
        <f>proyeccion!B11</f>
        <v>0</v>
      </c>
      <c r="BP16" s="352" t="str">
        <f t="shared" si="50"/>
        <v>N.D.</v>
      </c>
      <c r="BQ16" s="351">
        <f>proyeccion!G11</f>
        <v>0</v>
      </c>
      <c r="BR16" s="352" t="str">
        <f t="shared" si="51"/>
        <v>N.D.</v>
      </c>
      <c r="BS16" s="351">
        <f>proyeccion!H11</f>
        <v>0</v>
      </c>
      <c r="BT16" s="352" t="str">
        <f t="shared" si="52"/>
        <v>N.D.</v>
      </c>
      <c r="BU16" s="351">
        <f>proyeccion!E11</f>
        <v>0</v>
      </c>
      <c r="BV16" s="352" t="str">
        <f t="shared" si="53"/>
        <v>N.D.</v>
      </c>
      <c r="BW16" s="351">
        <f>proyeccion!F11</f>
        <v>0</v>
      </c>
      <c r="BX16" s="352" t="str">
        <f t="shared" si="54"/>
        <v>N.D.</v>
      </c>
      <c r="BY16" s="351">
        <f>BM16+BO16+BQ16+BS16+BU16+BW16</f>
        <v>0</v>
      </c>
      <c r="BZ16" s="352" t="str">
        <f t="shared" si="55"/>
        <v>N.D.</v>
      </c>
    </row>
    <row r="17" spans="1:78" x14ac:dyDescent="0.35">
      <c r="B17" s="7" t="s">
        <v>16</v>
      </c>
      <c r="C17" s="11"/>
      <c r="D17" s="304"/>
      <c r="E17" s="302"/>
      <c r="F17" s="11">
        <f>TablasER!E21-TablasER!U17</f>
        <v>31.722719999999999</v>
      </c>
      <c r="G17" s="304">
        <f>IFERROR(F17/TablasER!U17,0)</f>
        <v>0</v>
      </c>
      <c r="H17" s="302"/>
      <c r="I17" s="206">
        <f>TablasER!G21-TablasER!W17</f>
        <v>0</v>
      </c>
      <c r="J17" s="304">
        <f>IFERROR(I17/TablasER!W17,0)</f>
        <v>0</v>
      </c>
      <c r="K17" s="302"/>
      <c r="L17" s="206">
        <f>TablasER!I21-TablasER!Y17</f>
        <v>0</v>
      </c>
      <c r="M17" s="304">
        <f>IFERROR(L17/TablasER!Y17,0)</f>
        <v>0</v>
      </c>
      <c r="N17" s="302"/>
      <c r="O17" s="206">
        <f>TablasER!K21-TablasER!AA17</f>
        <v>65.066835000000012</v>
      </c>
      <c r="P17" s="304">
        <f>IFERROR(O17/TablasER!AA17,0)</f>
        <v>0</v>
      </c>
      <c r="Q17" s="302"/>
      <c r="R17" s="206">
        <f>TablasER!M21-TablasER!AC17</f>
        <v>-122.23856999999998</v>
      </c>
      <c r="S17" s="304">
        <f>IFERROR(R17/TablasER!AC17,0)</f>
        <v>-0.24694660606060603</v>
      </c>
      <c r="T17" s="302"/>
      <c r="U17" s="206">
        <f>TablasER!O21-TablasER!AE17</f>
        <v>-25.449014999999974</v>
      </c>
      <c r="V17" s="302">
        <f>IFERROR(U17/TablasER!AE17,0)</f>
        <v>-5.1412151515151466E-2</v>
      </c>
      <c r="Y17" s="328" t="s">
        <v>16</v>
      </c>
      <c r="AA17" s="242">
        <f>TablasER!AY17</f>
        <v>469.55098500000003</v>
      </c>
      <c r="AB17" s="330">
        <f t="shared" si="56"/>
        <v>1.757453348784787E-3</v>
      </c>
      <c r="AD17" s="242">
        <f t="shared" si="57"/>
        <v>0</v>
      </c>
      <c r="AE17" s="330" t="str">
        <f>IF($AD$4=0,"N.D.",AD17/$AD$4)</f>
        <v>N.D.</v>
      </c>
      <c r="AG17" s="242">
        <f>TablasER!BA17</f>
        <v>495</v>
      </c>
      <c r="AH17" s="330">
        <f>IF($AG$4=0,"N.D.",AG17/$AG$4)</f>
        <v>2.7225545445550997E-3</v>
      </c>
      <c r="AJ17" s="242">
        <f t="shared" si="58"/>
        <v>469.55098500000003</v>
      </c>
      <c r="AK17" s="330">
        <f t="shared" si="59"/>
        <v>0</v>
      </c>
      <c r="AM17" s="242">
        <f t="shared" si="60"/>
        <v>-25.449014999999974</v>
      </c>
      <c r="AN17" s="330">
        <f t="shared" si="61"/>
        <v>-5.1412151515151466E-2</v>
      </c>
      <c r="AQ17" s="7"/>
      <c r="AR17" s="8"/>
      <c r="AS17" s="203">
        <f>(BDER_sig!D16+BDER_sig!D38+BDER_sig!D60+BDER_sig!D82+BDER_sig!D104+BDER_sig!D126)/1000</f>
        <v>0</v>
      </c>
      <c r="AT17" s="8">
        <f>(BDER_sig!D479+BDER_sig!D502+BDER_sig!D569+BDER_sig!D614)/1000</f>
        <v>0</v>
      </c>
      <c r="AU17" s="203">
        <f>(BDER_sig!D524+BDER_sig!D546+BDER_sig!D591+BDER_sig!D636+BDER_sig!D658)/1000</f>
        <v>0</v>
      </c>
      <c r="AV17" s="203">
        <f>(BDER_sig!D302+BDER_sig!D324+BDER_sig!D346+BDER_sig!D368)/1000</f>
        <v>0</v>
      </c>
      <c r="AW17" s="203">
        <f>(BDER_sig!D434+BDER_sig!D456)/1000</f>
        <v>0</v>
      </c>
      <c r="AX17" s="11">
        <f t="shared" si="62"/>
        <v>0</v>
      </c>
      <c r="AZ17" s="347"/>
      <c r="BA17" s="351">
        <f t="shared" si="0"/>
        <v>0</v>
      </c>
      <c r="BB17" s="352" t="str">
        <f t="shared" si="43"/>
        <v>N.D.</v>
      </c>
      <c r="BC17" s="351">
        <f t="shared" si="1"/>
        <v>0</v>
      </c>
      <c r="BD17" s="352">
        <f t="shared" si="44"/>
        <v>0</v>
      </c>
      <c r="BE17" s="351">
        <f t="shared" si="2"/>
        <v>0</v>
      </c>
      <c r="BF17" s="352">
        <f t="shared" si="45"/>
        <v>0</v>
      </c>
      <c r="BG17" s="351">
        <f t="shared" si="46"/>
        <v>0</v>
      </c>
      <c r="BH17" s="353" t="str">
        <f t="shared" si="47"/>
        <v>N.D.</v>
      </c>
      <c r="BI17" s="351">
        <f t="shared" si="48"/>
        <v>0</v>
      </c>
      <c r="BJ17" s="353" t="str">
        <f t="shared" si="49"/>
        <v>N.D.</v>
      </c>
      <c r="BL17" s="347"/>
      <c r="BM17" s="351"/>
      <c r="BN17" s="352" t="str">
        <f t="shared" ref="BN17:BN19" si="63">IF(BM$3=0,"N.D.",BM17/BM$3)</f>
        <v>N.D.</v>
      </c>
      <c r="BO17" s="351">
        <f>proyeccion!B12</f>
        <v>0</v>
      </c>
      <c r="BP17" s="352" t="str">
        <f t="shared" si="50"/>
        <v>N.D.</v>
      </c>
      <c r="BQ17" s="351">
        <f>proyeccion!G12</f>
        <v>0</v>
      </c>
      <c r="BR17" s="352" t="str">
        <f t="shared" si="51"/>
        <v>N.D.</v>
      </c>
      <c r="BS17" s="351">
        <f>proyeccion!H12</f>
        <v>0</v>
      </c>
      <c r="BT17" s="352" t="str">
        <f t="shared" si="52"/>
        <v>N.D.</v>
      </c>
      <c r="BU17" s="351">
        <f>proyeccion!E12</f>
        <v>0</v>
      </c>
      <c r="BV17" s="352" t="str">
        <f t="shared" si="53"/>
        <v>N.D.</v>
      </c>
      <c r="BW17" s="351">
        <f>proyeccion!F12</f>
        <v>0</v>
      </c>
      <c r="BX17" s="352" t="str">
        <f t="shared" si="54"/>
        <v>N.D.</v>
      </c>
      <c r="BY17" s="351">
        <f t="shared" ref="BY17:BY19" si="64">BM17+BO17+BQ17+BS17+BU17+BW17</f>
        <v>0</v>
      </c>
      <c r="BZ17" s="352" t="str">
        <f t="shared" si="55"/>
        <v>N.D.</v>
      </c>
    </row>
    <row r="18" spans="1:78" x14ac:dyDescent="0.35">
      <c r="B18" s="7"/>
      <c r="C18" s="34"/>
      <c r="D18" s="304"/>
      <c r="E18" s="302"/>
      <c r="F18" s="34">
        <f>TablasER!E22-TablasER!U18</f>
        <v>0</v>
      </c>
      <c r="G18" s="304">
        <f>IFERROR(F18/TablasER!U18,0)</f>
        <v>0</v>
      </c>
      <c r="H18" s="302"/>
      <c r="I18" s="207">
        <f>TablasER!G22-TablasER!W18</f>
        <v>0</v>
      </c>
      <c r="J18" s="304">
        <f>IFERROR(I18/TablasER!W18,0)</f>
        <v>0</v>
      </c>
      <c r="K18" s="302"/>
      <c r="L18" s="207">
        <f>TablasER!I22-TablasER!Y18</f>
        <v>0</v>
      </c>
      <c r="M18" s="304">
        <f>IFERROR(L18/TablasER!Y18,0)</f>
        <v>0</v>
      </c>
      <c r="N18" s="302"/>
      <c r="O18" s="207">
        <f>TablasER!K22-TablasER!AA18</f>
        <v>0</v>
      </c>
      <c r="P18" s="304">
        <f>IFERROR(O18/TablasER!AA18,0)</f>
        <v>0</v>
      </c>
      <c r="Q18" s="302"/>
      <c r="R18" s="207">
        <f>TablasER!M22-TablasER!AC18</f>
        <v>0</v>
      </c>
      <c r="S18" s="304">
        <f>IFERROR(R18/TablasER!AC18,0)</f>
        <v>0</v>
      </c>
      <c r="T18" s="302"/>
      <c r="U18" s="207">
        <f>TablasER!O22-TablasER!AE18</f>
        <v>0</v>
      </c>
      <c r="V18" s="302">
        <f>IFERROR(U18/TablasER!AE18,0)</f>
        <v>0</v>
      </c>
      <c r="Y18" s="328"/>
      <c r="AA18" s="242">
        <f>TablasER!AY18</f>
        <v>0</v>
      </c>
      <c r="AB18" s="330">
        <f t="shared" si="56"/>
        <v>0</v>
      </c>
      <c r="AD18" s="242">
        <f t="shared" si="57"/>
        <v>0</v>
      </c>
      <c r="AE18" s="330" t="str">
        <f>IF($AD$4=0,"N.D.",AD18/$AD$4)</f>
        <v>N.D.</v>
      </c>
      <c r="AG18" s="242">
        <f>TablasER!BA18</f>
        <v>0</v>
      </c>
      <c r="AH18" s="330">
        <f>IF($AG$4=0,"N.D.",AG18/$AG$4)</f>
        <v>0</v>
      </c>
      <c r="AJ18" s="242">
        <f t="shared" si="58"/>
        <v>0</v>
      </c>
      <c r="AK18" s="330">
        <f t="shared" si="59"/>
        <v>0</v>
      </c>
      <c r="AM18" s="242">
        <f t="shared" si="60"/>
        <v>0</v>
      </c>
      <c r="AN18" s="330">
        <f t="shared" si="61"/>
        <v>0</v>
      </c>
      <c r="AQ18" s="4" t="s">
        <v>17</v>
      </c>
      <c r="AR18" s="200"/>
      <c r="AS18" s="203">
        <f>(BDER_sig!D17+BDER_sig!D39+BDER_sig!D61+BDER_sig!D83+BDER_sig!D105+BDER_sig!D127)/1000</f>
        <v>0</v>
      </c>
      <c r="AT18" s="8">
        <f>(BDER_sig!D480+BDER_sig!D503+BDER_sig!D570+BDER_sig!D615)/1000</f>
        <v>-10.193</v>
      </c>
      <c r="AU18" s="203">
        <f>(BDER_sig!D525+BDER_sig!D547+BDER_sig!D592+BDER_sig!D637+BDER_sig!D659)/1000</f>
        <v>8.6999999999999993</v>
      </c>
      <c r="AV18" s="203">
        <f>(BDER_sig!D303+BDER_sig!D325+BDER_sig!D347+BDER_sig!D369)/1000</f>
        <v>96.978999999999999</v>
      </c>
      <c r="AW18" s="203">
        <f>(BDER_sig!D435+BDER_sig!D457)/1000</f>
        <v>-575.83199999999999</v>
      </c>
      <c r="AX18" s="14">
        <f t="shared" si="62"/>
        <v>-480.346</v>
      </c>
      <c r="AZ18" s="344" t="s">
        <v>17</v>
      </c>
      <c r="BA18" s="354">
        <f t="shared" si="0"/>
        <v>0</v>
      </c>
      <c r="BB18" s="355" t="str">
        <f t="shared" si="43"/>
        <v>N.D.</v>
      </c>
      <c r="BC18" s="354">
        <f t="shared" si="1"/>
        <v>-480.346</v>
      </c>
      <c r="BD18" s="355">
        <f t="shared" si="44"/>
        <v>-5.6432426150591674E-3</v>
      </c>
      <c r="BE18" s="354">
        <f t="shared" si="2"/>
        <v>-3552.1303900000003</v>
      </c>
      <c r="BF18" s="355">
        <f t="shared" si="45"/>
        <v>-2.3376857908060829E-2</v>
      </c>
      <c r="BG18" s="354">
        <f t="shared" si="46"/>
        <v>480.346</v>
      </c>
      <c r="BH18" s="356">
        <f t="shared" si="47"/>
        <v>-1</v>
      </c>
      <c r="BI18" s="354">
        <f t="shared" si="48"/>
        <v>3552.1303900000003</v>
      </c>
      <c r="BJ18" s="356">
        <f t="shared" si="49"/>
        <v>-1</v>
      </c>
      <c r="BL18" s="344" t="s">
        <v>17</v>
      </c>
      <c r="BM18" s="354"/>
      <c r="BN18" s="355" t="str">
        <f t="shared" si="63"/>
        <v>N.D.</v>
      </c>
      <c r="BO18" s="354">
        <f>BO13+BO14+BO15-BO16-BO17</f>
        <v>0</v>
      </c>
      <c r="BP18" s="355" t="str">
        <f t="shared" si="50"/>
        <v>N.D.</v>
      </c>
      <c r="BQ18" s="354">
        <f>BQ13+BQ14+BQ15-BQ16-BQ17</f>
        <v>0</v>
      </c>
      <c r="BR18" s="355" t="str">
        <f t="shared" si="51"/>
        <v>N.D.</v>
      </c>
      <c r="BS18" s="354">
        <f>BS13+BS14+BS15-BS16-BS17</f>
        <v>0</v>
      </c>
      <c r="BT18" s="355" t="str">
        <f t="shared" si="52"/>
        <v>N.D.</v>
      </c>
      <c r="BU18" s="354">
        <f>BU13+BU14+BU15-BU16-BU17</f>
        <v>0</v>
      </c>
      <c r="BV18" s="355" t="str">
        <f t="shared" si="53"/>
        <v>N.D.</v>
      </c>
      <c r="BW18" s="354">
        <f>BW13+BW14+BW15-BW16-BW17</f>
        <v>0</v>
      </c>
      <c r="BX18" s="355" t="str">
        <f t="shared" si="54"/>
        <v>N.D.</v>
      </c>
      <c r="BY18" s="354">
        <f t="shared" si="64"/>
        <v>0</v>
      </c>
      <c r="BZ18" s="355" t="str">
        <f t="shared" si="55"/>
        <v>N.D.</v>
      </c>
    </row>
    <row r="19" spans="1:78" x14ac:dyDescent="0.35">
      <c r="B19" s="4" t="s">
        <v>17</v>
      </c>
      <c r="C19" s="14"/>
      <c r="D19" s="314"/>
      <c r="E19" s="317"/>
      <c r="F19" s="14">
        <f>TablasER!E23-TablasER!U19</f>
        <v>793.04996000000017</v>
      </c>
      <c r="G19" s="314">
        <f>IFERROR(F19/TablasER!U19,0)</f>
        <v>0</v>
      </c>
      <c r="H19" s="317"/>
      <c r="I19" s="214">
        <f>TablasER!G23-TablasER!W19</f>
        <v>6.2035529040000199</v>
      </c>
      <c r="J19" s="314">
        <f>IFERROR(I19/TablasER!W19,0)</f>
        <v>-2.9380268199233811E-2</v>
      </c>
      <c r="K19" s="317"/>
      <c r="L19" s="214">
        <f>TablasER!I23-TablasER!Y19</f>
        <v>63.911176992000009</v>
      </c>
      <c r="M19" s="314">
        <f>IFERROR(L19/TablasER!Y19,0)</f>
        <v>0.36322298850574725</v>
      </c>
      <c r="N19" s="317"/>
      <c r="O19" s="214">
        <f>TablasER!K23-TablasER!AA19</f>
        <v>1959.625145</v>
      </c>
      <c r="P19" s="314">
        <f>IFERROR(O19/TablasER!AA19,0)</f>
        <v>-0.80608875706542371</v>
      </c>
      <c r="Q19" s="317"/>
      <c r="R19" s="214">
        <f>TablasER!M23-TablasER!AC19</f>
        <v>217.47350999999998</v>
      </c>
      <c r="S19" s="314">
        <f>IFERROR(R19/TablasER!AC19,0)</f>
        <v>-0.37690383015597917</v>
      </c>
      <c r="T19" s="317"/>
      <c r="U19" s="214">
        <f>TablasER!O23-TablasER!AE19</f>
        <v>3041.263344896</v>
      </c>
      <c r="V19" s="303">
        <f>IFERROR(U19/TablasER!AE19,0)</f>
        <v>-0.99935699456290938</v>
      </c>
      <c r="Y19" s="331" t="s">
        <v>17</v>
      </c>
      <c r="AA19" s="239">
        <f>AA14+AA15+AA16-AA17</f>
        <v>-1.9568071039998927</v>
      </c>
      <c r="AB19" s="332">
        <f t="shared" si="56"/>
        <v>-7.3240123175345322E-6</v>
      </c>
      <c r="AD19" s="239">
        <f>AD14+AD15+AD16-AD17</f>
        <v>0</v>
      </c>
      <c r="AE19" s="332" t="str">
        <f t="shared" ref="AE19:AE20" si="65">IF($AD$4=0,"N.D.",AD19/$AD$4)</f>
        <v>N.D.</v>
      </c>
      <c r="AG19" s="239">
        <f>TablasER!BA19</f>
        <v>-3043.2201519999999</v>
      </c>
      <c r="AH19" s="332">
        <f t="shared" ref="AH19:AH20" si="66">IF($AG$4=0,"N.D.",AG19/$AG$4)</f>
        <v>-1.673804617153386E-2</v>
      </c>
      <c r="AJ19" s="239">
        <f t="shared" ref="AJ19:AJ20" si="67">AA19-AD19</f>
        <v>-1.9568071039998927</v>
      </c>
      <c r="AK19" s="332">
        <f t="shared" si="59"/>
        <v>0</v>
      </c>
      <c r="AM19" s="239">
        <f t="shared" ref="AM19:AM20" si="68">AA19-AG19</f>
        <v>3041.263344896</v>
      </c>
      <c r="AN19" s="332">
        <f t="shared" si="61"/>
        <v>-0.99935699456290938</v>
      </c>
      <c r="AQ19" s="4" t="s">
        <v>18</v>
      </c>
      <c r="AR19" s="14"/>
      <c r="AS19" s="203">
        <f>(BDER_sig!D18+BDER_sig!D40+BDER_sig!D62+BDER_sig!D84+BDER_sig!D106+BDER_sig!D128)/1000</f>
        <v>0</v>
      </c>
      <c r="AT19" s="8">
        <f>(BDER_sig!D481+BDER_sig!D504+BDER_sig!D571+BDER_sig!D616)/1000</f>
        <v>85.707999999999998</v>
      </c>
      <c r="AU19" s="203">
        <f>(BDER_sig!D526+BDER_sig!D548+BDER_sig!D593+BDER_sig!D638+BDER_sig!D660)/1000</f>
        <v>47.716999999999999</v>
      </c>
      <c r="AV19" s="203">
        <f>(BDER_sig!D304+BDER_sig!D326+BDER_sig!D348+BDER_sig!D370)/1000</f>
        <v>10188.453</v>
      </c>
      <c r="AW19" s="203">
        <f>(BDER_sig!D436+BDER_sig!D458)/1000</f>
        <v>5181.5910000000003</v>
      </c>
      <c r="AX19" s="14">
        <f t="shared" si="62"/>
        <v>15503.468999999999</v>
      </c>
      <c r="AZ19" s="344" t="s">
        <v>18</v>
      </c>
      <c r="BA19" s="360">
        <f t="shared" si="0"/>
        <v>0</v>
      </c>
      <c r="BB19" s="355" t="str">
        <f t="shared" si="43"/>
        <v>N.D.</v>
      </c>
      <c r="BC19" s="360">
        <f t="shared" si="1"/>
        <v>15503.468999999999</v>
      </c>
      <c r="BD19" s="355">
        <f t="shared" si="44"/>
        <v>0.18213920162143274</v>
      </c>
      <c r="BE19" s="360">
        <f t="shared" si="2"/>
        <v>15020.86853</v>
      </c>
      <c r="BF19" s="355">
        <f t="shared" si="45"/>
        <v>9.8853552862250796E-2</v>
      </c>
      <c r="BG19" s="354">
        <f t="shared" si="46"/>
        <v>-15503.468999999999</v>
      </c>
      <c r="BH19" s="356">
        <f t="shared" si="47"/>
        <v>-1</v>
      </c>
      <c r="BI19" s="354">
        <f t="shared" si="48"/>
        <v>-15020.86853</v>
      </c>
      <c r="BJ19" s="356">
        <f t="shared" si="49"/>
        <v>-1</v>
      </c>
      <c r="BL19" s="344" t="s">
        <v>18</v>
      </c>
      <c r="BM19" s="212"/>
      <c r="BN19" s="355" t="str">
        <f t="shared" si="63"/>
        <v>N.D.</v>
      </c>
      <c r="BO19" s="354">
        <f>BO11-BO18</f>
        <v>0</v>
      </c>
      <c r="BP19" s="355" t="str">
        <f t="shared" si="50"/>
        <v>N.D.</v>
      </c>
      <c r="BQ19" s="354">
        <f>BQ11-BQ18</f>
        <v>0</v>
      </c>
      <c r="BR19" s="355" t="str">
        <f t="shared" si="51"/>
        <v>N.D.</v>
      </c>
      <c r="BS19" s="354">
        <f>BS11-BS18</f>
        <v>0</v>
      </c>
      <c r="BT19" s="355" t="str">
        <f t="shared" si="52"/>
        <v>N.D.</v>
      </c>
      <c r="BU19" s="354">
        <f>BU11-BU18</f>
        <v>0</v>
      </c>
      <c r="BV19" s="355" t="str">
        <f t="shared" si="53"/>
        <v>N.D.</v>
      </c>
      <c r="BW19" s="354">
        <f>BW11-BW18</f>
        <v>0</v>
      </c>
      <c r="BX19" s="355" t="str">
        <f t="shared" si="54"/>
        <v>N.D.</v>
      </c>
      <c r="BY19" s="354">
        <f t="shared" si="64"/>
        <v>0</v>
      </c>
      <c r="BZ19" s="355" t="str">
        <f t="shared" si="55"/>
        <v>N.D.</v>
      </c>
    </row>
    <row r="20" spans="1:78" x14ac:dyDescent="0.35">
      <c r="B20" s="4" t="s">
        <v>18</v>
      </c>
      <c r="C20" s="14"/>
      <c r="D20" s="314"/>
      <c r="E20" s="317"/>
      <c r="F20" s="14">
        <f>TablasER!E24-TablasER!U20</f>
        <v>5566.9664700000067</v>
      </c>
      <c r="G20" s="314">
        <f>IFERROR(F20/TablasER!U20,0)</f>
        <v>0</v>
      </c>
      <c r="H20" s="317"/>
      <c r="I20" s="214">
        <f>TablasER!G24-TablasER!W20</f>
        <v>2725.8160268159922</v>
      </c>
      <c r="J20" s="314">
        <f>IFERROR(I20/TablasER!W20,0)</f>
        <v>-3.7919117688433883</v>
      </c>
      <c r="K20" s="317"/>
      <c r="L20" s="214">
        <f>TablasER!I24-TablasER!Y20</f>
        <v>-178.17239808000045</v>
      </c>
      <c r="M20" s="314">
        <f>IFERROR(L20/TablasER!Y20,0)</f>
        <v>-0.18248027010791934</v>
      </c>
      <c r="N20" s="317"/>
      <c r="O20" s="214">
        <f>TablasER!K24-TablasER!AA20</f>
        <v>-10426.508934999973</v>
      </c>
      <c r="P20" s="314">
        <f>IFERROR(O20/TablasER!AA20,0)</f>
        <v>-0.51260042367852443</v>
      </c>
      <c r="Q20" s="317"/>
      <c r="R20" s="214">
        <f>TablasER!M24-TablasER!AC20</f>
        <v>-199.25918999999976</v>
      </c>
      <c r="S20" s="314">
        <f>IFERROR(R20/TablasER!AC20,0)</f>
        <v>-5.8130580497148809E-2</v>
      </c>
      <c r="T20" s="317"/>
      <c r="U20" s="214">
        <f>TablasER!O24-TablasER!AE20</f>
        <v>-2512.15802626398</v>
      </c>
      <c r="V20" s="303">
        <f>IFERROR(U20/TablasER!AE20,0)</f>
        <v>-0.10456106315901668</v>
      </c>
      <c r="Y20" s="331" t="s">
        <v>18</v>
      </c>
      <c r="AA20" s="338">
        <f>AA12-AA19</f>
        <v>21513.592576936022</v>
      </c>
      <c r="AB20" s="336">
        <f t="shared" si="56"/>
        <v>8.0521895441722363E-2</v>
      </c>
      <c r="AD20" s="338">
        <f>AD12-AD19</f>
        <v>0</v>
      </c>
      <c r="AE20" s="336" t="str">
        <f t="shared" si="65"/>
        <v>N.D.</v>
      </c>
      <c r="AG20" s="338">
        <f>TablasER!BA20</f>
        <v>24025.750603200016</v>
      </c>
      <c r="AH20" s="336">
        <f t="shared" si="66"/>
        <v>0.13214427573957499</v>
      </c>
      <c r="AJ20" s="239">
        <f t="shared" si="67"/>
        <v>21513.592576936022</v>
      </c>
      <c r="AK20" s="336">
        <f t="shared" si="59"/>
        <v>0</v>
      </c>
      <c r="AM20" s="239">
        <f t="shared" si="68"/>
        <v>-2512.1580262639945</v>
      </c>
      <c r="AN20" s="336">
        <f t="shared" si="61"/>
        <v>-0.10456106315901728</v>
      </c>
      <c r="AQ20" s="1"/>
      <c r="AS20" s="307"/>
      <c r="AT20" s="307"/>
      <c r="AU20" s="307"/>
      <c r="AV20" s="307"/>
      <c r="AW20" s="307"/>
      <c r="AX20" s="30"/>
      <c r="AZ20" s="341"/>
      <c r="BA20" s="357"/>
      <c r="BB20" s="358"/>
      <c r="BC20" s="357"/>
      <c r="BD20" s="358"/>
      <c r="BE20" s="357"/>
      <c r="BF20" s="358"/>
      <c r="BG20" s="357"/>
      <c r="BH20" s="359"/>
      <c r="BI20" s="357"/>
      <c r="BJ20" s="359"/>
      <c r="BL20" s="347"/>
      <c r="BM20" s="357"/>
      <c r="BN20" s="358"/>
      <c r="BO20" s="357"/>
      <c r="BP20" s="358"/>
      <c r="BQ20" s="357"/>
      <c r="BR20" s="358"/>
      <c r="BS20" s="357"/>
      <c r="BT20" s="358"/>
      <c r="BU20" s="357"/>
      <c r="BV20" s="358"/>
      <c r="BW20" s="357"/>
      <c r="BX20" s="358"/>
      <c r="BY20" s="357"/>
      <c r="BZ20" s="358"/>
    </row>
    <row r="21" spans="1:78" s="307" customFormat="1" x14ac:dyDescent="0.35">
      <c r="B21" s="1"/>
      <c r="C21" s="30"/>
      <c r="D21" s="304"/>
      <c r="E21" s="304"/>
      <c r="F21" s="30"/>
      <c r="G21" s="304"/>
      <c r="H21" s="304"/>
      <c r="I21" s="30"/>
      <c r="J21" s="304"/>
      <c r="K21" s="304"/>
      <c r="L21" s="30"/>
      <c r="M21" s="304"/>
      <c r="N21" s="304"/>
      <c r="O21" s="30"/>
      <c r="P21" s="304"/>
      <c r="Q21" s="304"/>
      <c r="R21" s="30"/>
      <c r="S21" s="304"/>
      <c r="T21" s="304"/>
      <c r="U21" s="30"/>
      <c r="V21" s="304"/>
      <c r="Y21" s="333"/>
      <c r="Z21"/>
      <c r="AA21"/>
      <c r="AB21" s="322"/>
      <c r="AC21"/>
      <c r="AD21"/>
      <c r="AE21" s="322"/>
      <c r="AF21"/>
      <c r="AG21"/>
      <c r="AH21" s="322"/>
      <c r="AI21"/>
      <c r="AJ21" s="201"/>
      <c r="AK21" s="322"/>
      <c r="AL21"/>
      <c r="AM21" s="323"/>
      <c r="AN21" s="322"/>
      <c r="AQ21" s="7" t="s">
        <v>35</v>
      </c>
      <c r="AR21" s="203"/>
      <c r="AS21" s="203">
        <f>(BDER_sig!D19+BDER_sig!D41+BDER_sig!D63+BDER_sig!D85+BDER_sig!D107+BDER_sig!D129)/1000</f>
        <v>0</v>
      </c>
      <c r="AT21" s="8">
        <f>(BDER_sig!D482+BDER_sig!D505+BDER_sig!D572+BDER_sig!D617)/1000</f>
        <v>0</v>
      </c>
      <c r="AU21" s="203">
        <f>(BDER_sig!D527+BDER_sig!D549+BDER_sig!D594+BDER_sig!D639+BDER_sig!D661)/1000</f>
        <v>0</v>
      </c>
      <c r="AV21" s="203">
        <f>(BDER_sig!D305+BDER_sig!D327+BDER_sig!D349+BDER_sig!D371)/1000</f>
        <v>1977.5830000000001</v>
      </c>
      <c r="AW21" s="203">
        <f>(BDER_sig!D437+BDER_sig!D459)/1000</f>
        <v>1145.5740000000001</v>
      </c>
      <c r="AX21" s="8">
        <f>SUM(AR21:AW21)</f>
        <v>3123.1570000000002</v>
      </c>
      <c r="AZ21" s="347" t="s">
        <v>35</v>
      </c>
      <c r="BA21" s="348">
        <f t="shared" si="0"/>
        <v>0</v>
      </c>
      <c r="BB21" s="349" t="str">
        <f t="shared" ref="BB21:BB24" si="69">IF(BA$3=0,"N.D.",BA21/BA$3)</f>
        <v>N.D.</v>
      </c>
      <c r="BC21" s="348">
        <f t="shared" si="1"/>
        <v>3123.1570000000002</v>
      </c>
      <c r="BD21" s="349">
        <f t="shared" ref="BD21:BD24" si="70">IF(BC$3=0,"N.D.",BC21/BC$3)</f>
        <v>3.6691744442381838E-2</v>
      </c>
      <c r="BE21" s="348">
        <f t="shared" si="2"/>
        <v>3037.3600999999999</v>
      </c>
      <c r="BF21" s="349">
        <f t="shared" ref="BF21:BF24" si="71">IF(BE$3=0,"N.D.",BE21/BE$3)</f>
        <v>1.998911292029272E-2</v>
      </c>
      <c r="BG21" s="348">
        <f t="shared" ref="BG21:BG24" si="72">+BA21-BC21</f>
        <v>-3123.1570000000002</v>
      </c>
      <c r="BH21" s="350">
        <f t="shared" ref="BH21:BH24" si="73">IF(BC21=0,"N.D.",BA21/BC21-1)</f>
        <v>-1</v>
      </c>
      <c r="BI21" s="348">
        <f t="shared" ref="BI21:BI24" si="74">+BA21-BE21</f>
        <v>-3037.3600999999999</v>
      </c>
      <c r="BJ21" s="350">
        <f t="shared" ref="BJ21:BJ24" si="75">IF(BE21=0, "N.D.",BA21/BE21-1)</f>
        <v>-1</v>
      </c>
      <c r="BL21" s="347" t="s">
        <v>35</v>
      </c>
      <c r="BM21" s="348"/>
      <c r="BN21" s="349" t="str">
        <f t="shared" ref="BN21:BN24" si="76">IF(BM$3=0,"N.D.",BM21/BM$3)</f>
        <v>N.D.</v>
      </c>
      <c r="BO21" s="348">
        <f>proyeccion!B13</f>
        <v>0</v>
      </c>
      <c r="BP21" s="349" t="str">
        <f t="shared" ref="BP21:BP24" si="77">IF(BO$3=0,"N.D.",BO21/BO$3)</f>
        <v>N.D.</v>
      </c>
      <c r="BQ21" s="348">
        <f>proyeccion!G13</f>
        <v>0</v>
      </c>
      <c r="BR21" s="349" t="str">
        <f t="shared" ref="BR21:BR24" si="78">IF(BQ$3=0,"N.D.",BQ21/BQ$3)</f>
        <v>N.D.</v>
      </c>
      <c r="BS21" s="348">
        <f>proyeccion!H13</f>
        <v>0</v>
      </c>
      <c r="BT21" s="349" t="str">
        <f t="shared" ref="BT21:BT24" si="79">IF(BS$3=0,"N.D.",BS21/BS$3)</f>
        <v>N.D.</v>
      </c>
      <c r="BU21" s="348">
        <f>proyeccion!E13</f>
        <v>0</v>
      </c>
      <c r="BV21" s="349" t="str">
        <f t="shared" ref="BV21:BV24" si="80">IF(BU$3=0,"N.D.",BU21/BU$3)</f>
        <v>N.D.</v>
      </c>
      <c r="BW21" s="348">
        <f>proyeccion!F13</f>
        <v>0</v>
      </c>
      <c r="BX21" s="349" t="str">
        <f t="shared" ref="BX21:BX24" si="81">IF(BW$3=0,"N.D.",BW21/BW$3)</f>
        <v>N.D.</v>
      </c>
      <c r="BY21" s="348">
        <f t="shared" ref="BY21:BY24" si="82">BM21+BO21+BQ21+BS21+BU21+BW21</f>
        <v>0</v>
      </c>
      <c r="BZ21" s="349" t="str">
        <f t="shared" ref="BZ21:BZ24" si="83">IF(BY$3=0,"N.D.",BY21/BY$3)</f>
        <v>N.D.</v>
      </c>
    </row>
    <row r="22" spans="1:78" x14ac:dyDescent="0.35">
      <c r="B22" s="7" t="s">
        <v>35</v>
      </c>
      <c r="C22" s="8"/>
      <c r="D22" s="313"/>
      <c r="E22" s="302"/>
      <c r="F22" s="8">
        <f>TablasER!E26-TablasER!U22</f>
        <v>1537.24566</v>
      </c>
      <c r="G22" s="313">
        <f>IFERROR(F22/TablasER!U22,0)</f>
        <v>0</v>
      </c>
      <c r="H22" s="302"/>
      <c r="I22" s="204">
        <f>TablasER!G26-TablasER!W22</f>
        <v>0</v>
      </c>
      <c r="J22" s="313">
        <f>IFERROR(I22/TablasER!W22,0)</f>
        <v>0</v>
      </c>
      <c r="K22" s="302"/>
      <c r="L22" s="204">
        <f>TablasER!I26-TablasER!Y22</f>
        <v>0</v>
      </c>
      <c r="M22" s="313">
        <f>IFERROR(L22/TablasER!Y22,0)</f>
        <v>0</v>
      </c>
      <c r="N22" s="302"/>
      <c r="O22" s="204">
        <f>TablasER!K26-TablasER!AA22</f>
        <v>1004.6091199999996</v>
      </c>
      <c r="P22" s="313">
        <f>IFERROR(O22/TablasER!AA22,0)</f>
        <v>0.33458207760728348</v>
      </c>
      <c r="Q22" s="302"/>
      <c r="R22" s="204">
        <f>TablasER!M26-TablasER!AC22</f>
        <v>-88.961000000000013</v>
      </c>
      <c r="S22" s="313">
        <f>IFERROR(R22/TablasER!AC22,0)</f>
        <v>-0.11408386403449154</v>
      </c>
      <c r="T22" s="302"/>
      <c r="U22" s="204">
        <f>TablasER!O26-TablasER!AE22</f>
        <v>2452.893779999999</v>
      </c>
      <c r="V22" s="137">
        <f>IFERROR(U22/TablasER!AE22,0)</f>
        <v>0.64850795203530032</v>
      </c>
      <c r="Y22" s="7" t="s">
        <v>35</v>
      </c>
      <c r="AA22" s="241">
        <f>TablasER!$AY$22</f>
        <v>6235.2587799999992</v>
      </c>
      <c r="AB22" s="329">
        <f t="shared" ref="AB22" si="84">IF($AA$4=0,"N.D.",AA22/$AA$4)</f>
        <v>2.3337564553188497E-2</v>
      </c>
      <c r="AD22" s="241">
        <f>$BY$21</f>
        <v>0</v>
      </c>
      <c r="AE22" s="329" t="str">
        <f t="shared" ref="AE22" si="85">IF($AD$4=0,"N.D.",AD22/$AD$4)</f>
        <v>N.D.</v>
      </c>
      <c r="AG22" s="241">
        <f>TablasER!BA22</f>
        <v>3782.3650000000002</v>
      </c>
      <c r="AH22" s="329">
        <f t="shared" ref="AH22" si="86">IF($AG$4=0,"N.D.",AG22/$AG$4)</f>
        <v>2.0803424282658887E-2</v>
      </c>
      <c r="AJ22" s="241">
        <f>AA22-AD22</f>
        <v>6235.2587799999992</v>
      </c>
      <c r="AK22" s="329">
        <f>IFERROR(IF(0&gt;AJ22,(IF(0&gt;AJ22,AJ22/-1,AJ22)/AD22)/-1,(IF(0&gt;AJ22,AJ22/-1,AJ22)/AD22)),0)</f>
        <v>0</v>
      </c>
      <c r="AM22" s="241">
        <f>AA22-AG22</f>
        <v>2452.893779999999</v>
      </c>
      <c r="AN22" s="329">
        <f>IFERROR(IF(0&gt;AM22,(IF(0&gt;AM22,AM22/-1,AM22)/AG22)/-1,(IF(0&gt;AM22,AM22/-1,AM22)/AG22)),0)</f>
        <v>0.64850795203530032</v>
      </c>
      <c r="AQ22" s="7" t="s">
        <v>43</v>
      </c>
      <c r="AR22" s="8"/>
      <c r="AS22" s="203">
        <f>(BDER_sig!D20+BDER_sig!D42+BDER_sig!D64+BDER_sig!D86+BDER_sig!D108+BDER_sig!D130)/1000</f>
        <v>0</v>
      </c>
      <c r="AT22" s="8">
        <f>(BDER_sig!D483+BDER_sig!D506+BDER_sig!D573+BDER_sig!D618)/1000</f>
        <v>0</v>
      </c>
      <c r="AU22" s="203">
        <f>(BDER_sig!D528+BDER_sig!D550+BDER_sig!D595+BDER_sig!D640+BDER_sig!D662)/1000</f>
        <v>0</v>
      </c>
      <c r="AV22" s="203">
        <f>(BDER_sig!D306+BDER_sig!D328+BDER_sig!D350+BDER_sig!D372)/1000</f>
        <v>0</v>
      </c>
      <c r="AW22" s="203">
        <f>(BDER_sig!D438+BDER_sig!D460)/1000</f>
        <v>0</v>
      </c>
      <c r="AX22" s="11">
        <f t="shared" ref="AX22:AX24" si="87">SUM(AR22:AW22)</f>
        <v>0</v>
      </c>
      <c r="AZ22" s="347" t="s">
        <v>43</v>
      </c>
      <c r="BA22" s="351">
        <f t="shared" si="0"/>
        <v>0</v>
      </c>
      <c r="BB22" s="352" t="str">
        <f t="shared" si="69"/>
        <v>N.D.</v>
      </c>
      <c r="BC22" s="351">
        <f t="shared" si="1"/>
        <v>0</v>
      </c>
      <c r="BD22" s="352">
        <f t="shared" si="70"/>
        <v>0</v>
      </c>
      <c r="BE22" s="351">
        <f t="shared" si="2"/>
        <v>0</v>
      </c>
      <c r="BF22" s="352">
        <f t="shared" si="71"/>
        <v>0</v>
      </c>
      <c r="BG22" s="351">
        <f t="shared" si="72"/>
        <v>0</v>
      </c>
      <c r="BH22" s="353" t="str">
        <f t="shared" si="73"/>
        <v>N.D.</v>
      </c>
      <c r="BI22" s="351">
        <f t="shared" si="74"/>
        <v>0</v>
      </c>
      <c r="BJ22" s="353" t="str">
        <f t="shared" si="75"/>
        <v>N.D.</v>
      </c>
      <c r="BL22" s="347" t="s">
        <v>20</v>
      </c>
      <c r="BM22" s="351"/>
      <c r="BN22" s="352" t="str">
        <f t="shared" si="76"/>
        <v>N.D.</v>
      </c>
      <c r="BO22" s="351">
        <f>proyeccion!B14</f>
        <v>0</v>
      </c>
      <c r="BP22" s="352" t="str">
        <f t="shared" si="77"/>
        <v>N.D.</v>
      </c>
      <c r="BQ22" s="351">
        <f>proyeccion!G14</f>
        <v>0</v>
      </c>
      <c r="BR22" s="352" t="str">
        <f t="shared" si="78"/>
        <v>N.D.</v>
      </c>
      <c r="BS22" s="351">
        <f>proyeccion!H14</f>
        <v>0</v>
      </c>
      <c r="BT22" s="352" t="str">
        <f t="shared" si="79"/>
        <v>N.D.</v>
      </c>
      <c r="BU22" s="351">
        <f>proyeccion!E14</f>
        <v>0</v>
      </c>
      <c r="BV22" s="352" t="str">
        <f t="shared" si="80"/>
        <v>N.D.</v>
      </c>
      <c r="BW22" s="351">
        <f>proyeccion!F14</f>
        <v>0</v>
      </c>
      <c r="BX22" s="352" t="str">
        <f t="shared" si="81"/>
        <v>N.D.</v>
      </c>
      <c r="BY22" s="351">
        <f t="shared" si="82"/>
        <v>0</v>
      </c>
      <c r="BZ22" s="352" t="str">
        <f t="shared" si="83"/>
        <v>N.D.</v>
      </c>
    </row>
    <row r="23" spans="1:78" x14ac:dyDescent="0.35">
      <c r="B23" s="7" t="s">
        <v>20</v>
      </c>
      <c r="C23" s="34"/>
      <c r="D23" s="304"/>
      <c r="E23" s="302"/>
      <c r="F23" s="34">
        <f>TablasER!E27-TablasER!U23</f>
        <v>0</v>
      </c>
      <c r="G23" s="304">
        <f>IFERROR(F23/TablasER!U23,0)</f>
        <v>0</v>
      </c>
      <c r="H23" s="302"/>
      <c r="I23" s="207">
        <f>TablasER!G27-TablasER!W23</f>
        <v>0</v>
      </c>
      <c r="J23" s="304">
        <f>IFERROR(I23/TablasER!W23,0)</f>
        <v>0</v>
      </c>
      <c r="K23" s="302"/>
      <c r="L23" s="207">
        <f>TablasER!I27-TablasER!Y23</f>
        <v>0</v>
      </c>
      <c r="M23" s="304">
        <f>IFERROR(L23/TablasER!Y23,0)</f>
        <v>0</v>
      </c>
      <c r="N23" s="302"/>
      <c r="O23" s="207">
        <f>TablasER!K27-TablasER!AA23</f>
        <v>0</v>
      </c>
      <c r="P23" s="304">
        <f>IFERROR(O23/TablasER!AA23,0)</f>
        <v>0</v>
      </c>
      <c r="Q23" s="302"/>
      <c r="R23" s="207">
        <f>TablasER!M27-TablasER!AC23</f>
        <v>0</v>
      </c>
      <c r="S23" s="304">
        <f>IFERROR(R23/TablasER!AC23,0)</f>
        <v>0</v>
      </c>
      <c r="T23" s="302"/>
      <c r="U23" s="207">
        <f>TablasER!O27-TablasER!AE23</f>
        <v>0</v>
      </c>
      <c r="V23" s="302">
        <f>IFERROR(U23/TablasER!AE23,0)</f>
        <v>0</v>
      </c>
      <c r="Y23" s="4" t="s">
        <v>21</v>
      </c>
      <c r="AA23" s="239">
        <f>TablasER!AY24</f>
        <v>15278.333796936036</v>
      </c>
      <c r="AB23" s="332">
        <f>IF($AA$4=0,"N.D.",AA23/$AA$4)</f>
        <v>5.7184330888533919E-2</v>
      </c>
      <c r="AD23" s="239">
        <f>AD20-AD22</f>
        <v>0</v>
      </c>
      <c r="AE23" s="332" t="str">
        <f>IF($AD$4=0,"N.D.",AD23/$AD$4)</f>
        <v>N.D.</v>
      </c>
      <c r="AG23" s="239">
        <f>TablasER!BA24</f>
        <v>20243.385603200015</v>
      </c>
      <c r="AH23" s="332">
        <f>IF($AG$4=0,"N.D.",AG23/$AG$4)</f>
        <v>0.11134085145691611</v>
      </c>
      <c r="AJ23" s="239">
        <f t="shared" ref="AJ23" si="88">AA23-AD23</f>
        <v>15278.333796936036</v>
      </c>
      <c r="AK23" s="332">
        <f>IFERROR(IF(0&gt;AJ23,(IF(0&gt;AJ23,AJ23/-1,AJ23)/AD23)/-1,(IF(0&gt;AJ23,AJ23/-1,AJ23)/AD23)),0)</f>
        <v>0</v>
      </c>
      <c r="AM23" s="239">
        <f t="shared" ref="AM23" si="89">AA23-AG23</f>
        <v>-4965.0518062639785</v>
      </c>
      <c r="AN23" s="332">
        <f>IFERROR(IF(0&gt;AM23,(IF(0&gt;AM23,AM23/-1,AM23)/AG23)/-1,(IF(0&gt;AM23,AM23/-1,AM23)/AG23)),0)</f>
        <v>-0.24526785704655638</v>
      </c>
      <c r="AQ23" s="4" t="s">
        <v>21</v>
      </c>
      <c r="AR23" s="14"/>
      <c r="AS23" s="203">
        <f>(BDER_sig!D21+BDER_sig!D43+BDER_sig!D65+BDER_sig!D87+BDER_sig!D109+BDER_sig!D131)/1000</f>
        <v>0</v>
      </c>
      <c r="AT23" s="8">
        <f>(BDER_sig!D484+BDER_sig!D507+BDER_sig!D574+BDER_sig!D619)/1000</f>
        <v>85.707999999999998</v>
      </c>
      <c r="AU23" s="203">
        <f>(BDER_sig!D529+BDER_sig!D551+BDER_sig!D596+BDER_sig!D641+BDER_sig!D663)/1000</f>
        <v>47.716999999999999</v>
      </c>
      <c r="AV23" s="203">
        <f>(BDER_sig!D307+BDER_sig!D329+BDER_sig!D351+BDER_sig!D373)/1000</f>
        <v>8210.8700000000008</v>
      </c>
      <c r="AW23" s="203">
        <f>(BDER_sig!D439+BDER_sig!D461)/1000</f>
        <v>4036.0169999999998</v>
      </c>
      <c r="AX23" s="14">
        <f t="shared" si="87"/>
        <v>12380.312</v>
      </c>
      <c r="AZ23" s="344" t="s">
        <v>21</v>
      </c>
      <c r="BA23" s="354">
        <f t="shared" si="0"/>
        <v>0</v>
      </c>
      <c r="BB23" s="355" t="str">
        <f t="shared" si="69"/>
        <v>N.D.</v>
      </c>
      <c r="BC23" s="354">
        <f t="shared" si="1"/>
        <v>12380.312</v>
      </c>
      <c r="BD23" s="355">
        <f t="shared" si="70"/>
        <v>0.14544745717905092</v>
      </c>
      <c r="BE23" s="354">
        <f t="shared" si="2"/>
        <v>11983.508430000002</v>
      </c>
      <c r="BF23" s="355">
        <f t="shared" si="71"/>
        <v>7.8864439941958075E-2</v>
      </c>
      <c r="BG23" s="354">
        <f t="shared" si="72"/>
        <v>-12380.312</v>
      </c>
      <c r="BH23" s="356">
        <f t="shared" si="73"/>
        <v>-1</v>
      </c>
      <c r="BI23" s="354">
        <f t="shared" si="74"/>
        <v>-11983.508430000002</v>
      </c>
      <c r="BJ23" s="356">
        <f t="shared" si="75"/>
        <v>-1</v>
      </c>
      <c r="BL23" s="344" t="s">
        <v>21</v>
      </c>
      <c r="BM23" s="354"/>
      <c r="BN23" s="355" t="str">
        <f t="shared" si="76"/>
        <v>N.D.</v>
      </c>
      <c r="BO23" s="354">
        <f>BO19-BO21-BO22</f>
        <v>0</v>
      </c>
      <c r="BP23" s="355" t="str">
        <f t="shared" si="77"/>
        <v>N.D.</v>
      </c>
      <c r="BQ23" s="354">
        <f>BQ19-BQ21-BQ22</f>
        <v>0</v>
      </c>
      <c r="BR23" s="355" t="str">
        <f t="shared" si="78"/>
        <v>N.D.</v>
      </c>
      <c r="BS23" s="354">
        <f>BS19-BS21-BS22</f>
        <v>0</v>
      </c>
      <c r="BT23" s="355" t="str">
        <f t="shared" si="79"/>
        <v>N.D.</v>
      </c>
      <c r="BU23" s="354">
        <f>BU19-BU21-BU22</f>
        <v>0</v>
      </c>
      <c r="BV23" s="355" t="str">
        <f t="shared" si="80"/>
        <v>N.D.</v>
      </c>
      <c r="BW23" s="354">
        <f>BW19-BW21-BW22</f>
        <v>0</v>
      </c>
      <c r="BX23" s="355" t="str">
        <f t="shared" si="81"/>
        <v>N.D.</v>
      </c>
      <c r="BY23" s="354">
        <f t="shared" si="82"/>
        <v>0</v>
      </c>
      <c r="BZ23" s="355" t="str">
        <f t="shared" si="83"/>
        <v>N.D.</v>
      </c>
    </row>
    <row r="24" spans="1:78" x14ac:dyDescent="0.35">
      <c r="B24" s="4" t="s">
        <v>21</v>
      </c>
      <c r="C24" s="14"/>
      <c r="D24" s="314"/>
      <c r="E24" s="317"/>
      <c r="F24" s="14">
        <f>TablasER!E28-TablasER!U24</f>
        <v>4029.7208100000066</v>
      </c>
      <c r="G24" s="314">
        <f>IFERROR(F24/TablasER!U24,0)</f>
        <v>0</v>
      </c>
      <c r="H24" s="317"/>
      <c r="I24" s="214">
        <f>TablasER!G28-TablasER!W24</f>
        <v>2725.8160268159922</v>
      </c>
      <c r="J24" s="314">
        <f>IFERROR(I24/TablasER!W24,0)</f>
        <v>-3.7919117688433883</v>
      </c>
      <c r="K24" s="317"/>
      <c r="L24" s="214">
        <f>TablasER!I28-TablasER!Y24</f>
        <v>-178.17239808000045</v>
      </c>
      <c r="M24" s="314">
        <f>IFERROR(L24/TablasER!Y24,0)</f>
        <v>-0.18248027010791934</v>
      </c>
      <c r="N24" s="317"/>
      <c r="O24" s="214">
        <f>TablasER!K28-TablasER!AA24</f>
        <v>-11431.11805499997</v>
      </c>
      <c r="P24" s="314">
        <f>IFERROR(O24/TablasER!AA24,0)</f>
        <v>-0.65931604381236919</v>
      </c>
      <c r="Q24" s="317"/>
      <c r="R24" s="214">
        <f>TablasER!M28-TablasER!AC24</f>
        <v>-110.29818999999952</v>
      </c>
      <c r="S24" s="314">
        <f>IFERROR(R24/TablasER!AC24,0)</f>
        <v>-4.1653395015105552E-2</v>
      </c>
      <c r="T24" s="317"/>
      <c r="U24" s="214">
        <f>TablasER!O28-TablasER!AE24</f>
        <v>-4965.0518062639785</v>
      </c>
      <c r="V24" s="303">
        <f>IFERROR(U24/TablasER!AE24,0)</f>
        <v>-0.24526785704655638</v>
      </c>
      <c r="Y24" s="4" t="s">
        <v>22</v>
      </c>
      <c r="AA24" s="239">
        <f>TablasER!AY25</f>
        <v>25381.555027128037</v>
      </c>
      <c r="AB24" s="332">
        <f>IF($AA$4=0,"N.D.",AA24/$AA$4)</f>
        <v>9.4999052935202583E-2</v>
      </c>
      <c r="AD24" s="239">
        <f>AD12+AD10</f>
        <v>0</v>
      </c>
      <c r="AE24" s="332" t="str">
        <f>IF($AD$4=0,"N.D.",AD24/$AD$4)</f>
        <v>N.D.</v>
      </c>
      <c r="AG24" s="239">
        <f>TablasER!BA25</f>
        <v>23864.444252800015</v>
      </c>
      <c r="AH24" s="332">
        <f>IF($AG$4=0,"N.D.",AG24/$AG$4)</f>
        <v>0.13125707303786366</v>
      </c>
      <c r="AJ24" s="239">
        <f>AA24-AD24</f>
        <v>25381.555027128037</v>
      </c>
      <c r="AK24" s="332">
        <f>IFERROR(IF(0&gt;AJ24,(IF(0&gt;AJ24,AJ24/-1,AJ24)/AD24)/-1,(IF(0&gt;AJ24,AJ24/-1,AJ24)/AD24)),0)</f>
        <v>0</v>
      </c>
      <c r="AM24" s="239">
        <f>AA24-AG24</f>
        <v>1517.1107743280227</v>
      </c>
      <c r="AN24" s="332">
        <f>IFERROR(IF(0&gt;AM24,(IF(0&gt;AM24,AM24/-1,AM24)/AG24)/-1,(IF(0&gt;AM24,AM24/-1,AM24)/AG24)),0)</f>
        <v>6.3572013588794135E-2</v>
      </c>
      <c r="AQ24" s="4" t="s">
        <v>22</v>
      </c>
      <c r="AR24" s="20"/>
      <c r="AS24" s="203">
        <f>(BDER_sig!D22+BDER_sig!D44+BDER_sig!D66+BDER_sig!D88+BDER_sig!D110+BDER_sig!D132)/1000</f>
        <v>0</v>
      </c>
      <c r="AT24" s="8">
        <f>(BDER_sig!D485+BDER_sig!D508+BDER_sig!D575+BDER_sig!D620)/1000</f>
        <v>88.808999999999997</v>
      </c>
      <c r="AU24" s="203">
        <f>(BDER_sig!D530+BDER_sig!D552+BDER_sig!D597+BDER_sig!D642+BDER_sig!D664)/1000</f>
        <v>70.114999999999995</v>
      </c>
      <c r="AV24" s="203">
        <f>(BDER_sig!D308+BDER_sig!D330+BDER_sig!D352+BDER_sig!D374)/1000</f>
        <v>11980.3</v>
      </c>
      <c r="AW24" s="203">
        <f>(BDER_sig!D440+BDER_sig!D462)/1000</f>
        <v>4639.5150000000003</v>
      </c>
      <c r="AX24" s="20">
        <f t="shared" si="87"/>
        <v>16778.738999999998</v>
      </c>
      <c r="AZ24" s="344" t="s">
        <v>22</v>
      </c>
      <c r="BA24" s="354">
        <f t="shared" si="0"/>
        <v>0</v>
      </c>
      <c r="BB24" s="355" t="str">
        <f t="shared" si="69"/>
        <v>N.D.</v>
      </c>
      <c r="BC24" s="354">
        <f t="shared" si="1"/>
        <v>16778.738999999998</v>
      </c>
      <c r="BD24" s="355">
        <f t="shared" si="70"/>
        <v>0.19712143944522328</v>
      </c>
      <c r="BE24" s="354">
        <f t="shared" si="2"/>
        <v>14303.586749999999</v>
      </c>
      <c r="BF24" s="355">
        <f t="shared" si="71"/>
        <v>9.4133063350293159E-2</v>
      </c>
      <c r="BG24" s="354">
        <f t="shared" si="72"/>
        <v>-16778.738999999998</v>
      </c>
      <c r="BH24" s="356">
        <f t="shared" si="73"/>
        <v>-1</v>
      </c>
      <c r="BI24" s="354">
        <f t="shared" si="74"/>
        <v>-14303.586749999999</v>
      </c>
      <c r="BJ24" s="356">
        <f t="shared" si="75"/>
        <v>-1</v>
      </c>
      <c r="BL24" s="344" t="s">
        <v>22</v>
      </c>
      <c r="BM24" s="354"/>
      <c r="BN24" s="355" t="str">
        <f t="shared" si="76"/>
        <v>N.D.</v>
      </c>
      <c r="BO24" s="354">
        <f>BO11+BO9</f>
        <v>0</v>
      </c>
      <c r="BP24" s="355" t="str">
        <f t="shared" si="77"/>
        <v>N.D.</v>
      </c>
      <c r="BQ24" s="354">
        <f>BQ11+BQ9</f>
        <v>0</v>
      </c>
      <c r="BR24" s="355" t="str">
        <f t="shared" si="78"/>
        <v>N.D.</v>
      </c>
      <c r="BS24" s="354">
        <f>BS11+BS9</f>
        <v>0</v>
      </c>
      <c r="BT24" s="355" t="str">
        <f t="shared" si="79"/>
        <v>N.D.</v>
      </c>
      <c r="BU24" s="354">
        <f>BU11+BU9</f>
        <v>0</v>
      </c>
      <c r="BV24" s="355" t="str">
        <f t="shared" si="80"/>
        <v>N.D.</v>
      </c>
      <c r="BW24" s="354">
        <f>BW11+BW9</f>
        <v>0</v>
      </c>
      <c r="BX24" s="355" t="str">
        <f t="shared" si="81"/>
        <v>N.D.</v>
      </c>
      <c r="BY24" s="354">
        <f t="shared" si="82"/>
        <v>0</v>
      </c>
      <c r="BZ24" s="355" t="str">
        <f t="shared" si="83"/>
        <v>N.D.</v>
      </c>
    </row>
    <row r="25" spans="1:78" x14ac:dyDescent="0.35">
      <c r="B25" s="4" t="s">
        <v>22</v>
      </c>
      <c r="C25" s="14"/>
      <c r="D25" s="314"/>
      <c r="E25" s="317"/>
      <c r="F25" s="14">
        <f>TablasER!E29-TablasER!U25</f>
        <v>7270.5300600000073</v>
      </c>
      <c r="G25" s="314">
        <f>IFERROR(F25/TablasER!U25,0)</f>
        <v>0</v>
      </c>
      <c r="H25" s="317"/>
      <c r="I25" s="214">
        <f>TablasER!G29-TablasER!W25</f>
        <v>2839.5687964319923</v>
      </c>
      <c r="J25" s="314">
        <f>IFERROR(I25/TablasER!W25,0)</f>
        <v>-4.2950331915935234</v>
      </c>
      <c r="K25" s="317"/>
      <c r="L25" s="214">
        <f>TablasER!I29-TablasER!Y25</f>
        <v>217.95801789599955</v>
      </c>
      <c r="M25" s="314">
        <f>IFERROR(L25/TablasER!Y25,0)</f>
        <v>0.15248348072161272</v>
      </c>
      <c r="N25" s="317"/>
      <c r="O25" s="214">
        <f>TablasER!K29-TablasER!AA25</f>
        <v>-8827.3298299999733</v>
      </c>
      <c r="P25" s="314">
        <f>IFERROR(O25/TablasER!AA25,0)</f>
        <v>-0.43674479259306026</v>
      </c>
      <c r="Q25" s="317"/>
      <c r="R25" s="214">
        <f>TablasER!M29-TablasER!AC25</f>
        <v>16.383730000000014</v>
      </c>
      <c r="S25" s="314">
        <f>IFERROR(R25/TablasER!AC25,0)</f>
        <v>5.6798375617342417E-3</v>
      </c>
      <c r="T25" s="317"/>
      <c r="U25" s="214">
        <f>TablasER!O29-TablasER!AE25</f>
        <v>1517.1107743280227</v>
      </c>
      <c r="V25" s="303">
        <f>IFERROR(U25/TablasER!AE25,0)</f>
        <v>6.3572013588794135E-2</v>
      </c>
    </row>
    <row r="26" spans="1:78" x14ac:dyDescent="0.35">
      <c r="B26" s="26"/>
      <c r="C26" s="2"/>
      <c r="D26" s="301"/>
      <c r="E26" s="301"/>
      <c r="F26" s="2"/>
      <c r="G26" s="27"/>
      <c r="H26" s="27"/>
      <c r="I26" s="2"/>
      <c r="J26" s="27"/>
      <c r="K26" s="27"/>
      <c r="L26" s="2"/>
      <c r="M26" s="27"/>
      <c r="N26" s="27"/>
      <c r="O26" s="28"/>
      <c r="P26" s="27"/>
      <c r="Q26" s="27"/>
      <c r="R26" s="2"/>
      <c r="S26" s="27"/>
      <c r="T26" s="27"/>
      <c r="U26" s="2"/>
      <c r="V26" s="1"/>
      <c r="AQ26" s="26" t="s">
        <v>404</v>
      </c>
      <c r="AR26" s="25"/>
      <c r="AS26" s="25"/>
      <c r="AT26" s="25"/>
      <c r="AU26" s="25"/>
      <c r="AV26" s="25"/>
      <c r="AW26" s="25"/>
      <c r="AX26" s="25"/>
      <c r="BL26" t="s">
        <v>411</v>
      </c>
    </row>
    <row r="27" spans="1:78" x14ac:dyDescent="0.35">
      <c r="A27" t="s">
        <v>393</v>
      </c>
      <c r="AQ27" s="25"/>
      <c r="AR27" s="2" t="s">
        <v>25</v>
      </c>
      <c r="AS27" s="2" t="s">
        <v>26</v>
      </c>
      <c r="AT27" s="2" t="s">
        <v>27</v>
      </c>
      <c r="AU27" s="2" t="s">
        <v>28</v>
      </c>
      <c r="AV27" s="340" t="s">
        <v>29</v>
      </c>
      <c r="AW27" s="2" t="s">
        <v>30</v>
      </c>
      <c r="AX27" s="2" t="s">
        <v>31</v>
      </c>
      <c r="BL27" s="347"/>
      <c r="BM27" s="361" t="s">
        <v>25</v>
      </c>
      <c r="BN27" s="362"/>
      <c r="BO27" s="361" t="s">
        <v>26</v>
      </c>
      <c r="BP27" s="362"/>
      <c r="BQ27" s="363" t="s">
        <v>27</v>
      </c>
      <c r="BR27" s="364"/>
      <c r="BS27" s="363" t="s">
        <v>28</v>
      </c>
      <c r="BT27" s="364"/>
      <c r="BU27" s="361" t="s">
        <v>29</v>
      </c>
      <c r="BV27" s="362"/>
      <c r="BW27" s="361" t="s">
        <v>30</v>
      </c>
      <c r="BX27" s="362"/>
      <c r="BY27" s="363" t="s">
        <v>31</v>
      </c>
      <c r="BZ27" s="365"/>
    </row>
    <row r="28" spans="1:78" x14ac:dyDescent="0.35">
      <c r="C28" s="373" t="s">
        <v>25</v>
      </c>
      <c r="D28" s="373"/>
      <c r="E28" s="2"/>
      <c r="F28" s="373" t="s">
        <v>26</v>
      </c>
      <c r="G28" s="373"/>
      <c r="H28" s="2"/>
      <c r="I28" s="373" t="s">
        <v>27</v>
      </c>
      <c r="J28" s="373"/>
      <c r="K28" s="2"/>
      <c r="L28" s="373" t="s">
        <v>28</v>
      </c>
      <c r="M28" s="373"/>
      <c r="N28" s="2"/>
      <c r="O28" s="373" t="s">
        <v>29</v>
      </c>
      <c r="P28" s="373"/>
      <c r="Q28" s="2"/>
      <c r="R28" s="373" t="s">
        <v>108</v>
      </c>
      <c r="S28" s="373"/>
      <c r="T28" s="2"/>
      <c r="U28" s="373" t="s">
        <v>394</v>
      </c>
      <c r="V28" s="373"/>
      <c r="AQ28" s="7" t="s">
        <v>5</v>
      </c>
      <c r="AR28" s="8"/>
      <c r="AS28" s="8">
        <f>(BDER_sig!C4+BDER_sig!C26+BDER_sig!C48+BDER_sig!C70+BDER_sig!C92+BDER_sig!C114)/1000</f>
        <v>60286.266320000002</v>
      </c>
      <c r="AT28" s="8">
        <f>(BDER_sig!C466+BDER_sig!C489+BDER_sig!C556+BDER_sig!C601)/1000</f>
        <v>1407.6505400000001</v>
      </c>
      <c r="AU28" s="8">
        <f>(BDER_sig!C512+BDER_sig!C534+BDER_sig!C579+BDER_sig!C624+BDER_sig!C646)/1000</f>
        <v>123.13364999999999</v>
      </c>
      <c r="AV28" s="8">
        <f>(BDER_sig!C290+BDER_sig!C312+BDER_sig!C334+BDER_sig!C356)/1000</f>
        <v>84615.572280000008</v>
      </c>
      <c r="AW28" s="8">
        <f>(BDER_sig!C422+BDER_sig!C444)/1000</f>
        <v>5518.0971899999995</v>
      </c>
      <c r="AX28" s="8">
        <f>SUM(AR28:AW28)</f>
        <v>151950.71998000002</v>
      </c>
      <c r="BL28" s="347" t="s">
        <v>5</v>
      </c>
      <c r="BM28" s="351"/>
      <c r="BN28" s="349" t="str">
        <f>IF(CC$3=0,"N.D.",BM28/CC$3)</f>
        <v>N.D.</v>
      </c>
      <c r="BO28" s="351">
        <f>proyeccion!B18</f>
        <v>0</v>
      </c>
      <c r="BP28" s="349" t="str">
        <f>IF(CE$3=0,"N.D.",BO28/CE$3)</f>
        <v>N.D.</v>
      </c>
      <c r="BQ28" s="351">
        <f>proyeccion!G18</f>
        <v>0</v>
      </c>
      <c r="BR28" s="349" t="str">
        <f>IF(CG$3=0,"N.D.",BQ28/CG$3)</f>
        <v>N.D.</v>
      </c>
      <c r="BS28" s="351">
        <f>proyeccion!H18</f>
        <v>0</v>
      </c>
      <c r="BT28" s="349" t="str">
        <f>IF(CI$3=0,"N.D.",BS28/CI$3)</f>
        <v>N.D.</v>
      </c>
      <c r="BU28" s="351">
        <f>proyeccion!E18</f>
        <v>0</v>
      </c>
      <c r="BV28" s="349" t="str">
        <f>IF(CK$3=0,"N.D.",BU28/CK$3)</f>
        <v>N.D.</v>
      </c>
      <c r="BW28" s="351">
        <f>proyeccion!F18</f>
        <v>0</v>
      </c>
      <c r="BX28" s="349" t="str">
        <f>IF(CM$3=0,"N.D.",BW28/CM$3)</f>
        <v>N.D.</v>
      </c>
      <c r="BY28" s="351">
        <f>BM28+BO28+BQ28+BS28+BU28+BW28</f>
        <v>0</v>
      </c>
      <c r="BZ28" s="349" t="str">
        <f>IF(CO$3=0,"N.D.",BY28/CO$3)</f>
        <v>N.D.</v>
      </c>
    </row>
    <row r="29" spans="1:78" x14ac:dyDescent="0.35">
      <c r="B29" s="26"/>
      <c r="C29" s="2" t="s">
        <v>394</v>
      </c>
      <c r="D29" s="308" t="s">
        <v>395</v>
      </c>
      <c r="E29" s="308"/>
      <c r="F29" s="2" t="s">
        <v>394</v>
      </c>
      <c r="G29" s="308" t="s">
        <v>395</v>
      </c>
      <c r="H29" s="308"/>
      <c r="I29" s="2" t="s">
        <v>394</v>
      </c>
      <c r="J29" s="308" t="s">
        <v>395</v>
      </c>
      <c r="K29" s="308"/>
      <c r="L29" s="2" t="s">
        <v>394</v>
      </c>
      <c r="M29" s="308" t="s">
        <v>395</v>
      </c>
      <c r="N29" s="308"/>
      <c r="O29" s="2" t="s">
        <v>394</v>
      </c>
      <c r="P29" s="309" t="s">
        <v>395</v>
      </c>
      <c r="Q29" s="309"/>
      <c r="R29" s="2" t="s">
        <v>394</v>
      </c>
      <c r="S29" s="308" t="s">
        <v>395</v>
      </c>
      <c r="T29" s="308"/>
      <c r="U29" s="2" t="s">
        <v>396</v>
      </c>
      <c r="V29" s="308" t="s">
        <v>395</v>
      </c>
      <c r="AQ29" s="7" t="s">
        <v>6</v>
      </c>
      <c r="AR29" s="8"/>
      <c r="AS29" s="8">
        <f>(BDER_sig!C5+BDER_sig!C27+BDER_sig!C49+BDER_sig!C71+BDER_sig!C93+BDER_sig!C115)/1000</f>
        <v>33560.208359999997</v>
      </c>
      <c r="AT29" s="8">
        <f>(BDER_sig!C467+BDER_sig!C490+BDER_sig!C557+BDER_sig!C602)/1000</f>
        <v>436.89956000000006</v>
      </c>
      <c r="AU29" s="8">
        <f>(BDER_sig!C513+BDER_sig!C535+BDER_sig!C580+BDER_sig!C625+BDER_sig!C647)/1000</f>
        <v>0</v>
      </c>
      <c r="AV29" s="8">
        <f>(BDER_sig!C291+BDER_sig!C313+BDER_sig!C335+BDER_sig!C357)/1000</f>
        <v>52452.776270000002</v>
      </c>
      <c r="AW29" s="8">
        <f>(BDER_sig!C423+BDER_sig!C445)/1000</f>
        <v>3423.8316799999998</v>
      </c>
      <c r="AX29" s="8">
        <f>SUM(AR29:AW29)</f>
        <v>89873.71587</v>
      </c>
      <c r="BL29" s="347" t="s">
        <v>6</v>
      </c>
      <c r="BM29" s="351"/>
      <c r="BN29" s="352" t="str">
        <f>IF(CC$3=0,"N.D.",BM29/CC$3)</f>
        <v>N.D.</v>
      </c>
      <c r="BO29" s="351">
        <f>proyeccion!B19</f>
        <v>0</v>
      </c>
      <c r="BP29" s="352" t="str">
        <f>IF(CE$3=0,"N.D.",BO29/CE$3)</f>
        <v>N.D.</v>
      </c>
      <c r="BQ29" s="351">
        <f>proyeccion!G19</f>
        <v>0</v>
      </c>
      <c r="BR29" s="352" t="str">
        <f>IF(CG$3=0,"N.D.",BQ29/CG$3)</f>
        <v>N.D.</v>
      </c>
      <c r="BS29" s="351">
        <f>proyeccion!H19</f>
        <v>0</v>
      </c>
      <c r="BT29" s="352" t="str">
        <f>IF(CI$3=0,"N.D.",BS29/CI$3)</f>
        <v>N.D.</v>
      </c>
      <c r="BU29" s="351">
        <f>proyeccion!E19</f>
        <v>0</v>
      </c>
      <c r="BV29" s="352" t="str">
        <f>IF(CK$3=0,"N.D.",BU29/CK$3)</f>
        <v>N.D.</v>
      </c>
      <c r="BW29" s="351">
        <f>proyeccion!F19</f>
        <v>0</v>
      </c>
      <c r="BX29" s="352" t="str">
        <f>IF(CM$3=0,"N.D.",BW29/CM$3)</f>
        <v>N.D.</v>
      </c>
      <c r="BY29" s="351">
        <f t="shared" ref="BY29:BY30" si="90">BM29+BO29+BQ29+BS29+BU29+BW29</f>
        <v>0</v>
      </c>
      <c r="BZ29" s="352" t="str">
        <f>IF(CO$3=0,"N.D.",BY29/CO$3)</f>
        <v>N.D.</v>
      </c>
    </row>
    <row r="30" spans="1:78" x14ac:dyDescent="0.35">
      <c r="B30" s="7" t="s">
        <v>5</v>
      </c>
      <c r="C30" s="8"/>
      <c r="D30" s="310"/>
      <c r="E30" s="42"/>
      <c r="F30" s="8">
        <f>TablasERxDiv!AA5-BO3</f>
        <v>53292.74775000001</v>
      </c>
      <c r="G30" s="310">
        <f>IFERROR(F30/BO3,0)</f>
        <v>0</v>
      </c>
      <c r="H30" s="42"/>
      <c r="I30" s="204">
        <f>TablasER!G4-BQ3</f>
        <v>31876.853956343999</v>
      </c>
      <c r="J30" s="310">
        <f>IFERROR(I30/BQ3,0)</f>
        <v>0</v>
      </c>
      <c r="K30" s="42"/>
      <c r="L30" s="204">
        <f>TablasER!I4-BS3</f>
        <v>2085.1315764479996</v>
      </c>
      <c r="M30" s="310">
        <f>IFERROR(L30/BT3,0)</f>
        <v>0</v>
      </c>
      <c r="N30" s="42"/>
      <c r="O30" s="204">
        <f>TablasERxDiv!AT5-BU3</f>
        <v>172515.28391500001</v>
      </c>
      <c r="P30" s="310">
        <f>IFERROR(O30/BU3,0)</f>
        <v>0</v>
      </c>
      <c r="Q30" s="42"/>
      <c r="R30" s="204">
        <f>TablasERxDiv!BC5-BW3</f>
        <v>7406.9097600000005</v>
      </c>
      <c r="S30" s="310">
        <f>IFERROR(R30/BW3,0)</f>
        <v>0</v>
      </c>
      <c r="T30" s="42"/>
      <c r="U30" s="204">
        <f>C30+F30+I30+L30+O30+R30</f>
        <v>267176.92695779202</v>
      </c>
      <c r="V30" s="29">
        <f>IFERROR(U30/BY3,0)</f>
        <v>0</v>
      </c>
      <c r="AQ30" s="4" t="s">
        <v>7</v>
      </c>
      <c r="AR30" s="14"/>
      <c r="AS30" s="8">
        <f>(BDER_sig!C6+BDER_sig!C28+BDER_sig!C50+BDER_sig!C72+BDER_sig!C94+BDER_sig!C116)/1000</f>
        <v>26726.057960000002</v>
      </c>
      <c r="AT30" s="8">
        <f>(BDER_sig!C469+BDER_sig!C492+BDER_sig!C559+BDER_sig!C604)/1000</f>
        <v>970.75098000000003</v>
      </c>
      <c r="AU30" s="8">
        <f>(BDER_sig!C514+BDER_sig!C536+BDER_sig!C581+BDER_sig!C626+BDER_sig!C648)/1000</f>
        <v>123.13364999999999</v>
      </c>
      <c r="AV30" s="8">
        <f>(BDER_sig!C292+BDER_sig!C314+BDER_sig!C336+BDER_sig!C358)/1000</f>
        <v>32162.796010000002</v>
      </c>
      <c r="AW30" s="8">
        <f>(BDER_sig!C424+BDER_sig!C446)/1000</f>
        <v>2094.2655100000002</v>
      </c>
      <c r="AX30" s="14">
        <f>SUM(AR30:AW30)</f>
        <v>62077.004110000002</v>
      </c>
      <c r="BL30" s="344" t="s">
        <v>7</v>
      </c>
      <c r="BM30" s="354"/>
      <c r="BN30" s="355" t="str">
        <f>IF(CC$3=0,"N.D.",BM30/CC$3)</f>
        <v>N.D.</v>
      </c>
      <c r="BO30" s="354">
        <f>BO28-BO29</f>
        <v>0</v>
      </c>
      <c r="BP30" s="355" t="str">
        <f>IF(CE$3=0,"N.D.",BO30/CE$3)</f>
        <v>N.D.</v>
      </c>
      <c r="BQ30" s="354">
        <f>BQ28-BQ29</f>
        <v>0</v>
      </c>
      <c r="BR30" s="355" t="str">
        <f>IF(CG$3=0,"N.D.",BQ30/CG$3)</f>
        <v>N.D.</v>
      </c>
      <c r="BS30" s="354">
        <f>BS28-BS29</f>
        <v>0</v>
      </c>
      <c r="BT30" s="355" t="str">
        <f>IF(CI$3=0,"N.D.",BS30/CI$3)</f>
        <v>N.D.</v>
      </c>
      <c r="BU30" s="354">
        <f>BU28-BU29</f>
        <v>0</v>
      </c>
      <c r="BV30" s="355" t="str">
        <f>IF(CK$3=0,"N.D.",BU30/CK$3)</f>
        <v>N.D.</v>
      </c>
      <c r="BW30" s="354">
        <f>BW28-BW29</f>
        <v>0</v>
      </c>
      <c r="BX30" s="355" t="str">
        <f>IF(CM$3=0,"N.D.",BW30/CM$3)</f>
        <v>N.D.</v>
      </c>
      <c r="BY30" s="354">
        <f t="shared" si="90"/>
        <v>0</v>
      </c>
      <c r="BZ30" s="355" t="str">
        <f>IF(CO$3=0,"N.D.",BY30/CO$3)</f>
        <v>N.D.</v>
      </c>
    </row>
    <row r="31" spans="1:78" x14ac:dyDescent="0.35">
      <c r="B31" s="7" t="s">
        <v>6</v>
      </c>
      <c r="C31" s="11"/>
      <c r="D31" s="44"/>
      <c r="E31" s="42"/>
      <c r="F31" s="11">
        <f>TablasERxDiv!AA6-BO4</f>
        <v>27361.201470000004</v>
      </c>
      <c r="G31" s="44">
        <f t="shared" ref="G31:G50" si="91">IFERROR(F31/BO4,0)</f>
        <v>0</v>
      </c>
      <c r="H31" s="42"/>
      <c r="I31" s="206">
        <f>TablasER!G5-BQ4</f>
        <v>9568.0909688399988</v>
      </c>
      <c r="J31" s="44">
        <f t="shared" ref="J31:J51" si="92">IFERROR(I31/BQ4,0)</f>
        <v>0</v>
      </c>
      <c r="K31" s="42"/>
      <c r="L31" s="206">
        <f>TablasER!I5-BS4</f>
        <v>0</v>
      </c>
      <c r="M31" s="44">
        <f t="shared" ref="M31:M51" si="93">IFERROR(L31/BT4,0)</f>
        <v>0</v>
      </c>
      <c r="N31" s="42"/>
      <c r="O31" s="206">
        <f>TablasERxDiv!AT6-BU4</f>
        <v>131951.14121999999</v>
      </c>
      <c r="P31" s="44">
        <f t="shared" ref="P31:P51" si="94">IFERROR(O31/BU4,0)</f>
        <v>0</v>
      </c>
      <c r="Q31" s="42"/>
      <c r="R31" s="206">
        <f>TablasERxDiv!BC6-BW4</f>
        <v>3876.13193</v>
      </c>
      <c r="S31" s="44">
        <f t="shared" ref="S31:S51" si="95">IFERROR(R31/BW4,0)</f>
        <v>0</v>
      </c>
      <c r="T31" s="42"/>
      <c r="U31" s="206">
        <f t="shared" ref="U31:U32" si="96">C31+F31+I31+L31+O31+R31</f>
        <v>172756.56558883999</v>
      </c>
      <c r="V31" s="42">
        <f t="shared" ref="V31:V51" si="97">IFERROR(U31/BY4,0)</f>
        <v>0</v>
      </c>
      <c r="AQ31" s="1"/>
      <c r="AX31" s="30"/>
      <c r="BL31" s="347"/>
      <c r="BM31" s="357"/>
      <c r="BN31" s="358"/>
      <c r="BO31" s="357"/>
      <c r="BP31" s="358"/>
      <c r="BQ31" s="357"/>
      <c r="BR31" s="358"/>
      <c r="BS31" s="357"/>
      <c r="BT31" s="358"/>
      <c r="BU31" s="357"/>
      <c r="BV31" s="358"/>
      <c r="BW31" s="357"/>
      <c r="BX31" s="358"/>
      <c r="BY31" s="357"/>
      <c r="BZ31" s="358"/>
    </row>
    <row r="32" spans="1:78" x14ac:dyDescent="0.35">
      <c r="B32" s="4" t="s">
        <v>7</v>
      </c>
      <c r="C32" s="14"/>
      <c r="D32" s="311"/>
      <c r="E32" s="316"/>
      <c r="F32" s="14">
        <f>TablasERxDiv!AA7-BO5</f>
        <v>25931.546280000006</v>
      </c>
      <c r="G32" s="311">
        <f t="shared" si="91"/>
        <v>0</v>
      </c>
      <c r="H32" s="316"/>
      <c r="I32" s="214">
        <f>TablasER!G6-BQ5</f>
        <v>22308.762987504</v>
      </c>
      <c r="J32" s="311">
        <f t="shared" si="92"/>
        <v>0</v>
      </c>
      <c r="K32" s="316"/>
      <c r="L32" s="214">
        <f>TablasER!I6-BS5</f>
        <v>2085.1315764479996</v>
      </c>
      <c r="M32" s="311">
        <f t="shared" si="93"/>
        <v>0</v>
      </c>
      <c r="N32" s="316"/>
      <c r="O32" s="214">
        <f>TablasERxDiv!AT7-BU5</f>
        <v>40564.142695000017</v>
      </c>
      <c r="P32" s="311">
        <f t="shared" si="94"/>
        <v>0</v>
      </c>
      <c r="Q32" s="316"/>
      <c r="R32" s="214">
        <f>TablasERxDiv!BC7-BW5</f>
        <v>3530.7778300000004</v>
      </c>
      <c r="S32" s="311">
        <f t="shared" si="95"/>
        <v>0</v>
      </c>
      <c r="T32" s="316"/>
      <c r="U32" s="214">
        <f t="shared" si="96"/>
        <v>94420.361368952028</v>
      </c>
      <c r="V32" s="43">
        <f t="shared" si="97"/>
        <v>0</v>
      </c>
      <c r="AQ32" s="7" t="s">
        <v>8</v>
      </c>
      <c r="AR32" s="203"/>
      <c r="AS32" s="8">
        <f>(BDER_sig!C7+BDER_sig!C29+BDER_sig!C51+BDER_sig!C73+BDER_sig!C95+BDER_sig!C117)/1000</f>
        <v>13623.67952</v>
      </c>
      <c r="AT32" s="8">
        <f>(BDER_sig!C470+BDER_sig!C493+BDER_sig!C560+BDER_sig!C605)/1000</f>
        <v>897.90667999999994</v>
      </c>
      <c r="AU32" s="8">
        <f>(BDER_sig!C515+BDER_sig!C537+BDER_sig!C582+BDER_sig!C627+BDER_sig!C649)/1000</f>
        <v>28.15061</v>
      </c>
      <c r="AV32" s="8">
        <f>(BDER_sig!C293+BDER_sig!C315+BDER_sig!C337+BDER_sig!C359)/1000</f>
        <v>18576.088520000001</v>
      </c>
      <c r="AW32" s="8">
        <f>(BDER_sig!C425+BDER_sig!C447)/1000</f>
        <v>184.90102999999999</v>
      </c>
      <c r="AX32" s="8">
        <f>SUM(AR32:AW32)</f>
        <v>33310.726360000001</v>
      </c>
      <c r="BL32" s="347" t="s">
        <v>8</v>
      </c>
      <c r="BM32" s="348"/>
      <c r="BN32" s="349" t="str">
        <f>IF(CC$3=0,"N.D.",BM32/CC$3)</f>
        <v>N.D.</v>
      </c>
      <c r="BO32" s="348">
        <f>proyeccion!B20</f>
        <v>0</v>
      </c>
      <c r="BP32" s="349" t="str">
        <f>IF(CE$3=0,"N.D.",BO32/CE$3)</f>
        <v>N.D.</v>
      </c>
      <c r="BQ32" s="348">
        <f>proyeccion!G20</f>
        <v>0</v>
      </c>
      <c r="BR32" s="349" t="str">
        <f>IF(CG$3=0,"N.D.",BQ32/CG$3)</f>
        <v>N.D.</v>
      </c>
      <c r="BS32" s="348">
        <f>proyeccion!H20</f>
        <v>0</v>
      </c>
      <c r="BT32" s="349" t="str">
        <f>IF(CI$3=0,"N.D.",BS32/CI$3)</f>
        <v>N.D.</v>
      </c>
      <c r="BU32" s="348">
        <f>proyeccion!E20</f>
        <v>0</v>
      </c>
      <c r="BV32" s="349" t="str">
        <f>IF(CK$3=0,"N.D.",BU32/CK$3)</f>
        <v>N.D.</v>
      </c>
      <c r="BW32" s="348">
        <f>proyeccion!F20</f>
        <v>0</v>
      </c>
      <c r="BX32" s="349" t="str">
        <f>IF(CM$3=0,"N.D.",BW32/CM$3)</f>
        <v>N.D.</v>
      </c>
      <c r="BY32" s="348">
        <f>BM32+BO32+BQ32+BS32+BU32+BW32</f>
        <v>0</v>
      </c>
      <c r="BZ32" s="349" t="str">
        <f>IF(CO$3=0,"N.D.",BY32/CO$3)</f>
        <v>N.D.</v>
      </c>
    </row>
    <row r="33" spans="1:78" x14ac:dyDescent="0.35">
      <c r="A33" s="307"/>
      <c r="B33" s="1"/>
      <c r="C33" s="30"/>
      <c r="D33" s="44"/>
      <c r="E33" s="44"/>
      <c r="F33" s="30"/>
      <c r="G33" s="44"/>
      <c r="H33" s="44"/>
      <c r="I33" s="30"/>
      <c r="J33" s="44"/>
      <c r="K33" s="44"/>
      <c r="L33" s="30"/>
      <c r="M33" s="44"/>
      <c r="N33" s="44"/>
      <c r="O33" s="30"/>
      <c r="P33" s="44"/>
      <c r="Q33" s="44"/>
      <c r="R33" s="30"/>
      <c r="S33" s="44"/>
      <c r="T33" s="44"/>
      <c r="U33" s="30"/>
      <c r="V33" s="44"/>
      <c r="AQ33" s="7" t="s">
        <v>9</v>
      </c>
      <c r="AR33" s="8"/>
      <c r="AS33" s="8">
        <f>(BDER_sig!C8+BDER_sig!C30+BDER_sig!C52+BDER_sig!C74+BDER_sig!C96+BDER_sig!C118)/1000</f>
        <v>8620.3157700000011</v>
      </c>
      <c r="AT33" s="8">
        <f>(BDER_sig!C471+BDER_sig!C494+BDER_sig!C561+BDER_sig!C606)/1000</f>
        <v>48.727239999999995</v>
      </c>
      <c r="AU33" s="8">
        <f>(BDER_sig!C516+BDER_sig!C538+BDER_sig!C583+BDER_sig!C628+BDER_sig!C650)/1000</f>
        <v>2.3350000000000003E-2</v>
      </c>
      <c r="AV33" s="8">
        <f>(BDER_sig!C294+BDER_sig!C316+BDER_sig!C338+BDER_sig!C360)/1000</f>
        <v>5266.6432300000006</v>
      </c>
      <c r="AW33" s="8">
        <f>(BDER_sig!C426+BDER_sig!C448)/1000</f>
        <v>526.98140999999987</v>
      </c>
      <c r="AX33" s="11">
        <f t="shared" ref="AX33:AX36" si="98">SUM(AR33:AW33)</f>
        <v>14462.691000000003</v>
      </c>
      <c r="BL33" s="347" t="s">
        <v>9</v>
      </c>
      <c r="BM33" s="351"/>
      <c r="BN33" s="352" t="str">
        <f>IF(CC$3=0,"N.D.",BM33/CC$3)</f>
        <v>N.D.</v>
      </c>
      <c r="BO33" s="351">
        <f>proyeccion!B21</f>
        <v>0</v>
      </c>
      <c r="BP33" s="352" t="str">
        <f>IF(CE$3=0,"N.D.",BO33/CE$3)</f>
        <v>N.D.</v>
      </c>
      <c r="BQ33" s="351">
        <f>proyeccion!G21</f>
        <v>0</v>
      </c>
      <c r="BR33" s="352" t="str">
        <f>IF(CG$3=0,"N.D.",BQ33/CG$3)</f>
        <v>N.D.</v>
      </c>
      <c r="BS33" s="351">
        <f>proyeccion!H21</f>
        <v>0</v>
      </c>
      <c r="BT33" s="352" t="str">
        <f>IF(CI$3=0,"N.D.",BS33/CI$3)</f>
        <v>N.D.</v>
      </c>
      <c r="BU33" s="351">
        <f>proyeccion!E21</f>
        <v>0</v>
      </c>
      <c r="BV33" s="352" t="str">
        <f>IF(CK$3=0,"N.D.",BU33/CK$3)</f>
        <v>N.D.</v>
      </c>
      <c r="BW33" s="351">
        <f>proyeccion!F21</f>
        <v>0</v>
      </c>
      <c r="BX33" s="352" t="str">
        <f>IF(CM$3=0,"N.D.",BW33/CM$3)</f>
        <v>N.D.</v>
      </c>
      <c r="BY33" s="351">
        <f>BM33+BO33+BQ33+BS33+BU33+BW33</f>
        <v>0</v>
      </c>
      <c r="BZ33" s="352" t="str">
        <f>IF(CO$3=0,"N.D.",BY33/CO$3)</f>
        <v>N.D.</v>
      </c>
    </row>
    <row r="34" spans="1:78" x14ac:dyDescent="0.35">
      <c r="B34" s="7" t="s">
        <v>8</v>
      </c>
      <c r="C34" s="8"/>
      <c r="D34" s="310"/>
      <c r="E34" s="42"/>
      <c r="F34" s="8">
        <f>TablasERxDiv!AA9-BO7</f>
        <v>12855.633999999998</v>
      </c>
      <c r="G34" s="310">
        <f t="shared" si="91"/>
        <v>0</v>
      </c>
      <c r="H34" s="42"/>
      <c r="I34" s="204">
        <f>TablasER!G8-BQ7</f>
        <v>19435.020953256</v>
      </c>
      <c r="J34" s="310">
        <f t="shared" si="92"/>
        <v>0</v>
      </c>
      <c r="K34" s="42"/>
      <c r="L34" s="204">
        <f>TablasER!I8-BS7</f>
        <v>437.31276048000001</v>
      </c>
      <c r="M34" s="310">
        <f t="shared" si="93"/>
        <v>0</v>
      </c>
      <c r="N34" s="42"/>
      <c r="O34" s="204">
        <f>TablasERxDiv!AT9-BU7</f>
        <v>21332.510435</v>
      </c>
      <c r="P34" s="310">
        <f t="shared" si="94"/>
        <v>0</v>
      </c>
      <c r="Q34" s="42"/>
      <c r="R34" s="204">
        <f>TablasERxDiv!BC9-BW7</f>
        <v>48.372</v>
      </c>
      <c r="S34" s="310">
        <f t="shared" si="95"/>
        <v>0</v>
      </c>
      <c r="T34" s="42"/>
      <c r="U34" s="204">
        <f t="shared" ref="U34:U38" si="99">C34+F34+I34+L34+O34+R34</f>
        <v>54108.850148736004</v>
      </c>
      <c r="V34" s="29">
        <f t="shared" si="97"/>
        <v>0</v>
      </c>
      <c r="AQ34" s="7" t="s">
        <v>10</v>
      </c>
      <c r="AR34" s="8"/>
      <c r="AS34" s="8">
        <f>(BDER_sig!C9+BDER_sig!C31+BDER_sig!C53+BDER_sig!C75+BDER_sig!C97+BDER_sig!C119)/1000</f>
        <v>873.32460999999989</v>
      </c>
      <c r="AT34" s="8">
        <f>(BDER_sig!C472+BDER_sig!C495+BDER_sig!C562+BDER_sig!C607)/1000</f>
        <v>15.527719999999999</v>
      </c>
      <c r="AU34" s="8">
        <f>(BDER_sig!C517+BDER_sig!C539+BDER_sig!C584+BDER_sig!C629+BDER_sig!C651)/1000</f>
        <v>21.002410000000001</v>
      </c>
      <c r="AV34" s="8">
        <f>(BDER_sig!C295+BDER_sig!C317+BDER_sig!C339+BDER_sig!C361)/1000</f>
        <v>1893.9402899999998</v>
      </c>
      <c r="AW34" s="8">
        <f>(BDER_sig!C427+BDER_sig!C449)/1000</f>
        <v>31.05358</v>
      </c>
      <c r="AX34" s="11">
        <f t="shared" si="98"/>
        <v>2834.8486099999996</v>
      </c>
      <c r="BL34" s="347" t="s">
        <v>10</v>
      </c>
      <c r="BM34" s="351"/>
      <c r="BN34" s="352" t="str">
        <f>IF(CC$3=0,"N.D.",BM34/CC$3)</f>
        <v>N.D.</v>
      </c>
      <c r="BO34" s="351">
        <f>proyeccion!B22</f>
        <v>0</v>
      </c>
      <c r="BP34" s="352" t="str">
        <f>IF(CE$3=0,"N.D.",BO34/CE$3)</f>
        <v>N.D.</v>
      </c>
      <c r="BQ34" s="351">
        <f>proyeccion!G22</f>
        <v>0</v>
      </c>
      <c r="BR34" s="352" t="str">
        <f>IF(CG$3=0,"N.D.",BQ34/CG$3)</f>
        <v>N.D.</v>
      </c>
      <c r="BS34" s="351">
        <f>proyeccion!H22</f>
        <v>0</v>
      </c>
      <c r="BT34" s="352" t="str">
        <f>IF(CI$3=0,"N.D.",BS34/CI$3)</f>
        <v>N.D.</v>
      </c>
      <c r="BU34" s="351">
        <f>proyeccion!E22</f>
        <v>0</v>
      </c>
      <c r="BV34" s="352" t="str">
        <f>IF(CK$3=0,"N.D.",BU34/CK$3)</f>
        <v>N.D.</v>
      </c>
      <c r="BW34" s="351">
        <f>proyeccion!F22</f>
        <v>0</v>
      </c>
      <c r="BX34" s="352" t="str">
        <f>IF(CM$3=0,"N.D.",BW34/CM$3)</f>
        <v>N.D.</v>
      </c>
      <c r="BY34" s="351">
        <f>BM34+BO34+BQ34+BS34+BU34+BW34</f>
        <v>0</v>
      </c>
      <c r="BZ34" s="352" t="str">
        <f>IF(CO$3=0,"N.D.",BY34/CO$3)</f>
        <v>N.D.</v>
      </c>
    </row>
    <row r="35" spans="1:78" x14ac:dyDescent="0.35">
      <c r="B35" s="7" t="s">
        <v>9</v>
      </c>
      <c r="C35" s="11"/>
      <c r="D35" s="44"/>
      <c r="E35" s="42"/>
      <c r="F35" s="11">
        <f>TablasERxDiv!AA10-BO8</f>
        <v>5805.3822199999995</v>
      </c>
      <c r="G35" s="44">
        <f t="shared" si="91"/>
        <v>0</v>
      </c>
      <c r="H35" s="42"/>
      <c r="I35" s="206">
        <f>TablasER!G9+TablasER!G14+TablasER!G15-BQ8</f>
        <v>695.30172501599998</v>
      </c>
      <c r="J35" s="44">
        <f t="shared" si="92"/>
        <v>0</v>
      </c>
      <c r="K35" s="42"/>
      <c r="L35" s="206">
        <f>TablasER!I9+TablasER!I14+TablasER!I15-BS8</f>
        <v>0.473058072</v>
      </c>
      <c r="M35" s="44">
        <f t="shared" si="93"/>
        <v>0</v>
      </c>
      <c r="N35" s="42"/>
      <c r="O35" s="206">
        <f>TablasERxDiv!AT10-BU8</f>
        <v>7847.31909</v>
      </c>
      <c r="P35" s="44">
        <f t="shared" si="94"/>
        <v>0</v>
      </c>
      <c r="Q35" s="42"/>
      <c r="R35" s="206">
        <f>TablasERxDiv!BC10-BW8</f>
        <v>581.48009999999999</v>
      </c>
      <c r="S35" s="44">
        <f t="shared" si="95"/>
        <v>0</v>
      </c>
      <c r="T35" s="42"/>
      <c r="U35" s="206">
        <f t="shared" si="99"/>
        <v>14929.956193088001</v>
      </c>
      <c r="V35" s="42">
        <f t="shared" si="97"/>
        <v>0</v>
      </c>
      <c r="AQ35" s="4" t="s">
        <v>11</v>
      </c>
      <c r="AR35" s="14"/>
      <c r="AS35" s="8">
        <f>(BDER_sig!C10+BDER_sig!C32+BDER_sig!C54+BDER_sig!C76+BDER_sig!C98+BDER_sig!C120)/1000</f>
        <v>23117.319899999995</v>
      </c>
      <c r="AT35" s="8">
        <f>(BDER_sig!C473+BDER_sig!C496+BDER_sig!C563+BDER_sig!C608)/1000</f>
        <v>962.16164000000003</v>
      </c>
      <c r="AU35" s="8">
        <f>(BDER_sig!C518+BDER_sig!C540+BDER_sig!C585+BDER_sig!C630+BDER_sig!C652)/1000</f>
        <v>49.176370000000006</v>
      </c>
      <c r="AV35" s="8">
        <f>(BDER_sig!C296+BDER_sig!C318+BDER_sig!C340+BDER_sig!C362)/1000</f>
        <v>25736.672039999998</v>
      </c>
      <c r="AW35" s="8">
        <f>(BDER_sig!C428+BDER_sig!C450)/1000</f>
        <v>742.93601999999998</v>
      </c>
      <c r="AX35" s="14">
        <f t="shared" si="98"/>
        <v>50608.265969999993</v>
      </c>
      <c r="BL35" s="344" t="s">
        <v>11</v>
      </c>
      <c r="BM35" s="354"/>
      <c r="BN35" s="355" t="str">
        <f>IF(CC$3=0,"N.D.",BM35/CC$3)</f>
        <v>N.D.</v>
      </c>
      <c r="BO35" s="354">
        <f>BO32+BO33+BO34</f>
        <v>0</v>
      </c>
      <c r="BP35" s="355" t="str">
        <f>IF(CE$3=0,"N.D.",BO35/CE$3)</f>
        <v>N.D.</v>
      </c>
      <c r="BQ35" s="354">
        <f>BQ32+BQ33+BQ34</f>
        <v>0</v>
      </c>
      <c r="BR35" s="355" t="str">
        <f>IF(CG$3=0,"N.D.",BQ35/CG$3)</f>
        <v>N.D.</v>
      </c>
      <c r="BS35" s="354">
        <f>BS32+BS33+BS34</f>
        <v>0</v>
      </c>
      <c r="BT35" s="355" t="str">
        <f>IF(CI$3=0,"N.D.",BS35/CI$3)</f>
        <v>N.D.</v>
      </c>
      <c r="BU35" s="354">
        <f>BU32+BU33+BU34</f>
        <v>0</v>
      </c>
      <c r="BV35" s="355" t="str">
        <f>IF(CK$3=0,"N.D.",BU35/CK$3)</f>
        <v>N.D.</v>
      </c>
      <c r="BW35" s="354">
        <f>BW32+BW33+BW34</f>
        <v>0</v>
      </c>
      <c r="BX35" s="355" t="str">
        <f>IF(CM$3=0,"N.D.",BW35/CM$3)</f>
        <v>N.D.</v>
      </c>
      <c r="BY35" s="354">
        <f>BM35+BO35+BQ35+BS35+BU35+BW35</f>
        <v>0</v>
      </c>
      <c r="BZ35" s="355" t="str">
        <f>IF(CO$3=0,"N.D.",BY35/CO$3)</f>
        <v>N.D.</v>
      </c>
    </row>
    <row r="36" spans="1:78" x14ac:dyDescent="0.35">
      <c r="B36" s="7" t="s">
        <v>10</v>
      </c>
      <c r="C36" s="34"/>
      <c r="D36" s="44"/>
      <c r="E36" s="42"/>
      <c r="F36" s="34">
        <f>TablasERxDiv!AA11-BO9</f>
        <v>910.51363000000003</v>
      </c>
      <c r="G36" s="44">
        <f t="shared" si="91"/>
        <v>0</v>
      </c>
      <c r="H36" s="42"/>
      <c r="I36" s="207">
        <f>TablasER!G10-BQ9</f>
        <v>376.41770791200003</v>
      </c>
      <c r="J36" s="44">
        <f t="shared" si="92"/>
        <v>0</v>
      </c>
      <c r="K36" s="42"/>
      <c r="L36" s="207">
        <f>TablasER!I10-BS9</f>
        <v>609.25854938399993</v>
      </c>
      <c r="M36" s="44">
        <f t="shared" si="93"/>
        <v>0</v>
      </c>
      <c r="N36" s="42"/>
      <c r="O36" s="207">
        <f>TablasERxDiv!AT11-BU9</f>
        <v>1941.8039600000002</v>
      </c>
      <c r="P36" s="44">
        <f t="shared" si="94"/>
        <v>0</v>
      </c>
      <c r="Q36" s="42"/>
      <c r="R36" s="207">
        <f>TablasERxDiv!BC11-BW9</f>
        <v>31.925409999999999</v>
      </c>
      <c r="S36" s="44">
        <f t="shared" si="95"/>
        <v>0</v>
      </c>
      <c r="T36" s="42"/>
      <c r="U36" s="207">
        <f t="shared" si="99"/>
        <v>3869.9192572960001</v>
      </c>
      <c r="V36" s="42">
        <f t="shared" si="97"/>
        <v>0</v>
      </c>
      <c r="AQ36" s="4" t="s">
        <v>12</v>
      </c>
      <c r="AR36" s="20"/>
      <c r="AS36" s="8">
        <f>(BDER_sig!C11+BDER_sig!C33+BDER_sig!C55+BDER_sig!C77+BDER_sig!C99+BDER_sig!C121)/1000</f>
        <v>3608.7380599999997</v>
      </c>
      <c r="AT36" s="8">
        <f>(BDER_sig!C474+BDER_sig!C497+BDER_sig!C564+BDER_sig!C609)/1000</f>
        <v>8.5893399999999982</v>
      </c>
      <c r="AU36" s="8">
        <f>(BDER_sig!C519+BDER_sig!C541+BDER_sig!C586+BDER_sig!C631+BDER_sig!C653)/1000</f>
        <v>73.957279999999997</v>
      </c>
      <c r="AV36" s="8">
        <f>(BDER_sig!C297+BDER_sig!C319+BDER_sig!C341+BDER_sig!C363)/1000</f>
        <v>6426.1239700000006</v>
      </c>
      <c r="AW36" s="8">
        <f>(BDER_sig!C429+BDER_sig!C451)/1000</f>
        <v>1351.3294900000001</v>
      </c>
      <c r="AX36" s="20">
        <f t="shared" si="98"/>
        <v>11468.738140000001</v>
      </c>
      <c r="BL36" s="344" t="s">
        <v>12</v>
      </c>
      <c r="BM36" s="354"/>
      <c r="BN36" s="355" t="str">
        <f>IF(CC$3=0,"N.D.",BM36/CC$3)</f>
        <v>N.D.</v>
      </c>
      <c r="BO36" s="354">
        <f>BO30-BO35</f>
        <v>0</v>
      </c>
      <c r="BP36" s="355" t="str">
        <f>IF(CE$3=0,"N.D.",BO36/CE$3)</f>
        <v>N.D.</v>
      </c>
      <c r="BQ36" s="354">
        <f>BQ30-BQ35</f>
        <v>0</v>
      </c>
      <c r="BR36" s="355" t="str">
        <f>IF(CG$3=0,"N.D.",BQ36/CG$3)</f>
        <v>N.D.</v>
      </c>
      <c r="BS36" s="354">
        <f>BS30-BS35</f>
        <v>0</v>
      </c>
      <c r="BT36" s="355" t="str">
        <f>IF(CI$3=0,"N.D.",BS36/CI$3)</f>
        <v>N.D.</v>
      </c>
      <c r="BU36" s="354">
        <f>BU30-BU35</f>
        <v>0</v>
      </c>
      <c r="BV36" s="355" t="str">
        <f>IF(CK$3=0,"N.D.",BU36/CK$3)</f>
        <v>N.D.</v>
      </c>
      <c r="BW36" s="354">
        <f>BW30-BW35</f>
        <v>0</v>
      </c>
      <c r="BX36" s="355" t="str">
        <f>IF(CM$3=0,"N.D.",BW36/CM$3)</f>
        <v>N.D.</v>
      </c>
      <c r="BY36" s="354">
        <f>BM36+BO36+BQ36+BS36+BU36+BW36</f>
        <v>0</v>
      </c>
      <c r="BZ36" s="355" t="str">
        <f>IF(CO$3=0,"N.D.",BY36/CO$3)</f>
        <v>N.D.</v>
      </c>
    </row>
    <row r="37" spans="1:78" x14ac:dyDescent="0.35">
      <c r="B37" s="4" t="s">
        <v>11</v>
      </c>
      <c r="C37" s="214"/>
      <c r="D37" s="312"/>
      <c r="E37" s="316"/>
      <c r="F37" s="14">
        <f>F34+F35+F36</f>
        <v>19571.529849999999</v>
      </c>
      <c r="G37" s="312">
        <f t="shared" si="91"/>
        <v>0</v>
      </c>
      <c r="H37" s="316"/>
      <c r="I37" s="214">
        <f>I34+I35+I36</f>
        <v>20506.740386184003</v>
      </c>
      <c r="J37" s="312">
        <f t="shared" si="92"/>
        <v>0</v>
      </c>
      <c r="K37" s="316"/>
      <c r="L37" s="214">
        <f>L34+L35+L36</f>
        <v>1047.0443679360001</v>
      </c>
      <c r="M37" s="312">
        <f t="shared" si="93"/>
        <v>0</v>
      </c>
      <c r="N37" s="316"/>
      <c r="O37" s="214">
        <f>TablasERxDiv!AT12-BU10</f>
        <v>31121.633485000002</v>
      </c>
      <c r="P37" s="312">
        <f t="shared" si="94"/>
        <v>0</v>
      </c>
      <c r="Q37" s="316"/>
      <c r="R37" s="214">
        <f>R34+R35+R36</f>
        <v>661.77750999999989</v>
      </c>
      <c r="S37" s="312">
        <f t="shared" si="95"/>
        <v>0</v>
      </c>
      <c r="T37" s="316"/>
      <c r="U37" s="214">
        <f t="shared" si="99"/>
        <v>72908.725599120007</v>
      </c>
      <c r="V37" s="306">
        <f t="shared" si="97"/>
        <v>0</v>
      </c>
      <c r="AQ37" s="1"/>
      <c r="AX37" s="30"/>
      <c r="BL37" s="347"/>
      <c r="BM37" s="357"/>
      <c r="BN37" s="358"/>
      <c r="BO37" s="357"/>
      <c r="BP37" s="358"/>
      <c r="BQ37" s="357"/>
      <c r="BR37" s="358"/>
      <c r="BS37" s="357"/>
      <c r="BT37" s="358"/>
      <c r="BU37" s="357"/>
      <c r="BV37" s="358"/>
      <c r="BW37" s="357"/>
      <c r="BX37" s="358"/>
      <c r="BY37" s="357"/>
      <c r="BZ37" s="358"/>
    </row>
    <row r="38" spans="1:78" x14ac:dyDescent="0.35">
      <c r="B38" s="4" t="s">
        <v>12</v>
      </c>
      <c r="C38" s="14"/>
      <c r="D38" s="311"/>
      <c r="E38" s="316"/>
      <c r="F38" s="14">
        <f>TablasERxDiv!AA13-BO11</f>
        <v>6360.0164300000069</v>
      </c>
      <c r="G38" s="311">
        <f t="shared" si="91"/>
        <v>0</v>
      </c>
      <c r="H38" s="316"/>
      <c r="I38" s="214">
        <f>TablasER!$G$16-BQ11</f>
        <v>1802.0226013199972</v>
      </c>
      <c r="J38" s="311">
        <f t="shared" si="92"/>
        <v>0</v>
      </c>
      <c r="K38" s="316"/>
      <c r="L38" s="214">
        <f>TablasER!$I$16-BS11</f>
        <v>1038.0872085119995</v>
      </c>
      <c r="M38" s="311">
        <f t="shared" si="93"/>
        <v>0</v>
      </c>
      <c r="N38" s="316"/>
      <c r="O38" s="214">
        <f>TablasERxDiv!AT13-BU11</f>
        <v>9442.5092100000147</v>
      </c>
      <c r="P38" s="311">
        <f t="shared" si="94"/>
        <v>0</v>
      </c>
      <c r="Q38" s="316"/>
      <c r="R38" s="214">
        <f>TablasERxDiv!BC13-BW11</f>
        <v>2869.0003200000006</v>
      </c>
      <c r="S38" s="311">
        <f t="shared" si="95"/>
        <v>0</v>
      </c>
      <c r="T38" s="316"/>
      <c r="U38" s="214">
        <f t="shared" si="99"/>
        <v>21511.635769832017</v>
      </c>
      <c r="V38" s="43">
        <f t="shared" si="97"/>
        <v>0</v>
      </c>
      <c r="AQ38" s="7" t="s">
        <v>13</v>
      </c>
      <c r="AR38" s="34"/>
      <c r="AS38" s="8">
        <f>(BDER_sig!C12+BDER_sig!C34+BDER_sig!C56+BDER_sig!C78+BDER_sig!C100+BDER_sig!C122)/1000</f>
        <v>446.57601</v>
      </c>
      <c r="AT38" s="8">
        <f>(BDER_sig!C475+BDER_sig!C498+BDER_sig!C565+BDER_sig!C610)/1000</f>
        <v>0</v>
      </c>
      <c r="AU38" s="8">
        <f>(BDER_sig!C520+BDER_sig!C542+BDER_sig!C587+BDER_sig!C632+BDER_sig!C654)/1000</f>
        <v>0</v>
      </c>
      <c r="AV38" s="8">
        <f>(BDER_sig!C298+BDER_sig!C320+BDER_sig!C342+BDER_sig!C364)/1000</f>
        <v>-0.80379999999999996</v>
      </c>
      <c r="AW38" s="8">
        <f>(BDER_sig!C430+BDER_sig!C452)/1000</f>
        <v>118.97197</v>
      </c>
      <c r="AX38" s="8">
        <f>SUM(AR38:AW38)</f>
        <v>564.74417999999991</v>
      </c>
      <c r="BL38" s="347" t="s">
        <v>13</v>
      </c>
      <c r="BM38" s="348"/>
      <c r="BN38" s="349" t="str">
        <f t="shared" ref="BN38:BN44" si="100">IF(CC$3=0,"N.D.",BM38/CC$3)</f>
        <v>N.D.</v>
      </c>
      <c r="BO38" s="348">
        <f>proyeccion!B23</f>
        <v>0</v>
      </c>
      <c r="BP38" s="349" t="str">
        <f t="shared" ref="BP38:BP44" si="101">IF(CE$3=0,"N.D.",BO38/CE$3)</f>
        <v>N.D.</v>
      </c>
      <c r="BQ38" s="348">
        <f>proyeccion!G23</f>
        <v>0</v>
      </c>
      <c r="BR38" s="349" t="str">
        <f t="shared" ref="BR38:BR44" si="102">IF(CG$3=0,"N.D.",BQ38/CG$3)</f>
        <v>N.D.</v>
      </c>
      <c r="BS38" s="348">
        <f>proyeccion!H23</f>
        <v>0</v>
      </c>
      <c r="BT38" s="349" t="str">
        <f t="shared" ref="BT38:BT44" si="103">IF(CI$3=0,"N.D.",BS38/CI$3)</f>
        <v>N.D.</v>
      </c>
      <c r="BU38" s="348">
        <f>proyeccion!E23</f>
        <v>0</v>
      </c>
      <c r="BV38" s="349" t="str">
        <f t="shared" ref="BV38:BV44" si="104">IF(CK$3=0,"N.D.",BU38/CK$3)</f>
        <v>N.D.</v>
      </c>
      <c r="BW38" s="348">
        <f>proyeccion!F23</f>
        <v>0</v>
      </c>
      <c r="BX38" s="349" t="str">
        <f t="shared" ref="BX38:BX44" si="105">IF(CM$3=0,"N.D.",BW38/CM$3)</f>
        <v>N.D.</v>
      </c>
      <c r="BY38" s="348">
        <f>BM38+BO38+BQ38+BS38+BU38+BW38</f>
        <v>0</v>
      </c>
      <c r="BZ38" s="349" t="str">
        <f t="shared" ref="BZ38:BZ44" si="106">IF(CO$3=0,"N.D.",BY38/CO$3)</f>
        <v>N.D.</v>
      </c>
    </row>
    <row r="39" spans="1:78" x14ac:dyDescent="0.35">
      <c r="A39" s="307"/>
      <c r="B39" s="1"/>
      <c r="C39" s="30"/>
      <c r="D39" s="44"/>
      <c r="E39" s="44"/>
      <c r="F39" s="30"/>
      <c r="G39" s="44"/>
      <c r="H39" s="44"/>
      <c r="I39" s="30"/>
      <c r="J39" s="44"/>
      <c r="K39" s="44"/>
      <c r="L39" s="30"/>
      <c r="M39" s="44"/>
      <c r="N39" s="44"/>
      <c r="O39" s="30"/>
      <c r="P39" s="44"/>
      <c r="Q39" s="44"/>
      <c r="R39" s="30"/>
      <c r="S39" s="44"/>
      <c r="T39" s="44"/>
      <c r="U39" s="30"/>
      <c r="V39" s="44"/>
      <c r="AQ39" s="7" t="s">
        <v>14</v>
      </c>
      <c r="AR39" s="8"/>
      <c r="AS39" s="8">
        <f>(BDER_sig!C13+BDER_sig!C35+BDER_sig!C57+BDER_sig!C79+BDER_sig!C101+BDER_sig!C123)/1000</f>
        <v>-233.15266</v>
      </c>
      <c r="AT39" s="8">
        <f>(BDER_sig!C476+BDER_sig!C499+BDER_sig!C566+BDER_sig!C611)/1000</f>
        <v>-6.3935399999999998</v>
      </c>
      <c r="AU39" s="8">
        <f>(BDER_sig!C521+BDER_sig!C543+BDER_sig!C588+BDER_sig!C633+BDER_sig!C655)/1000</f>
        <v>0.1198</v>
      </c>
      <c r="AV39" s="8">
        <f>(BDER_sig!C299+BDER_sig!C321+BDER_sig!C343+BDER_sig!C365)/1000</f>
        <v>-4112.3764499999997</v>
      </c>
      <c r="AW39" s="8">
        <f>(BDER_sig!C431+BDER_sig!C453)/1000</f>
        <v>-18.501000000000001</v>
      </c>
      <c r="AX39" s="11">
        <f t="shared" ref="AX39:AX44" si="107">SUM(AR39:AW39)</f>
        <v>-4370.3038500000002</v>
      </c>
      <c r="BL39" s="347" t="s">
        <v>14</v>
      </c>
      <c r="BM39" s="351"/>
      <c r="BN39" s="352" t="str">
        <f t="shared" si="100"/>
        <v>N.D.</v>
      </c>
      <c r="BO39" s="351">
        <f>proyeccion!B24</f>
        <v>0</v>
      </c>
      <c r="BP39" s="352" t="str">
        <f t="shared" si="101"/>
        <v>N.D.</v>
      </c>
      <c r="BQ39" s="351">
        <f>proyeccion!G24</f>
        <v>0</v>
      </c>
      <c r="BR39" s="352" t="str">
        <f t="shared" si="102"/>
        <v>N.D.</v>
      </c>
      <c r="BS39" s="351">
        <f>proyeccion!H24</f>
        <v>0</v>
      </c>
      <c r="BT39" s="352" t="str">
        <f t="shared" si="103"/>
        <v>N.D.</v>
      </c>
      <c r="BU39" s="351">
        <f>proyeccion!E24</f>
        <v>0</v>
      </c>
      <c r="BV39" s="352" t="str">
        <f t="shared" si="104"/>
        <v>N.D.</v>
      </c>
      <c r="BW39" s="351">
        <f>proyeccion!F24</f>
        <v>0</v>
      </c>
      <c r="BX39" s="352" t="str">
        <f t="shared" si="105"/>
        <v>N.D.</v>
      </c>
      <c r="BY39" s="351">
        <f>BM39+BO39+BQ39+BS39+BU39+BW39</f>
        <v>0</v>
      </c>
      <c r="BZ39" s="352" t="str">
        <f t="shared" si="106"/>
        <v>N.D.</v>
      </c>
    </row>
    <row r="40" spans="1:78" x14ac:dyDescent="0.35">
      <c r="B40" s="7" t="s">
        <v>13</v>
      </c>
      <c r="C40" s="8"/>
      <c r="D40" s="313"/>
      <c r="E40" s="302"/>
      <c r="F40" s="8">
        <f>TablasERxDiv!AA15-BO13</f>
        <v>166.32413</v>
      </c>
      <c r="G40" s="313">
        <f t="shared" si="91"/>
        <v>0</v>
      </c>
      <c r="H40" s="302"/>
      <c r="I40" s="204">
        <f>TablasER!G18-BQ13</f>
        <v>0</v>
      </c>
      <c r="J40" s="313">
        <f t="shared" si="92"/>
        <v>0</v>
      </c>
      <c r="K40" s="302"/>
      <c r="L40" s="204">
        <f>TablasER!I18-BS13</f>
        <v>0</v>
      </c>
      <c r="M40" s="313">
        <f t="shared" si="93"/>
        <v>0</v>
      </c>
      <c r="N40" s="302"/>
      <c r="O40" s="204">
        <f>TablasERxDiv!AT15-BU13</f>
        <v>754.73523000000012</v>
      </c>
      <c r="P40" s="313">
        <f t="shared" si="94"/>
        <v>0</v>
      </c>
      <c r="Q40" s="302"/>
      <c r="R40" s="204">
        <f>TablasERxDiv!BC15-BW13</f>
        <v>17.21902</v>
      </c>
      <c r="S40" s="313">
        <f t="shared" si="95"/>
        <v>0</v>
      </c>
      <c r="T40" s="302"/>
      <c r="U40" s="204">
        <f t="shared" ref="U40:U44" si="108">C40+F40+I40+L40+O40+R40</f>
        <v>938.27838000000008</v>
      </c>
      <c r="V40" s="137">
        <f t="shared" si="97"/>
        <v>0</v>
      </c>
      <c r="AQ40" s="7" t="s">
        <v>15</v>
      </c>
      <c r="AR40" s="8"/>
      <c r="AS40" s="8">
        <f>(BDER_sig!C14+BDER_sig!C36+BDER_sig!C58+BDER_sig!C80+BDER_sig!C102+BDER_sig!C124)/1000</f>
        <v>465.50351000000001</v>
      </c>
      <c r="AT40" s="8">
        <f>(BDER_sig!C477+BDER_sig!C500+BDER_sig!C567+BDER_sig!C612)/1000</f>
        <v>3.6972499999999999</v>
      </c>
      <c r="AU40" s="8">
        <f>(BDER_sig!C522+BDER_sig!C544+BDER_sig!C589+BDER_sig!C634+BDER_sig!C656)/1000</f>
        <v>27.660550000000001</v>
      </c>
      <c r="AV40" s="8">
        <f>(BDER_sig!C300+BDER_sig!C322+BDER_sig!C344+BDER_sig!C366)/1000</f>
        <v>159.51160000000002</v>
      </c>
      <c r="AW40" s="8">
        <f>(BDER_sig!C432+BDER_sig!C454)/1000</f>
        <v>4.8662799999999997</v>
      </c>
      <c r="AX40" s="11">
        <f t="shared" si="107"/>
        <v>661.23919000000001</v>
      </c>
      <c r="BL40" s="347" t="s">
        <v>15</v>
      </c>
      <c r="BM40" s="351"/>
      <c r="BN40" s="352" t="str">
        <f t="shared" si="100"/>
        <v>N.D.</v>
      </c>
      <c r="BO40" s="351">
        <f>proyeccion!B25</f>
        <v>0</v>
      </c>
      <c r="BP40" s="352" t="str">
        <f t="shared" si="101"/>
        <v>N.D.</v>
      </c>
      <c r="BQ40" s="351">
        <f>proyeccion!G25</f>
        <v>0</v>
      </c>
      <c r="BR40" s="352" t="str">
        <f t="shared" si="102"/>
        <v>N.D.</v>
      </c>
      <c r="BS40" s="351">
        <f>proyeccion!H25</f>
        <v>0</v>
      </c>
      <c r="BT40" s="352" t="str">
        <f t="shared" si="103"/>
        <v>N.D.</v>
      </c>
      <c r="BU40" s="351">
        <f>proyeccion!E25</f>
        <v>0</v>
      </c>
      <c r="BV40" s="352" t="str">
        <f t="shared" si="104"/>
        <v>N.D.</v>
      </c>
      <c r="BW40" s="351">
        <f>proyeccion!F25</f>
        <v>0</v>
      </c>
      <c r="BX40" s="352" t="str">
        <f t="shared" si="105"/>
        <v>N.D.</v>
      </c>
      <c r="BY40" s="351">
        <f>BM40+BO40+BQ40+BS40+BU40+BW40</f>
        <v>0</v>
      </c>
      <c r="BZ40" s="352" t="str">
        <f t="shared" si="106"/>
        <v>N.D.</v>
      </c>
    </row>
    <row r="41" spans="1:78" x14ac:dyDescent="0.35">
      <c r="B41" s="7" t="s">
        <v>14</v>
      </c>
      <c r="C41" s="11"/>
      <c r="D41" s="304"/>
      <c r="E41" s="302"/>
      <c r="F41" s="11">
        <f>TablasERxDiv!AA16-BO14</f>
        <v>-250.72367999999997</v>
      </c>
      <c r="G41" s="304">
        <f t="shared" si="91"/>
        <v>0</v>
      </c>
      <c r="H41" s="302"/>
      <c r="I41" s="206">
        <f>TablasER!G19-BQ14</f>
        <v>-204.94335909599997</v>
      </c>
      <c r="J41" s="304">
        <f t="shared" si="92"/>
        <v>0</v>
      </c>
      <c r="K41" s="302"/>
      <c r="L41" s="206">
        <f>TablasER!I19-BS14</f>
        <v>0</v>
      </c>
      <c r="M41" s="304">
        <f t="shared" si="93"/>
        <v>0</v>
      </c>
      <c r="N41" s="302"/>
      <c r="O41" s="206">
        <f>TablasERxDiv!AT16-BU14</f>
        <v>-1365.88741</v>
      </c>
      <c r="P41" s="304">
        <f t="shared" si="94"/>
        <v>0</v>
      </c>
      <c r="Q41" s="302"/>
      <c r="R41" s="206">
        <f>TablasERxDiv!BC16-BW14</f>
        <v>-8.2755899999999993</v>
      </c>
      <c r="S41" s="304">
        <f t="shared" si="95"/>
        <v>0</v>
      </c>
      <c r="T41" s="302"/>
      <c r="U41" s="206">
        <f t="shared" si="108"/>
        <v>-1829.8300390960001</v>
      </c>
      <c r="V41" s="302">
        <f t="shared" si="97"/>
        <v>0</v>
      </c>
      <c r="AQ41" s="7" t="s">
        <v>16</v>
      </c>
      <c r="AR41" s="8"/>
      <c r="AS41" s="8">
        <f>(BDER_sig!C15+BDER_sig!C37+BDER_sig!C59+BDER_sig!C81+BDER_sig!C103+BDER_sig!C125)/1000</f>
        <v>64.777739999999994</v>
      </c>
      <c r="AT41" s="8">
        <f>(BDER_sig!C478+BDER_sig!C501+BDER_sig!C568+BDER_sig!C613)/1000</f>
        <v>0</v>
      </c>
      <c r="AU41" s="8">
        <f>(BDER_sig!C523+BDER_sig!C545+BDER_sig!C590+BDER_sig!C635+BDER_sig!C657)/1000</f>
        <v>0</v>
      </c>
      <c r="AV41" s="8">
        <f>(BDER_sig!C301+BDER_sig!C323+BDER_sig!C345+BDER_sig!C367)/1000</f>
        <v>7.9900000000000006E-3</v>
      </c>
      <c r="AW41" s="8">
        <f>(BDER_sig!C433+BDER_sig!C455)/1000</f>
        <v>343.02418</v>
      </c>
      <c r="AX41" s="11">
        <f t="shared" si="107"/>
        <v>407.80991</v>
      </c>
      <c r="BL41" s="347" t="s">
        <v>16</v>
      </c>
      <c r="BM41" s="351"/>
      <c r="BN41" s="352" t="str">
        <f t="shared" si="100"/>
        <v>N.D.</v>
      </c>
      <c r="BO41" s="351">
        <f>proyeccion!B26</f>
        <v>0</v>
      </c>
      <c r="BP41" s="352" t="str">
        <f t="shared" si="101"/>
        <v>N.D.</v>
      </c>
      <c r="BQ41" s="351">
        <f>proyeccion!G26</f>
        <v>0</v>
      </c>
      <c r="BR41" s="352" t="str">
        <f t="shared" si="102"/>
        <v>N.D.</v>
      </c>
      <c r="BS41" s="351">
        <f>proyeccion!H26</f>
        <v>0</v>
      </c>
      <c r="BT41" s="352" t="str">
        <f t="shared" si="103"/>
        <v>N.D.</v>
      </c>
      <c r="BU41" s="351">
        <f>proyeccion!E26</f>
        <v>0</v>
      </c>
      <c r="BV41" s="352" t="str">
        <f t="shared" si="104"/>
        <v>N.D.</v>
      </c>
      <c r="BW41" s="351">
        <f>proyeccion!F26</f>
        <v>0</v>
      </c>
      <c r="BX41" s="352" t="str">
        <f t="shared" si="105"/>
        <v>N.D.</v>
      </c>
      <c r="BY41" s="351">
        <f>BM41+BO41+BQ41+BS41+BU41+BW41</f>
        <v>0</v>
      </c>
      <c r="BZ41" s="352" t="str">
        <f t="shared" si="106"/>
        <v>N.D.</v>
      </c>
    </row>
    <row r="42" spans="1:78" x14ac:dyDescent="0.35">
      <c r="B42" s="7" t="s">
        <v>15</v>
      </c>
      <c r="C42" s="11"/>
      <c r="D42" s="304"/>
      <c r="E42" s="302"/>
      <c r="F42" s="11">
        <f>TablasERxDiv!AA17-BO15</f>
        <v>909.17223000000013</v>
      </c>
      <c r="G42" s="304">
        <f t="shared" si="91"/>
        <v>0</v>
      </c>
      <c r="H42" s="302"/>
      <c r="I42" s="206">
        <f>TablasER!G20-BQ15</f>
        <v>0</v>
      </c>
      <c r="J42" s="304">
        <f t="shared" si="92"/>
        <v>0</v>
      </c>
      <c r="K42" s="302"/>
      <c r="L42" s="206">
        <f>TablasER!I20-BS15</f>
        <v>239.86693699199998</v>
      </c>
      <c r="M42" s="304">
        <f t="shared" si="93"/>
        <v>0</v>
      </c>
      <c r="N42" s="302"/>
      <c r="O42" s="206">
        <f>TablasERxDiv!AT17-BU15</f>
        <v>204.81515999999999</v>
      </c>
      <c r="P42" s="304">
        <f t="shared" si="94"/>
        <v>0</v>
      </c>
      <c r="Q42" s="302"/>
      <c r="R42" s="206">
        <f>TablasERxDiv!BC17-BW15</f>
        <v>4.2915099999999997</v>
      </c>
      <c r="S42" s="304">
        <f t="shared" si="95"/>
        <v>0</v>
      </c>
      <c r="T42" s="302"/>
      <c r="U42" s="206">
        <f>C42+F42+I42+L42+O42+R42+intereses</f>
        <v>1359.1458369920001</v>
      </c>
      <c r="V42" s="302">
        <f t="shared" si="97"/>
        <v>0</v>
      </c>
      <c r="AQ42" s="7"/>
      <c r="AR42" s="8"/>
      <c r="AS42" s="8">
        <f>(BDER_sig!C16+BDER_sig!C38+BDER_sig!C60+BDER_sig!C82+BDER_sig!C104+BDER_sig!C126)/1000</f>
        <v>0</v>
      </c>
      <c r="AT42" s="8">
        <f>(BDER_sig!C479+BDER_sig!C502+BDER_sig!C569+BDER_sig!C614)/1000</f>
        <v>0</v>
      </c>
      <c r="AU42" s="8">
        <f>(BDER_sig!C524+BDER_sig!C546+BDER_sig!C591+BDER_sig!C636+BDER_sig!C658)/1000</f>
        <v>0</v>
      </c>
      <c r="AV42" s="8">
        <f>(BDER_sig!C302+BDER_sig!C324+BDER_sig!C346+BDER_sig!C368)/1000</f>
        <v>0</v>
      </c>
      <c r="AW42" s="8">
        <f>(BDER_sig!C434+BDER_sig!C456)/1000</f>
        <v>0</v>
      </c>
      <c r="AX42" s="11">
        <f t="shared" si="107"/>
        <v>0</v>
      </c>
      <c r="BL42" s="347"/>
      <c r="BM42" s="351"/>
      <c r="BN42" s="352" t="str">
        <f t="shared" si="100"/>
        <v>N.D.</v>
      </c>
      <c r="BO42" s="351">
        <f>proyeccion!B27</f>
        <v>0</v>
      </c>
      <c r="BP42" s="352" t="str">
        <f t="shared" si="101"/>
        <v>N.D.</v>
      </c>
      <c r="BQ42" s="351">
        <f>proyeccion!G27</f>
        <v>0</v>
      </c>
      <c r="BR42" s="352" t="str">
        <f t="shared" si="102"/>
        <v>N.D.</v>
      </c>
      <c r="BS42" s="351">
        <f>proyeccion!H27</f>
        <v>0</v>
      </c>
      <c r="BT42" s="352" t="str">
        <f t="shared" si="103"/>
        <v>N.D.</v>
      </c>
      <c r="BU42" s="351">
        <f>proyeccion!E27</f>
        <v>0</v>
      </c>
      <c r="BV42" s="352" t="str">
        <f t="shared" si="104"/>
        <v>N.D.</v>
      </c>
      <c r="BW42" s="351">
        <f>proyeccion!F27</f>
        <v>0</v>
      </c>
      <c r="BX42" s="352" t="str">
        <f t="shared" si="105"/>
        <v>N.D.</v>
      </c>
      <c r="BY42" s="351">
        <f t="shared" ref="BY42:BY44" si="109">BM42+BO42+BQ42+BS42+BU42+BW42</f>
        <v>0</v>
      </c>
      <c r="BZ42" s="352" t="str">
        <f t="shared" si="106"/>
        <v>N.D.</v>
      </c>
    </row>
    <row r="43" spans="1:78" x14ac:dyDescent="0.35">
      <c r="B43" s="7" t="s">
        <v>16</v>
      </c>
      <c r="C43" s="11"/>
      <c r="D43" s="304"/>
      <c r="E43" s="302"/>
      <c r="F43" s="11">
        <f>TablasERxDiv!AA18-BO16</f>
        <v>31.722719999999999</v>
      </c>
      <c r="G43" s="304">
        <f t="shared" si="91"/>
        <v>0</v>
      </c>
      <c r="H43" s="302"/>
      <c r="I43" s="206">
        <f>TablasER!G21-BQ16</f>
        <v>0</v>
      </c>
      <c r="J43" s="304">
        <f t="shared" si="92"/>
        <v>0</v>
      </c>
      <c r="K43" s="302"/>
      <c r="L43" s="206">
        <f>TablasER!I21-BS16</f>
        <v>0</v>
      </c>
      <c r="M43" s="304">
        <f t="shared" si="93"/>
        <v>0</v>
      </c>
      <c r="N43" s="302"/>
      <c r="O43" s="206">
        <f>TablasERxDiv!AT18-BU16</f>
        <v>65.066835000000012</v>
      </c>
      <c r="P43" s="304">
        <f t="shared" si="94"/>
        <v>0</v>
      </c>
      <c r="Q43" s="302"/>
      <c r="R43" s="206">
        <f>TablasERxDiv!BC18-BW16</f>
        <v>372.76143000000002</v>
      </c>
      <c r="S43" s="304">
        <f t="shared" si="95"/>
        <v>0</v>
      </c>
      <c r="T43" s="302"/>
      <c r="U43" s="206">
        <f t="shared" si="108"/>
        <v>469.55098500000003</v>
      </c>
      <c r="V43" s="302">
        <f t="shared" si="97"/>
        <v>0</v>
      </c>
      <c r="AQ43" s="4" t="s">
        <v>17</v>
      </c>
      <c r="AR43" s="200"/>
      <c r="AS43" s="8">
        <f>(BDER_sig!C17+BDER_sig!C39+BDER_sig!C61+BDER_sig!C83+BDER_sig!C105+BDER_sig!C127)/1000</f>
        <v>614.14911999999993</v>
      </c>
      <c r="AT43" s="8">
        <f>(BDER_sig!C480+BDER_sig!C503+BDER_sig!C570+BDER_sig!C615)/1000</f>
        <v>-2.6962900000000003</v>
      </c>
      <c r="AU43" s="8">
        <f>(BDER_sig!C525+BDER_sig!C547+BDER_sig!C592+BDER_sig!C637+BDER_sig!C659)/1000</f>
        <v>27.780349999999999</v>
      </c>
      <c r="AV43" s="8">
        <f>(BDER_sig!C303+BDER_sig!C325+BDER_sig!C347+BDER_sig!C369)/1000</f>
        <v>-3953.6766400000001</v>
      </c>
      <c r="AW43" s="8">
        <f>(BDER_sig!C435+BDER_sig!C457)/1000</f>
        <v>-237.68692999999999</v>
      </c>
      <c r="AX43" s="14">
        <f t="shared" si="107"/>
        <v>-3552.1303900000003</v>
      </c>
      <c r="BL43" s="344" t="s">
        <v>17</v>
      </c>
      <c r="BM43" s="354"/>
      <c r="BN43" s="355" t="str">
        <f t="shared" si="100"/>
        <v>N.D.</v>
      </c>
      <c r="BO43" s="354">
        <f>BO38+BO39+BO40-BO41-BO42</f>
        <v>0</v>
      </c>
      <c r="BP43" s="355" t="str">
        <f t="shared" si="101"/>
        <v>N.D.</v>
      </c>
      <c r="BQ43" s="354">
        <f>BQ38+BQ39+BQ40-BQ41-BQ42</f>
        <v>0</v>
      </c>
      <c r="BR43" s="355" t="str">
        <f t="shared" si="102"/>
        <v>N.D.</v>
      </c>
      <c r="BS43" s="354">
        <f>BS38+BS39+BS40-BS41-BS42</f>
        <v>0</v>
      </c>
      <c r="BT43" s="355" t="str">
        <f t="shared" si="103"/>
        <v>N.D.</v>
      </c>
      <c r="BU43" s="354">
        <f>BU38+BU39+BU40-BU41-BU42</f>
        <v>0</v>
      </c>
      <c r="BV43" s="355" t="str">
        <f t="shared" si="104"/>
        <v>N.D.</v>
      </c>
      <c r="BW43" s="354">
        <f>BW38+BW39+BW40-BW41-BW42</f>
        <v>0</v>
      </c>
      <c r="BX43" s="355" t="str">
        <f t="shared" si="105"/>
        <v>N.D.</v>
      </c>
      <c r="BY43" s="354">
        <f t="shared" si="109"/>
        <v>0</v>
      </c>
      <c r="BZ43" s="355" t="str">
        <f t="shared" si="106"/>
        <v>N.D.</v>
      </c>
    </row>
    <row r="44" spans="1:78" x14ac:dyDescent="0.35">
      <c r="B44" s="7"/>
      <c r="C44" s="34"/>
      <c r="D44" s="304"/>
      <c r="E44" s="302"/>
      <c r="F44" s="34">
        <f>TablasERxDiv!AA19-BO17</f>
        <v>0</v>
      </c>
      <c r="G44" s="304">
        <f t="shared" si="91"/>
        <v>0</v>
      </c>
      <c r="H44" s="302"/>
      <c r="I44" s="207">
        <f>TablasER!G22-BQ17</f>
        <v>0</v>
      </c>
      <c r="J44" s="304">
        <f t="shared" si="92"/>
        <v>0</v>
      </c>
      <c r="K44" s="302"/>
      <c r="L44" s="207">
        <f>TablasER!I22-BS17</f>
        <v>0</v>
      </c>
      <c r="M44" s="304">
        <f t="shared" si="93"/>
        <v>0</v>
      </c>
      <c r="N44" s="302"/>
      <c r="O44" s="207">
        <f>TablasERxDiv!AT19-BU17</f>
        <v>0</v>
      </c>
      <c r="P44" s="304">
        <f t="shared" si="94"/>
        <v>0</v>
      </c>
      <c r="Q44" s="302"/>
      <c r="R44" s="207">
        <f>TablasERxDiv!BC19-BW17</f>
        <v>0</v>
      </c>
      <c r="S44" s="304">
        <f t="shared" si="95"/>
        <v>0</v>
      </c>
      <c r="T44" s="302"/>
      <c r="U44" s="207">
        <f t="shared" si="108"/>
        <v>0</v>
      </c>
      <c r="V44" s="302">
        <f t="shared" si="97"/>
        <v>0</v>
      </c>
      <c r="AQ44" s="4" t="s">
        <v>18</v>
      </c>
      <c r="AR44" s="14"/>
      <c r="AS44" s="8">
        <f>(BDER_sig!C18+BDER_sig!C40+BDER_sig!C62+BDER_sig!C84+BDER_sig!C106+BDER_sig!C128)/1000</f>
        <v>2994.5889400000001</v>
      </c>
      <c r="AT44" s="8">
        <f>(BDER_sig!C481+BDER_sig!C504+BDER_sig!C571+BDER_sig!C616)/1000</f>
        <v>11.285630000000001</v>
      </c>
      <c r="AU44" s="8">
        <f>(BDER_sig!C526+BDER_sig!C548+BDER_sig!C593+BDER_sig!C638+BDER_sig!C660)/1000</f>
        <v>46.176929999999999</v>
      </c>
      <c r="AV44" s="8">
        <f>(BDER_sig!C304+BDER_sig!C326+BDER_sig!C348+BDER_sig!C370)/1000</f>
        <v>10379.80061</v>
      </c>
      <c r="AW44" s="8">
        <f>(BDER_sig!C436+BDER_sig!C458)/1000</f>
        <v>1589.0164200000002</v>
      </c>
      <c r="AX44" s="14">
        <f t="shared" si="107"/>
        <v>15020.86853</v>
      </c>
      <c r="BL44" s="344" t="s">
        <v>18</v>
      </c>
      <c r="BM44" s="212"/>
      <c r="BN44" s="355" t="str">
        <f t="shared" si="100"/>
        <v>N.D.</v>
      </c>
      <c r="BO44" s="354">
        <f>BO36-BO43</f>
        <v>0</v>
      </c>
      <c r="BP44" s="355" t="str">
        <f t="shared" si="101"/>
        <v>N.D.</v>
      </c>
      <c r="BQ44" s="354">
        <f>BQ36-BQ43</f>
        <v>0</v>
      </c>
      <c r="BR44" s="355" t="str">
        <f t="shared" si="102"/>
        <v>N.D.</v>
      </c>
      <c r="BS44" s="354">
        <f>BS36-BS43</f>
        <v>0</v>
      </c>
      <c r="BT44" s="355" t="str">
        <f t="shared" si="103"/>
        <v>N.D.</v>
      </c>
      <c r="BU44" s="354">
        <f>BU36-BU43</f>
        <v>0</v>
      </c>
      <c r="BV44" s="355" t="str">
        <f t="shared" si="104"/>
        <v>N.D.</v>
      </c>
      <c r="BW44" s="354">
        <f>BW36-BW43</f>
        <v>0</v>
      </c>
      <c r="BX44" s="355" t="str">
        <f t="shared" si="105"/>
        <v>N.D.</v>
      </c>
      <c r="BY44" s="354">
        <f t="shared" si="109"/>
        <v>0</v>
      </c>
      <c r="BZ44" s="355" t="str">
        <f t="shared" si="106"/>
        <v>N.D.</v>
      </c>
    </row>
    <row r="45" spans="1:78" x14ac:dyDescent="0.35">
      <c r="B45" s="4" t="s">
        <v>17</v>
      </c>
      <c r="C45" s="14"/>
      <c r="D45" s="314"/>
      <c r="E45" s="317"/>
      <c r="F45" s="14">
        <f>TablasERxDiv!AA20-BO18</f>
        <v>793.04996000000017</v>
      </c>
      <c r="G45" s="314">
        <f t="shared" si="91"/>
        <v>0</v>
      </c>
      <c r="H45" s="317"/>
      <c r="I45" s="214">
        <f>TablasER!G23-BQ18</f>
        <v>-204.94335909599997</v>
      </c>
      <c r="J45" s="314">
        <f t="shared" si="92"/>
        <v>0</v>
      </c>
      <c r="K45" s="317"/>
      <c r="L45" s="214">
        <f>TablasER!I23-BS18</f>
        <v>239.86693699199998</v>
      </c>
      <c r="M45" s="314">
        <f t="shared" si="93"/>
        <v>0</v>
      </c>
      <c r="N45" s="317"/>
      <c r="O45" s="214">
        <f>TablasERxDiv!AT20-BU18</f>
        <v>-471.40385499999996</v>
      </c>
      <c r="P45" s="314">
        <f t="shared" si="94"/>
        <v>0</v>
      </c>
      <c r="Q45" s="317"/>
      <c r="R45" s="214">
        <f>TablasERxDiv!BC20-BW18</f>
        <v>-359.52649000000002</v>
      </c>
      <c r="S45" s="314">
        <f t="shared" si="95"/>
        <v>0</v>
      </c>
      <c r="T45" s="317"/>
      <c r="U45" s="214">
        <f>U40+U41+U42-U43</f>
        <v>-1.9568071039998927</v>
      </c>
      <c r="V45" s="303">
        <f t="shared" si="97"/>
        <v>0</v>
      </c>
      <c r="AQ45" s="1"/>
      <c r="AX45" s="30"/>
      <c r="BL45" s="347"/>
      <c r="BM45" s="357"/>
      <c r="BN45" s="358"/>
      <c r="BO45" s="357"/>
      <c r="BP45" s="358"/>
      <c r="BQ45" s="357"/>
      <c r="BR45" s="358"/>
      <c r="BS45" s="357"/>
      <c r="BT45" s="358"/>
      <c r="BU45" s="357"/>
      <c r="BV45" s="358"/>
      <c r="BW45" s="357"/>
      <c r="BX45" s="358"/>
      <c r="BY45" s="357"/>
      <c r="BZ45" s="358"/>
    </row>
    <row r="46" spans="1:78" x14ac:dyDescent="0.35">
      <c r="B46" s="4" t="s">
        <v>18</v>
      </c>
      <c r="C46" s="14"/>
      <c r="D46" s="314"/>
      <c r="E46" s="317"/>
      <c r="F46" s="14">
        <f>TablasERxDiv!AA21-BO19</f>
        <v>5566.9664700000067</v>
      </c>
      <c r="G46" s="314">
        <f t="shared" si="91"/>
        <v>0</v>
      </c>
      <c r="H46" s="317"/>
      <c r="I46" s="214">
        <f>TablasER!G24-BQ19</f>
        <v>2006.9659604159972</v>
      </c>
      <c r="J46" s="314">
        <f t="shared" si="92"/>
        <v>0</v>
      </c>
      <c r="K46" s="317"/>
      <c r="L46" s="214">
        <f>TablasER!I24-BS19</f>
        <v>798.22027151999953</v>
      </c>
      <c r="M46" s="314">
        <f t="shared" si="93"/>
        <v>0</v>
      </c>
      <c r="N46" s="317"/>
      <c r="O46" s="214">
        <f>TablasERxDiv!AT21-BU19</f>
        <v>9913.9130650000152</v>
      </c>
      <c r="P46" s="314">
        <f t="shared" si="94"/>
        <v>0</v>
      </c>
      <c r="Q46" s="317"/>
      <c r="R46" s="214">
        <f>TablasERxDiv!BC21-BW19</f>
        <v>3228.5268100000008</v>
      </c>
      <c r="S46" s="314">
        <f t="shared" si="95"/>
        <v>0</v>
      </c>
      <c r="T46" s="317"/>
      <c r="U46" s="214">
        <f>+U38-U45</f>
        <v>21513.592576936018</v>
      </c>
      <c r="V46" s="303">
        <f t="shared" si="97"/>
        <v>0</v>
      </c>
      <c r="AQ46" s="7" t="s">
        <v>35</v>
      </c>
      <c r="AR46" s="203"/>
      <c r="AS46" s="8">
        <f>(BDER_sig!C19+BDER_sig!C41+BDER_sig!C63+BDER_sig!C85+BDER_sig!C107+BDER_sig!C129)/1000</f>
        <v>1267.71081</v>
      </c>
      <c r="AT46" s="8">
        <f>(BDER_sig!C482+BDER_sig!C505+BDER_sig!C572+BDER_sig!C617)/1000</f>
        <v>0</v>
      </c>
      <c r="AU46" s="8">
        <f>(BDER_sig!C527+BDER_sig!C549+BDER_sig!C594+BDER_sig!C639+BDER_sig!C661)/1000</f>
        <v>0</v>
      </c>
      <c r="AV46" s="8">
        <f>(BDER_sig!C305+BDER_sig!C327+BDER_sig!C349+BDER_sig!C371)/1000</f>
        <v>1769.6492900000001</v>
      </c>
      <c r="AW46" s="8">
        <f>(BDER_sig!C437+BDER_sig!C459)/1000</f>
        <v>0</v>
      </c>
      <c r="AX46" s="8">
        <f>SUM(AR46:AW46)</f>
        <v>3037.3600999999999</v>
      </c>
      <c r="BL46" s="347" t="s">
        <v>35</v>
      </c>
      <c r="BM46" s="348"/>
      <c r="BN46" s="349" t="str">
        <f>IF(CC$3=0,"N.D.",BM46/CC$3)</f>
        <v>N.D.</v>
      </c>
      <c r="BO46" s="348">
        <f>proyeccion!B28</f>
        <v>0</v>
      </c>
      <c r="BP46" s="349" t="str">
        <f>IF(CE$3=0,"N.D.",BO46/CE$3)</f>
        <v>N.D.</v>
      </c>
      <c r="BQ46" s="348">
        <f>proyeccion!G28</f>
        <v>0</v>
      </c>
      <c r="BR46" s="349" t="str">
        <f>IF(CG$3=0,"N.D.",BQ46/CG$3)</f>
        <v>N.D.</v>
      </c>
      <c r="BS46" s="348">
        <f>proyeccion!H28</f>
        <v>0</v>
      </c>
      <c r="BT46" s="349" t="str">
        <f>IF(CI$3=0,"N.D.",BS46/CI$3)</f>
        <v>N.D.</v>
      </c>
      <c r="BU46" s="348">
        <f>proyeccion!E28</f>
        <v>0</v>
      </c>
      <c r="BV46" s="349" t="str">
        <f>IF(CK$3=0,"N.D.",BU46/CK$3)</f>
        <v>N.D.</v>
      </c>
      <c r="BW46" s="348">
        <f>proyeccion!F28</f>
        <v>0</v>
      </c>
      <c r="BX46" s="349" t="str">
        <f>IF(CM$3=0,"N.D.",BW46/CM$3)</f>
        <v>N.D.</v>
      </c>
      <c r="BY46" s="348">
        <f t="shared" ref="BY46:BY49" si="110">BM46+BO46+BQ46+BS46+BU46+BW46</f>
        <v>0</v>
      </c>
      <c r="BZ46" s="349" t="str">
        <f>IF(CO$3=0,"N.D.",BY46/CO$3)</f>
        <v>N.D.</v>
      </c>
    </row>
    <row r="47" spans="1:78" x14ac:dyDescent="0.35">
      <c r="A47" s="307"/>
      <c r="B47" s="1"/>
      <c r="C47" s="30"/>
      <c r="D47" s="304"/>
      <c r="E47" s="304"/>
      <c r="F47" s="30"/>
      <c r="G47" s="304"/>
      <c r="H47" s="304"/>
      <c r="I47" s="30"/>
      <c r="J47" s="304"/>
      <c r="K47" s="304"/>
      <c r="L47" s="30"/>
      <c r="M47" s="304"/>
      <c r="N47" s="304"/>
      <c r="O47" s="30"/>
      <c r="P47" s="304"/>
      <c r="Q47" s="304"/>
      <c r="R47" s="30"/>
      <c r="S47" s="304"/>
      <c r="T47" s="304"/>
      <c r="U47" s="30"/>
      <c r="V47" s="304"/>
      <c r="AQ47" s="7" t="s">
        <v>43</v>
      </c>
      <c r="AR47" s="8"/>
      <c r="AS47" s="8">
        <f>(BDER_sig!C20+BDER_sig!C42+BDER_sig!C64+BDER_sig!C86+BDER_sig!C108+BDER_sig!C130)/1000</f>
        <v>0</v>
      </c>
      <c r="AT47" s="8">
        <f>(BDER_sig!C483+BDER_sig!C506+BDER_sig!C573+BDER_sig!C618)/1000</f>
        <v>0</v>
      </c>
      <c r="AU47" s="8">
        <f>(BDER_sig!C528+BDER_sig!C550+BDER_sig!C595+BDER_sig!C640+BDER_sig!C662)/1000</f>
        <v>0</v>
      </c>
      <c r="AV47" s="8">
        <f>(BDER_sig!C306+BDER_sig!C328+BDER_sig!C350+BDER_sig!C372)/1000</f>
        <v>0</v>
      </c>
      <c r="AW47" s="8">
        <f>(BDER_sig!C438+BDER_sig!C460)/1000</f>
        <v>0</v>
      </c>
      <c r="AX47" s="11">
        <f t="shared" ref="AX47:AX49" si="111">SUM(AR47:AW47)</f>
        <v>0</v>
      </c>
      <c r="BL47" s="347" t="s">
        <v>20</v>
      </c>
      <c r="BM47" s="351"/>
      <c r="BN47" s="352" t="str">
        <f>IF(CC$3=0,"N.D.",BM47/CC$3)</f>
        <v>N.D.</v>
      </c>
      <c r="BO47" s="351">
        <f>proyeccion!B29</f>
        <v>0</v>
      </c>
      <c r="BP47" s="352" t="str">
        <f>IF(CE$3=0,"N.D.",BO47/CE$3)</f>
        <v>N.D.</v>
      </c>
      <c r="BQ47" s="351">
        <f>proyeccion!G29</f>
        <v>0</v>
      </c>
      <c r="BR47" s="352" t="str">
        <f>IF(CG$3=0,"N.D.",BQ47/CG$3)</f>
        <v>N.D.</v>
      </c>
      <c r="BS47" s="351">
        <f>proyeccion!H29</f>
        <v>0</v>
      </c>
      <c r="BT47" s="352" t="str">
        <f>IF(CI$3=0,"N.D.",BS47/CI$3)</f>
        <v>N.D.</v>
      </c>
      <c r="BU47" s="351">
        <f>proyeccion!E29</f>
        <v>0</v>
      </c>
      <c r="BV47" s="352" t="str">
        <f>IF(CK$3=0,"N.D.",BU47/CK$3)</f>
        <v>N.D.</v>
      </c>
      <c r="BW47" s="351">
        <f>proyeccion!F29</f>
        <v>0</v>
      </c>
      <c r="BX47" s="352" t="str">
        <f>IF(CM$3=0,"N.D.",BW47/CM$3)</f>
        <v>N.D.</v>
      </c>
      <c r="BY47" s="351">
        <f t="shared" si="110"/>
        <v>0</v>
      </c>
      <c r="BZ47" s="352" t="str">
        <f>IF(CO$3=0,"N.D.",BY47/CO$3)</f>
        <v>N.D.</v>
      </c>
    </row>
    <row r="48" spans="1:78" x14ac:dyDescent="0.35">
      <c r="B48" s="7" t="s">
        <v>35</v>
      </c>
      <c r="C48" s="8"/>
      <c r="D48" s="313"/>
      <c r="E48" s="302"/>
      <c r="F48" s="8">
        <f>TablasERxDiv!AA23-BO21</f>
        <v>1537.24566</v>
      </c>
      <c r="G48" s="313">
        <f t="shared" si="91"/>
        <v>0</v>
      </c>
      <c r="H48" s="302"/>
      <c r="I48" s="204">
        <f>TablasER!G26-BQ21</f>
        <v>0</v>
      </c>
      <c r="J48" s="313">
        <f t="shared" si="92"/>
        <v>0</v>
      </c>
      <c r="K48" s="302"/>
      <c r="L48" s="204">
        <f>TablasER!I26-BS21</f>
        <v>0</v>
      </c>
      <c r="M48" s="313">
        <f t="shared" si="93"/>
        <v>0</v>
      </c>
      <c r="N48" s="302"/>
      <c r="O48" s="204">
        <f>TablasERxDiv!AT23-BU21</f>
        <v>4007.1881199999998</v>
      </c>
      <c r="P48" s="313">
        <f t="shared" si="94"/>
        <v>0</v>
      </c>
      <c r="Q48" s="302"/>
      <c r="R48" s="204">
        <f>TablasERxDiv!BC23-BW21</f>
        <v>690.82499999999993</v>
      </c>
      <c r="S48" s="313">
        <f t="shared" si="95"/>
        <v>0</v>
      </c>
      <c r="T48" s="302"/>
      <c r="U48" s="204">
        <f t="shared" ref="U48:U49" si="112">C48+F48+I48+L48+O48+R48</f>
        <v>6235.2587799999992</v>
      </c>
      <c r="V48" s="137">
        <f t="shared" si="97"/>
        <v>0</v>
      </c>
      <c r="AQ48" s="4" t="s">
        <v>21</v>
      </c>
      <c r="AR48" s="14"/>
      <c r="AS48" s="8">
        <f>(BDER_sig!C21+BDER_sig!C43+BDER_sig!C65+BDER_sig!C87+BDER_sig!C109+BDER_sig!C131)/1000</f>
        <v>1726.8781299999998</v>
      </c>
      <c r="AT48" s="8">
        <f>(BDER_sig!C484+BDER_sig!C507+BDER_sig!C574+BDER_sig!C619)/1000</f>
        <v>11.285630000000001</v>
      </c>
      <c r="AU48" s="8">
        <f>(BDER_sig!C529+BDER_sig!C551+BDER_sig!C596+BDER_sig!C641+BDER_sig!C663)/1000</f>
        <v>46.176929999999999</v>
      </c>
      <c r="AV48" s="8">
        <f>(BDER_sig!C307+BDER_sig!C329+BDER_sig!C351+BDER_sig!C373)/1000</f>
        <v>8610.1513200000009</v>
      </c>
      <c r="AW48" s="8">
        <f>(BDER_sig!C439+BDER_sig!C461)/1000</f>
        <v>1589.0164200000002</v>
      </c>
      <c r="AX48" s="14">
        <f t="shared" si="111"/>
        <v>11983.508430000002</v>
      </c>
      <c r="BL48" s="344" t="s">
        <v>21</v>
      </c>
      <c r="BM48" s="354"/>
      <c r="BN48" s="355" t="str">
        <f>IF(CC$3=0,"N.D.",BM48/CC$3)</f>
        <v>N.D.</v>
      </c>
      <c r="BO48" s="354">
        <f>BO44-BO46-BO47</f>
        <v>0</v>
      </c>
      <c r="BP48" s="355" t="str">
        <f>IF(CE$3=0,"N.D.",BO48/CE$3)</f>
        <v>N.D.</v>
      </c>
      <c r="BQ48" s="354">
        <f>BQ44-BQ46-BQ47</f>
        <v>0</v>
      </c>
      <c r="BR48" s="355" t="str">
        <f>IF(CG$3=0,"N.D.",BQ48/CG$3)</f>
        <v>N.D.</v>
      </c>
      <c r="BS48" s="354">
        <f>BS44-BS46-BS47</f>
        <v>0</v>
      </c>
      <c r="BT48" s="355" t="str">
        <f>IF(CI$3=0,"N.D.",BS48/CI$3)</f>
        <v>N.D.</v>
      </c>
      <c r="BU48" s="354">
        <f>BU44-BU46-BU47</f>
        <v>0</v>
      </c>
      <c r="BV48" s="355" t="str">
        <f>IF(CK$3=0,"N.D.",BU48/CK$3)</f>
        <v>N.D.</v>
      </c>
      <c r="BW48" s="354">
        <f>BW44-BW46-BW47</f>
        <v>0</v>
      </c>
      <c r="BX48" s="355" t="str">
        <f>IF(CM$3=0,"N.D.",BW48/CM$3)</f>
        <v>N.D.</v>
      </c>
      <c r="BY48" s="354">
        <f t="shared" si="110"/>
        <v>0</v>
      </c>
      <c r="BZ48" s="355" t="str">
        <f>IF(CO$3=0,"N.D.",BY48/CO$3)</f>
        <v>N.D.</v>
      </c>
    </row>
    <row r="49" spans="2:78" x14ac:dyDescent="0.35">
      <c r="B49" s="7" t="s">
        <v>20</v>
      </c>
      <c r="C49" s="34"/>
      <c r="D49" s="304"/>
      <c r="E49" s="302"/>
      <c r="F49" s="34">
        <f>TablasERxDiv!AA24-BO22</f>
        <v>0</v>
      </c>
      <c r="G49" s="304">
        <f t="shared" si="91"/>
        <v>0</v>
      </c>
      <c r="H49" s="302"/>
      <c r="I49" s="207">
        <f>TablasER!G27-BQ22</f>
        <v>0</v>
      </c>
      <c r="J49" s="304">
        <f t="shared" si="92"/>
        <v>0</v>
      </c>
      <c r="K49" s="302"/>
      <c r="L49" s="207">
        <f>TablasER!I27-BS22</f>
        <v>0</v>
      </c>
      <c r="M49" s="304">
        <f t="shared" si="93"/>
        <v>0</v>
      </c>
      <c r="N49" s="302"/>
      <c r="O49" s="207">
        <f>TablasERxDiv!AT24-BU22</f>
        <v>0</v>
      </c>
      <c r="P49" s="304">
        <f t="shared" si="94"/>
        <v>0</v>
      </c>
      <c r="Q49" s="302"/>
      <c r="R49" s="207">
        <f>TablasERxDiv!BC24-BW22</f>
        <v>0</v>
      </c>
      <c r="S49" s="304">
        <f t="shared" si="95"/>
        <v>0</v>
      </c>
      <c r="T49" s="302"/>
      <c r="U49" s="207">
        <f t="shared" si="112"/>
        <v>0</v>
      </c>
      <c r="V49" s="302">
        <f t="shared" si="97"/>
        <v>0</v>
      </c>
      <c r="AQ49" s="4" t="s">
        <v>22</v>
      </c>
      <c r="AR49" s="20"/>
      <c r="AS49" s="8">
        <f>(BDER_sig!C22+BDER_sig!C44+BDER_sig!C66+BDER_sig!C88+BDER_sig!C110+BDER_sig!C132)/1000</f>
        <v>4482.0626700000003</v>
      </c>
      <c r="AT49" s="8">
        <f>(BDER_sig!C485+BDER_sig!C508+BDER_sig!C575+BDER_sig!C620)/1000</f>
        <v>24.117060000000002</v>
      </c>
      <c r="AU49" s="8">
        <f>(BDER_sig!C530+BDER_sig!C552+BDER_sig!C597+BDER_sig!C642+BDER_sig!C664)/1000</f>
        <v>94.959689999999995</v>
      </c>
      <c r="AV49" s="8">
        <f>(BDER_sig!C308+BDER_sig!C330+BDER_sig!C352+BDER_sig!C374)/1000</f>
        <v>8320.0642599999992</v>
      </c>
      <c r="AW49" s="8">
        <f>(BDER_sig!C440+BDER_sig!C462)/1000</f>
        <v>1382.3830700000001</v>
      </c>
      <c r="AX49" s="20">
        <f t="shared" si="111"/>
        <v>14303.586749999999</v>
      </c>
      <c r="BL49" s="344" t="s">
        <v>22</v>
      </c>
      <c r="BM49" s="354"/>
      <c r="BN49" s="355" t="str">
        <f>IF(CC$3=0,"N.D.",BM49/CC$3)</f>
        <v>N.D.</v>
      </c>
      <c r="BO49" s="354">
        <f>BO36+BO34</f>
        <v>0</v>
      </c>
      <c r="BP49" s="355" t="str">
        <f>IF(CE$3=0,"N.D.",BO49/CE$3)</f>
        <v>N.D.</v>
      </c>
      <c r="BQ49" s="354">
        <f>BQ36+BQ34</f>
        <v>0</v>
      </c>
      <c r="BR49" s="355" t="str">
        <f>IF(CG$3=0,"N.D.",BQ49/CG$3)</f>
        <v>N.D.</v>
      </c>
      <c r="BS49" s="354">
        <f>BS36+BS34</f>
        <v>0</v>
      </c>
      <c r="BT49" s="355" t="str">
        <f>IF(CI$3=0,"N.D.",BS49/CI$3)</f>
        <v>N.D.</v>
      </c>
      <c r="BU49" s="354">
        <f>BU36+BU34</f>
        <v>0</v>
      </c>
      <c r="BV49" s="355" t="str">
        <f>IF(CK$3=0,"N.D.",BU49/CK$3)</f>
        <v>N.D.</v>
      </c>
      <c r="BW49" s="354">
        <f>BW36+BW34</f>
        <v>0</v>
      </c>
      <c r="BX49" s="355" t="str">
        <f>IF(CM$3=0,"N.D.",BW49/CM$3)</f>
        <v>N.D.</v>
      </c>
      <c r="BY49" s="354">
        <f t="shared" si="110"/>
        <v>0</v>
      </c>
      <c r="BZ49" s="355" t="str">
        <f>IF(CO$3=0,"N.D.",BY49/CO$3)</f>
        <v>N.D.</v>
      </c>
    </row>
    <row r="50" spans="2:78" x14ac:dyDescent="0.35">
      <c r="B50" s="4" t="s">
        <v>21</v>
      </c>
      <c r="C50" s="14"/>
      <c r="D50" s="314"/>
      <c r="E50" s="317"/>
      <c r="F50" s="14">
        <f>TablasERxDiv!AA25-BO23</f>
        <v>4029.7208100000066</v>
      </c>
      <c r="G50" s="314">
        <f t="shared" si="91"/>
        <v>0</v>
      </c>
      <c r="H50" s="317"/>
      <c r="I50" s="214">
        <f>TablasER!G28-BQ23</f>
        <v>2006.9659604159972</v>
      </c>
      <c r="J50" s="314">
        <f t="shared" si="92"/>
        <v>0</v>
      </c>
      <c r="K50" s="317"/>
      <c r="L50" s="214">
        <f>TablasER!I28-BS23</f>
        <v>798.22027151999953</v>
      </c>
      <c r="M50" s="314">
        <f t="shared" si="93"/>
        <v>0</v>
      </c>
      <c r="N50" s="317"/>
      <c r="O50" s="214">
        <f>TablasERxDiv!AT25-BU23</f>
        <v>5906.7249450000154</v>
      </c>
      <c r="P50" s="314">
        <f t="shared" si="94"/>
        <v>0</v>
      </c>
      <c r="Q50" s="317"/>
      <c r="R50" s="214">
        <f>TablasERxDiv!BC25-BW23</f>
        <v>2537.7018100000009</v>
      </c>
      <c r="S50" s="314">
        <f t="shared" si="95"/>
        <v>0</v>
      </c>
      <c r="T50" s="317"/>
      <c r="U50" s="214">
        <f>U46-U48-U49</f>
        <v>15278.333796936018</v>
      </c>
      <c r="V50" s="303">
        <f t="shared" si="97"/>
        <v>0</v>
      </c>
    </row>
    <row r="51" spans="2:78" x14ac:dyDescent="0.35">
      <c r="B51" s="4" t="s">
        <v>22</v>
      </c>
      <c r="C51" s="14"/>
      <c r="D51" s="314"/>
      <c r="E51" s="317"/>
      <c r="F51" s="14">
        <f>TablasERxDiv!AA26-BO24</f>
        <v>7270.5300600000073</v>
      </c>
      <c r="G51" s="314">
        <f>IFERROR(F51/BO24,0)</f>
        <v>0</v>
      </c>
      <c r="H51" s="317"/>
      <c r="I51" s="214">
        <f>TablasER!G29-BQ24</f>
        <v>2178.4403092319972</v>
      </c>
      <c r="J51" s="314">
        <f t="shared" si="92"/>
        <v>0</v>
      </c>
      <c r="K51" s="317"/>
      <c r="L51" s="214">
        <f>TablasER!I29-BS24</f>
        <v>1647.3457578959994</v>
      </c>
      <c r="M51" s="314">
        <f t="shared" si="93"/>
        <v>0</v>
      </c>
      <c r="N51" s="317"/>
      <c r="O51" s="214">
        <f>TablasERxDiv!AT26-BU24</f>
        <v>11384.313170000016</v>
      </c>
      <c r="P51" s="314">
        <f t="shared" si="94"/>
        <v>0</v>
      </c>
      <c r="Q51" s="317"/>
      <c r="R51" s="214">
        <f>TablasERxDiv!BC26-BW24</f>
        <v>2900.9257300000004</v>
      </c>
      <c r="S51" s="314">
        <f t="shared" si="95"/>
        <v>0</v>
      </c>
      <c r="T51" s="317"/>
      <c r="U51" s="214">
        <f>+U38+U36</f>
        <v>25381.555027128015</v>
      </c>
      <c r="V51" s="303">
        <f t="shared" si="97"/>
        <v>0</v>
      </c>
    </row>
    <row r="52" spans="2:78" x14ac:dyDescent="0.35">
      <c r="U52" s="25" t="s">
        <v>412</v>
      </c>
    </row>
  </sheetData>
  <mergeCells count="14">
    <mergeCell ref="U2:V2"/>
    <mergeCell ref="C28:D28"/>
    <mergeCell ref="F28:G28"/>
    <mergeCell ref="I28:J28"/>
    <mergeCell ref="L28:M28"/>
    <mergeCell ref="O28:P28"/>
    <mergeCell ref="R28:S28"/>
    <mergeCell ref="U28:V28"/>
    <mergeCell ref="C2:D2"/>
    <mergeCell ref="F2:G2"/>
    <mergeCell ref="I2:J2"/>
    <mergeCell ref="L2:M2"/>
    <mergeCell ref="O2:P2"/>
    <mergeCell ref="R2:S2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ivision"/>
  <dimension ref="A1:L16"/>
  <sheetViews>
    <sheetView topLeftCell="E1" workbookViewId="0">
      <selection activeCell="B2" sqref="B2:L16"/>
    </sheetView>
  </sheetViews>
  <sheetFormatPr baseColWidth="10" defaultRowHeight="14.5" x14ac:dyDescent="0.35"/>
  <cols>
    <col min="9" max="9" width="0.54296875" style="300" customWidth="1"/>
  </cols>
  <sheetData>
    <row r="1" spans="1:12" x14ac:dyDescent="0.35">
      <c r="A1" s="297" t="s">
        <v>387</v>
      </c>
      <c r="B1" s="296" t="s">
        <v>377</v>
      </c>
      <c r="C1" s="296" t="s">
        <v>378</v>
      </c>
      <c r="D1" s="296" t="s">
        <v>379</v>
      </c>
      <c r="E1" s="296" t="s">
        <v>380</v>
      </c>
      <c r="F1" s="296" t="s">
        <v>381</v>
      </c>
      <c r="G1" s="296" t="s">
        <v>382</v>
      </c>
      <c r="H1" s="296" t="s">
        <v>385</v>
      </c>
      <c r="J1" s="296" t="s">
        <v>391</v>
      </c>
      <c r="K1" s="296" t="s">
        <v>386</v>
      </c>
      <c r="L1" s="296" t="s">
        <v>389</v>
      </c>
    </row>
    <row r="2" spans="1:12" x14ac:dyDescent="0.35">
      <c r="A2" t="s">
        <v>372</v>
      </c>
      <c r="I2"/>
      <c r="J2">
        <v>20.224799999999998</v>
      </c>
      <c r="K2">
        <v>1</v>
      </c>
      <c r="L2">
        <v>1</v>
      </c>
    </row>
    <row r="3" spans="1:12" x14ac:dyDescent="0.35">
      <c r="A3" t="s">
        <v>373</v>
      </c>
      <c r="I3"/>
    </row>
    <row r="4" spans="1:12" x14ac:dyDescent="0.35">
      <c r="A4" t="s">
        <v>374</v>
      </c>
      <c r="I4"/>
    </row>
    <row r="5" spans="1:12" x14ac:dyDescent="0.35">
      <c r="A5" t="s">
        <v>375</v>
      </c>
      <c r="I5"/>
    </row>
    <row r="6" spans="1:12" x14ac:dyDescent="0.35">
      <c r="A6" t="s">
        <v>383</v>
      </c>
      <c r="I6"/>
    </row>
    <row r="7" spans="1:12" x14ac:dyDescent="0.35">
      <c r="A7" t="s">
        <v>384</v>
      </c>
      <c r="I7"/>
    </row>
    <row r="8" spans="1:12" x14ac:dyDescent="0.35">
      <c r="A8" t="s">
        <v>376</v>
      </c>
      <c r="I8"/>
    </row>
    <row r="9" spans="1:12" x14ac:dyDescent="0.35">
      <c r="A9" s="297" t="s">
        <v>388</v>
      </c>
      <c r="I9"/>
    </row>
    <row r="10" spans="1:12" x14ac:dyDescent="0.35">
      <c r="A10" t="s">
        <v>372</v>
      </c>
      <c r="I10"/>
      <c r="J10">
        <v>20.224799999999998</v>
      </c>
      <c r="K10">
        <v>1</v>
      </c>
      <c r="L10">
        <v>1</v>
      </c>
    </row>
    <row r="11" spans="1:12" x14ac:dyDescent="0.35">
      <c r="A11" t="s">
        <v>373</v>
      </c>
      <c r="I11"/>
    </row>
    <row r="12" spans="1:12" x14ac:dyDescent="0.35">
      <c r="A12" t="s">
        <v>374</v>
      </c>
      <c r="I12"/>
    </row>
    <row r="13" spans="1:12" x14ac:dyDescent="0.35">
      <c r="A13" t="s">
        <v>375</v>
      </c>
      <c r="I13"/>
    </row>
    <row r="14" spans="1:12" x14ac:dyDescent="0.35">
      <c r="A14" t="s">
        <v>383</v>
      </c>
      <c r="I14"/>
    </row>
    <row r="15" spans="1:12" x14ac:dyDescent="0.35">
      <c r="A15" t="s">
        <v>384</v>
      </c>
      <c r="I15"/>
    </row>
    <row r="16" spans="1:12" x14ac:dyDescent="0.35">
      <c r="A16" t="s">
        <v>376</v>
      </c>
      <c r="I1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justes"/>
  <dimension ref="A1:AD30"/>
  <sheetViews>
    <sheetView zoomScaleNormal="100" workbookViewId="0">
      <pane xSplit="1" topLeftCell="B1" activePane="topRight" state="frozen"/>
      <selection activeCell="A11" sqref="A11"/>
      <selection pane="topRight" activeCell="B2" sqref="B2:AD32"/>
    </sheetView>
  </sheetViews>
  <sheetFormatPr baseColWidth="10" defaultRowHeight="14.5" x14ac:dyDescent="0.35"/>
  <cols>
    <col min="1" max="1" width="16.81640625" bestFit="1" customWidth="1"/>
  </cols>
  <sheetData>
    <row r="1" spans="1:30" x14ac:dyDescent="0.35">
      <c r="A1" s="26" t="s">
        <v>106</v>
      </c>
      <c r="B1" s="2" t="s">
        <v>136</v>
      </c>
      <c r="C1" s="2" t="s">
        <v>137</v>
      </c>
      <c r="D1" s="2" t="s">
        <v>138</v>
      </c>
      <c r="E1" s="2" t="s">
        <v>139</v>
      </c>
      <c r="F1" s="2" t="s">
        <v>144</v>
      </c>
      <c r="G1" s="2" t="s">
        <v>145</v>
      </c>
      <c r="H1" s="2" t="s">
        <v>146</v>
      </c>
      <c r="I1" s="2" t="s">
        <v>147</v>
      </c>
      <c r="J1" s="2" t="s">
        <v>148</v>
      </c>
      <c r="K1" s="2" t="s">
        <v>149</v>
      </c>
      <c r="L1" s="2" t="s">
        <v>152</v>
      </c>
      <c r="M1" s="2" t="s">
        <v>153</v>
      </c>
      <c r="N1" s="2" t="s">
        <v>154</v>
      </c>
      <c r="O1" s="2" t="s">
        <v>155</v>
      </c>
      <c r="P1" s="2" t="s">
        <v>156</v>
      </c>
      <c r="Q1" s="2" t="s">
        <v>157</v>
      </c>
      <c r="R1" s="2" t="s">
        <v>158</v>
      </c>
      <c r="S1" s="2" t="s">
        <v>160</v>
      </c>
      <c r="T1" s="2" t="s">
        <v>161</v>
      </c>
      <c r="U1" s="2" t="s">
        <v>179</v>
      </c>
      <c r="V1" s="2" t="s">
        <v>180</v>
      </c>
      <c r="W1" s="2" t="s">
        <v>181</v>
      </c>
      <c r="X1" s="2" t="s">
        <v>182</v>
      </c>
      <c r="Y1" s="2" t="s">
        <v>183</v>
      </c>
      <c r="Z1" s="2" t="s">
        <v>186</v>
      </c>
      <c r="AA1" s="2" t="s">
        <v>187</v>
      </c>
      <c r="AB1" s="2" t="s">
        <v>188</v>
      </c>
      <c r="AC1" s="2" t="s">
        <v>189</v>
      </c>
      <c r="AD1" s="2" t="s">
        <v>190</v>
      </c>
    </row>
    <row r="2" spans="1:30" x14ac:dyDescent="0.35">
      <c r="A2" s="7" t="s">
        <v>371</v>
      </c>
    </row>
    <row r="3" spans="1:30" x14ac:dyDescent="0.35">
      <c r="A3" s="7" t="s">
        <v>5</v>
      </c>
    </row>
    <row r="4" spans="1:30" x14ac:dyDescent="0.35">
      <c r="A4" s="7" t="s">
        <v>6</v>
      </c>
    </row>
    <row r="5" spans="1:30" x14ac:dyDescent="0.35">
      <c r="A5" s="7" t="s">
        <v>8</v>
      </c>
    </row>
    <row r="6" spans="1:30" x14ac:dyDescent="0.35">
      <c r="A6" s="7" t="s">
        <v>9</v>
      </c>
    </row>
    <row r="7" spans="1:30" x14ac:dyDescent="0.35">
      <c r="A7" s="7" t="s">
        <v>10</v>
      </c>
    </row>
    <row r="8" spans="1:30" x14ac:dyDescent="0.35">
      <c r="A8" s="7" t="s">
        <v>13</v>
      </c>
    </row>
    <row r="9" spans="1:30" x14ac:dyDescent="0.35">
      <c r="A9" s="7" t="s">
        <v>14</v>
      </c>
    </row>
    <row r="10" spans="1:30" x14ac:dyDescent="0.35">
      <c r="A10" s="7" t="s">
        <v>15</v>
      </c>
    </row>
    <row r="11" spans="1:30" x14ac:dyDescent="0.35">
      <c r="A11" s="7" t="s">
        <v>16</v>
      </c>
    </row>
    <row r="12" spans="1:30" x14ac:dyDescent="0.35">
      <c r="A12" s="7" t="s">
        <v>143</v>
      </c>
    </row>
    <row r="13" spans="1:30" x14ac:dyDescent="0.35">
      <c r="A13" s="7" t="s">
        <v>19</v>
      </c>
    </row>
    <row r="14" spans="1:30" x14ac:dyDescent="0.35">
      <c r="A14" s="7" t="s">
        <v>43</v>
      </c>
    </row>
    <row r="15" spans="1:30" x14ac:dyDescent="0.35">
      <c r="A15" s="7" t="s">
        <v>291</v>
      </c>
    </row>
    <row r="16" spans="1:30" x14ac:dyDescent="0.35">
      <c r="A16" s="26" t="s">
        <v>71</v>
      </c>
    </row>
    <row r="17" spans="1:1" x14ac:dyDescent="0.35">
      <c r="A17" s="7" t="s">
        <v>371</v>
      </c>
    </row>
    <row r="18" spans="1:1" x14ac:dyDescent="0.35">
      <c r="A18" s="7" t="s">
        <v>5</v>
      </c>
    </row>
    <row r="19" spans="1:1" x14ac:dyDescent="0.35">
      <c r="A19" s="7" t="s">
        <v>6</v>
      </c>
    </row>
    <row r="20" spans="1:1" x14ac:dyDescent="0.35">
      <c r="A20" s="7" t="s">
        <v>8</v>
      </c>
    </row>
    <row r="21" spans="1:1" x14ac:dyDescent="0.35">
      <c r="A21" s="7" t="s">
        <v>9</v>
      </c>
    </row>
    <row r="22" spans="1:1" x14ac:dyDescent="0.35">
      <c r="A22" s="7" t="s">
        <v>10</v>
      </c>
    </row>
    <row r="23" spans="1:1" x14ac:dyDescent="0.35">
      <c r="A23" s="7" t="s">
        <v>13</v>
      </c>
    </row>
    <row r="24" spans="1:1" x14ac:dyDescent="0.35">
      <c r="A24" s="7" t="s">
        <v>14</v>
      </c>
    </row>
    <row r="25" spans="1:1" x14ac:dyDescent="0.35">
      <c r="A25" s="7" t="s">
        <v>15</v>
      </c>
    </row>
    <row r="26" spans="1:1" x14ac:dyDescent="0.35">
      <c r="A26" s="7" t="s">
        <v>16</v>
      </c>
    </row>
    <row r="27" spans="1:1" x14ac:dyDescent="0.35">
      <c r="A27" s="7" t="s">
        <v>143</v>
      </c>
    </row>
    <row r="28" spans="1:1" x14ac:dyDescent="0.35">
      <c r="A28" s="7" t="s">
        <v>19</v>
      </c>
    </row>
    <row r="29" spans="1:1" x14ac:dyDescent="0.35">
      <c r="A29" s="7" t="s">
        <v>43</v>
      </c>
    </row>
    <row r="30" spans="1:1" x14ac:dyDescent="0.35">
      <c r="A30" s="7" t="s">
        <v>291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yeccion"/>
  <dimension ref="A1:X30"/>
  <sheetViews>
    <sheetView workbookViewId="0">
      <selection activeCell="B2" sqref="B2:I33"/>
    </sheetView>
  </sheetViews>
  <sheetFormatPr baseColWidth="10" defaultRowHeight="14.5" x14ac:dyDescent="0.35"/>
  <cols>
    <col min="1" max="1" width="16.81640625" bestFit="1" customWidth="1"/>
  </cols>
  <sheetData>
    <row r="1" spans="1:24" x14ac:dyDescent="0.35">
      <c r="A1" s="26" t="s">
        <v>397</v>
      </c>
      <c r="B1" s="26" t="s">
        <v>377</v>
      </c>
      <c r="C1" s="26" t="s">
        <v>378</v>
      </c>
      <c r="D1" s="26" t="s">
        <v>379</v>
      </c>
      <c r="E1" s="26" t="s">
        <v>407</v>
      </c>
      <c r="F1" s="26" t="s">
        <v>381</v>
      </c>
      <c r="G1" s="26" t="s">
        <v>382</v>
      </c>
      <c r="H1" s="26" t="s">
        <v>385</v>
      </c>
      <c r="I1" s="26" t="s">
        <v>399</v>
      </c>
      <c r="J1" s="26" t="s">
        <v>377</v>
      </c>
      <c r="K1" s="26" t="s">
        <v>378</v>
      </c>
      <c r="L1" s="26" t="s">
        <v>379</v>
      </c>
      <c r="M1" s="26" t="s">
        <v>380</v>
      </c>
      <c r="N1" s="26" t="s">
        <v>381</v>
      </c>
      <c r="O1" s="26" t="s">
        <v>382</v>
      </c>
      <c r="P1" s="26" t="s">
        <v>385</v>
      </c>
      <c r="Q1" s="26" t="s">
        <v>400</v>
      </c>
      <c r="R1" s="26" t="s">
        <v>377</v>
      </c>
      <c r="S1" s="26" t="s">
        <v>378</v>
      </c>
      <c r="T1" s="26" t="s">
        <v>379</v>
      </c>
      <c r="U1" s="26" t="s">
        <v>380</v>
      </c>
      <c r="V1" s="26" t="s">
        <v>381</v>
      </c>
      <c r="W1" s="26" t="s">
        <v>382</v>
      </c>
      <c r="X1" s="26" t="s">
        <v>385</v>
      </c>
    </row>
    <row r="2" spans="1:24" x14ac:dyDescent="0.35">
      <c r="A2" s="7" t="s">
        <v>371</v>
      </c>
    </row>
    <row r="3" spans="1:24" x14ac:dyDescent="0.35">
      <c r="A3" s="7" t="s">
        <v>5</v>
      </c>
    </row>
    <row r="4" spans="1:24" x14ac:dyDescent="0.35">
      <c r="A4" s="7" t="s">
        <v>6</v>
      </c>
    </row>
    <row r="5" spans="1:24" x14ac:dyDescent="0.35">
      <c r="A5" s="7" t="s">
        <v>8</v>
      </c>
    </row>
    <row r="6" spans="1:24" x14ac:dyDescent="0.35">
      <c r="A6" s="7" t="s">
        <v>9</v>
      </c>
    </row>
    <row r="7" spans="1:24" x14ac:dyDescent="0.35">
      <c r="A7" s="7" t="s">
        <v>10</v>
      </c>
    </row>
    <row r="8" spans="1:24" x14ac:dyDescent="0.35">
      <c r="A8" s="7" t="s">
        <v>13</v>
      </c>
    </row>
    <row r="9" spans="1:24" x14ac:dyDescent="0.35">
      <c r="A9" s="7" t="s">
        <v>14</v>
      </c>
    </row>
    <row r="10" spans="1:24" x14ac:dyDescent="0.35">
      <c r="A10" s="7" t="s">
        <v>15</v>
      </c>
    </row>
    <row r="11" spans="1:24" x14ac:dyDescent="0.35">
      <c r="A11" s="7" t="s">
        <v>16</v>
      </c>
    </row>
    <row r="12" spans="1:24" x14ac:dyDescent="0.35">
      <c r="A12" s="7" t="s">
        <v>143</v>
      </c>
    </row>
    <row r="13" spans="1:24" x14ac:dyDescent="0.35">
      <c r="A13" s="7" t="s">
        <v>19</v>
      </c>
    </row>
    <row r="14" spans="1:24" x14ac:dyDescent="0.35">
      <c r="A14" s="7" t="s">
        <v>43</v>
      </c>
    </row>
    <row r="15" spans="1:24" x14ac:dyDescent="0.35">
      <c r="A15" s="7" t="s">
        <v>291</v>
      </c>
    </row>
    <row r="16" spans="1:24" x14ac:dyDescent="0.35">
      <c r="A16" s="26" t="s">
        <v>398</v>
      </c>
    </row>
    <row r="17" spans="1:1" x14ac:dyDescent="0.35">
      <c r="A17" s="7" t="s">
        <v>371</v>
      </c>
    </row>
    <row r="18" spans="1:1" x14ac:dyDescent="0.35">
      <c r="A18" s="7" t="s">
        <v>5</v>
      </c>
    </row>
    <row r="19" spans="1:1" x14ac:dyDescent="0.35">
      <c r="A19" s="7" t="s">
        <v>6</v>
      </c>
    </row>
    <row r="20" spans="1:1" x14ac:dyDescent="0.35">
      <c r="A20" s="7" t="s">
        <v>8</v>
      </c>
    </row>
    <row r="21" spans="1:1" x14ac:dyDescent="0.35">
      <c r="A21" s="7" t="s">
        <v>9</v>
      </c>
    </row>
    <row r="22" spans="1:1" x14ac:dyDescent="0.35">
      <c r="A22" s="7" t="s">
        <v>10</v>
      </c>
    </row>
    <row r="23" spans="1:1" x14ac:dyDescent="0.35">
      <c r="A23" s="7" t="s">
        <v>13</v>
      </c>
    </row>
    <row r="24" spans="1:1" x14ac:dyDescent="0.35">
      <c r="A24" s="7" t="s">
        <v>14</v>
      </c>
    </row>
    <row r="25" spans="1:1" x14ac:dyDescent="0.35">
      <c r="A25" s="7" t="s">
        <v>15</v>
      </c>
    </row>
    <row r="26" spans="1:1" x14ac:dyDescent="0.35">
      <c r="A26" s="7" t="s">
        <v>16</v>
      </c>
    </row>
    <row r="27" spans="1:1" x14ac:dyDescent="0.35">
      <c r="A27" s="7" t="s">
        <v>143</v>
      </c>
    </row>
    <row r="28" spans="1:1" x14ac:dyDescent="0.35">
      <c r="A28" s="7" t="s">
        <v>19</v>
      </c>
    </row>
    <row r="29" spans="1:1" x14ac:dyDescent="0.35">
      <c r="A29" s="7" t="s">
        <v>43</v>
      </c>
    </row>
    <row r="30" spans="1:1" x14ac:dyDescent="0.35">
      <c r="A30" s="7" t="s">
        <v>291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xndll"/>
  <dimension ref="B3:AC87"/>
  <sheetViews>
    <sheetView zoomScale="50" zoomScaleNormal="50" workbookViewId="0">
      <selection activeCell="Q66" sqref="Q66:Q87"/>
    </sheetView>
  </sheetViews>
  <sheetFormatPr baseColWidth="10" defaultRowHeight="14.5" x14ac:dyDescent="0.35"/>
  <sheetData>
    <row r="3" spans="2:29" x14ac:dyDescent="0.35">
      <c r="B3" s="287" t="s">
        <v>336</v>
      </c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87" t="s">
        <v>337</v>
      </c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</row>
    <row r="4" spans="2:29" x14ac:dyDescent="0.35">
      <c r="B4" s="269" t="s">
        <v>338</v>
      </c>
      <c r="C4" s="269" t="s">
        <v>339</v>
      </c>
      <c r="D4" s="269" t="s">
        <v>340</v>
      </c>
      <c r="E4" s="269" t="s">
        <v>341</v>
      </c>
      <c r="F4" s="269" t="s">
        <v>342</v>
      </c>
      <c r="G4" s="269" t="s">
        <v>343</v>
      </c>
      <c r="H4" s="269" t="s">
        <v>344</v>
      </c>
      <c r="I4" s="269" t="s">
        <v>345</v>
      </c>
      <c r="J4" s="269" t="s">
        <v>346</v>
      </c>
      <c r="K4" s="269" t="s">
        <v>347</v>
      </c>
      <c r="L4" s="269" t="s">
        <v>348</v>
      </c>
      <c r="M4" s="269" t="s">
        <v>349</v>
      </c>
      <c r="N4" s="269" t="s">
        <v>350</v>
      </c>
      <c r="O4" s="25"/>
      <c r="P4" s="40"/>
      <c r="Q4" s="269" t="s">
        <v>338</v>
      </c>
      <c r="R4" s="269" t="s">
        <v>339</v>
      </c>
      <c r="S4" s="269" t="s">
        <v>340</v>
      </c>
      <c r="T4" s="269" t="s">
        <v>341</v>
      </c>
      <c r="U4" s="269" t="s">
        <v>342</v>
      </c>
      <c r="V4" s="269" t="s">
        <v>343</v>
      </c>
      <c r="W4" s="269" t="s">
        <v>344</v>
      </c>
      <c r="X4" s="269" t="s">
        <v>345</v>
      </c>
      <c r="Y4" s="269" t="s">
        <v>346</v>
      </c>
      <c r="Z4" s="269" t="s">
        <v>347</v>
      </c>
      <c r="AA4" s="269" t="s">
        <v>348</v>
      </c>
      <c r="AB4" s="269" t="s">
        <v>349</v>
      </c>
      <c r="AC4" s="269" t="s">
        <v>350</v>
      </c>
    </row>
    <row r="5" spans="2:29" x14ac:dyDescent="0.35">
      <c r="B5" s="8">
        <v>31876.853956343999</v>
      </c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>
        <f>SUM(B5:CHOOSE(MONTH(Mes_cierre),B5,C5,D5,E5,F5,G5,H5,I5,J5,K5,L5,M5))</f>
        <v>31876.853956343999</v>
      </c>
      <c r="O5" s="40"/>
      <c r="P5" s="25"/>
      <c r="Q5" s="8">
        <v>2085.1315764479996</v>
      </c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>
        <f>SUM(Q5:CHOOSE(MONTH(Mes_cierre),Q5,R5,S5,T5,U5,V5,W5,X5,Y5,Z5,AA5,AB5))</f>
        <v>2085.1315764479996</v>
      </c>
    </row>
    <row r="6" spans="2:29" x14ac:dyDescent="0.35">
      <c r="B6" s="11">
        <v>9568.0909688399988</v>
      </c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>
        <f>SUM(B6:CHOOSE(MONTH(Mes_cierre),B6,C6,D6,E6,F6,G6,H6,I6,J6,K6,L6,M6))</f>
        <v>9568.0909688399988</v>
      </c>
      <c r="O6" s="25"/>
      <c r="P6" s="25"/>
      <c r="Q6" s="11">
        <v>0</v>
      </c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>
        <f>SUM(Q6:CHOOSE(MONTH(Mes_cierre),Q6,R6,S6,T6,U6,V6,W6,X6,Y6,Z6,AA6,AB6))</f>
        <v>0</v>
      </c>
    </row>
    <row r="7" spans="2:29" x14ac:dyDescent="0.35">
      <c r="B7" s="14">
        <v>22308.762987504</v>
      </c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>
        <f>SUM(B7:CHOOSE(MONTH(Mes_cierre),B7,C7,D7,E7,F7,G7,H7,I7,J7,K7,L7,M7))</f>
        <v>22308.762987504</v>
      </c>
      <c r="O7" s="25"/>
      <c r="P7" s="25"/>
      <c r="Q7" s="14">
        <v>2085.1315764479996</v>
      </c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>
        <f>SUM(Q7:CHOOSE(MONTH(Mes_cierre),Q7,R7,S7,T7,U7,V7,W7,X7,Y7,Z7,AA7,AB7))</f>
        <v>2085.1315764479996</v>
      </c>
    </row>
    <row r="8" spans="2:29" x14ac:dyDescent="0.35">
      <c r="B8" s="30"/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  <c r="N8" s="30"/>
      <c r="O8" s="25"/>
      <c r="P8" s="25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</row>
    <row r="9" spans="2:29" x14ac:dyDescent="0.35">
      <c r="B9" s="8">
        <v>19435.020953256</v>
      </c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>
        <f>SUM(B9:CHOOSE(MONTH(Mes_cierre),B9,C9,D9,E9,F9,G9,H9,I9,J9,K9,L9,M9))</f>
        <v>19435.020953256</v>
      </c>
      <c r="O9" s="25"/>
      <c r="P9" s="25"/>
      <c r="Q9" s="8">
        <v>437.31276048000001</v>
      </c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>
        <f>SUM(Q9:CHOOSE(MONTH(Mes_cierre),Q9,R9,S9,T9,U9,V9,W9,X9,Y9,Z9,AA9,AB9))</f>
        <v>437.31276048000001</v>
      </c>
    </row>
    <row r="10" spans="2:29" x14ac:dyDescent="0.35">
      <c r="B10" s="11">
        <v>695.30172501599998</v>
      </c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>
        <f>SUM(B10:CHOOSE(MONTH(Mes_cierre),B10,C10,D10,E10,F10,G10,H10,I10,J10,K10,L10,M10))</f>
        <v>695.30172501599998</v>
      </c>
      <c r="O10" s="25"/>
      <c r="P10" s="25"/>
      <c r="Q10" s="11">
        <v>0.473058072</v>
      </c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>
        <f>SUM(Q10:CHOOSE(MONTH(Mes_cierre),Q10,R10,S10,T10,U10,V10,W10,X10,Y10,Z10,AA10,AB10))</f>
        <v>0.473058072</v>
      </c>
    </row>
    <row r="11" spans="2:29" x14ac:dyDescent="0.35">
      <c r="B11" s="11">
        <v>376.41770791200003</v>
      </c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>
        <f>SUM(B11:CHOOSE(MONTH(Mes_cierre),B11,C11,D11,E11,F11,G11,H11,I11,J11,K11,L11,M11))</f>
        <v>376.41770791200003</v>
      </c>
      <c r="O11" s="25"/>
      <c r="P11" s="25"/>
      <c r="Q11" s="11">
        <v>609.25854938399993</v>
      </c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>
        <f>SUM(Q11:CHOOSE(MONTH(Mes_cierre),Q11,R11,S11,T11,U11,V11,W11,X11,Y11,Z11,AA11,AB11))</f>
        <v>609.25854938399993</v>
      </c>
    </row>
    <row r="12" spans="2:29" x14ac:dyDescent="0.35">
      <c r="B12" s="14">
        <v>20506.740386184003</v>
      </c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>
        <f>SUM(B12:CHOOSE(MONTH(Mes_cierre),B12,C12,D12,E12,F12,G12,H12,I12,J12,K12,L12,M12))</f>
        <v>20506.740386184003</v>
      </c>
      <c r="O12" s="25"/>
      <c r="P12" s="25"/>
      <c r="Q12" s="14">
        <v>1047.0443679360001</v>
      </c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>
        <f>SUM(Q12:CHOOSE(MONTH(Mes_cierre),Q12,R12,S12,T12,U12,V12,W12,X12,Y12,Z12,AA12,AB12))</f>
        <v>1047.0443679360001</v>
      </c>
    </row>
    <row r="13" spans="2:29" x14ac:dyDescent="0.35">
      <c r="B13" s="31"/>
      <c r="C13" s="31"/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25"/>
      <c r="P13" s="25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</row>
    <row r="14" spans="2:29" x14ac:dyDescent="0.35">
      <c r="B14" s="20">
        <v>1802.0226013199972</v>
      </c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>
        <f>SUM(B14:CHOOSE(MONTH(Mes_cierre),B14,C14,D14,E14,F14,G14,H14,I14,J14,K14,L14,M14))</f>
        <v>1802.0226013199972</v>
      </c>
      <c r="O14" s="25"/>
      <c r="P14" s="288"/>
      <c r="Q14" s="20">
        <v>1038.0872085119995</v>
      </c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>
        <f>SUM(Q14:CHOOSE(MONTH(Mes_cierre),Q14,R14,S14,T14,U14,V14,W14,X14,Y14,Z14,AA14,AB14))</f>
        <v>1038.0872085119995</v>
      </c>
    </row>
    <row r="15" spans="2:29" x14ac:dyDescent="0.35">
      <c r="B15" s="8">
        <v>0</v>
      </c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>
        <f>SUM(B15:CHOOSE(MONTH(Mes_cierre),B15,C15,D15,E15,F15,G15,H15,I15,J15,K15,L15,M15))</f>
        <v>0</v>
      </c>
      <c r="O15" s="288"/>
      <c r="P15" s="288"/>
      <c r="Q15" s="8">
        <v>0</v>
      </c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>
        <f>SUM(Q15:CHOOSE(MONTH(Mes_cierre),Q15,R15,S15,T15,U15,V15,W15,X15,Y15,Z15,AA15,AB15))</f>
        <v>0</v>
      </c>
    </row>
    <row r="16" spans="2:29" x14ac:dyDescent="0.35">
      <c r="B16" s="34">
        <v>0</v>
      </c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>
        <f>SUM(B16:CHOOSE(MONTH(Mes_cierre),B16,C16,D16,E16,F16,G16,H16,I16,J16,K16,L16,M16))</f>
        <v>0</v>
      </c>
      <c r="O16" s="288"/>
      <c r="P16" s="25"/>
      <c r="Q16" s="34">
        <v>0</v>
      </c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>
        <f>SUM(Q16:CHOOSE(MONTH(Mes_cierre),Q16,R16,S16,T16,U16,V16,W16,X16,Y16,Z16,AA16,AB16))</f>
        <v>0</v>
      </c>
    </row>
    <row r="17" spans="2:29" x14ac:dyDescent="0.35">
      <c r="B17" s="14">
        <v>1802.0226013199972</v>
      </c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>
        <f>SUM(B17:CHOOSE(MONTH(Mes_cierre),B17,C17,D17,E17,F17,G17,H17,I17,J17,K17,L17,M17))</f>
        <v>1802.0226013199972</v>
      </c>
      <c r="O17" s="25"/>
      <c r="P17" s="25"/>
      <c r="Q17" s="14">
        <v>1038.0872085119995</v>
      </c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>
        <f>SUM(Q17:CHOOSE(MONTH(Mes_cierre),Q17,R17,S17,T17,U17,V17,W17,X17,Y17,Z17,AA17,AB17))</f>
        <v>1038.0872085119995</v>
      </c>
    </row>
    <row r="18" spans="2:29" x14ac:dyDescent="0.35"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25"/>
      <c r="P18" s="25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</row>
    <row r="19" spans="2:29" x14ac:dyDescent="0.35">
      <c r="B19" s="8">
        <v>0</v>
      </c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>
        <f>SUM(B19:CHOOSE(MONTH(Mes_cierre),B19,C19,D19,E19,F19,G19,H19,I19,J19,K19,L19,M19))</f>
        <v>0</v>
      </c>
      <c r="O19" s="25"/>
      <c r="P19" s="25"/>
      <c r="Q19" s="8">
        <v>0</v>
      </c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>
        <f>SUM(Q19:CHOOSE(MONTH(Mes_cierre),Q19,R19,S19,T19,U19,V19,W19,X19,Y19,Z19,AA19,AB19))</f>
        <v>0</v>
      </c>
    </row>
    <row r="20" spans="2:29" x14ac:dyDescent="0.35">
      <c r="B20" s="11">
        <v>-204.94335909599997</v>
      </c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>
        <f>SUM(B20:CHOOSE(MONTH(Mes_cierre),B20,C20,D20,E20,F20,G20,H20,I20,J20,K20,L20,M20))</f>
        <v>-204.94335909599997</v>
      </c>
      <c r="O20" s="25"/>
      <c r="P20" s="25"/>
      <c r="Q20" s="11">
        <v>0</v>
      </c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>
        <f>SUM(Q20:CHOOSE(MONTH(Mes_cierre),Q20,R20,S20,T20,U20,V20,W20,X20,Y20,Z20,AA20,AB20))</f>
        <v>0</v>
      </c>
    </row>
    <row r="21" spans="2:29" x14ac:dyDescent="0.35">
      <c r="B21" s="11">
        <v>0</v>
      </c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>
        <f>SUM(B21:CHOOSE(MONTH(Mes_cierre),B21,C21,D21,E21,F21,G21,H21,I21,J21,K21,L21,M21))</f>
        <v>0</v>
      </c>
      <c r="O21" s="25"/>
      <c r="P21" s="25"/>
      <c r="Q21" s="11">
        <v>239.86693699199998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>
        <f>SUM(Q21:CHOOSE(MONTH(Mes_cierre),Q21,R21,S21,T21,U21,V21,W21,X21,Y21,Z21,AA21,AB21))</f>
        <v>239.86693699199998</v>
      </c>
    </row>
    <row r="22" spans="2:29" x14ac:dyDescent="0.35">
      <c r="B22" s="11">
        <v>0</v>
      </c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>
        <f>SUM(B22:CHOOSE(MONTH(Mes_cierre),B22,C22,D22,E22,F22,G22,H22,I22,J22,K22,L22,M22))</f>
        <v>0</v>
      </c>
      <c r="O22" s="25"/>
      <c r="P22" s="25"/>
      <c r="Q22" s="11">
        <v>0</v>
      </c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>
        <f>SUM(Q22:CHOOSE(MONTH(Mes_cierre),Q22,R22,S22,T22,U22,V22,W22,X22,Y22,Z22,AA22,AB22))</f>
        <v>0</v>
      </c>
    </row>
    <row r="23" spans="2:29" x14ac:dyDescent="0.35">
      <c r="B23" s="11">
        <v>0</v>
      </c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>
        <f>SUM(B23:CHOOSE(MONTH(Mes_cierre),B23,C23,D23,E23,F23,G23,H23,I23,J23,K23,L23,M23))</f>
        <v>0</v>
      </c>
      <c r="O23" s="25"/>
      <c r="P23" s="25"/>
      <c r="Q23" s="11">
        <v>0</v>
      </c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>
        <f>SUM(Q23:CHOOSE(MONTH(Mes_cierre),Q23,R23,S23,T23,U23,V23,W23,X23,Y23,Z23,AA23,AB23))</f>
        <v>0</v>
      </c>
    </row>
    <row r="24" spans="2:29" x14ac:dyDescent="0.35">
      <c r="B24" s="14">
        <v>-204.94335909599997</v>
      </c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>
        <f>SUM(B24:CHOOSE(MONTH(Mes_cierre),B24,C24,D24,E24,F24,G24,H24,I24,J24,K24,L24,M24))</f>
        <v>-204.94335909599997</v>
      </c>
      <c r="O24" s="25"/>
      <c r="P24" s="25"/>
      <c r="Q24" s="14">
        <v>239.86693699199998</v>
      </c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>
        <f>SUM(Q24:CHOOSE(MONTH(Mes_cierre),Q24,R24,S24,T24,U24,V24,W24,X24,Y24,Z24,AA24,AB24))</f>
        <v>239.86693699199998</v>
      </c>
    </row>
    <row r="25" spans="2:29" x14ac:dyDescent="0.35">
      <c r="B25" s="14">
        <v>2006.9659604159972</v>
      </c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>
        <f>SUM(B25:CHOOSE(MONTH(Mes_cierre),B25,C25,D25,E25,F25,G25,H25,I25,J25,K25,L25,M25))</f>
        <v>2006.9659604159972</v>
      </c>
      <c r="O25" s="25"/>
      <c r="P25" s="25"/>
      <c r="Q25" s="14">
        <v>798.22027151999953</v>
      </c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>
        <f>SUM(Q25:CHOOSE(MONTH(Mes_cierre),Q25,R25,S25,T25,U25,V25,W25,X25,Y25,Z25,AA25,AB25))</f>
        <v>798.22027151999953</v>
      </c>
    </row>
    <row r="26" spans="2:29" x14ac:dyDescent="0.35"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25"/>
      <c r="P26" s="25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30"/>
      <c r="AC26" s="30"/>
    </row>
    <row r="27" spans="2:29" x14ac:dyDescent="0.35">
      <c r="B27" s="8">
        <v>0</v>
      </c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>
        <f>SUM(B27:CHOOSE(MONTH(Mes_cierre),B27,C27,D27,E27,F27,G27,H27,I27,J27,K27,L27,M27))</f>
        <v>0</v>
      </c>
      <c r="O27" s="25"/>
      <c r="P27" s="25"/>
      <c r="Q27" s="8">
        <v>0</v>
      </c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>
        <f>SUM(Q27:CHOOSE(MONTH(Mes_cierre),Q27,R27,S27,T27,U27,V27,W27,X27,Y27,Z27,AA27,AB27))</f>
        <v>0</v>
      </c>
    </row>
    <row r="28" spans="2:29" x14ac:dyDescent="0.35">
      <c r="B28" s="11">
        <v>0</v>
      </c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>
        <f>SUM(B28:CHOOSE(MONTH(Mes_cierre),B28,C28,D28,E28,F28,G28,H28,I28,J28,K28,L28,M28))</f>
        <v>0</v>
      </c>
      <c r="O28" s="25"/>
      <c r="P28" s="25"/>
      <c r="Q28" s="11">
        <v>0</v>
      </c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>
        <f>SUM(Q28:CHOOSE(MONTH(Mes_cierre),Q28,R28,S28,T28,U28,V28,W28,X28,Y28,Z28,AA28,AB28))</f>
        <v>0</v>
      </c>
    </row>
    <row r="29" spans="2:29" x14ac:dyDescent="0.35">
      <c r="B29" s="14">
        <v>2006.9659604159972</v>
      </c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>
        <f>SUM(B29:CHOOSE(MONTH(Mes_cierre),B29,C29,D29,E29,F29,G29,H29,I29,J29,K29,L29,M29))</f>
        <v>2006.9659604159972</v>
      </c>
      <c r="O29" s="25"/>
      <c r="P29" s="25"/>
      <c r="Q29" s="14">
        <v>798.22027151999953</v>
      </c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>
        <f>SUM(Q29:CHOOSE(MONTH(Mes_cierre),Q29,R29,S29,T29,U29,V29,W29,X29,Y29,Z29,AA29,AB29))</f>
        <v>798.22027151999953</v>
      </c>
    </row>
    <row r="30" spans="2:29" x14ac:dyDescent="0.35">
      <c r="B30" s="14">
        <v>2178.4403092319972</v>
      </c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>
        <f>SUM(B30:CHOOSE(MONTH(Mes_cierre),B30,C30,D30,E30,F30,G30,H30,I30,J30,K30,L30,M30))</f>
        <v>2178.4403092319972</v>
      </c>
      <c r="O30" s="25"/>
      <c r="P30" s="25"/>
      <c r="Q30" s="14">
        <v>1647.3457578959994</v>
      </c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>
        <f>SUM(Q30:CHOOSE(MONTH(Mes_cierre),Q30,R30,S30,T30,U30,V30,W30,X30,Y30,Z30,AA30,AB30))</f>
        <v>1647.3457578959994</v>
      </c>
    </row>
    <row r="31" spans="2:29" x14ac:dyDescent="0.35">
      <c r="B31" s="14">
        <v>2383.3836683279974</v>
      </c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>
        <f>SUM(B31:CHOOSE(MONTH(Mes_cierre),B31,C31,D31,E31,F31,G31,H31,I31,J31,K31,L31,M31))</f>
        <v>2383.3836683279974</v>
      </c>
      <c r="O31" s="25"/>
      <c r="P31" s="288"/>
      <c r="Q31" s="14">
        <v>1407.4788209039993</v>
      </c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>
        <f>SUM(Q31:CHOOSE(MONTH(Mes_cierre),Q31,R31,S31,T31,U31,V31,W31,X31,Y31,Z31,AA31,AB31))</f>
        <v>1407.4788209039993</v>
      </c>
    </row>
    <row r="32" spans="2:29" x14ac:dyDescent="0.35">
      <c r="B32" s="289">
        <v>0</v>
      </c>
      <c r="C32" s="289"/>
      <c r="D32" s="289"/>
      <c r="E32" s="289"/>
      <c r="F32" s="289"/>
      <c r="G32" s="289"/>
      <c r="H32" s="289"/>
      <c r="I32" s="289"/>
      <c r="J32" s="289"/>
      <c r="K32" s="289"/>
      <c r="L32" s="289"/>
      <c r="M32" s="289"/>
      <c r="N32" s="289">
        <f>SUM(B32:CHOOSE(MONTH(Mes_cierre),B32,C32,D32,E32,F32,G32,H32,I32,J32,K32,L32,M32))</f>
        <v>0</v>
      </c>
      <c r="O32" s="288"/>
      <c r="P32" s="25"/>
      <c r="Q32" s="289">
        <v>0</v>
      </c>
      <c r="R32" s="289"/>
      <c r="S32" s="289"/>
      <c r="T32" s="289"/>
      <c r="U32" s="289"/>
      <c r="V32" s="289"/>
      <c r="W32" s="289"/>
      <c r="X32" s="289"/>
      <c r="Y32" s="289"/>
      <c r="Z32" s="289"/>
      <c r="AA32" s="289"/>
      <c r="AB32" s="289"/>
      <c r="AC32" s="289">
        <f>SUM(Q32:CHOOSE(MONTH(Mes_cierre),Q32,R32,S32,T32,U32,V32,W32,X32,Y32,Z32,AA32,AB32))</f>
        <v>0</v>
      </c>
    </row>
    <row r="33" spans="2:29" x14ac:dyDescent="0.35">
      <c r="B33" s="14">
        <v>2383.3836683279974</v>
      </c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>
        <f>SUM(B33:CHOOSE(MONTH(Mes_cierre),B33,C33,D33,E33,F33,G33,H33,I33,J33,K33,L33,M33))</f>
        <v>2383.3836683279974</v>
      </c>
      <c r="O33" s="25"/>
      <c r="P33" s="288"/>
      <c r="Q33" s="14">
        <v>1407.4788209039993</v>
      </c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>
        <f>SUM(Q33:CHOOSE(MONTH(Mes_cierre),Q33,R33,S33,T33,U33,V33,W33,X33,Y33,Z33,AA33,AB33))</f>
        <v>1407.4788209039993</v>
      </c>
    </row>
    <row r="34" spans="2:29" x14ac:dyDescent="0.35">
      <c r="B34" s="289">
        <v>0</v>
      </c>
      <c r="C34" s="289"/>
      <c r="D34" s="289"/>
      <c r="E34" s="289"/>
      <c r="F34" s="289"/>
      <c r="G34" s="289"/>
      <c r="H34" s="289"/>
      <c r="I34" s="289"/>
      <c r="J34" s="289"/>
      <c r="K34" s="289"/>
      <c r="L34" s="289"/>
      <c r="M34" s="289"/>
      <c r="N34" s="289">
        <f>SUM(B34:CHOOSE(MONTH(Mes_cierre),B34,C34,D34,E34,F34,G34,H34,I34,J34,K34,L34,M34))</f>
        <v>0</v>
      </c>
      <c r="O34" s="288"/>
      <c r="P34" s="288"/>
      <c r="Q34" s="289">
        <v>0</v>
      </c>
      <c r="R34" s="289"/>
      <c r="S34" s="289"/>
      <c r="T34" s="289"/>
      <c r="U34" s="289"/>
      <c r="V34" s="289"/>
      <c r="W34" s="289"/>
      <c r="X34" s="289"/>
      <c r="Y34" s="289"/>
      <c r="Z34" s="289"/>
      <c r="AA34" s="289"/>
      <c r="AB34" s="289"/>
      <c r="AC34" s="289">
        <f>SUM(Q34:CHOOSE(MONTH(Mes_cierre),Q34,R34,S34,T34,U34,V34,W34,X34,Y34,Z34,AA34,AB34))</f>
        <v>0</v>
      </c>
    </row>
    <row r="35" spans="2:29" x14ac:dyDescent="0.35">
      <c r="B35" s="14">
        <v>2383.3836683279974</v>
      </c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>
        <f>SUM(B35:CHOOSE(MONTH(Mes_cierre),B35,C35,D35,E35,F35,G35,H35,I35,J35,K35,L35,M35))</f>
        <v>2383.3836683279974</v>
      </c>
      <c r="O35" s="25"/>
      <c r="P35" s="287"/>
      <c r="Q35" s="14">
        <v>1407.4788209039993</v>
      </c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>
        <f>SUM(Q35:CHOOSE(MONTH(Mes_cierre),Q35,R35,S35,T35,U35,V35,W35,X35,Y35,Z35,AA35,AB35))</f>
        <v>1407.4788209039993</v>
      </c>
    </row>
    <row r="36" spans="2:29" x14ac:dyDescent="0.35"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</row>
    <row r="37" spans="2:29" x14ac:dyDescent="0.35"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</row>
    <row r="38" spans="2:29" x14ac:dyDescent="0.35">
      <c r="B38" s="287" t="s">
        <v>362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87" t="s">
        <v>364</v>
      </c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</row>
    <row r="39" spans="2:29" x14ac:dyDescent="0.35">
      <c r="B39" s="269" t="s">
        <v>351</v>
      </c>
      <c r="C39" s="269" t="s">
        <v>352</v>
      </c>
      <c r="D39" s="269" t="s">
        <v>353</v>
      </c>
      <c r="E39" s="269" t="s">
        <v>354</v>
      </c>
      <c r="F39" s="269" t="s">
        <v>342</v>
      </c>
      <c r="G39" s="269" t="s">
        <v>355</v>
      </c>
      <c r="H39" s="269" t="s">
        <v>356</v>
      </c>
      <c r="I39" s="269" t="s">
        <v>357</v>
      </c>
      <c r="J39" s="269" t="s">
        <v>358</v>
      </c>
      <c r="K39" s="269" t="s">
        <v>359</v>
      </c>
      <c r="L39" s="269" t="s">
        <v>360</v>
      </c>
      <c r="M39" s="269" t="s">
        <v>361</v>
      </c>
      <c r="N39" s="269" t="s">
        <v>350</v>
      </c>
      <c r="O39" s="25"/>
      <c r="P39" s="25"/>
      <c r="Q39" s="269" t="s">
        <v>351</v>
      </c>
      <c r="R39" s="269" t="s">
        <v>352</v>
      </c>
      <c r="S39" s="269" t="s">
        <v>353</v>
      </c>
      <c r="T39" s="269" t="s">
        <v>354</v>
      </c>
      <c r="U39" s="269" t="s">
        <v>342</v>
      </c>
      <c r="V39" s="269" t="s">
        <v>355</v>
      </c>
      <c r="W39" s="269" t="s">
        <v>356</v>
      </c>
      <c r="X39" s="269" t="s">
        <v>357</v>
      </c>
      <c r="Y39" s="269" t="s">
        <v>358</v>
      </c>
      <c r="Z39" s="269" t="s">
        <v>359</v>
      </c>
      <c r="AA39" s="269" t="s">
        <v>360</v>
      </c>
      <c r="AB39" s="269" t="s">
        <v>361</v>
      </c>
      <c r="AC39" s="269" t="s">
        <v>350</v>
      </c>
    </row>
    <row r="40" spans="2:29" x14ac:dyDescent="0.35">
      <c r="B40" s="8">
        <v>28326.066112799999</v>
      </c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>
        <f>SUM(B40:CHOOSE(MONTH(Mes_cierre),B40,C40,D40,E40,F40,G40,H40,I40,J40,K40,L40,M40))</f>
        <v>28326.066112799999</v>
      </c>
      <c r="O40" s="25"/>
      <c r="P40" s="25"/>
      <c r="Q40" s="8">
        <v>2100.8510999999999</v>
      </c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>
        <f>SUM(Q40:CHOOSE(MONTH(Mes_cierre),Q40,R40,S40,T40,U40,V40,W40,X40,Y40,Z40,AA40,AB40))</f>
        <v>2100.8510999999999</v>
      </c>
    </row>
    <row r="41" spans="2:29" x14ac:dyDescent="0.35">
      <c r="B41" s="11">
        <v>8858.8668959999995</v>
      </c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>
        <f>SUM(B41:CHOOSE(MONTH(Mes_cierre),B41,C41,D41,E41,F41,G41,H41,I41,J41,K41,L41,M41))</f>
        <v>8858.8668959999995</v>
      </c>
      <c r="O41" s="25"/>
      <c r="P41" s="25"/>
      <c r="Q41" s="11">
        <v>0</v>
      </c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>
        <f>SUM(Q41:CHOOSE(MONTH(Mes_cierre),Q41,R41,S41,T41,U41,V41,W41,X41,Y41,Z41,AA41,AB41))</f>
        <v>0</v>
      </c>
    </row>
    <row r="42" spans="2:29" x14ac:dyDescent="0.35">
      <c r="B42" s="14">
        <v>19467.1992168</v>
      </c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>
        <f>SUM(B42:CHOOSE(MONTH(Mes_cierre),B42,C42,D42,E42,F42,G42,H42,I42,J42,K42,L42,M42))</f>
        <v>19467.1992168</v>
      </c>
      <c r="O42" s="25"/>
      <c r="P42" s="25"/>
      <c r="Q42" s="14">
        <v>2100.8510999999999</v>
      </c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>
        <f>SUM(Q42:CHOOSE(MONTH(Mes_cierre),Q42,R42,S42,T42,U42,V42,W42,X42,Y42,Z42,AA42,AB42))</f>
        <v>2100.8510999999999</v>
      </c>
    </row>
    <row r="43" spans="2:29" x14ac:dyDescent="0.35">
      <c r="B43" s="30"/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25"/>
      <c r="P43" s="25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0">
        <v>0</v>
      </c>
    </row>
    <row r="44" spans="2:29" x14ac:dyDescent="0.35">
      <c r="B44" s="8">
        <v>18879.122707199997</v>
      </c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>
        <f>SUM(B44:CHOOSE(MONTH(Mes_cierre),B44,C44,D44,E44,F44,G44,H44,I44,J44,K44,L44,M44))</f>
        <v>18879.122707199997</v>
      </c>
      <c r="O44" s="25"/>
      <c r="P44" s="25"/>
      <c r="Q44" s="8">
        <v>671.46335999999997</v>
      </c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>
        <f>SUM(Q44:CHOOSE(MONTH(Mes_cierre),Q44,R44,S44,T44,U44,V44,W44,X44,Y44,Z44,AA44,AB44))</f>
        <v>671.46335999999997</v>
      </c>
    </row>
    <row r="45" spans="2:29" x14ac:dyDescent="0.35">
      <c r="B45" s="11">
        <v>1249.2049967999999</v>
      </c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>
        <f>SUM(B45:CHOOSE(MONTH(Mes_cierre),B45,C45,D45,E45,F45,G45,H45,I45,J45,K45,L45,M45))</f>
        <v>1249.2049967999999</v>
      </c>
      <c r="O45" s="25"/>
      <c r="P45" s="25"/>
      <c r="Q45" s="11">
        <v>0</v>
      </c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>
        <f>SUM(Q45:CHOOSE(MONTH(Mes_cierre),Q45,R45,S45,T45,U45,V45,W45,X45,Y45,Z45,AA45,AB45))</f>
        <v>0</v>
      </c>
    </row>
    <row r="46" spans="2:29" x14ac:dyDescent="0.35">
      <c r="B46" s="11">
        <v>268.86849119999999</v>
      </c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>
        <f>SUM(B46:CHOOSE(MONTH(Mes_cierre),B46,C46,D46,E46,F46,G46,H46,I46,J46,K46,L46,M46))</f>
        <v>268.86849119999999</v>
      </c>
      <c r="O46" s="25"/>
      <c r="P46" s="25"/>
      <c r="Q46" s="11">
        <v>277.03931039999998</v>
      </c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>
        <f>SUM(Q46:CHOOSE(MONTH(Mes_cierre),Q46,R46,S46,T46,U46,V46,W46,X46,Y46,Z46,AA46,AB46))</f>
        <v>277.03931039999998</v>
      </c>
    </row>
    <row r="47" spans="2:29" x14ac:dyDescent="0.35">
      <c r="B47" s="14">
        <v>20397.196195199995</v>
      </c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>
        <f>SUM(B47:CHOOSE(MONTH(Mes_cierre),B47,C47,D47,E47,F47,G47,H47,I47,J47,K47,L47,M47))</f>
        <v>20397.196195199995</v>
      </c>
      <c r="O47" s="25"/>
      <c r="P47" s="25"/>
      <c r="Q47" s="14">
        <v>948.50267039999994</v>
      </c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>
        <f>SUM(Q47:CHOOSE(MONTH(Mes_cierre),Q47,R47,S47,T47,U47,V47,W47,X47,Y47,Z47,AA47,AB47))</f>
        <v>948.50267039999994</v>
      </c>
    </row>
    <row r="48" spans="2:29" x14ac:dyDescent="0.35">
      <c r="B48" s="20">
        <v>-929.99697839999499</v>
      </c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>
        <f>SUM(B48:CHOOSE(MONTH(Mes_cierre),B48,C48,D48,E48,F48,G48,H48,I48,J48,K48,L48,M48))</f>
        <v>-929.99697839999499</v>
      </c>
      <c r="O48" s="25"/>
      <c r="P48" s="25"/>
      <c r="Q48" s="20">
        <v>1152.3484295999999</v>
      </c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>
        <f>SUM(Q48:CHOOSE(MONTH(Mes_cierre),Q48,R48,S48,T48,U48,V48,W48,X48,Y48,Z48,AA48,AB48))</f>
        <v>1152.3484295999999</v>
      </c>
    </row>
    <row r="49" spans="2:29" x14ac:dyDescent="0.35">
      <c r="B49" s="30"/>
      <c r="C49" s="30"/>
      <c r="D49" s="30"/>
      <c r="E49" s="30"/>
      <c r="F49" s="30"/>
      <c r="G49" s="30"/>
      <c r="H49" s="30"/>
      <c r="I49" s="30"/>
      <c r="J49" s="30"/>
      <c r="K49" s="30"/>
      <c r="L49" s="30"/>
      <c r="M49" s="30"/>
      <c r="N49" s="30"/>
      <c r="O49" s="25"/>
      <c r="P49" s="25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>
        <v>0</v>
      </c>
    </row>
    <row r="50" spans="2:29" x14ac:dyDescent="0.35">
      <c r="B50" s="8">
        <v>0</v>
      </c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>
        <f>SUM(B50:CHOOSE(MONTH(Mes_cierre),B50,C50,D50,E50,F50,G50,H50,I50,J50,K50,L50,M50))</f>
        <v>0</v>
      </c>
      <c r="O50" s="25"/>
      <c r="P50" s="25"/>
      <c r="Q50" s="8">
        <v>0</v>
      </c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>
        <f>SUM(Q50:CHOOSE(MONTH(Mes_cierre),Q50,R50,S50,T50,U50,V50,W50,X50,Y50,Z50,AA50,AB50))</f>
        <v>0</v>
      </c>
    </row>
    <row r="51" spans="2:29" x14ac:dyDescent="0.35">
      <c r="B51" s="11">
        <v>-211.14691199999999</v>
      </c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>
        <f>SUM(B51:CHOOSE(MONTH(Mes_cierre),B51,C51,D51,E51,F51,G51,H51,I51,J51,K51,L51,M51))</f>
        <v>-211.14691199999999</v>
      </c>
      <c r="O51" s="25"/>
      <c r="P51" s="25"/>
      <c r="Q51" s="11">
        <v>0</v>
      </c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>
        <f>SUM(Q51:CHOOSE(MONTH(Mes_cierre),Q51,R51,S51,T51,U51,V51,W51,X51,Y51,Z51,AA51,AB51))</f>
        <v>0</v>
      </c>
    </row>
    <row r="52" spans="2:29" x14ac:dyDescent="0.35">
      <c r="B52" s="11">
        <v>0</v>
      </c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>
        <f>SUM(B52:CHOOSE(MONTH(Mes_cierre),B52,C52,D52,E52,F52,G52,H52,I52,J52,K52,L52,M52))</f>
        <v>0</v>
      </c>
      <c r="O52" s="25"/>
      <c r="P52" s="25"/>
      <c r="Q52" s="11">
        <v>175.95575999999997</v>
      </c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>
        <f>SUM(Q52:CHOOSE(MONTH(Mes_cierre),Q52,R52,S52,T52,U52,V52,W52,X52,Y52,Z52,AA52,AB52))</f>
        <v>175.95575999999997</v>
      </c>
    </row>
    <row r="53" spans="2:29" x14ac:dyDescent="0.35">
      <c r="B53" s="11">
        <v>0</v>
      </c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>
        <f>SUM(B53:CHOOSE(MONTH(Mes_cierre),B53,C53,D53,E53,F53,G53,H53,I53,J53,K53,L53,M53))</f>
        <v>0</v>
      </c>
      <c r="O53" s="25"/>
      <c r="P53" s="25"/>
      <c r="Q53" s="11">
        <v>0</v>
      </c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>
        <f>SUM(Q53:CHOOSE(MONTH(Mes_cierre),Q53,R53,S53,T53,U53,V53,W53,X53,Y53,Z53,AA53,AB53))</f>
        <v>0</v>
      </c>
    </row>
    <row r="54" spans="2:29" x14ac:dyDescent="0.35">
      <c r="B54" s="11">
        <v>0</v>
      </c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>
        <f>SUM(B54:CHOOSE(MONTH(Mes_cierre),B54,C54,D54,E54,F54,G54,H54,I54,J54,K54,L54,M54))</f>
        <v>0</v>
      </c>
      <c r="O54" s="25"/>
      <c r="P54" s="25"/>
      <c r="Q54" s="11">
        <v>0</v>
      </c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>
        <f>SUM(Q54:CHOOSE(MONTH(Mes_cierre),Q54,R54,S54,T54,U54,V54,W54,X54,Y54,Z54,AA54,AB54))</f>
        <v>0</v>
      </c>
    </row>
    <row r="55" spans="2:29" x14ac:dyDescent="0.35">
      <c r="B55" s="290">
        <v>-211.14691199999999</v>
      </c>
      <c r="C55" s="290"/>
      <c r="D55" s="290"/>
      <c r="E55" s="290"/>
      <c r="F55" s="290"/>
      <c r="G55" s="290"/>
      <c r="H55" s="290"/>
      <c r="I55" s="290"/>
      <c r="J55" s="290"/>
      <c r="K55" s="290"/>
      <c r="L55" s="290"/>
      <c r="M55" s="290"/>
      <c r="N55" s="290">
        <f>SUM(B55:CHOOSE(MONTH(Mes_cierre),B55,C55,D55,E55,F55,G55,H55,I55,J55,K55,L55,M55))</f>
        <v>-211.14691199999999</v>
      </c>
      <c r="O55" s="25"/>
      <c r="P55" s="25"/>
      <c r="Q55" s="290">
        <v>175.95575999999997</v>
      </c>
      <c r="R55" s="290"/>
      <c r="S55" s="290"/>
      <c r="T55" s="290"/>
      <c r="U55" s="290"/>
      <c r="V55" s="290"/>
      <c r="W55" s="290"/>
      <c r="X55" s="290"/>
      <c r="Y55" s="290"/>
      <c r="Z55" s="290"/>
      <c r="AA55" s="290"/>
      <c r="AB55" s="290"/>
      <c r="AC55" s="290">
        <f>SUM(Q55:CHOOSE(MONTH(Mes_cierre),Q55,R55,S55,T55,U55,V55,W55,X55,Y55,Z55,AA55,AB55))</f>
        <v>175.95575999999997</v>
      </c>
    </row>
    <row r="56" spans="2:29" x14ac:dyDescent="0.35">
      <c r="B56" s="14">
        <v>-718.85006639999506</v>
      </c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>
        <f>SUM(B56:CHOOSE(MONTH(Mes_cierre),B56,C56,D56,E56,F56,G56,H56,I56,J56,K56,L56,M56))</f>
        <v>-718.85006639999506</v>
      </c>
      <c r="O56" s="25"/>
      <c r="P56" s="25"/>
      <c r="Q56" s="14">
        <v>976.39266959999998</v>
      </c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>
        <f>SUM(Q56:CHOOSE(MONTH(Mes_cierre),Q56,R56,S56,T56,U56,V56,W56,X56,Y56,Z56,AA56,AB56))</f>
        <v>976.39266959999998</v>
      </c>
    </row>
    <row r="57" spans="2:29" x14ac:dyDescent="0.35"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25"/>
      <c r="P57" s="25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  <c r="AC57" s="30">
        <v>0</v>
      </c>
    </row>
    <row r="58" spans="2:29" x14ac:dyDescent="0.35">
      <c r="B58" s="8">
        <v>0</v>
      </c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>
        <f>SUM(B58:CHOOSE(MONTH(Mes_cierre),B58,C58,D58,E58,F58,G58,H58,I58,J58,K58,L58,M58))</f>
        <v>0</v>
      </c>
      <c r="O58" s="25"/>
      <c r="P58" s="25"/>
      <c r="Q58" s="8">
        <v>0</v>
      </c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>
        <f>SUM(Q58:CHOOSE(MONTH(Mes_cierre),Q58,R58,S58,T58,U58,V58,W58,X58,Y58,Z58,AA58,AB58))</f>
        <v>0</v>
      </c>
    </row>
    <row r="59" spans="2:29" x14ac:dyDescent="0.35">
      <c r="B59" s="11">
        <v>0</v>
      </c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>
        <f>SUM(B59:CHOOSE(MONTH(Mes_cierre),B59,C59,D59,E59,F59,G59,H59,I59,J59,K59,L59,M59))</f>
        <v>0</v>
      </c>
      <c r="O59" s="25"/>
      <c r="P59" s="25"/>
      <c r="Q59" s="11">
        <v>0</v>
      </c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>
        <f>SUM(Q59:CHOOSE(MONTH(Mes_cierre),Q59,R59,S59,T59,U59,V59,W59,X59,Y59,Z59,AA59,AB59))</f>
        <v>0</v>
      </c>
    </row>
    <row r="60" spans="2:29" x14ac:dyDescent="0.35">
      <c r="B60" s="14">
        <v>-718.85006639999506</v>
      </c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>
        <f>SUM(B60:CHOOSE(MONTH(Mes_cierre),B60,C60,D60,E60,F60,G60,H60,I60,J60,K60,L60,M60))</f>
        <v>-718.85006639999506</v>
      </c>
      <c r="O60" s="25"/>
      <c r="P60" s="25"/>
      <c r="Q60" s="14">
        <v>976.39266959999998</v>
      </c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>
        <f>SUM(Q60:CHOOSE(MONTH(Mes_cierre),Q60,R60,S60,T60,U60,V60,W60,X60,Y60,Z60,AA60,AB60))</f>
        <v>976.39266959999998</v>
      </c>
    </row>
    <row r="61" spans="2:29" x14ac:dyDescent="0.35">
      <c r="B61" s="20">
        <v>-661.12848719999499</v>
      </c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>
        <f>SUM(B61:CHOOSE(MONTH(Mes_cierre),B61,C61,D61,E61,F61,G61,H61,I61,J61,K61,L61,M61))</f>
        <v>-661.12848719999499</v>
      </c>
      <c r="O61" s="25"/>
      <c r="P61" s="25"/>
      <c r="Q61" s="20">
        <v>1429.3877399999999</v>
      </c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>
        <f>SUM(Q61:CHOOSE(MONTH(Mes_cierre),Q61,R61,S61,T61,U61,V61,W61,X61,Y61,Z61,AA61,AB61))</f>
        <v>1429.3877399999999</v>
      </c>
    </row>
    <row r="62" spans="2:29" x14ac:dyDescent="0.35"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>
        <v>0</v>
      </c>
    </row>
    <row r="63" spans="2:29" x14ac:dyDescent="0.35"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</row>
    <row r="64" spans="2:29" x14ac:dyDescent="0.35">
      <c r="B64" s="287" t="s">
        <v>363</v>
      </c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87" t="s">
        <v>365</v>
      </c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</row>
    <row r="65" spans="2:29" x14ac:dyDescent="0.35">
      <c r="B65" s="269" t="s">
        <v>351</v>
      </c>
      <c r="C65" s="269" t="s">
        <v>352</v>
      </c>
      <c r="D65" s="269" t="s">
        <v>353</v>
      </c>
      <c r="E65" s="269" t="s">
        <v>354</v>
      </c>
      <c r="F65" s="269" t="s">
        <v>342</v>
      </c>
      <c r="G65" s="269" t="s">
        <v>355</v>
      </c>
      <c r="H65" s="269" t="s">
        <v>356</v>
      </c>
      <c r="I65" s="269" t="s">
        <v>357</v>
      </c>
      <c r="J65" s="269" t="s">
        <v>358</v>
      </c>
      <c r="K65" s="269" t="s">
        <v>359</v>
      </c>
      <c r="L65" s="269" t="s">
        <v>360</v>
      </c>
      <c r="M65" s="269" t="s">
        <v>361</v>
      </c>
      <c r="N65" s="269" t="s">
        <v>350</v>
      </c>
      <c r="O65" s="25"/>
      <c r="P65" s="25"/>
      <c r="Q65" s="269" t="s">
        <v>27</v>
      </c>
      <c r="R65" s="269" t="s">
        <v>27</v>
      </c>
      <c r="S65" s="269" t="s">
        <v>27</v>
      </c>
      <c r="T65" s="269" t="s">
        <v>27</v>
      </c>
      <c r="U65" s="269" t="s">
        <v>27</v>
      </c>
      <c r="V65" s="269" t="s">
        <v>355</v>
      </c>
      <c r="W65" s="269" t="s">
        <v>356</v>
      </c>
      <c r="X65" s="269" t="s">
        <v>357</v>
      </c>
      <c r="Y65" s="269" t="s">
        <v>358</v>
      </c>
      <c r="Z65" s="269" t="s">
        <v>359</v>
      </c>
      <c r="AA65" s="269" t="s">
        <v>360</v>
      </c>
      <c r="AB65" s="269" t="s">
        <v>361</v>
      </c>
      <c r="AC65" s="269" t="s">
        <v>350</v>
      </c>
    </row>
    <row r="66" spans="2:29" x14ac:dyDescent="0.35">
      <c r="B66" s="8">
        <v>27242.972252351999</v>
      </c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>
        <f>SUM(B66:CHOOSE(MONTH(Mes_cierre),B66,C66,D66,E66,F66,G66,H66,I66,J66,K66,L66,M66))</f>
        <v>27242.972252351999</v>
      </c>
      <c r="O66" s="25"/>
      <c r="P66" s="25"/>
      <c r="Q66" s="8">
        <v>2664.6358045679999</v>
      </c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>
        <f>SUM(Q66:CHOOSE(MONTH(Mes_cierre),Q66,R66,S66,T66,U66,V66,W66,X66,Y66,Z66,AA66,AB66))</f>
        <v>2664.6358045679999</v>
      </c>
    </row>
    <row r="67" spans="2:29" x14ac:dyDescent="0.35">
      <c r="B67" s="11">
        <v>8934.0236685359996</v>
      </c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>
        <f>SUM(B67:CHOOSE(MONTH(Mes_cierre),B67,C67,D67,E67,F67,G67,H67,I67,J67,K67,L67,M67))</f>
        <v>8934.0236685359996</v>
      </c>
      <c r="O67" s="25"/>
      <c r="P67" s="25"/>
      <c r="Q67" s="11">
        <v>0</v>
      </c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>
        <f>SUM(Q67:CHOOSE(MONTH(Mes_cierre),Q67,R67,S67,T67,U67,V67,W67,X67,Y67,Z67,AA67,AB67))</f>
        <v>0</v>
      </c>
    </row>
    <row r="68" spans="2:29" x14ac:dyDescent="0.35">
      <c r="B68" s="14">
        <v>18308.948583816</v>
      </c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>
        <f>SUM(B68:CHOOSE(MONTH(Mes_cierre),B68,C68,D68,E68,F68,G68,H68,I68,J68,K68,L68,M68))</f>
        <v>18308.948583816</v>
      </c>
      <c r="O68" s="25"/>
      <c r="P68" s="25"/>
      <c r="Q68" s="14">
        <v>2664.6358045679999</v>
      </c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>
        <f>SUM(Q68:CHOOSE(MONTH(Mes_cierre),Q68,R68,S68,T68,U68,V68,W68,X68,Y68,Z68,AA68,AB68))</f>
        <v>2664.6358045679999</v>
      </c>
    </row>
    <row r="69" spans="2:29" x14ac:dyDescent="0.35">
      <c r="B69" s="30"/>
      <c r="C69" s="30"/>
      <c r="D69" s="30"/>
      <c r="E69" s="30"/>
      <c r="F69" s="30"/>
      <c r="G69" s="30"/>
      <c r="H69" s="30"/>
      <c r="I69" s="30"/>
      <c r="J69" s="30"/>
      <c r="K69" s="30"/>
      <c r="L69" s="30"/>
      <c r="M69" s="30"/>
      <c r="N69" s="30"/>
      <c r="O69" s="25"/>
      <c r="P69" s="25"/>
      <c r="Q69" s="30"/>
      <c r="R69" s="30"/>
      <c r="S69" s="30"/>
      <c r="T69" s="30"/>
      <c r="U69" s="30"/>
      <c r="V69" s="30"/>
      <c r="W69" s="30"/>
      <c r="X69" s="30"/>
      <c r="Y69" s="30"/>
      <c r="Z69" s="30"/>
      <c r="AA69" s="30"/>
      <c r="AB69" s="30"/>
      <c r="AC69" s="30">
        <v>0</v>
      </c>
    </row>
    <row r="70" spans="2:29" x14ac:dyDescent="0.35">
      <c r="B70" s="8">
        <v>18563.403062304002</v>
      </c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>
        <f>SUM(B70:CHOOSE(MONTH(Mes_cierre),B70,C70,D70,E70,F70,G70,H70,I70,J70,K70,L70,M70))</f>
        <v>18563.403062304002</v>
      </c>
      <c r="O70" s="25"/>
      <c r="P70" s="25"/>
      <c r="Q70" s="8">
        <v>1639.6356596399999</v>
      </c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>
        <f>SUM(Q70:CHOOSE(MONTH(Mes_cierre),Q70,R70,S70,T70,U70,V70,W70,X70,Y70,Z70,AA70,AB70))</f>
        <v>1639.6356596399999</v>
      </c>
    </row>
    <row r="71" spans="2:29" x14ac:dyDescent="0.35">
      <c r="B71" s="11">
        <v>1153.2120285599999</v>
      </c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>
        <f>SUM(B71:CHOOSE(MONTH(Mes_cierre),B71,C71,D71,E71,F71,G71,H71,I71,J71,K71,L71,M71))</f>
        <v>1153.2120285599999</v>
      </c>
      <c r="O71" s="25"/>
      <c r="P71" s="25"/>
      <c r="Q71" s="11">
        <v>1.205195832</v>
      </c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>
        <f>SUM(Q71:CHOOSE(MONTH(Mes_cierre),Q71,R71,S71,T71,U71,V71,W71,X71,Y71,Z71,AA71,AB71))</f>
        <v>1.205195832</v>
      </c>
    </row>
    <row r="72" spans="2:29" x14ac:dyDescent="0.35">
      <c r="B72" s="11">
        <v>314.04503145599995</v>
      </c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>
        <f>SUM(B72:CHOOSE(MONTH(Mes_cierre),B72,C72,D72,E72,F72,G72,H72,I72,J72,K72,L72,M72))</f>
        <v>314.04503145599995</v>
      </c>
      <c r="O72" s="25"/>
      <c r="P72" s="25"/>
      <c r="Q72" s="11">
        <v>424.76954176800001</v>
      </c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>
        <f>SUM(Q72:CHOOSE(MONTH(Mes_cierre),Q72,R72,S72,T72,U72,V72,W72,X72,Y72,Z72,AA72,AB72))</f>
        <v>424.76954176800001</v>
      </c>
    </row>
    <row r="73" spans="2:29" x14ac:dyDescent="0.35">
      <c r="B73" s="14">
        <v>20030.660122320001</v>
      </c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>
        <f>SUM(B73:CHOOSE(MONTH(Mes_cierre),B73,C73,D73,E73,F73,G73,H73,I73,J73,K73,L73,M73))</f>
        <v>20030.660122320001</v>
      </c>
      <c r="O73" s="25"/>
      <c r="P73" s="25"/>
      <c r="Q73" s="14">
        <v>2065.6103972400001</v>
      </c>
      <c r="R73" s="14"/>
      <c r="S73" s="14"/>
      <c r="T73" s="14"/>
      <c r="U73" s="14"/>
      <c r="V73" s="14"/>
      <c r="W73" s="14"/>
      <c r="X73" s="14"/>
      <c r="Y73" s="14"/>
      <c r="Z73" s="14"/>
      <c r="AA73" s="14"/>
      <c r="AB73" s="14"/>
      <c r="AC73" s="14">
        <f>SUM(Q73:CHOOSE(MONTH(Mes_cierre),Q73,R73,S73,T73,U73,V73,W73,X73,Y73,Z73,AA73,AB73))</f>
        <v>2065.6103972400001</v>
      </c>
    </row>
    <row r="74" spans="2:29" x14ac:dyDescent="0.35">
      <c r="B74" s="20">
        <v>-1721.7115385040015</v>
      </c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>
        <f>SUM(B74:CHOOSE(MONTH(Mes_cierre),B74,C74,D74,E74,F74,G74,H74,I74,J74,K74,L74,M74))</f>
        <v>-1721.7115385040015</v>
      </c>
      <c r="O74" s="25"/>
      <c r="P74" s="25"/>
      <c r="Q74" s="20">
        <v>599.0254073279998</v>
      </c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>
        <f>SUM(Q74:CHOOSE(MONTH(Mes_cierre),Q74,R74,S74,T74,U74,V74,W74,X74,Y74,Z74,AA74,AB74))</f>
        <v>599.0254073279998</v>
      </c>
    </row>
    <row r="75" spans="2:29" x14ac:dyDescent="0.35">
      <c r="B75" s="30"/>
      <c r="C75" s="30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25"/>
      <c r="P75" s="25"/>
      <c r="Q75" s="30"/>
      <c r="R75" s="30"/>
      <c r="S75" s="30"/>
      <c r="T75" s="30"/>
      <c r="U75" s="30"/>
      <c r="V75" s="30"/>
      <c r="W75" s="30"/>
      <c r="X75" s="30"/>
      <c r="Y75" s="30"/>
      <c r="Z75" s="30"/>
      <c r="AA75" s="30"/>
      <c r="AB75" s="30"/>
      <c r="AC75" s="30">
        <v>0</v>
      </c>
    </row>
    <row r="76" spans="2:29" x14ac:dyDescent="0.35">
      <c r="B76" s="8">
        <v>0</v>
      </c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>
        <f>SUM(B76:CHOOSE(MONTH(Mes_cierre),B76,C76,D76,E76,F76,G76,H76,I76,J76,K76,L76,M76))</f>
        <v>0</v>
      </c>
      <c r="O76" s="25"/>
      <c r="P76" s="25"/>
      <c r="Q76" s="8">
        <v>0</v>
      </c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>
        <f>SUM(Q76:CHOOSE(MONTH(Mes_cierre),Q76,R76,S76,T76,U76,V76,W76,X76,Y76,Z76,AA76,AB76))</f>
        <v>0</v>
      </c>
    </row>
    <row r="77" spans="2:29" x14ac:dyDescent="0.35">
      <c r="B77" s="11">
        <v>-183.37017168</v>
      </c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>
        <f>SUM(B77:CHOOSE(MONTH(Mes_cierre),B77,C77,D77,E77,F77,G77,H77,I77,J77,K77,L77,M77))</f>
        <v>-183.37017168</v>
      </c>
      <c r="O77" s="25"/>
      <c r="P77" s="25"/>
      <c r="Q77" s="11">
        <v>63.538433927999996</v>
      </c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>
        <f>SUM(Q77:CHOOSE(MONTH(Mes_cierre),Q77,R77,S77,T77,U77,V77,W77,X77,Y77,Z77,AA77,AB77))</f>
        <v>63.538433927999996</v>
      </c>
    </row>
    <row r="78" spans="2:29" x14ac:dyDescent="0.35">
      <c r="B78" s="11">
        <v>172.568106</v>
      </c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>
        <f>SUM(B78:CHOOSE(MONTH(Mes_cierre),B78,C78,D78,E78,F78,G78,H78,I78,J78,K78,L78,M78))</f>
        <v>172.568106</v>
      </c>
      <c r="O78" s="25"/>
      <c r="P78" s="25"/>
      <c r="Q78" s="11">
        <v>814.72916901600013</v>
      </c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>
        <f>SUM(Q78:CHOOSE(MONTH(Mes_cierre),Q78,R78,S78,T78,U78,V78,W78,X78,Y78,Z78,AA78,AB78))</f>
        <v>814.72916901600013</v>
      </c>
    </row>
    <row r="79" spans="2:29" x14ac:dyDescent="0.35">
      <c r="B79" s="11">
        <v>0</v>
      </c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>
        <f>SUM(B79:CHOOSE(MONTH(Mes_cierre),B79,C79,D79,E79,F79,G79,H79,I79,J79,K79,L79,M79))</f>
        <v>0</v>
      </c>
      <c r="O79" s="25"/>
      <c r="P79" s="25"/>
      <c r="Q79" s="11">
        <v>0</v>
      </c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>
        <f>SUM(Q79:CHOOSE(MONTH(Mes_cierre),Q79,R79,S79,T79,U79,V79,W79,X79,Y79,Z79,AA79,AB79))</f>
        <v>0</v>
      </c>
    </row>
    <row r="80" spans="2:29" x14ac:dyDescent="0.35">
      <c r="B80" s="11">
        <v>0</v>
      </c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>
        <f>SUM(B80:CHOOSE(MONTH(Mes_cierre),B80,C80,D80,E80,F80,G80,H80,I80,J80,K80,L80,M80))</f>
        <v>0</v>
      </c>
      <c r="O80" s="25"/>
      <c r="P80" s="25"/>
      <c r="Q80" s="11">
        <v>0</v>
      </c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>
        <f>SUM(Q80:CHOOSE(MONTH(Mes_cierre),Q80,R80,S80,T80,U80,V80,W80,X80,Y80,Z80,AA80,AB80))</f>
        <v>0</v>
      </c>
    </row>
    <row r="81" spans="2:29" x14ac:dyDescent="0.35">
      <c r="B81" s="290">
        <v>-10.802065679999998</v>
      </c>
      <c r="C81" s="290"/>
      <c r="D81" s="290"/>
      <c r="E81" s="290"/>
      <c r="F81" s="290"/>
      <c r="G81" s="290"/>
      <c r="H81" s="290"/>
      <c r="I81" s="290"/>
      <c r="J81" s="290"/>
      <c r="K81" s="290"/>
      <c r="L81" s="290"/>
      <c r="M81" s="290"/>
      <c r="N81" s="290">
        <f>SUM(B81:CHOOSE(MONTH(Mes_cierre),B81,C81,D81,E81,F81,G81,H81,I81,J81,K81,L81,M81))</f>
        <v>-10.802065679999998</v>
      </c>
      <c r="O81" s="25"/>
      <c r="P81" s="25"/>
      <c r="Q81" s="290">
        <v>878.26760294400015</v>
      </c>
      <c r="R81" s="290"/>
      <c r="S81" s="290"/>
      <c r="T81" s="290"/>
      <c r="U81" s="290"/>
      <c r="V81" s="290"/>
      <c r="W81" s="290"/>
      <c r="X81" s="290"/>
      <c r="Y81" s="290"/>
      <c r="Z81" s="290"/>
      <c r="AA81" s="290"/>
      <c r="AB81" s="290"/>
      <c r="AC81" s="290">
        <f>SUM(Q81:CHOOSE(MONTH(Mes_cierre),Q81,R81,S81,T81,U81,V81,W81,X81,Y81,Z81,AA81,AB81))</f>
        <v>878.26760294400015</v>
      </c>
    </row>
    <row r="82" spans="2:29" x14ac:dyDescent="0.35">
      <c r="B82" s="14">
        <v>-1710.9094728240016</v>
      </c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>
        <f>SUM(B82:CHOOSE(MONTH(Mes_cierre),B82,C82,D82,E82,F82,G82,H82,I82,J82,K82,L82,M82))</f>
        <v>-1710.9094728240016</v>
      </c>
      <c r="O82" s="25"/>
      <c r="P82" s="25"/>
      <c r="Q82" s="14">
        <v>-279.24219561600034</v>
      </c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14"/>
      <c r="AC82" s="14">
        <f>SUM(Q82:CHOOSE(MONTH(Mes_cierre),Q82,R82,S82,T82,U82,V82,W82,X82,Y82,Z82,AA82,AB82))</f>
        <v>-279.24219561600034</v>
      </c>
    </row>
    <row r="83" spans="2:29" x14ac:dyDescent="0.35">
      <c r="B83" s="30"/>
      <c r="C83" s="30"/>
      <c r="D83" s="30"/>
      <c r="E83" s="30"/>
      <c r="F83" s="30"/>
      <c r="G83" s="30"/>
      <c r="H83" s="30"/>
      <c r="I83" s="30"/>
      <c r="J83" s="30"/>
      <c r="K83" s="30"/>
      <c r="L83" s="30"/>
      <c r="M83" s="30"/>
      <c r="N83" s="30"/>
      <c r="O83" s="25"/>
      <c r="P83" s="25"/>
      <c r="Q83" s="30"/>
      <c r="R83" s="30"/>
      <c r="S83" s="30"/>
      <c r="T83" s="30"/>
      <c r="U83" s="30"/>
      <c r="V83" s="30"/>
      <c r="W83" s="30"/>
      <c r="X83" s="30"/>
      <c r="Y83" s="30"/>
      <c r="Z83" s="30"/>
      <c r="AA83" s="30"/>
      <c r="AB83" s="30"/>
      <c r="AC83" s="30">
        <v>0</v>
      </c>
    </row>
    <row r="84" spans="2:29" x14ac:dyDescent="0.35">
      <c r="B84" s="8">
        <v>0</v>
      </c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>
        <f>SUM(B84:CHOOSE(MONTH(Mes_cierre),B84,C84,D84,E84,F84,G84,H84,I84,J84,K84,L84,M84))</f>
        <v>0</v>
      </c>
      <c r="O84" s="25"/>
      <c r="P84" s="25"/>
      <c r="Q84" s="8">
        <v>0</v>
      </c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>
        <f>SUM(Q84:CHOOSE(MONTH(Mes_cierre),Q84,R84,S84,T84,U84,V84,W84,X84,Y84,Z84,AA84,AB84))</f>
        <v>0</v>
      </c>
    </row>
    <row r="85" spans="2:29" x14ac:dyDescent="0.35">
      <c r="B85" s="11">
        <v>0</v>
      </c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>
        <f>SUM(B85:CHOOSE(MONTH(Mes_cierre),B85,C85,D85,E85,F85,G85,H85,I85,J85,K85,L85,M85))</f>
        <v>0</v>
      </c>
      <c r="O85" s="25"/>
      <c r="P85" s="25"/>
      <c r="Q85" s="11">
        <v>0</v>
      </c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>
        <f>SUM(Q85:CHOOSE(MONTH(Mes_cierre),Q85,R85,S85,T85,U85,V85,W85,X85,Y85,Z85,AA85,AB85))</f>
        <v>0</v>
      </c>
    </row>
    <row r="86" spans="2:29" x14ac:dyDescent="0.35">
      <c r="B86" s="14">
        <v>-1710.9094728240016</v>
      </c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>
        <f>SUM(B86:CHOOSE(MONTH(Mes_cierre),B86,C86,D86,E86,F86,G86,H86,I86,J86,K86,L86,M86))</f>
        <v>-1710.9094728240016</v>
      </c>
      <c r="O86" s="25"/>
      <c r="P86" s="25"/>
      <c r="Q86" s="14">
        <v>-279.24219561600034</v>
      </c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>
        <f>SUM(Q86:CHOOSE(MONTH(Mes_cierre),Q86,R86,S86,T86,U86,V86,W86,X86,Y86,Z86,AA86,AB86))</f>
        <v>-279.24219561600034</v>
      </c>
    </row>
    <row r="87" spans="2:29" x14ac:dyDescent="0.35">
      <c r="B87" s="20">
        <v>-1407.6665070480017</v>
      </c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>
        <f>SUM(B87:CHOOSE(MONTH(Mes_cierre),B87,C87,D87,E87,F87,G87,H87,I87,J87,K87,L87,M87))</f>
        <v>-1407.6665070480017</v>
      </c>
      <c r="O87" s="25"/>
      <c r="P87" s="25"/>
      <c r="Q87" s="20">
        <v>1023.7949490959998</v>
      </c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>
        <f>SUM(Q87:CHOOSE(MONTH(Mes_cierre),Q87,R87,S87,T87,U87,V87,W87,X87,Y87,Z87,AA87,AB87))</f>
        <v>1023.7949490959998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transitionEntry="1" codeName="Costos_Gastos"/>
  <dimension ref="A1:AK43"/>
  <sheetViews>
    <sheetView showGridLines="0" zoomScaleNormal="100" zoomScalePageLayoutView="80" workbookViewId="0">
      <selection activeCell="D12" sqref="D12"/>
    </sheetView>
  </sheetViews>
  <sheetFormatPr baseColWidth="10" defaultColWidth="11.453125" defaultRowHeight="12.5" x14ac:dyDescent="0.25"/>
  <cols>
    <col min="1" max="1" width="12.1796875" style="48" customWidth="1"/>
    <col min="2" max="2" width="10.54296875" style="146" customWidth="1"/>
    <col min="3" max="3" width="11" style="146" hidden="1" customWidth="1"/>
    <col min="4" max="4" width="11.453125" style="146" customWidth="1"/>
    <col min="5" max="6" width="11.1796875" style="146" customWidth="1"/>
    <col min="7" max="7" width="10.81640625" style="146" customWidth="1"/>
    <col min="8" max="8" width="12" style="146" customWidth="1"/>
    <col min="9" max="10" width="9.453125" style="48" hidden="1" customWidth="1"/>
    <col min="11" max="11" width="12" style="48" hidden="1" customWidth="1"/>
    <col min="12" max="12" width="7.81640625" style="48" hidden="1" customWidth="1"/>
    <col min="13" max="13" width="11.453125" style="48" bestFit="1" customWidth="1"/>
    <col min="14" max="14" width="11.453125" style="48" customWidth="1"/>
    <col min="15" max="15" width="5.7265625" style="48" customWidth="1"/>
    <col min="16" max="16" width="13.7265625" style="48" customWidth="1"/>
    <col min="17" max="24" width="11.453125" style="48"/>
    <col min="25" max="25" width="21.54296875" style="48" bestFit="1" customWidth="1"/>
    <col min="26" max="26" width="7.54296875" style="48" bestFit="1" customWidth="1"/>
    <col min="27" max="27" width="6.81640625" style="48" customWidth="1"/>
    <col min="28" max="28" width="11.81640625" style="48" bestFit="1" customWidth="1"/>
    <col min="29" max="29" width="6.54296875" style="48" bestFit="1" customWidth="1"/>
    <col min="30" max="31" width="10.453125" style="48" customWidth="1"/>
    <col min="32" max="32" width="8.453125" style="48" customWidth="1"/>
    <col min="33" max="33" width="10.453125" style="48" customWidth="1"/>
    <col min="34" max="34" width="9.1796875" style="48" customWidth="1"/>
    <col min="35" max="35" width="6.54296875" style="48" bestFit="1" customWidth="1"/>
    <col min="36" max="36" width="10.453125" style="48" bestFit="1" customWidth="1"/>
    <col min="37" max="38" width="6.54296875" style="48" bestFit="1" customWidth="1"/>
    <col min="39" max="40" width="5.54296875" style="48" bestFit="1" customWidth="1"/>
    <col min="41" max="41" width="6.54296875" style="48" bestFit="1" customWidth="1"/>
    <col min="42" max="16384" width="11.453125" style="48"/>
  </cols>
  <sheetData>
    <row r="1" spans="1:37" ht="13" x14ac:dyDescent="0.3">
      <c r="A1" s="49"/>
    </row>
    <row r="2" spans="1:37" ht="13" x14ac:dyDescent="0.3">
      <c r="A2" s="49"/>
    </row>
    <row r="3" spans="1:37" ht="15.75" customHeight="1" x14ac:dyDescent="0.3">
      <c r="A3" s="49" t="s">
        <v>114</v>
      </c>
      <c r="C3" s="147"/>
      <c r="D3" s="147"/>
      <c r="E3" s="147"/>
      <c r="F3" s="147"/>
      <c r="G3" s="147"/>
      <c r="H3" s="147"/>
      <c r="I3" s="53"/>
      <c r="J3" s="53"/>
      <c r="K3" s="53"/>
      <c r="L3" s="53"/>
      <c r="M3" s="53"/>
      <c r="N3" s="53"/>
      <c r="Z3" s="2" t="s">
        <v>25</v>
      </c>
      <c r="AA3" s="27"/>
      <c r="AB3" s="2" t="s">
        <v>26</v>
      </c>
      <c r="AC3" s="27"/>
      <c r="AD3" s="2" t="s">
        <v>27</v>
      </c>
      <c r="AE3" s="27"/>
      <c r="AF3" s="2" t="s">
        <v>28</v>
      </c>
      <c r="AG3" s="27"/>
      <c r="AH3" s="28" t="s">
        <v>29</v>
      </c>
      <c r="AI3" s="27"/>
      <c r="AJ3" s="2" t="s">
        <v>30</v>
      </c>
      <c r="AK3" s="27"/>
    </row>
    <row r="4" spans="1:37" ht="14" x14ac:dyDescent="0.3">
      <c r="A4" s="148"/>
      <c r="B4" s="148" t="s">
        <v>115</v>
      </c>
      <c r="C4" s="148" t="s">
        <v>25</v>
      </c>
      <c r="D4" s="148" t="s">
        <v>116</v>
      </c>
      <c r="E4" s="148" t="s">
        <v>27</v>
      </c>
      <c r="F4" s="148" t="s">
        <v>28</v>
      </c>
      <c r="G4" s="148" t="s">
        <v>29</v>
      </c>
      <c r="H4" s="148" t="s">
        <v>108</v>
      </c>
      <c r="I4" s="148"/>
      <c r="J4" s="148"/>
      <c r="K4" s="148"/>
      <c r="L4" s="148"/>
      <c r="M4" s="148" t="s">
        <v>117</v>
      </c>
      <c r="N4" s="56"/>
      <c r="Y4" s="4" t="s">
        <v>11</v>
      </c>
      <c r="Z4" s="48">
        <f>TablasER!C11</f>
        <v>0</v>
      </c>
      <c r="AA4" s="176" t="str">
        <f>TablasER!D11</f>
        <v>N.D.</v>
      </c>
      <c r="AB4" s="48">
        <f>TablasER!E11</f>
        <v>19571.529849999999</v>
      </c>
      <c r="AC4" s="48">
        <f>TablasER!F11</f>
        <v>0.36724565116836178</v>
      </c>
      <c r="AD4" s="48">
        <f>TablasER!G11</f>
        <v>20506.740386184003</v>
      </c>
      <c r="AE4" s="48">
        <f>TablasER!H11</f>
        <v>0.64331130086640298</v>
      </c>
      <c r="AF4" s="48">
        <f>TablasER!I11</f>
        <v>1047.0443679360001</v>
      </c>
      <c r="AG4" s="48">
        <f>TablasER!J11</f>
        <v>0.50214786431829372</v>
      </c>
      <c r="AH4" s="48">
        <f>TablasER!K11</f>
        <v>31121.633485000002</v>
      </c>
      <c r="AI4" s="48">
        <f>TablasER!L11</f>
        <v>0.18039928276925271</v>
      </c>
      <c r="AJ4" s="48">
        <f>TablasER!M11</f>
        <v>661.77750999999989</v>
      </c>
      <c r="AK4" s="48">
        <f>TablasER!N11</f>
        <v>8.9345966326448104E-2</v>
      </c>
    </row>
    <row r="5" spans="1:37" ht="14" x14ac:dyDescent="0.3">
      <c r="A5" s="48" t="str">
        <f>"Costo "&amp;RIGHT(YEAR(Mes_cierre),2)</f>
        <v>Costo 21</v>
      </c>
      <c r="B5" s="149">
        <f>TablasER!AZ5</f>
        <v>0.64659986757064414</v>
      </c>
      <c r="C5" s="149"/>
      <c r="D5" s="149">
        <f>TablasER!$F$5</f>
        <v>0.51341322459771266</v>
      </c>
      <c r="E5" s="149">
        <f>TablasER!$H$5</f>
        <v>0.3001579447565213</v>
      </c>
      <c r="F5" s="149">
        <f>TablasER!$J$5</f>
        <v>0</v>
      </c>
      <c r="G5" s="149">
        <f>TablasER!$L$5</f>
        <v>0.76486638299835297</v>
      </c>
      <c r="H5" s="149">
        <f>TablasER!$N$5</f>
        <v>0.52331296797113935</v>
      </c>
      <c r="I5" s="151"/>
      <c r="J5" s="151"/>
      <c r="K5" s="151"/>
      <c r="L5" s="152"/>
      <c r="M5" s="150">
        <f>(G5+D5+C5+H5+E5+F5)/6</f>
        <v>0.35029175338728774</v>
      </c>
      <c r="N5" s="153"/>
      <c r="Y5" s="7" t="s">
        <v>33</v>
      </c>
      <c r="Z5" s="48">
        <f>TablasER!C14</f>
        <v>0</v>
      </c>
      <c r="AA5" s="48" t="str">
        <f>TablasER!D14</f>
        <v>N.D.</v>
      </c>
      <c r="AB5" s="48">
        <f>TablasER!E14</f>
        <v>0</v>
      </c>
      <c r="AC5" s="48">
        <f>TablasER!F14</f>
        <v>0</v>
      </c>
      <c r="AD5" s="48">
        <f>TablasER!G14</f>
        <v>0</v>
      </c>
      <c r="AE5" s="48">
        <f>TablasER!H14</f>
        <v>0</v>
      </c>
      <c r="AF5" s="48">
        <f>TablasER!I14</f>
        <v>0</v>
      </c>
      <c r="AG5" s="48">
        <f>TablasER!J14</f>
        <v>0</v>
      </c>
      <c r="AH5" s="48">
        <f>TablasER!K14</f>
        <v>0</v>
      </c>
      <c r="AI5" s="48">
        <f>TablasER!L14</f>
        <v>0</v>
      </c>
      <c r="AJ5" s="48">
        <f>TablasER!M14</f>
        <v>0</v>
      </c>
      <c r="AK5" s="48">
        <f>TablasER!N14</f>
        <v>0</v>
      </c>
    </row>
    <row r="6" spans="1:37" ht="14" x14ac:dyDescent="0.3">
      <c r="A6" s="48" t="str">
        <f>"Costo P. "&amp;RIGHT(YEAR(Mes_cierre),2)</f>
        <v>Costo P. 21</v>
      </c>
      <c r="B6" s="154">
        <f>TablasER!BB5</f>
        <v>0.6028369148614473</v>
      </c>
      <c r="C6" s="154"/>
      <c r="D6" s="154" t="str">
        <f>TablasER!$V$5</f>
        <v>N.D.</v>
      </c>
      <c r="E6" s="154">
        <f>TablasER!$X$5</f>
        <v>0.31274610673865688</v>
      </c>
      <c r="F6" s="154">
        <f>TablasER!$Z$5</f>
        <v>0</v>
      </c>
      <c r="G6" s="154">
        <f>TablasER!$AB$5</f>
        <v>0.66522387045608844</v>
      </c>
      <c r="H6" s="154">
        <f>TablasER!$AD$5</f>
        <v>0.6686826057589591</v>
      </c>
      <c r="I6" s="154">
        <f>TablasER!Z$5</f>
        <v>0</v>
      </c>
      <c r="J6" s="154">
        <f>TablasER!AA$5</f>
        <v>93207.816000000006</v>
      </c>
      <c r="K6" s="154">
        <f>TablasER!AB$5</f>
        <v>0.66522387045608844</v>
      </c>
      <c r="L6" s="154">
        <f>TablasER!AC$5</f>
        <v>7537.8329999999996</v>
      </c>
      <c r="M6" s="154" t="e">
        <f>(G6+D6+C6+H6+E6+F6)/6</f>
        <v>#VALUE!</v>
      </c>
      <c r="N6" s="153"/>
      <c r="Y6" s="7" t="s">
        <v>34</v>
      </c>
      <c r="Z6" s="48">
        <f>TablasER!C15</f>
        <v>0</v>
      </c>
      <c r="AA6" s="48" t="str">
        <f>TablasER!D15</f>
        <v>N.D.</v>
      </c>
      <c r="AB6" s="48">
        <f>TablasER!E15</f>
        <v>0</v>
      </c>
      <c r="AC6" s="48">
        <f>TablasER!F15</f>
        <v>0</v>
      </c>
      <c r="AD6" s="48">
        <f>TablasER!G15</f>
        <v>0</v>
      </c>
      <c r="AE6" s="48">
        <f>TablasER!H15</f>
        <v>0</v>
      </c>
      <c r="AF6" s="48">
        <f>TablasER!I15</f>
        <v>0</v>
      </c>
      <c r="AG6" s="48">
        <f>TablasER!J15</f>
        <v>0</v>
      </c>
      <c r="AH6" s="48">
        <f>TablasER!K15</f>
        <v>0</v>
      </c>
      <c r="AI6" s="48">
        <f>TablasER!L15</f>
        <v>0</v>
      </c>
      <c r="AJ6" s="48">
        <f>TablasER!M15</f>
        <v>0</v>
      </c>
      <c r="AK6" s="48">
        <f>TablasER!N15</f>
        <v>0</v>
      </c>
    </row>
    <row r="7" spans="1:37" x14ac:dyDescent="0.25">
      <c r="A7" s="48" t="str">
        <f>"Costo "&amp;RIGHT(YEAR(Mes_cierre)-1,2)</f>
        <v>Costo 20</v>
      </c>
      <c r="B7" s="156">
        <f>TablasER!BD5</f>
        <v>0.64169347445321123</v>
      </c>
      <c r="C7" s="154"/>
      <c r="D7" s="154">
        <f>TablasER!$AL$5</f>
        <v>0.55087035343767909</v>
      </c>
      <c r="E7" s="154">
        <f>TablasER!$AN$5</f>
        <v>0.32793865462916544</v>
      </c>
      <c r="F7" s="154">
        <f>TablasER!$AP$5</f>
        <v>0</v>
      </c>
      <c r="G7" s="154">
        <f>TablasER!$AR$5</f>
        <v>0.73645796394775065</v>
      </c>
      <c r="H7" s="154">
        <f>TablasER!$AT$5</f>
        <v>0.81298306064500958</v>
      </c>
      <c r="I7" s="155"/>
      <c r="J7" s="155"/>
      <c r="K7" s="155"/>
      <c r="L7" s="155"/>
      <c r="M7" s="156">
        <f>(G7+D7+C7+H7+E7+F7)/6</f>
        <v>0.40470833877660084</v>
      </c>
      <c r="N7" s="153"/>
      <c r="Z7" s="48">
        <f>SUM(Z4:Z6)</f>
        <v>0</v>
      </c>
      <c r="AA7" s="176">
        <f>SUM(AA4:AA6)</f>
        <v>0</v>
      </c>
      <c r="AB7" s="177">
        <f>SUM(AB4:AB6)</f>
        <v>19571.529849999999</v>
      </c>
      <c r="AC7" s="176">
        <f t="shared" ref="AC7:AK7" si="0">SUM(AC4:AC6)</f>
        <v>0.36724565116836178</v>
      </c>
      <c r="AD7" s="177">
        <f t="shared" si="0"/>
        <v>20506.740386184003</v>
      </c>
      <c r="AE7" s="176">
        <f t="shared" si="0"/>
        <v>0.64331130086640298</v>
      </c>
      <c r="AF7" s="177">
        <f t="shared" si="0"/>
        <v>1047.0443679360001</v>
      </c>
      <c r="AG7" s="176">
        <f t="shared" si="0"/>
        <v>0.50214786431829372</v>
      </c>
      <c r="AH7" s="177">
        <f t="shared" si="0"/>
        <v>31121.633485000002</v>
      </c>
      <c r="AI7" s="176">
        <f t="shared" si="0"/>
        <v>0.18039928276925271</v>
      </c>
      <c r="AJ7" s="177">
        <f t="shared" si="0"/>
        <v>661.77750999999989</v>
      </c>
      <c r="AK7" s="176">
        <f t="shared" si="0"/>
        <v>8.9345966326448104E-2</v>
      </c>
    </row>
    <row r="8" spans="1:37" x14ac:dyDescent="0.25">
      <c r="B8" s="157">
        <f>SUM(C8:H8)</f>
        <v>172.75656558884</v>
      </c>
      <c r="C8" s="279"/>
      <c r="D8" s="279">
        <f>TablasER!$E$5/1000</f>
        <v>27.361201470000005</v>
      </c>
      <c r="E8" s="279">
        <f>TablasER!$G$5/1000</f>
        <v>9.5680909688399982</v>
      </c>
      <c r="F8" s="279">
        <f>TablasER!$I$5/1000</f>
        <v>0</v>
      </c>
      <c r="G8" s="279">
        <f>TablasER!$K$5/1000</f>
        <v>131.95114121999998</v>
      </c>
      <c r="H8" s="279">
        <f>TablasER!$M$5/1000</f>
        <v>3.8761319300000001</v>
      </c>
      <c r="I8" s="158"/>
      <c r="J8" s="159"/>
      <c r="K8" s="160"/>
      <c r="L8" s="158"/>
      <c r="M8" s="157">
        <f>(G8+D8+C8+H8+E8)</f>
        <v>172.75656558884</v>
      </c>
      <c r="N8" s="59"/>
    </row>
    <row r="9" spans="1:37" x14ac:dyDescent="0.25">
      <c r="B9" s="157">
        <f>SUM(C9:H9)</f>
        <v>109.60451589600001</v>
      </c>
      <c r="C9" s="280"/>
      <c r="D9" s="280">
        <f>TablasER!$U$5/1000</f>
        <v>0</v>
      </c>
      <c r="E9" s="157">
        <f>TablasER!$W$5/1000</f>
        <v>8.8588668960000003</v>
      </c>
      <c r="F9" s="157">
        <f>TablasER!$Y$5/1000</f>
        <v>0</v>
      </c>
      <c r="G9" s="157">
        <f>TablasER!$AA$5/1000</f>
        <v>93.207816000000008</v>
      </c>
      <c r="H9" s="157">
        <f>TablasER!$AC$5/1000</f>
        <v>7.537833</v>
      </c>
      <c r="I9" s="158">
        <f>TablasER!$AC$5</f>
        <v>7537.8329999999996</v>
      </c>
      <c r="J9" s="158"/>
      <c r="K9" s="158"/>
      <c r="L9" s="158"/>
      <c r="M9" s="157">
        <f>(G9+D9+C9+H9+E9)</f>
        <v>109.60451589600001</v>
      </c>
      <c r="N9" s="59"/>
    </row>
    <row r="10" spans="1:37" x14ac:dyDescent="0.25">
      <c r="B10" s="161">
        <f>SUM(C10:H10)</f>
        <v>162.18072205853599</v>
      </c>
      <c r="C10" s="280"/>
      <c r="D10" s="281">
        <f>TablasER!$AK$5/1000</f>
        <v>32.529700089999999</v>
      </c>
      <c r="E10" s="161">
        <f>TablasER!$AM$5/1000</f>
        <v>8.9340236685359997</v>
      </c>
      <c r="F10" s="161">
        <f>TablasER!$AO$5/1000</f>
        <v>0</v>
      </c>
      <c r="G10" s="161">
        <f>TablasER!$AQ$5/1000</f>
        <v>119.65200849000001</v>
      </c>
      <c r="H10" s="161">
        <f>TablasER!$AS$5/1000</f>
        <v>1.0649898099999999</v>
      </c>
      <c r="I10" s="162">
        <f>TablasER!$AS$5</f>
        <v>1064.98981</v>
      </c>
      <c r="J10" s="162"/>
      <c r="K10" s="163"/>
      <c r="L10" s="162"/>
      <c r="M10" s="161">
        <f>(G10+D10+C10+H10+E10)</f>
        <v>162.18072205853599</v>
      </c>
      <c r="N10" s="59"/>
    </row>
    <row r="11" spans="1:37" x14ac:dyDescent="0.25">
      <c r="B11" s="48"/>
      <c r="C11" s="48"/>
      <c r="D11" s="48"/>
      <c r="E11" s="48"/>
      <c r="F11" s="48"/>
      <c r="G11" s="48"/>
      <c r="H11" s="48"/>
      <c r="I11" s="164"/>
      <c r="J11" s="164"/>
      <c r="K11" s="164"/>
      <c r="L11" s="164"/>
      <c r="M11" s="66"/>
      <c r="N11" s="66"/>
    </row>
    <row r="12" spans="1:37" x14ac:dyDescent="0.25">
      <c r="B12" s="48"/>
      <c r="C12" s="48"/>
      <c r="D12" s="48"/>
      <c r="E12" s="48"/>
      <c r="F12" s="48"/>
      <c r="G12" s="48"/>
      <c r="H12" s="48"/>
      <c r="I12" s="165"/>
      <c r="J12" s="165"/>
      <c r="K12" s="165"/>
      <c r="L12" s="165"/>
      <c r="M12" s="66"/>
      <c r="N12" s="66"/>
    </row>
    <row r="13" spans="1:37" x14ac:dyDescent="0.25">
      <c r="B13" s="166"/>
    </row>
    <row r="14" spans="1:37" x14ac:dyDescent="0.25">
      <c r="A14" s="73"/>
      <c r="M14" s="74"/>
      <c r="N14" s="74"/>
    </row>
    <row r="15" spans="1:37" x14ac:dyDescent="0.25">
      <c r="A15" s="73"/>
      <c r="B15" s="167"/>
      <c r="C15" s="167"/>
      <c r="D15" s="167"/>
      <c r="E15" s="167"/>
      <c r="F15" s="167"/>
      <c r="G15" s="168"/>
      <c r="H15" s="168"/>
      <c r="I15" s="74"/>
      <c r="J15" s="74"/>
      <c r="K15" s="74"/>
      <c r="L15" s="74"/>
      <c r="M15" s="74"/>
      <c r="N15" s="74"/>
    </row>
    <row r="17" spans="1:14" x14ac:dyDescent="0.25">
      <c r="A17" s="73"/>
      <c r="B17" s="167"/>
      <c r="C17" s="167"/>
      <c r="D17" s="167"/>
      <c r="E17" s="167"/>
      <c r="F17" s="167"/>
      <c r="G17" s="167"/>
      <c r="H17" s="167"/>
      <c r="I17" s="74"/>
      <c r="J17" s="74"/>
      <c r="K17" s="74"/>
      <c r="L17" s="74"/>
      <c r="M17" s="74"/>
      <c r="N17" s="74"/>
    </row>
    <row r="18" spans="1:14" ht="15" customHeight="1" x14ac:dyDescent="0.25">
      <c r="A18" s="73"/>
      <c r="B18" s="167"/>
      <c r="C18" s="167"/>
      <c r="D18" s="167"/>
      <c r="E18" s="167"/>
      <c r="F18" s="167"/>
      <c r="G18" s="167"/>
      <c r="H18" s="167"/>
      <c r="I18" s="74"/>
      <c r="J18" s="74"/>
      <c r="K18" s="74"/>
      <c r="L18" s="74"/>
      <c r="M18" s="74"/>
      <c r="N18" s="74"/>
    </row>
    <row r="19" spans="1:14" ht="13" x14ac:dyDescent="0.3">
      <c r="A19" s="49" t="s">
        <v>118</v>
      </c>
    </row>
    <row r="20" spans="1:14" ht="13" x14ac:dyDescent="0.3">
      <c r="B20" s="147"/>
      <c r="C20" s="147"/>
      <c r="D20" s="147"/>
      <c r="E20" s="147"/>
      <c r="F20" s="147"/>
      <c r="G20" s="147"/>
      <c r="H20" s="147"/>
      <c r="I20" s="53"/>
      <c r="J20" s="53"/>
      <c r="K20" s="53"/>
      <c r="L20" s="53"/>
      <c r="M20" s="53"/>
      <c r="N20" s="53"/>
    </row>
    <row r="21" spans="1:14" ht="13" x14ac:dyDescent="0.3">
      <c r="A21" s="148"/>
      <c r="B21" s="148" t="s">
        <v>115</v>
      </c>
      <c r="C21" s="148" t="s">
        <v>25</v>
      </c>
      <c r="D21" s="148" t="s">
        <v>116</v>
      </c>
      <c r="E21" s="148" t="s">
        <v>27</v>
      </c>
      <c r="F21" s="148" t="s">
        <v>28</v>
      </c>
      <c r="G21" s="148" t="s">
        <v>29</v>
      </c>
      <c r="H21" s="148" t="s">
        <v>108</v>
      </c>
      <c r="I21" s="148"/>
      <c r="J21" s="148"/>
      <c r="K21" s="148"/>
      <c r="L21" s="148"/>
      <c r="M21" s="148" t="s">
        <v>117</v>
      </c>
      <c r="N21" s="56"/>
    </row>
    <row r="22" spans="1:14" x14ac:dyDescent="0.25">
      <c r="A22" s="48" t="str">
        <f>"Gasto "&amp;RIGHT(YEAR(Mes_cierre),2)</f>
        <v>Gasto 21</v>
      </c>
      <c r="B22" s="149">
        <f>TablasER!$AZ$11</f>
        <v>0.27288556099995098</v>
      </c>
      <c r="C22" s="184"/>
      <c r="D22" s="184">
        <f>$AC$7</f>
        <v>0.36724565116836178</v>
      </c>
      <c r="E22" s="184">
        <f>$AE$7</f>
        <v>0.64331130086640298</v>
      </c>
      <c r="F22" s="184">
        <f>$AG$7</f>
        <v>0.50214786431829372</v>
      </c>
      <c r="G22" s="184">
        <f>$AI$7</f>
        <v>0.18039928276925271</v>
      </c>
      <c r="H22" s="184">
        <f>$AK$7</f>
        <v>8.9345966326448104E-2</v>
      </c>
      <c r="I22" s="151"/>
      <c r="J22" s="151"/>
      <c r="K22" s="151"/>
      <c r="L22" s="152"/>
      <c r="M22" s="150">
        <f>(G22+D22+C22+H22+E22+F22)/6</f>
        <v>0.29707501090812655</v>
      </c>
      <c r="N22" s="153"/>
    </row>
    <row r="23" spans="1:14" ht="14" x14ac:dyDescent="0.3">
      <c r="A23" s="48" t="str">
        <f>"Gasto P. "&amp;RIGHT(YEAR(Mes_cierre),2)</f>
        <v>Gasto P. 21</v>
      </c>
      <c r="B23" s="154">
        <f>TablasER!$BB$11</f>
        <v>0.28175685557051156</v>
      </c>
      <c r="C23" s="199"/>
      <c r="D23" s="199" t="str">
        <f>TablasER!$V$11</f>
        <v>N.D.</v>
      </c>
      <c r="E23" s="199">
        <f>TablasER!$X$11</f>
        <v>0.72008573707250145</v>
      </c>
      <c r="F23" s="199">
        <f>TablasER!$Z$11</f>
        <v>0.45148495788206977</v>
      </c>
      <c r="G23" s="199">
        <f>TablasER!$AB$11</f>
        <v>0.20695685171661896</v>
      </c>
      <c r="H23" s="199">
        <f>TablasER!$AD$11</f>
        <v>7.8423623452916438E-2</v>
      </c>
      <c r="I23" s="155"/>
      <c r="J23" s="155"/>
      <c r="K23" s="155"/>
      <c r="L23" s="155"/>
      <c r="M23" s="154" t="e">
        <f>(G23+D23+C23+H23+E23+F23)/6</f>
        <v>#VALUE!</v>
      </c>
      <c r="N23" s="153"/>
    </row>
    <row r="24" spans="1:14" ht="14" x14ac:dyDescent="0.3">
      <c r="A24" s="48" t="str">
        <f>"Gasto "&amp;RIGHT(YEAR(Mes_cierre)-1,2)</f>
        <v>Gasto 20</v>
      </c>
      <c r="B24" s="156">
        <f>TablasER!$BD$11</f>
        <v>0.3156709107190257</v>
      </c>
      <c r="C24" s="199"/>
      <c r="D24" s="199">
        <f>TablasER!$AL$11</f>
        <v>0.40562496834466633</v>
      </c>
      <c r="E24" s="199">
        <f>TablasER!$AN$11</f>
        <v>0.73525971897543851</v>
      </c>
      <c r="F24" s="199">
        <f>TablasER!$AP$11</f>
        <v>0.77519426621038146</v>
      </c>
      <c r="G24" s="199">
        <f>TablasER!$AR$11</f>
        <v>0.20361328324532554</v>
      </c>
      <c r="H24" s="199">
        <f>TablasER!$AT$11</f>
        <v>0.49790849136946475</v>
      </c>
      <c r="I24" s="155"/>
      <c r="J24" s="155"/>
      <c r="K24" s="155"/>
      <c r="L24" s="155"/>
      <c r="M24" s="156">
        <f>(G24+D24+C24+H24+E24+F24)/6</f>
        <v>0.43626678802421281</v>
      </c>
      <c r="N24" s="153"/>
    </row>
    <row r="25" spans="1:14" x14ac:dyDescent="0.25">
      <c r="B25" s="157">
        <f>TablasER!$AY$11/1000</f>
        <v>72.908725599120004</v>
      </c>
      <c r="C25" s="282"/>
      <c r="D25" s="282">
        <f>$AB$7/1000</f>
        <v>19.571529849999997</v>
      </c>
      <c r="E25" s="282">
        <f>$AD$7/1000</f>
        <v>20.506740386184003</v>
      </c>
      <c r="F25" s="282">
        <f>$AF$7/1000</f>
        <v>1.047044367936</v>
      </c>
      <c r="G25" s="282">
        <f>$AH$7/1000</f>
        <v>31.121633485000004</v>
      </c>
      <c r="H25" s="282">
        <f>$AJ$7/1000</f>
        <v>0.66177750999999985</v>
      </c>
      <c r="I25" s="155"/>
      <c r="J25" s="74"/>
      <c r="K25" s="169"/>
      <c r="L25" s="155"/>
      <c r="M25" s="170">
        <f>(G25+D25+C25+H25+E25)</f>
        <v>71.861681231184008</v>
      </c>
      <c r="N25" s="59"/>
    </row>
    <row r="26" spans="1:14" ht="14" x14ac:dyDescent="0.3">
      <c r="B26" s="157">
        <f>TablasER!$BA$11/1000</f>
        <v>51.227492865599999</v>
      </c>
      <c r="C26" s="283"/>
      <c r="D26" s="283">
        <f>TablasER!$U$11/1000</f>
        <v>0</v>
      </c>
      <c r="E26" s="283">
        <f>TablasER!$W$11/1000</f>
        <v>20.397196195199996</v>
      </c>
      <c r="F26" s="283">
        <f>TablasER!$Y$11/1000</f>
        <v>0.94850267039999991</v>
      </c>
      <c r="G26" s="283">
        <f>TablasER!$AA$11/1000</f>
        <v>28.997750999999997</v>
      </c>
      <c r="H26" s="283">
        <f>TablasER!$AC$11/1000</f>
        <v>0.88404300000000002</v>
      </c>
      <c r="I26" s="155"/>
      <c r="J26" s="155"/>
      <c r="K26" s="155"/>
      <c r="L26" s="155"/>
      <c r="M26" s="170">
        <f>(G26+D26+C26+H26+E26)</f>
        <v>50.278990195199995</v>
      </c>
      <c r="N26" s="59"/>
    </row>
    <row r="27" spans="1:14" ht="14" x14ac:dyDescent="0.3">
      <c r="B27" s="161">
        <f>TablasER!$BC$11/1000</f>
        <v>79.782229789559992</v>
      </c>
      <c r="C27" s="283"/>
      <c r="D27" s="283">
        <f>TablasER!$AK$11/1000</f>
        <v>23.952747659999996</v>
      </c>
      <c r="E27" s="283">
        <f>TablasER!$AM$11/1000</f>
        <v>20.03066012232</v>
      </c>
      <c r="F27" s="283">
        <f>TablasER!$AO$11/1000</f>
        <v>2.06561039724</v>
      </c>
      <c r="G27" s="283">
        <f>TablasER!$AQ$11/1000</f>
        <v>33.080962509999999</v>
      </c>
      <c r="H27" s="283">
        <f>TablasER!$AS$11/1000</f>
        <v>0.65224910000000003</v>
      </c>
      <c r="I27" s="171"/>
      <c r="J27" s="171"/>
      <c r="K27" s="172"/>
      <c r="L27" s="171"/>
      <c r="M27" s="173">
        <f>(G27+D27+C27+H27+E27)</f>
        <v>77.716619392319984</v>
      </c>
      <c r="N27" s="59"/>
    </row>
    <row r="28" spans="1:14" x14ac:dyDescent="0.25">
      <c r="B28" s="167"/>
      <c r="C28" s="167"/>
      <c r="D28" s="167"/>
      <c r="E28" s="167"/>
      <c r="F28" s="167"/>
      <c r="G28" s="167"/>
      <c r="H28" s="167"/>
      <c r="I28" s="74"/>
      <c r="J28" s="74"/>
      <c r="K28" s="74"/>
      <c r="L28" s="74"/>
      <c r="M28" s="167"/>
      <c r="N28" s="59"/>
    </row>
    <row r="29" spans="1:14" x14ac:dyDescent="0.25">
      <c r="B29" s="167"/>
      <c r="C29" s="167"/>
      <c r="D29" s="167"/>
      <c r="E29" s="167"/>
      <c r="F29" s="167"/>
      <c r="G29" s="167"/>
      <c r="H29" s="167"/>
      <c r="I29" s="74"/>
      <c r="J29" s="74"/>
      <c r="K29" s="74"/>
      <c r="L29" s="74"/>
      <c r="M29" s="167"/>
      <c r="N29" s="59"/>
    </row>
    <row r="30" spans="1:14" x14ac:dyDescent="0.25">
      <c r="B30" s="167"/>
      <c r="C30" s="167"/>
      <c r="D30" s="167"/>
      <c r="E30" s="167"/>
      <c r="F30" s="167"/>
      <c r="G30" s="167"/>
      <c r="H30" s="167"/>
      <c r="I30" s="74"/>
      <c r="J30" s="74"/>
      <c r="K30" s="74"/>
      <c r="L30" s="74"/>
      <c r="M30" s="167"/>
      <c r="N30" s="59"/>
    </row>
    <row r="31" spans="1:14" x14ac:dyDescent="0.25">
      <c r="B31" s="167"/>
      <c r="C31" s="167"/>
      <c r="D31" s="167"/>
      <c r="E31" s="167"/>
      <c r="F31" s="167"/>
      <c r="G31" s="167"/>
      <c r="H31" s="167"/>
      <c r="I31" s="74"/>
      <c r="J31" s="74"/>
      <c r="K31" s="74"/>
      <c r="L31" s="74"/>
      <c r="M31" s="167"/>
      <c r="N31" s="59"/>
    </row>
    <row r="32" spans="1:14" x14ac:dyDescent="0.25">
      <c r="B32" s="167"/>
      <c r="C32" s="167"/>
      <c r="D32" s="167"/>
      <c r="E32" s="167"/>
      <c r="F32" s="167"/>
      <c r="G32" s="167"/>
      <c r="H32" s="167"/>
      <c r="I32" s="74"/>
      <c r="J32" s="74"/>
      <c r="K32" s="74"/>
      <c r="L32" s="74"/>
      <c r="M32" s="167"/>
      <c r="N32" s="59"/>
    </row>
    <row r="33" spans="1:14" x14ac:dyDescent="0.25">
      <c r="B33" s="167"/>
      <c r="C33" s="167"/>
      <c r="D33" s="167"/>
      <c r="E33" s="167"/>
      <c r="F33" s="167"/>
      <c r="G33" s="167"/>
      <c r="H33" s="167"/>
      <c r="I33" s="74"/>
      <c r="J33" s="74"/>
      <c r="K33" s="74"/>
      <c r="L33" s="74"/>
      <c r="M33" s="167"/>
      <c r="N33" s="59"/>
    </row>
    <row r="34" spans="1:14" x14ac:dyDescent="0.25">
      <c r="B34" s="167"/>
      <c r="C34" s="167"/>
      <c r="D34" s="167"/>
      <c r="E34" s="167"/>
      <c r="F34" s="167"/>
      <c r="G34" s="167"/>
      <c r="H34" s="167"/>
      <c r="I34" s="74"/>
      <c r="J34" s="74"/>
      <c r="K34" s="74"/>
      <c r="L34" s="74"/>
      <c r="M34" s="167"/>
      <c r="N34" s="59"/>
    </row>
    <row r="35" spans="1:14" x14ac:dyDescent="0.25">
      <c r="B35" s="167"/>
      <c r="C35" s="167"/>
      <c r="D35" s="167"/>
      <c r="E35" s="167"/>
      <c r="F35" s="167"/>
      <c r="G35" s="167"/>
      <c r="H35" s="167"/>
      <c r="I35" s="74"/>
      <c r="J35" s="74"/>
      <c r="K35" s="74"/>
      <c r="L35" s="74"/>
      <c r="M35" s="167"/>
      <c r="N35" s="59"/>
    </row>
    <row r="36" spans="1:14" x14ac:dyDescent="0.25">
      <c r="B36" s="48"/>
      <c r="C36" s="48"/>
      <c r="D36" s="48"/>
      <c r="E36" s="48"/>
      <c r="F36" s="48"/>
      <c r="G36" s="48"/>
      <c r="H36" s="48"/>
      <c r="M36" s="66"/>
      <c r="N36" s="66"/>
    </row>
    <row r="37" spans="1:14" x14ac:dyDescent="0.25">
      <c r="B37" s="48"/>
      <c r="C37" s="48"/>
      <c r="D37" s="48"/>
      <c r="E37" s="48"/>
      <c r="F37" s="48"/>
      <c r="G37" s="48"/>
      <c r="H37" s="48"/>
      <c r="M37" s="66"/>
      <c r="N37" s="66"/>
    </row>
    <row r="39" spans="1:14" x14ac:dyDescent="0.25">
      <c r="A39" s="73"/>
      <c r="B39" s="167"/>
      <c r="C39" s="167"/>
      <c r="D39" s="167"/>
      <c r="E39" s="167"/>
      <c r="F39" s="167"/>
      <c r="G39" s="167"/>
      <c r="H39" s="167"/>
      <c r="I39" s="74"/>
      <c r="J39" s="74"/>
      <c r="K39" s="74"/>
      <c r="L39" s="74"/>
      <c r="M39" s="74"/>
      <c r="N39" s="74"/>
    </row>
    <row r="40" spans="1:14" x14ac:dyDescent="0.25">
      <c r="A40" s="73"/>
      <c r="B40" s="167"/>
      <c r="C40" s="167"/>
      <c r="D40" s="167"/>
      <c r="E40" s="167"/>
      <c r="F40" s="167"/>
      <c r="G40" s="167"/>
      <c r="H40" s="167"/>
      <c r="I40" s="74"/>
      <c r="J40" s="74"/>
      <c r="K40" s="74"/>
      <c r="L40" s="74"/>
      <c r="M40" s="74"/>
      <c r="N40" s="74"/>
    </row>
    <row r="41" spans="1:14" x14ac:dyDescent="0.25">
      <c r="A41" s="73"/>
      <c r="B41" s="167"/>
      <c r="C41" s="167"/>
      <c r="D41" s="167"/>
      <c r="E41" s="167"/>
      <c r="F41" s="167"/>
      <c r="G41" s="167"/>
      <c r="H41" s="167"/>
      <c r="I41" s="74"/>
      <c r="J41" s="74"/>
      <c r="K41" s="74"/>
      <c r="L41" s="74"/>
      <c r="M41" s="74"/>
      <c r="N41" s="74"/>
    </row>
    <row r="42" spans="1:14" ht="13" x14ac:dyDescent="0.3">
      <c r="A42" s="174"/>
      <c r="B42" s="175"/>
      <c r="C42" s="167"/>
      <c r="D42" s="167"/>
      <c r="E42" s="167"/>
      <c r="F42" s="167"/>
      <c r="G42" s="167"/>
      <c r="H42" s="167"/>
      <c r="I42" s="74"/>
      <c r="J42" s="74"/>
      <c r="K42" s="74"/>
      <c r="L42" s="74"/>
      <c r="M42" s="74"/>
      <c r="N42" s="74"/>
    </row>
    <row r="43" spans="1:14" ht="13" x14ac:dyDescent="0.3">
      <c r="A43" s="49"/>
      <c r="B43" s="56"/>
    </row>
  </sheetData>
  <pageMargins left="0.75" right="0.75" top="0.54" bottom="1" header="0" footer="0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transitionEntry="1" codeName="Tendencias"/>
  <dimension ref="A1:AW563"/>
  <sheetViews>
    <sheetView showGridLines="0" tabSelected="1" topLeftCell="A127" zoomScale="70" zoomScaleNormal="70" zoomScaleSheetLayoutView="75" zoomScalePageLayoutView="80" workbookViewId="0">
      <selection activeCell="D139" sqref="D139"/>
    </sheetView>
  </sheetViews>
  <sheetFormatPr baseColWidth="10" defaultColWidth="9.1796875" defaultRowHeight="17.5" x14ac:dyDescent="0.35"/>
  <cols>
    <col min="1" max="1" width="18.453125" style="64" customWidth="1"/>
    <col min="2" max="13" width="14.7265625" style="46" customWidth="1"/>
    <col min="14" max="14" width="11.81640625" style="48" bestFit="1" customWidth="1"/>
    <col min="15" max="15" width="13.1796875" style="48" customWidth="1"/>
    <col min="16" max="16" width="12.7265625" style="49" customWidth="1"/>
    <col min="17" max="17" width="12.7265625" style="48" customWidth="1"/>
    <col min="18" max="18" width="2.26953125" style="48" customWidth="1"/>
    <col min="19" max="36" width="9.1796875" style="48"/>
    <col min="37" max="37" width="18.453125" style="64" customWidth="1"/>
    <col min="38" max="38" width="17.81640625" style="46" customWidth="1"/>
    <col min="39" max="49" width="14.7265625" style="46" customWidth="1"/>
    <col min="50" max="16384" width="9.1796875" style="48"/>
  </cols>
  <sheetData>
    <row r="1" spans="1:49" ht="18" x14ac:dyDescent="0.4">
      <c r="A1" s="46"/>
      <c r="B1" s="47"/>
      <c r="M1" s="48"/>
      <c r="O1" s="49"/>
      <c r="P1" s="48"/>
      <c r="AK1" s="48"/>
      <c r="AL1" s="48"/>
      <c r="AM1" s="48"/>
      <c r="AN1" s="48"/>
      <c r="AO1" s="48"/>
      <c r="AP1" s="48"/>
      <c r="AQ1" s="48"/>
      <c r="AR1" s="48"/>
      <c r="AS1" s="48"/>
      <c r="AT1" s="48"/>
      <c r="AU1" s="48"/>
      <c r="AV1" s="48"/>
      <c r="AW1" s="48"/>
    </row>
    <row r="2" spans="1:49" ht="18" x14ac:dyDescent="0.4">
      <c r="A2" s="50" t="s">
        <v>47</v>
      </c>
      <c r="C2" s="51"/>
      <c r="D2" s="52"/>
      <c r="E2" s="52"/>
      <c r="F2" s="52"/>
      <c r="G2" s="52"/>
      <c r="H2" s="52"/>
      <c r="I2" s="52"/>
      <c r="J2" s="52"/>
      <c r="K2" s="52"/>
      <c r="L2" s="52"/>
      <c r="M2" s="52"/>
      <c r="N2" s="49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</row>
    <row r="3" spans="1:49" ht="18" x14ac:dyDescent="0.4">
      <c r="A3" s="54">
        <v>0</v>
      </c>
      <c r="B3" s="55" t="s">
        <v>48</v>
      </c>
      <c r="C3" s="55" t="s">
        <v>49</v>
      </c>
      <c r="D3" s="55" t="s">
        <v>50</v>
      </c>
      <c r="E3" s="55" t="s">
        <v>51</v>
      </c>
      <c r="F3" s="55" t="s">
        <v>50</v>
      </c>
      <c r="G3" s="55" t="s">
        <v>52</v>
      </c>
      <c r="H3" s="55" t="s">
        <v>52</v>
      </c>
      <c r="I3" s="55" t="s">
        <v>51</v>
      </c>
      <c r="J3" s="55" t="s">
        <v>53</v>
      </c>
      <c r="K3" s="55" t="s">
        <v>54</v>
      </c>
      <c r="L3" s="55" t="s">
        <v>55</v>
      </c>
      <c r="M3" s="55" t="s">
        <v>56</v>
      </c>
      <c r="N3" s="49"/>
      <c r="AK3" s="48"/>
      <c r="AL3" s="48"/>
      <c r="AM3" s="48"/>
      <c r="AN3" s="48"/>
      <c r="AO3" s="48"/>
      <c r="AP3" s="48"/>
      <c r="AQ3" s="48"/>
      <c r="AR3" s="48"/>
      <c r="AS3" s="48"/>
      <c r="AT3" s="48"/>
      <c r="AU3" s="48"/>
      <c r="AV3" s="48"/>
      <c r="AW3" s="48"/>
    </row>
    <row r="4" spans="1:49" ht="18" x14ac:dyDescent="0.4">
      <c r="A4" s="50" t="str">
        <f>"Vtas. "&amp;RIGHT(YEAR(Mes_cierre),2)</f>
        <v>Vtas. 21</v>
      </c>
      <c r="B4" s="58">
        <f>B51+B70+B34+B90+B149+B161</f>
        <v>267176.92695779202</v>
      </c>
      <c r="C4" s="58">
        <f t="shared" ref="B4:I8" si="0">C51+C70+C34+C90+C149+C161</f>
        <v>0</v>
      </c>
      <c r="D4" s="58">
        <f t="shared" si="0"/>
        <v>0</v>
      </c>
      <c r="E4" s="58">
        <f t="shared" si="0"/>
        <v>0</v>
      </c>
      <c r="F4" s="58">
        <f t="shared" si="0"/>
        <v>0</v>
      </c>
      <c r="G4" s="58">
        <f t="shared" si="0"/>
        <v>0</v>
      </c>
      <c r="H4" s="58">
        <f t="shared" si="0"/>
        <v>0</v>
      </c>
      <c r="I4" s="58">
        <f t="shared" si="0"/>
        <v>0</v>
      </c>
      <c r="J4" s="58">
        <f t="shared" ref="J4:M8" si="1">J51+J70+J34+J90+J149+J161</f>
        <v>0</v>
      </c>
      <c r="K4" s="58">
        <f t="shared" si="1"/>
        <v>0</v>
      </c>
      <c r="L4" s="58">
        <f t="shared" si="1"/>
        <v>0</v>
      </c>
      <c r="M4" s="58">
        <f t="shared" si="1"/>
        <v>0</v>
      </c>
      <c r="N4" s="49"/>
      <c r="AK4" s="48"/>
      <c r="AL4" s="48"/>
      <c r="AM4" s="48"/>
      <c r="AN4" s="48"/>
      <c r="AO4" s="48"/>
      <c r="AP4" s="48"/>
      <c r="AQ4" s="48"/>
      <c r="AR4" s="48"/>
      <c r="AS4" s="48"/>
      <c r="AT4" s="48"/>
      <c r="AU4" s="48"/>
      <c r="AV4" s="48"/>
      <c r="AW4" s="48"/>
    </row>
    <row r="5" spans="1:49" ht="18" x14ac:dyDescent="0.4">
      <c r="A5" s="50" t="str">
        <f>"Vtas. P. "&amp;RIGHT(YEAR(Mes_cierre),2)</f>
        <v>Vtas. P. 21</v>
      </c>
      <c r="B5" s="60">
        <f t="shared" si="0"/>
        <v>151387.622</v>
      </c>
      <c r="C5" s="60">
        <f t="shared" si="0"/>
        <v>0</v>
      </c>
      <c r="D5" s="60">
        <f t="shared" si="0"/>
        <v>0</v>
      </c>
      <c r="E5" s="60">
        <f t="shared" si="0"/>
        <v>0</v>
      </c>
      <c r="F5" s="60">
        <f t="shared" si="0"/>
        <v>0</v>
      </c>
      <c r="G5" s="60">
        <f t="shared" si="0"/>
        <v>0</v>
      </c>
      <c r="H5" s="60">
        <f t="shared" si="0"/>
        <v>0</v>
      </c>
      <c r="I5" s="60">
        <f>I52+I71+I35+I91+I150+I162</f>
        <v>0</v>
      </c>
      <c r="J5" s="60">
        <f t="shared" si="1"/>
        <v>0</v>
      </c>
      <c r="K5" s="60">
        <f t="shared" si="1"/>
        <v>0</v>
      </c>
      <c r="L5" s="60">
        <f t="shared" si="1"/>
        <v>0</v>
      </c>
      <c r="M5" s="60">
        <f t="shared" si="1"/>
        <v>0</v>
      </c>
      <c r="N5" s="49"/>
      <c r="AK5" s="48"/>
      <c r="AL5" s="48"/>
      <c r="AM5" s="48"/>
      <c r="AN5" s="48"/>
      <c r="AO5" s="48"/>
      <c r="AP5" s="48"/>
      <c r="AQ5" s="48"/>
      <c r="AR5" s="48"/>
      <c r="AS5" s="48"/>
      <c r="AT5" s="48"/>
      <c r="AU5" s="48"/>
      <c r="AV5" s="48"/>
      <c r="AW5" s="48"/>
    </row>
    <row r="6" spans="1:49" ht="18" x14ac:dyDescent="0.4">
      <c r="A6" s="50" t="str">
        <f>"Vtas. "&amp;RIGHT(YEAR(Mes_cierre)-1,2)</f>
        <v>Vtas. 20</v>
      </c>
      <c r="B6" s="60">
        <f t="shared" si="0"/>
        <v>250791.68393003003</v>
      </c>
      <c r="C6" s="60">
        <f t="shared" si="0"/>
        <v>0</v>
      </c>
      <c r="D6" s="60">
        <f t="shared" si="0"/>
        <v>0</v>
      </c>
      <c r="E6" s="60">
        <f t="shared" si="0"/>
        <v>0</v>
      </c>
      <c r="F6" s="60">
        <f t="shared" si="0"/>
        <v>0</v>
      </c>
      <c r="G6" s="60">
        <f t="shared" si="0"/>
        <v>0</v>
      </c>
      <c r="H6" s="60">
        <f t="shared" si="0"/>
        <v>0</v>
      </c>
      <c r="I6" s="60">
        <f>I53+I72+I36+I92+I151+I163</f>
        <v>0</v>
      </c>
      <c r="J6" s="60">
        <f t="shared" si="1"/>
        <v>0</v>
      </c>
      <c r="K6" s="60">
        <f t="shared" si="1"/>
        <v>0</v>
      </c>
      <c r="L6" s="60">
        <f t="shared" si="1"/>
        <v>0</v>
      </c>
      <c r="M6" s="60">
        <f t="shared" si="1"/>
        <v>0</v>
      </c>
      <c r="N6" s="61"/>
      <c r="AK6" s="48"/>
      <c r="AL6" s="48"/>
      <c r="AM6" s="48"/>
      <c r="AN6" s="48"/>
      <c r="AO6" s="48"/>
      <c r="AP6" s="48"/>
      <c r="AQ6" s="48"/>
      <c r="AR6" s="48"/>
      <c r="AS6" s="48"/>
      <c r="AT6" s="48"/>
      <c r="AU6" s="48"/>
      <c r="AV6" s="48"/>
      <c r="AW6" s="48"/>
    </row>
    <row r="7" spans="1:49" ht="15.75" customHeight="1" x14ac:dyDescent="0.4">
      <c r="A7" s="50" t="str">
        <f>"UAFIR FL. "&amp;RIGHT(YEAR(Mes_cierre),2)</f>
        <v>UAFIR FL. 21</v>
      </c>
      <c r="B7" s="60">
        <f t="shared" si="0"/>
        <v>25381.555027128023</v>
      </c>
      <c r="C7" s="60">
        <f t="shared" si="0"/>
        <v>0</v>
      </c>
      <c r="D7" s="60">
        <f t="shared" si="0"/>
        <v>0</v>
      </c>
      <c r="E7" s="60">
        <f t="shared" si="0"/>
        <v>0</v>
      </c>
      <c r="F7" s="60">
        <f t="shared" si="0"/>
        <v>0</v>
      </c>
      <c r="G7" s="60">
        <f t="shared" si="0"/>
        <v>0</v>
      </c>
      <c r="H7" s="60">
        <f t="shared" si="0"/>
        <v>0</v>
      </c>
      <c r="I7" s="60">
        <f t="shared" si="0"/>
        <v>0</v>
      </c>
      <c r="J7" s="60">
        <f t="shared" si="1"/>
        <v>0</v>
      </c>
      <c r="K7" s="60">
        <f t="shared" si="1"/>
        <v>0</v>
      </c>
      <c r="L7" s="60">
        <f t="shared" si="1"/>
        <v>0</v>
      </c>
      <c r="M7" s="60">
        <f t="shared" si="1"/>
        <v>0</v>
      </c>
      <c r="N7" s="49"/>
      <c r="P7" s="48"/>
      <c r="AI7" s="50"/>
      <c r="AK7" s="48"/>
      <c r="AL7" s="48"/>
      <c r="AM7" s="48"/>
      <c r="AN7" s="48"/>
      <c r="AO7" s="48"/>
      <c r="AP7" s="48"/>
      <c r="AQ7" s="48"/>
      <c r="AR7" s="48"/>
      <c r="AS7" s="48"/>
      <c r="AT7" s="48"/>
      <c r="AU7" s="48"/>
      <c r="AV7" s="48"/>
      <c r="AW7" s="48"/>
    </row>
    <row r="8" spans="1:49" ht="15" customHeight="1" x14ac:dyDescent="0.4">
      <c r="A8" s="50" t="str">
        <f>"UAFIRFL.P."&amp;RIGHT(YEAR(Mes_cierre),2)</f>
        <v>UAFIRFL.P.21</v>
      </c>
      <c r="B8" s="60">
        <f t="shared" si="0"/>
        <v>23096.18499999999</v>
      </c>
      <c r="C8" s="60">
        <f t="shared" si="0"/>
        <v>0</v>
      </c>
      <c r="D8" s="60">
        <f t="shared" si="0"/>
        <v>0</v>
      </c>
      <c r="E8" s="60">
        <f t="shared" si="0"/>
        <v>0</v>
      </c>
      <c r="F8" s="60">
        <f t="shared" si="0"/>
        <v>0</v>
      </c>
      <c r="G8" s="60">
        <f t="shared" si="0"/>
        <v>0</v>
      </c>
      <c r="H8" s="60">
        <f t="shared" si="0"/>
        <v>0</v>
      </c>
      <c r="I8" s="60">
        <f>I55+I74+I38+I94+I153+I165</f>
        <v>0</v>
      </c>
      <c r="J8" s="60">
        <f t="shared" si="1"/>
        <v>0</v>
      </c>
      <c r="K8" s="60">
        <f t="shared" si="1"/>
        <v>0</v>
      </c>
      <c r="L8" s="60">
        <f t="shared" si="1"/>
        <v>0</v>
      </c>
      <c r="M8" s="60">
        <f t="shared" si="1"/>
        <v>0</v>
      </c>
      <c r="N8" s="49"/>
      <c r="P8" s="48"/>
      <c r="AI8" s="57"/>
      <c r="AK8" s="48"/>
      <c r="AL8" s="48"/>
      <c r="AM8" s="48"/>
      <c r="AN8" s="48"/>
      <c r="AO8" s="48"/>
      <c r="AP8" s="48"/>
      <c r="AQ8" s="48"/>
      <c r="AR8" s="48"/>
      <c r="AS8" s="48"/>
      <c r="AT8" s="48"/>
      <c r="AU8" s="48"/>
      <c r="AV8" s="48"/>
      <c r="AW8" s="48"/>
    </row>
    <row r="9" spans="1:49" ht="18" x14ac:dyDescent="0.4">
      <c r="A9" s="50" t="str">
        <f>"S. Deuda "&amp;RIGHT(YEAR(Mes_cierre),2)</f>
        <v>S. Deuda 21</v>
      </c>
      <c r="B9" s="62">
        <f t="shared" ref="B9:I9" si="2">B56+B75+B39+B95+B154+B19+B166</f>
        <v>0</v>
      </c>
      <c r="C9" s="62">
        <f t="shared" si="2"/>
        <v>0</v>
      </c>
      <c r="D9" s="62">
        <f t="shared" si="2"/>
        <v>0</v>
      </c>
      <c r="E9" s="62">
        <f t="shared" si="2"/>
        <v>0</v>
      </c>
      <c r="F9" s="62">
        <f t="shared" si="2"/>
        <v>0</v>
      </c>
      <c r="G9" s="62">
        <f t="shared" si="2"/>
        <v>0</v>
      </c>
      <c r="H9" s="62">
        <f t="shared" si="2"/>
        <v>0</v>
      </c>
      <c r="I9" s="62">
        <f t="shared" si="2"/>
        <v>0</v>
      </c>
      <c r="J9" s="62">
        <f>J56+J75+J39+J95+J154+J19+J166</f>
        <v>0</v>
      </c>
      <c r="K9" s="62">
        <f>K56+K75+K39+K95+K154+K19+K166</f>
        <v>0</v>
      </c>
      <c r="L9" s="62">
        <f>L56+L75+L39+L95+L154+L19+L166</f>
        <v>0</v>
      </c>
      <c r="M9" s="62">
        <f>M56+M75+M39+M95+M154+M19+M166</f>
        <v>0</v>
      </c>
      <c r="N9" s="63"/>
      <c r="P9" s="48"/>
      <c r="AI9" s="50"/>
      <c r="AK9" s="48"/>
      <c r="AL9" s="48"/>
      <c r="AM9" s="48"/>
      <c r="AN9" s="48"/>
      <c r="AO9" s="48"/>
      <c r="AP9" s="48"/>
      <c r="AQ9" s="48"/>
      <c r="AR9" s="48"/>
      <c r="AS9" s="48"/>
      <c r="AT9" s="48"/>
      <c r="AU9" s="48"/>
      <c r="AV9" s="48"/>
      <c r="AW9" s="48"/>
    </row>
    <row r="10" spans="1:49" ht="18" x14ac:dyDescent="0.4">
      <c r="A10" s="50" t="s">
        <v>57</v>
      </c>
      <c r="B10" s="62">
        <f t="shared" ref="B10:M10" si="3">B57+B76+B40+B96+B155+B21+B167</f>
        <v>0</v>
      </c>
      <c r="C10" s="62">
        <f t="shared" si="3"/>
        <v>0</v>
      </c>
      <c r="D10" s="62">
        <f t="shared" si="3"/>
        <v>0</v>
      </c>
      <c r="E10" s="62">
        <f t="shared" si="3"/>
        <v>0</v>
      </c>
      <c r="F10" s="62">
        <f t="shared" si="3"/>
        <v>0</v>
      </c>
      <c r="G10" s="62">
        <f t="shared" si="3"/>
        <v>0</v>
      </c>
      <c r="H10" s="62">
        <f t="shared" si="3"/>
        <v>0</v>
      </c>
      <c r="I10" s="62">
        <f t="shared" si="3"/>
        <v>0</v>
      </c>
      <c r="J10" s="62">
        <f t="shared" si="3"/>
        <v>0</v>
      </c>
      <c r="K10" s="62">
        <f t="shared" si="3"/>
        <v>0</v>
      </c>
      <c r="L10" s="62">
        <f t="shared" si="3"/>
        <v>0</v>
      </c>
      <c r="M10" s="62">
        <f t="shared" si="3"/>
        <v>0</v>
      </c>
      <c r="N10" s="63"/>
      <c r="P10" s="48"/>
      <c r="AI10" s="50"/>
      <c r="AK10" s="48"/>
      <c r="AL10" s="48"/>
      <c r="AM10" s="48"/>
      <c r="AN10" s="48"/>
      <c r="AO10" s="48"/>
      <c r="AP10" s="48"/>
      <c r="AQ10" s="48"/>
      <c r="AR10" s="48"/>
      <c r="AS10" s="48"/>
      <c r="AT10" s="48"/>
      <c r="AU10" s="48"/>
      <c r="AV10" s="48"/>
      <c r="AW10" s="48"/>
    </row>
    <row r="11" spans="1:49" x14ac:dyDescent="0.35">
      <c r="A11" s="64" t="s">
        <v>58</v>
      </c>
      <c r="B11" s="65">
        <f>IFERROR(B7/B4,0)</f>
        <v>9.4999052935202527E-2</v>
      </c>
      <c r="C11" s="65">
        <f t="shared" ref="C11:M12" si="4">IFERROR(C7/C4,0)</f>
        <v>0</v>
      </c>
      <c r="D11" s="65">
        <f t="shared" si="4"/>
        <v>0</v>
      </c>
      <c r="E11" s="65">
        <f t="shared" si="4"/>
        <v>0</v>
      </c>
      <c r="F11" s="65">
        <f t="shared" si="4"/>
        <v>0</v>
      </c>
      <c r="G11" s="65">
        <f t="shared" si="4"/>
        <v>0</v>
      </c>
      <c r="H11" s="65">
        <f t="shared" si="4"/>
        <v>0</v>
      </c>
      <c r="I11" s="65">
        <f t="shared" si="4"/>
        <v>0</v>
      </c>
      <c r="J11" s="65">
        <f t="shared" si="4"/>
        <v>0</v>
      </c>
      <c r="K11" s="65">
        <f t="shared" si="4"/>
        <v>0</v>
      </c>
      <c r="L11" s="65">
        <f t="shared" si="4"/>
        <v>0</v>
      </c>
      <c r="M11" s="65">
        <f t="shared" si="4"/>
        <v>0</v>
      </c>
      <c r="N11" s="49"/>
      <c r="P11" s="48"/>
      <c r="AI11" s="50"/>
      <c r="AK11" s="48"/>
      <c r="AL11" s="48"/>
      <c r="AM11" s="48"/>
      <c r="AN11" s="48"/>
      <c r="AO11" s="48"/>
      <c r="AP11" s="48"/>
      <c r="AQ11" s="48"/>
      <c r="AR11" s="48"/>
      <c r="AS11" s="48"/>
      <c r="AT11" s="48"/>
      <c r="AU11" s="48"/>
      <c r="AV11" s="48"/>
      <c r="AW11" s="48"/>
    </row>
    <row r="12" spans="1:49" x14ac:dyDescent="0.35">
      <c r="A12" s="64" t="s">
        <v>59</v>
      </c>
      <c r="B12" s="67">
        <f>IFERROR(B8/B5,0)</f>
        <v>0.15256323267961755</v>
      </c>
      <c r="C12" s="67">
        <f>IFERROR(C8/C5,0)</f>
        <v>0</v>
      </c>
      <c r="D12" s="67">
        <f t="shared" si="4"/>
        <v>0</v>
      </c>
      <c r="E12" s="67">
        <f t="shared" si="4"/>
        <v>0</v>
      </c>
      <c r="F12" s="67">
        <f t="shared" si="4"/>
        <v>0</v>
      </c>
      <c r="G12" s="67">
        <f t="shared" si="4"/>
        <v>0</v>
      </c>
      <c r="H12" s="67">
        <f t="shared" si="4"/>
        <v>0</v>
      </c>
      <c r="I12" s="67">
        <f t="shared" si="4"/>
        <v>0</v>
      </c>
      <c r="J12" s="67">
        <f t="shared" si="4"/>
        <v>0</v>
      </c>
      <c r="K12" s="67">
        <f t="shared" si="4"/>
        <v>0</v>
      </c>
      <c r="L12" s="67">
        <f t="shared" si="4"/>
        <v>0</v>
      </c>
      <c r="M12" s="67">
        <f t="shared" si="4"/>
        <v>0</v>
      </c>
      <c r="N12" s="49"/>
      <c r="P12" s="48"/>
      <c r="AI12" s="50"/>
      <c r="AK12" s="48"/>
      <c r="AL12" s="48"/>
      <c r="AM12" s="48"/>
      <c r="AN12" s="48"/>
      <c r="AO12" s="48"/>
      <c r="AP12" s="48"/>
      <c r="AQ12" s="48"/>
      <c r="AR12" s="48"/>
      <c r="AS12" s="48"/>
      <c r="AT12" s="48"/>
      <c r="AU12" s="48"/>
      <c r="AV12" s="48"/>
      <c r="AW12" s="48"/>
    </row>
    <row r="13" spans="1:49" x14ac:dyDescent="0.35">
      <c r="B13" s="68"/>
      <c r="C13" s="69"/>
      <c r="F13" s="70"/>
      <c r="G13" s="71"/>
      <c r="H13" s="71"/>
      <c r="L13" s="70"/>
      <c r="P13" s="48"/>
      <c r="AI13" s="50"/>
      <c r="AK13" s="48"/>
      <c r="AL13" s="48"/>
      <c r="AM13" s="48"/>
      <c r="AN13" s="48"/>
      <c r="AO13" s="48"/>
      <c r="AP13" s="48"/>
      <c r="AQ13" s="48"/>
      <c r="AR13" s="48"/>
      <c r="AS13" s="48"/>
      <c r="AT13" s="48"/>
      <c r="AU13" s="48"/>
      <c r="AV13" s="48"/>
      <c r="AW13" s="48"/>
    </row>
    <row r="14" spans="1:49" x14ac:dyDescent="0.35">
      <c r="B14" s="68"/>
      <c r="C14" s="69"/>
      <c r="E14" s="70"/>
      <c r="K14" s="70"/>
      <c r="P14" s="48"/>
      <c r="AI14" s="50"/>
      <c r="AK14" s="48"/>
      <c r="AL14" s="48"/>
      <c r="AM14" s="48"/>
      <c r="AN14" s="48"/>
      <c r="AO14" s="48"/>
      <c r="AP14" s="48"/>
      <c r="AQ14" s="48"/>
      <c r="AR14" s="48"/>
      <c r="AS14" s="48"/>
      <c r="AT14" s="48"/>
      <c r="AU14" s="48"/>
      <c r="AV14" s="48"/>
      <c r="AW14" s="48"/>
    </row>
    <row r="15" spans="1:49" x14ac:dyDescent="0.35">
      <c r="A15" s="72" t="s">
        <v>60</v>
      </c>
      <c r="B15" s="68"/>
      <c r="C15" s="69"/>
      <c r="P15" s="48"/>
      <c r="AI15" s="50"/>
      <c r="AK15" s="48"/>
      <c r="AL15" s="48"/>
      <c r="AM15" s="48"/>
      <c r="AN15" s="48"/>
      <c r="AO15" s="48"/>
      <c r="AP15" s="48"/>
      <c r="AQ15" s="48"/>
      <c r="AR15" s="48"/>
      <c r="AS15" s="48"/>
      <c r="AT15" s="48"/>
      <c r="AU15" s="48"/>
      <c r="AV15" s="48"/>
      <c r="AW15" s="48"/>
    </row>
    <row r="16" spans="1:49" x14ac:dyDescent="0.35">
      <c r="A16" s="64" t="s">
        <v>61</v>
      </c>
      <c r="B16" s="46" t="s">
        <v>62</v>
      </c>
      <c r="C16" s="46" t="s">
        <v>63</v>
      </c>
      <c r="D16" s="73" t="s">
        <v>64</v>
      </c>
      <c r="N16" s="74"/>
      <c r="P16" s="48"/>
      <c r="AI16" s="64"/>
      <c r="AK16" s="48"/>
      <c r="AL16" s="48"/>
      <c r="AM16" s="48"/>
      <c r="AN16" s="48"/>
      <c r="AO16" s="48"/>
      <c r="AP16" s="48"/>
      <c r="AQ16" s="48"/>
      <c r="AR16" s="48"/>
      <c r="AS16" s="48"/>
      <c r="AT16" s="48"/>
      <c r="AU16" s="48"/>
      <c r="AV16" s="48"/>
      <c r="AW16" s="48"/>
    </row>
    <row r="17" spans="1:49" x14ac:dyDescent="0.35">
      <c r="A17" s="64" t="s">
        <v>65</v>
      </c>
      <c r="B17" s="73" t="s">
        <v>66</v>
      </c>
      <c r="M17" s="75">
        <v>0</v>
      </c>
      <c r="N17" s="74"/>
      <c r="P17" s="48"/>
      <c r="AI17" s="64"/>
      <c r="AK17" s="48"/>
      <c r="AL17" s="48"/>
      <c r="AM17" s="48"/>
      <c r="AN17" s="48"/>
      <c r="AO17" s="48"/>
      <c r="AP17" s="48"/>
      <c r="AQ17" s="48"/>
      <c r="AR17" s="48"/>
      <c r="AS17" s="48"/>
      <c r="AT17" s="48"/>
      <c r="AU17" s="48"/>
      <c r="AV17" s="48"/>
      <c r="AW17" s="48"/>
    </row>
    <row r="18" spans="1:49" x14ac:dyDescent="0.35">
      <c r="A18" s="76" t="s">
        <v>67</v>
      </c>
      <c r="B18" s="77"/>
      <c r="C18" s="78"/>
      <c r="D18" s="78"/>
      <c r="E18" s="77"/>
      <c r="F18" s="77"/>
      <c r="G18" s="77"/>
      <c r="H18" s="77"/>
      <c r="I18" s="77"/>
      <c r="J18" s="77"/>
      <c r="K18" s="77"/>
      <c r="L18" s="77"/>
      <c r="M18" s="77"/>
      <c r="N18" s="79">
        <f>SUM(B18:M18)</f>
        <v>0</v>
      </c>
      <c r="AK18" s="48"/>
      <c r="AL18" s="48"/>
      <c r="AM18" s="48"/>
      <c r="AN18" s="48"/>
      <c r="AO18" s="48"/>
      <c r="AP18" s="48"/>
      <c r="AQ18" s="48"/>
      <c r="AR18" s="48"/>
      <c r="AS18" s="48"/>
      <c r="AT18" s="48"/>
      <c r="AU18" s="48"/>
      <c r="AV18" s="48"/>
      <c r="AW18" s="48"/>
    </row>
    <row r="19" spans="1:49" x14ac:dyDescent="0.35">
      <c r="A19" s="76" t="s">
        <v>68</v>
      </c>
      <c r="B19" s="77">
        <v>0</v>
      </c>
      <c r="C19" s="77"/>
      <c r="D19" s="77"/>
      <c r="E19" s="77"/>
      <c r="F19" s="77"/>
      <c r="G19" s="77"/>
      <c r="H19" s="77"/>
      <c r="I19" s="77"/>
      <c r="J19" s="77"/>
      <c r="K19" s="77"/>
      <c r="L19" s="77"/>
      <c r="M19" s="77"/>
      <c r="N19" s="79"/>
      <c r="O19" s="48">
        <f>division!D2</f>
        <v>0</v>
      </c>
      <c r="AK19" s="48"/>
      <c r="AL19" s="48"/>
      <c r="AM19" s="48"/>
      <c r="AN19" s="48"/>
      <c r="AO19" s="48"/>
      <c r="AP19" s="48"/>
      <c r="AQ19" s="48"/>
      <c r="AR19" s="48"/>
      <c r="AS19" s="48"/>
      <c r="AT19" s="48"/>
      <c r="AU19" s="48"/>
      <c r="AV19" s="48"/>
      <c r="AW19" s="48"/>
    </row>
    <row r="20" spans="1:49" x14ac:dyDescent="0.35">
      <c r="A20" s="64" t="s">
        <v>69</v>
      </c>
      <c r="B20" s="77"/>
      <c r="C20" s="77"/>
      <c r="D20" s="77"/>
      <c r="E20" s="77"/>
      <c r="F20" s="77"/>
      <c r="G20" s="77"/>
      <c r="H20" s="77"/>
      <c r="I20" s="77"/>
      <c r="J20" s="77"/>
      <c r="K20" s="77"/>
      <c r="L20" s="77"/>
      <c r="M20" s="77"/>
      <c r="N20" s="79">
        <f>SUM(B20:M20)</f>
        <v>0</v>
      </c>
      <c r="AK20" s="48"/>
      <c r="AL20" s="48"/>
      <c r="AM20" s="48"/>
      <c r="AN20" s="48"/>
      <c r="AO20" s="48"/>
      <c r="AP20" s="48"/>
      <c r="AQ20" s="48"/>
      <c r="AR20" s="48"/>
      <c r="AS20" s="48"/>
      <c r="AT20" s="48"/>
      <c r="AU20" s="48"/>
      <c r="AV20" s="48"/>
      <c r="AW20" s="48"/>
    </row>
    <row r="21" spans="1:49" x14ac:dyDescent="0.35">
      <c r="A21" s="64" t="s">
        <v>57</v>
      </c>
      <c r="B21" s="77">
        <v>0</v>
      </c>
      <c r="C21" s="77"/>
      <c r="D21" s="77"/>
      <c r="E21" s="77"/>
      <c r="F21" s="77"/>
      <c r="G21" s="77"/>
      <c r="H21" s="77"/>
      <c r="I21" s="77"/>
      <c r="J21" s="77"/>
      <c r="K21" s="77"/>
      <c r="L21" s="77"/>
      <c r="M21" s="77"/>
      <c r="N21" s="79">
        <f>SUM(B21:M21)</f>
        <v>0</v>
      </c>
      <c r="O21" s="48">
        <f>division!D3</f>
        <v>0</v>
      </c>
      <c r="AK21" s="48"/>
      <c r="AL21" s="48"/>
      <c r="AM21" s="48"/>
      <c r="AN21" s="48"/>
      <c r="AO21" s="48"/>
      <c r="AP21" s="48"/>
      <c r="AQ21" s="48"/>
      <c r="AR21" s="48"/>
      <c r="AS21" s="48"/>
      <c r="AT21" s="48"/>
      <c r="AU21" s="48"/>
      <c r="AV21" s="48"/>
      <c r="AW21" s="48"/>
    </row>
    <row r="22" spans="1:49" x14ac:dyDescent="0.35">
      <c r="A22" s="48"/>
      <c r="B22" s="48"/>
      <c r="C22" s="48"/>
      <c r="D22" s="48"/>
      <c r="E22" s="81"/>
      <c r="F22" s="82"/>
      <c r="G22" s="48"/>
      <c r="H22" s="83"/>
      <c r="I22" s="82"/>
      <c r="J22" s="48"/>
      <c r="K22" s="48"/>
      <c r="L22" s="48"/>
      <c r="M22" s="84">
        <v>0</v>
      </c>
      <c r="AK22" s="48"/>
      <c r="AL22" s="48"/>
      <c r="AM22" s="48"/>
      <c r="AN22" s="48"/>
      <c r="AO22" s="48"/>
      <c r="AP22" s="48"/>
      <c r="AQ22" s="48"/>
      <c r="AR22" s="48"/>
      <c r="AS22" s="48"/>
      <c r="AT22" s="48"/>
      <c r="AU22" s="48"/>
      <c r="AV22" s="48"/>
      <c r="AW22" s="48"/>
    </row>
    <row r="23" spans="1:49" ht="13" x14ac:dyDescent="0.3">
      <c r="A23" s="48"/>
      <c r="B23" s="48"/>
      <c r="C23" s="48"/>
      <c r="D23" s="48"/>
      <c r="E23" s="48"/>
      <c r="F23" s="48"/>
      <c r="G23" s="48"/>
      <c r="H23" s="83"/>
      <c r="I23" s="48"/>
      <c r="J23" s="48"/>
      <c r="K23" s="48"/>
      <c r="L23" s="48"/>
      <c r="M23" s="48"/>
      <c r="AK23" s="48"/>
      <c r="AL23" s="48"/>
      <c r="AM23" s="48"/>
      <c r="AN23" s="48"/>
      <c r="AO23" s="48"/>
      <c r="AP23" s="48"/>
      <c r="AQ23" s="48"/>
      <c r="AR23" s="48"/>
      <c r="AS23" s="48"/>
      <c r="AT23" s="48"/>
      <c r="AU23" s="48"/>
      <c r="AV23" s="48"/>
      <c r="AW23" s="48"/>
    </row>
    <row r="24" spans="1:49" ht="13" x14ac:dyDescent="0.3">
      <c r="A24" s="48"/>
      <c r="B24" s="85">
        <f>(0+0+14000+29000+12600+21500)*19.0388/1000+(0+0+0)/1000</f>
        <v>1467.89148</v>
      </c>
      <c r="C24" s="80">
        <f>(52000+7800+14000+29000+12600+21500)*19.2607/1000+(0+0+0)/1000</f>
        <v>2636.7898300000002</v>
      </c>
      <c r="D24" s="80">
        <f>(26000+15600+14000+29000+12600+21500)*19.3779/1000+(0+0+0)/1000</f>
        <v>2300.1567300000002</v>
      </c>
      <c r="E24" s="80">
        <f>(26000+7800+14000+29000+12600+21500)*19.0099/1000+(0+0+0)/1000</f>
        <v>2108.1979099999999</v>
      </c>
      <c r="F24" s="80">
        <f>(26000+7800+14000+29000+52600+21500)*19.6426/1000+(0+0+0)/1000</f>
        <v>2964.0683400000003</v>
      </c>
      <c r="G24" s="80">
        <f>(26000+7800+14000+29000+92600+21500)*19.2087/1000+(0+0+0)/1000</f>
        <v>3666.94083</v>
      </c>
      <c r="H24" s="80">
        <f>(26000+7800+14000+29000+94600+21500)*18.9929/1000+(0+0+0)/1000</f>
        <v>3663.7304099999997</v>
      </c>
      <c r="I24" s="80"/>
      <c r="J24" s="80"/>
      <c r="K24" s="80"/>
      <c r="L24" s="80"/>
      <c r="M24" s="80"/>
      <c r="N24" s="49" t="s">
        <v>70</v>
      </c>
      <c r="AK24" s="48"/>
      <c r="AL24" s="48"/>
      <c r="AM24" s="48"/>
      <c r="AN24" s="48"/>
      <c r="AO24" s="48"/>
      <c r="AP24" s="48"/>
      <c r="AQ24" s="48"/>
      <c r="AR24" s="48"/>
      <c r="AS24" s="48"/>
      <c r="AT24" s="48"/>
      <c r="AU24" s="48"/>
      <c r="AV24" s="48"/>
      <c r="AW24" s="48"/>
    </row>
    <row r="25" spans="1:49" x14ac:dyDescent="0.35">
      <c r="A25" s="48"/>
      <c r="B25" s="48"/>
      <c r="C25" s="48"/>
      <c r="D25" s="48"/>
      <c r="E25" s="48"/>
      <c r="F25" s="48"/>
      <c r="G25" s="48"/>
      <c r="H25" s="48"/>
      <c r="I25" s="48"/>
      <c r="J25" s="48"/>
      <c r="K25" s="48"/>
      <c r="L25" s="48"/>
      <c r="N25" s="86"/>
      <c r="AK25" s="48"/>
      <c r="AL25" s="48"/>
      <c r="AM25" s="48"/>
      <c r="AN25" s="48"/>
      <c r="AO25" s="48"/>
      <c r="AP25" s="48"/>
      <c r="AQ25" s="48"/>
      <c r="AR25" s="48"/>
      <c r="AS25" s="48"/>
      <c r="AT25" s="48"/>
      <c r="AU25" s="48"/>
      <c r="AV25" s="48"/>
      <c r="AW25" s="48"/>
    </row>
    <row r="26" spans="1:49" x14ac:dyDescent="0.35">
      <c r="A26" s="48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N26" s="86"/>
      <c r="AK26" s="48"/>
      <c r="AL26" s="48"/>
      <c r="AM26" s="48"/>
      <c r="AN26" s="48"/>
      <c r="AO26" s="48"/>
      <c r="AP26" s="48"/>
      <c r="AQ26" s="48"/>
      <c r="AR26" s="48"/>
      <c r="AS26" s="48"/>
      <c r="AT26" s="48"/>
      <c r="AU26" s="48"/>
      <c r="AV26" s="48"/>
      <c r="AW26" s="48"/>
    </row>
    <row r="27" spans="1:49" x14ac:dyDescent="0.35">
      <c r="A27" s="87" t="s">
        <v>72</v>
      </c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AK27" s="48"/>
      <c r="AL27" s="48"/>
      <c r="AM27" s="48"/>
      <c r="AN27" s="48"/>
      <c r="AO27" s="48"/>
      <c r="AP27" s="48"/>
      <c r="AQ27" s="48"/>
      <c r="AR27" s="48"/>
      <c r="AS27" s="48"/>
      <c r="AT27" s="48"/>
      <c r="AU27" s="48"/>
      <c r="AV27" s="48"/>
      <c r="AW27" s="48"/>
    </row>
    <row r="28" spans="1:49" ht="13" x14ac:dyDescent="0.3">
      <c r="A28" s="48"/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AK28" s="48"/>
      <c r="AL28" s="48"/>
      <c r="AM28" s="48"/>
      <c r="AN28" s="48"/>
      <c r="AO28" s="48"/>
      <c r="AP28" s="48"/>
      <c r="AQ28" s="48"/>
      <c r="AR28" s="48"/>
      <c r="AS28" s="48"/>
      <c r="AT28" s="48"/>
      <c r="AU28" s="48"/>
      <c r="AV28" s="48"/>
      <c r="AW28" s="48"/>
    </row>
    <row r="29" spans="1:49" ht="13" x14ac:dyDescent="0.3">
      <c r="A29" s="48"/>
      <c r="B29" s="48"/>
      <c r="C29" s="48"/>
      <c r="D29" s="48"/>
      <c r="E29" s="48"/>
      <c r="F29" s="48"/>
      <c r="G29" s="48"/>
      <c r="H29" s="48"/>
      <c r="I29" s="48"/>
      <c r="J29" s="83"/>
      <c r="K29" s="48"/>
      <c r="L29" s="48"/>
      <c r="M29" s="48"/>
      <c r="O29" s="49" t="s">
        <v>71</v>
      </c>
      <c r="AK29" s="48"/>
      <c r="AL29" s="48"/>
      <c r="AM29" s="48"/>
      <c r="AN29" s="48"/>
      <c r="AO29" s="48"/>
      <c r="AP29" s="48"/>
      <c r="AQ29" s="48"/>
      <c r="AR29" s="48"/>
      <c r="AS29" s="48"/>
      <c r="AT29" s="48"/>
      <c r="AU29" s="48"/>
      <c r="AV29" s="48"/>
      <c r="AW29" s="48"/>
    </row>
    <row r="30" spans="1:49" ht="18" x14ac:dyDescent="0.4">
      <c r="A30" s="72" t="s">
        <v>73</v>
      </c>
      <c r="B30" s="89"/>
      <c r="AK30" s="48"/>
      <c r="AL30" s="48"/>
      <c r="AM30" s="48"/>
      <c r="AN30" s="48"/>
      <c r="AO30" s="48"/>
      <c r="AP30" s="48"/>
      <c r="AQ30" s="48"/>
      <c r="AR30" s="48"/>
      <c r="AS30" s="48"/>
      <c r="AT30" s="48"/>
      <c r="AU30" s="48"/>
      <c r="AV30" s="48"/>
      <c r="AW30" s="48"/>
    </row>
    <row r="31" spans="1:49" x14ac:dyDescent="0.35">
      <c r="A31" s="64" t="s">
        <v>61</v>
      </c>
      <c r="B31" s="90" t="s">
        <v>74</v>
      </c>
      <c r="C31" s="91" t="s">
        <v>75</v>
      </c>
      <c r="D31" s="90" t="s">
        <v>76</v>
      </c>
      <c r="E31" s="73" t="s">
        <v>77</v>
      </c>
      <c r="F31" s="48" t="s">
        <v>78</v>
      </c>
      <c r="AK31" s="48"/>
      <c r="AL31" s="48"/>
      <c r="AM31" s="48"/>
      <c r="AN31" s="48"/>
      <c r="AO31" s="48"/>
      <c r="AP31" s="48"/>
      <c r="AQ31" s="48"/>
      <c r="AR31" s="48"/>
      <c r="AS31" s="48"/>
      <c r="AT31" s="48"/>
      <c r="AU31" s="48"/>
      <c r="AV31" s="48"/>
      <c r="AW31" s="48"/>
    </row>
    <row r="32" spans="1:49" ht="18" x14ac:dyDescent="0.4">
      <c r="A32" s="64" t="s">
        <v>65</v>
      </c>
      <c r="B32" s="73" t="s">
        <v>79</v>
      </c>
      <c r="C32" s="73" t="s">
        <v>80</v>
      </c>
      <c r="D32" s="73" t="s">
        <v>81</v>
      </c>
      <c r="E32" s="90"/>
      <c r="F32" s="90"/>
      <c r="G32" s="90"/>
      <c r="H32" s="52"/>
      <c r="I32" s="52"/>
      <c r="J32" s="52"/>
      <c r="K32" s="52"/>
      <c r="L32" s="52"/>
      <c r="M32" s="52"/>
      <c r="N32" s="53"/>
      <c r="AK32" s="48"/>
      <c r="AL32" s="48"/>
      <c r="AM32" s="48"/>
      <c r="AN32" s="48"/>
      <c r="AO32" s="48"/>
      <c r="AP32" s="48"/>
      <c r="AQ32" s="48"/>
      <c r="AR32" s="48"/>
      <c r="AS32" s="48"/>
      <c r="AT32" s="48"/>
      <c r="AU32" s="48"/>
      <c r="AV32" s="48"/>
      <c r="AW32" s="48"/>
    </row>
    <row r="33" spans="1:49" ht="18" x14ac:dyDescent="0.4">
      <c r="A33" s="54">
        <v>0</v>
      </c>
      <c r="B33" s="55" t="s">
        <v>48</v>
      </c>
      <c r="C33" s="55" t="s">
        <v>49</v>
      </c>
      <c r="D33" s="55" t="s">
        <v>50</v>
      </c>
      <c r="E33" s="55" t="s">
        <v>51</v>
      </c>
      <c r="F33" s="55" t="s">
        <v>50</v>
      </c>
      <c r="G33" s="55" t="s">
        <v>52</v>
      </c>
      <c r="H33" s="55" t="s">
        <v>52</v>
      </c>
      <c r="I33" s="55" t="s">
        <v>51</v>
      </c>
      <c r="J33" s="55" t="s">
        <v>53</v>
      </c>
      <c r="K33" s="55" t="s">
        <v>54</v>
      </c>
      <c r="L33" s="55" t="s">
        <v>55</v>
      </c>
      <c r="M33" s="55" t="s">
        <v>56</v>
      </c>
      <c r="N33" s="56" t="s">
        <v>46</v>
      </c>
      <c r="AK33" s="48"/>
      <c r="AL33" s="48"/>
      <c r="AM33" s="48"/>
      <c r="AN33" s="48"/>
      <c r="AO33" s="48"/>
      <c r="AP33" s="48"/>
      <c r="AQ33" s="48"/>
      <c r="AR33" s="48"/>
      <c r="AS33" s="48"/>
      <c r="AT33" s="48"/>
      <c r="AU33" s="48"/>
      <c r="AV33" s="48"/>
      <c r="AW33" s="48"/>
    </row>
    <row r="34" spans="1:49" ht="18" x14ac:dyDescent="0.4">
      <c r="A34" s="50" t="str">
        <f t="shared" ref="A34:A40" si="5">A4</f>
        <v>Vtas. 21</v>
      </c>
      <c r="B34" s="58">
        <v>172515.28391500001</v>
      </c>
      <c r="C34" s="58"/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9">
        <f>SUM(B34:CHOOSE(MONTH(Mes_cierre),B34,C34,D34,E34,F34,G34,H34,I34,J34,K34,L34,M34))</f>
        <v>172515.28391500001</v>
      </c>
      <c r="O34" s="92"/>
      <c r="P34" s="93">
        <f>TablasER!$K$4</f>
        <v>172515.28391500001</v>
      </c>
      <c r="AK34" s="48"/>
      <c r="AL34" s="48"/>
      <c r="AM34" s="48"/>
      <c r="AN34" s="48"/>
      <c r="AO34" s="48"/>
      <c r="AP34" s="48"/>
      <c r="AQ34" s="48"/>
      <c r="AR34" s="48"/>
      <c r="AS34" s="48"/>
      <c r="AT34" s="48"/>
      <c r="AU34" s="48"/>
      <c r="AV34" s="48"/>
      <c r="AW34" s="48"/>
    </row>
    <row r="35" spans="1:49" ht="18" x14ac:dyDescent="0.4">
      <c r="A35" s="50" t="str">
        <f t="shared" si="5"/>
        <v>Vtas. P. 21</v>
      </c>
      <c r="B35" s="60">
        <v>140114.96</v>
      </c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59">
        <f>SUM(B35:CHOOSE(MONTH(Mes_cierre),B35,C35,D35,E35,F35,G35,H35,I35,J35,K35,L35,M35))</f>
        <v>140114.96</v>
      </c>
      <c r="O35" s="92">
        <v>0</v>
      </c>
      <c r="P35" s="93">
        <f>TablasER!$AA$4</f>
        <v>140114.96</v>
      </c>
      <c r="AK35" s="48"/>
      <c r="AL35" s="48"/>
      <c r="AM35" s="48"/>
      <c r="AN35" s="48"/>
      <c r="AO35" s="48"/>
      <c r="AP35" s="48"/>
      <c r="AQ35" s="48"/>
      <c r="AR35" s="48"/>
      <c r="AS35" s="48"/>
      <c r="AT35" s="48"/>
      <c r="AU35" s="48"/>
      <c r="AV35" s="48"/>
      <c r="AW35" s="48"/>
    </row>
    <row r="36" spans="1:49" ht="18" x14ac:dyDescent="0.4">
      <c r="A36" s="50" t="str">
        <f t="shared" si="5"/>
        <v>Vtas. 20</v>
      </c>
      <c r="B36" s="60">
        <v>162469.56968000002</v>
      </c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  <c r="N36" s="59">
        <f>SUM(B36:CHOOSE(MONTH(Mes_cierre),B36,C36,D36,E36,F36,G36,H36,I36,J36,K36,L36,M36))</f>
        <v>162469.56968000002</v>
      </c>
      <c r="O36" s="92"/>
      <c r="P36" s="93">
        <f>TablasER!$AQ$4</f>
        <v>162469.56968000002</v>
      </c>
      <c r="AK36" s="48"/>
      <c r="AL36" s="48"/>
      <c r="AM36" s="48"/>
      <c r="AN36" s="48"/>
      <c r="AO36" s="48"/>
      <c r="AP36" s="48"/>
      <c r="AQ36" s="48"/>
      <c r="AR36" s="48"/>
      <c r="AS36" s="48"/>
      <c r="AT36" s="48"/>
      <c r="AU36" s="48"/>
      <c r="AV36" s="48"/>
      <c r="AW36" s="48"/>
    </row>
    <row r="37" spans="1:49" ht="18" x14ac:dyDescent="0.4">
      <c r="A37" s="50" t="str">
        <f t="shared" si="5"/>
        <v>UAFIR FL. 21</v>
      </c>
      <c r="B37" s="60">
        <v>11384.313170000016</v>
      </c>
      <c r="C37" s="60"/>
      <c r="D37" s="60"/>
      <c r="E37" s="60"/>
      <c r="F37" s="60"/>
      <c r="G37" s="60"/>
      <c r="H37" s="60"/>
      <c r="I37" s="60"/>
      <c r="J37" s="60"/>
      <c r="K37" s="60"/>
      <c r="L37" s="60"/>
      <c r="M37" s="60"/>
      <c r="N37" s="59">
        <f>SUM(B37:CHOOSE(MONTH(Mes_cierre),B37,C37,D37,E37,F37,G37,H37,I37,J37,K37,L37,M37))</f>
        <v>11384.313170000016</v>
      </c>
      <c r="O37" s="92"/>
      <c r="P37" s="93">
        <f>TablasER!$K$29</f>
        <v>11384.313170000016</v>
      </c>
      <c r="AK37" s="48"/>
      <c r="AL37" s="48"/>
      <c r="AM37" s="48"/>
      <c r="AN37" s="48"/>
      <c r="AO37" s="48"/>
      <c r="AP37" s="48"/>
      <c r="AQ37" s="48"/>
      <c r="AR37" s="48"/>
      <c r="AS37" s="48"/>
      <c r="AT37" s="48"/>
      <c r="AU37" s="48"/>
      <c r="AV37" s="48"/>
      <c r="AW37" s="48"/>
    </row>
    <row r="38" spans="1:49" ht="18" x14ac:dyDescent="0.4">
      <c r="A38" s="50" t="str">
        <f t="shared" si="5"/>
        <v>UAFIRFL.P.21</v>
      </c>
      <c r="B38" s="60">
        <v>20211.642999999989</v>
      </c>
      <c r="C38" s="60"/>
      <c r="D38" s="60"/>
      <c r="E38" s="60"/>
      <c r="F38" s="60"/>
      <c r="G38" s="60"/>
      <c r="H38" s="60"/>
      <c r="I38" s="60"/>
      <c r="J38" s="60"/>
      <c r="K38" s="60"/>
      <c r="L38" s="60"/>
      <c r="M38" s="60"/>
      <c r="N38" s="94">
        <f>SUM(B38:CHOOSE(MONTH(Mes_cierre),B38,C38,D38,E38,F38,G38,H38,I38,J38,K38,L38,M38))</f>
        <v>20211.642999999989</v>
      </c>
      <c r="O38" s="92"/>
      <c r="P38" s="93">
        <f>TablasER!$AA$25</f>
        <v>20211.642999999989</v>
      </c>
      <c r="AK38" s="48"/>
      <c r="AL38" s="48"/>
      <c r="AM38" s="48"/>
      <c r="AN38" s="48"/>
      <c r="AO38" s="48"/>
      <c r="AP38" s="48"/>
      <c r="AQ38" s="48"/>
      <c r="AR38" s="48"/>
      <c r="AS38" s="48"/>
      <c r="AT38" s="48"/>
      <c r="AU38" s="48"/>
      <c r="AV38" s="48"/>
      <c r="AW38" s="48"/>
    </row>
    <row r="39" spans="1:49" ht="18" x14ac:dyDescent="0.4">
      <c r="A39" s="50" t="str">
        <f t="shared" si="5"/>
        <v>S. Deuda 21</v>
      </c>
      <c r="B39" s="62">
        <v>0</v>
      </c>
      <c r="C39" s="62"/>
      <c r="D39" s="62"/>
      <c r="E39" s="62"/>
      <c r="F39" s="62"/>
      <c r="G39" s="62"/>
      <c r="H39" s="62"/>
      <c r="I39" s="62"/>
      <c r="J39" s="62"/>
      <c r="K39" s="62"/>
      <c r="L39" s="62"/>
      <c r="M39" s="62"/>
      <c r="N39" s="59">
        <f>SUM(B39:CHOOSE(MONTH(Mes_cierre),B39,C39,D39,E39,F39,G39,H39,I39,J39,K39,L39,M39))</f>
        <v>0</v>
      </c>
      <c r="P39" s="299">
        <f>division!E2</f>
        <v>0</v>
      </c>
      <c r="AK39" s="48"/>
      <c r="AL39" s="48"/>
      <c r="AM39" s="48"/>
      <c r="AN39" s="48"/>
      <c r="AO39" s="48"/>
      <c r="AP39" s="48"/>
      <c r="AQ39" s="48"/>
      <c r="AR39" s="48"/>
      <c r="AS39" s="48"/>
      <c r="AT39" s="48"/>
      <c r="AU39" s="48"/>
      <c r="AV39" s="48"/>
      <c r="AW39" s="48"/>
    </row>
    <row r="40" spans="1:49" ht="18" x14ac:dyDescent="0.4">
      <c r="A40" s="50" t="str">
        <f t="shared" si="5"/>
        <v>Pagos Ext.</v>
      </c>
      <c r="B40" s="62">
        <v>0</v>
      </c>
      <c r="C40" s="62"/>
      <c r="D40" s="62"/>
      <c r="E40" s="62"/>
      <c r="F40" s="62"/>
      <c r="G40" s="62"/>
      <c r="H40" s="62"/>
      <c r="I40" s="62"/>
      <c r="J40" s="62"/>
      <c r="K40" s="62"/>
      <c r="L40" s="62"/>
      <c r="M40" s="62"/>
      <c r="N40" s="59"/>
      <c r="P40" s="299">
        <f>division!E3</f>
        <v>0</v>
      </c>
      <c r="AK40" s="48"/>
      <c r="AL40" s="48"/>
      <c r="AM40" s="48"/>
      <c r="AN40" s="48"/>
      <c r="AO40" s="48"/>
      <c r="AP40" s="48"/>
      <c r="AQ40" s="48"/>
      <c r="AR40" s="48"/>
      <c r="AS40" s="48"/>
      <c r="AT40" s="48"/>
      <c r="AU40" s="48"/>
      <c r="AV40" s="48"/>
      <c r="AW40" s="48"/>
    </row>
    <row r="41" spans="1:49" x14ac:dyDescent="0.35">
      <c r="A41" s="64" t="s">
        <v>58</v>
      </c>
      <c r="B41" s="65">
        <f t="shared" ref="B41:E42" si="6">IFERROR(B37/B34,0)</f>
        <v>6.5990171488858801E-2</v>
      </c>
      <c r="C41" s="65">
        <f t="shared" si="6"/>
        <v>0</v>
      </c>
      <c r="D41" s="65">
        <f t="shared" si="6"/>
        <v>0</v>
      </c>
      <c r="E41" s="65">
        <f t="shared" si="6"/>
        <v>0</v>
      </c>
      <c r="F41" s="65">
        <f>IFERROR(F38/F34,0)</f>
        <v>0</v>
      </c>
      <c r="G41" s="65">
        <f t="shared" ref="G41:M41" si="7">IFERROR(G38/G34,0)</f>
        <v>0</v>
      </c>
      <c r="H41" s="65">
        <f t="shared" si="7"/>
        <v>0</v>
      </c>
      <c r="I41" s="65">
        <f t="shared" si="7"/>
        <v>0</v>
      </c>
      <c r="J41" s="65">
        <f t="shared" si="7"/>
        <v>0</v>
      </c>
      <c r="K41" s="65">
        <f t="shared" si="7"/>
        <v>0</v>
      </c>
      <c r="L41" s="65">
        <f t="shared" si="7"/>
        <v>0</v>
      </c>
      <c r="M41" s="65">
        <f t="shared" si="7"/>
        <v>0</v>
      </c>
      <c r="N41" s="66"/>
      <c r="AK41" s="48"/>
      <c r="AL41" s="48"/>
      <c r="AM41" s="48"/>
      <c r="AN41" s="48"/>
      <c r="AO41" s="48"/>
      <c r="AP41" s="48"/>
      <c r="AQ41" s="48"/>
      <c r="AR41" s="48"/>
      <c r="AS41" s="48"/>
      <c r="AT41" s="48"/>
      <c r="AU41" s="48"/>
      <c r="AV41" s="48"/>
      <c r="AW41" s="48"/>
    </row>
    <row r="42" spans="1:49" x14ac:dyDescent="0.35">
      <c r="A42" s="64" t="s">
        <v>59</v>
      </c>
      <c r="B42" s="95">
        <f>IFERROR(B38/B35,0)</f>
        <v>0.14425042836253882</v>
      </c>
      <c r="C42" s="95">
        <f>IFERROR(C38/C35,0)</f>
        <v>0</v>
      </c>
      <c r="D42" s="95">
        <f>IFERROR(D38/D35,0)</f>
        <v>0</v>
      </c>
      <c r="E42" s="95">
        <f t="shared" si="6"/>
        <v>0</v>
      </c>
      <c r="F42" s="95">
        <f>IFERROR(#REF!/F35,0)</f>
        <v>0</v>
      </c>
      <c r="G42" s="95">
        <f>IFERROR(#REF!/G35,0)</f>
        <v>0</v>
      </c>
      <c r="H42" s="95">
        <f>IFERROR(#REF!/H35,0)</f>
        <v>0</v>
      </c>
      <c r="I42" s="95">
        <f>IFERROR(#REF!/I35,0)</f>
        <v>0</v>
      </c>
      <c r="J42" s="95">
        <f>IFERROR(#REF!/J35,0)</f>
        <v>0</v>
      </c>
      <c r="K42" s="95">
        <f>IFERROR(#REF!/K35,0)</f>
        <v>0</v>
      </c>
      <c r="L42" s="95">
        <f>IFERROR(#REF!/L35,0)</f>
        <v>0</v>
      </c>
      <c r="M42" s="95">
        <f>IFERROR(#REF!/M35,0)</f>
        <v>0</v>
      </c>
      <c r="N42" s="96"/>
      <c r="AK42" s="48"/>
      <c r="AL42" s="48"/>
      <c r="AM42" s="48"/>
      <c r="AN42" s="48"/>
      <c r="AO42" s="48"/>
      <c r="AP42" s="48"/>
      <c r="AQ42" s="48"/>
      <c r="AR42" s="48"/>
      <c r="AS42" s="48"/>
      <c r="AT42" s="48"/>
      <c r="AU42" s="48"/>
      <c r="AV42" s="48"/>
      <c r="AW42" s="48"/>
    </row>
    <row r="43" spans="1:49" x14ac:dyDescent="0.35">
      <c r="AK43" s="48"/>
      <c r="AL43" s="48"/>
      <c r="AM43" s="48"/>
      <c r="AN43" s="48"/>
      <c r="AO43" s="48"/>
      <c r="AP43" s="48"/>
      <c r="AQ43" s="48"/>
      <c r="AR43" s="48"/>
      <c r="AS43" s="48"/>
      <c r="AT43" s="48"/>
      <c r="AU43" s="48"/>
      <c r="AV43" s="48"/>
      <c r="AW43" s="48"/>
    </row>
    <row r="44" spans="1:49" x14ac:dyDescent="0.35">
      <c r="A44" s="76"/>
      <c r="B44" s="97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74"/>
      <c r="AK44" s="48"/>
      <c r="AL44" s="48"/>
      <c r="AM44" s="48"/>
      <c r="AN44" s="48"/>
      <c r="AO44" s="48"/>
      <c r="AP44" s="48"/>
      <c r="AQ44" s="48"/>
      <c r="AR44" s="48"/>
      <c r="AS44" s="48"/>
      <c r="AT44" s="48"/>
      <c r="AU44" s="48"/>
      <c r="AV44" s="48"/>
      <c r="AW44" s="48"/>
    </row>
    <row r="45" spans="1:49" x14ac:dyDescent="0.35">
      <c r="A45" s="76"/>
      <c r="B45" s="97"/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74"/>
      <c r="AK45" s="48"/>
      <c r="AL45" s="48"/>
      <c r="AM45" s="48"/>
      <c r="AN45" s="48"/>
      <c r="AO45" s="48"/>
      <c r="AP45" s="48"/>
      <c r="AQ45" s="48"/>
      <c r="AR45" s="48"/>
      <c r="AS45" s="48"/>
      <c r="AT45" s="48"/>
      <c r="AU45" s="48"/>
      <c r="AV45" s="48"/>
      <c r="AW45" s="48"/>
    </row>
    <row r="46" spans="1:49" x14ac:dyDescent="0.35">
      <c r="A46" s="76"/>
      <c r="B46" s="97"/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74"/>
      <c r="AK46" s="48"/>
      <c r="AL46" s="48"/>
      <c r="AM46" s="48"/>
      <c r="AN46" s="48"/>
      <c r="AO46" s="48"/>
      <c r="AP46" s="48"/>
      <c r="AQ46" s="48"/>
      <c r="AR46" s="48"/>
      <c r="AS46" s="48"/>
      <c r="AT46" s="48"/>
      <c r="AU46" s="48"/>
      <c r="AV46" s="48"/>
      <c r="AW46" s="48"/>
    </row>
    <row r="47" spans="1:49" x14ac:dyDescent="0.35">
      <c r="A47" s="72" t="s">
        <v>82</v>
      </c>
      <c r="B47" s="97"/>
      <c r="C47" s="97"/>
      <c r="D47" s="97"/>
      <c r="E47" s="97"/>
      <c r="F47" s="97"/>
      <c r="G47" s="97"/>
      <c r="H47" s="97"/>
      <c r="I47" s="97"/>
      <c r="J47" s="97"/>
      <c r="K47" s="97"/>
      <c r="L47" s="97"/>
      <c r="M47" s="97"/>
      <c r="N47" s="79"/>
      <c r="AK47" s="48"/>
      <c r="AL47" s="48"/>
      <c r="AM47" s="48"/>
      <c r="AN47" s="48"/>
      <c r="AO47" s="48"/>
      <c r="AP47" s="48"/>
      <c r="AQ47" s="48"/>
      <c r="AR47" s="48"/>
      <c r="AS47" s="48"/>
      <c r="AT47" s="48"/>
      <c r="AU47" s="48"/>
      <c r="AV47" s="48"/>
      <c r="AW47" s="48"/>
    </row>
    <row r="48" spans="1:49" x14ac:dyDescent="0.35">
      <c r="A48" s="64" t="s">
        <v>61</v>
      </c>
      <c r="B48" s="48" t="s">
        <v>83</v>
      </c>
      <c r="C48" s="48"/>
      <c r="D48" s="74"/>
      <c r="E48" s="74"/>
      <c r="F48" s="74"/>
      <c r="G48" s="97"/>
      <c r="H48" s="97"/>
      <c r="I48" s="97"/>
      <c r="J48" s="97"/>
      <c r="K48" s="97"/>
      <c r="L48" s="97"/>
      <c r="M48" s="97"/>
      <c r="N48" s="79"/>
      <c r="AK48" s="48"/>
      <c r="AL48" s="48"/>
      <c r="AM48" s="48"/>
      <c r="AN48" s="48"/>
      <c r="AO48" s="48"/>
      <c r="AP48" s="48"/>
      <c r="AQ48" s="48"/>
      <c r="AR48" s="48"/>
      <c r="AS48" s="48"/>
      <c r="AT48" s="48"/>
      <c r="AU48" s="48"/>
      <c r="AV48" s="48"/>
      <c r="AW48" s="48"/>
    </row>
    <row r="49" spans="1:49" x14ac:dyDescent="0.35">
      <c r="A49" s="64" t="s">
        <v>65</v>
      </c>
      <c r="B49" s="73" t="s">
        <v>84</v>
      </c>
      <c r="C49" s="73" t="s">
        <v>85</v>
      </c>
      <c r="D49" s="73" t="s">
        <v>86</v>
      </c>
      <c r="E49" s="73" t="s">
        <v>87</v>
      </c>
      <c r="F49" s="48" t="s">
        <v>88</v>
      </c>
      <c r="AK49" s="48"/>
      <c r="AL49" s="48"/>
      <c r="AM49" s="48"/>
      <c r="AN49" s="48"/>
      <c r="AO49" s="48"/>
      <c r="AP49" s="48"/>
      <c r="AQ49" s="48"/>
      <c r="AR49" s="48"/>
      <c r="AS49" s="48"/>
      <c r="AT49" s="48"/>
      <c r="AU49" s="48"/>
      <c r="AV49" s="48"/>
      <c r="AW49" s="48"/>
    </row>
    <row r="50" spans="1:49" ht="18" x14ac:dyDescent="0.4">
      <c r="A50" s="54">
        <v>0</v>
      </c>
      <c r="B50" s="55" t="s">
        <v>48</v>
      </c>
      <c r="C50" s="55" t="s">
        <v>49</v>
      </c>
      <c r="D50" s="55" t="s">
        <v>50</v>
      </c>
      <c r="E50" s="55" t="s">
        <v>51</v>
      </c>
      <c r="F50" s="55" t="s">
        <v>50</v>
      </c>
      <c r="G50" s="55" t="s">
        <v>52</v>
      </c>
      <c r="H50" s="55" t="s">
        <v>52</v>
      </c>
      <c r="I50" s="55" t="s">
        <v>51</v>
      </c>
      <c r="J50" s="55" t="s">
        <v>53</v>
      </c>
      <c r="K50" s="55" t="s">
        <v>54</v>
      </c>
      <c r="L50" s="55" t="s">
        <v>55</v>
      </c>
      <c r="M50" s="55" t="s">
        <v>56</v>
      </c>
      <c r="N50" s="56" t="s">
        <v>46</v>
      </c>
      <c r="AK50" s="48"/>
      <c r="AL50" s="48"/>
      <c r="AM50" s="48"/>
      <c r="AN50" s="48"/>
      <c r="AO50" s="48"/>
      <c r="AP50" s="48"/>
      <c r="AQ50" s="48"/>
      <c r="AR50" s="48"/>
      <c r="AS50" s="48"/>
      <c r="AT50" s="48"/>
      <c r="AU50" s="48"/>
      <c r="AV50" s="48"/>
      <c r="AW50" s="48"/>
    </row>
    <row r="51" spans="1:49" ht="18" x14ac:dyDescent="0.4">
      <c r="A51" s="50" t="str">
        <f t="shared" ref="A51:A57" si="8">A4</f>
        <v>Vtas. 21</v>
      </c>
      <c r="B51" s="58">
        <v>53292.74775000001</v>
      </c>
      <c r="C51" s="58"/>
      <c r="D51" s="58"/>
      <c r="E51" s="58"/>
      <c r="F51" s="58"/>
      <c r="G51" s="58"/>
      <c r="H51" s="58"/>
      <c r="I51" s="58"/>
      <c r="J51" s="58"/>
      <c r="K51" s="58"/>
      <c r="L51" s="58"/>
      <c r="M51" s="58"/>
      <c r="N51" s="59">
        <f>SUM(B51:CHOOSE(MONTH(Mes_cierre),B51,C51,D51,E51,F51,G51,H51,I51,J51,K51,L51,M51))</f>
        <v>53292.74775000001</v>
      </c>
      <c r="P51" s="93">
        <f>TablasER!$E$4</f>
        <v>53292.74775000001</v>
      </c>
      <c r="AK51" s="48"/>
      <c r="AL51" s="48"/>
      <c r="AM51" s="48"/>
      <c r="AN51" s="48"/>
      <c r="AO51" s="48"/>
      <c r="AP51" s="48"/>
      <c r="AQ51" s="48"/>
      <c r="AR51" s="48"/>
      <c r="AS51" s="48"/>
      <c r="AT51" s="48"/>
      <c r="AU51" s="48"/>
      <c r="AV51" s="48"/>
      <c r="AW51" s="48"/>
    </row>
    <row r="52" spans="1:49" ht="18" x14ac:dyDescent="0.4">
      <c r="A52" s="50" t="str">
        <f t="shared" si="8"/>
        <v>Vtas. P. 21</v>
      </c>
      <c r="B52" s="60">
        <v>0</v>
      </c>
      <c r="C52" s="60"/>
      <c r="D52" s="60"/>
      <c r="E52" s="60"/>
      <c r="F52" s="60"/>
      <c r="G52" s="60"/>
      <c r="H52" s="60"/>
      <c r="I52" s="60"/>
      <c r="J52" s="60"/>
      <c r="K52" s="60"/>
      <c r="L52" s="60"/>
      <c r="M52" s="60"/>
      <c r="N52" s="59">
        <f>SUM(B52:CHOOSE(MONTH(Mes_cierre),B52,C52,D52,E52,F52,G52,H52,I52,J52,K52,L52,M52))</f>
        <v>0</v>
      </c>
      <c r="O52" s="92">
        <v>0</v>
      </c>
      <c r="P52" s="93">
        <f>TablasER!$U$4</f>
        <v>0</v>
      </c>
      <c r="AK52" s="48"/>
      <c r="AL52" s="48"/>
      <c r="AM52" s="48"/>
      <c r="AN52" s="48"/>
      <c r="AO52" s="48"/>
      <c r="AP52" s="48"/>
      <c r="AQ52" s="48"/>
      <c r="AR52" s="48"/>
      <c r="AS52" s="48"/>
      <c r="AT52" s="48"/>
      <c r="AU52" s="48"/>
      <c r="AV52" s="48"/>
      <c r="AW52" s="48"/>
    </row>
    <row r="53" spans="1:49" ht="18" x14ac:dyDescent="0.4">
      <c r="A53" s="50" t="str">
        <f t="shared" si="8"/>
        <v>Vtas. 20</v>
      </c>
      <c r="B53" s="60">
        <v>59051.462630000002</v>
      </c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  <c r="N53" s="59">
        <f>SUM(B53:CHOOSE(MONTH(Mes_cierre),B53,C53,D53,E53,F53,G53,H53,I53,J53,K53,L53,M53))</f>
        <v>59051.462630000002</v>
      </c>
      <c r="P53" s="93">
        <f>TablasER!$AK$4</f>
        <v>59051.462630000002</v>
      </c>
      <c r="AK53" s="48"/>
      <c r="AL53" s="48"/>
      <c r="AM53" s="48"/>
      <c r="AN53" s="48"/>
      <c r="AO53" s="48"/>
      <c r="AP53" s="48"/>
      <c r="AQ53" s="48"/>
      <c r="AR53" s="48"/>
      <c r="AS53" s="48"/>
      <c r="AT53" s="48"/>
      <c r="AU53" s="48"/>
      <c r="AV53" s="48"/>
      <c r="AW53" s="48"/>
    </row>
    <row r="54" spans="1:49" ht="18" x14ac:dyDescent="0.4">
      <c r="A54" s="50" t="str">
        <f t="shared" si="8"/>
        <v>UAFIR FL. 21</v>
      </c>
      <c r="B54" s="60">
        <v>7270.5300600000073</v>
      </c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  <c r="N54" s="59">
        <f>SUM(B54:CHOOSE(MONTH(Mes_cierre),B54,C54,D54,E54,F54,G54,H54,I54,J54,K54,L54,M54))</f>
        <v>7270.5300600000073</v>
      </c>
      <c r="P54" s="93">
        <f>TablasER!$E$29</f>
        <v>7270.5300600000073</v>
      </c>
      <c r="AK54" s="48"/>
      <c r="AL54" s="48"/>
      <c r="AM54" s="48"/>
      <c r="AN54" s="48"/>
      <c r="AO54" s="48"/>
      <c r="AP54" s="48"/>
      <c r="AQ54" s="48"/>
      <c r="AR54" s="48"/>
      <c r="AS54" s="48"/>
      <c r="AT54" s="48"/>
      <c r="AU54" s="48"/>
      <c r="AV54" s="48"/>
      <c r="AW54" s="48"/>
    </row>
    <row r="55" spans="1:49" ht="18" x14ac:dyDescent="0.4">
      <c r="A55" s="50" t="str">
        <f t="shared" si="8"/>
        <v>UAFIRFL.P.21</v>
      </c>
      <c r="B55" s="60">
        <v>0</v>
      </c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  <c r="N55" s="59">
        <f>SUM(B55:CHOOSE(MONTH(Mes_cierre),B55,C55,D55,E55,F55,G55,H55,I55,J55,K55,L55,M55))</f>
        <v>0</v>
      </c>
      <c r="P55" s="93">
        <f>TablasER!$U$25</f>
        <v>0</v>
      </c>
      <c r="AK55" s="48"/>
      <c r="AL55" s="48"/>
      <c r="AM55" s="48"/>
      <c r="AN55" s="48"/>
      <c r="AO55" s="48"/>
      <c r="AP55" s="48"/>
      <c r="AQ55" s="48"/>
      <c r="AR55" s="48"/>
      <c r="AS55" s="48"/>
      <c r="AT55" s="48"/>
      <c r="AU55" s="48"/>
      <c r="AV55" s="48"/>
      <c r="AW55" s="48"/>
    </row>
    <row r="56" spans="1:49" ht="18" x14ac:dyDescent="0.4">
      <c r="A56" s="98" t="str">
        <f t="shared" si="8"/>
        <v>S. Deuda 21</v>
      </c>
      <c r="B56" s="62">
        <v>0</v>
      </c>
      <c r="C56" s="62"/>
      <c r="D56" s="62"/>
      <c r="E56" s="62"/>
      <c r="F56" s="62"/>
      <c r="G56" s="62"/>
      <c r="H56" s="62"/>
      <c r="I56" s="62"/>
      <c r="J56" s="62"/>
      <c r="K56" s="62"/>
      <c r="L56" s="62"/>
      <c r="M56" s="62"/>
      <c r="N56" s="59">
        <f>SUM(B56:CHOOSE(MONTH(Mes_cierre),B56,C56,D56,E56,F56,G56,H56,I56,J56,K56,L56,M56))</f>
        <v>0</v>
      </c>
      <c r="P56" s="49">
        <f>division!B2</f>
        <v>0</v>
      </c>
      <c r="Q56" s="83"/>
      <c r="AK56" s="48"/>
      <c r="AL56" s="48"/>
      <c r="AM56" s="48"/>
      <c r="AN56" s="48"/>
      <c r="AO56" s="48"/>
      <c r="AP56" s="48"/>
      <c r="AQ56" s="48"/>
      <c r="AR56" s="48"/>
      <c r="AS56" s="48"/>
      <c r="AT56" s="48"/>
      <c r="AU56" s="48"/>
      <c r="AV56" s="48"/>
      <c r="AW56" s="48"/>
    </row>
    <row r="57" spans="1:49" ht="18" x14ac:dyDescent="0.4">
      <c r="A57" s="50" t="str">
        <f t="shared" si="8"/>
        <v>Pagos Ext.</v>
      </c>
      <c r="B57" s="62">
        <v>0</v>
      </c>
      <c r="C57" s="62"/>
      <c r="D57" s="62"/>
      <c r="E57" s="62"/>
      <c r="F57" s="62"/>
      <c r="G57" s="62"/>
      <c r="H57" s="62"/>
      <c r="I57" s="62"/>
      <c r="J57" s="62"/>
      <c r="K57" s="62"/>
      <c r="L57" s="62"/>
      <c r="M57" s="62"/>
      <c r="N57" s="59"/>
      <c r="P57" s="49">
        <f>division!B3</f>
        <v>0</v>
      </c>
      <c r="Q57" s="83"/>
      <c r="AK57" s="48"/>
      <c r="AL57" s="48"/>
      <c r="AM57" s="48"/>
      <c r="AN57" s="48"/>
      <c r="AO57" s="48"/>
      <c r="AP57" s="48"/>
      <c r="AQ57" s="48"/>
      <c r="AR57" s="48"/>
      <c r="AS57" s="48"/>
      <c r="AT57" s="48"/>
      <c r="AU57" s="48"/>
      <c r="AV57" s="48"/>
      <c r="AW57" s="48"/>
    </row>
    <row r="58" spans="1:49" x14ac:dyDescent="0.35">
      <c r="A58" s="64" t="s">
        <v>58</v>
      </c>
      <c r="B58" s="65">
        <f t="shared" ref="B58:M59" si="9">IFERROR(B54/B51,0)</f>
        <v>0.13642625623483651</v>
      </c>
      <c r="C58" s="65">
        <f t="shared" si="9"/>
        <v>0</v>
      </c>
      <c r="D58" s="65">
        <f t="shared" si="9"/>
        <v>0</v>
      </c>
      <c r="E58" s="65">
        <f t="shared" si="9"/>
        <v>0</v>
      </c>
      <c r="F58" s="65">
        <f t="shared" si="9"/>
        <v>0</v>
      </c>
      <c r="G58" s="65">
        <f t="shared" si="9"/>
        <v>0</v>
      </c>
      <c r="H58" s="65">
        <f t="shared" si="9"/>
        <v>0</v>
      </c>
      <c r="I58" s="65">
        <f t="shared" si="9"/>
        <v>0</v>
      </c>
      <c r="J58" s="65">
        <f t="shared" si="9"/>
        <v>0</v>
      </c>
      <c r="K58" s="65">
        <f t="shared" si="9"/>
        <v>0</v>
      </c>
      <c r="L58" s="65">
        <f t="shared" si="9"/>
        <v>0</v>
      </c>
      <c r="M58" s="65">
        <f t="shared" si="9"/>
        <v>0</v>
      </c>
      <c r="Q58" s="83"/>
      <c r="AK58" s="48"/>
      <c r="AL58" s="48"/>
      <c r="AM58" s="48"/>
      <c r="AN58" s="48"/>
      <c r="AO58" s="48"/>
      <c r="AP58" s="48"/>
      <c r="AQ58" s="48"/>
      <c r="AR58" s="48"/>
      <c r="AS58" s="48"/>
      <c r="AT58" s="48"/>
      <c r="AU58" s="48"/>
      <c r="AV58" s="48"/>
      <c r="AW58" s="48"/>
    </row>
    <row r="59" spans="1:49" x14ac:dyDescent="0.35">
      <c r="A59" s="64" t="s">
        <v>59</v>
      </c>
      <c r="B59" s="67">
        <f>IFERROR(B55/B52,0)</f>
        <v>0</v>
      </c>
      <c r="C59" s="67">
        <f t="shared" si="9"/>
        <v>0</v>
      </c>
      <c r="D59" s="67">
        <f t="shared" si="9"/>
        <v>0</v>
      </c>
      <c r="E59" s="67">
        <f t="shared" si="9"/>
        <v>0</v>
      </c>
      <c r="F59" s="67">
        <f t="shared" si="9"/>
        <v>0</v>
      </c>
      <c r="G59" s="67">
        <f t="shared" si="9"/>
        <v>0</v>
      </c>
      <c r="H59" s="67">
        <f t="shared" si="9"/>
        <v>0</v>
      </c>
      <c r="I59" s="67">
        <f t="shared" si="9"/>
        <v>0</v>
      </c>
      <c r="J59" s="67">
        <f t="shared" si="9"/>
        <v>0</v>
      </c>
      <c r="K59" s="67">
        <f t="shared" si="9"/>
        <v>0</v>
      </c>
      <c r="L59" s="67">
        <f t="shared" si="9"/>
        <v>0</v>
      </c>
      <c r="M59" s="67">
        <f>IFERROR(M55/M52,0)</f>
        <v>0</v>
      </c>
      <c r="Q59" s="83"/>
      <c r="AK59" s="48"/>
      <c r="AL59" s="48"/>
      <c r="AM59" s="48"/>
      <c r="AN59" s="48"/>
      <c r="AO59" s="48"/>
      <c r="AP59" s="48"/>
      <c r="AQ59" s="48"/>
      <c r="AR59" s="48"/>
      <c r="AS59" s="48"/>
      <c r="AT59" s="48"/>
      <c r="AU59" s="48"/>
      <c r="AV59" s="48"/>
      <c r="AW59" s="48"/>
    </row>
    <row r="60" spans="1:49" x14ac:dyDescent="0.35">
      <c r="D60" s="99" t="e">
        <f>D57/D142</f>
        <v>#DIV/0!</v>
      </c>
      <c r="M60" s="70"/>
      <c r="Q60" s="83"/>
      <c r="AK60" s="48"/>
      <c r="AL60" s="48"/>
      <c r="AM60" s="48"/>
      <c r="AN60" s="48"/>
      <c r="AO60" s="48"/>
      <c r="AP60" s="48"/>
      <c r="AQ60" s="48"/>
      <c r="AR60" s="48"/>
      <c r="AS60" s="48"/>
      <c r="AT60" s="48"/>
      <c r="AU60" s="48"/>
      <c r="AV60" s="48"/>
      <c r="AW60" s="48"/>
    </row>
    <row r="61" spans="1:49" x14ac:dyDescent="0.35">
      <c r="A61" s="76"/>
      <c r="B61" s="97"/>
      <c r="C61" s="97"/>
      <c r="D61" s="97"/>
      <c r="E61" s="97"/>
      <c r="F61" s="97">
        <v>0</v>
      </c>
      <c r="G61" s="97"/>
      <c r="H61" s="97"/>
      <c r="I61" s="97"/>
      <c r="J61" s="97"/>
      <c r="K61" s="97"/>
      <c r="L61" s="97"/>
      <c r="M61" s="97"/>
      <c r="N61" s="74"/>
      <c r="Q61" s="83"/>
      <c r="AK61" s="48"/>
      <c r="AL61" s="48"/>
      <c r="AM61" s="48"/>
      <c r="AN61" s="48"/>
      <c r="AO61" s="48"/>
      <c r="AP61" s="48"/>
      <c r="AQ61" s="48"/>
      <c r="AR61" s="48"/>
      <c r="AS61" s="48"/>
      <c r="AT61" s="48"/>
      <c r="AU61" s="48"/>
      <c r="AV61" s="48"/>
      <c r="AW61" s="48"/>
    </row>
    <row r="62" spans="1:49" x14ac:dyDescent="0.35">
      <c r="A62" s="76"/>
      <c r="B62" s="97"/>
      <c r="C62" s="97"/>
      <c r="D62" s="97"/>
      <c r="E62" s="97"/>
      <c r="F62" s="97"/>
      <c r="G62" s="97"/>
      <c r="H62" s="97"/>
      <c r="I62" s="97"/>
      <c r="J62" s="97"/>
      <c r="K62" s="97"/>
      <c r="L62" s="97"/>
      <c r="M62" s="97"/>
      <c r="N62" s="74"/>
      <c r="AK62" s="48"/>
      <c r="AL62" s="48"/>
      <c r="AM62" s="48"/>
      <c r="AN62" s="48"/>
      <c r="AO62" s="48"/>
      <c r="AP62" s="48"/>
      <c r="AQ62" s="48"/>
      <c r="AR62" s="48"/>
      <c r="AS62" s="48"/>
      <c r="AT62" s="48"/>
      <c r="AU62" s="48"/>
      <c r="AV62" s="48"/>
      <c r="AW62" s="48"/>
    </row>
    <row r="63" spans="1:49" x14ac:dyDescent="0.35">
      <c r="A63" s="76"/>
      <c r="B63" s="97"/>
      <c r="C63" s="97"/>
      <c r="D63" s="97"/>
      <c r="E63" s="97"/>
      <c r="F63" s="97"/>
      <c r="G63" s="97"/>
      <c r="H63" s="97"/>
      <c r="I63" s="97"/>
      <c r="J63" s="97"/>
      <c r="K63" s="97"/>
      <c r="L63" s="97"/>
      <c r="M63" s="97"/>
      <c r="N63" s="74"/>
      <c r="AK63" s="48"/>
      <c r="AL63" s="48"/>
      <c r="AM63" s="48"/>
      <c r="AN63" s="48"/>
      <c r="AO63" s="48"/>
      <c r="AP63" s="48"/>
      <c r="AQ63" s="48"/>
      <c r="AR63" s="48"/>
      <c r="AS63" s="48"/>
      <c r="AT63" s="48"/>
      <c r="AU63" s="48"/>
      <c r="AV63" s="48"/>
      <c r="AW63" s="48"/>
    </row>
    <row r="64" spans="1:49" ht="18" x14ac:dyDescent="0.4">
      <c r="A64" s="48"/>
      <c r="B64" s="89"/>
      <c r="AK64" s="48"/>
      <c r="AL64" s="48"/>
      <c r="AM64" s="48"/>
      <c r="AN64" s="48"/>
      <c r="AO64" s="48"/>
      <c r="AP64" s="48"/>
      <c r="AQ64" s="48"/>
      <c r="AR64" s="48"/>
      <c r="AS64" s="48"/>
      <c r="AT64" s="48"/>
      <c r="AU64" s="48"/>
      <c r="AV64" s="48"/>
      <c r="AW64" s="48"/>
    </row>
    <row r="65" spans="1:49" ht="18" x14ac:dyDescent="0.4">
      <c r="A65" s="50"/>
      <c r="B65" s="89"/>
      <c r="AK65" s="48"/>
      <c r="AL65" s="48"/>
      <c r="AM65" s="48"/>
      <c r="AN65" s="48"/>
      <c r="AO65" s="48"/>
      <c r="AP65" s="48"/>
      <c r="AQ65" s="48"/>
      <c r="AR65" s="48"/>
      <c r="AS65" s="48"/>
      <c r="AT65" s="48"/>
      <c r="AU65" s="48"/>
      <c r="AV65" s="48"/>
      <c r="AW65" s="48"/>
    </row>
    <row r="66" spans="1:49" ht="18" x14ac:dyDescent="0.4">
      <c r="A66" s="50" t="s">
        <v>89</v>
      </c>
      <c r="B66" s="89"/>
      <c r="AK66" s="48"/>
      <c r="AL66" s="48"/>
      <c r="AM66" s="48"/>
      <c r="AN66" s="48"/>
      <c r="AO66" s="48"/>
      <c r="AP66" s="48"/>
      <c r="AQ66" s="48"/>
      <c r="AR66" s="48"/>
      <c r="AS66" s="48"/>
      <c r="AT66" s="48"/>
      <c r="AU66" s="48"/>
      <c r="AV66" s="48"/>
      <c r="AW66" s="48"/>
    </row>
    <row r="67" spans="1:49" ht="18" x14ac:dyDescent="0.4">
      <c r="A67" s="64" t="s">
        <v>61</v>
      </c>
      <c r="B67" s="89"/>
      <c r="AK67" s="48"/>
      <c r="AL67" s="48"/>
      <c r="AM67" s="48"/>
      <c r="AN67" s="48"/>
      <c r="AO67" s="48"/>
      <c r="AP67" s="48"/>
      <c r="AQ67" s="48"/>
      <c r="AR67" s="48"/>
      <c r="AS67" s="48"/>
      <c r="AT67" s="48"/>
      <c r="AU67" s="48"/>
      <c r="AV67" s="48"/>
      <c r="AW67" s="48"/>
    </row>
    <row r="68" spans="1:49" ht="15" customHeight="1" x14ac:dyDescent="0.4">
      <c r="A68" s="64" t="s">
        <v>65</v>
      </c>
      <c r="B68" s="73" t="s">
        <v>90</v>
      </c>
      <c r="C68" s="73" t="s">
        <v>91</v>
      </c>
      <c r="D68" s="73" t="s">
        <v>92</v>
      </c>
      <c r="E68" s="52"/>
      <c r="F68" s="52"/>
      <c r="G68" s="52"/>
      <c r="H68" s="52"/>
      <c r="I68" s="52"/>
      <c r="J68" s="52"/>
      <c r="K68" s="52"/>
      <c r="L68" s="52"/>
      <c r="M68" s="52"/>
      <c r="N68" s="53"/>
      <c r="AK68" s="48"/>
      <c r="AL68" s="48"/>
      <c r="AM68" s="48"/>
      <c r="AN68" s="48"/>
      <c r="AO68" s="48"/>
      <c r="AP68" s="48"/>
      <c r="AQ68" s="48"/>
      <c r="AR68" s="48"/>
      <c r="AS68" s="48"/>
      <c r="AT68" s="48"/>
      <c r="AU68" s="48"/>
      <c r="AV68" s="48"/>
      <c r="AW68" s="48"/>
    </row>
    <row r="69" spans="1:49" ht="18" x14ac:dyDescent="0.4">
      <c r="A69" s="54">
        <v>0</v>
      </c>
      <c r="B69" s="55" t="s">
        <v>48</v>
      </c>
      <c r="C69" s="55" t="s">
        <v>49</v>
      </c>
      <c r="D69" s="55" t="s">
        <v>50</v>
      </c>
      <c r="E69" s="55" t="s">
        <v>51</v>
      </c>
      <c r="F69" s="55" t="s">
        <v>50</v>
      </c>
      <c r="G69" s="55" t="s">
        <v>52</v>
      </c>
      <c r="H69" s="55" t="s">
        <v>52</v>
      </c>
      <c r="I69" s="55" t="s">
        <v>51</v>
      </c>
      <c r="J69" s="55" t="s">
        <v>53</v>
      </c>
      <c r="K69" s="55" t="s">
        <v>54</v>
      </c>
      <c r="L69" s="55" t="s">
        <v>55</v>
      </c>
      <c r="M69" s="55" t="s">
        <v>56</v>
      </c>
      <c r="N69" s="56" t="s">
        <v>46</v>
      </c>
      <c r="AK69" s="48"/>
      <c r="AL69" s="48"/>
      <c r="AM69" s="48"/>
      <c r="AN69" s="48"/>
      <c r="AO69" s="48"/>
      <c r="AP69" s="48"/>
      <c r="AQ69" s="48"/>
      <c r="AR69" s="48"/>
      <c r="AS69" s="48"/>
      <c r="AT69" s="48"/>
      <c r="AU69" s="48"/>
      <c r="AV69" s="48"/>
      <c r="AW69" s="48"/>
    </row>
    <row r="70" spans="1:49" ht="18" x14ac:dyDescent="0.4">
      <c r="A70" s="50" t="str">
        <f t="shared" ref="A70:A76" si="10">A4</f>
        <v>Vtas. 21</v>
      </c>
      <c r="B70" s="58"/>
      <c r="C70" s="58"/>
      <c r="D70" s="58"/>
      <c r="E70" s="58"/>
      <c r="F70" s="58"/>
      <c r="G70" s="58"/>
      <c r="H70" s="58"/>
      <c r="I70" s="58"/>
      <c r="J70" s="58"/>
      <c r="K70" s="58"/>
      <c r="L70" s="58"/>
      <c r="M70" s="58"/>
      <c r="N70" s="59">
        <f>SUM(B70:CHOOSE(MONTH(Mes_cierre),B70,C70,D70,E70,F70,G70,H70,I70,J70,K70,L70,M70))</f>
        <v>0</v>
      </c>
      <c r="P70" s="367"/>
      <c r="AK70" s="48"/>
      <c r="AN70" s="48"/>
      <c r="AO70" s="48"/>
      <c r="AP70" s="48"/>
      <c r="AQ70" s="48"/>
      <c r="AR70" s="48"/>
      <c r="AS70" s="48"/>
      <c r="AT70" s="48"/>
      <c r="AU70" s="48"/>
      <c r="AV70" s="48"/>
      <c r="AW70" s="48"/>
    </row>
    <row r="71" spans="1:49" ht="18" x14ac:dyDescent="0.4">
      <c r="A71" s="50" t="str">
        <f t="shared" si="10"/>
        <v>Vtas. P. 21</v>
      </c>
      <c r="B71" s="60"/>
      <c r="C71" s="60"/>
      <c r="D71" s="60"/>
      <c r="E71" s="60"/>
      <c r="F71" s="60"/>
      <c r="G71" s="60"/>
      <c r="H71" s="60"/>
      <c r="I71" s="60"/>
      <c r="J71" s="60"/>
      <c r="K71" s="60"/>
      <c r="L71" s="60"/>
      <c r="M71" s="60"/>
      <c r="N71" s="59">
        <f>SUM(B71:CHOOSE(MONTH(Mes_cierre),B71,C71,D71,E71,F71,G71,H71,I71,J71,K71,L71,M71))</f>
        <v>0</v>
      </c>
      <c r="O71" s="92"/>
      <c r="P71" s="367"/>
      <c r="AK71" s="48"/>
      <c r="AL71" s="48"/>
      <c r="AM71" s="48"/>
      <c r="AN71" s="48"/>
      <c r="AO71" s="48"/>
      <c r="AP71" s="48"/>
      <c r="AQ71" s="48"/>
      <c r="AR71" s="48"/>
      <c r="AS71" s="48"/>
      <c r="AT71" s="48"/>
      <c r="AU71" s="48"/>
      <c r="AV71" s="48"/>
      <c r="AW71" s="48"/>
    </row>
    <row r="72" spans="1:49" ht="18" x14ac:dyDescent="0.4">
      <c r="A72" s="50" t="str">
        <f t="shared" si="10"/>
        <v>Vtas. 20</v>
      </c>
      <c r="B72" s="60"/>
      <c r="C72" s="60"/>
      <c r="D72" s="60"/>
      <c r="E72" s="60"/>
      <c r="F72" s="60"/>
      <c r="G72" s="60"/>
      <c r="H72" s="60"/>
      <c r="I72" s="60"/>
      <c r="J72" s="60"/>
      <c r="K72" s="60"/>
      <c r="L72" s="60"/>
      <c r="M72" s="60"/>
      <c r="N72" s="59">
        <f>SUM(B72:CHOOSE(MONTH(Mes_cierre),B72,C72,D72,E72,F72,G72,H72,I72,J72,K72,L72,M72))</f>
        <v>0</v>
      </c>
      <c r="P72" s="367"/>
      <c r="AK72" s="48"/>
      <c r="AL72" s="48"/>
      <c r="AM72" s="48"/>
      <c r="AN72" s="48"/>
      <c r="AO72" s="48"/>
      <c r="AP72" s="48"/>
      <c r="AQ72" s="48"/>
      <c r="AR72" s="48"/>
      <c r="AS72" s="48"/>
      <c r="AT72" s="48"/>
      <c r="AU72" s="48"/>
      <c r="AV72" s="48"/>
      <c r="AW72" s="48"/>
    </row>
    <row r="73" spans="1:49" ht="18" x14ac:dyDescent="0.4">
      <c r="A73" s="50" t="str">
        <f t="shared" si="10"/>
        <v>UAFIR FL. 21</v>
      </c>
      <c r="B73" s="60"/>
      <c r="C73" s="60"/>
      <c r="D73" s="60"/>
      <c r="E73" s="60"/>
      <c r="F73" s="60"/>
      <c r="G73" s="60"/>
      <c r="H73" s="60"/>
      <c r="I73" s="60"/>
      <c r="J73" s="60"/>
      <c r="K73" s="60"/>
      <c r="L73" s="60"/>
      <c r="M73" s="60"/>
      <c r="N73" s="59">
        <f>SUM(B73:CHOOSE(MONTH(Mes_cierre),B73,C73,D73,E73,F73,G73,H73,I73,J73,K73,L73,M73))</f>
        <v>0</v>
      </c>
      <c r="P73" s="367"/>
      <c r="AK73" s="48"/>
      <c r="AL73" s="48"/>
      <c r="AM73" s="48"/>
      <c r="AN73" s="48"/>
      <c r="AO73" s="48"/>
      <c r="AP73" s="48"/>
      <c r="AQ73" s="48"/>
      <c r="AR73" s="48"/>
      <c r="AS73" s="48"/>
      <c r="AT73" s="48"/>
      <c r="AU73" s="48"/>
      <c r="AV73" s="48"/>
      <c r="AW73" s="48"/>
    </row>
    <row r="74" spans="1:49" ht="18" x14ac:dyDescent="0.4">
      <c r="A74" s="50" t="str">
        <f t="shared" si="10"/>
        <v>UAFIRFL.P.21</v>
      </c>
      <c r="B74" s="60"/>
      <c r="C74" s="60"/>
      <c r="D74" s="60"/>
      <c r="E74" s="60"/>
      <c r="F74" s="60"/>
      <c r="G74" s="60"/>
      <c r="H74" s="60"/>
      <c r="I74" s="60"/>
      <c r="J74" s="60"/>
      <c r="K74" s="60"/>
      <c r="L74" s="60"/>
      <c r="M74" s="60"/>
      <c r="N74" s="59">
        <f>SUM(B74:CHOOSE(MONTH(Mes_cierre),B74,C74,D74,E74,F74,G74,H74,I74,J74,K74,L74,M74))</f>
        <v>0</v>
      </c>
      <c r="P74" s="367"/>
      <c r="AK74" s="48"/>
      <c r="AL74" s="48"/>
      <c r="AM74" s="48"/>
      <c r="AN74" s="48"/>
      <c r="AO74" s="48"/>
      <c r="AP74" s="48"/>
      <c r="AQ74" s="48"/>
      <c r="AR74" s="48"/>
      <c r="AS74" s="48"/>
      <c r="AT74" s="48"/>
      <c r="AU74" s="48"/>
      <c r="AV74" s="48"/>
      <c r="AW74" s="48"/>
    </row>
    <row r="75" spans="1:49" ht="18" x14ac:dyDescent="0.4">
      <c r="A75" s="50" t="str">
        <f t="shared" si="10"/>
        <v>S. Deuda 21</v>
      </c>
      <c r="B75" s="62"/>
      <c r="C75" s="62"/>
      <c r="D75" s="62"/>
      <c r="E75" s="62"/>
      <c r="F75" s="62"/>
      <c r="G75" s="62"/>
      <c r="H75" s="62"/>
      <c r="I75" s="62"/>
      <c r="J75" s="62"/>
      <c r="K75" s="62"/>
      <c r="L75" s="62"/>
      <c r="M75" s="62"/>
      <c r="N75" s="59">
        <f>SUM(B75:CHOOSE(MONTH(Mes_cierre),B75,C75,D75,E75,F75,G75,H75,I75,J75,K75,L75,M75))</f>
        <v>0</v>
      </c>
      <c r="P75" s="368"/>
      <c r="Q75" s="83"/>
      <c r="AK75" s="48"/>
      <c r="AL75" s="48"/>
      <c r="AM75" s="48"/>
      <c r="AN75" s="48"/>
      <c r="AO75" s="48"/>
      <c r="AP75" s="48"/>
      <c r="AQ75" s="48"/>
      <c r="AR75" s="48"/>
      <c r="AS75" s="48"/>
      <c r="AT75" s="48"/>
      <c r="AU75" s="48"/>
      <c r="AV75" s="48"/>
      <c r="AW75" s="48"/>
    </row>
    <row r="76" spans="1:49" ht="18" x14ac:dyDescent="0.4">
      <c r="A76" s="50" t="str">
        <f t="shared" si="10"/>
        <v>Pagos Ext.</v>
      </c>
      <c r="B76" s="62"/>
      <c r="C76" s="62"/>
      <c r="D76" s="62"/>
      <c r="E76" s="62"/>
      <c r="F76" s="62"/>
      <c r="G76" s="62"/>
      <c r="H76" s="62"/>
      <c r="I76" s="62"/>
      <c r="J76" s="62"/>
      <c r="K76" s="62"/>
      <c r="L76" s="62"/>
      <c r="M76" s="62"/>
      <c r="N76" s="59"/>
      <c r="P76" s="368"/>
      <c r="Q76" s="83"/>
      <c r="AK76" s="48"/>
      <c r="AL76" s="48"/>
      <c r="AM76" s="48"/>
      <c r="AN76" s="48"/>
      <c r="AO76" s="48"/>
      <c r="AP76" s="48"/>
      <c r="AQ76" s="48"/>
      <c r="AR76" s="48"/>
      <c r="AS76" s="48"/>
      <c r="AT76" s="48"/>
      <c r="AU76" s="48"/>
      <c r="AV76" s="48"/>
      <c r="AW76" s="48"/>
    </row>
    <row r="77" spans="1:49" x14ac:dyDescent="0.35">
      <c r="A77" s="64" t="s">
        <v>58</v>
      </c>
      <c r="B77" s="65">
        <f t="shared" ref="B77:M78" si="11">IFERROR(B73/B70,0)</f>
        <v>0</v>
      </c>
      <c r="C77" s="65">
        <f t="shared" si="11"/>
        <v>0</v>
      </c>
      <c r="D77" s="65">
        <f t="shared" si="11"/>
        <v>0</v>
      </c>
      <c r="E77" s="65">
        <f t="shared" si="11"/>
        <v>0</v>
      </c>
      <c r="F77" s="65">
        <f t="shared" si="11"/>
        <v>0</v>
      </c>
      <c r="G77" s="65">
        <f t="shared" si="11"/>
        <v>0</v>
      </c>
      <c r="H77" s="65">
        <f t="shared" si="11"/>
        <v>0</v>
      </c>
      <c r="I77" s="65">
        <f t="shared" si="11"/>
        <v>0</v>
      </c>
      <c r="J77" s="65">
        <f t="shared" si="11"/>
        <v>0</v>
      </c>
      <c r="K77" s="65">
        <f t="shared" si="11"/>
        <v>0</v>
      </c>
      <c r="L77" s="65">
        <f t="shared" si="11"/>
        <v>0</v>
      </c>
      <c r="M77" s="65">
        <f t="shared" si="11"/>
        <v>0</v>
      </c>
      <c r="N77" s="66"/>
      <c r="Q77" s="83"/>
      <c r="AK77" s="48"/>
      <c r="AL77" s="48"/>
      <c r="AM77" s="48"/>
      <c r="AN77" s="48"/>
      <c r="AO77" s="48"/>
      <c r="AP77" s="48"/>
      <c r="AQ77" s="48"/>
      <c r="AR77" s="48"/>
      <c r="AS77" s="48"/>
      <c r="AT77" s="48"/>
      <c r="AU77" s="48"/>
      <c r="AV77" s="48"/>
      <c r="AW77" s="48"/>
    </row>
    <row r="78" spans="1:49" x14ac:dyDescent="0.35">
      <c r="A78" s="64" t="s">
        <v>59</v>
      </c>
      <c r="B78" s="95">
        <f>IFERROR(B74/B71,0)</f>
        <v>0</v>
      </c>
      <c r="C78" s="95">
        <f t="shared" si="11"/>
        <v>0</v>
      </c>
      <c r="D78" s="95">
        <f t="shared" si="11"/>
        <v>0</v>
      </c>
      <c r="E78" s="95">
        <f t="shared" si="11"/>
        <v>0</v>
      </c>
      <c r="F78" s="95">
        <f t="shared" si="11"/>
        <v>0</v>
      </c>
      <c r="G78" s="95">
        <f t="shared" si="11"/>
        <v>0</v>
      </c>
      <c r="H78" s="95">
        <f t="shared" si="11"/>
        <v>0</v>
      </c>
      <c r="I78" s="95">
        <f t="shared" si="11"/>
        <v>0</v>
      </c>
      <c r="J78" s="95">
        <f t="shared" si="11"/>
        <v>0</v>
      </c>
      <c r="K78" s="95">
        <f t="shared" si="11"/>
        <v>0</v>
      </c>
      <c r="L78" s="95">
        <f t="shared" si="11"/>
        <v>0</v>
      </c>
      <c r="M78" s="95">
        <f t="shared" si="11"/>
        <v>0</v>
      </c>
      <c r="N78" s="96"/>
      <c r="Q78" s="83"/>
      <c r="AK78" s="48"/>
      <c r="AL78" s="48"/>
      <c r="AM78" s="48"/>
      <c r="AN78" s="48"/>
      <c r="AO78" s="48"/>
      <c r="AP78" s="48"/>
      <c r="AQ78" s="48"/>
      <c r="AR78" s="48"/>
      <c r="AS78" s="48"/>
      <c r="AT78" s="48"/>
      <c r="AU78" s="48"/>
      <c r="AV78" s="48"/>
      <c r="AW78" s="48"/>
    </row>
    <row r="79" spans="1:49" x14ac:dyDescent="0.35">
      <c r="M79" s="70"/>
      <c r="Q79" s="83"/>
      <c r="AK79" s="48"/>
      <c r="AL79" s="48"/>
      <c r="AM79" s="48"/>
      <c r="AN79" s="48"/>
      <c r="AO79" s="48"/>
      <c r="AP79" s="48"/>
      <c r="AQ79" s="48"/>
      <c r="AR79" s="48"/>
      <c r="AS79" s="48"/>
      <c r="AT79" s="48"/>
      <c r="AU79" s="48"/>
      <c r="AV79" s="48"/>
      <c r="AW79" s="48"/>
    </row>
    <row r="80" spans="1:49" x14ac:dyDescent="0.35">
      <c r="A80" s="76"/>
      <c r="B80" s="97"/>
      <c r="C80" s="97"/>
      <c r="D80" s="97"/>
      <c r="E80" s="97"/>
      <c r="F80" s="97"/>
      <c r="G80" s="97"/>
      <c r="H80" s="97"/>
      <c r="I80" s="97"/>
      <c r="J80" s="97"/>
      <c r="K80" s="97"/>
      <c r="L80" s="97"/>
      <c r="M80" s="97"/>
      <c r="N80" s="74"/>
      <c r="Q80" s="83"/>
      <c r="AK80" s="48"/>
      <c r="AL80" s="48"/>
      <c r="AM80" s="48"/>
      <c r="AN80" s="48"/>
      <c r="AO80" s="48"/>
      <c r="AP80" s="48"/>
      <c r="AQ80" s="48"/>
      <c r="AR80" s="48"/>
      <c r="AS80" s="48"/>
      <c r="AT80" s="48"/>
      <c r="AU80" s="48"/>
      <c r="AV80" s="48"/>
      <c r="AW80" s="48"/>
    </row>
    <row r="81" spans="1:49" x14ac:dyDescent="0.35">
      <c r="A81" s="76"/>
      <c r="B81" s="97"/>
      <c r="C81" s="97"/>
      <c r="D81" s="97"/>
      <c r="E81" s="97"/>
      <c r="F81" s="97"/>
      <c r="G81" s="97"/>
      <c r="H81" s="97"/>
      <c r="I81" s="97"/>
      <c r="J81" s="97"/>
      <c r="K81" s="97"/>
      <c r="L81" s="97"/>
      <c r="M81" s="97"/>
      <c r="N81" s="74"/>
      <c r="AK81" s="48"/>
      <c r="AL81" s="48"/>
      <c r="AM81" s="48"/>
      <c r="AN81" s="48"/>
      <c r="AO81" s="48"/>
      <c r="AP81" s="48"/>
      <c r="AQ81" s="48"/>
      <c r="AR81" s="48"/>
      <c r="AS81" s="48"/>
      <c r="AT81" s="48"/>
      <c r="AU81" s="48"/>
      <c r="AV81" s="48"/>
      <c r="AW81" s="48"/>
    </row>
    <row r="82" spans="1:49" x14ac:dyDescent="0.35">
      <c r="A82" s="76"/>
      <c r="B82" s="97"/>
      <c r="C82" s="97"/>
      <c r="D82" s="97"/>
      <c r="E82" s="97"/>
      <c r="F82" s="97"/>
      <c r="G82" s="97"/>
      <c r="H82" s="97"/>
      <c r="I82" s="97"/>
      <c r="J82" s="97"/>
      <c r="K82" s="97"/>
      <c r="L82" s="97"/>
      <c r="M82" s="97"/>
      <c r="N82" s="74"/>
      <c r="AK82" s="48"/>
      <c r="AL82" s="48"/>
      <c r="AM82" s="48"/>
      <c r="AN82" s="48"/>
      <c r="AO82" s="48"/>
      <c r="AP82" s="48"/>
      <c r="AQ82" s="48"/>
      <c r="AR82" s="48"/>
      <c r="AS82" s="48"/>
      <c r="AT82" s="48"/>
      <c r="AU82" s="48"/>
      <c r="AV82" s="48"/>
      <c r="AW82" s="48"/>
    </row>
    <row r="83" spans="1:49" x14ac:dyDescent="0.35">
      <c r="A83" s="76"/>
      <c r="B83" s="97"/>
      <c r="C83" s="97"/>
      <c r="D83" s="97"/>
      <c r="E83" s="97"/>
      <c r="F83" s="97"/>
      <c r="G83" s="97"/>
      <c r="H83" s="97"/>
      <c r="I83" s="97"/>
      <c r="J83" s="97"/>
      <c r="K83" s="97"/>
      <c r="L83" s="97"/>
      <c r="M83" s="97"/>
      <c r="N83" s="74"/>
      <c r="AK83" s="48"/>
      <c r="AL83" s="48"/>
      <c r="AM83" s="48"/>
      <c r="AN83" s="48"/>
      <c r="AO83" s="48"/>
      <c r="AP83" s="48"/>
      <c r="AQ83" s="48"/>
      <c r="AR83" s="48"/>
      <c r="AS83" s="48"/>
      <c r="AT83" s="48"/>
      <c r="AU83" s="48"/>
      <c r="AV83" s="48"/>
      <c r="AW83" s="48"/>
    </row>
    <row r="84" spans="1:49" x14ac:dyDescent="0.35">
      <c r="A84" s="76"/>
      <c r="B84" s="97"/>
      <c r="C84" s="97"/>
      <c r="D84" s="97"/>
      <c r="E84" s="97"/>
      <c r="F84" s="97"/>
      <c r="G84" s="97"/>
      <c r="H84" s="97"/>
      <c r="I84" s="97"/>
      <c r="J84" s="97"/>
      <c r="K84" s="97"/>
      <c r="L84" s="97"/>
      <c r="M84" s="97"/>
      <c r="N84" s="74"/>
      <c r="AK84" s="48"/>
      <c r="AL84" s="48"/>
      <c r="AM84" s="48"/>
      <c r="AN84" s="48"/>
      <c r="AO84" s="48"/>
      <c r="AP84" s="48"/>
      <c r="AQ84" s="48"/>
      <c r="AR84" s="48"/>
      <c r="AS84" s="48"/>
      <c r="AT84" s="48"/>
      <c r="AU84" s="48"/>
      <c r="AV84" s="48"/>
      <c r="AW84" s="48"/>
    </row>
    <row r="85" spans="1:49" x14ac:dyDescent="0.35">
      <c r="A85" s="76"/>
      <c r="B85" s="97"/>
      <c r="C85" s="97"/>
      <c r="D85" s="97"/>
      <c r="E85" s="97"/>
      <c r="F85" s="97"/>
      <c r="G85" s="97"/>
      <c r="H85" s="97"/>
      <c r="I85" s="97"/>
      <c r="J85" s="97"/>
      <c r="K85" s="97"/>
      <c r="L85" s="97"/>
      <c r="M85" s="97"/>
      <c r="N85" s="74"/>
      <c r="AK85" s="48"/>
      <c r="AL85" s="48"/>
      <c r="AM85" s="48"/>
      <c r="AN85" s="48"/>
      <c r="AO85" s="48"/>
      <c r="AP85" s="48"/>
      <c r="AQ85" s="48"/>
      <c r="AR85" s="48"/>
      <c r="AS85" s="48"/>
      <c r="AT85" s="48"/>
      <c r="AU85" s="48"/>
      <c r="AV85" s="48"/>
      <c r="AW85" s="48"/>
    </row>
    <row r="86" spans="1:49" ht="18" x14ac:dyDescent="0.4">
      <c r="A86" s="72" t="s">
        <v>93</v>
      </c>
      <c r="B86" s="89"/>
      <c r="AK86" s="48"/>
      <c r="AL86" s="48"/>
      <c r="AM86" s="48"/>
      <c r="AN86" s="48"/>
      <c r="AO86" s="48"/>
      <c r="AP86" s="48"/>
      <c r="AQ86" s="48"/>
      <c r="AR86" s="48"/>
      <c r="AS86" s="48"/>
      <c r="AT86" s="48"/>
      <c r="AU86" s="48"/>
      <c r="AV86" s="48"/>
      <c r="AW86" s="48"/>
    </row>
    <row r="87" spans="1:49" x14ac:dyDescent="0.35">
      <c r="A87" s="64" t="s">
        <v>61</v>
      </c>
      <c r="AK87" s="48"/>
      <c r="AL87" s="48"/>
      <c r="AM87" s="48"/>
      <c r="AN87" s="48"/>
      <c r="AO87" s="48"/>
      <c r="AP87" s="48"/>
      <c r="AQ87" s="48"/>
      <c r="AR87" s="48"/>
      <c r="AS87" s="48"/>
      <c r="AT87" s="48"/>
      <c r="AU87" s="48"/>
      <c r="AV87" s="48"/>
      <c r="AW87" s="48"/>
    </row>
    <row r="88" spans="1:49" ht="18" x14ac:dyDescent="0.4">
      <c r="A88" s="64" t="s">
        <v>65</v>
      </c>
      <c r="B88" s="52"/>
      <c r="C88" s="51"/>
      <c r="D88" s="52"/>
      <c r="E88" s="52"/>
      <c r="F88" s="52"/>
      <c r="G88" s="52"/>
      <c r="H88" s="52"/>
      <c r="I88" s="52"/>
      <c r="J88" s="52"/>
      <c r="K88" s="52"/>
      <c r="L88" s="52"/>
      <c r="M88" s="52"/>
      <c r="N88" s="53"/>
      <c r="AK88" s="48"/>
      <c r="AL88" s="48"/>
      <c r="AM88" s="48"/>
      <c r="AN88" s="48"/>
      <c r="AO88" s="48"/>
      <c r="AP88" s="48"/>
      <c r="AQ88" s="48"/>
      <c r="AR88" s="48"/>
      <c r="AS88" s="48"/>
      <c r="AT88" s="48"/>
      <c r="AU88" s="48"/>
      <c r="AV88" s="48"/>
      <c r="AW88" s="48"/>
    </row>
    <row r="89" spans="1:49" ht="18" x14ac:dyDescent="0.4">
      <c r="A89" s="54">
        <v>0</v>
      </c>
      <c r="B89" s="55" t="s">
        <v>48</v>
      </c>
      <c r="C89" s="55" t="s">
        <v>49</v>
      </c>
      <c r="D89" s="55" t="s">
        <v>50</v>
      </c>
      <c r="E89" s="55" t="s">
        <v>51</v>
      </c>
      <c r="F89" s="55" t="s">
        <v>50</v>
      </c>
      <c r="G89" s="55" t="s">
        <v>52</v>
      </c>
      <c r="H89" s="55" t="s">
        <v>52</v>
      </c>
      <c r="I89" s="55" t="s">
        <v>51</v>
      </c>
      <c r="J89" s="55" t="s">
        <v>53</v>
      </c>
      <c r="K89" s="55" t="s">
        <v>54</v>
      </c>
      <c r="L89" s="55" t="s">
        <v>55</v>
      </c>
      <c r="M89" s="55" t="s">
        <v>56</v>
      </c>
      <c r="N89" s="56" t="s">
        <v>46</v>
      </c>
      <c r="AK89" s="48"/>
      <c r="AL89" s="48"/>
      <c r="AM89" s="48"/>
      <c r="AN89" s="48"/>
      <c r="AO89" s="48"/>
      <c r="AP89" s="48"/>
      <c r="AQ89" s="48"/>
      <c r="AR89" s="48"/>
      <c r="AS89" s="48"/>
      <c r="AT89" s="48"/>
      <c r="AU89" s="48"/>
      <c r="AV89" s="48"/>
      <c r="AW89" s="48"/>
    </row>
    <row r="90" spans="1:49" ht="18" x14ac:dyDescent="0.4">
      <c r="A90" s="50" t="str">
        <f t="shared" ref="A90:A96" si="12">A4</f>
        <v>Vtas. 21</v>
      </c>
      <c r="B90" s="58">
        <v>7406.9097600000005</v>
      </c>
      <c r="C90" s="58"/>
      <c r="D90" s="58"/>
      <c r="E90" s="58"/>
      <c r="F90" s="58"/>
      <c r="G90" s="58"/>
      <c r="H90" s="58"/>
      <c r="I90" s="58"/>
      <c r="J90" s="58"/>
      <c r="K90" s="58"/>
      <c r="L90" s="58"/>
      <c r="M90" s="58"/>
      <c r="N90" s="59">
        <f>SUM(B90:CHOOSE(MONTH(Mes_cierre),B90,C90,D90,E90,F90,G90,H90,I90,J90,K90,L90,M90))</f>
        <v>7406.9097600000005</v>
      </c>
      <c r="P90" s="93">
        <f>TablasER!$M$4</f>
        <v>7406.9097600000005</v>
      </c>
      <c r="AK90" s="48"/>
      <c r="AL90" s="48"/>
      <c r="AM90" s="48"/>
      <c r="AN90" s="48"/>
      <c r="AO90" s="48"/>
      <c r="AP90" s="48"/>
      <c r="AQ90" s="48"/>
      <c r="AR90" s="48"/>
      <c r="AS90" s="48"/>
      <c r="AT90" s="48"/>
      <c r="AU90" s="48"/>
      <c r="AV90" s="48"/>
      <c r="AW90" s="48"/>
    </row>
    <row r="91" spans="1:49" ht="18" x14ac:dyDescent="0.4">
      <c r="A91" s="50" t="str">
        <f t="shared" si="12"/>
        <v>Vtas. P. 21</v>
      </c>
      <c r="B91" s="60">
        <v>11272.662</v>
      </c>
      <c r="C91" s="60"/>
      <c r="D91" s="60"/>
      <c r="E91" s="60"/>
      <c r="F91" s="60"/>
      <c r="G91" s="60"/>
      <c r="H91" s="60"/>
      <c r="I91" s="60"/>
      <c r="J91" s="60"/>
      <c r="K91" s="60"/>
      <c r="L91" s="60"/>
      <c r="M91" s="60"/>
      <c r="N91" s="94">
        <f>SUM(B91:CHOOSE(MONTH(Mes_cierre),B91,C91,D91,E91,F91,G91,H91,I91,J91,K91,L91,M91))</f>
        <v>11272.662</v>
      </c>
      <c r="O91" s="92">
        <v>0</v>
      </c>
      <c r="P91" s="93">
        <f>TablasER!$AC$4</f>
        <v>11272.662</v>
      </c>
      <c r="AK91" s="48"/>
      <c r="AL91" s="48"/>
      <c r="AM91" s="48"/>
      <c r="AN91" s="48"/>
      <c r="AO91" s="48"/>
      <c r="AP91" s="48"/>
      <c r="AQ91" s="48"/>
      <c r="AR91" s="48"/>
      <c r="AS91" s="48"/>
      <c r="AT91" s="48"/>
      <c r="AU91" s="48"/>
      <c r="AV91" s="48"/>
      <c r="AW91" s="48"/>
    </row>
    <row r="92" spans="1:49" ht="18" x14ac:dyDescent="0.4">
      <c r="A92" s="50" t="str">
        <f t="shared" si="12"/>
        <v>Vtas. 20</v>
      </c>
      <c r="B92" s="60">
        <v>1309.9778600000002</v>
      </c>
      <c r="C92" s="60"/>
      <c r="D92" s="60"/>
      <c r="E92" s="60"/>
      <c r="F92" s="60"/>
      <c r="G92" s="60"/>
      <c r="H92" s="60"/>
      <c r="I92" s="60"/>
      <c r="J92" s="60"/>
      <c r="K92" s="60"/>
      <c r="L92" s="60"/>
      <c r="M92" s="60"/>
      <c r="N92" s="59">
        <f>SUM(B92:CHOOSE(MONTH(Mes_cierre),B92,C92,D92,E92,F92,G92,H92,I92,J92,K92,L92,M92))</f>
        <v>1309.9778600000002</v>
      </c>
      <c r="P92" s="93">
        <f>TablasER!$AS$4</f>
        <v>1309.9778600000002</v>
      </c>
      <c r="AK92" s="48"/>
      <c r="AL92" s="48"/>
      <c r="AM92" s="48"/>
      <c r="AN92" s="48"/>
      <c r="AO92" s="48"/>
      <c r="AP92" s="48"/>
      <c r="AQ92" s="48"/>
      <c r="AR92" s="48"/>
      <c r="AS92" s="48"/>
      <c r="AT92" s="48"/>
      <c r="AU92" s="48"/>
      <c r="AV92" s="48"/>
      <c r="AW92" s="48"/>
    </row>
    <row r="93" spans="1:49" ht="18" x14ac:dyDescent="0.4">
      <c r="A93" s="50" t="str">
        <f t="shared" si="12"/>
        <v>UAFIR FL. 21</v>
      </c>
      <c r="B93" s="60">
        <v>2900.9257300000004</v>
      </c>
      <c r="C93" s="60"/>
      <c r="D93" s="60"/>
      <c r="E93" s="60"/>
      <c r="F93" s="60"/>
      <c r="G93" s="60"/>
      <c r="H93" s="60"/>
      <c r="I93" s="60"/>
      <c r="J93" s="60"/>
      <c r="K93" s="60"/>
      <c r="L93" s="60"/>
      <c r="M93" s="60"/>
      <c r="N93" s="59">
        <f>SUM(B93:CHOOSE(MONTH(Mes_cierre),B93,C93,D93,E93,F93,G93,H93,I93,J93,K93,L93,M93))</f>
        <v>2900.9257300000004</v>
      </c>
      <c r="P93" s="93">
        <f>TablasER!$M$29</f>
        <v>2900.9257300000004</v>
      </c>
      <c r="AK93" s="48"/>
      <c r="AL93" s="48"/>
      <c r="AM93" s="48"/>
      <c r="AN93" s="48"/>
      <c r="AO93" s="48"/>
      <c r="AP93" s="48"/>
      <c r="AQ93" s="48"/>
      <c r="AR93" s="48"/>
      <c r="AS93" s="48"/>
      <c r="AT93" s="48"/>
      <c r="AU93" s="48"/>
      <c r="AV93" s="48"/>
      <c r="AW93" s="48"/>
    </row>
    <row r="94" spans="1:49" ht="18" x14ac:dyDescent="0.4">
      <c r="A94" s="50" t="str">
        <f t="shared" si="12"/>
        <v>UAFIRFL.P.21</v>
      </c>
      <c r="B94" s="60">
        <v>2884.5420000000004</v>
      </c>
      <c r="C94" s="60"/>
      <c r="D94" s="60"/>
      <c r="E94" s="60"/>
      <c r="F94" s="60"/>
      <c r="G94" s="60"/>
      <c r="H94" s="60"/>
      <c r="I94" s="60"/>
      <c r="J94" s="60"/>
      <c r="K94" s="60"/>
      <c r="L94" s="60"/>
      <c r="M94" s="60"/>
      <c r="N94" s="94">
        <f>SUM(B94:CHOOSE(MONTH(Mes_cierre),B94,C94,D94,E94,F94,G94,H94,I94,J94,K94,L94,M94))</f>
        <v>2884.5420000000004</v>
      </c>
      <c r="P94" s="93">
        <f>TablasER!$AC$25</f>
        <v>2884.5420000000004</v>
      </c>
      <c r="AK94" s="48"/>
      <c r="AL94" s="48"/>
      <c r="AM94" s="48"/>
      <c r="AN94" s="48"/>
      <c r="AO94" s="48"/>
      <c r="AP94" s="48"/>
      <c r="AQ94" s="48"/>
      <c r="AR94" s="48"/>
      <c r="AS94" s="48"/>
      <c r="AT94" s="48"/>
      <c r="AU94" s="48"/>
      <c r="AV94" s="48"/>
      <c r="AW94" s="48"/>
    </row>
    <row r="95" spans="1:49" ht="18" x14ac:dyDescent="0.4">
      <c r="A95" s="50" t="str">
        <f t="shared" si="12"/>
        <v>S. Deuda 21</v>
      </c>
      <c r="B95" s="62">
        <v>0</v>
      </c>
      <c r="C95" s="62"/>
      <c r="D95" s="62"/>
      <c r="E95" s="62"/>
      <c r="F95" s="62"/>
      <c r="G95" s="62"/>
      <c r="H95" s="62"/>
      <c r="I95" s="62"/>
      <c r="J95" s="62"/>
      <c r="K95" s="62"/>
      <c r="L95" s="62"/>
      <c r="M95" s="62"/>
      <c r="N95" s="59">
        <f>SUM(B95:CHOOSE(MONTH(Mes_cierre),B95,C95,D95,E95,F95,G95,H95,I95,J95,K95,L95,M95))</f>
        <v>0</v>
      </c>
      <c r="P95" s="49">
        <f>division!F2</f>
        <v>0</v>
      </c>
      <c r="Q95" s="83"/>
      <c r="AK95" s="48"/>
      <c r="AL95" s="48"/>
      <c r="AM95" s="48"/>
      <c r="AN95" s="48"/>
      <c r="AO95" s="48"/>
      <c r="AP95" s="48"/>
      <c r="AQ95" s="48"/>
      <c r="AR95" s="48"/>
      <c r="AS95" s="48"/>
      <c r="AT95" s="48"/>
      <c r="AU95" s="48"/>
      <c r="AV95" s="48"/>
      <c r="AW95" s="48"/>
    </row>
    <row r="96" spans="1:49" ht="18" x14ac:dyDescent="0.4">
      <c r="A96" s="50" t="str">
        <f t="shared" si="12"/>
        <v>Pagos Ext.</v>
      </c>
      <c r="B96" s="62">
        <v>0</v>
      </c>
      <c r="C96" s="62"/>
      <c r="D96" s="62"/>
      <c r="E96" s="62"/>
      <c r="F96" s="62"/>
      <c r="G96" s="62"/>
      <c r="H96" s="62"/>
      <c r="I96" s="62"/>
      <c r="J96" s="62"/>
      <c r="K96" s="62"/>
      <c r="L96" s="62"/>
      <c r="M96" s="62"/>
      <c r="N96" s="59"/>
      <c r="P96" s="49">
        <f>division!F3</f>
        <v>0</v>
      </c>
      <c r="Q96" s="83"/>
      <c r="AK96" s="48"/>
      <c r="AL96" s="48"/>
      <c r="AM96" s="48"/>
      <c r="AN96" s="48"/>
      <c r="AO96" s="48"/>
      <c r="AP96" s="48"/>
      <c r="AQ96" s="48"/>
      <c r="AR96" s="48"/>
      <c r="AS96" s="48"/>
      <c r="AT96" s="48"/>
      <c r="AU96" s="48"/>
      <c r="AV96" s="48"/>
      <c r="AW96" s="48"/>
    </row>
    <row r="97" spans="1:49" x14ac:dyDescent="0.35">
      <c r="A97" s="64" t="s">
        <v>58</v>
      </c>
      <c r="B97" s="65">
        <f t="shared" ref="B97:M98" si="13">IFERROR(B93/B90,0)</f>
        <v>0.39165128562333129</v>
      </c>
      <c r="C97" s="65">
        <f t="shared" si="13"/>
        <v>0</v>
      </c>
      <c r="D97" s="65">
        <f t="shared" si="13"/>
        <v>0</v>
      </c>
      <c r="E97" s="65">
        <f t="shared" si="13"/>
        <v>0</v>
      </c>
      <c r="F97" s="65">
        <f t="shared" si="13"/>
        <v>0</v>
      </c>
      <c r="G97" s="65">
        <f t="shared" si="13"/>
        <v>0</v>
      </c>
      <c r="H97" s="65">
        <f t="shared" si="13"/>
        <v>0</v>
      </c>
      <c r="I97" s="65">
        <f t="shared" si="13"/>
        <v>0</v>
      </c>
      <c r="J97" s="65">
        <f t="shared" si="13"/>
        <v>0</v>
      </c>
      <c r="K97" s="65">
        <f t="shared" si="13"/>
        <v>0</v>
      </c>
      <c r="L97" s="65">
        <f t="shared" si="13"/>
        <v>0</v>
      </c>
      <c r="M97" s="65">
        <f t="shared" si="13"/>
        <v>0</v>
      </c>
      <c r="N97" s="66"/>
      <c r="Q97" s="83"/>
      <c r="AK97" s="48"/>
      <c r="AL97" s="48"/>
      <c r="AM97" s="48"/>
      <c r="AN97" s="48"/>
      <c r="AO97" s="48"/>
      <c r="AP97" s="48"/>
      <c r="AQ97" s="48"/>
      <c r="AR97" s="48"/>
      <c r="AS97" s="48"/>
      <c r="AT97" s="48"/>
      <c r="AU97" s="48"/>
      <c r="AV97" s="48"/>
      <c r="AW97" s="48"/>
    </row>
    <row r="98" spans="1:49" x14ac:dyDescent="0.35">
      <c r="A98" s="64" t="s">
        <v>59</v>
      </c>
      <c r="B98" s="95">
        <f>IFERROR(B94/B91,0)</f>
        <v>0.25588827199822012</v>
      </c>
      <c r="C98" s="95">
        <f t="shared" si="13"/>
        <v>0</v>
      </c>
      <c r="D98" s="95">
        <f t="shared" si="13"/>
        <v>0</v>
      </c>
      <c r="E98" s="95">
        <f t="shared" si="13"/>
        <v>0</v>
      </c>
      <c r="F98" s="95">
        <f t="shared" si="13"/>
        <v>0</v>
      </c>
      <c r="G98" s="95">
        <f t="shared" si="13"/>
        <v>0</v>
      </c>
      <c r="H98" s="95">
        <f t="shared" si="13"/>
        <v>0</v>
      </c>
      <c r="I98" s="95">
        <f t="shared" si="13"/>
        <v>0</v>
      </c>
      <c r="J98" s="95">
        <f t="shared" si="13"/>
        <v>0</v>
      </c>
      <c r="K98" s="95">
        <f t="shared" si="13"/>
        <v>0</v>
      </c>
      <c r="L98" s="95">
        <f t="shared" si="13"/>
        <v>0</v>
      </c>
      <c r="M98" s="95">
        <f t="shared" si="13"/>
        <v>0</v>
      </c>
      <c r="N98" s="96"/>
      <c r="Q98" s="83"/>
      <c r="AK98" s="48"/>
      <c r="AL98" s="48"/>
      <c r="AM98" s="48"/>
      <c r="AN98" s="48"/>
      <c r="AO98" s="48"/>
      <c r="AP98" s="48"/>
      <c r="AQ98" s="48"/>
      <c r="AR98" s="48"/>
      <c r="AS98" s="48"/>
      <c r="AT98" s="48"/>
      <c r="AU98" s="48"/>
      <c r="AV98" s="48"/>
      <c r="AW98" s="48"/>
    </row>
    <row r="99" spans="1:49" x14ac:dyDescent="0.35">
      <c r="M99" s="70"/>
      <c r="Q99" s="83"/>
      <c r="AK99" s="48"/>
      <c r="AL99" s="48"/>
      <c r="AM99" s="48"/>
      <c r="AN99" s="48"/>
      <c r="AO99" s="48"/>
      <c r="AP99" s="48"/>
      <c r="AQ99" s="48"/>
      <c r="AR99" s="48"/>
      <c r="AS99" s="48"/>
      <c r="AT99" s="48"/>
      <c r="AU99" s="48"/>
      <c r="AV99" s="48"/>
      <c r="AW99" s="48"/>
    </row>
    <row r="100" spans="1:49" x14ac:dyDescent="0.35">
      <c r="A100" s="76"/>
      <c r="B100" s="97"/>
      <c r="C100" s="97"/>
      <c r="D100" s="97"/>
      <c r="E100" s="97"/>
      <c r="F100" s="97"/>
      <c r="G100" s="97"/>
      <c r="H100" s="97"/>
      <c r="I100" s="97"/>
      <c r="J100" s="97"/>
      <c r="K100" s="97"/>
      <c r="L100" s="97"/>
      <c r="M100" s="97"/>
      <c r="N100" s="74"/>
      <c r="Q100" s="83"/>
      <c r="AK100" s="48"/>
      <c r="AL100" s="48"/>
      <c r="AM100" s="48"/>
      <c r="AN100" s="48"/>
      <c r="AO100" s="48"/>
      <c r="AP100" s="48"/>
      <c r="AQ100" s="48"/>
      <c r="AR100" s="48"/>
      <c r="AS100" s="48"/>
      <c r="AT100" s="48"/>
      <c r="AU100" s="48"/>
      <c r="AV100" s="48"/>
      <c r="AW100" s="48"/>
    </row>
    <row r="101" spans="1:49" x14ac:dyDescent="0.35">
      <c r="A101" s="76"/>
      <c r="B101" s="97"/>
      <c r="C101" s="97"/>
      <c r="D101" s="97"/>
      <c r="E101" s="97"/>
      <c r="F101" s="97"/>
      <c r="G101" s="97"/>
      <c r="H101" s="97"/>
      <c r="I101" s="97"/>
      <c r="J101" s="97"/>
      <c r="K101" s="97"/>
      <c r="L101" s="97"/>
      <c r="M101" s="97"/>
      <c r="N101" s="74"/>
      <c r="AK101" s="48"/>
      <c r="AL101" s="48"/>
      <c r="AM101" s="48"/>
      <c r="AN101" s="48"/>
      <c r="AO101" s="48"/>
      <c r="AP101" s="48"/>
      <c r="AQ101" s="48"/>
      <c r="AR101" s="48"/>
      <c r="AS101" s="48"/>
      <c r="AT101" s="48"/>
      <c r="AU101" s="48"/>
      <c r="AV101" s="48"/>
      <c r="AW101" s="48"/>
    </row>
    <row r="102" spans="1:49" ht="13" x14ac:dyDescent="0.3">
      <c r="A102" s="48"/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74"/>
      <c r="AK102" s="48"/>
      <c r="AL102" s="48"/>
      <c r="AM102" s="48"/>
      <c r="AN102" s="48"/>
      <c r="AO102" s="48"/>
      <c r="AP102" s="48"/>
      <c r="AQ102" s="48"/>
      <c r="AR102" s="48"/>
      <c r="AS102" s="48"/>
      <c r="AT102" s="48"/>
      <c r="AU102" s="48"/>
      <c r="AV102" s="48"/>
      <c r="AW102" s="48"/>
    </row>
    <row r="103" spans="1:49" s="64" customFormat="1" x14ac:dyDescent="0.35">
      <c r="A103" s="76"/>
      <c r="B103" s="97"/>
      <c r="C103" s="97"/>
      <c r="D103" s="97"/>
      <c r="E103" s="97"/>
      <c r="F103" s="97"/>
      <c r="G103" s="97"/>
      <c r="H103" s="97"/>
      <c r="I103" s="97"/>
      <c r="J103" s="97"/>
      <c r="K103" s="97"/>
      <c r="L103" s="97"/>
      <c r="M103" s="97"/>
      <c r="N103" s="74"/>
      <c r="O103" s="48"/>
      <c r="P103" s="49"/>
      <c r="Q103" s="48"/>
      <c r="R103" s="48"/>
    </row>
    <row r="104" spans="1:49" s="64" customFormat="1" ht="18" x14ac:dyDescent="0.4">
      <c r="A104" s="72" t="s">
        <v>94</v>
      </c>
      <c r="B104" s="89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8"/>
      <c r="O104" s="48"/>
      <c r="P104" s="49"/>
      <c r="Q104" s="48"/>
      <c r="R104" s="48"/>
    </row>
    <row r="105" spans="1:49" x14ac:dyDescent="0.35">
      <c r="A105" s="64" t="s">
        <v>95</v>
      </c>
      <c r="AK105" s="48"/>
      <c r="AL105" s="48"/>
      <c r="AM105" s="48"/>
      <c r="AN105" s="48"/>
      <c r="AO105" s="48"/>
      <c r="AP105" s="48"/>
      <c r="AQ105" s="48"/>
      <c r="AR105" s="48"/>
      <c r="AS105" s="48"/>
      <c r="AT105" s="48"/>
      <c r="AU105" s="48"/>
      <c r="AV105" s="48"/>
      <c r="AW105" s="48"/>
    </row>
    <row r="106" spans="1:49" ht="18" x14ac:dyDescent="0.4">
      <c r="A106" s="64" t="s">
        <v>96</v>
      </c>
      <c r="B106" s="52"/>
      <c r="C106" s="52"/>
      <c r="D106" s="51"/>
      <c r="E106" s="52"/>
      <c r="F106" s="52"/>
      <c r="G106" s="52"/>
      <c r="H106" s="52"/>
      <c r="I106" s="52"/>
      <c r="J106" s="52"/>
      <c r="K106" s="52"/>
      <c r="L106" s="52"/>
      <c r="M106" s="52"/>
      <c r="N106" s="53"/>
      <c r="AK106" s="48"/>
      <c r="AL106" s="48"/>
      <c r="AM106" s="48"/>
      <c r="AN106" s="48"/>
      <c r="AO106" s="48"/>
      <c r="AP106" s="48"/>
      <c r="AQ106" s="48"/>
      <c r="AR106" s="48"/>
      <c r="AS106" s="48"/>
      <c r="AT106" s="48"/>
      <c r="AU106" s="48"/>
      <c r="AV106" s="48"/>
      <c r="AW106" s="48"/>
    </row>
    <row r="107" spans="1:49" ht="18" x14ac:dyDescent="0.4">
      <c r="A107" s="54">
        <v>0</v>
      </c>
      <c r="B107" s="100" t="s">
        <v>48</v>
      </c>
      <c r="C107" s="55" t="s">
        <v>49</v>
      </c>
      <c r="D107" s="55" t="s">
        <v>50</v>
      </c>
      <c r="E107" s="55" t="s">
        <v>51</v>
      </c>
      <c r="F107" s="55" t="s">
        <v>50</v>
      </c>
      <c r="G107" s="55" t="s">
        <v>52</v>
      </c>
      <c r="H107" s="55" t="s">
        <v>52</v>
      </c>
      <c r="I107" s="55" t="s">
        <v>51</v>
      </c>
      <c r="J107" s="55" t="s">
        <v>53</v>
      </c>
      <c r="K107" s="55" t="s">
        <v>54</v>
      </c>
      <c r="L107" s="55" t="s">
        <v>55</v>
      </c>
      <c r="M107" s="55" t="s">
        <v>56</v>
      </c>
      <c r="N107" s="56" t="s">
        <v>46</v>
      </c>
      <c r="P107" s="101"/>
      <c r="AK107" s="48"/>
      <c r="AL107" s="48"/>
      <c r="AM107" s="48"/>
      <c r="AN107" s="48"/>
      <c r="AO107" s="48"/>
      <c r="AP107" s="48"/>
      <c r="AQ107" s="48"/>
      <c r="AR107" s="48"/>
      <c r="AS107" s="48"/>
      <c r="AT107" s="48"/>
      <c r="AU107" s="48"/>
      <c r="AV107" s="48"/>
      <c r="AW107" s="48"/>
    </row>
    <row r="108" spans="1:49" ht="18" x14ac:dyDescent="0.4">
      <c r="A108" s="50" t="str">
        <f t="shared" ref="A108:A114" si="14">A4</f>
        <v>Vtas. 21</v>
      </c>
      <c r="B108" s="58">
        <v>1576.1270300000001</v>
      </c>
      <c r="C108" s="58"/>
      <c r="D108" s="58"/>
      <c r="E108" s="58"/>
      <c r="F108" s="58"/>
      <c r="G108" s="58"/>
      <c r="H108" s="58"/>
      <c r="I108" s="58"/>
      <c r="J108" s="58"/>
      <c r="K108" s="58"/>
      <c r="L108" s="58"/>
      <c r="M108" s="58"/>
      <c r="N108" s="59">
        <v>16299.75604</v>
      </c>
      <c r="P108" s="101">
        <f>TablasER!$G$77</f>
        <v>1576.1270300000001</v>
      </c>
      <c r="AK108" s="48"/>
      <c r="AL108" s="48"/>
      <c r="AM108" s="48"/>
      <c r="AN108" s="48"/>
      <c r="AO108" s="48"/>
      <c r="AP108" s="48"/>
      <c r="AQ108" s="48"/>
      <c r="AR108" s="48"/>
      <c r="AS108" s="48"/>
      <c r="AT108" s="48"/>
      <c r="AU108" s="48"/>
      <c r="AV108" s="48"/>
      <c r="AW108" s="48"/>
    </row>
    <row r="109" spans="1:49" ht="18" x14ac:dyDescent="0.4">
      <c r="A109" s="50" t="str">
        <f t="shared" si="14"/>
        <v>Vtas. P. 21</v>
      </c>
      <c r="B109" s="60">
        <v>1400.5609999999999</v>
      </c>
      <c r="C109" s="60"/>
      <c r="D109" s="60"/>
      <c r="E109" s="60"/>
      <c r="F109" s="60"/>
      <c r="G109" s="60"/>
      <c r="H109" s="60"/>
      <c r="I109" s="60"/>
      <c r="J109" s="60"/>
      <c r="K109" s="60"/>
      <c r="L109" s="60"/>
      <c r="M109" s="60"/>
      <c r="N109" s="94">
        <v>17054.687093434928</v>
      </c>
      <c r="O109" s="92">
        <v>0</v>
      </c>
      <c r="P109" s="101">
        <f>TablasER!$W$77</f>
        <v>1400.5609999999999</v>
      </c>
      <c r="AK109" s="48"/>
      <c r="AL109" s="48"/>
      <c r="AM109" s="48"/>
      <c r="AN109" s="48"/>
      <c r="AO109" s="48"/>
      <c r="AP109" s="48"/>
      <c r="AQ109" s="48"/>
      <c r="AR109" s="48"/>
      <c r="AS109" s="48"/>
      <c r="AT109" s="48"/>
      <c r="AU109" s="48"/>
      <c r="AV109" s="48"/>
      <c r="AW109" s="48"/>
    </row>
    <row r="110" spans="1:49" ht="18" x14ac:dyDescent="0.4">
      <c r="A110" s="50" t="str">
        <f t="shared" si="14"/>
        <v>Vtas. 20</v>
      </c>
      <c r="B110" s="60">
        <v>1347.0082399999999</v>
      </c>
      <c r="C110" s="60"/>
      <c r="D110" s="60"/>
      <c r="E110" s="60"/>
      <c r="F110" s="60"/>
      <c r="G110" s="60"/>
      <c r="H110" s="60"/>
      <c r="I110" s="60"/>
      <c r="J110" s="60"/>
      <c r="K110" s="60"/>
      <c r="L110" s="60"/>
      <c r="M110" s="60"/>
      <c r="N110" s="59">
        <v>17379.486369999999</v>
      </c>
      <c r="P110" s="101">
        <f>TablasER!$AM$77</f>
        <v>1347.0082399999999</v>
      </c>
      <c r="AK110" s="48"/>
      <c r="AL110" s="48"/>
      <c r="AM110" s="48"/>
      <c r="AN110" s="48"/>
      <c r="AO110" s="48"/>
      <c r="AP110" s="48"/>
      <c r="AQ110" s="48"/>
      <c r="AR110" s="48"/>
      <c r="AS110" s="48"/>
      <c r="AT110" s="48"/>
      <c r="AU110" s="48"/>
      <c r="AV110" s="48"/>
      <c r="AW110" s="48"/>
    </row>
    <row r="111" spans="1:49" ht="18" x14ac:dyDescent="0.4">
      <c r="A111" s="50" t="str">
        <f t="shared" si="14"/>
        <v>UAFIR FL. 21</v>
      </c>
      <c r="B111" s="60">
        <v>107.71133999999986</v>
      </c>
      <c r="C111" s="60"/>
      <c r="D111" s="60"/>
      <c r="E111" s="60"/>
      <c r="F111" s="60"/>
      <c r="G111" s="60"/>
      <c r="H111" s="60"/>
      <c r="I111" s="60"/>
      <c r="J111" s="60"/>
      <c r="K111" s="60"/>
      <c r="L111" s="60"/>
      <c r="M111" s="60"/>
      <c r="N111" s="59">
        <v>59.100689999999908</v>
      </c>
      <c r="O111" s="92">
        <v>0</v>
      </c>
      <c r="P111" s="101">
        <f>TablasER!$G$98</f>
        <v>107.71133999999986</v>
      </c>
      <c r="AK111" s="48"/>
      <c r="AL111" s="48"/>
      <c r="AM111" s="48"/>
      <c r="AN111" s="48"/>
      <c r="AO111" s="48"/>
      <c r="AP111" s="48"/>
      <c r="AQ111" s="48"/>
      <c r="AR111" s="48"/>
      <c r="AS111" s="48"/>
      <c r="AT111" s="48"/>
      <c r="AU111" s="48"/>
      <c r="AV111" s="48"/>
      <c r="AW111" s="48"/>
    </row>
    <row r="112" spans="1:49" ht="18" x14ac:dyDescent="0.4">
      <c r="A112" s="50" t="str">
        <f t="shared" si="14"/>
        <v>UAFIRFL.P.21</v>
      </c>
      <c r="B112" s="60">
        <v>-32.689000000000064</v>
      </c>
      <c r="C112" s="60"/>
      <c r="D112" s="60"/>
      <c r="E112" s="60"/>
      <c r="F112" s="60"/>
      <c r="G112" s="60"/>
      <c r="H112" s="60"/>
      <c r="I112" s="60"/>
      <c r="J112" s="60"/>
      <c r="K112" s="60"/>
      <c r="L112" s="60"/>
      <c r="M112" s="60"/>
      <c r="N112" s="94">
        <v>-255.52466168470141</v>
      </c>
      <c r="O112" s="92">
        <v>0</v>
      </c>
      <c r="P112" s="101">
        <f>TablasER!$W$98</f>
        <v>-32.689000000000064</v>
      </c>
      <c r="AK112" s="48"/>
      <c r="AL112" s="48"/>
      <c r="AM112" s="48"/>
      <c r="AN112" s="48"/>
      <c r="AO112" s="48"/>
      <c r="AP112" s="48"/>
      <c r="AQ112" s="48"/>
      <c r="AR112" s="48"/>
      <c r="AS112" s="48"/>
      <c r="AT112" s="48"/>
      <c r="AU112" s="48"/>
      <c r="AV112" s="48"/>
      <c r="AW112" s="48"/>
    </row>
    <row r="113" spans="1:49" ht="18" x14ac:dyDescent="0.4">
      <c r="A113" s="50" t="str">
        <f t="shared" si="14"/>
        <v>S. Deuda 21</v>
      </c>
      <c r="B113" s="62">
        <v>0</v>
      </c>
      <c r="C113" s="62"/>
      <c r="D113" s="62"/>
      <c r="E113" s="62"/>
      <c r="F113" s="62"/>
      <c r="G113" s="62"/>
      <c r="H113" s="62"/>
      <c r="I113" s="62"/>
      <c r="J113" s="62"/>
      <c r="K113" s="62"/>
      <c r="L113" s="62"/>
      <c r="M113" s="62"/>
      <c r="N113" s="59">
        <v>442.96984450000105</v>
      </c>
      <c r="P113" s="48">
        <f>division!G2/TC_MES</f>
        <v>0</v>
      </c>
      <c r="AK113" s="48"/>
      <c r="AL113" s="48"/>
      <c r="AM113" s="48"/>
      <c r="AN113" s="48"/>
      <c r="AO113" s="48"/>
      <c r="AP113" s="48"/>
      <c r="AQ113" s="48"/>
      <c r="AR113" s="48"/>
      <c r="AS113" s="48"/>
      <c r="AT113" s="48"/>
      <c r="AU113" s="48"/>
      <c r="AV113" s="48"/>
      <c r="AW113" s="48"/>
    </row>
    <row r="114" spans="1:49" ht="18" x14ac:dyDescent="0.4">
      <c r="A114" s="50" t="str">
        <f t="shared" si="14"/>
        <v>Pagos Ext.</v>
      </c>
      <c r="B114" s="62">
        <v>0</v>
      </c>
      <c r="C114" s="62"/>
      <c r="D114" s="62"/>
      <c r="E114" s="62"/>
      <c r="F114" s="62"/>
      <c r="G114" s="62"/>
      <c r="H114" s="62"/>
      <c r="I114" s="62"/>
      <c r="J114" s="62"/>
      <c r="K114" s="62"/>
      <c r="L114" s="62"/>
      <c r="M114" s="62"/>
      <c r="N114" s="59">
        <v>5728.2640654999996</v>
      </c>
      <c r="P114" s="48">
        <f>division!G3/TC_MES</f>
        <v>0</v>
      </c>
      <c r="AK114" s="48"/>
      <c r="AL114" s="48"/>
      <c r="AM114" s="48"/>
      <c r="AN114" s="48"/>
      <c r="AO114" s="48"/>
      <c r="AP114" s="48"/>
      <c r="AQ114" s="48"/>
      <c r="AR114" s="48"/>
      <c r="AS114" s="48"/>
      <c r="AT114" s="48"/>
      <c r="AU114" s="48"/>
      <c r="AV114" s="48"/>
      <c r="AW114" s="48"/>
    </row>
    <row r="115" spans="1:49" x14ac:dyDescent="0.35">
      <c r="A115" s="64" t="s">
        <v>58</v>
      </c>
      <c r="B115" s="102">
        <f t="shared" ref="B115:M116" si="15">IFERROR(B111/B108,0)</f>
        <v>6.8339250548859545E-2</v>
      </c>
      <c r="C115" s="102">
        <f>IFERROR(C111/C108,0)</f>
        <v>0</v>
      </c>
      <c r="D115" s="102">
        <f t="shared" si="15"/>
        <v>0</v>
      </c>
      <c r="E115" s="102">
        <f t="shared" si="15"/>
        <v>0</v>
      </c>
      <c r="F115" s="102">
        <f t="shared" si="15"/>
        <v>0</v>
      </c>
      <c r="G115" s="102">
        <f t="shared" si="15"/>
        <v>0</v>
      </c>
      <c r="H115" s="102">
        <f t="shared" si="15"/>
        <v>0</v>
      </c>
      <c r="I115" s="102">
        <f t="shared" si="15"/>
        <v>0</v>
      </c>
      <c r="J115" s="102">
        <f t="shared" si="15"/>
        <v>0</v>
      </c>
      <c r="K115" s="102">
        <f t="shared" si="15"/>
        <v>0</v>
      </c>
      <c r="L115" s="102">
        <f t="shared" si="15"/>
        <v>0</v>
      </c>
      <c r="M115" s="102">
        <f t="shared" si="15"/>
        <v>0</v>
      </c>
      <c r="N115" s="103"/>
      <c r="P115" s="48"/>
      <c r="AK115" s="48"/>
      <c r="AL115" s="48"/>
      <c r="AM115" s="48"/>
      <c r="AN115" s="48"/>
      <c r="AO115" s="48"/>
      <c r="AP115" s="48"/>
      <c r="AQ115" s="48"/>
      <c r="AR115" s="48"/>
      <c r="AS115" s="48"/>
      <c r="AT115" s="48"/>
      <c r="AU115" s="48"/>
      <c r="AV115" s="48"/>
      <c r="AW115" s="48"/>
    </row>
    <row r="116" spans="1:49" x14ac:dyDescent="0.35">
      <c r="A116" s="64" t="s">
        <v>59</v>
      </c>
      <c r="B116" s="95">
        <f>IFERROR(B112/B109,0)</f>
        <v>-2.3339933069677125E-2</v>
      </c>
      <c r="C116" s="95">
        <f t="shared" si="15"/>
        <v>0</v>
      </c>
      <c r="D116" s="95">
        <f t="shared" si="15"/>
        <v>0</v>
      </c>
      <c r="E116" s="95">
        <f t="shared" si="15"/>
        <v>0</v>
      </c>
      <c r="F116" s="95">
        <f t="shared" si="15"/>
        <v>0</v>
      </c>
      <c r="G116" s="95">
        <f t="shared" si="15"/>
        <v>0</v>
      </c>
      <c r="H116" s="95">
        <f t="shared" si="15"/>
        <v>0</v>
      </c>
      <c r="I116" s="95">
        <f t="shared" si="15"/>
        <v>0</v>
      </c>
      <c r="J116" s="95">
        <f t="shared" si="15"/>
        <v>0</v>
      </c>
      <c r="K116" s="95">
        <f t="shared" si="15"/>
        <v>0</v>
      </c>
      <c r="L116" s="95">
        <f t="shared" si="15"/>
        <v>0</v>
      </c>
      <c r="M116" s="95">
        <f t="shared" si="15"/>
        <v>0</v>
      </c>
      <c r="N116" s="104"/>
      <c r="P116" s="48"/>
      <c r="AK116" s="48"/>
      <c r="AL116" s="48"/>
      <c r="AM116" s="48"/>
      <c r="AN116" s="48"/>
      <c r="AO116" s="48"/>
      <c r="AP116" s="48"/>
      <c r="AQ116" s="48"/>
      <c r="AR116" s="48"/>
      <c r="AS116" s="48"/>
      <c r="AT116" s="48"/>
      <c r="AU116" s="48"/>
      <c r="AV116" s="48"/>
      <c r="AW116" s="48"/>
    </row>
    <row r="117" spans="1:49" x14ac:dyDescent="0.35">
      <c r="I117" s="70"/>
      <c r="M117" s="70"/>
      <c r="N117" s="73"/>
      <c r="P117" s="48"/>
      <c r="AK117" s="48"/>
      <c r="AL117" s="48"/>
      <c r="AM117" s="48"/>
      <c r="AN117" s="48"/>
      <c r="AO117" s="48"/>
      <c r="AP117" s="48"/>
      <c r="AQ117" s="48"/>
      <c r="AR117" s="48"/>
      <c r="AS117" s="48"/>
      <c r="AT117" s="48"/>
      <c r="AU117" s="48"/>
      <c r="AV117" s="48"/>
      <c r="AW117" s="48"/>
    </row>
    <row r="118" spans="1:49" x14ac:dyDescent="0.35">
      <c r="A118" s="76"/>
      <c r="B118" s="97"/>
      <c r="C118" s="97"/>
      <c r="D118" s="97"/>
      <c r="E118" s="97"/>
      <c r="F118" s="97"/>
      <c r="G118" s="97"/>
      <c r="H118" s="97"/>
      <c r="I118" s="97"/>
      <c r="J118" s="97"/>
      <c r="K118" s="97"/>
      <c r="L118" s="97"/>
      <c r="M118" s="105"/>
      <c r="N118" s="74"/>
      <c r="P118" s="48"/>
      <c r="AK118" s="48"/>
      <c r="AL118" s="48"/>
      <c r="AM118" s="48"/>
      <c r="AN118" s="48"/>
      <c r="AO118" s="48"/>
      <c r="AP118" s="48"/>
      <c r="AQ118" s="48"/>
      <c r="AR118" s="48"/>
      <c r="AS118" s="48"/>
      <c r="AT118" s="48"/>
      <c r="AU118" s="48"/>
      <c r="AV118" s="48"/>
      <c r="AW118" s="48"/>
    </row>
    <row r="119" spans="1:49" ht="18" x14ac:dyDescent="0.4">
      <c r="A119" s="72" t="s">
        <v>97</v>
      </c>
      <c r="B119" s="89"/>
      <c r="AK119" s="48"/>
      <c r="AL119" s="48"/>
      <c r="AM119" s="48"/>
      <c r="AN119" s="48"/>
      <c r="AO119" s="48"/>
      <c r="AP119" s="48"/>
      <c r="AQ119" s="48"/>
      <c r="AR119" s="48"/>
      <c r="AS119" s="48"/>
      <c r="AT119" s="48"/>
      <c r="AU119" s="48"/>
      <c r="AV119" s="48"/>
      <c r="AW119" s="48"/>
    </row>
    <row r="120" spans="1:49" x14ac:dyDescent="0.35">
      <c r="A120" s="64" t="s">
        <v>95</v>
      </c>
      <c r="AK120" s="48"/>
      <c r="AL120" s="48"/>
      <c r="AM120" s="48"/>
      <c r="AN120" s="48"/>
      <c r="AO120" s="48"/>
      <c r="AP120" s="48"/>
      <c r="AQ120" s="48"/>
      <c r="AR120" s="48"/>
      <c r="AS120" s="48"/>
      <c r="AT120" s="48"/>
      <c r="AU120" s="48"/>
      <c r="AV120" s="48"/>
      <c r="AW120" s="48"/>
    </row>
    <row r="121" spans="1:49" ht="18" x14ac:dyDescent="0.4">
      <c r="A121" s="64" t="s">
        <v>96</v>
      </c>
      <c r="B121" s="52"/>
      <c r="C121" s="52"/>
      <c r="D121" s="51"/>
      <c r="E121" s="52"/>
      <c r="F121" s="52"/>
      <c r="G121" s="52"/>
      <c r="H121" s="52"/>
      <c r="I121" s="52"/>
      <c r="J121" s="52"/>
      <c r="K121" s="52"/>
      <c r="L121" s="52"/>
      <c r="M121" s="52"/>
      <c r="N121" s="53"/>
      <c r="AK121" s="48"/>
      <c r="AL121" s="48"/>
      <c r="AM121" s="48"/>
      <c r="AN121" s="48"/>
      <c r="AO121" s="48"/>
      <c r="AP121" s="48"/>
      <c r="AQ121" s="48"/>
      <c r="AR121" s="48"/>
      <c r="AS121" s="48"/>
      <c r="AT121" s="48"/>
      <c r="AU121" s="48"/>
      <c r="AV121" s="48"/>
      <c r="AW121" s="48"/>
    </row>
    <row r="122" spans="1:49" ht="18" x14ac:dyDescent="0.4">
      <c r="A122" s="54">
        <v>0</v>
      </c>
      <c r="B122" s="100" t="s">
        <v>48</v>
      </c>
      <c r="C122" s="55" t="s">
        <v>49</v>
      </c>
      <c r="D122" s="55" t="s">
        <v>50</v>
      </c>
      <c r="E122" s="55" t="s">
        <v>51</v>
      </c>
      <c r="F122" s="55" t="s">
        <v>50</v>
      </c>
      <c r="G122" s="55" t="s">
        <v>52</v>
      </c>
      <c r="H122" s="55" t="s">
        <v>52</v>
      </c>
      <c r="I122" s="55" t="s">
        <v>51</v>
      </c>
      <c r="J122" s="55" t="s">
        <v>53</v>
      </c>
      <c r="K122" s="55" t="s">
        <v>54</v>
      </c>
      <c r="L122" s="55" t="s">
        <v>55</v>
      </c>
      <c r="M122" s="55" t="s">
        <v>56</v>
      </c>
      <c r="N122" s="56" t="s">
        <v>46</v>
      </c>
      <c r="AK122" s="48"/>
      <c r="AL122" s="48"/>
      <c r="AM122" s="48"/>
      <c r="AN122" s="48"/>
      <c r="AO122" s="48"/>
      <c r="AP122" s="48"/>
      <c r="AQ122" s="48"/>
      <c r="AR122" s="48"/>
      <c r="AS122" s="48"/>
      <c r="AT122" s="48"/>
      <c r="AU122" s="48"/>
      <c r="AV122" s="48"/>
      <c r="AW122" s="48"/>
    </row>
    <row r="123" spans="1:49" ht="18" x14ac:dyDescent="0.4">
      <c r="A123" s="50" t="str">
        <f t="shared" ref="A123:A129" si="16">A4</f>
        <v>Vtas. 21</v>
      </c>
      <c r="B123" s="58">
        <v>103.09775999999999</v>
      </c>
      <c r="C123" s="58"/>
      <c r="D123" s="58"/>
      <c r="E123" s="58"/>
      <c r="F123" s="58"/>
      <c r="G123" s="58"/>
      <c r="H123" s="58"/>
      <c r="I123" s="58"/>
      <c r="J123" s="58"/>
      <c r="K123" s="58"/>
      <c r="L123" s="58"/>
      <c r="M123" s="58"/>
      <c r="N123" s="59">
        <v>853.22960999999998</v>
      </c>
      <c r="P123" s="101">
        <f>TablasER!$I$77</f>
        <v>103.09775999999999</v>
      </c>
      <c r="AK123" s="48"/>
      <c r="AL123" s="48"/>
      <c r="AM123" s="48"/>
      <c r="AN123" s="48"/>
      <c r="AO123" s="48"/>
      <c r="AP123" s="48"/>
      <c r="AQ123" s="48"/>
      <c r="AR123" s="48"/>
      <c r="AS123" s="48"/>
      <c r="AT123" s="48"/>
      <c r="AU123" s="48"/>
      <c r="AV123" s="48"/>
      <c r="AW123" s="48"/>
    </row>
    <row r="124" spans="1:49" ht="18" x14ac:dyDescent="0.4">
      <c r="A124" s="50" t="str">
        <f t="shared" si="16"/>
        <v>Vtas. P. 21</v>
      </c>
      <c r="B124" s="60">
        <v>103.875</v>
      </c>
      <c r="C124" s="60"/>
      <c r="D124" s="60"/>
      <c r="E124" s="60"/>
      <c r="F124" s="60"/>
      <c r="G124" s="60"/>
      <c r="H124" s="60"/>
      <c r="I124" s="60"/>
      <c r="J124" s="60"/>
      <c r="K124" s="60"/>
      <c r="L124" s="60"/>
      <c r="M124" s="60"/>
      <c r="N124" s="94">
        <v>809.81639310764353</v>
      </c>
      <c r="O124" s="92">
        <v>0</v>
      </c>
      <c r="P124" s="101">
        <f>TablasER!$Y$77</f>
        <v>103.875</v>
      </c>
      <c r="AK124" s="48"/>
      <c r="AL124" s="48"/>
      <c r="AM124" s="48"/>
      <c r="AN124" s="48"/>
      <c r="AO124" s="48"/>
      <c r="AP124" s="48"/>
      <c r="AQ124" s="48"/>
      <c r="AR124" s="48"/>
      <c r="AS124" s="48"/>
      <c r="AT124" s="48"/>
      <c r="AU124" s="48"/>
      <c r="AV124" s="48"/>
      <c r="AW124" s="48"/>
    </row>
    <row r="125" spans="1:49" ht="18" x14ac:dyDescent="0.4">
      <c r="A125" s="50" t="str">
        <f t="shared" si="16"/>
        <v>Vtas. 20</v>
      </c>
      <c r="B125" s="60">
        <v>131.75091</v>
      </c>
      <c r="C125" s="60"/>
      <c r="D125" s="60"/>
      <c r="E125" s="60"/>
      <c r="F125" s="60"/>
      <c r="G125" s="60"/>
      <c r="H125" s="60"/>
      <c r="I125" s="60"/>
      <c r="J125" s="60"/>
      <c r="K125" s="60"/>
      <c r="L125" s="60"/>
      <c r="M125" s="60"/>
      <c r="N125" s="59">
        <v>840.96175999999991</v>
      </c>
      <c r="P125" s="101">
        <f>TablasER!$AO$77</f>
        <v>131.75091</v>
      </c>
      <c r="AK125" s="48"/>
      <c r="AL125" s="48"/>
      <c r="AM125" s="48"/>
      <c r="AN125" s="48"/>
      <c r="AO125" s="48"/>
      <c r="AP125" s="48"/>
      <c r="AQ125" s="48"/>
      <c r="AR125" s="48"/>
      <c r="AS125" s="48"/>
      <c r="AT125" s="48"/>
      <c r="AU125" s="48"/>
      <c r="AV125" s="48"/>
      <c r="AW125" s="48"/>
    </row>
    <row r="126" spans="1:49" ht="18" x14ac:dyDescent="0.4">
      <c r="A126" s="50" t="str">
        <f t="shared" si="16"/>
        <v>UAFIR FL. 21</v>
      </c>
      <c r="B126" s="60">
        <v>81.451769999999982</v>
      </c>
      <c r="C126" s="60"/>
      <c r="D126" s="60"/>
      <c r="E126" s="60"/>
      <c r="F126" s="60"/>
      <c r="G126" s="60"/>
      <c r="H126" s="60"/>
      <c r="I126" s="60"/>
      <c r="J126" s="60"/>
      <c r="K126" s="60"/>
      <c r="L126" s="60"/>
      <c r="M126" s="60"/>
      <c r="N126" s="59">
        <v>787.12428</v>
      </c>
      <c r="O126" s="106">
        <v>0</v>
      </c>
      <c r="P126" s="101">
        <f>TablasER!$I$98</f>
        <v>81.451769999999982</v>
      </c>
      <c r="AK126" s="48"/>
      <c r="AL126" s="48"/>
      <c r="AM126" s="48"/>
      <c r="AN126" s="48"/>
      <c r="AO126" s="48"/>
      <c r="AP126" s="48"/>
      <c r="AQ126" s="48"/>
      <c r="AR126" s="48"/>
      <c r="AS126" s="48"/>
      <c r="AT126" s="48"/>
      <c r="AU126" s="48"/>
      <c r="AV126" s="48"/>
      <c r="AW126" s="48"/>
    </row>
    <row r="127" spans="1:49" ht="18" x14ac:dyDescent="0.4">
      <c r="A127" s="50" t="str">
        <f t="shared" si="16"/>
        <v>UAFIRFL.P.21</v>
      </c>
      <c r="B127" s="60">
        <v>70.674999999999997</v>
      </c>
      <c r="C127" s="60"/>
      <c r="D127" s="60"/>
      <c r="E127" s="60"/>
      <c r="F127" s="60"/>
      <c r="G127" s="60"/>
      <c r="H127" s="60"/>
      <c r="I127" s="60"/>
      <c r="J127" s="60"/>
      <c r="K127" s="60"/>
      <c r="L127" s="60"/>
      <c r="M127" s="60"/>
      <c r="N127" s="94">
        <v>737.0333174543772</v>
      </c>
      <c r="O127" s="106">
        <v>0</v>
      </c>
      <c r="P127" s="101">
        <f>TablasER!$Y$98</f>
        <v>70.674999999999997</v>
      </c>
      <c r="AK127" s="48"/>
      <c r="AL127" s="48"/>
      <c r="AM127" s="48"/>
      <c r="AN127" s="48"/>
      <c r="AO127" s="48"/>
      <c r="AP127" s="48"/>
      <c r="AQ127" s="48"/>
      <c r="AR127" s="48"/>
      <c r="AS127" s="48"/>
      <c r="AT127" s="48"/>
      <c r="AU127" s="48"/>
      <c r="AV127" s="48"/>
      <c r="AW127" s="48"/>
    </row>
    <row r="128" spans="1:49" ht="18" x14ac:dyDescent="0.4">
      <c r="A128" s="50" t="str">
        <f t="shared" si="16"/>
        <v>S. Deuda 21</v>
      </c>
      <c r="B128" s="62">
        <v>0</v>
      </c>
      <c r="C128" s="62"/>
      <c r="D128" s="62"/>
      <c r="E128" s="62"/>
      <c r="F128" s="62"/>
      <c r="G128" s="62"/>
      <c r="H128" s="62"/>
      <c r="I128" s="62"/>
      <c r="J128" s="62"/>
      <c r="K128" s="62"/>
      <c r="L128" s="62"/>
      <c r="M128" s="62"/>
      <c r="N128" s="59">
        <v>442.79399999999998</v>
      </c>
      <c r="P128" s="93">
        <f>division!H2/TC_MES</f>
        <v>0</v>
      </c>
      <c r="AK128" s="48"/>
      <c r="AL128" s="48"/>
      <c r="AM128" s="48"/>
      <c r="AN128" s="48"/>
      <c r="AO128" s="48"/>
      <c r="AP128" s="48"/>
      <c r="AQ128" s="48"/>
      <c r="AR128" s="48"/>
      <c r="AS128" s="48"/>
      <c r="AT128" s="48"/>
      <c r="AU128" s="48"/>
      <c r="AV128" s="48"/>
      <c r="AW128" s="48"/>
    </row>
    <row r="129" spans="1:49" ht="18" x14ac:dyDescent="0.4">
      <c r="A129" s="50" t="str">
        <f t="shared" si="16"/>
        <v>Pagos Ext.</v>
      </c>
      <c r="B129" s="62">
        <v>0</v>
      </c>
      <c r="C129" s="62"/>
      <c r="D129" s="62"/>
      <c r="E129" s="62"/>
      <c r="F129" s="62"/>
      <c r="G129" s="62"/>
      <c r="H129" s="62"/>
      <c r="I129" s="62"/>
      <c r="J129" s="62"/>
      <c r="K129" s="62"/>
      <c r="L129" s="62"/>
      <c r="M129" s="62"/>
      <c r="N129" s="59">
        <v>961.55428000000006</v>
      </c>
      <c r="P129" s="93">
        <f>division!H3/TC_MES</f>
        <v>0</v>
      </c>
      <c r="AK129" s="48"/>
      <c r="AL129" s="48"/>
      <c r="AM129" s="48"/>
      <c r="AN129" s="48"/>
      <c r="AO129" s="48"/>
      <c r="AP129" s="48"/>
      <c r="AQ129" s="48"/>
      <c r="AR129" s="48"/>
      <c r="AS129" s="48"/>
      <c r="AT129" s="48"/>
      <c r="AU129" s="48"/>
      <c r="AV129" s="48"/>
      <c r="AW129" s="48"/>
    </row>
    <row r="130" spans="1:49" x14ac:dyDescent="0.35">
      <c r="A130" s="64" t="s">
        <v>58</v>
      </c>
      <c r="B130" s="102">
        <f t="shared" ref="B130:M131" si="17">IFERROR(B126/B123,0)</f>
        <v>0.79004403199448747</v>
      </c>
      <c r="C130" s="102">
        <f t="shared" si="17"/>
        <v>0</v>
      </c>
      <c r="D130" s="102">
        <f t="shared" si="17"/>
        <v>0</v>
      </c>
      <c r="E130" s="102">
        <f t="shared" si="17"/>
        <v>0</v>
      </c>
      <c r="F130" s="102">
        <f t="shared" si="17"/>
        <v>0</v>
      </c>
      <c r="G130" s="102">
        <f t="shared" si="17"/>
        <v>0</v>
      </c>
      <c r="H130" s="102">
        <f t="shared" si="17"/>
        <v>0</v>
      </c>
      <c r="I130" s="102">
        <f t="shared" si="17"/>
        <v>0</v>
      </c>
      <c r="J130" s="102">
        <f t="shared" si="17"/>
        <v>0</v>
      </c>
      <c r="K130" s="102">
        <f t="shared" si="17"/>
        <v>0</v>
      </c>
      <c r="L130" s="102">
        <f t="shared" si="17"/>
        <v>0</v>
      </c>
      <c r="M130" s="102">
        <f t="shared" si="17"/>
        <v>0</v>
      </c>
      <c r="N130" s="103"/>
      <c r="AK130" s="48"/>
      <c r="AL130" s="48"/>
      <c r="AM130" s="48"/>
      <c r="AN130" s="48"/>
      <c r="AO130" s="48"/>
      <c r="AP130" s="48"/>
      <c r="AQ130" s="48"/>
      <c r="AR130" s="48"/>
      <c r="AS130" s="48"/>
      <c r="AT130" s="48"/>
      <c r="AU130" s="48"/>
      <c r="AV130" s="48"/>
      <c r="AW130" s="48"/>
    </row>
    <row r="131" spans="1:49" x14ac:dyDescent="0.35">
      <c r="A131" s="64" t="s">
        <v>59</v>
      </c>
      <c r="B131" s="95">
        <f>IFERROR(B127/B124,0)</f>
        <v>0.68038507821901317</v>
      </c>
      <c r="C131" s="95">
        <f t="shared" si="17"/>
        <v>0</v>
      </c>
      <c r="D131" s="95">
        <f t="shared" si="17"/>
        <v>0</v>
      </c>
      <c r="E131" s="95">
        <f t="shared" si="17"/>
        <v>0</v>
      </c>
      <c r="F131" s="95">
        <f t="shared" si="17"/>
        <v>0</v>
      </c>
      <c r="G131" s="95">
        <f t="shared" si="17"/>
        <v>0</v>
      </c>
      <c r="H131" s="95">
        <f t="shared" si="17"/>
        <v>0</v>
      </c>
      <c r="I131" s="95">
        <f t="shared" si="17"/>
        <v>0</v>
      </c>
      <c r="J131" s="95">
        <f t="shared" si="17"/>
        <v>0</v>
      </c>
      <c r="K131" s="95">
        <f t="shared" si="17"/>
        <v>0</v>
      </c>
      <c r="L131" s="95">
        <f t="shared" si="17"/>
        <v>0</v>
      </c>
      <c r="M131" s="95">
        <f t="shared" si="17"/>
        <v>0</v>
      </c>
      <c r="N131" s="104"/>
      <c r="AK131" s="48"/>
      <c r="AL131" s="48"/>
      <c r="AM131" s="48"/>
      <c r="AN131" s="48"/>
      <c r="AO131" s="48"/>
      <c r="AP131" s="48"/>
      <c r="AQ131" s="48"/>
      <c r="AR131" s="48"/>
      <c r="AS131" s="48"/>
      <c r="AT131" s="48"/>
      <c r="AU131" s="48"/>
      <c r="AV131" s="48"/>
      <c r="AW131" s="48"/>
    </row>
    <row r="132" spans="1:49" x14ac:dyDescent="0.35">
      <c r="I132" s="70"/>
      <c r="M132" s="70"/>
      <c r="N132" s="73"/>
      <c r="AK132" s="48"/>
      <c r="AL132" s="48"/>
      <c r="AM132" s="48"/>
      <c r="AN132" s="48"/>
      <c r="AO132" s="48"/>
      <c r="AP132" s="48"/>
      <c r="AQ132" s="48"/>
      <c r="AR132" s="48"/>
      <c r="AS132" s="48"/>
      <c r="AT132" s="48"/>
      <c r="AU132" s="48"/>
      <c r="AV132" s="48"/>
      <c r="AW132" s="48"/>
    </row>
    <row r="133" spans="1:49" x14ac:dyDescent="0.35">
      <c r="A133" s="76"/>
      <c r="B133" s="97"/>
      <c r="C133" s="97"/>
      <c r="D133" s="97"/>
      <c r="E133" s="97"/>
      <c r="F133" s="97"/>
      <c r="G133" s="97"/>
      <c r="H133" s="97"/>
      <c r="I133" s="97"/>
      <c r="J133" s="97"/>
      <c r="K133" s="97"/>
      <c r="L133" s="97"/>
      <c r="M133" s="105"/>
      <c r="N133" s="74"/>
      <c r="AK133" s="48"/>
      <c r="AL133" s="48"/>
      <c r="AM133" s="48"/>
      <c r="AN133" s="48"/>
      <c r="AO133" s="48"/>
      <c r="AP133" s="48"/>
      <c r="AQ133" s="48"/>
      <c r="AR133" s="48"/>
      <c r="AS133" s="48"/>
      <c r="AT133" s="48"/>
      <c r="AU133" s="48"/>
      <c r="AV133" s="48"/>
      <c r="AW133" s="48"/>
    </row>
    <row r="134" spans="1:49" x14ac:dyDescent="0.35">
      <c r="A134" s="87" t="s">
        <v>98</v>
      </c>
      <c r="B134" s="88"/>
      <c r="C134" s="88"/>
      <c r="D134" s="88"/>
      <c r="E134" s="88"/>
      <c r="F134" s="88"/>
      <c r="G134" s="88"/>
      <c r="H134" s="88"/>
      <c r="I134" s="88"/>
      <c r="J134" s="88"/>
      <c r="K134" s="88"/>
      <c r="L134" s="88"/>
      <c r="M134" s="88"/>
      <c r="N134" s="107"/>
      <c r="AK134" s="48"/>
      <c r="AL134" s="48"/>
      <c r="AM134" s="48"/>
      <c r="AN134" s="48"/>
      <c r="AO134" s="48"/>
      <c r="AP134" s="48"/>
      <c r="AQ134" s="48"/>
      <c r="AR134" s="48"/>
      <c r="AS134" s="48"/>
      <c r="AT134" s="48"/>
      <c r="AU134" s="48"/>
      <c r="AV134" s="48"/>
      <c r="AW134" s="48"/>
    </row>
    <row r="135" spans="1:49" x14ac:dyDescent="0.35">
      <c r="B135" s="70"/>
      <c r="C135" s="70"/>
      <c r="D135" s="70"/>
      <c r="E135" s="70"/>
      <c r="F135" s="70"/>
      <c r="G135" s="70"/>
      <c r="AK135" s="48"/>
      <c r="AL135" s="48"/>
      <c r="AM135" s="48"/>
      <c r="AN135" s="48"/>
      <c r="AO135" s="48"/>
      <c r="AP135" s="48"/>
      <c r="AQ135" s="48"/>
      <c r="AR135" s="48"/>
      <c r="AS135" s="48"/>
      <c r="AT135" s="48"/>
      <c r="AU135" s="48"/>
      <c r="AV135" s="48"/>
      <c r="AW135" s="48"/>
    </row>
    <row r="136" spans="1:49" x14ac:dyDescent="0.35">
      <c r="B136" s="70"/>
      <c r="C136" s="70"/>
      <c r="D136" s="70"/>
      <c r="E136" s="70"/>
      <c r="F136" s="70"/>
      <c r="G136" s="70"/>
      <c r="AK136" s="48"/>
      <c r="AL136" s="48"/>
      <c r="AM136" s="48"/>
      <c r="AN136" s="48"/>
      <c r="AO136" s="48"/>
      <c r="AP136" s="48"/>
      <c r="AQ136" s="48"/>
      <c r="AR136" s="48"/>
      <c r="AS136" s="48"/>
      <c r="AT136" s="48"/>
      <c r="AU136" s="48"/>
      <c r="AV136" s="48"/>
      <c r="AW136" s="48"/>
    </row>
    <row r="137" spans="1:49" x14ac:dyDescent="0.35">
      <c r="A137" s="76"/>
      <c r="B137" s="70"/>
      <c r="C137" s="70"/>
      <c r="D137" s="70"/>
      <c r="E137" s="70"/>
      <c r="F137" s="70"/>
      <c r="G137" s="70"/>
      <c r="H137" s="97"/>
      <c r="I137" s="97"/>
      <c r="J137" s="97"/>
      <c r="K137" s="97"/>
      <c r="L137" s="97"/>
      <c r="M137" s="97"/>
      <c r="N137" s="74"/>
      <c r="AK137" s="48"/>
      <c r="AL137" s="48"/>
      <c r="AM137" s="48"/>
      <c r="AN137" s="48"/>
      <c r="AO137" s="48"/>
      <c r="AP137" s="48"/>
      <c r="AQ137" s="48"/>
      <c r="AR137" s="48"/>
      <c r="AS137" s="48"/>
      <c r="AT137" s="48"/>
      <c r="AU137" s="48"/>
      <c r="AV137" s="48"/>
      <c r="AW137" s="48"/>
    </row>
    <row r="138" spans="1:49" x14ac:dyDescent="0.35">
      <c r="B138" s="70"/>
      <c r="C138" s="70"/>
      <c r="D138" s="70"/>
      <c r="E138" s="70"/>
      <c r="F138" s="70"/>
      <c r="G138" s="70"/>
      <c r="P138" s="61"/>
      <c r="AK138" s="48"/>
      <c r="AL138" s="48"/>
      <c r="AM138" s="48"/>
      <c r="AN138" s="48"/>
      <c r="AO138" s="48"/>
      <c r="AP138" s="48"/>
      <c r="AQ138" s="48"/>
      <c r="AR138" s="48"/>
      <c r="AS138" s="48"/>
      <c r="AT138" s="48"/>
      <c r="AU138" s="48"/>
      <c r="AV138" s="48"/>
      <c r="AW138" s="48"/>
    </row>
    <row r="139" spans="1:49" x14ac:dyDescent="0.35">
      <c r="B139" s="70"/>
      <c r="C139" s="70"/>
      <c r="D139" s="70"/>
      <c r="E139" s="70"/>
      <c r="F139" s="70"/>
      <c r="G139" s="70"/>
      <c r="P139" s="61"/>
      <c r="AK139" s="48"/>
      <c r="AL139" s="48"/>
      <c r="AM139" s="48"/>
      <c r="AN139" s="48"/>
      <c r="AO139" s="48"/>
      <c r="AP139" s="48"/>
      <c r="AQ139" s="48"/>
      <c r="AR139" s="48"/>
      <c r="AS139" s="48"/>
      <c r="AT139" s="48"/>
      <c r="AU139" s="48"/>
      <c r="AV139" s="48"/>
      <c r="AW139" s="48"/>
    </row>
    <row r="140" spans="1:49" ht="18" x14ac:dyDescent="0.4">
      <c r="A140" s="48"/>
      <c r="B140" s="89"/>
      <c r="P140" s="61"/>
      <c r="AK140" s="48"/>
      <c r="AL140" s="48"/>
      <c r="AM140" s="48"/>
      <c r="AN140" s="48"/>
      <c r="AO140" s="48"/>
      <c r="AP140" s="48"/>
      <c r="AQ140" s="48"/>
      <c r="AR140" s="48"/>
      <c r="AS140" s="48"/>
      <c r="AT140" s="48"/>
      <c r="AU140" s="48"/>
      <c r="AV140" s="48"/>
      <c r="AW140" s="48"/>
    </row>
    <row r="141" spans="1:49" ht="18" x14ac:dyDescent="0.4">
      <c r="A141" s="48" t="s">
        <v>99</v>
      </c>
      <c r="B141" s="100" t="s">
        <v>48</v>
      </c>
      <c r="C141" s="55" t="s">
        <v>49</v>
      </c>
      <c r="D141" s="55" t="s">
        <v>50</v>
      </c>
      <c r="E141" s="55" t="s">
        <v>51</v>
      </c>
      <c r="F141" s="55" t="s">
        <v>50</v>
      </c>
      <c r="G141" s="55" t="s">
        <v>52</v>
      </c>
      <c r="H141" s="55" t="s">
        <v>52</v>
      </c>
      <c r="I141" s="55" t="s">
        <v>51</v>
      </c>
      <c r="J141" s="55" t="s">
        <v>53</v>
      </c>
      <c r="K141" s="55" t="s">
        <v>54</v>
      </c>
      <c r="L141" s="55" t="s">
        <v>55</v>
      </c>
      <c r="M141" s="55" t="s">
        <v>56</v>
      </c>
      <c r="N141" s="64"/>
      <c r="AK141" s="48"/>
      <c r="AL141" s="48"/>
      <c r="AM141" s="48"/>
      <c r="AN141" s="48"/>
      <c r="AO141" s="48"/>
      <c r="AP141" s="48"/>
      <c r="AQ141" s="48"/>
      <c r="AR141" s="48"/>
      <c r="AS141" s="48"/>
      <c r="AT141" s="48"/>
      <c r="AU141" s="48"/>
      <c r="AV141" s="48"/>
      <c r="AW141" s="48"/>
    </row>
    <row r="142" spans="1:49" ht="15.5" x14ac:dyDescent="0.35">
      <c r="A142" s="64" t="s">
        <v>100</v>
      </c>
      <c r="B142" s="108">
        <v>20.224799999999998</v>
      </c>
      <c r="C142" s="108"/>
      <c r="D142" s="108"/>
      <c r="E142" s="109"/>
      <c r="F142" s="109"/>
      <c r="G142" s="109"/>
      <c r="H142" s="109"/>
      <c r="I142" s="109"/>
      <c r="J142" s="109"/>
      <c r="K142" s="109"/>
      <c r="L142" s="109"/>
      <c r="M142" s="109"/>
      <c r="N142" s="110"/>
      <c r="AK142" s="48"/>
      <c r="AL142" s="48"/>
      <c r="AM142" s="48"/>
      <c r="AN142" s="48"/>
      <c r="AO142" s="48"/>
      <c r="AP142" s="48"/>
      <c r="AQ142" s="48"/>
      <c r="AR142" s="48"/>
      <c r="AS142" s="48"/>
      <c r="AT142" s="48"/>
      <c r="AU142" s="48"/>
      <c r="AV142" s="48"/>
      <c r="AW142" s="48"/>
    </row>
    <row r="143" spans="1:49" ht="15.5" x14ac:dyDescent="0.35">
      <c r="A143" s="76" t="s">
        <v>101</v>
      </c>
      <c r="B143" s="108"/>
      <c r="C143" s="108"/>
      <c r="D143" s="108"/>
      <c r="E143" s="108"/>
      <c r="F143" s="108"/>
      <c r="G143" s="108"/>
      <c r="H143" s="108"/>
      <c r="I143" s="108"/>
      <c r="J143" s="108"/>
      <c r="K143" s="108"/>
      <c r="L143" s="108"/>
      <c r="M143" s="108"/>
      <c r="N143" s="110"/>
      <c r="AK143" s="48"/>
      <c r="AL143" s="48"/>
      <c r="AM143" s="48"/>
      <c r="AN143" s="48"/>
      <c r="AO143" s="48"/>
      <c r="AP143" s="48"/>
      <c r="AQ143" s="48"/>
      <c r="AR143" s="48"/>
      <c r="AS143" s="48"/>
      <c r="AT143" s="48"/>
      <c r="AU143" s="48"/>
      <c r="AV143" s="48"/>
      <c r="AW143" s="48"/>
    </row>
    <row r="144" spans="1:49" ht="15.5" x14ac:dyDescent="0.35">
      <c r="A144" s="64" t="s">
        <v>2</v>
      </c>
      <c r="B144" s="108">
        <v>18.908200000000001</v>
      </c>
      <c r="C144" s="109">
        <v>19.776</v>
      </c>
      <c r="D144" s="108">
        <v>23.4847</v>
      </c>
      <c r="E144" s="108">
        <v>23.9283</v>
      </c>
      <c r="F144" s="108">
        <v>22.177800000000001</v>
      </c>
      <c r="G144" s="108">
        <v>23.089300000000001</v>
      </c>
      <c r="H144" s="108">
        <v>22.2012</v>
      </c>
      <c r="I144" s="108">
        <v>21.888000000000002</v>
      </c>
      <c r="J144" s="108">
        <v>22.143799999999999</v>
      </c>
      <c r="K144" s="108">
        <v>21.250800000000002</v>
      </c>
      <c r="L144" s="108">
        <v>20.139800000000001</v>
      </c>
      <c r="M144" s="108">
        <v>19.9087</v>
      </c>
      <c r="N144" s="110"/>
      <c r="AK144" s="48"/>
      <c r="AL144" s="48"/>
      <c r="AM144" s="48"/>
      <c r="AN144" s="48"/>
      <c r="AO144" s="48"/>
      <c r="AP144" s="48"/>
      <c r="AQ144" s="48"/>
      <c r="AR144" s="48"/>
      <c r="AS144" s="48"/>
      <c r="AT144" s="48"/>
      <c r="AU144" s="48"/>
      <c r="AV144" s="48"/>
      <c r="AW144" s="48"/>
    </row>
    <row r="145" spans="1:49" ht="15.5" x14ac:dyDescent="0.35">
      <c r="A145" s="64" t="s">
        <v>102</v>
      </c>
      <c r="B145" s="110"/>
      <c r="C145" s="110"/>
      <c r="D145" s="111"/>
      <c r="E145" s="111"/>
      <c r="F145" s="112"/>
      <c r="G145" s="112"/>
      <c r="H145" s="112"/>
      <c r="I145" s="112"/>
      <c r="J145" s="112"/>
      <c r="K145" s="112"/>
      <c r="L145" s="113"/>
      <c r="M145" s="112"/>
      <c r="N145" s="110"/>
      <c r="AK145" s="48"/>
      <c r="AL145" s="48"/>
      <c r="AM145" s="48"/>
      <c r="AN145" s="48"/>
      <c r="AO145" s="48"/>
      <c r="AP145" s="48"/>
      <c r="AQ145" s="48"/>
      <c r="AR145" s="48"/>
      <c r="AS145" s="48"/>
      <c r="AT145" s="48"/>
      <c r="AU145" s="48"/>
      <c r="AV145" s="48"/>
      <c r="AW145" s="48"/>
    </row>
    <row r="146" spans="1:49" ht="15.5" x14ac:dyDescent="0.35">
      <c r="B146" s="110"/>
      <c r="C146" s="110"/>
      <c r="D146" s="111"/>
      <c r="E146" s="111"/>
      <c r="F146" s="112"/>
      <c r="G146" s="112"/>
      <c r="H146" s="112"/>
      <c r="I146" s="112"/>
      <c r="J146" s="112"/>
      <c r="K146" s="112"/>
      <c r="L146" s="113"/>
      <c r="M146" s="112"/>
      <c r="N146" s="110"/>
      <c r="O146" s="64"/>
      <c r="P146" s="50"/>
      <c r="Q146" s="64"/>
      <c r="R146" s="64"/>
      <c r="AK146" s="48"/>
      <c r="AL146" s="48"/>
      <c r="AM146" s="48"/>
      <c r="AN146" s="48"/>
      <c r="AO146" s="48"/>
      <c r="AP146" s="48"/>
      <c r="AQ146" s="48"/>
      <c r="AR146" s="48"/>
      <c r="AS146" s="48"/>
      <c r="AT146" s="48"/>
      <c r="AU146" s="48"/>
      <c r="AV146" s="48"/>
      <c r="AW146" s="48"/>
    </row>
    <row r="147" spans="1:49" ht="15.5" x14ac:dyDescent="0.35">
      <c r="A147" s="72" t="s">
        <v>103</v>
      </c>
      <c r="B147" s="110"/>
      <c r="C147" s="110"/>
      <c r="D147" s="114"/>
      <c r="E147" s="64"/>
      <c r="F147" s="64"/>
      <c r="G147" s="64"/>
      <c r="H147" s="64"/>
      <c r="I147" s="64"/>
      <c r="J147" s="64"/>
      <c r="K147" s="64"/>
      <c r="L147" s="64"/>
      <c r="M147" s="64"/>
      <c r="N147" s="110"/>
      <c r="O147" s="64"/>
      <c r="P147" s="50"/>
      <c r="Q147" s="64"/>
      <c r="R147" s="64"/>
      <c r="AK147" s="48"/>
      <c r="AL147" s="48"/>
      <c r="AM147" s="48"/>
      <c r="AN147" s="48"/>
      <c r="AO147" s="48"/>
      <c r="AP147" s="48"/>
      <c r="AQ147" s="48"/>
      <c r="AR147" s="48"/>
      <c r="AS147" s="48"/>
      <c r="AT147" s="48"/>
      <c r="AU147" s="48"/>
      <c r="AV147" s="48"/>
      <c r="AW147" s="48"/>
    </row>
    <row r="148" spans="1:49" ht="18" x14ac:dyDescent="0.4">
      <c r="A148" s="54">
        <v>0</v>
      </c>
      <c r="B148" s="100" t="s">
        <v>48</v>
      </c>
      <c r="C148" s="100" t="s">
        <v>49</v>
      </c>
      <c r="D148" s="100" t="s">
        <v>50</v>
      </c>
      <c r="E148" s="55" t="s">
        <v>51</v>
      </c>
      <c r="F148" s="100" t="s">
        <v>50</v>
      </c>
      <c r="G148" s="100" t="s">
        <v>52</v>
      </c>
      <c r="H148" s="100" t="s">
        <v>52</v>
      </c>
      <c r="I148" s="100" t="s">
        <v>51</v>
      </c>
      <c r="J148" s="55" t="s">
        <v>53</v>
      </c>
      <c r="K148" s="55" t="s">
        <v>54</v>
      </c>
      <c r="L148" s="55" t="s">
        <v>55</v>
      </c>
      <c r="M148" s="55" t="s">
        <v>56</v>
      </c>
      <c r="N148" s="56" t="s">
        <v>46</v>
      </c>
      <c r="O148" s="64"/>
      <c r="P148" s="50"/>
      <c r="Q148" s="64"/>
      <c r="R148" s="64"/>
      <c r="AK148" s="48"/>
      <c r="AL148" s="48"/>
      <c r="AM148" s="48"/>
      <c r="AN148" s="48"/>
      <c r="AO148" s="48"/>
      <c r="AP148" s="48"/>
      <c r="AQ148" s="48"/>
      <c r="AR148" s="48"/>
      <c r="AS148" s="48"/>
      <c r="AT148" s="48"/>
      <c r="AU148" s="48"/>
      <c r="AV148" s="48"/>
      <c r="AW148" s="48"/>
    </row>
    <row r="149" spans="1:49" ht="18" x14ac:dyDescent="0.4">
      <c r="A149" s="50" t="str">
        <f t="shared" ref="A149:A155" si="18">A4</f>
        <v>Vtas. 21</v>
      </c>
      <c r="B149" s="58">
        <f>B108*B142</f>
        <v>31876.853956343999</v>
      </c>
      <c r="C149" s="58">
        <f t="shared" ref="C149:M149" si="19">C108*C142</f>
        <v>0</v>
      </c>
      <c r="D149" s="58">
        <f>D108*D142</f>
        <v>0</v>
      </c>
      <c r="E149" s="58">
        <f>E108*E142</f>
        <v>0</v>
      </c>
      <c r="F149" s="58">
        <f>F108*F142</f>
        <v>0</v>
      </c>
      <c r="G149" s="58">
        <f>G108*G142</f>
        <v>0</v>
      </c>
      <c r="H149" s="58">
        <f>H108*H142</f>
        <v>0</v>
      </c>
      <c r="I149" s="58">
        <f t="shared" si="19"/>
        <v>0</v>
      </c>
      <c r="J149" s="58">
        <f>J108*J142</f>
        <v>0</v>
      </c>
      <c r="K149" s="58">
        <f t="shared" si="19"/>
        <v>0</v>
      </c>
      <c r="L149" s="58">
        <f t="shared" si="19"/>
        <v>0</v>
      </c>
      <c r="M149" s="58">
        <f t="shared" si="19"/>
        <v>0</v>
      </c>
      <c r="N149" s="59"/>
      <c r="O149" s="64"/>
      <c r="P149" s="50"/>
      <c r="Q149" s="64"/>
      <c r="R149" s="64"/>
      <c r="AK149" s="48"/>
      <c r="AL149" s="48"/>
      <c r="AM149" s="48"/>
      <c r="AN149" s="48"/>
      <c r="AO149" s="48"/>
      <c r="AP149" s="48"/>
      <c r="AQ149" s="48"/>
      <c r="AR149" s="48"/>
      <c r="AS149" s="48"/>
      <c r="AT149" s="48"/>
      <c r="AU149" s="48"/>
      <c r="AV149" s="48"/>
      <c r="AW149" s="48"/>
    </row>
    <row r="150" spans="1:49" ht="18" x14ac:dyDescent="0.4">
      <c r="A150" s="116" t="str">
        <f t="shared" si="18"/>
        <v>Vtas. P. 21</v>
      </c>
      <c r="B150" s="60">
        <f t="shared" ref="B150:G150" si="20">B109*B145</f>
        <v>0</v>
      </c>
      <c r="C150" s="60">
        <f t="shared" si="20"/>
        <v>0</v>
      </c>
      <c r="D150" s="60">
        <f t="shared" si="20"/>
        <v>0</v>
      </c>
      <c r="E150" s="60">
        <f t="shared" si="20"/>
        <v>0</v>
      </c>
      <c r="F150" s="60">
        <f t="shared" si="20"/>
        <v>0</v>
      </c>
      <c r="G150" s="60">
        <f t="shared" si="20"/>
        <v>0</v>
      </c>
      <c r="H150" s="60">
        <f>H109*H143</f>
        <v>0</v>
      </c>
      <c r="I150" s="60">
        <f>I109*I143</f>
        <v>0</v>
      </c>
      <c r="J150" s="60">
        <f>J109*J143</f>
        <v>0</v>
      </c>
      <c r="K150" s="60">
        <f>K109*K143</f>
        <v>0</v>
      </c>
      <c r="L150" s="60">
        <f>L109*L143</f>
        <v>0</v>
      </c>
      <c r="M150" s="60">
        <f>M109*M143</f>
        <v>0</v>
      </c>
      <c r="N150" s="59"/>
      <c r="O150" s="64"/>
      <c r="P150" s="50"/>
      <c r="Q150" s="64"/>
      <c r="R150" s="64"/>
      <c r="AK150" s="48"/>
      <c r="AL150" s="48"/>
      <c r="AM150" s="48"/>
      <c r="AN150" s="48"/>
      <c r="AO150" s="48"/>
      <c r="AP150" s="48"/>
      <c r="AQ150" s="48"/>
      <c r="AR150" s="48"/>
      <c r="AS150" s="48"/>
      <c r="AT150" s="48"/>
      <c r="AU150" s="48"/>
      <c r="AV150" s="48"/>
      <c r="AW150" s="48"/>
    </row>
    <row r="151" spans="1:49" ht="18" x14ac:dyDescent="0.4">
      <c r="A151" s="50" t="str">
        <f t="shared" si="18"/>
        <v>Vtas. 20</v>
      </c>
      <c r="B151" s="60">
        <f>B110*B144</f>
        <v>25469.501203567997</v>
      </c>
      <c r="C151" s="60">
        <f>C110*C144</f>
        <v>0</v>
      </c>
      <c r="D151" s="60">
        <f>D110*D144</f>
        <v>0</v>
      </c>
      <c r="E151" s="60">
        <f>E110*E144</f>
        <v>0</v>
      </c>
      <c r="F151" s="60">
        <f t="shared" ref="F151:M151" si="21">F144*F110</f>
        <v>0</v>
      </c>
      <c r="G151" s="60">
        <f t="shared" si="21"/>
        <v>0</v>
      </c>
      <c r="H151" s="60">
        <f t="shared" si="21"/>
        <v>0</v>
      </c>
      <c r="I151" s="60">
        <f t="shared" si="21"/>
        <v>0</v>
      </c>
      <c r="J151" s="60">
        <f>J144*J110</f>
        <v>0</v>
      </c>
      <c r="K151" s="60">
        <f t="shared" si="21"/>
        <v>0</v>
      </c>
      <c r="L151" s="60">
        <f t="shared" si="21"/>
        <v>0</v>
      </c>
      <c r="M151" s="60">
        <f t="shared" si="21"/>
        <v>0</v>
      </c>
      <c r="N151" s="59"/>
      <c r="O151" s="64"/>
      <c r="P151" s="50"/>
      <c r="Q151" s="64"/>
      <c r="R151" s="64"/>
      <c r="AK151" s="48"/>
      <c r="AL151" s="48"/>
      <c r="AM151" s="48"/>
      <c r="AN151" s="48"/>
      <c r="AO151" s="48"/>
      <c r="AP151" s="48"/>
      <c r="AQ151" s="48"/>
      <c r="AR151" s="48"/>
      <c r="AS151" s="48"/>
      <c r="AT151" s="48"/>
      <c r="AU151" s="48"/>
      <c r="AV151" s="48"/>
      <c r="AW151" s="48"/>
    </row>
    <row r="152" spans="1:49" ht="18" x14ac:dyDescent="0.4">
      <c r="A152" s="50" t="str">
        <f t="shared" si="18"/>
        <v>UAFIR FL. 21</v>
      </c>
      <c r="B152" s="60">
        <f>B111*B142</f>
        <v>2178.4403092319972</v>
      </c>
      <c r="C152" s="60">
        <f t="shared" ref="C152:M153" si="22">C111*C142</f>
        <v>0</v>
      </c>
      <c r="D152" s="60">
        <f>D111*D142</f>
        <v>0</v>
      </c>
      <c r="E152" s="60">
        <f>E111*E142</f>
        <v>0</v>
      </c>
      <c r="F152" s="60">
        <f>F111*F142</f>
        <v>0</v>
      </c>
      <c r="G152" s="60">
        <f>G111*G142</f>
        <v>0</v>
      </c>
      <c r="H152" s="60">
        <f t="shared" si="22"/>
        <v>0</v>
      </c>
      <c r="I152" s="60">
        <f t="shared" si="22"/>
        <v>0</v>
      </c>
      <c r="J152" s="60">
        <f t="shared" si="22"/>
        <v>0</v>
      </c>
      <c r="K152" s="60">
        <f t="shared" si="22"/>
        <v>0</v>
      </c>
      <c r="L152" s="60">
        <f t="shared" si="22"/>
        <v>0</v>
      </c>
      <c r="M152" s="60">
        <f t="shared" si="22"/>
        <v>0</v>
      </c>
      <c r="N152" s="59"/>
      <c r="O152" s="64"/>
      <c r="P152" s="50"/>
      <c r="Q152" s="64"/>
      <c r="R152" s="64"/>
      <c r="AK152" s="48"/>
      <c r="AL152" s="48"/>
      <c r="AM152" s="48"/>
      <c r="AN152" s="48"/>
      <c r="AO152" s="48"/>
      <c r="AP152" s="48"/>
      <c r="AQ152" s="48"/>
      <c r="AR152" s="48"/>
      <c r="AS152" s="48"/>
      <c r="AT152" s="48"/>
      <c r="AU152" s="48"/>
      <c r="AV152" s="48"/>
      <c r="AW152" s="48"/>
    </row>
    <row r="153" spans="1:49" ht="18" x14ac:dyDescent="0.4">
      <c r="A153" s="50" t="str">
        <f t="shared" si="18"/>
        <v>UAFIRFL.P.21</v>
      </c>
      <c r="B153" s="60">
        <f>B112*B143</f>
        <v>0</v>
      </c>
      <c r="C153" s="60">
        <f t="shared" si="22"/>
        <v>0</v>
      </c>
      <c r="D153" s="60">
        <f t="shared" si="22"/>
        <v>0</v>
      </c>
      <c r="E153" s="60">
        <f t="shared" si="22"/>
        <v>0</v>
      </c>
      <c r="F153" s="60">
        <f t="shared" si="22"/>
        <v>0</v>
      </c>
      <c r="G153" s="60">
        <f t="shared" si="22"/>
        <v>0</v>
      </c>
      <c r="H153" s="60">
        <f t="shared" si="22"/>
        <v>0</v>
      </c>
      <c r="I153" s="60">
        <f t="shared" si="22"/>
        <v>0</v>
      </c>
      <c r="J153" s="60">
        <f>J112*J143</f>
        <v>0</v>
      </c>
      <c r="K153" s="60">
        <f t="shared" si="22"/>
        <v>0</v>
      </c>
      <c r="L153" s="60">
        <f t="shared" si="22"/>
        <v>0</v>
      </c>
      <c r="M153" s="60">
        <f t="shared" si="22"/>
        <v>0</v>
      </c>
      <c r="N153" s="59"/>
      <c r="AK153" s="48"/>
      <c r="AL153" s="48"/>
      <c r="AM153" s="48"/>
      <c r="AN153" s="48"/>
      <c r="AO153" s="48"/>
      <c r="AP153" s="48"/>
      <c r="AQ153" s="48"/>
      <c r="AR153" s="48"/>
      <c r="AS153" s="48"/>
      <c r="AT153" s="48"/>
      <c r="AU153" s="48"/>
      <c r="AV153" s="48"/>
      <c r="AW153" s="48"/>
    </row>
    <row r="154" spans="1:49" ht="18" x14ac:dyDescent="0.4">
      <c r="A154" s="50" t="str">
        <f t="shared" si="18"/>
        <v>S. Deuda 21</v>
      </c>
      <c r="B154" s="60">
        <f>B113*B142</f>
        <v>0</v>
      </c>
      <c r="C154" s="60">
        <f t="shared" ref="C154:M154" si="23">C113*C142</f>
        <v>0</v>
      </c>
      <c r="D154" s="60">
        <f>D113*D142</f>
        <v>0</v>
      </c>
      <c r="E154" s="60">
        <f>E113*E142</f>
        <v>0</v>
      </c>
      <c r="F154" s="60">
        <f>F113*F142</f>
        <v>0</v>
      </c>
      <c r="G154" s="60">
        <f>G113*G142</f>
        <v>0</v>
      </c>
      <c r="H154" s="60">
        <f t="shared" si="23"/>
        <v>0</v>
      </c>
      <c r="I154" s="60">
        <f t="shared" si="23"/>
        <v>0</v>
      </c>
      <c r="J154" s="60">
        <f>J113*J142</f>
        <v>0</v>
      </c>
      <c r="K154" s="60">
        <f t="shared" si="23"/>
        <v>0</v>
      </c>
      <c r="L154" s="60">
        <f t="shared" si="23"/>
        <v>0</v>
      </c>
      <c r="M154" s="60">
        <f t="shared" si="23"/>
        <v>0</v>
      </c>
      <c r="N154" s="59"/>
      <c r="AK154" s="48"/>
      <c r="AL154" s="48"/>
      <c r="AM154" s="48"/>
      <c r="AN154" s="48"/>
      <c r="AO154" s="48"/>
      <c r="AP154" s="48"/>
      <c r="AQ154" s="48"/>
      <c r="AR154" s="48"/>
      <c r="AS154" s="48"/>
      <c r="AT154" s="48"/>
      <c r="AU154" s="48"/>
      <c r="AV154" s="48"/>
      <c r="AW154" s="48"/>
    </row>
    <row r="155" spans="1:49" ht="18" x14ac:dyDescent="0.4">
      <c r="A155" s="50" t="str">
        <f t="shared" si="18"/>
        <v>Pagos Ext.</v>
      </c>
      <c r="B155" s="60">
        <f>B114*B142</f>
        <v>0</v>
      </c>
      <c r="C155" s="60">
        <f t="shared" ref="C155:M155" si="24">C114*C142</f>
        <v>0</v>
      </c>
      <c r="D155" s="60">
        <f>D114*D142</f>
        <v>0</v>
      </c>
      <c r="E155" s="60">
        <f t="shared" si="24"/>
        <v>0</v>
      </c>
      <c r="F155" s="60">
        <f>F114*F142</f>
        <v>0</v>
      </c>
      <c r="G155" s="60">
        <f>G114*G142</f>
        <v>0</v>
      </c>
      <c r="H155" s="60">
        <f t="shared" si="24"/>
        <v>0</v>
      </c>
      <c r="I155" s="60">
        <f>I114*I142</f>
        <v>0</v>
      </c>
      <c r="J155" s="60">
        <f>J114*J142</f>
        <v>0</v>
      </c>
      <c r="K155" s="60">
        <f t="shared" si="24"/>
        <v>0</v>
      </c>
      <c r="L155" s="60">
        <f t="shared" si="24"/>
        <v>0</v>
      </c>
      <c r="M155" s="60">
        <f t="shared" si="24"/>
        <v>0</v>
      </c>
      <c r="N155" s="59"/>
      <c r="AK155" s="48"/>
      <c r="AL155" s="48"/>
      <c r="AM155" s="48"/>
      <c r="AN155" s="48"/>
      <c r="AO155" s="48"/>
      <c r="AP155" s="48"/>
      <c r="AQ155" s="48"/>
      <c r="AR155" s="48"/>
      <c r="AS155" s="48"/>
      <c r="AT155" s="48"/>
      <c r="AU155" s="48"/>
      <c r="AV155" s="48"/>
      <c r="AW155" s="48"/>
    </row>
    <row r="156" spans="1:49" x14ac:dyDescent="0.35">
      <c r="A156" s="64" t="s">
        <v>58</v>
      </c>
      <c r="B156" s="65">
        <f t="shared" ref="B156:M157" si="25">IFERROR(B152/B149,0)</f>
        <v>6.8339250548859545E-2</v>
      </c>
      <c r="C156" s="65">
        <f t="shared" si="25"/>
        <v>0</v>
      </c>
      <c r="D156" s="65">
        <f t="shared" si="25"/>
        <v>0</v>
      </c>
      <c r="E156" s="65">
        <f t="shared" si="25"/>
        <v>0</v>
      </c>
      <c r="F156" s="65">
        <f t="shared" si="25"/>
        <v>0</v>
      </c>
      <c r="G156" s="65">
        <f t="shared" si="25"/>
        <v>0</v>
      </c>
      <c r="H156" s="65">
        <f t="shared" si="25"/>
        <v>0</v>
      </c>
      <c r="I156" s="65">
        <f t="shared" si="25"/>
        <v>0</v>
      </c>
      <c r="J156" s="65">
        <f t="shared" si="25"/>
        <v>0</v>
      </c>
      <c r="K156" s="65">
        <f t="shared" si="25"/>
        <v>0</v>
      </c>
      <c r="L156" s="65">
        <f t="shared" si="25"/>
        <v>0</v>
      </c>
      <c r="M156" s="65">
        <f t="shared" si="25"/>
        <v>0</v>
      </c>
      <c r="N156" s="66"/>
      <c r="AK156" s="48"/>
      <c r="AL156" s="48"/>
      <c r="AM156" s="48"/>
      <c r="AN156" s="48"/>
      <c r="AO156" s="48"/>
      <c r="AP156" s="48"/>
      <c r="AQ156" s="48"/>
      <c r="AR156" s="48"/>
      <c r="AS156" s="48"/>
      <c r="AT156" s="48"/>
      <c r="AU156" s="48"/>
      <c r="AV156" s="48"/>
      <c r="AW156" s="48"/>
    </row>
    <row r="157" spans="1:49" x14ac:dyDescent="0.35">
      <c r="A157" s="64" t="s">
        <v>59</v>
      </c>
      <c r="B157" s="95">
        <f>IFERROR(B153/B150,0)</f>
        <v>0</v>
      </c>
      <c r="C157" s="95">
        <f t="shared" si="25"/>
        <v>0</v>
      </c>
      <c r="D157" s="95">
        <f t="shared" si="25"/>
        <v>0</v>
      </c>
      <c r="E157" s="95">
        <f t="shared" si="25"/>
        <v>0</v>
      </c>
      <c r="F157" s="95">
        <f t="shared" si="25"/>
        <v>0</v>
      </c>
      <c r="G157" s="95">
        <f t="shared" si="25"/>
        <v>0</v>
      </c>
      <c r="H157" s="95">
        <f t="shared" si="25"/>
        <v>0</v>
      </c>
      <c r="I157" s="95">
        <f t="shared" si="25"/>
        <v>0</v>
      </c>
      <c r="J157" s="95">
        <f t="shared" si="25"/>
        <v>0</v>
      </c>
      <c r="K157" s="95">
        <f t="shared" si="25"/>
        <v>0</v>
      </c>
      <c r="L157" s="95">
        <f t="shared" si="25"/>
        <v>0</v>
      </c>
      <c r="M157" s="95">
        <f>IFERROR(M153/M150,0)</f>
        <v>0</v>
      </c>
      <c r="N157" s="96"/>
      <c r="AK157" s="48"/>
      <c r="AL157" s="48"/>
      <c r="AM157" s="48"/>
      <c r="AN157" s="48"/>
      <c r="AO157" s="48"/>
      <c r="AP157" s="48"/>
      <c r="AQ157" s="48"/>
      <c r="AR157" s="48"/>
      <c r="AS157" s="48"/>
      <c r="AT157" s="48"/>
      <c r="AU157" s="48"/>
      <c r="AV157" s="48"/>
      <c r="AW157" s="48"/>
    </row>
    <row r="158" spans="1:49" x14ac:dyDescent="0.35">
      <c r="L158" s="70"/>
      <c r="M158" s="70"/>
      <c r="AK158" s="48"/>
      <c r="AL158" s="48"/>
      <c r="AM158" s="48"/>
      <c r="AN158" s="48"/>
      <c r="AO158" s="48"/>
      <c r="AP158" s="48"/>
      <c r="AQ158" s="48"/>
      <c r="AR158" s="48"/>
      <c r="AS158" s="48"/>
      <c r="AT158" s="48"/>
      <c r="AU158" s="48"/>
      <c r="AV158" s="48"/>
      <c r="AW158" s="48"/>
    </row>
    <row r="159" spans="1:49" ht="15.5" x14ac:dyDescent="0.35">
      <c r="A159" s="72" t="s">
        <v>104</v>
      </c>
      <c r="B159" s="110"/>
      <c r="C159" s="110"/>
      <c r="D159" s="114"/>
      <c r="E159" s="64"/>
      <c r="F159" s="64"/>
      <c r="G159" s="64"/>
      <c r="H159" s="64"/>
      <c r="I159" s="64"/>
      <c r="J159" s="64"/>
      <c r="K159" s="64"/>
      <c r="L159" s="64"/>
      <c r="M159" s="64"/>
      <c r="N159" s="110"/>
      <c r="AK159" s="48"/>
      <c r="AL159" s="48"/>
      <c r="AM159" s="48"/>
      <c r="AN159" s="48"/>
      <c r="AO159" s="48"/>
      <c r="AP159" s="48"/>
      <c r="AQ159" s="48"/>
      <c r="AR159" s="48"/>
      <c r="AS159" s="48"/>
      <c r="AT159" s="48"/>
      <c r="AU159" s="48"/>
      <c r="AV159" s="48"/>
      <c r="AW159" s="48"/>
    </row>
    <row r="160" spans="1:49" ht="18" x14ac:dyDescent="0.4">
      <c r="A160" s="54">
        <v>0</v>
      </c>
      <c r="B160" s="100" t="s">
        <v>48</v>
      </c>
      <c r="C160" s="100" t="s">
        <v>49</v>
      </c>
      <c r="D160" s="100" t="s">
        <v>50</v>
      </c>
      <c r="E160" s="55" t="s">
        <v>51</v>
      </c>
      <c r="F160" s="100" t="s">
        <v>50</v>
      </c>
      <c r="G160" s="100" t="s">
        <v>52</v>
      </c>
      <c r="H160" s="100" t="s">
        <v>52</v>
      </c>
      <c r="I160" s="100" t="s">
        <v>51</v>
      </c>
      <c r="J160" s="55" t="s">
        <v>53</v>
      </c>
      <c r="K160" s="55" t="s">
        <v>54</v>
      </c>
      <c r="L160" s="55" t="s">
        <v>55</v>
      </c>
      <c r="M160" s="55" t="s">
        <v>56</v>
      </c>
      <c r="N160" s="56" t="s">
        <v>46</v>
      </c>
      <c r="AK160" s="48"/>
      <c r="AL160" s="48"/>
      <c r="AM160" s="48"/>
      <c r="AN160" s="48"/>
      <c r="AO160" s="48"/>
      <c r="AP160" s="48"/>
      <c r="AQ160" s="48"/>
      <c r="AR160" s="48"/>
      <c r="AS160" s="48"/>
      <c r="AT160" s="48"/>
      <c r="AU160" s="48"/>
      <c r="AV160" s="48"/>
      <c r="AW160" s="48"/>
    </row>
    <row r="161" spans="1:49" ht="18" x14ac:dyDescent="0.4">
      <c r="A161" s="50" t="str">
        <f t="shared" ref="A161:A167" si="26">A4</f>
        <v>Vtas. 21</v>
      </c>
      <c r="B161" s="58">
        <f t="shared" ref="B161:M162" si="27">B123*B142</f>
        <v>2085.1315764479996</v>
      </c>
      <c r="C161" s="58">
        <f t="shared" si="27"/>
        <v>0</v>
      </c>
      <c r="D161" s="58">
        <f t="shared" si="27"/>
        <v>0</v>
      </c>
      <c r="E161" s="58">
        <f t="shared" si="27"/>
        <v>0</v>
      </c>
      <c r="F161" s="58">
        <f t="shared" si="27"/>
        <v>0</v>
      </c>
      <c r="G161" s="58">
        <f t="shared" si="27"/>
        <v>0</v>
      </c>
      <c r="H161" s="58">
        <f t="shared" si="27"/>
        <v>0</v>
      </c>
      <c r="I161" s="58">
        <f t="shared" si="27"/>
        <v>0</v>
      </c>
      <c r="J161" s="58">
        <f t="shared" si="27"/>
        <v>0</v>
      </c>
      <c r="K161" s="58">
        <f>K123*K142</f>
        <v>0</v>
      </c>
      <c r="L161" s="58">
        <f t="shared" si="27"/>
        <v>0</v>
      </c>
      <c r="M161" s="58">
        <f t="shared" si="27"/>
        <v>0</v>
      </c>
      <c r="N161" s="59"/>
      <c r="AK161" s="48"/>
      <c r="AL161" s="48"/>
      <c r="AM161" s="48"/>
      <c r="AN161" s="48"/>
      <c r="AO161" s="48"/>
      <c r="AP161" s="48"/>
      <c r="AQ161" s="48"/>
      <c r="AR161" s="48"/>
      <c r="AS161" s="48"/>
      <c r="AT161" s="48"/>
      <c r="AU161" s="48"/>
      <c r="AV161" s="48"/>
      <c r="AW161" s="48"/>
    </row>
    <row r="162" spans="1:49" ht="18" x14ac:dyDescent="0.4">
      <c r="A162" s="50" t="str">
        <f t="shared" si="26"/>
        <v>Vtas. P. 21</v>
      </c>
      <c r="B162" s="60">
        <f t="shared" ref="B162:G162" si="28">B124*B145</f>
        <v>0</v>
      </c>
      <c r="C162" s="60">
        <f t="shared" si="28"/>
        <v>0</v>
      </c>
      <c r="D162" s="60">
        <f t="shared" si="28"/>
        <v>0</v>
      </c>
      <c r="E162" s="60">
        <f t="shared" si="28"/>
        <v>0</v>
      </c>
      <c r="F162" s="60">
        <f t="shared" si="28"/>
        <v>0</v>
      </c>
      <c r="G162" s="60">
        <f t="shared" si="28"/>
        <v>0</v>
      </c>
      <c r="H162" s="60">
        <f t="shared" si="27"/>
        <v>0</v>
      </c>
      <c r="I162" s="60">
        <f t="shared" si="27"/>
        <v>0</v>
      </c>
      <c r="J162" s="60">
        <f t="shared" si="27"/>
        <v>0</v>
      </c>
      <c r="K162" s="60">
        <f t="shared" si="27"/>
        <v>0</v>
      </c>
      <c r="L162" s="60">
        <f t="shared" si="27"/>
        <v>0</v>
      </c>
      <c r="M162" s="60">
        <f t="shared" si="27"/>
        <v>0</v>
      </c>
      <c r="N162" s="59"/>
      <c r="AK162" s="48"/>
      <c r="AL162" s="48"/>
      <c r="AM162" s="48"/>
      <c r="AN162" s="48"/>
      <c r="AO162" s="48"/>
      <c r="AP162" s="48"/>
      <c r="AQ162" s="48"/>
      <c r="AR162" s="48"/>
      <c r="AS162" s="48"/>
      <c r="AT162" s="48"/>
      <c r="AU162" s="48"/>
      <c r="AV162" s="48"/>
      <c r="AW162" s="48"/>
    </row>
    <row r="163" spans="1:49" ht="18" x14ac:dyDescent="0.4">
      <c r="A163" s="50" t="str">
        <f t="shared" si="26"/>
        <v>Vtas. 20</v>
      </c>
      <c r="B163" s="60">
        <f t="shared" ref="B163:M163" si="29">B144*B125</f>
        <v>2491.1725564620001</v>
      </c>
      <c r="C163" s="60">
        <f t="shared" si="29"/>
        <v>0</v>
      </c>
      <c r="D163" s="60">
        <f t="shared" si="29"/>
        <v>0</v>
      </c>
      <c r="E163" s="60">
        <f t="shared" si="29"/>
        <v>0</v>
      </c>
      <c r="F163" s="60">
        <f t="shared" si="29"/>
        <v>0</v>
      </c>
      <c r="G163" s="60">
        <f t="shared" si="29"/>
        <v>0</v>
      </c>
      <c r="H163" s="60">
        <f t="shared" si="29"/>
        <v>0</v>
      </c>
      <c r="I163" s="60">
        <f t="shared" si="29"/>
        <v>0</v>
      </c>
      <c r="J163" s="60">
        <f t="shared" si="29"/>
        <v>0</v>
      </c>
      <c r="K163" s="60">
        <f t="shared" si="29"/>
        <v>0</v>
      </c>
      <c r="L163" s="60">
        <f t="shared" si="29"/>
        <v>0</v>
      </c>
      <c r="M163" s="60">
        <f t="shared" si="29"/>
        <v>0</v>
      </c>
      <c r="N163" s="59"/>
      <c r="AK163" s="48"/>
      <c r="AL163" s="48"/>
      <c r="AM163" s="48"/>
      <c r="AN163" s="48"/>
      <c r="AO163" s="48"/>
      <c r="AP163" s="48"/>
      <c r="AQ163" s="48"/>
      <c r="AR163" s="48"/>
      <c r="AS163" s="48"/>
      <c r="AT163" s="48"/>
      <c r="AU163" s="48"/>
      <c r="AV163" s="48"/>
      <c r="AW163" s="48"/>
    </row>
    <row r="164" spans="1:49" ht="18" x14ac:dyDescent="0.4">
      <c r="A164" s="50" t="str">
        <f t="shared" si="26"/>
        <v>UAFIR FL. 21</v>
      </c>
      <c r="B164" s="60">
        <f t="shared" ref="B164:M164" si="30">B126*B142</f>
        <v>1647.3457578959994</v>
      </c>
      <c r="C164" s="60">
        <f t="shared" si="30"/>
        <v>0</v>
      </c>
      <c r="D164" s="60">
        <f t="shared" si="30"/>
        <v>0</v>
      </c>
      <c r="E164" s="60">
        <f t="shared" si="30"/>
        <v>0</v>
      </c>
      <c r="F164" s="60">
        <f t="shared" si="30"/>
        <v>0</v>
      </c>
      <c r="G164" s="60">
        <f t="shared" si="30"/>
        <v>0</v>
      </c>
      <c r="H164" s="60">
        <f t="shared" si="30"/>
        <v>0</v>
      </c>
      <c r="I164" s="60">
        <f t="shared" si="30"/>
        <v>0</v>
      </c>
      <c r="J164" s="60">
        <f t="shared" si="30"/>
        <v>0</v>
      </c>
      <c r="K164" s="60">
        <f t="shared" si="30"/>
        <v>0</v>
      </c>
      <c r="L164" s="60">
        <f t="shared" si="30"/>
        <v>0</v>
      </c>
      <c r="M164" s="60">
        <f t="shared" si="30"/>
        <v>0</v>
      </c>
      <c r="N164" s="59"/>
      <c r="O164" s="64"/>
      <c r="P164" s="50"/>
      <c r="Q164" s="64"/>
      <c r="R164" s="64"/>
      <c r="AK164" s="48"/>
      <c r="AL164" s="48"/>
      <c r="AM164" s="48"/>
      <c r="AN164" s="48"/>
      <c r="AO164" s="48"/>
      <c r="AP164" s="48"/>
      <c r="AQ164" s="48"/>
      <c r="AR164" s="48"/>
      <c r="AS164" s="48"/>
      <c r="AT164" s="48"/>
      <c r="AU164" s="48"/>
      <c r="AV164" s="48"/>
      <c r="AW164" s="48"/>
    </row>
    <row r="165" spans="1:49" ht="18" x14ac:dyDescent="0.4">
      <c r="A165" s="50" t="str">
        <f t="shared" si="26"/>
        <v>UAFIRFL.P.21</v>
      </c>
      <c r="B165" s="117">
        <f t="shared" ref="B165:G165" si="31">B127*B143</f>
        <v>0</v>
      </c>
      <c r="C165" s="117">
        <f t="shared" si="31"/>
        <v>0</v>
      </c>
      <c r="D165" s="117">
        <f t="shared" si="31"/>
        <v>0</v>
      </c>
      <c r="E165" s="117">
        <f t="shared" si="31"/>
        <v>0</v>
      </c>
      <c r="F165" s="117">
        <f t="shared" si="31"/>
        <v>0</v>
      </c>
      <c r="G165" s="117">
        <f t="shared" si="31"/>
        <v>0</v>
      </c>
      <c r="H165" s="117">
        <f>H127*H143</f>
        <v>0</v>
      </c>
      <c r="I165" s="117">
        <f>I127*I143</f>
        <v>0</v>
      </c>
      <c r="J165" s="117">
        <f t="shared" ref="J165:M165" si="32">J127*J143</f>
        <v>0</v>
      </c>
      <c r="K165" s="117">
        <f t="shared" si="32"/>
        <v>0</v>
      </c>
      <c r="L165" s="117">
        <f t="shared" si="32"/>
        <v>0</v>
      </c>
      <c r="M165" s="117">
        <f t="shared" si="32"/>
        <v>0</v>
      </c>
      <c r="N165" s="59"/>
      <c r="AK165" s="48"/>
      <c r="AL165" s="48"/>
      <c r="AM165" s="48"/>
      <c r="AN165" s="48"/>
      <c r="AO165" s="48"/>
      <c r="AP165" s="48"/>
      <c r="AQ165" s="48"/>
      <c r="AR165" s="48"/>
      <c r="AS165" s="48"/>
      <c r="AT165" s="48"/>
      <c r="AU165" s="48"/>
      <c r="AV165" s="48"/>
      <c r="AW165" s="48"/>
    </row>
    <row r="166" spans="1:49" ht="18" x14ac:dyDescent="0.4">
      <c r="A166" s="50" t="str">
        <f t="shared" si="26"/>
        <v>S. Deuda 21</v>
      </c>
      <c r="B166" s="60">
        <f t="shared" ref="B166:M166" si="33">B128*B142</f>
        <v>0</v>
      </c>
      <c r="C166" s="60">
        <f t="shared" si="33"/>
        <v>0</v>
      </c>
      <c r="D166" s="60">
        <f t="shared" si="33"/>
        <v>0</v>
      </c>
      <c r="E166" s="60">
        <f t="shared" si="33"/>
        <v>0</v>
      </c>
      <c r="F166" s="60">
        <f t="shared" si="33"/>
        <v>0</v>
      </c>
      <c r="G166" s="60">
        <f t="shared" si="33"/>
        <v>0</v>
      </c>
      <c r="H166" s="60">
        <f t="shared" si="33"/>
        <v>0</v>
      </c>
      <c r="I166" s="60">
        <f t="shared" si="33"/>
        <v>0</v>
      </c>
      <c r="J166" s="60">
        <f t="shared" si="33"/>
        <v>0</v>
      </c>
      <c r="K166" s="60">
        <f t="shared" si="33"/>
        <v>0</v>
      </c>
      <c r="L166" s="60">
        <f t="shared" si="33"/>
        <v>0</v>
      </c>
      <c r="M166" s="60">
        <f t="shared" si="33"/>
        <v>0</v>
      </c>
      <c r="N166" s="59"/>
      <c r="AK166" s="48"/>
      <c r="AL166" s="48"/>
      <c r="AM166" s="48"/>
      <c r="AN166" s="48"/>
      <c r="AO166" s="48"/>
      <c r="AP166" s="48"/>
      <c r="AQ166" s="48"/>
      <c r="AR166" s="48"/>
      <c r="AS166" s="48"/>
      <c r="AT166" s="48"/>
      <c r="AU166" s="48"/>
      <c r="AV166" s="48"/>
      <c r="AW166" s="48"/>
    </row>
    <row r="167" spans="1:49" ht="18" x14ac:dyDescent="0.4">
      <c r="A167" s="50" t="str">
        <f t="shared" si="26"/>
        <v>Pagos Ext.</v>
      </c>
      <c r="B167" s="60">
        <f t="shared" ref="B167:M167" si="34">B129*B142</f>
        <v>0</v>
      </c>
      <c r="C167" s="60">
        <f t="shared" si="34"/>
        <v>0</v>
      </c>
      <c r="D167" s="60">
        <f t="shared" si="34"/>
        <v>0</v>
      </c>
      <c r="E167" s="60">
        <f t="shared" si="34"/>
        <v>0</v>
      </c>
      <c r="F167" s="60">
        <f t="shared" si="34"/>
        <v>0</v>
      </c>
      <c r="G167" s="60">
        <f t="shared" si="34"/>
        <v>0</v>
      </c>
      <c r="H167" s="60">
        <f t="shared" si="34"/>
        <v>0</v>
      </c>
      <c r="I167" s="60">
        <f t="shared" si="34"/>
        <v>0</v>
      </c>
      <c r="J167" s="60">
        <f t="shared" si="34"/>
        <v>0</v>
      </c>
      <c r="K167" s="60">
        <f t="shared" si="34"/>
        <v>0</v>
      </c>
      <c r="L167" s="60">
        <f t="shared" si="34"/>
        <v>0</v>
      </c>
      <c r="M167" s="60">
        <f t="shared" si="34"/>
        <v>0</v>
      </c>
      <c r="N167" s="59"/>
      <c r="AK167" s="48"/>
      <c r="AL167" s="48"/>
      <c r="AM167" s="48"/>
      <c r="AN167" s="48"/>
      <c r="AO167" s="48"/>
      <c r="AP167" s="48"/>
      <c r="AQ167" s="48"/>
      <c r="AR167" s="48"/>
      <c r="AS167" s="48"/>
      <c r="AT167" s="48"/>
      <c r="AU167" s="48"/>
      <c r="AV167" s="48"/>
      <c r="AW167" s="48"/>
    </row>
    <row r="168" spans="1:49" x14ac:dyDescent="0.35">
      <c r="A168" s="64" t="str">
        <f t="shared" ref="A168:A169" si="35">A156</f>
        <v>UAFIR FL./V.R.</v>
      </c>
      <c r="B168" s="65">
        <f t="shared" ref="B168:M169" si="36">IFERROR(B164/B161,0)</f>
        <v>0.79004403199448747</v>
      </c>
      <c r="C168" s="65">
        <f t="shared" si="36"/>
        <v>0</v>
      </c>
      <c r="D168" s="65">
        <f t="shared" si="36"/>
        <v>0</v>
      </c>
      <c r="E168" s="65">
        <f t="shared" si="36"/>
        <v>0</v>
      </c>
      <c r="F168" s="65">
        <f t="shared" si="36"/>
        <v>0</v>
      </c>
      <c r="G168" s="65">
        <f t="shared" si="36"/>
        <v>0</v>
      </c>
      <c r="H168" s="65">
        <f t="shared" si="36"/>
        <v>0</v>
      </c>
      <c r="I168" s="65">
        <f t="shared" si="36"/>
        <v>0</v>
      </c>
      <c r="J168" s="65">
        <f t="shared" si="36"/>
        <v>0</v>
      </c>
      <c r="K168" s="65">
        <f t="shared" si="36"/>
        <v>0</v>
      </c>
      <c r="L168" s="65">
        <f t="shared" si="36"/>
        <v>0</v>
      </c>
      <c r="M168" s="65">
        <f t="shared" si="36"/>
        <v>0</v>
      </c>
      <c r="N168" s="66"/>
      <c r="AK168" s="48"/>
      <c r="AL168" s="48"/>
      <c r="AM168" s="48"/>
      <c r="AN168" s="48"/>
      <c r="AO168" s="48"/>
      <c r="AP168" s="48"/>
      <c r="AQ168" s="48"/>
      <c r="AR168" s="48"/>
      <c r="AS168" s="48"/>
      <c r="AT168" s="48"/>
      <c r="AU168" s="48"/>
      <c r="AV168" s="48"/>
      <c r="AW168" s="48"/>
    </row>
    <row r="169" spans="1:49" x14ac:dyDescent="0.35">
      <c r="A169" s="64" t="str">
        <f t="shared" si="35"/>
        <v>UAFIR FL./V.P.</v>
      </c>
      <c r="B169" s="95">
        <f>IFERROR(B165/B162,0)</f>
        <v>0</v>
      </c>
      <c r="C169" s="95">
        <f t="shared" si="36"/>
        <v>0</v>
      </c>
      <c r="D169" s="95">
        <f t="shared" si="36"/>
        <v>0</v>
      </c>
      <c r="E169" s="95">
        <f t="shared" si="36"/>
        <v>0</v>
      </c>
      <c r="F169" s="95">
        <f t="shared" si="36"/>
        <v>0</v>
      </c>
      <c r="G169" s="95">
        <f t="shared" si="36"/>
        <v>0</v>
      </c>
      <c r="H169" s="95">
        <f t="shared" si="36"/>
        <v>0</v>
      </c>
      <c r="I169" s="95">
        <f t="shared" si="36"/>
        <v>0</v>
      </c>
      <c r="J169" s="95">
        <f t="shared" si="36"/>
        <v>0</v>
      </c>
      <c r="K169" s="95">
        <f t="shared" si="36"/>
        <v>0</v>
      </c>
      <c r="L169" s="95">
        <f t="shared" si="36"/>
        <v>0</v>
      </c>
      <c r="M169" s="95">
        <f>IFERROR(M165/M162,0)</f>
        <v>0</v>
      </c>
      <c r="N169" s="96"/>
      <c r="AK169" s="48"/>
      <c r="AL169" s="48"/>
      <c r="AM169" s="48"/>
      <c r="AN169" s="48"/>
      <c r="AO169" s="48"/>
      <c r="AP169" s="48"/>
      <c r="AQ169" s="48"/>
      <c r="AR169" s="48"/>
      <c r="AS169" s="48"/>
      <c r="AT169" s="48"/>
      <c r="AU169" s="48"/>
      <c r="AV169" s="48"/>
      <c r="AW169" s="48"/>
    </row>
    <row r="170" spans="1:49" x14ac:dyDescent="0.35">
      <c r="A170" s="76"/>
      <c r="B170" s="97"/>
      <c r="C170" s="97"/>
      <c r="D170" s="97"/>
      <c r="E170" s="97"/>
      <c r="F170" s="97"/>
      <c r="H170" s="97"/>
      <c r="I170" s="97"/>
      <c r="J170" s="97"/>
      <c r="K170" s="97"/>
      <c r="L170" s="118"/>
      <c r="M170" s="97"/>
      <c r="N170" s="74"/>
      <c r="AK170" s="48"/>
      <c r="AL170" s="48"/>
      <c r="AM170" s="48"/>
      <c r="AN170" s="48"/>
      <c r="AO170" s="48"/>
      <c r="AP170" s="48"/>
      <c r="AQ170" s="48"/>
      <c r="AR170" s="48"/>
      <c r="AS170" s="48"/>
      <c r="AT170" s="48"/>
      <c r="AU170" s="48"/>
      <c r="AV170" s="48"/>
      <c r="AW170" s="48"/>
    </row>
    <row r="171" spans="1:49" x14ac:dyDescent="0.35">
      <c r="AK171" s="48"/>
      <c r="AL171" s="48"/>
      <c r="AM171" s="48"/>
      <c r="AN171" s="48"/>
      <c r="AO171" s="48"/>
      <c r="AP171" s="48"/>
      <c r="AQ171" s="48"/>
      <c r="AR171" s="48"/>
      <c r="AS171" s="48"/>
      <c r="AT171" s="48"/>
      <c r="AU171" s="48"/>
      <c r="AV171" s="48"/>
      <c r="AW171" s="48"/>
    </row>
    <row r="172" spans="1:49" ht="18" x14ac:dyDescent="0.4">
      <c r="A172" s="50" t="s">
        <v>105</v>
      </c>
      <c r="C172" s="51"/>
      <c r="D172" s="52"/>
      <c r="E172" s="52"/>
      <c r="F172" s="52"/>
      <c r="G172" s="52"/>
      <c r="H172" s="52"/>
      <c r="I172" s="52"/>
      <c r="J172" s="52"/>
      <c r="K172" s="52"/>
      <c r="L172" s="52"/>
      <c r="M172" s="52"/>
      <c r="N172" s="73"/>
      <c r="AK172" s="48"/>
      <c r="AL172" s="48"/>
      <c r="AM172" s="48"/>
      <c r="AN172" s="48"/>
      <c r="AO172" s="48"/>
      <c r="AP172" s="48"/>
      <c r="AQ172" s="48"/>
      <c r="AR172" s="48"/>
      <c r="AS172" s="48"/>
      <c r="AT172" s="48"/>
      <c r="AU172" s="48"/>
      <c r="AV172" s="48"/>
      <c r="AW172" s="48"/>
    </row>
    <row r="173" spans="1:49" ht="18" x14ac:dyDescent="0.4">
      <c r="A173" s="54">
        <v>0</v>
      </c>
      <c r="B173" s="55" t="s">
        <v>48</v>
      </c>
      <c r="C173" s="55" t="s">
        <v>49</v>
      </c>
      <c r="D173" s="55" t="s">
        <v>50</v>
      </c>
      <c r="E173" s="55" t="s">
        <v>51</v>
      </c>
      <c r="F173" s="55" t="s">
        <v>50</v>
      </c>
      <c r="G173" s="55" t="s">
        <v>52</v>
      </c>
      <c r="H173" s="55" t="s">
        <v>52</v>
      </c>
      <c r="I173" s="55" t="s">
        <v>51</v>
      </c>
      <c r="J173" s="55" t="s">
        <v>53</v>
      </c>
      <c r="K173" s="55" t="s">
        <v>54</v>
      </c>
      <c r="L173" s="55" t="s">
        <v>55</v>
      </c>
      <c r="M173" s="55" t="s">
        <v>56</v>
      </c>
      <c r="N173" s="56" t="s">
        <v>46</v>
      </c>
      <c r="O173" s="56" t="s">
        <v>106</v>
      </c>
      <c r="AK173" s="48"/>
      <c r="AL173" s="48"/>
      <c r="AM173" s="48"/>
      <c r="AN173" s="48"/>
      <c r="AO173" s="48"/>
      <c r="AP173" s="48"/>
      <c r="AQ173" s="48"/>
      <c r="AR173" s="48"/>
      <c r="AS173" s="48"/>
      <c r="AT173" s="48"/>
      <c r="AU173" s="48"/>
      <c r="AV173" s="48"/>
      <c r="AW173" s="48"/>
    </row>
    <row r="174" spans="1:49" ht="18" x14ac:dyDescent="0.4">
      <c r="A174" s="50" t="str">
        <f t="shared" ref="A174:A180" si="37">A4</f>
        <v>Vtas. 21</v>
      </c>
      <c r="B174" s="58">
        <f t="shared" ref="B174:L174" si="38">B51+B70+B34+B90</f>
        <v>233214.94142500003</v>
      </c>
      <c r="C174" s="58">
        <f t="shared" si="38"/>
        <v>0</v>
      </c>
      <c r="D174" s="58">
        <f t="shared" si="38"/>
        <v>0</v>
      </c>
      <c r="E174" s="58">
        <f t="shared" si="38"/>
        <v>0</v>
      </c>
      <c r="F174" s="58">
        <f t="shared" si="38"/>
        <v>0</v>
      </c>
      <c r="G174" s="58">
        <f t="shared" si="38"/>
        <v>0</v>
      </c>
      <c r="H174" s="58">
        <f t="shared" si="38"/>
        <v>0</v>
      </c>
      <c r="I174" s="58">
        <f t="shared" si="38"/>
        <v>0</v>
      </c>
      <c r="J174" s="58">
        <f t="shared" si="38"/>
        <v>0</v>
      </c>
      <c r="K174" s="58">
        <f t="shared" si="38"/>
        <v>0</v>
      </c>
      <c r="L174" s="58">
        <f t="shared" si="38"/>
        <v>0</v>
      </c>
      <c r="M174" s="58">
        <f>M51+M70+M34+M90</f>
        <v>0</v>
      </c>
      <c r="N174" s="59"/>
      <c r="O174" s="48">
        <f>CHOOSE(MONTH(Mes_cierre),B174,C174,D174,E174,F174,G174,H174,I174,J174,K174,L174,M174)</f>
        <v>233214.94142500003</v>
      </c>
      <c r="AK174" s="48"/>
      <c r="AL174" s="48"/>
      <c r="AM174" s="48"/>
      <c r="AN174" s="48"/>
      <c r="AO174" s="48"/>
      <c r="AP174" s="48"/>
      <c r="AQ174" s="48"/>
      <c r="AR174" s="48"/>
      <c r="AS174" s="48"/>
      <c r="AT174" s="48"/>
      <c r="AU174" s="48"/>
      <c r="AV174" s="48"/>
      <c r="AW174" s="48"/>
    </row>
    <row r="175" spans="1:49" ht="18" x14ac:dyDescent="0.4">
      <c r="A175" s="50" t="str">
        <f t="shared" si="37"/>
        <v>Vtas. P. 21</v>
      </c>
      <c r="B175" s="60">
        <f t="shared" ref="B175:M175" si="39">B52+B71+B35+B91</f>
        <v>151387.622</v>
      </c>
      <c r="C175" s="60">
        <f t="shared" si="39"/>
        <v>0</v>
      </c>
      <c r="D175" s="60">
        <f t="shared" si="39"/>
        <v>0</v>
      </c>
      <c r="E175" s="60">
        <f t="shared" si="39"/>
        <v>0</v>
      </c>
      <c r="F175" s="60">
        <f t="shared" si="39"/>
        <v>0</v>
      </c>
      <c r="G175" s="60">
        <f t="shared" si="39"/>
        <v>0</v>
      </c>
      <c r="H175" s="60">
        <f t="shared" si="39"/>
        <v>0</v>
      </c>
      <c r="I175" s="60">
        <f t="shared" si="39"/>
        <v>0</v>
      </c>
      <c r="J175" s="60">
        <f t="shared" si="39"/>
        <v>0</v>
      </c>
      <c r="K175" s="60">
        <f t="shared" si="39"/>
        <v>0</v>
      </c>
      <c r="L175" s="60">
        <f t="shared" si="39"/>
        <v>0</v>
      </c>
      <c r="M175" s="60">
        <f t="shared" si="39"/>
        <v>0</v>
      </c>
      <c r="N175" s="59"/>
      <c r="O175" s="48">
        <f>CHOOSE(MONTH(Mes_cierre),B175,C175,D175,E175,F175,G175,H175,I175,J175,K175,L175,M175)</f>
        <v>151387.622</v>
      </c>
      <c r="AK175" s="48"/>
      <c r="AL175" s="48"/>
      <c r="AM175" s="48"/>
      <c r="AN175" s="48"/>
      <c r="AO175" s="48"/>
      <c r="AP175" s="48"/>
      <c r="AQ175" s="48"/>
      <c r="AR175" s="48"/>
      <c r="AS175" s="48"/>
      <c r="AT175" s="48"/>
      <c r="AU175" s="48"/>
      <c r="AV175" s="48"/>
      <c r="AW175" s="48"/>
    </row>
    <row r="176" spans="1:49" ht="18" x14ac:dyDescent="0.4">
      <c r="A176" s="50" t="str">
        <f t="shared" si="37"/>
        <v>Vtas. 20</v>
      </c>
      <c r="B176" s="60">
        <f t="shared" ref="B176:M176" si="40">B53+B72+B36+B92</f>
        <v>222831.01017000002</v>
      </c>
      <c r="C176" s="60">
        <f t="shared" si="40"/>
        <v>0</v>
      </c>
      <c r="D176" s="60">
        <f t="shared" si="40"/>
        <v>0</v>
      </c>
      <c r="E176" s="60">
        <f t="shared" si="40"/>
        <v>0</v>
      </c>
      <c r="F176" s="60">
        <f t="shared" si="40"/>
        <v>0</v>
      </c>
      <c r="G176" s="60">
        <f t="shared" si="40"/>
        <v>0</v>
      </c>
      <c r="H176" s="60">
        <f t="shared" si="40"/>
        <v>0</v>
      </c>
      <c r="I176" s="60">
        <f t="shared" si="40"/>
        <v>0</v>
      </c>
      <c r="J176" s="60">
        <f t="shared" si="40"/>
        <v>0</v>
      </c>
      <c r="K176" s="60">
        <f t="shared" si="40"/>
        <v>0</v>
      </c>
      <c r="L176" s="60">
        <f t="shared" si="40"/>
        <v>0</v>
      </c>
      <c r="M176" s="60">
        <f t="shared" si="40"/>
        <v>0</v>
      </c>
      <c r="N176" s="59"/>
      <c r="O176" s="48">
        <f>CHOOSE(MONTH(Mes_cierre),B176,C176,D176,E176,F176,G176,H176,I176,J176,K176,L176,M176)</f>
        <v>222831.01017000002</v>
      </c>
      <c r="AK176" s="48"/>
      <c r="AL176" s="48"/>
      <c r="AM176" s="48"/>
      <c r="AN176" s="48"/>
      <c r="AO176" s="48"/>
      <c r="AP176" s="48"/>
      <c r="AQ176" s="48"/>
      <c r="AR176" s="48"/>
      <c r="AS176" s="48"/>
      <c r="AT176" s="48"/>
      <c r="AU176" s="48"/>
      <c r="AV176" s="48"/>
      <c r="AW176" s="48"/>
    </row>
    <row r="177" spans="1:49" ht="18" x14ac:dyDescent="0.4">
      <c r="A177" s="50" t="str">
        <f t="shared" si="37"/>
        <v>UAFIR FL. 21</v>
      </c>
      <c r="B177" s="60">
        <f t="shared" ref="B177:M177" si="41">B54+B73+B37+B93</f>
        <v>21555.768960000023</v>
      </c>
      <c r="C177" s="60">
        <f t="shared" si="41"/>
        <v>0</v>
      </c>
      <c r="D177" s="60">
        <f t="shared" si="41"/>
        <v>0</v>
      </c>
      <c r="E177" s="60">
        <f t="shared" si="41"/>
        <v>0</v>
      </c>
      <c r="F177" s="60">
        <f t="shared" si="41"/>
        <v>0</v>
      </c>
      <c r="G177" s="60">
        <f t="shared" si="41"/>
        <v>0</v>
      </c>
      <c r="H177" s="60">
        <f t="shared" si="41"/>
        <v>0</v>
      </c>
      <c r="I177" s="60">
        <f t="shared" si="41"/>
        <v>0</v>
      </c>
      <c r="J177" s="60">
        <f t="shared" si="41"/>
        <v>0</v>
      </c>
      <c r="K177" s="60">
        <f t="shared" si="41"/>
        <v>0</v>
      </c>
      <c r="L177" s="60">
        <f t="shared" si="41"/>
        <v>0</v>
      </c>
      <c r="M177" s="60">
        <f t="shared" si="41"/>
        <v>0</v>
      </c>
      <c r="N177" s="59"/>
      <c r="AK177" s="48"/>
      <c r="AL177" s="48"/>
      <c r="AM177" s="48"/>
      <c r="AN177" s="48"/>
      <c r="AO177" s="48"/>
      <c r="AP177" s="48"/>
      <c r="AQ177" s="48"/>
      <c r="AR177" s="48"/>
      <c r="AS177" s="48"/>
      <c r="AT177" s="48"/>
      <c r="AU177" s="48"/>
      <c r="AV177" s="48"/>
      <c r="AW177" s="48"/>
    </row>
    <row r="178" spans="1:49" ht="18" x14ac:dyDescent="0.4">
      <c r="A178" s="50" t="str">
        <f t="shared" si="37"/>
        <v>UAFIRFL.P.21</v>
      </c>
      <c r="B178" s="60">
        <f t="shared" ref="B178:M178" si="42">B55+B74+B38+B94</f>
        <v>23096.18499999999</v>
      </c>
      <c r="C178" s="60">
        <f t="shared" si="42"/>
        <v>0</v>
      </c>
      <c r="D178" s="60">
        <f t="shared" si="42"/>
        <v>0</v>
      </c>
      <c r="E178" s="60">
        <f t="shared" si="42"/>
        <v>0</v>
      </c>
      <c r="F178" s="60">
        <f t="shared" si="42"/>
        <v>0</v>
      </c>
      <c r="G178" s="60">
        <f t="shared" si="42"/>
        <v>0</v>
      </c>
      <c r="H178" s="60">
        <f t="shared" si="42"/>
        <v>0</v>
      </c>
      <c r="I178" s="60">
        <f t="shared" si="42"/>
        <v>0</v>
      </c>
      <c r="J178" s="60">
        <f t="shared" si="42"/>
        <v>0</v>
      </c>
      <c r="K178" s="60">
        <f t="shared" si="42"/>
        <v>0</v>
      </c>
      <c r="L178" s="60">
        <f t="shared" si="42"/>
        <v>0</v>
      </c>
      <c r="M178" s="60">
        <f t="shared" si="42"/>
        <v>0</v>
      </c>
      <c r="N178" s="59"/>
      <c r="AK178" s="48"/>
      <c r="AL178" s="48"/>
      <c r="AM178" s="48"/>
      <c r="AN178" s="48"/>
      <c r="AO178" s="48"/>
      <c r="AP178" s="48"/>
      <c r="AQ178" s="48"/>
      <c r="AR178" s="48"/>
      <c r="AS178" s="48"/>
      <c r="AT178" s="48"/>
      <c r="AU178" s="48"/>
      <c r="AV178" s="48"/>
      <c r="AW178" s="48"/>
    </row>
    <row r="179" spans="1:49" ht="18" x14ac:dyDescent="0.4">
      <c r="A179" s="50" t="str">
        <f t="shared" si="37"/>
        <v>S. Deuda 21</v>
      </c>
      <c r="B179" s="60">
        <f t="shared" ref="B179:M179" si="43">B56+B75+B39+B95+B19</f>
        <v>0</v>
      </c>
      <c r="C179" s="60">
        <f t="shared" si="43"/>
        <v>0</v>
      </c>
      <c r="D179" s="60">
        <f t="shared" si="43"/>
        <v>0</v>
      </c>
      <c r="E179" s="60">
        <f t="shared" si="43"/>
        <v>0</v>
      </c>
      <c r="F179" s="60">
        <f t="shared" si="43"/>
        <v>0</v>
      </c>
      <c r="G179" s="60">
        <f t="shared" si="43"/>
        <v>0</v>
      </c>
      <c r="H179" s="60">
        <f t="shared" si="43"/>
        <v>0</v>
      </c>
      <c r="I179" s="60">
        <f t="shared" si="43"/>
        <v>0</v>
      </c>
      <c r="J179" s="60">
        <f t="shared" si="43"/>
        <v>0</v>
      </c>
      <c r="K179" s="60">
        <f t="shared" si="43"/>
        <v>0</v>
      </c>
      <c r="L179" s="60">
        <f t="shared" si="43"/>
        <v>0</v>
      </c>
      <c r="M179" s="60">
        <f t="shared" si="43"/>
        <v>0</v>
      </c>
      <c r="N179" s="59"/>
      <c r="AK179" s="48"/>
      <c r="AL179" s="48"/>
      <c r="AM179" s="48"/>
      <c r="AN179" s="48"/>
      <c r="AO179" s="48"/>
      <c r="AP179" s="48"/>
      <c r="AQ179" s="48"/>
      <c r="AR179" s="48"/>
      <c r="AS179" s="48"/>
      <c r="AT179" s="48"/>
      <c r="AU179" s="48"/>
      <c r="AV179" s="48"/>
      <c r="AW179" s="48"/>
    </row>
    <row r="180" spans="1:49" ht="18" x14ac:dyDescent="0.4">
      <c r="A180" s="50" t="str">
        <f t="shared" si="37"/>
        <v>Pagos Ext.</v>
      </c>
      <c r="B180" s="62">
        <f t="shared" ref="B180:M180" si="44">B57+B76+B40+B96+B21</f>
        <v>0</v>
      </c>
      <c r="C180" s="62">
        <f t="shared" si="44"/>
        <v>0</v>
      </c>
      <c r="D180" s="62">
        <f t="shared" si="44"/>
        <v>0</v>
      </c>
      <c r="E180" s="62">
        <f t="shared" si="44"/>
        <v>0</v>
      </c>
      <c r="F180" s="62">
        <f t="shared" si="44"/>
        <v>0</v>
      </c>
      <c r="G180" s="62">
        <f t="shared" si="44"/>
        <v>0</v>
      </c>
      <c r="H180" s="62">
        <f t="shared" si="44"/>
        <v>0</v>
      </c>
      <c r="I180" s="62">
        <f t="shared" si="44"/>
        <v>0</v>
      </c>
      <c r="J180" s="62">
        <f t="shared" si="44"/>
        <v>0</v>
      </c>
      <c r="K180" s="62">
        <f t="shared" si="44"/>
        <v>0</v>
      </c>
      <c r="L180" s="62">
        <f t="shared" si="44"/>
        <v>0</v>
      </c>
      <c r="M180" s="62">
        <f t="shared" si="44"/>
        <v>0</v>
      </c>
      <c r="N180" s="59"/>
      <c r="AK180" s="48"/>
      <c r="AL180" s="48"/>
      <c r="AM180" s="48"/>
      <c r="AN180" s="48"/>
      <c r="AO180" s="48"/>
      <c r="AP180" s="48"/>
      <c r="AQ180" s="48"/>
      <c r="AR180" s="48"/>
      <c r="AS180" s="48"/>
      <c r="AT180" s="48"/>
      <c r="AU180" s="48"/>
      <c r="AV180" s="48"/>
      <c r="AW180" s="48"/>
    </row>
    <row r="181" spans="1:49" x14ac:dyDescent="0.35">
      <c r="A181" s="64" t="s">
        <v>58</v>
      </c>
      <c r="B181" s="65">
        <f t="shared" ref="B181:M182" si="45">IFERROR(B177/B174,0)</f>
        <v>9.2428764762193333E-2</v>
      </c>
      <c r="C181" s="65">
        <f t="shared" si="45"/>
        <v>0</v>
      </c>
      <c r="D181" s="65">
        <f t="shared" si="45"/>
        <v>0</v>
      </c>
      <c r="E181" s="65">
        <f t="shared" si="45"/>
        <v>0</v>
      </c>
      <c r="F181" s="65">
        <f t="shared" si="45"/>
        <v>0</v>
      </c>
      <c r="G181" s="65">
        <f t="shared" si="45"/>
        <v>0</v>
      </c>
      <c r="H181" s="65">
        <f t="shared" si="45"/>
        <v>0</v>
      </c>
      <c r="I181" s="65">
        <f t="shared" si="45"/>
        <v>0</v>
      </c>
      <c r="J181" s="65">
        <f t="shared" si="45"/>
        <v>0</v>
      </c>
      <c r="K181" s="65">
        <f t="shared" si="45"/>
        <v>0</v>
      </c>
      <c r="L181" s="65">
        <f t="shared" si="45"/>
        <v>0</v>
      </c>
      <c r="M181" s="65">
        <f t="shared" si="45"/>
        <v>0</v>
      </c>
      <c r="N181" s="74"/>
      <c r="P181" s="48"/>
      <c r="AK181" s="48"/>
      <c r="AL181" s="48"/>
      <c r="AM181" s="48"/>
      <c r="AN181" s="48"/>
      <c r="AO181" s="48"/>
      <c r="AP181" s="48"/>
      <c r="AQ181" s="48"/>
      <c r="AR181" s="48"/>
      <c r="AS181" s="48"/>
      <c r="AT181" s="48"/>
      <c r="AU181" s="48"/>
      <c r="AV181" s="48"/>
      <c r="AW181" s="48"/>
    </row>
    <row r="182" spans="1:49" x14ac:dyDescent="0.35">
      <c r="A182" s="64" t="s">
        <v>59</v>
      </c>
      <c r="B182" s="67">
        <f>IFERROR(B178/B175,0)</f>
        <v>0.15256323267961755</v>
      </c>
      <c r="C182" s="67">
        <f t="shared" si="45"/>
        <v>0</v>
      </c>
      <c r="D182" s="67">
        <f t="shared" si="45"/>
        <v>0</v>
      </c>
      <c r="E182" s="67">
        <f t="shared" si="45"/>
        <v>0</v>
      </c>
      <c r="F182" s="67">
        <f t="shared" si="45"/>
        <v>0</v>
      </c>
      <c r="G182" s="67">
        <f t="shared" si="45"/>
        <v>0</v>
      </c>
      <c r="H182" s="67">
        <f t="shared" si="45"/>
        <v>0</v>
      </c>
      <c r="I182" s="67">
        <f t="shared" si="45"/>
        <v>0</v>
      </c>
      <c r="J182" s="67">
        <f t="shared" si="45"/>
        <v>0</v>
      </c>
      <c r="K182" s="67">
        <f t="shared" si="45"/>
        <v>0</v>
      </c>
      <c r="L182" s="67">
        <f t="shared" si="45"/>
        <v>0</v>
      </c>
      <c r="M182" s="67">
        <f t="shared" si="45"/>
        <v>0</v>
      </c>
      <c r="N182" s="66"/>
      <c r="P182" s="48"/>
      <c r="AK182" s="48"/>
      <c r="AL182" s="48"/>
      <c r="AM182" s="48"/>
      <c r="AN182" s="48"/>
      <c r="AO182" s="48"/>
      <c r="AP182" s="48"/>
      <c r="AQ182" s="48"/>
      <c r="AR182" s="48"/>
      <c r="AS182" s="48"/>
      <c r="AT182" s="48"/>
      <c r="AU182" s="48"/>
      <c r="AV182" s="48"/>
      <c r="AW182" s="48"/>
    </row>
    <row r="183" spans="1:49" x14ac:dyDescent="0.35">
      <c r="B183" s="68"/>
      <c r="C183" s="69"/>
      <c r="F183" s="99"/>
      <c r="N183" s="96"/>
      <c r="AK183" s="48"/>
      <c r="AL183" s="48"/>
      <c r="AM183" s="48"/>
      <c r="AN183" s="48"/>
      <c r="AO183" s="48"/>
      <c r="AP183" s="48"/>
      <c r="AQ183" s="48"/>
      <c r="AR183" s="48"/>
      <c r="AS183" s="48"/>
      <c r="AT183" s="48"/>
      <c r="AU183" s="48"/>
      <c r="AV183" s="48"/>
      <c r="AW183" s="48"/>
    </row>
    <row r="184" spans="1:49" x14ac:dyDescent="0.35">
      <c r="A184" s="119" t="s">
        <v>107</v>
      </c>
      <c r="B184" s="88"/>
      <c r="C184" s="88"/>
      <c r="D184" s="88"/>
      <c r="E184" s="88"/>
      <c r="F184" s="88"/>
      <c r="G184" s="88"/>
      <c r="H184" s="88"/>
      <c r="I184" s="88"/>
      <c r="J184" s="120"/>
      <c r="K184" s="120"/>
      <c r="L184" s="120"/>
      <c r="M184" s="88"/>
      <c r="AK184" s="48"/>
      <c r="AL184" s="48"/>
      <c r="AM184" s="48"/>
      <c r="AN184" s="48"/>
      <c r="AO184" s="48"/>
      <c r="AP184" s="48"/>
      <c r="AQ184" s="48"/>
      <c r="AR184" s="48"/>
      <c r="AS184" s="48"/>
      <c r="AT184" s="48"/>
      <c r="AU184" s="48"/>
      <c r="AV184" s="48"/>
      <c r="AW184" s="48"/>
    </row>
    <row r="185" spans="1:49" x14ac:dyDescent="0.35">
      <c r="M185" s="70"/>
      <c r="AK185" s="48"/>
      <c r="AL185" s="48"/>
      <c r="AM185" s="48"/>
      <c r="AN185" s="48"/>
      <c r="AO185" s="48"/>
      <c r="AP185" s="48"/>
      <c r="AQ185" s="48"/>
      <c r="AR185" s="48"/>
      <c r="AS185" s="48"/>
      <c r="AT185" s="48"/>
      <c r="AU185" s="48"/>
      <c r="AV185" s="48"/>
      <c r="AW185" s="48"/>
    </row>
    <row r="186" spans="1:49" x14ac:dyDescent="0.35">
      <c r="M186" s="70"/>
      <c r="AK186" s="48"/>
      <c r="AL186" s="48"/>
      <c r="AM186" s="48"/>
      <c r="AN186" s="48"/>
      <c r="AO186" s="48"/>
      <c r="AP186" s="48"/>
      <c r="AQ186" s="48"/>
      <c r="AR186" s="48"/>
      <c r="AS186" s="48"/>
      <c r="AT186" s="48"/>
      <c r="AU186" s="48"/>
      <c r="AV186" s="48"/>
      <c r="AW186" s="48"/>
    </row>
    <row r="187" spans="1:49" x14ac:dyDescent="0.35">
      <c r="K187" s="70"/>
      <c r="M187" s="68"/>
      <c r="AK187" s="48"/>
      <c r="AL187" s="48"/>
      <c r="AM187" s="48"/>
      <c r="AN187" s="48"/>
      <c r="AO187" s="48"/>
      <c r="AP187" s="48"/>
      <c r="AQ187" s="48"/>
      <c r="AR187" s="48"/>
      <c r="AS187" s="48"/>
      <c r="AT187" s="48"/>
      <c r="AU187" s="48"/>
      <c r="AV187" s="48"/>
      <c r="AW187" s="48"/>
    </row>
    <row r="188" spans="1:49" x14ac:dyDescent="0.35">
      <c r="C188" s="49" t="s">
        <v>112</v>
      </c>
      <c r="D188" s="49"/>
      <c r="E188" s="49"/>
      <c r="F188" s="49"/>
      <c r="G188" s="49"/>
      <c r="H188" s="49" t="s">
        <v>113</v>
      </c>
      <c r="AK188" s="48"/>
      <c r="AL188" s="48"/>
      <c r="AM188" s="48"/>
      <c r="AN188" s="48"/>
      <c r="AO188" s="48"/>
      <c r="AP188" s="48"/>
      <c r="AQ188" s="48"/>
      <c r="AR188" s="48"/>
      <c r="AS188" s="48"/>
      <c r="AT188" s="48"/>
      <c r="AU188" s="48"/>
      <c r="AV188" s="48"/>
      <c r="AW188" s="48"/>
    </row>
    <row r="189" spans="1:49" x14ac:dyDescent="0.35">
      <c r="A189" s="76"/>
      <c r="B189" s="48"/>
      <c r="C189" s="48"/>
      <c r="D189" s="48"/>
      <c r="E189" s="48"/>
      <c r="F189" s="48"/>
      <c r="G189" s="48"/>
      <c r="H189" s="121"/>
      <c r="I189" s="121"/>
      <c r="J189" s="121"/>
      <c r="K189" s="121"/>
      <c r="L189" s="121"/>
      <c r="M189" s="121"/>
      <c r="AK189" s="48"/>
      <c r="AL189" s="48"/>
      <c r="AM189" s="48"/>
      <c r="AN189" s="48"/>
      <c r="AO189" s="48"/>
      <c r="AP189" s="48"/>
      <c r="AQ189" s="48"/>
      <c r="AR189" s="48"/>
      <c r="AS189" s="48"/>
      <c r="AT189" s="48"/>
      <c r="AU189" s="48"/>
      <c r="AV189" s="48"/>
      <c r="AW189" s="48"/>
    </row>
    <row r="190" spans="1:49" x14ac:dyDescent="0.35">
      <c r="A190" s="76"/>
      <c r="B190" s="121"/>
      <c r="C190" s="121"/>
      <c r="D190" s="121"/>
      <c r="E190" s="121"/>
      <c r="F190" s="121"/>
      <c r="G190" s="121"/>
      <c r="H190" s="121"/>
      <c r="I190" s="121"/>
      <c r="J190" s="121"/>
      <c r="K190" s="121"/>
      <c r="L190" s="121"/>
      <c r="M190" s="121"/>
      <c r="AK190" s="48"/>
      <c r="AL190" s="48"/>
      <c r="AM190" s="48"/>
      <c r="AN190" s="48"/>
      <c r="AO190" s="48"/>
      <c r="AP190" s="48"/>
      <c r="AQ190" s="48"/>
      <c r="AR190" s="48"/>
      <c r="AS190" s="48"/>
      <c r="AT190" s="48"/>
      <c r="AU190" s="48"/>
      <c r="AV190" s="48"/>
      <c r="AW190" s="48"/>
    </row>
    <row r="191" spans="1:49" x14ac:dyDescent="0.35">
      <c r="A191" s="76"/>
      <c r="B191" s="121"/>
      <c r="C191" s="121"/>
      <c r="D191" s="121"/>
      <c r="E191" s="121"/>
      <c r="F191" s="121"/>
      <c r="G191" s="121"/>
      <c r="H191" s="121"/>
      <c r="I191" s="121"/>
      <c r="J191" s="121"/>
      <c r="K191" s="121"/>
      <c r="L191" s="121"/>
      <c r="M191" s="121"/>
      <c r="AK191" s="48"/>
      <c r="AL191" s="48"/>
      <c r="AM191" s="48"/>
      <c r="AN191" s="48"/>
      <c r="AO191" s="48"/>
      <c r="AP191" s="48"/>
      <c r="AQ191" s="48"/>
      <c r="AR191" s="48"/>
      <c r="AS191" s="48"/>
      <c r="AT191" s="48"/>
      <c r="AU191" s="48"/>
      <c r="AV191" s="48"/>
      <c r="AW191" s="48"/>
    </row>
    <row r="192" spans="1:49" x14ac:dyDescent="0.35">
      <c r="A192" s="76"/>
      <c r="B192" s="121"/>
      <c r="C192" s="121"/>
      <c r="D192" s="121"/>
      <c r="E192" s="121"/>
      <c r="F192" s="121"/>
      <c r="G192" s="121"/>
      <c r="H192" s="121"/>
      <c r="I192" s="121"/>
      <c r="J192" s="121"/>
      <c r="K192" s="121"/>
      <c r="L192" s="121"/>
      <c r="M192" s="121"/>
      <c r="AK192" s="48"/>
      <c r="AL192" s="48"/>
      <c r="AM192" s="48"/>
      <c r="AN192" s="48"/>
      <c r="AO192" s="48"/>
      <c r="AP192" s="48"/>
      <c r="AQ192" s="48"/>
      <c r="AR192" s="48"/>
      <c r="AS192" s="48"/>
      <c r="AT192" s="48"/>
      <c r="AU192" s="48"/>
      <c r="AV192" s="48"/>
      <c r="AW192" s="48"/>
    </row>
    <row r="193" spans="1:49" x14ac:dyDescent="0.35">
      <c r="A193" s="76"/>
      <c r="B193" s="121"/>
      <c r="C193" s="121"/>
      <c r="D193" s="121"/>
      <c r="E193" s="121"/>
      <c r="F193" s="121"/>
      <c r="G193" s="121"/>
      <c r="H193" s="121"/>
      <c r="I193" s="121"/>
      <c r="J193" s="121"/>
      <c r="K193" s="121"/>
      <c r="L193" s="121"/>
      <c r="M193" s="121"/>
      <c r="AK193" s="48"/>
      <c r="AL193" s="48"/>
      <c r="AM193" s="48"/>
      <c r="AN193" s="48"/>
      <c r="AO193" s="48"/>
      <c r="AP193" s="48"/>
      <c r="AQ193" s="48"/>
      <c r="AR193" s="48"/>
      <c r="AS193" s="48"/>
      <c r="AT193" s="48"/>
      <c r="AU193" s="48"/>
      <c r="AV193" s="48"/>
      <c r="AW193" s="48"/>
    </row>
    <row r="194" spans="1:49" x14ac:dyDescent="0.35">
      <c r="A194" s="76"/>
      <c r="B194" s="121"/>
      <c r="C194" s="121"/>
      <c r="D194" s="121"/>
      <c r="E194" s="121"/>
      <c r="F194" s="121"/>
      <c r="G194" s="121"/>
      <c r="H194" s="121"/>
      <c r="I194" s="121"/>
      <c r="J194" s="121"/>
      <c r="K194" s="121"/>
      <c r="L194" s="121"/>
      <c r="M194" s="121"/>
      <c r="AK194" s="48"/>
      <c r="AL194" s="48"/>
      <c r="AM194" s="48"/>
      <c r="AN194" s="48"/>
      <c r="AO194" s="48"/>
      <c r="AP194" s="48"/>
      <c r="AQ194" s="48"/>
      <c r="AR194" s="48"/>
      <c r="AS194" s="48"/>
      <c r="AT194" s="48"/>
      <c r="AU194" s="48"/>
      <c r="AV194" s="48"/>
      <c r="AW194" s="48"/>
    </row>
    <row r="195" spans="1:49" x14ac:dyDescent="0.35">
      <c r="A195" s="76"/>
      <c r="B195" s="121"/>
      <c r="C195" s="121"/>
      <c r="D195" s="121"/>
      <c r="E195" s="121"/>
      <c r="F195" s="121"/>
      <c r="G195" s="121"/>
      <c r="H195" s="121"/>
      <c r="I195" s="121"/>
      <c r="J195" s="121"/>
      <c r="K195" s="121"/>
      <c r="L195" s="121"/>
      <c r="M195" s="121"/>
      <c r="AK195" s="48"/>
      <c r="AL195" s="48"/>
      <c r="AM195" s="48"/>
      <c r="AN195" s="48"/>
      <c r="AO195" s="48"/>
      <c r="AP195" s="48"/>
      <c r="AQ195" s="48"/>
      <c r="AR195" s="48"/>
      <c r="AS195" s="48"/>
      <c r="AT195" s="48"/>
      <c r="AU195" s="48"/>
      <c r="AV195" s="48"/>
      <c r="AW195" s="48"/>
    </row>
    <row r="196" spans="1:49" x14ac:dyDescent="0.35">
      <c r="A196" s="76"/>
      <c r="B196" s="121"/>
      <c r="C196" s="121"/>
      <c r="D196" s="121"/>
      <c r="E196" s="121"/>
      <c r="F196" s="121"/>
      <c r="G196" s="121"/>
      <c r="H196" s="121"/>
      <c r="I196" s="121"/>
      <c r="J196" s="121"/>
      <c r="K196" s="121"/>
      <c r="L196" s="121"/>
      <c r="M196" s="121"/>
      <c r="AK196" s="48"/>
      <c r="AL196" s="48"/>
      <c r="AM196" s="48"/>
      <c r="AN196" s="48"/>
      <c r="AO196" s="48"/>
      <c r="AP196" s="48"/>
      <c r="AQ196" s="48"/>
      <c r="AR196" s="48"/>
      <c r="AS196" s="48"/>
      <c r="AT196" s="48"/>
      <c r="AU196" s="48"/>
      <c r="AV196" s="48"/>
      <c r="AW196" s="48"/>
    </row>
    <row r="197" spans="1:49" x14ac:dyDescent="0.35">
      <c r="A197" s="76"/>
      <c r="B197" s="48"/>
      <c r="C197" s="48"/>
      <c r="D197" s="48"/>
      <c r="E197" s="48"/>
      <c r="F197" s="48"/>
      <c r="G197" s="48"/>
      <c r="H197" s="48"/>
      <c r="I197" s="48"/>
      <c r="J197" s="121"/>
      <c r="K197" s="121"/>
      <c r="L197" s="121"/>
      <c r="M197" s="121"/>
      <c r="AK197" s="48"/>
      <c r="AL197" s="48"/>
      <c r="AM197" s="48"/>
      <c r="AN197" s="48"/>
      <c r="AO197" s="48"/>
      <c r="AP197" s="48"/>
      <c r="AQ197" s="48"/>
      <c r="AR197" s="48"/>
      <c r="AS197" s="48"/>
      <c r="AT197" s="48"/>
      <c r="AU197" s="48"/>
      <c r="AV197" s="48"/>
      <c r="AW197" s="48"/>
    </row>
    <row r="198" spans="1:49" x14ac:dyDescent="0.35">
      <c r="A198" s="72"/>
      <c r="B198" s="48"/>
      <c r="C198" s="48"/>
      <c r="D198" s="48"/>
      <c r="E198" s="48"/>
      <c r="F198" s="48"/>
      <c r="G198" s="48"/>
      <c r="H198" s="48"/>
      <c r="I198" s="48"/>
      <c r="J198" s="121"/>
      <c r="K198" s="121"/>
      <c r="L198" s="121"/>
      <c r="M198" s="121"/>
      <c r="AK198" s="48"/>
      <c r="AL198" s="48"/>
      <c r="AM198" s="48"/>
      <c r="AN198" s="48"/>
      <c r="AO198" s="48"/>
      <c r="AP198" s="48"/>
      <c r="AQ198" s="48"/>
      <c r="AR198" s="48"/>
      <c r="AS198" s="48"/>
      <c r="AT198" s="48"/>
      <c r="AU198" s="48"/>
      <c r="AV198" s="48"/>
      <c r="AW198" s="48"/>
    </row>
    <row r="199" spans="1:49" x14ac:dyDescent="0.35">
      <c r="A199" s="72"/>
      <c r="B199" s="48"/>
      <c r="C199" s="48"/>
      <c r="D199" s="48"/>
      <c r="E199" s="48"/>
      <c r="F199" s="48"/>
      <c r="G199" s="48"/>
      <c r="H199" s="48"/>
      <c r="I199" s="48"/>
      <c r="J199" s="121"/>
      <c r="K199" s="121"/>
      <c r="L199" s="121"/>
      <c r="M199" s="121"/>
      <c r="AK199" s="48"/>
      <c r="AL199" s="48"/>
      <c r="AM199" s="48"/>
      <c r="AN199" s="48"/>
      <c r="AO199" s="48"/>
      <c r="AP199" s="48"/>
      <c r="AQ199" s="48"/>
      <c r="AR199" s="48"/>
      <c r="AS199" s="48"/>
      <c r="AT199" s="48"/>
      <c r="AU199" s="48"/>
      <c r="AV199" s="48"/>
      <c r="AW199" s="48"/>
    </row>
    <row r="200" spans="1:49" ht="18" x14ac:dyDescent="0.4">
      <c r="A200" s="72"/>
      <c r="B200" s="48"/>
      <c r="C200" s="48"/>
      <c r="D200" s="48"/>
      <c r="E200" s="48"/>
      <c r="F200" s="48"/>
      <c r="G200" s="48"/>
      <c r="H200" s="48"/>
      <c r="I200" s="48"/>
      <c r="J200" s="52"/>
      <c r="K200" s="52"/>
      <c r="L200" s="52"/>
      <c r="M200" s="52"/>
      <c r="AK200" s="76"/>
      <c r="AL200" s="121"/>
      <c r="AM200" s="121"/>
      <c r="AN200" s="121"/>
      <c r="AO200" s="121"/>
      <c r="AP200" s="121"/>
      <c r="AQ200" s="121"/>
      <c r="AR200" s="121"/>
      <c r="AS200" s="121"/>
      <c r="AT200" s="121"/>
      <c r="AU200" s="121"/>
      <c r="AV200" s="121"/>
      <c r="AW200" s="121"/>
    </row>
    <row r="201" spans="1:49" ht="18" x14ac:dyDescent="0.4">
      <c r="A201" s="57"/>
      <c r="B201" s="48"/>
      <c r="C201" s="48"/>
      <c r="D201" s="48"/>
      <c r="E201" s="48"/>
      <c r="F201" s="48"/>
      <c r="G201" s="48"/>
      <c r="H201" s="48"/>
      <c r="I201" s="48"/>
      <c r="J201" s="100"/>
      <c r="K201" s="100"/>
      <c r="L201" s="100"/>
      <c r="M201" s="100"/>
      <c r="AK201" s="76"/>
      <c r="AL201" s="121"/>
      <c r="AM201" s="121"/>
      <c r="AN201" s="121"/>
      <c r="AO201" s="121"/>
      <c r="AP201" s="121"/>
      <c r="AQ201" s="121"/>
      <c r="AR201" s="121"/>
      <c r="AS201" s="121"/>
      <c r="AT201" s="121"/>
      <c r="AU201" s="121"/>
      <c r="AV201" s="121"/>
      <c r="AW201" s="121"/>
    </row>
    <row r="202" spans="1:49" ht="18" x14ac:dyDescent="0.4">
      <c r="A202" s="72"/>
      <c r="B202" s="48"/>
      <c r="C202" s="48"/>
      <c r="D202" s="48"/>
      <c r="E202" s="48"/>
      <c r="F202" s="48"/>
      <c r="G202" s="48"/>
      <c r="H202" s="48"/>
      <c r="I202" s="48"/>
      <c r="J202" s="122"/>
      <c r="K202" s="122"/>
      <c r="L202" s="122"/>
      <c r="M202" s="122"/>
      <c r="AK202" s="76"/>
      <c r="AL202" s="48"/>
      <c r="AM202" s="48"/>
      <c r="AN202" s="48"/>
      <c r="AO202" s="48"/>
      <c r="AP202" s="48"/>
      <c r="AQ202" s="48"/>
      <c r="AR202" s="48"/>
      <c r="AS202" s="48"/>
      <c r="AT202" s="121"/>
      <c r="AU202" s="121"/>
      <c r="AV202" s="121"/>
      <c r="AW202" s="121"/>
    </row>
    <row r="203" spans="1:49" ht="18" x14ac:dyDescent="0.4">
      <c r="A203" s="72"/>
      <c r="B203" s="48"/>
      <c r="C203" s="48"/>
      <c r="D203" s="48"/>
      <c r="E203" s="48"/>
      <c r="F203" s="48"/>
      <c r="G203" s="48"/>
      <c r="H203" s="48"/>
      <c r="I203" s="48"/>
      <c r="J203" s="122"/>
      <c r="K203" s="122"/>
      <c r="L203" s="122"/>
      <c r="M203" s="122"/>
      <c r="AK203" s="72"/>
      <c r="AL203" s="48"/>
      <c r="AM203" s="48"/>
      <c r="AN203" s="48"/>
      <c r="AO203" s="48"/>
      <c r="AP203" s="48"/>
      <c r="AQ203" s="48"/>
      <c r="AR203" s="48"/>
      <c r="AS203" s="48"/>
      <c r="AT203" s="121"/>
      <c r="AU203" s="121"/>
      <c r="AV203" s="121"/>
      <c r="AW203" s="121"/>
    </row>
    <row r="204" spans="1:49" ht="18" x14ac:dyDescent="0.4">
      <c r="A204" s="72"/>
      <c r="B204" s="64"/>
      <c r="C204" s="122"/>
      <c r="D204" s="97"/>
      <c r="E204" s="122"/>
      <c r="F204" s="122"/>
      <c r="G204" s="122"/>
      <c r="H204" s="122"/>
      <c r="I204" s="122"/>
      <c r="J204" s="122"/>
      <c r="K204" s="122"/>
      <c r="L204" s="122"/>
      <c r="M204" s="122"/>
      <c r="AK204" s="72"/>
      <c r="AL204" s="48"/>
      <c r="AM204" s="48"/>
      <c r="AN204" s="48"/>
      <c r="AO204" s="48"/>
      <c r="AP204" s="48"/>
      <c r="AQ204" s="48"/>
      <c r="AR204" s="48"/>
      <c r="AS204" s="48"/>
      <c r="AT204" s="121"/>
      <c r="AU204" s="121"/>
      <c r="AV204" s="121"/>
      <c r="AW204" s="121"/>
    </row>
    <row r="205" spans="1:49" ht="18" x14ac:dyDescent="0.4">
      <c r="A205" s="72"/>
      <c r="B205" s="50" t="str">
        <f t="shared" ref="B205:B210" si="46">A149</f>
        <v>Vtas. 21</v>
      </c>
      <c r="C205" s="121"/>
      <c r="D205" s="122">
        <f t="shared" ref="D205:D211" si="47">CHOOSE(MONTH(Mes_cierre),B174,C174,D174,E174,F174,G174,H174,I174,J174,K174,L174,M174)</f>
        <v>233214.94142500003</v>
      </c>
      <c r="E205" s="123"/>
      <c r="F205" s="121"/>
      <c r="G205" s="50" t="str">
        <f t="shared" ref="G205:G210" si="48">B205</f>
        <v>Vtas. 21</v>
      </c>
      <c r="H205" s="121"/>
      <c r="I205" s="122">
        <f t="shared" ref="I205:I211" si="49">CHOOSE(MONTH(Mes_cierre),B108,C108,D108,E108,F108,G108,H108,I108,J108,K108,L108,M108)+CHOOSE(MONTH(Mes_cierre),B123,C123,D123,E123,F123,G123,H123,I123,J123,K123,L123,M123)</f>
        <v>1679.2247900000002</v>
      </c>
      <c r="L205" s="122"/>
      <c r="M205" s="122"/>
      <c r="AK205" s="72"/>
      <c r="AL205" s="48"/>
      <c r="AM205" s="48"/>
      <c r="AN205" s="48"/>
      <c r="AO205" s="48"/>
      <c r="AP205" s="48"/>
      <c r="AQ205" s="48"/>
      <c r="AR205" s="48"/>
      <c r="AS205" s="48"/>
      <c r="AT205" s="52"/>
      <c r="AU205" s="52"/>
      <c r="AV205" s="52"/>
      <c r="AW205" s="52"/>
    </row>
    <row r="206" spans="1:49" ht="18" x14ac:dyDescent="0.4">
      <c r="A206" s="72"/>
      <c r="B206" s="50" t="str">
        <f t="shared" si="46"/>
        <v>Vtas. P. 21</v>
      </c>
      <c r="C206" s="121"/>
      <c r="D206" s="122">
        <f>CHOOSE(MONTH(Mes_cierre),B175,C175,D175,E175,F175,G175,H175,I175,J175,K175,L175,M175)</f>
        <v>151387.622</v>
      </c>
      <c r="F206" s="121"/>
      <c r="G206" s="50" t="str">
        <f t="shared" si="48"/>
        <v>Vtas. P. 21</v>
      </c>
      <c r="H206" s="121"/>
      <c r="I206" s="122">
        <f t="shared" si="49"/>
        <v>1504.4359999999999</v>
      </c>
      <c r="L206" s="122"/>
      <c r="M206" s="122"/>
      <c r="AK206" s="57"/>
      <c r="AL206" s="48"/>
      <c r="AM206" s="48"/>
      <c r="AN206" s="48"/>
      <c r="AO206" s="48"/>
      <c r="AP206" s="48"/>
      <c r="AQ206" s="48"/>
      <c r="AR206" s="48"/>
      <c r="AS206" s="48"/>
      <c r="AT206" s="100"/>
      <c r="AU206" s="100"/>
      <c r="AV206" s="100"/>
      <c r="AW206" s="100"/>
    </row>
    <row r="207" spans="1:49" ht="18" x14ac:dyDescent="0.4">
      <c r="A207" s="72"/>
      <c r="B207" s="50" t="str">
        <f t="shared" si="46"/>
        <v>Vtas. 20</v>
      </c>
      <c r="C207" s="121"/>
      <c r="D207" s="122">
        <f t="shared" si="47"/>
        <v>222831.01017000002</v>
      </c>
      <c r="F207" s="121"/>
      <c r="G207" s="50" t="str">
        <f t="shared" si="48"/>
        <v>Vtas. 20</v>
      </c>
      <c r="H207" s="121"/>
      <c r="I207" s="122">
        <f t="shared" si="49"/>
        <v>1478.7591499999999</v>
      </c>
      <c r="J207" s="122"/>
      <c r="K207" s="122"/>
      <c r="L207" s="122"/>
      <c r="M207" s="122"/>
      <c r="AK207" s="72"/>
      <c r="AL207" s="48"/>
      <c r="AM207" s="48"/>
      <c r="AN207" s="48"/>
      <c r="AO207" s="48"/>
      <c r="AP207" s="48"/>
      <c r="AQ207" s="48"/>
      <c r="AR207" s="48"/>
      <c r="AS207" s="48"/>
      <c r="AT207" s="122"/>
      <c r="AU207" s="122"/>
      <c r="AV207" s="122"/>
      <c r="AW207" s="122"/>
    </row>
    <row r="208" spans="1:49" ht="18" x14ac:dyDescent="0.4">
      <c r="A208" s="72"/>
      <c r="B208" s="50" t="str">
        <f t="shared" si="46"/>
        <v>UAFIR FL. 21</v>
      </c>
      <c r="C208" s="121"/>
      <c r="D208" s="122">
        <f t="shared" si="47"/>
        <v>21555.768960000023</v>
      </c>
      <c r="E208" s="121"/>
      <c r="F208" s="52"/>
      <c r="G208" s="50" t="str">
        <f t="shared" si="48"/>
        <v>UAFIR FL. 21</v>
      </c>
      <c r="H208" s="52"/>
      <c r="I208" s="122">
        <f t="shared" si="49"/>
        <v>189.16310999999985</v>
      </c>
      <c r="J208" s="122"/>
      <c r="K208" s="122"/>
      <c r="L208" s="122"/>
      <c r="M208" s="122"/>
      <c r="AK208" s="72"/>
      <c r="AL208" s="48"/>
      <c r="AM208" s="48"/>
      <c r="AN208" s="48"/>
      <c r="AO208" s="48"/>
      <c r="AP208" s="48"/>
      <c r="AQ208" s="48"/>
      <c r="AR208" s="48"/>
      <c r="AS208" s="48"/>
      <c r="AT208" s="122"/>
      <c r="AU208" s="122"/>
      <c r="AV208" s="122"/>
      <c r="AW208" s="122"/>
    </row>
    <row r="209" spans="1:49" ht="18" x14ac:dyDescent="0.4">
      <c r="A209" s="76"/>
      <c r="B209" s="50" t="str">
        <f t="shared" si="46"/>
        <v>UAFIRFL.P.21</v>
      </c>
      <c r="C209" s="121"/>
      <c r="D209" s="122">
        <f t="shared" si="47"/>
        <v>23096.18499999999</v>
      </c>
      <c r="E209" s="121"/>
      <c r="F209" s="100"/>
      <c r="G209" s="50" t="str">
        <f t="shared" si="48"/>
        <v>UAFIRFL.P.21</v>
      </c>
      <c r="H209" s="100"/>
      <c r="I209" s="122">
        <f t="shared" si="49"/>
        <v>37.985999999999933</v>
      </c>
      <c r="J209" s="124"/>
      <c r="K209" s="124"/>
      <c r="L209" s="124"/>
      <c r="M209" s="124"/>
      <c r="AK209" s="72"/>
      <c r="AL209" s="64"/>
      <c r="AM209" s="122"/>
      <c r="AN209" s="97"/>
      <c r="AO209" s="122"/>
      <c r="AP209" s="122"/>
      <c r="AQ209" s="122"/>
      <c r="AR209" s="122"/>
      <c r="AS209" s="122"/>
      <c r="AT209" s="122"/>
      <c r="AU209" s="122"/>
      <c r="AV209" s="122"/>
      <c r="AW209" s="122"/>
    </row>
    <row r="210" spans="1:49" ht="18" x14ac:dyDescent="0.4">
      <c r="A210" s="76"/>
      <c r="B210" s="50" t="str">
        <f t="shared" si="46"/>
        <v>S. Deuda 21</v>
      </c>
      <c r="C210" s="122"/>
      <c r="D210" s="122">
        <f t="shared" si="47"/>
        <v>0</v>
      </c>
      <c r="E210" s="122"/>
      <c r="F210" s="122"/>
      <c r="G210" s="50" t="str">
        <f t="shared" si="48"/>
        <v>S. Deuda 21</v>
      </c>
      <c r="H210" s="122"/>
      <c r="I210" s="122">
        <f t="shared" si="49"/>
        <v>0</v>
      </c>
      <c r="J210" s="124"/>
      <c r="K210" s="124"/>
      <c r="L210" s="124"/>
      <c r="M210" s="124"/>
      <c r="AK210" s="72"/>
      <c r="AL210" s="50"/>
      <c r="AM210" s="121"/>
      <c r="AN210" s="122"/>
      <c r="AO210" s="123"/>
      <c r="AP210" s="121"/>
      <c r="AQ210" s="50"/>
      <c r="AR210" s="121"/>
      <c r="AS210" s="122"/>
      <c r="AV210" s="122"/>
      <c r="AW210" s="122"/>
    </row>
    <row r="211" spans="1:49" ht="18" x14ac:dyDescent="0.4">
      <c r="A211" s="76"/>
      <c r="B211" s="50" t="s">
        <v>57</v>
      </c>
      <c r="C211" s="122"/>
      <c r="D211" s="122">
        <f t="shared" si="47"/>
        <v>0</v>
      </c>
      <c r="E211" s="122"/>
      <c r="F211" s="122"/>
      <c r="G211" s="50" t="s">
        <v>57</v>
      </c>
      <c r="H211" s="122"/>
      <c r="I211" s="122">
        <f t="shared" si="49"/>
        <v>0</v>
      </c>
      <c r="J211" s="121"/>
      <c r="K211" s="121"/>
      <c r="L211" s="121"/>
      <c r="M211" s="121"/>
      <c r="AK211" s="72"/>
      <c r="AL211" s="50"/>
      <c r="AM211" s="121"/>
      <c r="AN211" s="122"/>
      <c r="AP211" s="121"/>
      <c r="AQ211" s="50"/>
      <c r="AR211" s="121"/>
      <c r="AS211" s="122"/>
      <c r="AV211" s="122"/>
      <c r="AW211" s="122"/>
    </row>
    <row r="212" spans="1:49" ht="18" x14ac:dyDescent="0.4">
      <c r="A212" s="76"/>
      <c r="B212" s="97"/>
      <c r="C212" s="97"/>
      <c r="D212" s="97"/>
      <c r="E212" s="97"/>
      <c r="F212" s="97"/>
      <c r="G212" s="97"/>
      <c r="H212" s="97"/>
      <c r="I212" s="97"/>
      <c r="J212" s="97"/>
      <c r="K212" s="97"/>
      <c r="L212" s="97"/>
      <c r="M212" s="97"/>
      <c r="AK212" s="72"/>
      <c r="AL212" s="50"/>
      <c r="AM212" s="121"/>
      <c r="AN212" s="122"/>
      <c r="AP212" s="121"/>
      <c r="AQ212" s="50"/>
      <c r="AR212" s="121"/>
      <c r="AS212" s="122"/>
      <c r="AT212" s="122"/>
      <c r="AU212" s="122"/>
      <c r="AV212" s="122"/>
      <c r="AW212" s="122"/>
    </row>
    <row r="213" spans="1:49" ht="18" x14ac:dyDescent="0.4">
      <c r="A213" s="72"/>
      <c r="B213" s="121"/>
      <c r="C213" s="121"/>
      <c r="D213" s="121"/>
      <c r="E213" s="121"/>
      <c r="F213" s="121"/>
      <c r="G213" s="121"/>
      <c r="H213" s="121"/>
      <c r="I213" s="121"/>
      <c r="J213" s="121"/>
      <c r="K213" s="121"/>
      <c r="L213" s="121"/>
      <c r="M213" s="121"/>
      <c r="AK213" s="72"/>
      <c r="AL213" s="50"/>
      <c r="AM213" s="121"/>
      <c r="AN213" s="122"/>
      <c r="AO213" s="121"/>
      <c r="AP213" s="52"/>
      <c r="AQ213" s="50"/>
      <c r="AR213" s="52"/>
      <c r="AS213" s="122"/>
      <c r="AT213" s="122"/>
      <c r="AU213" s="122"/>
      <c r="AV213" s="122"/>
      <c r="AW213" s="122"/>
    </row>
    <row r="214" spans="1:49" ht="18" x14ac:dyDescent="0.4">
      <c r="A214" s="76"/>
      <c r="B214" s="97"/>
      <c r="C214" s="97"/>
      <c r="D214" s="97"/>
      <c r="E214" s="97"/>
      <c r="F214" s="97"/>
      <c r="G214" s="97"/>
      <c r="H214" s="97"/>
      <c r="I214" s="97"/>
      <c r="J214" s="97"/>
      <c r="K214" s="97"/>
      <c r="L214" s="97"/>
      <c r="M214" s="97"/>
      <c r="AK214" s="76"/>
      <c r="AL214" s="50"/>
      <c r="AM214" s="121"/>
      <c r="AN214" s="122"/>
      <c r="AO214" s="121"/>
      <c r="AP214" s="100"/>
      <c r="AQ214" s="50"/>
      <c r="AR214" s="100"/>
      <c r="AS214" s="122"/>
      <c r="AT214" s="124"/>
      <c r="AU214" s="124"/>
      <c r="AV214" s="124"/>
      <c r="AW214" s="124"/>
    </row>
    <row r="215" spans="1:49" ht="18" x14ac:dyDescent="0.4">
      <c r="A215" s="72"/>
      <c r="B215" s="121"/>
      <c r="C215" s="121"/>
      <c r="D215" s="121"/>
      <c r="E215" s="121"/>
      <c r="F215" s="121"/>
      <c r="G215" s="121"/>
      <c r="H215" s="121"/>
      <c r="I215" s="121"/>
      <c r="J215" s="121"/>
      <c r="K215" s="121"/>
      <c r="L215" s="121"/>
      <c r="M215" s="121"/>
      <c r="AK215" s="76"/>
      <c r="AL215" s="50"/>
      <c r="AM215" s="122"/>
      <c r="AN215" s="122"/>
      <c r="AO215" s="122"/>
      <c r="AP215" s="122"/>
      <c r="AQ215" s="50"/>
      <c r="AR215" s="122"/>
      <c r="AS215" s="122"/>
      <c r="AT215" s="124"/>
      <c r="AU215" s="124"/>
      <c r="AV215" s="124"/>
      <c r="AW215" s="124"/>
    </row>
    <row r="216" spans="1:49" ht="18" x14ac:dyDescent="0.4">
      <c r="A216" s="72"/>
      <c r="B216" s="122"/>
      <c r="C216" s="122"/>
      <c r="D216" s="122"/>
      <c r="E216" s="122"/>
      <c r="F216" s="125"/>
      <c r="H216" s="122"/>
      <c r="I216" s="122"/>
      <c r="J216" s="122"/>
      <c r="K216" s="122"/>
      <c r="L216" s="122"/>
      <c r="M216" s="122"/>
      <c r="AK216" s="76"/>
      <c r="AL216" s="50"/>
      <c r="AM216" s="122"/>
      <c r="AN216" s="122"/>
      <c r="AO216" s="122"/>
      <c r="AP216" s="122"/>
      <c r="AQ216" s="50"/>
      <c r="AR216" s="122"/>
      <c r="AS216" s="122"/>
      <c r="AT216" s="121"/>
      <c r="AU216" s="121"/>
      <c r="AV216" s="121"/>
      <c r="AW216" s="121"/>
    </row>
    <row r="217" spans="1:49" x14ac:dyDescent="0.35">
      <c r="A217" s="76"/>
      <c r="B217" s="124"/>
      <c r="C217" s="124"/>
      <c r="D217" s="124"/>
      <c r="E217" s="124"/>
      <c r="F217" s="126"/>
      <c r="H217" s="124"/>
      <c r="I217" s="124"/>
      <c r="J217" s="124"/>
      <c r="K217" s="124"/>
      <c r="L217" s="124"/>
      <c r="M217" s="124"/>
      <c r="AK217" s="76"/>
      <c r="AL217" s="97"/>
      <c r="AM217" s="97"/>
      <c r="AN217" s="97"/>
      <c r="AO217" s="97"/>
      <c r="AP217" s="97"/>
      <c r="AQ217" s="97"/>
      <c r="AR217" s="97"/>
      <c r="AS217" s="97"/>
      <c r="AT217" s="97"/>
      <c r="AU217" s="97"/>
      <c r="AV217" s="97"/>
      <c r="AW217" s="97"/>
    </row>
    <row r="218" spans="1:49" x14ac:dyDescent="0.35">
      <c r="A218" s="76"/>
      <c r="B218" s="124"/>
      <c r="C218" s="124"/>
      <c r="D218" s="124"/>
      <c r="E218" s="124"/>
      <c r="F218" s="124"/>
      <c r="G218" s="124"/>
      <c r="H218" s="124"/>
      <c r="I218" s="124"/>
      <c r="J218" s="124"/>
      <c r="K218" s="124"/>
      <c r="L218" s="124"/>
      <c r="M218" s="124"/>
      <c r="AK218" s="72"/>
      <c r="AL218" s="121"/>
      <c r="AM218" s="121"/>
      <c r="AN218" s="121"/>
      <c r="AO218" s="121"/>
      <c r="AP218" s="121"/>
      <c r="AQ218" s="121"/>
      <c r="AR218" s="121"/>
      <c r="AS218" s="121"/>
      <c r="AT218" s="121"/>
      <c r="AU218" s="121"/>
      <c r="AV218" s="121"/>
      <c r="AW218" s="121"/>
    </row>
    <row r="219" spans="1:49" x14ac:dyDescent="0.35">
      <c r="A219" s="76"/>
      <c r="B219" s="121"/>
      <c r="C219" s="121"/>
      <c r="D219" s="121"/>
      <c r="E219" s="121"/>
      <c r="F219" s="121"/>
      <c r="G219" s="121"/>
      <c r="H219" s="121"/>
      <c r="I219" s="121"/>
      <c r="J219" s="121"/>
      <c r="K219" s="121"/>
      <c r="L219" s="121"/>
      <c r="M219" s="121"/>
      <c r="AK219" s="76"/>
      <c r="AL219" s="97"/>
      <c r="AM219" s="97"/>
      <c r="AN219" s="97"/>
      <c r="AO219" s="97"/>
      <c r="AP219" s="97"/>
      <c r="AQ219" s="97"/>
      <c r="AR219" s="97"/>
      <c r="AS219" s="97"/>
      <c r="AT219" s="97"/>
      <c r="AU219" s="97"/>
      <c r="AV219" s="97"/>
      <c r="AW219" s="97"/>
    </row>
    <row r="220" spans="1:49" x14ac:dyDescent="0.35">
      <c r="A220" s="76"/>
      <c r="B220" s="97"/>
      <c r="C220" s="97"/>
      <c r="D220" s="97"/>
      <c r="E220" s="97"/>
      <c r="F220" s="97"/>
      <c r="G220" s="97"/>
      <c r="H220" s="97"/>
      <c r="I220" s="97"/>
      <c r="J220" s="97"/>
      <c r="K220" s="97"/>
      <c r="L220" s="97"/>
      <c r="M220" s="97"/>
      <c r="AK220" s="72"/>
      <c r="AL220" s="121"/>
      <c r="AM220" s="121"/>
      <c r="AN220" s="121"/>
      <c r="AO220" s="121"/>
      <c r="AP220" s="121"/>
      <c r="AQ220" s="121"/>
      <c r="AR220" s="121"/>
      <c r="AS220" s="121"/>
      <c r="AT220" s="121"/>
      <c r="AU220" s="121"/>
      <c r="AV220" s="121"/>
      <c r="AW220" s="121"/>
    </row>
    <row r="221" spans="1:49" ht="18" x14ac:dyDescent="0.4">
      <c r="A221" s="76"/>
      <c r="B221" s="97"/>
      <c r="C221" s="97"/>
      <c r="D221" s="97"/>
      <c r="E221" s="97"/>
      <c r="F221" s="97"/>
      <c r="G221" s="97"/>
      <c r="H221" s="97"/>
      <c r="I221" s="97"/>
      <c r="J221" s="97"/>
      <c r="K221" s="97"/>
      <c r="L221" s="97"/>
      <c r="M221" s="97"/>
      <c r="AK221" s="72"/>
      <c r="AL221" s="122"/>
      <c r="AM221" s="122"/>
      <c r="AN221" s="122"/>
      <c r="AO221" s="122"/>
      <c r="AP221" s="125"/>
      <c r="AR221" s="122"/>
      <c r="AS221" s="122"/>
      <c r="AT221" s="122"/>
      <c r="AU221" s="122"/>
      <c r="AV221" s="122"/>
      <c r="AW221" s="122"/>
    </row>
    <row r="222" spans="1:49" x14ac:dyDescent="0.35">
      <c r="A222" s="76"/>
      <c r="B222" s="97"/>
      <c r="C222" s="97"/>
      <c r="D222" s="97"/>
      <c r="E222" s="97"/>
      <c r="F222" s="97"/>
      <c r="G222" s="97"/>
      <c r="H222" s="97"/>
      <c r="I222" s="97"/>
      <c r="J222" s="97"/>
      <c r="K222" s="97"/>
      <c r="L222" s="97"/>
      <c r="M222" s="97"/>
      <c r="AK222" s="76"/>
      <c r="AL222" s="124"/>
      <c r="AM222" s="124"/>
      <c r="AN222" s="124"/>
      <c r="AO222" s="124"/>
      <c r="AP222" s="126"/>
      <c r="AR222" s="124"/>
      <c r="AS222" s="124"/>
      <c r="AT222" s="124"/>
      <c r="AU222" s="124"/>
      <c r="AV222" s="124"/>
      <c r="AW222" s="124"/>
    </row>
    <row r="223" spans="1:49" x14ac:dyDescent="0.35">
      <c r="A223" s="72"/>
      <c r="B223" s="121"/>
      <c r="C223" s="121"/>
      <c r="D223" s="121"/>
      <c r="E223" s="121"/>
      <c r="F223" s="121"/>
      <c r="G223" s="121"/>
      <c r="H223" s="121"/>
      <c r="I223" s="121"/>
      <c r="J223" s="121"/>
      <c r="K223" s="121"/>
      <c r="L223" s="121"/>
      <c r="M223" s="121"/>
      <c r="AK223" s="76"/>
      <c r="AL223" s="124"/>
      <c r="AM223" s="124"/>
      <c r="AN223" s="124"/>
      <c r="AO223" s="124"/>
      <c r="AP223" s="124"/>
      <c r="AQ223" s="124"/>
      <c r="AR223" s="124"/>
      <c r="AS223" s="124"/>
      <c r="AT223" s="124"/>
      <c r="AU223" s="124"/>
      <c r="AV223" s="124"/>
      <c r="AW223" s="124"/>
    </row>
    <row r="224" spans="1:49" ht="18" x14ac:dyDescent="0.4">
      <c r="A224" s="76"/>
      <c r="B224" s="52"/>
      <c r="C224" s="51"/>
      <c r="D224" s="52"/>
      <c r="E224" s="52"/>
      <c r="F224" s="52"/>
      <c r="G224" s="52"/>
      <c r="H224" s="52"/>
      <c r="I224" s="52"/>
      <c r="J224" s="52"/>
      <c r="K224" s="52"/>
      <c r="L224" s="52"/>
      <c r="M224" s="52"/>
      <c r="AK224" s="76"/>
      <c r="AL224" s="121"/>
      <c r="AM224" s="121"/>
      <c r="AN224" s="121"/>
      <c r="AO224" s="121"/>
      <c r="AP224" s="121"/>
      <c r="AQ224" s="121"/>
      <c r="AR224" s="121"/>
      <c r="AS224" s="121"/>
      <c r="AT224" s="121"/>
      <c r="AU224" s="121"/>
      <c r="AV224" s="121"/>
      <c r="AW224" s="121"/>
    </row>
    <row r="225" spans="1:49" ht="18" hidden="1" x14ac:dyDescent="0.4">
      <c r="A225" s="57"/>
      <c r="B225" s="100"/>
      <c r="C225" s="100"/>
      <c r="D225" s="100"/>
      <c r="E225" s="100"/>
      <c r="F225" s="100"/>
      <c r="G225" s="100"/>
      <c r="H225" s="100"/>
      <c r="I225" s="100"/>
      <c r="J225" s="100"/>
      <c r="K225" s="100"/>
      <c r="L225" s="100"/>
      <c r="M225" s="100"/>
      <c r="AK225" s="76"/>
      <c r="AL225" s="97"/>
      <c r="AM225" s="97"/>
      <c r="AN225" s="97"/>
      <c r="AO225" s="97"/>
      <c r="AP225" s="97"/>
      <c r="AQ225" s="97"/>
      <c r="AR225" s="97"/>
      <c r="AS225" s="97"/>
      <c r="AT225" s="97"/>
      <c r="AU225" s="97"/>
      <c r="AV225" s="97"/>
      <c r="AW225" s="97"/>
    </row>
    <row r="226" spans="1:49" hidden="1" x14ac:dyDescent="0.35">
      <c r="A226" s="76"/>
      <c r="B226" s="97"/>
      <c r="C226" s="97"/>
      <c r="D226" s="97"/>
      <c r="E226" s="97"/>
      <c r="F226" s="97"/>
      <c r="G226" s="97"/>
      <c r="H226" s="97"/>
      <c r="I226" s="97"/>
      <c r="J226" s="97"/>
      <c r="K226" s="97"/>
      <c r="L226" s="97"/>
      <c r="M226" s="97"/>
      <c r="AK226" s="76"/>
      <c r="AL226" s="97"/>
      <c r="AM226" s="97"/>
      <c r="AN226" s="97"/>
      <c r="AO226" s="97"/>
      <c r="AP226" s="97"/>
      <c r="AQ226" s="97"/>
      <c r="AR226" s="97"/>
      <c r="AS226" s="97"/>
      <c r="AT226" s="97"/>
      <c r="AU226" s="97"/>
      <c r="AV226" s="97"/>
      <c r="AW226" s="97"/>
    </row>
    <row r="227" spans="1:49" hidden="1" x14ac:dyDescent="0.35">
      <c r="A227" s="76"/>
      <c r="B227" s="97"/>
      <c r="C227" s="97"/>
      <c r="D227" s="97"/>
      <c r="E227" s="97"/>
      <c r="F227" s="97"/>
      <c r="G227" s="97"/>
      <c r="H227" s="97"/>
      <c r="I227" s="97"/>
      <c r="J227" s="97"/>
      <c r="K227" s="97"/>
      <c r="L227" s="97"/>
      <c r="M227" s="97"/>
      <c r="AK227" s="76"/>
      <c r="AL227" s="97"/>
      <c r="AM227" s="97"/>
      <c r="AN227" s="97"/>
      <c r="AO227" s="97"/>
      <c r="AP227" s="97"/>
      <c r="AQ227" s="97"/>
      <c r="AR227" s="97"/>
      <c r="AS227" s="97"/>
      <c r="AT227" s="97"/>
      <c r="AU227" s="97"/>
      <c r="AV227" s="97"/>
      <c r="AW227" s="97"/>
    </row>
    <row r="228" spans="1:49" hidden="1" x14ac:dyDescent="0.35">
      <c r="A228" s="76"/>
      <c r="B228" s="97"/>
      <c r="C228" s="97"/>
      <c r="D228" s="97"/>
      <c r="E228" s="97"/>
      <c r="F228" s="97"/>
      <c r="G228" s="97"/>
      <c r="H228" s="97"/>
      <c r="I228" s="97"/>
      <c r="J228" s="97"/>
      <c r="K228" s="97"/>
      <c r="L228" s="97"/>
      <c r="M228" s="97"/>
      <c r="AK228" s="72"/>
      <c r="AL228" s="121"/>
      <c r="AM228" s="121"/>
      <c r="AN228" s="121"/>
      <c r="AO228" s="121"/>
      <c r="AP228" s="121"/>
      <c r="AQ228" s="121"/>
      <c r="AR228" s="121"/>
      <c r="AS228" s="121"/>
      <c r="AT228" s="121"/>
      <c r="AU228" s="121"/>
      <c r="AV228" s="121"/>
      <c r="AW228" s="121"/>
    </row>
    <row r="229" spans="1:49" ht="18" hidden="1" x14ac:dyDescent="0.4">
      <c r="A229" s="76"/>
      <c r="B229" s="97"/>
      <c r="C229" s="97"/>
      <c r="D229" s="97"/>
      <c r="E229" s="97"/>
      <c r="F229" s="97"/>
      <c r="G229" s="97"/>
      <c r="H229" s="97"/>
      <c r="I229" s="97"/>
      <c r="J229" s="97"/>
      <c r="K229" s="97"/>
      <c r="L229" s="97"/>
      <c r="M229" s="97"/>
      <c r="AK229" s="76"/>
      <c r="AL229" s="52"/>
      <c r="AM229" s="51"/>
      <c r="AN229" s="52"/>
      <c r="AO229" s="52"/>
      <c r="AP229" s="52"/>
      <c r="AQ229" s="52"/>
      <c r="AR229" s="52"/>
      <c r="AS229" s="52"/>
      <c r="AT229" s="52"/>
      <c r="AU229" s="52"/>
      <c r="AV229" s="52"/>
      <c r="AW229" s="52"/>
    </row>
    <row r="230" spans="1:49" ht="18" hidden="1" x14ac:dyDescent="0.4">
      <c r="A230" s="76"/>
      <c r="B230" s="97"/>
      <c r="C230" s="97"/>
      <c r="D230" s="97"/>
      <c r="E230" s="97"/>
      <c r="F230" s="97"/>
      <c r="G230" s="97"/>
      <c r="H230" s="97"/>
      <c r="I230" s="97"/>
      <c r="J230" s="97"/>
      <c r="K230" s="97"/>
      <c r="L230" s="97"/>
      <c r="M230" s="97"/>
      <c r="AK230" s="57"/>
      <c r="AL230" s="100"/>
      <c r="AM230" s="100"/>
      <c r="AN230" s="100"/>
      <c r="AO230" s="100"/>
      <c r="AP230" s="100"/>
      <c r="AQ230" s="100"/>
      <c r="AR230" s="100"/>
      <c r="AS230" s="100"/>
      <c r="AT230" s="100"/>
      <c r="AU230" s="100"/>
      <c r="AV230" s="100"/>
      <c r="AW230" s="100"/>
    </row>
    <row r="231" spans="1:49" hidden="1" x14ac:dyDescent="0.35">
      <c r="A231" s="76"/>
      <c r="B231" s="97"/>
      <c r="C231" s="97"/>
      <c r="D231" s="97"/>
      <c r="E231" s="97"/>
      <c r="F231" s="97"/>
      <c r="G231" s="97"/>
      <c r="H231" s="97"/>
      <c r="I231" s="97"/>
      <c r="J231" s="97"/>
      <c r="K231" s="97"/>
      <c r="L231" s="97"/>
      <c r="M231" s="97"/>
      <c r="AK231" s="76"/>
      <c r="AL231" s="97"/>
      <c r="AM231" s="97"/>
      <c r="AN231" s="97"/>
      <c r="AO231" s="97"/>
      <c r="AP231" s="97"/>
      <c r="AQ231" s="97"/>
      <c r="AR231" s="97"/>
      <c r="AS231" s="97"/>
      <c r="AT231" s="97"/>
      <c r="AU231" s="97"/>
      <c r="AV231" s="97"/>
      <c r="AW231" s="97"/>
    </row>
    <row r="232" spans="1:49" hidden="1" x14ac:dyDescent="0.35">
      <c r="A232" s="76"/>
      <c r="B232" s="124"/>
      <c r="C232" s="124"/>
      <c r="D232" s="124"/>
      <c r="E232" s="124"/>
      <c r="F232" s="124"/>
      <c r="G232" s="124"/>
      <c r="H232" s="124"/>
      <c r="I232" s="124"/>
      <c r="J232" s="124"/>
      <c r="K232" s="124"/>
      <c r="L232" s="124"/>
      <c r="M232" s="124"/>
      <c r="AK232" s="76"/>
      <c r="AL232" s="97"/>
      <c r="AM232" s="97"/>
      <c r="AN232" s="97"/>
      <c r="AO232" s="97"/>
      <c r="AP232" s="97"/>
      <c r="AQ232" s="97"/>
      <c r="AR232" s="97"/>
      <c r="AS232" s="97"/>
      <c r="AT232" s="97"/>
      <c r="AU232" s="97"/>
      <c r="AV232" s="97"/>
      <c r="AW232" s="97"/>
    </row>
    <row r="233" spans="1:49" hidden="1" x14ac:dyDescent="0.35">
      <c r="A233" s="76"/>
      <c r="B233" s="124"/>
      <c r="C233" s="124"/>
      <c r="D233" s="124"/>
      <c r="E233" s="124"/>
      <c r="F233" s="124"/>
      <c r="G233" s="124"/>
      <c r="H233" s="124"/>
      <c r="I233" s="124"/>
      <c r="J233" s="124"/>
      <c r="K233" s="124"/>
      <c r="L233" s="124"/>
      <c r="M233" s="124"/>
      <c r="AK233" s="76"/>
      <c r="AL233" s="97"/>
      <c r="AM233" s="97"/>
      <c r="AN233" s="97"/>
      <c r="AO233" s="97"/>
      <c r="AP233" s="97"/>
      <c r="AQ233" s="97"/>
      <c r="AR233" s="97"/>
      <c r="AS233" s="97"/>
      <c r="AT233" s="97"/>
      <c r="AU233" s="97"/>
      <c r="AV233" s="97"/>
      <c r="AW233" s="97"/>
    </row>
    <row r="234" spans="1:49" hidden="1" x14ac:dyDescent="0.35">
      <c r="A234" s="76"/>
      <c r="B234" s="121"/>
      <c r="C234" s="121"/>
      <c r="D234" s="121"/>
      <c r="E234" s="121"/>
      <c r="F234" s="121"/>
      <c r="G234" s="121"/>
      <c r="H234" s="121"/>
      <c r="I234" s="121"/>
      <c r="J234" s="121"/>
      <c r="K234" s="121"/>
      <c r="L234" s="121"/>
      <c r="M234" s="121"/>
      <c r="AK234" s="76"/>
      <c r="AL234" s="97"/>
      <c r="AM234" s="97"/>
      <c r="AN234" s="97"/>
      <c r="AO234" s="97"/>
      <c r="AP234" s="97"/>
      <c r="AQ234" s="97"/>
      <c r="AR234" s="97"/>
      <c r="AS234" s="97"/>
      <c r="AT234" s="97"/>
      <c r="AU234" s="97"/>
      <c r="AV234" s="97"/>
      <c r="AW234" s="97"/>
    </row>
    <row r="235" spans="1:49" hidden="1" x14ac:dyDescent="0.35">
      <c r="A235" s="76"/>
      <c r="B235" s="97"/>
      <c r="C235" s="97"/>
      <c r="D235" s="97"/>
      <c r="E235" s="97"/>
      <c r="F235" s="97"/>
      <c r="G235" s="97"/>
      <c r="H235" s="97"/>
      <c r="I235" s="97"/>
      <c r="J235" s="97"/>
      <c r="K235" s="97"/>
      <c r="L235" s="97"/>
      <c r="M235" s="97"/>
      <c r="AK235" s="76"/>
      <c r="AL235" s="97"/>
      <c r="AM235" s="97"/>
      <c r="AN235" s="97"/>
      <c r="AO235" s="97"/>
      <c r="AP235" s="97"/>
      <c r="AQ235" s="97"/>
      <c r="AR235" s="97"/>
      <c r="AS235" s="97"/>
      <c r="AT235" s="97"/>
      <c r="AU235" s="97"/>
      <c r="AV235" s="97"/>
      <c r="AW235" s="97"/>
    </row>
    <row r="236" spans="1:49" hidden="1" x14ac:dyDescent="0.35">
      <c r="A236" s="76"/>
      <c r="B236" s="97"/>
      <c r="C236" s="97"/>
      <c r="D236" s="97"/>
      <c r="E236" s="97"/>
      <c r="F236" s="97"/>
      <c r="G236" s="97"/>
      <c r="H236" s="97"/>
      <c r="I236" s="97"/>
      <c r="J236" s="97"/>
      <c r="K236" s="97"/>
      <c r="L236" s="97"/>
      <c r="M236" s="97"/>
      <c r="AK236" s="76"/>
      <c r="AL236" s="97"/>
      <c r="AM236" s="97"/>
      <c r="AN236" s="97"/>
      <c r="AO236" s="97"/>
      <c r="AP236" s="97"/>
      <c r="AQ236" s="97"/>
      <c r="AR236" s="97"/>
      <c r="AS236" s="97"/>
      <c r="AT236" s="97"/>
      <c r="AU236" s="97"/>
      <c r="AV236" s="97"/>
      <c r="AW236" s="97"/>
    </row>
    <row r="237" spans="1:49" hidden="1" x14ac:dyDescent="0.35">
      <c r="A237" s="76"/>
      <c r="B237" s="97"/>
      <c r="C237" s="97"/>
      <c r="D237" s="97"/>
      <c r="E237" s="97"/>
      <c r="F237" s="97"/>
      <c r="G237" s="97"/>
      <c r="H237" s="97"/>
      <c r="I237" s="97"/>
      <c r="J237" s="97"/>
      <c r="K237" s="97"/>
      <c r="L237" s="97"/>
      <c r="M237" s="97"/>
      <c r="AK237" s="76"/>
      <c r="AL237" s="124"/>
      <c r="AM237" s="124"/>
      <c r="AN237" s="124"/>
      <c r="AO237" s="124"/>
      <c r="AP237" s="124"/>
      <c r="AQ237" s="124"/>
      <c r="AR237" s="124"/>
      <c r="AS237" s="124"/>
      <c r="AT237" s="124"/>
      <c r="AU237" s="124"/>
      <c r="AV237" s="124"/>
      <c r="AW237" s="124"/>
    </row>
    <row r="238" spans="1:49" hidden="1" x14ac:dyDescent="0.35">
      <c r="A238" s="72"/>
      <c r="B238" s="121"/>
      <c r="C238" s="121"/>
      <c r="D238" s="121"/>
      <c r="E238" s="121"/>
      <c r="F238" s="121"/>
      <c r="G238" s="121"/>
      <c r="H238" s="121"/>
      <c r="I238" s="121"/>
      <c r="J238" s="121"/>
      <c r="K238" s="121"/>
      <c r="L238" s="121"/>
      <c r="M238" s="121"/>
      <c r="AK238" s="76"/>
      <c r="AL238" s="124"/>
      <c r="AM238" s="124"/>
      <c r="AN238" s="124"/>
      <c r="AO238" s="124"/>
      <c r="AP238" s="124"/>
      <c r="AQ238" s="124"/>
      <c r="AR238" s="124"/>
      <c r="AS238" s="124"/>
      <c r="AT238" s="124"/>
      <c r="AU238" s="124"/>
      <c r="AV238" s="124"/>
      <c r="AW238" s="124"/>
    </row>
    <row r="239" spans="1:49" ht="18" hidden="1" x14ac:dyDescent="0.4">
      <c r="A239" s="76"/>
      <c r="B239" s="52"/>
      <c r="C239" s="51"/>
      <c r="D239" s="52"/>
      <c r="E239" s="52"/>
      <c r="F239" s="52"/>
      <c r="G239" s="52"/>
      <c r="H239" s="52"/>
      <c r="I239" s="52"/>
      <c r="J239" s="52"/>
      <c r="K239" s="52"/>
      <c r="L239" s="52"/>
      <c r="M239" s="52"/>
      <c r="AK239" s="76"/>
      <c r="AL239" s="121"/>
      <c r="AM239" s="121"/>
      <c r="AN239" s="121"/>
      <c r="AO239" s="121"/>
      <c r="AP239" s="121"/>
      <c r="AQ239" s="121"/>
      <c r="AR239" s="121"/>
      <c r="AS239" s="121"/>
      <c r="AT239" s="121"/>
      <c r="AU239" s="121"/>
      <c r="AV239" s="121"/>
      <c r="AW239" s="121"/>
    </row>
    <row r="240" spans="1:49" ht="18" hidden="1" x14ac:dyDescent="0.4">
      <c r="A240" s="57"/>
      <c r="B240" s="100"/>
      <c r="C240" s="100"/>
      <c r="D240" s="100"/>
      <c r="E240" s="100"/>
      <c r="F240" s="100"/>
      <c r="G240" s="100"/>
      <c r="H240" s="100"/>
      <c r="I240" s="100"/>
      <c r="J240" s="100"/>
      <c r="K240" s="100"/>
      <c r="L240" s="100"/>
      <c r="M240" s="100"/>
      <c r="AK240" s="76"/>
      <c r="AL240" s="97"/>
      <c r="AM240" s="97"/>
      <c r="AN240" s="97"/>
      <c r="AO240" s="97"/>
      <c r="AP240" s="97"/>
      <c r="AQ240" s="97"/>
      <c r="AR240" s="97"/>
      <c r="AS240" s="97"/>
      <c r="AT240" s="97"/>
      <c r="AU240" s="97"/>
      <c r="AV240" s="97"/>
      <c r="AW240" s="97"/>
    </row>
    <row r="241" spans="1:49" hidden="1" x14ac:dyDescent="0.35">
      <c r="A241" s="76"/>
      <c r="B241" s="97"/>
      <c r="C241" s="97"/>
      <c r="D241" s="97"/>
      <c r="E241" s="97"/>
      <c r="F241" s="97"/>
      <c r="G241" s="97"/>
      <c r="H241" s="97"/>
      <c r="I241" s="97"/>
      <c r="J241" s="97"/>
      <c r="K241" s="97"/>
      <c r="L241" s="97"/>
      <c r="M241" s="97"/>
      <c r="AK241" s="76"/>
      <c r="AL241" s="97"/>
      <c r="AM241" s="97"/>
      <c r="AN241" s="97"/>
      <c r="AO241" s="97"/>
      <c r="AP241" s="97"/>
      <c r="AQ241" s="97"/>
      <c r="AR241" s="97"/>
      <c r="AS241" s="97"/>
      <c r="AT241" s="97"/>
      <c r="AU241" s="97"/>
      <c r="AV241" s="97"/>
      <c r="AW241" s="97"/>
    </row>
    <row r="242" spans="1:49" hidden="1" x14ac:dyDescent="0.35">
      <c r="A242" s="76"/>
      <c r="B242" s="97"/>
      <c r="C242" s="97"/>
      <c r="D242" s="97"/>
      <c r="E242" s="97"/>
      <c r="F242" s="97"/>
      <c r="G242" s="97"/>
      <c r="H242" s="97"/>
      <c r="I242" s="97"/>
      <c r="J242" s="97"/>
      <c r="K242" s="97"/>
      <c r="L242" s="97"/>
      <c r="M242" s="97"/>
      <c r="AK242" s="76"/>
      <c r="AL242" s="97"/>
      <c r="AM242" s="97"/>
      <c r="AN242" s="97"/>
      <c r="AO242" s="97"/>
      <c r="AP242" s="97"/>
      <c r="AQ242" s="97"/>
      <c r="AR242" s="97"/>
      <c r="AS242" s="97"/>
      <c r="AT242" s="97"/>
      <c r="AU242" s="97"/>
      <c r="AV242" s="97"/>
      <c r="AW242" s="97"/>
    </row>
    <row r="243" spans="1:49" hidden="1" x14ac:dyDescent="0.35">
      <c r="A243" s="76"/>
      <c r="B243" s="97"/>
      <c r="C243" s="97"/>
      <c r="D243" s="97"/>
      <c r="E243" s="97"/>
      <c r="F243" s="97"/>
      <c r="G243" s="97"/>
      <c r="H243" s="97"/>
      <c r="I243" s="97"/>
      <c r="J243" s="97"/>
      <c r="K243" s="97"/>
      <c r="L243" s="97"/>
      <c r="M243" s="97"/>
      <c r="AK243" s="72"/>
      <c r="AL243" s="121"/>
      <c r="AM243" s="121"/>
      <c r="AN243" s="121"/>
      <c r="AO243" s="121"/>
      <c r="AP243" s="121"/>
      <c r="AQ243" s="121"/>
      <c r="AR243" s="121"/>
      <c r="AS243" s="121"/>
      <c r="AT243" s="121"/>
      <c r="AU243" s="121"/>
      <c r="AV243" s="121"/>
      <c r="AW243" s="121"/>
    </row>
    <row r="244" spans="1:49" ht="18" hidden="1" x14ac:dyDescent="0.4">
      <c r="A244" s="76"/>
      <c r="B244" s="97"/>
      <c r="C244" s="97"/>
      <c r="D244" s="97"/>
      <c r="E244" s="97"/>
      <c r="F244" s="97"/>
      <c r="G244" s="97"/>
      <c r="H244" s="97"/>
      <c r="I244" s="97"/>
      <c r="J244" s="97"/>
      <c r="K244" s="97"/>
      <c r="L244" s="97"/>
      <c r="M244" s="97"/>
      <c r="AK244" s="76"/>
      <c r="AL244" s="52"/>
      <c r="AM244" s="51"/>
      <c r="AN244" s="52"/>
      <c r="AO244" s="52"/>
      <c r="AP244" s="52"/>
      <c r="AQ244" s="52"/>
      <c r="AR244" s="52"/>
      <c r="AS244" s="52"/>
      <c r="AT244" s="52"/>
      <c r="AU244" s="52"/>
      <c r="AV244" s="52"/>
      <c r="AW244" s="52"/>
    </row>
    <row r="245" spans="1:49" ht="18" hidden="1" x14ac:dyDescent="0.4">
      <c r="A245" s="76"/>
      <c r="B245" s="97"/>
      <c r="C245" s="97"/>
      <c r="D245" s="97"/>
      <c r="E245" s="97"/>
      <c r="F245" s="97"/>
      <c r="G245" s="97"/>
      <c r="H245" s="97"/>
      <c r="I245" s="97"/>
      <c r="J245" s="97"/>
      <c r="K245" s="97"/>
      <c r="L245" s="97"/>
      <c r="M245" s="97"/>
      <c r="AK245" s="57"/>
      <c r="AL245" s="100"/>
      <c r="AM245" s="100"/>
      <c r="AN245" s="100"/>
      <c r="AO245" s="100"/>
      <c r="AP245" s="100"/>
      <c r="AQ245" s="100"/>
      <c r="AR245" s="100"/>
      <c r="AS245" s="100"/>
      <c r="AT245" s="100"/>
      <c r="AU245" s="100"/>
      <c r="AV245" s="100"/>
      <c r="AW245" s="100"/>
    </row>
    <row r="246" spans="1:49" hidden="1" x14ac:dyDescent="0.35">
      <c r="A246" s="76"/>
      <c r="B246" s="97"/>
      <c r="C246" s="97"/>
      <c r="D246" s="97"/>
      <c r="E246" s="97"/>
      <c r="F246" s="97"/>
      <c r="G246" s="97"/>
      <c r="H246" s="97"/>
      <c r="I246" s="97"/>
      <c r="J246" s="97"/>
      <c r="K246" s="97"/>
      <c r="L246" s="97"/>
      <c r="M246" s="97"/>
      <c r="AK246" s="76"/>
      <c r="AL246" s="97"/>
      <c r="AM246" s="97"/>
      <c r="AN246" s="97"/>
      <c r="AO246" s="97"/>
      <c r="AP246" s="97"/>
      <c r="AQ246" s="97"/>
      <c r="AR246" s="97"/>
      <c r="AS246" s="97"/>
      <c r="AT246" s="97"/>
      <c r="AU246" s="97"/>
      <c r="AV246" s="97"/>
      <c r="AW246" s="97"/>
    </row>
    <row r="247" spans="1:49" hidden="1" x14ac:dyDescent="0.35">
      <c r="A247" s="76"/>
      <c r="B247" s="124"/>
      <c r="C247" s="124"/>
      <c r="D247" s="124"/>
      <c r="E247" s="124"/>
      <c r="F247" s="124"/>
      <c r="G247" s="124"/>
      <c r="H247" s="124"/>
      <c r="I247" s="124"/>
      <c r="J247" s="124"/>
      <c r="K247" s="124"/>
      <c r="L247" s="124"/>
      <c r="M247" s="124"/>
      <c r="AK247" s="76"/>
      <c r="AL247" s="97"/>
      <c r="AM247" s="97"/>
      <c r="AN247" s="97"/>
      <c r="AO247" s="97"/>
      <c r="AP247" s="97"/>
      <c r="AQ247" s="97"/>
      <c r="AR247" s="97"/>
      <c r="AS247" s="97"/>
      <c r="AT247" s="97"/>
      <c r="AU247" s="97"/>
      <c r="AV247" s="97"/>
      <c r="AW247" s="97"/>
    </row>
    <row r="248" spans="1:49" hidden="1" x14ac:dyDescent="0.35">
      <c r="A248" s="76"/>
      <c r="B248" s="124"/>
      <c r="C248" s="124"/>
      <c r="D248" s="124"/>
      <c r="E248" s="124"/>
      <c r="F248" s="124"/>
      <c r="G248" s="124"/>
      <c r="H248" s="124"/>
      <c r="I248" s="124"/>
      <c r="J248" s="124"/>
      <c r="K248" s="124"/>
      <c r="L248" s="124"/>
      <c r="M248" s="124"/>
      <c r="AK248" s="76"/>
      <c r="AL248" s="97"/>
      <c r="AM248" s="97"/>
      <c r="AN248" s="97"/>
      <c r="AO248" s="97"/>
      <c r="AP248" s="97"/>
      <c r="AQ248" s="97"/>
      <c r="AR248" s="97"/>
      <c r="AS248" s="97"/>
      <c r="AT248" s="97"/>
      <c r="AU248" s="97"/>
      <c r="AV248" s="97"/>
      <c r="AW248" s="97"/>
    </row>
    <row r="249" spans="1:49" hidden="1" x14ac:dyDescent="0.35">
      <c r="A249" s="76"/>
      <c r="B249" s="121"/>
      <c r="C249" s="121"/>
      <c r="D249" s="121"/>
      <c r="E249" s="121"/>
      <c r="F249" s="121"/>
      <c r="G249" s="121"/>
      <c r="H249" s="121"/>
      <c r="I249" s="121"/>
      <c r="J249" s="121"/>
      <c r="K249" s="121"/>
      <c r="L249" s="121"/>
      <c r="M249" s="121"/>
      <c r="AK249" s="76"/>
      <c r="AL249" s="97"/>
      <c r="AM249" s="97"/>
      <c r="AN249" s="97"/>
      <c r="AO249" s="97"/>
      <c r="AP249" s="97"/>
      <c r="AQ249" s="97"/>
      <c r="AR249" s="97"/>
      <c r="AS249" s="97"/>
      <c r="AT249" s="97"/>
      <c r="AU249" s="97"/>
      <c r="AV249" s="97"/>
      <c r="AW249" s="97"/>
    </row>
    <row r="250" spans="1:49" hidden="1" x14ac:dyDescent="0.35">
      <c r="A250" s="76"/>
      <c r="B250" s="97"/>
      <c r="C250" s="97"/>
      <c r="D250" s="97"/>
      <c r="E250" s="97"/>
      <c r="F250" s="97"/>
      <c r="G250" s="97"/>
      <c r="H250" s="97"/>
      <c r="I250" s="97"/>
      <c r="J250" s="97"/>
      <c r="K250" s="97"/>
      <c r="L250" s="97"/>
      <c r="M250" s="97"/>
      <c r="AK250" s="76"/>
      <c r="AL250" s="97"/>
      <c r="AM250" s="97"/>
      <c r="AN250" s="97"/>
      <c r="AO250" s="97"/>
      <c r="AP250" s="97"/>
      <c r="AQ250" s="97"/>
      <c r="AR250" s="97"/>
      <c r="AS250" s="97"/>
      <c r="AT250" s="97"/>
      <c r="AU250" s="97"/>
      <c r="AV250" s="97"/>
      <c r="AW250" s="97"/>
    </row>
    <row r="251" spans="1:49" hidden="1" x14ac:dyDescent="0.35">
      <c r="A251" s="76"/>
      <c r="B251" s="97"/>
      <c r="C251" s="97"/>
      <c r="D251" s="97"/>
      <c r="E251" s="97"/>
      <c r="F251" s="97"/>
      <c r="G251" s="97"/>
      <c r="H251" s="97"/>
      <c r="I251" s="97"/>
      <c r="J251" s="97"/>
      <c r="K251" s="97"/>
      <c r="L251" s="97"/>
      <c r="M251" s="97"/>
      <c r="AK251" s="76"/>
      <c r="AL251" s="97"/>
      <c r="AM251" s="97"/>
      <c r="AN251" s="97"/>
      <c r="AO251" s="97"/>
      <c r="AP251" s="97"/>
      <c r="AQ251" s="97"/>
      <c r="AR251" s="97"/>
      <c r="AS251" s="97"/>
      <c r="AT251" s="97"/>
      <c r="AU251" s="97"/>
      <c r="AV251" s="97"/>
      <c r="AW251" s="97"/>
    </row>
    <row r="252" spans="1:49" hidden="1" x14ac:dyDescent="0.35">
      <c r="A252" s="76"/>
      <c r="B252" s="97"/>
      <c r="C252" s="97"/>
      <c r="D252" s="97"/>
      <c r="E252" s="97"/>
      <c r="F252" s="97"/>
      <c r="G252" s="97"/>
      <c r="H252" s="97"/>
      <c r="I252" s="97"/>
      <c r="J252" s="97"/>
      <c r="K252" s="97"/>
      <c r="L252" s="97"/>
      <c r="M252" s="97"/>
      <c r="AK252" s="76"/>
      <c r="AL252" s="124"/>
      <c r="AM252" s="124"/>
      <c r="AN252" s="124"/>
      <c r="AO252" s="124"/>
      <c r="AP252" s="124"/>
      <c r="AQ252" s="124"/>
      <c r="AR252" s="124"/>
      <c r="AS252" s="124"/>
      <c r="AT252" s="124"/>
      <c r="AU252" s="124"/>
      <c r="AV252" s="124"/>
      <c r="AW252" s="124"/>
    </row>
    <row r="253" spans="1:49" hidden="1" x14ac:dyDescent="0.35">
      <c r="A253" s="72"/>
      <c r="B253" s="121"/>
      <c r="C253" s="121"/>
      <c r="D253" s="121"/>
      <c r="E253" s="121"/>
      <c r="F253" s="121"/>
      <c r="G253" s="121"/>
      <c r="H253" s="121"/>
      <c r="I253" s="121"/>
      <c r="J253" s="121"/>
      <c r="K253" s="121"/>
      <c r="L253" s="121"/>
      <c r="M253" s="121"/>
      <c r="AK253" s="76"/>
      <c r="AL253" s="124"/>
      <c r="AM253" s="124"/>
      <c r="AN253" s="124"/>
      <c r="AO253" s="124"/>
      <c r="AP253" s="124"/>
      <c r="AQ253" s="124"/>
      <c r="AR253" s="124"/>
      <c r="AS253" s="124"/>
      <c r="AT253" s="124"/>
      <c r="AU253" s="124"/>
      <c r="AV253" s="124"/>
      <c r="AW253" s="124"/>
    </row>
    <row r="254" spans="1:49" ht="18" hidden="1" x14ac:dyDescent="0.4">
      <c r="A254" s="76"/>
      <c r="B254" s="52"/>
      <c r="C254" s="51"/>
      <c r="D254" s="52"/>
      <c r="E254" s="52"/>
      <c r="F254" s="52"/>
      <c r="G254" s="52"/>
      <c r="H254" s="52"/>
      <c r="I254" s="52"/>
      <c r="J254" s="52"/>
      <c r="K254" s="52"/>
      <c r="L254" s="52"/>
      <c r="M254" s="52"/>
      <c r="AK254" s="76"/>
      <c r="AL254" s="121"/>
      <c r="AM254" s="121"/>
      <c r="AN254" s="121"/>
      <c r="AO254" s="121"/>
      <c r="AP254" s="121"/>
      <c r="AQ254" s="121"/>
      <c r="AR254" s="121"/>
      <c r="AS254" s="121"/>
      <c r="AT254" s="121"/>
      <c r="AU254" s="121"/>
      <c r="AV254" s="121"/>
      <c r="AW254" s="121"/>
    </row>
    <row r="255" spans="1:49" ht="18" hidden="1" x14ac:dyDescent="0.4">
      <c r="A255" s="57"/>
      <c r="B255" s="100"/>
      <c r="C255" s="100"/>
      <c r="D255" s="100"/>
      <c r="E255" s="100"/>
      <c r="F255" s="100"/>
      <c r="G255" s="100"/>
      <c r="H255" s="100"/>
      <c r="I255" s="100"/>
      <c r="J255" s="100"/>
      <c r="K255" s="100"/>
      <c r="L255" s="100"/>
      <c r="M255" s="100"/>
      <c r="AK255" s="76"/>
      <c r="AL255" s="97"/>
      <c r="AM255" s="97"/>
      <c r="AN255" s="97"/>
      <c r="AO255" s="97"/>
      <c r="AP255" s="97"/>
      <c r="AQ255" s="97"/>
      <c r="AR255" s="97"/>
      <c r="AS255" s="97"/>
      <c r="AT255" s="97"/>
      <c r="AU255" s="97"/>
      <c r="AV255" s="97"/>
      <c r="AW255" s="97"/>
    </row>
    <row r="256" spans="1:49" hidden="1" x14ac:dyDescent="0.35">
      <c r="A256" s="76"/>
      <c r="B256" s="97"/>
      <c r="C256" s="97"/>
      <c r="D256" s="97"/>
      <c r="E256" s="97"/>
      <c r="F256" s="97"/>
      <c r="G256" s="97"/>
      <c r="H256" s="97"/>
      <c r="I256" s="97"/>
      <c r="J256" s="97"/>
      <c r="K256" s="97"/>
      <c r="L256" s="97"/>
      <c r="M256" s="97"/>
      <c r="AK256" s="76"/>
      <c r="AL256" s="97"/>
      <c r="AM256" s="97"/>
      <c r="AN256" s="97"/>
      <c r="AO256" s="97"/>
      <c r="AP256" s="97"/>
      <c r="AQ256" s="97"/>
      <c r="AR256" s="97"/>
      <c r="AS256" s="97"/>
      <c r="AT256" s="97"/>
      <c r="AU256" s="97"/>
      <c r="AV256" s="97"/>
      <c r="AW256" s="97"/>
    </row>
    <row r="257" spans="1:49" hidden="1" x14ac:dyDescent="0.35">
      <c r="A257" s="76"/>
      <c r="B257" s="97"/>
      <c r="C257" s="97"/>
      <c r="D257" s="97"/>
      <c r="E257" s="97"/>
      <c r="F257" s="97"/>
      <c r="G257" s="97"/>
      <c r="H257" s="97"/>
      <c r="I257" s="97"/>
      <c r="J257" s="97"/>
      <c r="K257" s="97"/>
      <c r="L257" s="97"/>
      <c r="M257" s="97"/>
      <c r="AK257" s="76"/>
      <c r="AL257" s="97"/>
      <c r="AM257" s="97"/>
      <c r="AN257" s="97"/>
      <c r="AO257" s="97"/>
      <c r="AP257" s="97"/>
      <c r="AQ257" s="97"/>
      <c r="AR257" s="97"/>
      <c r="AS257" s="97"/>
      <c r="AT257" s="97"/>
      <c r="AU257" s="97"/>
      <c r="AV257" s="97"/>
      <c r="AW257" s="97"/>
    </row>
    <row r="258" spans="1:49" hidden="1" x14ac:dyDescent="0.35">
      <c r="A258" s="76"/>
      <c r="B258" s="97"/>
      <c r="C258" s="97"/>
      <c r="D258" s="97"/>
      <c r="E258" s="97"/>
      <c r="F258" s="97"/>
      <c r="G258" s="97"/>
      <c r="H258" s="97"/>
      <c r="I258" s="97"/>
      <c r="J258" s="97"/>
      <c r="K258" s="97"/>
      <c r="L258" s="97"/>
      <c r="M258" s="97"/>
      <c r="AK258" s="72"/>
      <c r="AL258" s="121"/>
      <c r="AM258" s="121"/>
      <c r="AN258" s="121"/>
      <c r="AO258" s="121"/>
      <c r="AP258" s="121"/>
      <c r="AQ258" s="121"/>
      <c r="AR258" s="121"/>
      <c r="AS258" s="121"/>
      <c r="AT258" s="121"/>
      <c r="AU258" s="121"/>
      <c r="AV258" s="121"/>
      <c r="AW258" s="121"/>
    </row>
    <row r="259" spans="1:49" ht="18" hidden="1" x14ac:dyDescent="0.4">
      <c r="A259" s="76"/>
      <c r="B259" s="97"/>
      <c r="C259" s="97"/>
      <c r="D259" s="97"/>
      <c r="E259" s="97"/>
      <c r="F259" s="97"/>
      <c r="G259" s="97"/>
      <c r="H259" s="97"/>
      <c r="I259" s="97"/>
      <c r="J259" s="97"/>
      <c r="K259" s="97"/>
      <c r="L259" s="97"/>
      <c r="M259" s="97"/>
      <c r="AK259" s="76"/>
      <c r="AL259" s="52"/>
      <c r="AM259" s="51"/>
      <c r="AN259" s="52"/>
      <c r="AO259" s="52"/>
      <c r="AP259" s="52"/>
      <c r="AQ259" s="52"/>
      <c r="AR259" s="52"/>
      <c r="AS259" s="52"/>
      <c r="AT259" s="52"/>
      <c r="AU259" s="52"/>
      <c r="AV259" s="52"/>
      <c r="AW259" s="52"/>
    </row>
    <row r="260" spans="1:49" ht="18" hidden="1" x14ac:dyDescent="0.4">
      <c r="A260" s="76"/>
      <c r="B260" s="97"/>
      <c r="C260" s="97"/>
      <c r="D260" s="97"/>
      <c r="E260" s="97"/>
      <c r="F260" s="97"/>
      <c r="G260" s="97"/>
      <c r="H260" s="97"/>
      <c r="I260" s="97"/>
      <c r="J260" s="97"/>
      <c r="K260" s="97"/>
      <c r="L260" s="97"/>
      <c r="M260" s="97"/>
      <c r="AK260" s="57"/>
      <c r="AL260" s="100"/>
      <c r="AM260" s="100"/>
      <c r="AN260" s="100"/>
      <c r="AO260" s="100"/>
      <c r="AP260" s="100"/>
      <c r="AQ260" s="100"/>
      <c r="AR260" s="100"/>
      <c r="AS260" s="100"/>
      <c r="AT260" s="100"/>
      <c r="AU260" s="100"/>
      <c r="AV260" s="100"/>
      <c r="AW260" s="100"/>
    </row>
    <row r="261" spans="1:49" hidden="1" x14ac:dyDescent="0.35">
      <c r="A261" s="76"/>
      <c r="B261" s="97"/>
      <c r="C261" s="97"/>
      <c r="D261" s="97"/>
      <c r="E261" s="97"/>
      <c r="F261" s="97"/>
      <c r="G261" s="97"/>
      <c r="H261" s="97"/>
      <c r="I261" s="97"/>
      <c r="J261" s="97"/>
      <c r="K261" s="97"/>
      <c r="L261" s="97"/>
      <c r="M261" s="97"/>
      <c r="AK261" s="76"/>
      <c r="AL261" s="97"/>
      <c r="AM261" s="97"/>
      <c r="AN261" s="97"/>
      <c r="AO261" s="97"/>
      <c r="AP261" s="97"/>
      <c r="AQ261" s="97"/>
      <c r="AR261" s="97"/>
      <c r="AS261" s="97"/>
      <c r="AT261" s="97"/>
      <c r="AU261" s="97"/>
      <c r="AV261" s="97"/>
      <c r="AW261" s="97"/>
    </row>
    <row r="262" spans="1:49" hidden="1" x14ac:dyDescent="0.35">
      <c r="A262" s="76"/>
      <c r="B262" s="124"/>
      <c r="C262" s="124"/>
      <c r="D262" s="124"/>
      <c r="E262" s="124"/>
      <c r="F262" s="124"/>
      <c r="G262" s="124"/>
      <c r="H262" s="124"/>
      <c r="I262" s="124"/>
      <c r="J262" s="124"/>
      <c r="K262" s="124"/>
      <c r="L262" s="124"/>
      <c r="M262" s="124"/>
      <c r="AK262" s="76"/>
      <c r="AL262" s="97"/>
      <c r="AM262" s="97"/>
      <c r="AN262" s="97"/>
      <c r="AO262" s="97"/>
      <c r="AP262" s="97"/>
      <c r="AQ262" s="97"/>
      <c r="AR262" s="97"/>
      <c r="AS262" s="97"/>
      <c r="AT262" s="97"/>
      <c r="AU262" s="97"/>
      <c r="AV262" s="97"/>
      <c r="AW262" s="97"/>
    </row>
    <row r="263" spans="1:49" hidden="1" x14ac:dyDescent="0.35">
      <c r="A263" s="76"/>
      <c r="B263" s="124"/>
      <c r="C263" s="124"/>
      <c r="D263" s="124"/>
      <c r="E263" s="124"/>
      <c r="F263" s="124"/>
      <c r="G263" s="124"/>
      <c r="H263" s="124"/>
      <c r="I263" s="124"/>
      <c r="J263" s="124"/>
      <c r="K263" s="124"/>
      <c r="L263" s="124"/>
      <c r="M263" s="124"/>
      <c r="AK263" s="76"/>
      <c r="AL263" s="97"/>
      <c r="AM263" s="97"/>
      <c r="AN263" s="97"/>
      <c r="AO263" s="97"/>
      <c r="AP263" s="97"/>
      <c r="AQ263" s="97"/>
      <c r="AR263" s="97"/>
      <c r="AS263" s="97"/>
      <c r="AT263" s="97"/>
      <c r="AU263" s="97"/>
      <c r="AV263" s="97"/>
      <c r="AW263" s="97"/>
    </row>
    <row r="264" spans="1:49" hidden="1" x14ac:dyDescent="0.35">
      <c r="A264" s="76"/>
      <c r="B264" s="121"/>
      <c r="C264" s="121"/>
      <c r="D264" s="121"/>
      <c r="E264" s="121"/>
      <c r="F264" s="121"/>
      <c r="G264" s="121"/>
      <c r="H264" s="121"/>
      <c r="I264" s="121"/>
      <c r="J264" s="121"/>
      <c r="K264" s="121"/>
      <c r="L264" s="121"/>
      <c r="M264" s="121"/>
      <c r="AK264" s="76"/>
      <c r="AL264" s="97"/>
      <c r="AM264" s="97"/>
      <c r="AN264" s="97"/>
      <c r="AO264" s="97"/>
      <c r="AP264" s="97"/>
      <c r="AQ264" s="97"/>
      <c r="AR264" s="97"/>
      <c r="AS264" s="97"/>
      <c r="AT264" s="97"/>
      <c r="AU264" s="97"/>
      <c r="AV264" s="97"/>
      <c r="AW264" s="97"/>
    </row>
    <row r="265" spans="1:49" hidden="1" x14ac:dyDescent="0.35">
      <c r="A265" s="76"/>
      <c r="B265" s="97"/>
      <c r="C265" s="97"/>
      <c r="D265" s="97"/>
      <c r="E265" s="97"/>
      <c r="F265" s="97"/>
      <c r="G265" s="97"/>
      <c r="H265" s="97"/>
      <c r="I265" s="97"/>
      <c r="J265" s="97"/>
      <c r="K265" s="97"/>
      <c r="L265" s="97"/>
      <c r="M265" s="97"/>
      <c r="AK265" s="76"/>
      <c r="AL265" s="97"/>
      <c r="AM265" s="97"/>
      <c r="AN265" s="97"/>
      <c r="AO265" s="97"/>
      <c r="AP265" s="97"/>
      <c r="AQ265" s="97"/>
      <c r="AR265" s="97"/>
      <c r="AS265" s="97"/>
      <c r="AT265" s="97"/>
      <c r="AU265" s="97"/>
      <c r="AV265" s="97"/>
      <c r="AW265" s="97"/>
    </row>
    <row r="266" spans="1:49" hidden="1" x14ac:dyDescent="0.35">
      <c r="A266" s="76"/>
      <c r="B266" s="97"/>
      <c r="C266" s="97"/>
      <c r="D266" s="97"/>
      <c r="E266" s="97"/>
      <c r="F266" s="97"/>
      <c r="G266" s="97"/>
      <c r="H266" s="97"/>
      <c r="I266" s="97"/>
      <c r="J266" s="97"/>
      <c r="K266" s="97"/>
      <c r="L266" s="97"/>
      <c r="M266" s="97"/>
      <c r="AK266" s="76"/>
      <c r="AL266" s="97"/>
      <c r="AM266" s="97"/>
      <c r="AN266" s="97"/>
      <c r="AO266" s="97"/>
      <c r="AP266" s="97"/>
      <c r="AQ266" s="97"/>
      <c r="AR266" s="97"/>
      <c r="AS266" s="97"/>
      <c r="AT266" s="97"/>
      <c r="AU266" s="97"/>
      <c r="AV266" s="97"/>
      <c r="AW266" s="97"/>
    </row>
    <row r="267" spans="1:49" hidden="1" x14ac:dyDescent="0.35">
      <c r="A267" s="76"/>
      <c r="B267" s="97"/>
      <c r="C267" s="97"/>
      <c r="D267" s="97"/>
      <c r="E267" s="97"/>
      <c r="F267" s="97"/>
      <c r="G267" s="97"/>
      <c r="H267" s="97"/>
      <c r="I267" s="97"/>
      <c r="J267" s="97"/>
      <c r="K267" s="97"/>
      <c r="L267" s="97"/>
      <c r="M267" s="97"/>
      <c r="AK267" s="76"/>
      <c r="AL267" s="124"/>
      <c r="AM267" s="124"/>
      <c r="AN267" s="124"/>
      <c r="AO267" s="124"/>
      <c r="AP267" s="124"/>
      <c r="AQ267" s="124"/>
      <c r="AR267" s="124"/>
      <c r="AS267" s="124"/>
      <c r="AT267" s="124"/>
      <c r="AU267" s="124"/>
      <c r="AV267" s="124"/>
      <c r="AW267" s="124"/>
    </row>
    <row r="268" spans="1:49" hidden="1" x14ac:dyDescent="0.35">
      <c r="A268" s="72"/>
      <c r="B268" s="121"/>
      <c r="C268" s="121"/>
      <c r="D268" s="121"/>
      <c r="E268" s="121"/>
      <c r="F268" s="121"/>
      <c r="G268" s="121"/>
      <c r="H268" s="121"/>
      <c r="I268" s="121"/>
      <c r="J268" s="121"/>
      <c r="K268" s="121"/>
      <c r="L268" s="121"/>
      <c r="M268" s="121"/>
      <c r="AK268" s="76"/>
      <c r="AL268" s="124"/>
      <c r="AM268" s="124"/>
      <c r="AN268" s="124"/>
      <c r="AO268" s="124"/>
      <c r="AP268" s="124"/>
      <c r="AQ268" s="124"/>
      <c r="AR268" s="124"/>
      <c r="AS268" s="124"/>
      <c r="AT268" s="124"/>
      <c r="AU268" s="124"/>
      <c r="AV268" s="124"/>
      <c r="AW268" s="124"/>
    </row>
    <row r="269" spans="1:49" ht="18" hidden="1" x14ac:dyDescent="0.4">
      <c r="A269" s="76"/>
      <c r="B269" s="52"/>
      <c r="C269" s="51"/>
      <c r="D269" s="52"/>
      <c r="E269" s="52"/>
      <c r="F269" s="52"/>
      <c r="G269" s="52"/>
      <c r="H269" s="52"/>
      <c r="I269" s="52"/>
      <c r="J269" s="52"/>
      <c r="K269" s="52"/>
      <c r="L269" s="52"/>
      <c r="M269" s="52"/>
      <c r="AK269" s="76"/>
      <c r="AL269" s="121"/>
      <c r="AM269" s="121"/>
      <c r="AN269" s="121"/>
      <c r="AO269" s="121"/>
      <c r="AP269" s="121"/>
      <c r="AQ269" s="121"/>
      <c r="AR269" s="121"/>
      <c r="AS269" s="121"/>
      <c r="AT269" s="121"/>
      <c r="AU269" s="121"/>
      <c r="AV269" s="121"/>
      <c r="AW269" s="121"/>
    </row>
    <row r="270" spans="1:49" ht="18" hidden="1" x14ac:dyDescent="0.4">
      <c r="A270" s="57"/>
      <c r="B270" s="100"/>
      <c r="C270" s="100"/>
      <c r="D270" s="100"/>
      <c r="E270" s="100"/>
      <c r="F270" s="100"/>
      <c r="G270" s="100"/>
      <c r="H270" s="100"/>
      <c r="I270" s="100"/>
      <c r="J270" s="100"/>
      <c r="K270" s="100"/>
      <c r="L270" s="100"/>
      <c r="M270" s="100"/>
      <c r="AK270" s="76"/>
      <c r="AL270" s="97"/>
      <c r="AM270" s="97"/>
      <c r="AN270" s="97"/>
      <c r="AO270" s="97"/>
      <c r="AP270" s="97"/>
      <c r="AQ270" s="97"/>
      <c r="AR270" s="97"/>
      <c r="AS270" s="97"/>
      <c r="AT270" s="97"/>
      <c r="AU270" s="97"/>
      <c r="AV270" s="97"/>
      <c r="AW270" s="97"/>
    </row>
    <row r="271" spans="1:49" hidden="1" x14ac:dyDescent="0.35">
      <c r="A271" s="76"/>
      <c r="B271" s="97"/>
      <c r="C271" s="97"/>
      <c r="D271" s="97"/>
      <c r="E271" s="97"/>
      <c r="F271" s="97"/>
      <c r="G271" s="97"/>
      <c r="H271" s="97"/>
      <c r="I271" s="97"/>
      <c r="J271" s="97"/>
      <c r="K271" s="97"/>
      <c r="L271" s="97"/>
      <c r="M271" s="97"/>
      <c r="AK271" s="76"/>
      <c r="AL271" s="97"/>
      <c r="AM271" s="97"/>
      <c r="AN271" s="97"/>
      <c r="AO271" s="97"/>
      <c r="AP271" s="97"/>
      <c r="AQ271" s="97"/>
      <c r="AR271" s="97"/>
      <c r="AS271" s="97"/>
      <c r="AT271" s="97"/>
      <c r="AU271" s="97"/>
      <c r="AV271" s="97"/>
      <c r="AW271" s="97"/>
    </row>
    <row r="272" spans="1:49" hidden="1" x14ac:dyDescent="0.35">
      <c r="A272" s="76"/>
      <c r="B272" s="97"/>
      <c r="C272" s="97"/>
      <c r="D272" s="97"/>
      <c r="E272" s="97"/>
      <c r="F272" s="97"/>
      <c r="G272" s="97"/>
      <c r="H272" s="97"/>
      <c r="I272" s="97"/>
      <c r="J272" s="97"/>
      <c r="K272" s="97"/>
      <c r="L272" s="97"/>
      <c r="M272" s="97"/>
      <c r="AK272" s="76"/>
      <c r="AL272" s="97"/>
      <c r="AM272" s="97"/>
      <c r="AN272" s="97"/>
      <c r="AO272" s="97"/>
      <c r="AP272" s="97"/>
      <c r="AQ272" s="97"/>
      <c r="AR272" s="97"/>
      <c r="AS272" s="97"/>
      <c r="AT272" s="97"/>
      <c r="AU272" s="97"/>
      <c r="AV272" s="97"/>
      <c r="AW272" s="97"/>
    </row>
    <row r="273" spans="1:49" hidden="1" x14ac:dyDescent="0.35">
      <c r="A273" s="76"/>
      <c r="B273" s="97"/>
      <c r="C273" s="97"/>
      <c r="D273" s="97"/>
      <c r="E273" s="97"/>
      <c r="F273" s="97"/>
      <c r="G273" s="97"/>
      <c r="H273" s="97"/>
      <c r="I273" s="97"/>
      <c r="J273" s="97"/>
      <c r="K273" s="97"/>
      <c r="L273" s="97"/>
      <c r="M273" s="97"/>
      <c r="AK273" s="72"/>
      <c r="AL273" s="121"/>
      <c r="AM273" s="121"/>
      <c r="AN273" s="121"/>
      <c r="AO273" s="121"/>
      <c r="AP273" s="121"/>
      <c r="AQ273" s="121"/>
      <c r="AR273" s="121"/>
      <c r="AS273" s="121"/>
      <c r="AT273" s="121"/>
      <c r="AU273" s="121"/>
      <c r="AV273" s="121"/>
      <c r="AW273" s="121"/>
    </row>
    <row r="274" spans="1:49" ht="18" hidden="1" x14ac:dyDescent="0.4">
      <c r="A274" s="76"/>
      <c r="B274" s="97"/>
      <c r="C274" s="97"/>
      <c r="D274" s="97"/>
      <c r="E274" s="97"/>
      <c r="F274" s="97"/>
      <c r="G274" s="97"/>
      <c r="H274" s="97"/>
      <c r="I274" s="97"/>
      <c r="J274" s="97"/>
      <c r="K274" s="97"/>
      <c r="L274" s="97"/>
      <c r="M274" s="97"/>
      <c r="AK274" s="76"/>
      <c r="AL274" s="52"/>
      <c r="AM274" s="51"/>
      <c r="AN274" s="52"/>
      <c r="AO274" s="52"/>
      <c r="AP274" s="52"/>
      <c r="AQ274" s="52"/>
      <c r="AR274" s="52"/>
      <c r="AS274" s="52"/>
      <c r="AT274" s="52"/>
      <c r="AU274" s="52"/>
      <c r="AV274" s="52"/>
      <c r="AW274" s="52"/>
    </row>
    <row r="275" spans="1:49" ht="18" hidden="1" x14ac:dyDescent="0.4">
      <c r="A275" s="76"/>
      <c r="B275" s="97"/>
      <c r="C275" s="97"/>
      <c r="D275" s="97"/>
      <c r="E275" s="97"/>
      <c r="F275" s="97"/>
      <c r="G275" s="97"/>
      <c r="H275" s="97"/>
      <c r="I275" s="97"/>
      <c r="J275" s="97"/>
      <c r="K275" s="97"/>
      <c r="L275" s="97"/>
      <c r="M275" s="97"/>
      <c r="AK275" s="57"/>
      <c r="AL275" s="100"/>
      <c r="AM275" s="100"/>
      <c r="AN275" s="100"/>
      <c r="AO275" s="100"/>
      <c r="AP275" s="100"/>
      <c r="AQ275" s="100"/>
      <c r="AR275" s="100"/>
      <c r="AS275" s="100"/>
      <c r="AT275" s="100"/>
      <c r="AU275" s="100"/>
      <c r="AV275" s="100"/>
      <c r="AW275" s="100"/>
    </row>
    <row r="276" spans="1:49" hidden="1" x14ac:dyDescent="0.35">
      <c r="A276" s="76"/>
      <c r="B276" s="97"/>
      <c r="C276" s="97"/>
      <c r="D276" s="97"/>
      <c r="E276" s="97"/>
      <c r="F276" s="97"/>
      <c r="G276" s="97"/>
      <c r="H276" s="97"/>
      <c r="I276" s="97"/>
      <c r="J276" s="97"/>
      <c r="K276" s="97"/>
      <c r="L276" s="97"/>
      <c r="M276" s="97"/>
      <c r="AK276" s="76"/>
      <c r="AL276" s="97"/>
      <c r="AM276" s="97"/>
      <c r="AN276" s="97"/>
      <c r="AO276" s="97"/>
      <c r="AP276" s="97"/>
      <c r="AQ276" s="97"/>
      <c r="AR276" s="97"/>
      <c r="AS276" s="97"/>
      <c r="AT276" s="97"/>
      <c r="AU276" s="97"/>
      <c r="AV276" s="97"/>
      <c r="AW276" s="97"/>
    </row>
    <row r="277" spans="1:49" hidden="1" x14ac:dyDescent="0.35">
      <c r="A277" s="76"/>
      <c r="B277" s="124"/>
      <c r="C277" s="124"/>
      <c r="D277" s="124"/>
      <c r="E277" s="124"/>
      <c r="F277" s="124"/>
      <c r="G277" s="124"/>
      <c r="H277" s="124"/>
      <c r="I277" s="124"/>
      <c r="J277" s="124"/>
      <c r="K277" s="124"/>
      <c r="L277" s="124"/>
      <c r="M277" s="124"/>
      <c r="AK277" s="76"/>
      <c r="AL277" s="97"/>
      <c r="AM277" s="97"/>
      <c r="AN277" s="97"/>
      <c r="AO277" s="97"/>
      <c r="AP277" s="97"/>
      <c r="AQ277" s="97"/>
      <c r="AR277" s="97"/>
      <c r="AS277" s="97"/>
      <c r="AT277" s="97"/>
      <c r="AU277" s="97"/>
      <c r="AV277" s="97"/>
      <c r="AW277" s="97"/>
    </row>
    <row r="278" spans="1:49" hidden="1" x14ac:dyDescent="0.35">
      <c r="A278" s="76"/>
      <c r="B278" s="124"/>
      <c r="C278" s="124"/>
      <c r="D278" s="124"/>
      <c r="E278" s="124"/>
      <c r="F278" s="124"/>
      <c r="G278" s="124"/>
      <c r="H278" s="124"/>
      <c r="I278" s="124"/>
      <c r="J278" s="124"/>
      <c r="K278" s="124"/>
      <c r="L278" s="124"/>
      <c r="M278" s="124"/>
      <c r="AK278" s="76"/>
      <c r="AL278" s="97"/>
      <c r="AM278" s="97"/>
      <c r="AN278" s="97"/>
      <c r="AO278" s="97"/>
      <c r="AP278" s="97"/>
      <c r="AQ278" s="97"/>
      <c r="AR278" s="97"/>
      <c r="AS278" s="97"/>
      <c r="AT278" s="97"/>
      <c r="AU278" s="97"/>
      <c r="AV278" s="97"/>
      <c r="AW278" s="97"/>
    </row>
    <row r="279" spans="1:49" hidden="1" x14ac:dyDescent="0.35">
      <c r="A279" s="76"/>
      <c r="B279" s="121"/>
      <c r="C279" s="121"/>
      <c r="D279" s="121"/>
      <c r="E279" s="121"/>
      <c r="F279" s="121"/>
      <c r="G279" s="121"/>
      <c r="H279" s="121"/>
      <c r="I279" s="121"/>
      <c r="J279" s="121"/>
      <c r="K279" s="121"/>
      <c r="L279" s="121"/>
      <c r="M279" s="121"/>
      <c r="AK279" s="76"/>
      <c r="AL279" s="97"/>
      <c r="AM279" s="97"/>
      <c r="AN279" s="97"/>
      <c r="AO279" s="97"/>
      <c r="AP279" s="97"/>
      <c r="AQ279" s="97"/>
      <c r="AR279" s="97"/>
      <c r="AS279" s="97"/>
      <c r="AT279" s="97"/>
      <c r="AU279" s="97"/>
      <c r="AV279" s="97"/>
      <c r="AW279" s="97"/>
    </row>
    <row r="280" spans="1:49" hidden="1" x14ac:dyDescent="0.35">
      <c r="A280" s="76"/>
      <c r="B280" s="97"/>
      <c r="C280" s="97"/>
      <c r="D280" s="97"/>
      <c r="E280" s="97"/>
      <c r="F280" s="97"/>
      <c r="G280" s="97"/>
      <c r="H280" s="97"/>
      <c r="I280" s="97"/>
      <c r="J280" s="97"/>
      <c r="K280" s="97"/>
      <c r="L280" s="97"/>
      <c r="M280" s="97"/>
      <c r="AK280" s="76"/>
      <c r="AL280" s="97"/>
      <c r="AM280" s="97"/>
      <c r="AN280" s="97"/>
      <c r="AO280" s="97"/>
      <c r="AP280" s="97"/>
      <c r="AQ280" s="97"/>
      <c r="AR280" s="97"/>
      <c r="AS280" s="97"/>
      <c r="AT280" s="97"/>
      <c r="AU280" s="97"/>
      <c r="AV280" s="97"/>
      <c r="AW280" s="97"/>
    </row>
    <row r="281" spans="1:49" hidden="1" x14ac:dyDescent="0.35">
      <c r="A281" s="76"/>
      <c r="B281" s="97"/>
      <c r="C281" s="97"/>
      <c r="D281" s="97"/>
      <c r="E281" s="97"/>
      <c r="F281" s="97"/>
      <c r="G281" s="97"/>
      <c r="H281" s="97"/>
      <c r="I281" s="97"/>
      <c r="J281" s="97"/>
      <c r="K281" s="97"/>
      <c r="L281" s="97"/>
      <c r="M281" s="97"/>
      <c r="AK281" s="76"/>
      <c r="AL281" s="97"/>
      <c r="AM281" s="97"/>
      <c r="AN281" s="97"/>
      <c r="AO281" s="97"/>
      <c r="AP281" s="97"/>
      <c r="AQ281" s="97"/>
      <c r="AR281" s="97"/>
      <c r="AS281" s="97"/>
      <c r="AT281" s="97"/>
      <c r="AU281" s="97"/>
      <c r="AV281" s="97"/>
      <c r="AW281" s="97"/>
    </row>
    <row r="282" spans="1:49" hidden="1" x14ac:dyDescent="0.35">
      <c r="A282" s="76"/>
      <c r="B282" s="97"/>
      <c r="C282" s="97"/>
      <c r="D282" s="97"/>
      <c r="E282" s="97"/>
      <c r="F282" s="97"/>
      <c r="G282" s="97"/>
      <c r="H282" s="97"/>
      <c r="I282" s="97"/>
      <c r="J282" s="97"/>
      <c r="K282" s="97"/>
      <c r="L282" s="97"/>
      <c r="M282" s="97"/>
      <c r="AK282" s="76"/>
      <c r="AL282" s="124"/>
      <c r="AM282" s="124"/>
      <c r="AN282" s="124"/>
      <c r="AO282" s="124"/>
      <c r="AP282" s="124"/>
      <c r="AQ282" s="124"/>
      <c r="AR282" s="124"/>
      <c r="AS282" s="124"/>
      <c r="AT282" s="124"/>
      <c r="AU282" s="124"/>
      <c r="AV282" s="124"/>
      <c r="AW282" s="124"/>
    </row>
    <row r="283" spans="1:49" ht="18" hidden="1" x14ac:dyDescent="0.4">
      <c r="A283" s="72"/>
      <c r="B283" s="127"/>
      <c r="C283" s="121"/>
      <c r="D283" s="121"/>
      <c r="E283" s="121"/>
      <c r="F283" s="121"/>
      <c r="G283" s="121"/>
      <c r="H283" s="121"/>
      <c r="I283" s="121"/>
      <c r="J283" s="121"/>
      <c r="K283" s="121"/>
      <c r="L283" s="121"/>
      <c r="M283" s="121"/>
      <c r="AK283" s="76"/>
      <c r="AL283" s="124"/>
      <c r="AM283" s="124"/>
      <c r="AN283" s="124"/>
      <c r="AO283" s="124"/>
      <c r="AP283" s="124"/>
      <c r="AQ283" s="124"/>
      <c r="AR283" s="124"/>
      <c r="AS283" s="124"/>
      <c r="AT283" s="124"/>
      <c r="AU283" s="124"/>
      <c r="AV283" s="124"/>
      <c r="AW283" s="124"/>
    </row>
    <row r="284" spans="1:49" ht="18" hidden="1" x14ac:dyDescent="0.4">
      <c r="A284" s="76"/>
      <c r="B284" s="52"/>
      <c r="C284" s="51"/>
      <c r="D284" s="52"/>
      <c r="E284" s="52"/>
      <c r="F284" s="52"/>
      <c r="G284" s="52"/>
      <c r="H284" s="52"/>
      <c r="I284" s="52"/>
      <c r="J284" s="52"/>
      <c r="K284" s="52"/>
      <c r="L284" s="52"/>
      <c r="M284" s="52"/>
      <c r="AK284" s="76"/>
      <c r="AL284" s="121"/>
      <c r="AM284" s="121"/>
      <c r="AN284" s="121"/>
      <c r="AO284" s="121"/>
      <c r="AP284" s="121"/>
      <c r="AQ284" s="121"/>
      <c r="AR284" s="121"/>
      <c r="AS284" s="121"/>
      <c r="AT284" s="121"/>
      <c r="AU284" s="121"/>
      <c r="AV284" s="121"/>
      <c r="AW284" s="121"/>
    </row>
    <row r="285" spans="1:49" ht="18" hidden="1" x14ac:dyDescent="0.4">
      <c r="A285" s="57"/>
      <c r="B285" s="100"/>
      <c r="C285" s="100"/>
      <c r="D285" s="100"/>
      <c r="E285" s="100"/>
      <c r="F285" s="100"/>
      <c r="G285" s="100"/>
      <c r="H285" s="100"/>
      <c r="I285" s="100"/>
      <c r="J285" s="100"/>
      <c r="K285" s="100"/>
      <c r="L285" s="100"/>
      <c r="M285" s="100"/>
      <c r="AK285" s="76"/>
      <c r="AL285" s="97"/>
      <c r="AM285" s="97"/>
      <c r="AN285" s="97"/>
      <c r="AO285" s="97"/>
      <c r="AP285" s="97"/>
      <c r="AQ285" s="97"/>
      <c r="AR285" s="97"/>
      <c r="AS285" s="97"/>
      <c r="AT285" s="97"/>
      <c r="AU285" s="97"/>
      <c r="AV285" s="97"/>
      <c r="AW285" s="97"/>
    </row>
    <row r="286" spans="1:49" hidden="1" x14ac:dyDescent="0.35">
      <c r="A286" s="76"/>
      <c r="B286" s="97"/>
      <c r="C286" s="97"/>
      <c r="D286" s="97"/>
      <c r="E286" s="97"/>
      <c r="F286" s="97"/>
      <c r="G286" s="97"/>
      <c r="H286" s="97"/>
      <c r="I286" s="97"/>
      <c r="J286" s="97"/>
      <c r="K286" s="97"/>
      <c r="L286" s="97"/>
      <c r="M286" s="97"/>
      <c r="AK286" s="76"/>
      <c r="AL286" s="97"/>
      <c r="AM286" s="97"/>
      <c r="AN286" s="97"/>
      <c r="AO286" s="97"/>
      <c r="AP286" s="97"/>
      <c r="AQ286" s="97"/>
      <c r="AR286" s="97"/>
      <c r="AS286" s="97"/>
      <c r="AT286" s="97"/>
      <c r="AU286" s="97"/>
      <c r="AV286" s="97"/>
      <c r="AW286" s="97"/>
    </row>
    <row r="287" spans="1:49" hidden="1" x14ac:dyDescent="0.35">
      <c r="A287" s="76"/>
      <c r="B287" s="97"/>
      <c r="C287" s="97"/>
      <c r="D287" s="97"/>
      <c r="E287" s="97"/>
      <c r="F287" s="97"/>
      <c r="G287" s="97"/>
      <c r="H287" s="97"/>
      <c r="I287" s="97"/>
      <c r="J287" s="97"/>
      <c r="K287" s="97"/>
      <c r="L287" s="97"/>
      <c r="M287" s="97"/>
      <c r="AK287" s="76"/>
      <c r="AL287" s="97"/>
      <c r="AM287" s="97"/>
      <c r="AN287" s="97"/>
      <c r="AO287" s="97"/>
      <c r="AP287" s="97"/>
      <c r="AQ287" s="97"/>
      <c r="AR287" s="97"/>
      <c r="AS287" s="97"/>
      <c r="AT287" s="97"/>
      <c r="AU287" s="97"/>
      <c r="AV287" s="97"/>
      <c r="AW287" s="97"/>
    </row>
    <row r="288" spans="1:49" ht="18" hidden="1" x14ac:dyDescent="0.4">
      <c r="A288" s="76"/>
      <c r="B288" s="97"/>
      <c r="C288" s="97"/>
      <c r="D288" s="97"/>
      <c r="E288" s="97"/>
      <c r="F288" s="97"/>
      <c r="G288" s="97"/>
      <c r="H288" s="97"/>
      <c r="I288" s="97"/>
      <c r="J288" s="97"/>
      <c r="K288" s="97"/>
      <c r="L288" s="97"/>
      <c r="M288" s="97"/>
      <c r="AK288" s="72"/>
      <c r="AL288" s="127"/>
      <c r="AM288" s="121"/>
      <c r="AN288" s="121"/>
      <c r="AO288" s="121"/>
      <c r="AP288" s="121"/>
      <c r="AQ288" s="121"/>
      <c r="AR288" s="121"/>
      <c r="AS288" s="121"/>
      <c r="AT288" s="121"/>
      <c r="AU288" s="121"/>
      <c r="AV288" s="121"/>
      <c r="AW288" s="121"/>
    </row>
    <row r="289" spans="1:49" ht="18" hidden="1" x14ac:dyDescent="0.4">
      <c r="A289" s="76"/>
      <c r="B289" s="97"/>
      <c r="C289" s="97"/>
      <c r="D289" s="97"/>
      <c r="E289" s="97"/>
      <c r="F289" s="97"/>
      <c r="G289" s="97"/>
      <c r="H289" s="97"/>
      <c r="I289" s="97"/>
      <c r="J289" s="97"/>
      <c r="K289" s="97"/>
      <c r="L289" s="97"/>
      <c r="M289" s="97"/>
      <c r="AK289" s="76"/>
      <c r="AL289" s="52"/>
      <c r="AM289" s="51"/>
      <c r="AN289" s="52"/>
      <c r="AO289" s="52"/>
      <c r="AP289" s="52"/>
      <c r="AQ289" s="52"/>
      <c r="AR289" s="52"/>
      <c r="AS289" s="52"/>
      <c r="AT289" s="52"/>
      <c r="AU289" s="52"/>
      <c r="AV289" s="52"/>
      <c r="AW289" s="52"/>
    </row>
    <row r="290" spans="1:49" ht="18" hidden="1" x14ac:dyDescent="0.4">
      <c r="A290" s="76"/>
      <c r="B290" s="97"/>
      <c r="C290" s="97"/>
      <c r="D290" s="97"/>
      <c r="E290" s="97"/>
      <c r="F290" s="97"/>
      <c r="G290" s="97"/>
      <c r="H290" s="97"/>
      <c r="I290" s="97"/>
      <c r="J290" s="97"/>
      <c r="K290" s="97"/>
      <c r="L290" s="97"/>
      <c r="M290" s="97"/>
      <c r="AK290" s="57"/>
      <c r="AL290" s="100"/>
      <c r="AM290" s="100"/>
      <c r="AN290" s="100"/>
      <c r="AO290" s="100"/>
      <c r="AP290" s="100"/>
      <c r="AQ290" s="100"/>
      <c r="AR290" s="100"/>
      <c r="AS290" s="100"/>
      <c r="AT290" s="100"/>
      <c r="AU290" s="100"/>
      <c r="AV290" s="100"/>
      <c r="AW290" s="100"/>
    </row>
    <row r="291" spans="1:49" hidden="1" x14ac:dyDescent="0.35">
      <c r="A291" s="76"/>
      <c r="B291" s="97"/>
      <c r="C291" s="97"/>
      <c r="D291" s="97"/>
      <c r="E291" s="97"/>
      <c r="F291" s="97"/>
      <c r="G291" s="97"/>
      <c r="H291" s="97"/>
      <c r="I291" s="97"/>
      <c r="J291" s="97"/>
      <c r="K291" s="97"/>
      <c r="L291" s="97"/>
      <c r="M291" s="97"/>
      <c r="AK291" s="76"/>
      <c r="AL291" s="97"/>
      <c r="AM291" s="97"/>
      <c r="AN291" s="97"/>
      <c r="AO291" s="97"/>
      <c r="AP291" s="97"/>
      <c r="AQ291" s="97"/>
      <c r="AR291" s="97"/>
      <c r="AS291" s="97"/>
      <c r="AT291" s="97"/>
      <c r="AU291" s="97"/>
      <c r="AV291" s="97"/>
      <c r="AW291" s="97"/>
    </row>
    <row r="292" spans="1:49" hidden="1" x14ac:dyDescent="0.35">
      <c r="A292" s="76"/>
      <c r="B292" s="124"/>
      <c r="C292" s="124"/>
      <c r="D292" s="124"/>
      <c r="E292" s="124"/>
      <c r="F292" s="124"/>
      <c r="G292" s="124"/>
      <c r="H292" s="124"/>
      <c r="I292" s="124"/>
      <c r="J292" s="124"/>
      <c r="K292" s="124"/>
      <c r="L292" s="124"/>
      <c r="M292" s="124"/>
      <c r="AK292" s="76"/>
      <c r="AL292" s="97"/>
      <c r="AM292" s="97"/>
      <c r="AN292" s="97"/>
      <c r="AO292" s="97"/>
      <c r="AP292" s="97"/>
      <c r="AQ292" s="97"/>
      <c r="AR292" s="97"/>
      <c r="AS292" s="97"/>
      <c r="AT292" s="97"/>
      <c r="AU292" s="97"/>
      <c r="AV292" s="97"/>
      <c r="AW292" s="97"/>
    </row>
    <row r="293" spans="1:49" hidden="1" x14ac:dyDescent="0.35">
      <c r="A293" s="76"/>
      <c r="B293" s="124"/>
      <c r="C293" s="124"/>
      <c r="D293" s="124"/>
      <c r="E293" s="124"/>
      <c r="F293" s="124"/>
      <c r="G293" s="124"/>
      <c r="H293" s="124"/>
      <c r="I293" s="124"/>
      <c r="J293" s="124"/>
      <c r="K293" s="124"/>
      <c r="L293" s="124"/>
      <c r="M293" s="124"/>
      <c r="AK293" s="76"/>
      <c r="AL293" s="97"/>
      <c r="AM293" s="97"/>
      <c r="AN293" s="97"/>
      <c r="AO293" s="97"/>
      <c r="AP293" s="97"/>
      <c r="AQ293" s="97"/>
      <c r="AR293" s="97"/>
      <c r="AS293" s="97"/>
      <c r="AT293" s="97"/>
      <c r="AU293" s="97"/>
      <c r="AV293" s="97"/>
      <c r="AW293" s="97"/>
    </row>
    <row r="294" spans="1:49" hidden="1" x14ac:dyDescent="0.35">
      <c r="A294" s="76"/>
      <c r="B294" s="121"/>
      <c r="C294" s="121"/>
      <c r="D294" s="121"/>
      <c r="E294" s="121"/>
      <c r="F294" s="121"/>
      <c r="G294" s="121"/>
      <c r="H294" s="121"/>
      <c r="I294" s="121"/>
      <c r="J294" s="121"/>
      <c r="K294" s="121"/>
      <c r="L294" s="121"/>
      <c r="M294" s="121"/>
      <c r="AK294" s="76"/>
      <c r="AL294" s="97"/>
      <c r="AM294" s="97"/>
      <c r="AN294" s="97"/>
      <c r="AO294" s="97"/>
      <c r="AP294" s="97"/>
      <c r="AQ294" s="97"/>
      <c r="AR294" s="97"/>
      <c r="AS294" s="97"/>
      <c r="AT294" s="97"/>
      <c r="AU294" s="97"/>
      <c r="AV294" s="97"/>
      <c r="AW294" s="97"/>
    </row>
    <row r="295" spans="1:49" hidden="1" x14ac:dyDescent="0.35">
      <c r="A295" s="76"/>
      <c r="B295" s="97"/>
      <c r="C295" s="97"/>
      <c r="D295" s="97"/>
      <c r="E295" s="97"/>
      <c r="F295" s="97"/>
      <c r="G295" s="97"/>
      <c r="H295" s="97"/>
      <c r="I295" s="97"/>
      <c r="J295" s="97"/>
      <c r="K295" s="97"/>
      <c r="L295" s="97"/>
      <c r="M295" s="97"/>
      <c r="AK295" s="76"/>
      <c r="AL295" s="97"/>
      <c r="AM295" s="97"/>
      <c r="AN295" s="97"/>
      <c r="AO295" s="97"/>
      <c r="AP295" s="97"/>
      <c r="AQ295" s="97"/>
      <c r="AR295" s="97"/>
      <c r="AS295" s="97"/>
      <c r="AT295" s="97"/>
      <c r="AU295" s="97"/>
      <c r="AV295" s="97"/>
      <c r="AW295" s="97"/>
    </row>
    <row r="296" spans="1:49" hidden="1" x14ac:dyDescent="0.35">
      <c r="A296" s="76"/>
      <c r="B296" s="97"/>
      <c r="C296" s="97"/>
      <c r="D296" s="97"/>
      <c r="E296" s="97"/>
      <c r="F296" s="97"/>
      <c r="G296" s="97"/>
      <c r="H296" s="97"/>
      <c r="I296" s="97"/>
      <c r="J296" s="97"/>
      <c r="K296" s="97"/>
      <c r="L296" s="97"/>
      <c r="M296" s="97"/>
      <c r="AK296" s="76"/>
      <c r="AL296" s="97"/>
      <c r="AM296" s="97"/>
      <c r="AN296" s="97"/>
      <c r="AO296" s="97"/>
      <c r="AP296" s="97"/>
      <c r="AQ296" s="97"/>
      <c r="AR296" s="97"/>
      <c r="AS296" s="97"/>
      <c r="AT296" s="97"/>
      <c r="AU296" s="97"/>
      <c r="AV296" s="97"/>
      <c r="AW296" s="97"/>
    </row>
    <row r="297" spans="1:49" ht="18" hidden="1" x14ac:dyDescent="0.4">
      <c r="A297" s="72"/>
      <c r="B297" s="122"/>
      <c r="C297" s="97"/>
      <c r="D297" s="97"/>
      <c r="E297" s="97"/>
      <c r="F297" s="97"/>
      <c r="G297" s="97"/>
      <c r="H297" s="97"/>
      <c r="I297" s="97"/>
      <c r="J297" s="97"/>
      <c r="K297" s="97"/>
      <c r="L297" s="97"/>
      <c r="M297" s="97"/>
      <c r="AK297" s="76"/>
      <c r="AL297" s="124"/>
      <c r="AM297" s="124"/>
      <c r="AN297" s="124"/>
      <c r="AO297" s="124"/>
      <c r="AP297" s="124"/>
      <c r="AQ297" s="124"/>
      <c r="AR297" s="124"/>
      <c r="AS297" s="124"/>
      <c r="AT297" s="124"/>
      <c r="AU297" s="124"/>
      <c r="AV297" s="124"/>
      <c r="AW297" s="124"/>
    </row>
    <row r="298" spans="1:49" ht="18" hidden="1" x14ac:dyDescent="0.4">
      <c r="A298" s="72"/>
      <c r="B298" s="127"/>
      <c r="C298" s="121"/>
      <c r="D298" s="121"/>
      <c r="E298" s="121"/>
      <c r="F298" s="121"/>
      <c r="G298" s="121"/>
      <c r="H298" s="121"/>
      <c r="I298" s="121"/>
      <c r="J298" s="121"/>
      <c r="K298" s="121"/>
      <c r="L298" s="121"/>
      <c r="M298" s="121"/>
      <c r="AK298" s="76"/>
      <c r="AL298" s="124"/>
      <c r="AM298" s="124"/>
      <c r="AN298" s="124"/>
      <c r="AO298" s="124"/>
      <c r="AP298" s="124"/>
      <c r="AQ298" s="124"/>
      <c r="AR298" s="124"/>
      <c r="AS298" s="124"/>
      <c r="AT298" s="124"/>
      <c r="AU298" s="124"/>
      <c r="AV298" s="124"/>
      <c r="AW298" s="124"/>
    </row>
    <row r="299" spans="1:49" ht="18" hidden="1" x14ac:dyDescent="0.4">
      <c r="A299" s="76"/>
      <c r="B299" s="52"/>
      <c r="C299" s="51"/>
      <c r="D299" s="52"/>
      <c r="E299" s="52"/>
      <c r="F299" s="52"/>
      <c r="G299" s="52"/>
      <c r="H299" s="52"/>
      <c r="I299" s="128"/>
      <c r="J299" s="52"/>
      <c r="K299" s="52"/>
      <c r="L299" s="52"/>
      <c r="M299" s="52"/>
      <c r="AK299" s="76"/>
      <c r="AL299" s="121"/>
      <c r="AM299" s="121"/>
      <c r="AN299" s="121"/>
      <c r="AO299" s="121"/>
      <c r="AP299" s="121"/>
      <c r="AQ299" s="121"/>
      <c r="AR299" s="121"/>
      <c r="AS299" s="121"/>
      <c r="AT299" s="121"/>
      <c r="AU299" s="121"/>
      <c r="AV299" s="121"/>
      <c r="AW299" s="121"/>
    </row>
    <row r="300" spans="1:49" ht="18" hidden="1" x14ac:dyDescent="0.4">
      <c r="A300" s="57"/>
      <c r="B300" s="100"/>
      <c r="C300" s="100"/>
      <c r="D300" s="123">
        <f>D208</f>
        <v>21555.768960000023</v>
      </c>
      <c r="E300" s="100"/>
      <c r="F300" s="129"/>
      <c r="G300" s="125"/>
      <c r="H300" s="100"/>
      <c r="I300" s="130"/>
      <c r="J300" s="131"/>
      <c r="K300" s="100"/>
      <c r="L300" s="100"/>
      <c r="M300" s="100"/>
      <c r="AK300" s="76"/>
      <c r="AL300" s="97"/>
      <c r="AM300" s="97"/>
      <c r="AN300" s="97"/>
      <c r="AO300" s="97"/>
      <c r="AP300" s="97"/>
      <c r="AQ300" s="97"/>
      <c r="AR300" s="97"/>
      <c r="AS300" s="97"/>
      <c r="AT300" s="97"/>
      <c r="AU300" s="97"/>
      <c r="AV300" s="97"/>
      <c r="AW300" s="97"/>
    </row>
    <row r="301" spans="1:49" ht="18" hidden="1" x14ac:dyDescent="0.4">
      <c r="A301" s="72"/>
      <c r="B301" s="122"/>
      <c r="C301" s="122"/>
      <c r="D301" s="123">
        <f>D209</f>
        <v>23096.18499999999</v>
      </c>
      <c r="E301" s="122"/>
      <c r="F301" s="132"/>
      <c r="G301" s="125"/>
      <c r="H301" s="122"/>
      <c r="J301" s="122"/>
      <c r="K301" s="122"/>
      <c r="L301" s="122"/>
      <c r="M301" s="122"/>
      <c r="AK301" s="76"/>
      <c r="AL301" s="97"/>
      <c r="AM301" s="97"/>
      <c r="AN301" s="97"/>
      <c r="AO301" s="97"/>
      <c r="AP301" s="97"/>
      <c r="AQ301" s="97"/>
      <c r="AR301" s="97"/>
      <c r="AS301" s="97"/>
      <c r="AT301" s="97"/>
      <c r="AU301" s="97"/>
      <c r="AV301" s="97"/>
      <c r="AW301" s="97"/>
    </row>
    <row r="302" spans="1:49" ht="18" hidden="1" x14ac:dyDescent="0.4">
      <c r="A302" s="72"/>
      <c r="B302" s="122"/>
      <c r="C302" s="122"/>
      <c r="D302" s="122">
        <f>D300-D301</f>
        <v>-1540.4160399999673</v>
      </c>
      <c r="E302" s="122"/>
      <c r="F302" s="122"/>
      <c r="G302" s="122"/>
      <c r="H302" s="122"/>
      <c r="I302" s="128"/>
      <c r="J302" s="122"/>
      <c r="K302" s="122"/>
      <c r="L302" s="122"/>
      <c r="M302" s="122"/>
      <c r="AK302" s="72"/>
      <c r="AL302" s="122"/>
      <c r="AM302" s="97"/>
      <c r="AN302" s="97"/>
      <c r="AO302" s="97"/>
      <c r="AP302" s="97"/>
      <c r="AQ302" s="97"/>
      <c r="AR302" s="97"/>
      <c r="AS302" s="97"/>
      <c r="AT302" s="97"/>
      <c r="AU302" s="97"/>
      <c r="AV302" s="97"/>
      <c r="AW302" s="97"/>
    </row>
    <row r="303" spans="1:49" ht="18" x14ac:dyDescent="0.4">
      <c r="A303" s="72"/>
      <c r="B303" s="122"/>
      <c r="C303" s="122"/>
      <c r="D303" s="122"/>
      <c r="E303" s="122"/>
      <c r="F303" s="122"/>
      <c r="G303" s="122"/>
      <c r="H303" s="122"/>
      <c r="I303" s="133"/>
      <c r="J303" s="122"/>
      <c r="K303" s="122"/>
      <c r="L303" s="122"/>
      <c r="M303" s="122"/>
      <c r="AK303" s="72"/>
      <c r="AL303" s="127"/>
      <c r="AM303" s="121"/>
      <c r="AN303" s="121"/>
      <c r="AO303" s="121"/>
      <c r="AP303" s="121"/>
      <c r="AQ303" s="121"/>
      <c r="AR303" s="121"/>
      <c r="AS303" s="121"/>
      <c r="AT303" s="121"/>
      <c r="AU303" s="121"/>
      <c r="AV303" s="121"/>
      <c r="AW303" s="121"/>
    </row>
    <row r="304" spans="1:49" ht="18" x14ac:dyDescent="0.4">
      <c r="A304" s="72"/>
      <c r="B304" s="122"/>
      <c r="C304" s="122"/>
      <c r="D304" s="122"/>
      <c r="E304" s="122"/>
      <c r="F304" s="122"/>
      <c r="G304" s="122"/>
      <c r="H304" s="122"/>
      <c r="I304" s="128"/>
      <c r="J304" s="122"/>
      <c r="K304" s="122"/>
      <c r="L304" s="122"/>
      <c r="M304" s="122"/>
      <c r="AK304" s="76"/>
      <c r="AL304" s="52"/>
      <c r="AM304" s="51"/>
      <c r="AN304" s="52"/>
      <c r="AO304" s="52"/>
      <c r="AP304" s="52"/>
      <c r="AQ304" s="52"/>
      <c r="AR304" s="52"/>
      <c r="AS304" s="128"/>
      <c r="AT304" s="52"/>
      <c r="AU304" s="52"/>
      <c r="AV304" s="52"/>
      <c r="AW304" s="52"/>
    </row>
    <row r="305" spans="1:49" ht="18" x14ac:dyDescent="0.4">
      <c r="A305" s="72"/>
      <c r="B305" s="122"/>
      <c r="C305" s="122"/>
      <c r="D305" s="122"/>
      <c r="E305" s="122"/>
      <c r="F305" s="122"/>
      <c r="G305" s="122"/>
      <c r="H305" s="122"/>
      <c r="I305" s="122"/>
      <c r="J305" s="122"/>
      <c r="K305" s="122"/>
      <c r="L305" s="122"/>
      <c r="M305" s="122"/>
      <c r="AK305" s="57"/>
      <c r="AL305" s="100"/>
      <c r="AM305" s="100"/>
      <c r="AN305" s="123"/>
      <c r="AO305" s="100"/>
      <c r="AP305" s="129"/>
      <c r="AQ305" s="125"/>
      <c r="AR305" s="100"/>
      <c r="AS305" s="130"/>
      <c r="AT305" s="131"/>
      <c r="AU305" s="100"/>
      <c r="AV305" s="100"/>
      <c r="AW305" s="100"/>
    </row>
    <row r="306" spans="1:49" ht="18" x14ac:dyDescent="0.4">
      <c r="A306" s="72"/>
      <c r="B306" s="122"/>
      <c r="C306" s="122"/>
      <c r="D306" s="122"/>
      <c r="E306" s="122"/>
      <c r="F306" s="122"/>
      <c r="G306" s="122"/>
      <c r="H306" s="122"/>
      <c r="I306" s="122"/>
      <c r="J306" s="122"/>
      <c r="K306" s="122"/>
      <c r="L306" s="122"/>
      <c r="M306" s="122"/>
      <c r="AK306" s="72"/>
      <c r="AL306" s="122"/>
      <c r="AM306" s="122"/>
      <c r="AN306" s="123"/>
      <c r="AO306" s="122"/>
      <c r="AP306" s="132"/>
      <c r="AQ306" s="125"/>
      <c r="AR306" s="122"/>
      <c r="AT306" s="122"/>
      <c r="AU306" s="122"/>
      <c r="AV306" s="122"/>
      <c r="AW306" s="122"/>
    </row>
    <row r="307" spans="1:49" ht="18" x14ac:dyDescent="0.4">
      <c r="A307" s="72"/>
      <c r="B307" s="122"/>
      <c r="C307" s="122"/>
      <c r="D307" s="122"/>
      <c r="E307" s="122"/>
      <c r="F307" s="122"/>
      <c r="G307" s="122"/>
      <c r="H307" s="122"/>
      <c r="I307" s="122"/>
      <c r="J307" s="122"/>
      <c r="K307" s="122"/>
      <c r="L307" s="122"/>
      <c r="M307" s="122"/>
      <c r="AK307" s="72"/>
      <c r="AL307" s="122"/>
      <c r="AM307" s="122"/>
      <c r="AN307" s="122"/>
      <c r="AO307" s="122"/>
      <c r="AP307" s="122"/>
      <c r="AQ307" s="122"/>
      <c r="AR307" s="122"/>
      <c r="AS307" s="128"/>
      <c r="AT307" s="122"/>
      <c r="AU307" s="122"/>
      <c r="AV307" s="122"/>
      <c r="AW307" s="122"/>
    </row>
    <row r="308" spans="1:49" ht="18" x14ac:dyDescent="0.4">
      <c r="A308" s="76"/>
      <c r="B308" s="124"/>
      <c r="C308" s="124"/>
      <c r="D308" s="124"/>
      <c r="E308" s="124"/>
      <c r="F308" s="124"/>
      <c r="G308" s="124"/>
      <c r="H308" s="124"/>
      <c r="I308" s="124"/>
      <c r="J308" s="124"/>
      <c r="K308" s="124"/>
      <c r="L308" s="124"/>
      <c r="M308" s="124"/>
      <c r="AK308" s="72"/>
      <c r="AL308" s="122"/>
      <c r="AM308" s="122"/>
      <c r="AN308" s="122"/>
      <c r="AO308" s="122"/>
      <c r="AP308" s="122"/>
      <c r="AQ308" s="122"/>
      <c r="AR308" s="122"/>
      <c r="AS308" s="133"/>
      <c r="AT308" s="122"/>
      <c r="AU308" s="122"/>
      <c r="AV308" s="122"/>
      <c r="AW308" s="122"/>
    </row>
    <row r="309" spans="1:49" ht="18" x14ac:dyDescent="0.4">
      <c r="A309" s="76"/>
      <c r="B309" s="134"/>
      <c r="C309" s="134"/>
      <c r="D309" s="134"/>
      <c r="E309" s="134"/>
      <c r="F309" s="134"/>
      <c r="G309" s="134"/>
      <c r="H309" s="134"/>
      <c r="I309" s="134"/>
      <c r="J309" s="134"/>
      <c r="K309" s="134"/>
      <c r="L309" s="134"/>
      <c r="M309" s="134"/>
      <c r="AK309" s="72"/>
      <c r="AL309" s="122"/>
      <c r="AM309" s="122"/>
      <c r="AN309" s="122"/>
      <c r="AO309" s="122"/>
      <c r="AP309" s="122"/>
      <c r="AQ309" s="122"/>
      <c r="AR309" s="122"/>
      <c r="AS309" s="128"/>
      <c r="AT309" s="122"/>
      <c r="AU309" s="122"/>
      <c r="AV309" s="122"/>
      <c r="AW309" s="122"/>
    </row>
    <row r="310" spans="1:49" ht="18" x14ac:dyDescent="0.4">
      <c r="A310" s="76"/>
      <c r="B310" s="121"/>
      <c r="C310" s="121"/>
      <c r="D310" s="121"/>
      <c r="E310" s="121"/>
      <c r="F310" s="121"/>
      <c r="G310" s="121"/>
      <c r="H310" s="121"/>
      <c r="I310" s="121"/>
      <c r="J310" s="121"/>
      <c r="K310" s="121"/>
      <c r="L310" s="121"/>
      <c r="M310" s="121"/>
      <c r="AK310" s="72"/>
      <c r="AL310" s="122"/>
      <c r="AM310" s="122"/>
      <c r="AN310" s="122"/>
      <c r="AO310" s="122"/>
      <c r="AP310" s="122"/>
      <c r="AQ310" s="122"/>
      <c r="AR310" s="122"/>
      <c r="AS310" s="122"/>
      <c r="AT310" s="122"/>
      <c r="AU310" s="122"/>
      <c r="AV310" s="122"/>
      <c r="AW310" s="122"/>
    </row>
    <row r="311" spans="1:49" ht="18" x14ac:dyDescent="0.4">
      <c r="A311" s="76"/>
      <c r="B311" s="97"/>
      <c r="C311" s="97"/>
      <c r="D311" s="97"/>
      <c r="E311" s="97"/>
      <c r="F311" s="97"/>
      <c r="G311" s="97"/>
      <c r="H311" s="97"/>
      <c r="I311" s="97"/>
      <c r="J311" s="97"/>
      <c r="K311" s="97"/>
      <c r="L311" s="97"/>
      <c r="M311" s="97"/>
      <c r="AK311" s="72"/>
      <c r="AL311" s="122"/>
      <c r="AM311" s="122"/>
      <c r="AN311" s="122"/>
      <c r="AO311" s="122"/>
      <c r="AP311" s="122"/>
      <c r="AQ311" s="122"/>
      <c r="AR311" s="122"/>
      <c r="AS311" s="122"/>
      <c r="AT311" s="122"/>
      <c r="AU311" s="122"/>
      <c r="AV311" s="122"/>
      <c r="AW311" s="122"/>
    </row>
    <row r="312" spans="1:49" ht="18" x14ac:dyDescent="0.4">
      <c r="A312" s="76"/>
      <c r="B312" s="97"/>
      <c r="C312" s="97"/>
      <c r="D312" s="97"/>
      <c r="E312" s="97"/>
      <c r="F312" s="97"/>
      <c r="G312" s="97"/>
      <c r="H312" s="97"/>
      <c r="I312" s="97"/>
      <c r="J312" s="97"/>
      <c r="K312" s="97"/>
      <c r="L312" s="97"/>
      <c r="M312" s="97"/>
      <c r="AK312" s="72"/>
      <c r="AL312" s="122"/>
      <c r="AM312" s="122"/>
      <c r="AN312" s="122"/>
      <c r="AO312" s="122"/>
      <c r="AP312" s="122"/>
      <c r="AQ312" s="122"/>
      <c r="AR312" s="122"/>
      <c r="AS312" s="122"/>
      <c r="AT312" s="122"/>
      <c r="AU312" s="122"/>
      <c r="AV312" s="122"/>
      <c r="AW312" s="122"/>
    </row>
    <row r="313" spans="1:49" x14ac:dyDescent="0.35">
      <c r="A313" s="76"/>
      <c r="B313" s="97"/>
      <c r="C313" s="97"/>
      <c r="D313" s="97"/>
      <c r="E313" s="97"/>
      <c r="F313" s="97"/>
      <c r="G313" s="97"/>
      <c r="H313" s="97"/>
      <c r="I313" s="97"/>
      <c r="J313" s="97"/>
      <c r="K313" s="97"/>
      <c r="L313" s="97"/>
      <c r="M313" s="97"/>
      <c r="AK313" s="76"/>
      <c r="AL313" s="124"/>
      <c r="AM313" s="124"/>
      <c r="AN313" s="124"/>
      <c r="AO313" s="124"/>
      <c r="AP313" s="124"/>
      <c r="AQ313" s="124"/>
      <c r="AR313" s="124"/>
      <c r="AS313" s="124"/>
      <c r="AT313" s="124"/>
      <c r="AU313" s="124"/>
      <c r="AV313" s="124"/>
      <c r="AW313" s="124"/>
    </row>
    <row r="314" spans="1:49" x14ac:dyDescent="0.35">
      <c r="A314" s="72"/>
      <c r="B314" s="97"/>
      <c r="C314" s="97"/>
      <c r="D314" s="97"/>
      <c r="E314" s="97"/>
      <c r="F314" s="97"/>
      <c r="G314" s="97"/>
      <c r="H314" s="97"/>
      <c r="I314" s="97"/>
      <c r="J314" s="97"/>
      <c r="K314" s="97"/>
      <c r="L314" s="97"/>
      <c r="M314" s="97"/>
      <c r="AK314" s="76"/>
      <c r="AL314" s="134"/>
      <c r="AM314" s="134"/>
      <c r="AN314" s="134"/>
      <c r="AO314" s="134"/>
      <c r="AP314" s="134"/>
      <c r="AQ314" s="134"/>
      <c r="AR314" s="134"/>
      <c r="AS314" s="134"/>
      <c r="AT314" s="134"/>
      <c r="AU314" s="134"/>
      <c r="AV314" s="134"/>
      <c r="AW314" s="134"/>
    </row>
    <row r="315" spans="1:49" ht="18" x14ac:dyDescent="0.4">
      <c r="A315" s="76"/>
      <c r="B315" s="52"/>
      <c r="C315" s="51"/>
      <c r="D315" s="52"/>
      <c r="E315" s="52"/>
      <c r="F315" s="52"/>
      <c r="G315" s="52"/>
      <c r="H315" s="52"/>
      <c r="I315" s="52"/>
      <c r="J315" s="52"/>
      <c r="K315" s="52"/>
      <c r="L315" s="52"/>
      <c r="M315" s="52"/>
      <c r="AK315" s="76"/>
      <c r="AL315" s="121"/>
      <c r="AM315" s="121"/>
      <c r="AN315" s="121"/>
      <c r="AO315" s="121"/>
      <c r="AP315" s="121"/>
      <c r="AQ315" s="121"/>
      <c r="AR315" s="121"/>
      <c r="AS315" s="121"/>
      <c r="AT315" s="121"/>
      <c r="AU315" s="121"/>
      <c r="AV315" s="121"/>
      <c r="AW315" s="121"/>
    </row>
    <row r="316" spans="1:49" ht="18" hidden="1" x14ac:dyDescent="0.4">
      <c r="A316" s="57"/>
      <c r="B316" s="100"/>
      <c r="C316" s="100"/>
      <c r="D316" s="100"/>
      <c r="E316" s="100"/>
      <c r="F316" s="100"/>
      <c r="G316" s="100"/>
      <c r="H316" s="100"/>
      <c r="I316" s="100"/>
      <c r="J316" s="100"/>
      <c r="K316" s="100"/>
      <c r="L316" s="100"/>
      <c r="M316" s="100"/>
      <c r="AK316" s="76"/>
      <c r="AL316" s="97"/>
      <c r="AM316" s="97"/>
      <c r="AN316" s="97"/>
      <c r="AO316" s="97"/>
      <c r="AP316" s="97"/>
      <c r="AQ316" s="97"/>
      <c r="AR316" s="97"/>
      <c r="AS316" s="97"/>
      <c r="AT316" s="97"/>
      <c r="AU316" s="97"/>
      <c r="AV316" s="97"/>
      <c r="AW316" s="97"/>
    </row>
    <row r="317" spans="1:49" hidden="1" x14ac:dyDescent="0.35">
      <c r="A317" s="76"/>
      <c r="B317" s="97"/>
      <c r="C317" s="97"/>
      <c r="D317" s="97"/>
      <c r="E317" s="97"/>
      <c r="F317" s="97"/>
      <c r="G317" s="97"/>
      <c r="H317" s="97"/>
      <c r="I317" s="97"/>
      <c r="J317" s="97"/>
      <c r="K317" s="97"/>
      <c r="L317" s="97"/>
      <c r="M317" s="97"/>
      <c r="AK317" s="76"/>
      <c r="AL317" s="97"/>
      <c r="AM317" s="97"/>
      <c r="AN317" s="97"/>
      <c r="AO317" s="97"/>
      <c r="AP317" s="97"/>
      <c r="AQ317" s="97"/>
      <c r="AR317" s="97"/>
      <c r="AS317" s="97"/>
      <c r="AT317" s="97"/>
      <c r="AU317" s="97"/>
      <c r="AV317" s="97"/>
      <c r="AW317" s="97"/>
    </row>
    <row r="318" spans="1:49" hidden="1" x14ac:dyDescent="0.35">
      <c r="A318" s="76"/>
      <c r="B318" s="97"/>
      <c r="C318" s="97"/>
      <c r="D318" s="97"/>
      <c r="E318" s="97"/>
      <c r="F318" s="97"/>
      <c r="G318" s="97"/>
      <c r="H318" s="97"/>
      <c r="I318" s="97"/>
      <c r="J318" s="97"/>
      <c r="K318" s="97"/>
      <c r="L318" s="97"/>
      <c r="M318" s="97"/>
      <c r="AK318" s="76"/>
      <c r="AL318" s="97"/>
      <c r="AM318" s="97"/>
      <c r="AN318" s="97"/>
      <c r="AO318" s="97"/>
      <c r="AP318" s="97"/>
      <c r="AQ318" s="97"/>
      <c r="AR318" s="97"/>
      <c r="AS318" s="97"/>
      <c r="AT318" s="97"/>
      <c r="AU318" s="97"/>
      <c r="AV318" s="97"/>
      <c r="AW318" s="97"/>
    </row>
    <row r="319" spans="1:49" hidden="1" x14ac:dyDescent="0.35">
      <c r="A319" s="76"/>
      <c r="B319" s="97"/>
      <c r="C319" s="97"/>
      <c r="D319" s="97"/>
      <c r="E319" s="97"/>
      <c r="F319" s="97"/>
      <c r="G319" s="97"/>
      <c r="H319" s="97"/>
      <c r="I319" s="97"/>
      <c r="J319" s="97"/>
      <c r="K319" s="97"/>
      <c r="L319" s="97"/>
      <c r="M319" s="97"/>
      <c r="AK319" s="72"/>
      <c r="AL319" s="97"/>
      <c r="AM319" s="97"/>
      <c r="AN319" s="97"/>
      <c r="AO319" s="97"/>
      <c r="AP319" s="97"/>
      <c r="AQ319" s="97"/>
      <c r="AR319" s="97"/>
      <c r="AS319" s="97"/>
      <c r="AT319" s="97"/>
      <c r="AU319" s="97"/>
      <c r="AV319" s="97"/>
      <c r="AW319" s="97"/>
    </row>
    <row r="320" spans="1:49" ht="18" hidden="1" x14ac:dyDescent="0.4">
      <c r="A320" s="76"/>
      <c r="B320" s="97"/>
      <c r="C320" s="97"/>
      <c r="D320" s="97"/>
      <c r="E320" s="97"/>
      <c r="F320" s="97"/>
      <c r="G320" s="97"/>
      <c r="H320" s="97"/>
      <c r="I320" s="97"/>
      <c r="J320" s="97"/>
      <c r="K320" s="97"/>
      <c r="L320" s="97"/>
      <c r="M320" s="97"/>
      <c r="AK320" s="76"/>
      <c r="AL320" s="52"/>
      <c r="AM320" s="51"/>
      <c r="AN320" s="52"/>
      <c r="AO320" s="52"/>
      <c r="AP320" s="52"/>
      <c r="AQ320" s="52"/>
      <c r="AR320" s="52"/>
      <c r="AS320" s="52"/>
      <c r="AT320" s="52"/>
      <c r="AU320" s="52"/>
      <c r="AV320" s="52"/>
      <c r="AW320" s="52"/>
    </row>
    <row r="321" spans="1:49" ht="18" hidden="1" x14ac:dyDescent="0.4">
      <c r="A321" s="76"/>
      <c r="B321" s="97"/>
      <c r="C321" s="97"/>
      <c r="D321" s="97"/>
      <c r="E321" s="97"/>
      <c r="F321" s="97"/>
      <c r="G321" s="97"/>
      <c r="H321" s="97"/>
      <c r="I321" s="97"/>
      <c r="J321" s="97"/>
      <c r="K321" s="97"/>
      <c r="L321" s="97"/>
      <c r="M321" s="97"/>
      <c r="AK321" s="57"/>
      <c r="AL321" s="100"/>
      <c r="AM321" s="100"/>
      <c r="AN321" s="100"/>
      <c r="AO321" s="100"/>
      <c r="AP321" s="100"/>
      <c r="AQ321" s="100"/>
      <c r="AR321" s="100"/>
      <c r="AS321" s="100"/>
      <c r="AT321" s="100"/>
      <c r="AU321" s="100"/>
      <c r="AV321" s="100"/>
      <c r="AW321" s="100"/>
    </row>
    <row r="322" spans="1:49" hidden="1" x14ac:dyDescent="0.35">
      <c r="A322" s="76"/>
      <c r="B322" s="97"/>
      <c r="C322" s="97"/>
      <c r="D322" s="97"/>
      <c r="E322" s="97"/>
      <c r="F322" s="97"/>
      <c r="G322" s="97"/>
      <c r="H322" s="97"/>
      <c r="I322" s="97"/>
      <c r="J322" s="97"/>
      <c r="K322" s="97"/>
      <c r="L322" s="97"/>
      <c r="M322" s="97"/>
      <c r="AK322" s="76"/>
      <c r="AL322" s="97"/>
      <c r="AM322" s="97"/>
      <c r="AN322" s="97"/>
      <c r="AO322" s="97"/>
      <c r="AP322" s="97"/>
      <c r="AQ322" s="97"/>
      <c r="AR322" s="97"/>
      <c r="AS322" s="97"/>
      <c r="AT322" s="97"/>
      <c r="AU322" s="97"/>
      <c r="AV322" s="97"/>
      <c r="AW322" s="97"/>
    </row>
    <row r="323" spans="1:49" hidden="1" x14ac:dyDescent="0.35">
      <c r="A323" s="76"/>
      <c r="B323" s="124"/>
      <c r="C323" s="124"/>
      <c r="D323" s="124"/>
      <c r="E323" s="124"/>
      <c r="F323" s="124"/>
      <c r="G323" s="124"/>
      <c r="H323" s="124"/>
      <c r="I323" s="124"/>
      <c r="J323" s="124"/>
      <c r="K323" s="124"/>
      <c r="L323" s="124"/>
      <c r="M323" s="124"/>
      <c r="AK323" s="76"/>
      <c r="AL323" s="97"/>
      <c r="AM323" s="97"/>
      <c r="AN323" s="97"/>
      <c r="AO323" s="97"/>
      <c r="AP323" s="97"/>
      <c r="AQ323" s="97"/>
      <c r="AR323" s="97"/>
      <c r="AS323" s="97"/>
      <c r="AT323" s="97"/>
      <c r="AU323" s="97"/>
      <c r="AV323" s="97"/>
      <c r="AW323" s="97"/>
    </row>
    <row r="324" spans="1:49" hidden="1" x14ac:dyDescent="0.35">
      <c r="A324" s="76"/>
      <c r="B324" s="134"/>
      <c r="C324" s="134"/>
      <c r="D324" s="134"/>
      <c r="E324" s="134"/>
      <c r="F324" s="134"/>
      <c r="G324" s="134"/>
      <c r="H324" s="134"/>
      <c r="I324" s="134"/>
      <c r="J324" s="134"/>
      <c r="K324" s="134"/>
      <c r="L324" s="134"/>
      <c r="M324" s="134"/>
      <c r="AK324" s="76"/>
      <c r="AL324" s="97"/>
      <c r="AM324" s="97"/>
      <c r="AN324" s="97"/>
      <c r="AO324" s="97"/>
      <c r="AP324" s="97"/>
      <c r="AQ324" s="97"/>
      <c r="AR324" s="97"/>
      <c r="AS324" s="97"/>
      <c r="AT324" s="97"/>
      <c r="AU324" s="97"/>
      <c r="AV324" s="97"/>
      <c r="AW324" s="97"/>
    </row>
    <row r="325" spans="1:49" hidden="1" x14ac:dyDescent="0.35">
      <c r="A325" s="76"/>
      <c r="B325" s="121"/>
      <c r="C325" s="121"/>
      <c r="D325" s="121"/>
      <c r="E325" s="121"/>
      <c r="F325" s="121"/>
      <c r="G325" s="121"/>
      <c r="H325" s="121"/>
      <c r="I325" s="121"/>
      <c r="J325" s="121"/>
      <c r="K325" s="121"/>
      <c r="L325" s="121"/>
      <c r="M325" s="121"/>
      <c r="AK325" s="76"/>
      <c r="AL325" s="97"/>
      <c r="AM325" s="97"/>
      <c r="AN325" s="97"/>
      <c r="AO325" s="97"/>
      <c r="AP325" s="97"/>
      <c r="AQ325" s="97"/>
      <c r="AR325" s="97"/>
      <c r="AS325" s="97"/>
      <c r="AT325" s="97"/>
      <c r="AU325" s="97"/>
      <c r="AV325" s="97"/>
      <c r="AW325" s="97"/>
    </row>
    <row r="326" spans="1:49" hidden="1" x14ac:dyDescent="0.35">
      <c r="A326" s="76"/>
      <c r="B326" s="97"/>
      <c r="C326" s="97"/>
      <c r="D326" s="97"/>
      <c r="E326" s="97"/>
      <c r="F326" s="97"/>
      <c r="G326" s="97"/>
      <c r="H326" s="97"/>
      <c r="I326" s="97"/>
      <c r="J326" s="97"/>
      <c r="K326" s="97"/>
      <c r="L326" s="97"/>
      <c r="M326" s="97"/>
      <c r="AK326" s="76"/>
      <c r="AL326" s="97"/>
      <c r="AM326" s="97"/>
      <c r="AN326" s="97"/>
      <c r="AO326" s="97"/>
      <c r="AP326" s="97"/>
      <c r="AQ326" s="97"/>
      <c r="AR326" s="97"/>
      <c r="AS326" s="97"/>
      <c r="AT326" s="97"/>
      <c r="AU326" s="97"/>
      <c r="AV326" s="97"/>
      <c r="AW326" s="97"/>
    </row>
    <row r="327" spans="1:49" hidden="1" x14ac:dyDescent="0.35">
      <c r="A327" s="76"/>
      <c r="B327" s="97"/>
      <c r="C327" s="97"/>
      <c r="D327" s="97"/>
      <c r="E327" s="97"/>
      <c r="F327" s="97"/>
      <c r="G327" s="97"/>
      <c r="H327" s="97"/>
      <c r="I327" s="97"/>
      <c r="J327" s="97"/>
      <c r="K327" s="97"/>
      <c r="L327" s="97"/>
      <c r="M327" s="97"/>
      <c r="AK327" s="76"/>
      <c r="AL327" s="97"/>
      <c r="AM327" s="97"/>
      <c r="AN327" s="97"/>
      <c r="AO327" s="97"/>
      <c r="AP327" s="97"/>
      <c r="AQ327" s="97"/>
      <c r="AR327" s="97"/>
      <c r="AS327" s="97"/>
      <c r="AT327" s="97"/>
      <c r="AU327" s="97"/>
      <c r="AV327" s="97"/>
      <c r="AW327" s="97"/>
    </row>
    <row r="328" spans="1:49" hidden="1" x14ac:dyDescent="0.35">
      <c r="A328" s="76"/>
      <c r="B328" s="97"/>
      <c r="C328" s="97"/>
      <c r="D328" s="97"/>
      <c r="E328" s="97"/>
      <c r="F328" s="97"/>
      <c r="G328" s="97"/>
      <c r="H328" s="97"/>
      <c r="I328" s="97"/>
      <c r="J328" s="97"/>
      <c r="K328" s="97"/>
      <c r="L328" s="97"/>
      <c r="M328" s="97"/>
      <c r="AK328" s="76"/>
      <c r="AL328" s="124"/>
      <c r="AM328" s="124"/>
      <c r="AN328" s="124"/>
      <c r="AO328" s="124"/>
      <c r="AP328" s="124"/>
      <c r="AQ328" s="124"/>
      <c r="AR328" s="124"/>
      <c r="AS328" s="124"/>
      <c r="AT328" s="124"/>
      <c r="AU328" s="124"/>
      <c r="AV328" s="124"/>
      <c r="AW328" s="124"/>
    </row>
    <row r="329" spans="1:49" hidden="1" x14ac:dyDescent="0.35">
      <c r="A329" s="72"/>
      <c r="B329" s="97"/>
      <c r="C329" s="97"/>
      <c r="D329" s="97"/>
      <c r="E329" s="97"/>
      <c r="F329" s="97"/>
      <c r="G329" s="97"/>
      <c r="H329" s="97"/>
      <c r="I329" s="97"/>
      <c r="J329" s="97"/>
      <c r="K329" s="97"/>
      <c r="L329" s="97"/>
      <c r="M329" s="97"/>
      <c r="AK329" s="76"/>
      <c r="AL329" s="134"/>
      <c r="AM329" s="134"/>
      <c r="AN329" s="134"/>
      <c r="AO329" s="134"/>
      <c r="AP329" s="134"/>
      <c r="AQ329" s="134"/>
      <c r="AR329" s="134"/>
      <c r="AS329" s="134"/>
      <c r="AT329" s="134"/>
      <c r="AU329" s="134"/>
      <c r="AV329" s="134"/>
      <c r="AW329" s="134"/>
    </row>
    <row r="330" spans="1:49" ht="18" hidden="1" x14ac:dyDescent="0.4">
      <c r="A330" s="76"/>
      <c r="B330" s="52"/>
      <c r="C330" s="51"/>
      <c r="D330" s="52"/>
      <c r="E330" s="52"/>
      <c r="F330" s="52"/>
      <c r="G330" s="52"/>
      <c r="H330" s="52"/>
      <c r="I330" s="52"/>
      <c r="J330" s="52"/>
      <c r="K330" s="52"/>
      <c r="L330" s="52"/>
      <c r="M330" s="52"/>
      <c r="AK330" s="76"/>
      <c r="AL330" s="121"/>
      <c r="AM330" s="121"/>
      <c r="AN330" s="121"/>
      <c r="AO330" s="121"/>
      <c r="AP330" s="121"/>
      <c r="AQ330" s="121"/>
      <c r="AR330" s="121"/>
      <c r="AS330" s="121"/>
      <c r="AT330" s="121"/>
      <c r="AU330" s="121"/>
      <c r="AV330" s="121"/>
      <c r="AW330" s="121"/>
    </row>
    <row r="331" spans="1:49" ht="18" hidden="1" x14ac:dyDescent="0.4">
      <c r="A331" s="57"/>
      <c r="B331" s="100"/>
      <c r="C331" s="100"/>
      <c r="D331" s="100"/>
      <c r="E331" s="100"/>
      <c r="F331" s="100"/>
      <c r="G331" s="100"/>
      <c r="H331" s="100"/>
      <c r="I331" s="100"/>
      <c r="J331" s="100"/>
      <c r="K331" s="100"/>
      <c r="L331" s="100"/>
      <c r="M331" s="100"/>
      <c r="AK331" s="76"/>
      <c r="AL331" s="97"/>
      <c r="AM331" s="97"/>
      <c r="AN331" s="97"/>
      <c r="AO331" s="97"/>
      <c r="AP331" s="97"/>
      <c r="AQ331" s="97"/>
      <c r="AR331" s="97"/>
      <c r="AS331" s="97"/>
      <c r="AT331" s="97"/>
      <c r="AU331" s="97"/>
      <c r="AV331" s="97"/>
      <c r="AW331" s="97"/>
    </row>
    <row r="332" spans="1:49" hidden="1" x14ac:dyDescent="0.35">
      <c r="A332" s="76"/>
      <c r="B332" s="97"/>
      <c r="C332" s="97"/>
      <c r="D332" s="97"/>
      <c r="E332" s="97"/>
      <c r="F332" s="97"/>
      <c r="G332" s="97"/>
      <c r="H332" s="97"/>
      <c r="I332" s="97"/>
      <c r="J332" s="97"/>
      <c r="K332" s="97"/>
      <c r="L332" s="97"/>
      <c r="M332" s="97"/>
      <c r="AK332" s="76"/>
      <c r="AL332" s="97"/>
      <c r="AM332" s="97"/>
      <c r="AN332" s="97"/>
      <c r="AO332" s="97"/>
      <c r="AP332" s="97"/>
      <c r="AQ332" s="97"/>
      <c r="AR332" s="97"/>
      <c r="AS332" s="97"/>
      <c r="AT332" s="97"/>
      <c r="AU332" s="97"/>
      <c r="AV332" s="97"/>
      <c r="AW332" s="97"/>
    </row>
    <row r="333" spans="1:49" hidden="1" x14ac:dyDescent="0.35">
      <c r="A333" s="76"/>
      <c r="B333" s="97"/>
      <c r="C333" s="97"/>
      <c r="D333" s="97"/>
      <c r="E333" s="97"/>
      <c r="F333" s="97"/>
      <c r="G333" s="97"/>
      <c r="H333" s="97"/>
      <c r="I333" s="97"/>
      <c r="J333" s="97"/>
      <c r="K333" s="97"/>
      <c r="L333" s="97"/>
      <c r="M333" s="97"/>
      <c r="AK333" s="76"/>
      <c r="AL333" s="97"/>
      <c r="AM333" s="97"/>
      <c r="AN333" s="97"/>
      <c r="AO333" s="97"/>
      <c r="AP333" s="97"/>
      <c r="AQ333" s="97"/>
      <c r="AR333" s="97"/>
      <c r="AS333" s="97"/>
      <c r="AT333" s="97"/>
      <c r="AU333" s="97"/>
      <c r="AV333" s="97"/>
      <c r="AW333" s="97"/>
    </row>
    <row r="334" spans="1:49" hidden="1" x14ac:dyDescent="0.35">
      <c r="A334" s="76"/>
      <c r="B334" s="97"/>
      <c r="C334" s="97"/>
      <c r="D334" s="97"/>
      <c r="E334" s="97"/>
      <c r="F334" s="97"/>
      <c r="G334" s="97"/>
      <c r="H334" s="97"/>
      <c r="I334" s="97"/>
      <c r="J334" s="97"/>
      <c r="K334" s="97"/>
      <c r="L334" s="97"/>
      <c r="M334" s="97"/>
      <c r="AK334" s="72"/>
      <c r="AL334" s="97"/>
      <c r="AM334" s="97"/>
      <c r="AN334" s="97"/>
      <c r="AO334" s="97"/>
      <c r="AP334" s="97"/>
      <c r="AQ334" s="97"/>
      <c r="AR334" s="97"/>
      <c r="AS334" s="97"/>
      <c r="AT334" s="97"/>
      <c r="AU334" s="97"/>
      <c r="AV334" s="97"/>
      <c r="AW334" s="97"/>
    </row>
    <row r="335" spans="1:49" ht="18" hidden="1" x14ac:dyDescent="0.4">
      <c r="A335" s="76"/>
      <c r="B335" s="97"/>
      <c r="C335" s="97"/>
      <c r="D335" s="97"/>
      <c r="E335" s="97"/>
      <c r="F335" s="97"/>
      <c r="G335" s="97"/>
      <c r="H335" s="97"/>
      <c r="I335" s="97"/>
      <c r="J335" s="97"/>
      <c r="K335" s="97"/>
      <c r="L335" s="97"/>
      <c r="M335" s="97"/>
      <c r="AK335" s="76"/>
      <c r="AL335" s="52"/>
      <c r="AM335" s="51"/>
      <c r="AN335" s="52"/>
      <c r="AO335" s="52"/>
      <c r="AP335" s="52"/>
      <c r="AQ335" s="52"/>
      <c r="AR335" s="52"/>
      <c r="AS335" s="52"/>
      <c r="AT335" s="52"/>
      <c r="AU335" s="52"/>
      <c r="AV335" s="52"/>
      <c r="AW335" s="52"/>
    </row>
    <row r="336" spans="1:49" ht="18" hidden="1" x14ac:dyDescent="0.4">
      <c r="A336" s="76"/>
      <c r="B336" s="97"/>
      <c r="C336" s="97"/>
      <c r="D336" s="97"/>
      <c r="E336" s="97"/>
      <c r="F336" s="97"/>
      <c r="G336" s="97"/>
      <c r="H336" s="97"/>
      <c r="I336" s="97"/>
      <c r="J336" s="97"/>
      <c r="K336" s="97"/>
      <c r="L336" s="97"/>
      <c r="M336" s="97"/>
      <c r="AK336" s="57"/>
      <c r="AL336" s="100"/>
      <c r="AM336" s="100"/>
      <c r="AN336" s="100"/>
      <c r="AO336" s="100"/>
      <c r="AP336" s="100"/>
      <c r="AQ336" s="100"/>
      <c r="AR336" s="100"/>
      <c r="AS336" s="100"/>
      <c r="AT336" s="100"/>
      <c r="AU336" s="100"/>
      <c r="AV336" s="100"/>
      <c r="AW336" s="100"/>
    </row>
    <row r="337" spans="1:49" hidden="1" x14ac:dyDescent="0.35">
      <c r="A337" s="76"/>
      <c r="B337" s="97"/>
      <c r="C337" s="97"/>
      <c r="D337" s="97"/>
      <c r="E337" s="97"/>
      <c r="F337" s="97"/>
      <c r="G337" s="97"/>
      <c r="H337" s="97"/>
      <c r="I337" s="97"/>
      <c r="J337" s="97"/>
      <c r="K337" s="97"/>
      <c r="L337" s="97"/>
      <c r="M337" s="97"/>
      <c r="AK337" s="76"/>
      <c r="AL337" s="97"/>
      <c r="AM337" s="97"/>
      <c r="AN337" s="97"/>
      <c r="AO337" s="97"/>
      <c r="AP337" s="97"/>
      <c r="AQ337" s="97"/>
      <c r="AR337" s="97"/>
      <c r="AS337" s="97"/>
      <c r="AT337" s="97"/>
      <c r="AU337" s="97"/>
      <c r="AV337" s="97"/>
      <c r="AW337" s="97"/>
    </row>
    <row r="338" spans="1:49" hidden="1" x14ac:dyDescent="0.35">
      <c r="A338" s="76"/>
      <c r="B338" s="124"/>
      <c r="C338" s="124"/>
      <c r="D338" s="124"/>
      <c r="E338" s="124"/>
      <c r="F338" s="124"/>
      <c r="G338" s="124"/>
      <c r="H338" s="124"/>
      <c r="I338" s="124"/>
      <c r="J338" s="124"/>
      <c r="K338" s="124"/>
      <c r="L338" s="124"/>
      <c r="M338" s="124"/>
      <c r="AK338" s="76"/>
      <c r="AL338" s="97"/>
      <c r="AM338" s="97"/>
      <c r="AN338" s="97"/>
      <c r="AO338" s="97"/>
      <c r="AP338" s="97"/>
      <c r="AQ338" s="97"/>
      <c r="AR338" s="97"/>
      <c r="AS338" s="97"/>
      <c r="AT338" s="97"/>
      <c r="AU338" s="97"/>
      <c r="AV338" s="97"/>
      <c r="AW338" s="97"/>
    </row>
    <row r="339" spans="1:49" hidden="1" x14ac:dyDescent="0.35">
      <c r="A339" s="76"/>
      <c r="B339" s="134"/>
      <c r="C339" s="134"/>
      <c r="D339" s="134"/>
      <c r="E339" s="134"/>
      <c r="F339" s="134"/>
      <c r="G339" s="134"/>
      <c r="H339" s="134"/>
      <c r="I339" s="134"/>
      <c r="J339" s="134"/>
      <c r="K339" s="134"/>
      <c r="L339" s="134"/>
      <c r="M339" s="134"/>
      <c r="AK339" s="76"/>
      <c r="AL339" s="97"/>
      <c r="AM339" s="97"/>
      <c r="AN339" s="97"/>
      <c r="AO339" s="97"/>
      <c r="AP339" s="97"/>
      <c r="AQ339" s="97"/>
      <c r="AR339" s="97"/>
      <c r="AS339" s="97"/>
      <c r="AT339" s="97"/>
      <c r="AU339" s="97"/>
      <c r="AV339" s="97"/>
      <c r="AW339" s="97"/>
    </row>
    <row r="340" spans="1:49" hidden="1" x14ac:dyDescent="0.35">
      <c r="A340" s="76"/>
      <c r="B340" s="121"/>
      <c r="C340" s="121"/>
      <c r="D340" s="121"/>
      <c r="E340" s="121"/>
      <c r="F340" s="121"/>
      <c r="G340" s="121"/>
      <c r="H340" s="121"/>
      <c r="I340" s="121"/>
      <c r="J340" s="121"/>
      <c r="K340" s="121"/>
      <c r="L340" s="121"/>
      <c r="M340" s="121"/>
      <c r="AK340" s="76"/>
      <c r="AL340" s="97"/>
      <c r="AM340" s="97"/>
      <c r="AN340" s="97"/>
      <c r="AO340" s="97"/>
      <c r="AP340" s="97"/>
      <c r="AQ340" s="97"/>
      <c r="AR340" s="97"/>
      <c r="AS340" s="97"/>
      <c r="AT340" s="97"/>
      <c r="AU340" s="97"/>
      <c r="AV340" s="97"/>
      <c r="AW340" s="97"/>
    </row>
    <row r="341" spans="1:49" hidden="1" x14ac:dyDescent="0.35">
      <c r="A341" s="76"/>
      <c r="B341" s="97"/>
      <c r="C341" s="97"/>
      <c r="D341" s="97"/>
      <c r="E341" s="97"/>
      <c r="F341" s="97"/>
      <c r="G341" s="97"/>
      <c r="H341" s="97"/>
      <c r="I341" s="97"/>
      <c r="J341" s="97"/>
      <c r="K341" s="97"/>
      <c r="L341" s="97"/>
      <c r="M341" s="97"/>
      <c r="AK341" s="76"/>
      <c r="AL341" s="97"/>
      <c r="AM341" s="97"/>
      <c r="AN341" s="97"/>
      <c r="AO341" s="97"/>
      <c r="AP341" s="97"/>
      <c r="AQ341" s="97"/>
      <c r="AR341" s="97"/>
      <c r="AS341" s="97"/>
      <c r="AT341" s="97"/>
      <c r="AU341" s="97"/>
      <c r="AV341" s="97"/>
      <c r="AW341" s="97"/>
    </row>
    <row r="342" spans="1:49" hidden="1" x14ac:dyDescent="0.35">
      <c r="A342" s="76"/>
      <c r="B342" s="97"/>
      <c r="C342" s="97"/>
      <c r="D342" s="97"/>
      <c r="E342" s="97"/>
      <c r="F342" s="97"/>
      <c r="G342" s="97"/>
      <c r="H342" s="97"/>
      <c r="I342" s="97"/>
      <c r="J342" s="97"/>
      <c r="K342" s="97"/>
      <c r="L342" s="97"/>
      <c r="M342" s="97"/>
      <c r="AK342" s="76"/>
      <c r="AL342" s="97"/>
      <c r="AM342" s="97"/>
      <c r="AN342" s="97"/>
      <c r="AO342" s="97"/>
      <c r="AP342" s="97"/>
      <c r="AQ342" s="97"/>
      <c r="AR342" s="97"/>
      <c r="AS342" s="97"/>
      <c r="AT342" s="97"/>
      <c r="AU342" s="97"/>
      <c r="AV342" s="97"/>
      <c r="AW342" s="97"/>
    </row>
    <row r="343" spans="1:49" hidden="1" x14ac:dyDescent="0.35">
      <c r="A343" s="76"/>
      <c r="B343" s="97"/>
      <c r="C343" s="97"/>
      <c r="D343" s="97"/>
      <c r="E343" s="97"/>
      <c r="F343" s="97"/>
      <c r="G343" s="97"/>
      <c r="H343" s="97"/>
      <c r="I343" s="97"/>
      <c r="J343" s="97"/>
      <c r="K343" s="97"/>
      <c r="L343" s="97"/>
      <c r="M343" s="97"/>
      <c r="AK343" s="76"/>
      <c r="AL343" s="124"/>
      <c r="AM343" s="124"/>
      <c r="AN343" s="124"/>
      <c r="AO343" s="124"/>
      <c r="AP343" s="124"/>
      <c r="AQ343" s="124"/>
      <c r="AR343" s="124"/>
      <c r="AS343" s="124"/>
      <c r="AT343" s="124"/>
      <c r="AU343" s="124"/>
      <c r="AV343" s="124"/>
      <c r="AW343" s="124"/>
    </row>
    <row r="344" spans="1:49" ht="18" hidden="1" x14ac:dyDescent="0.4">
      <c r="A344" s="72"/>
      <c r="B344" s="122"/>
      <c r="C344" s="97"/>
      <c r="D344" s="97"/>
      <c r="E344" s="97"/>
      <c r="F344" s="97"/>
      <c r="G344" s="97"/>
      <c r="H344" s="97"/>
      <c r="I344" s="97"/>
      <c r="J344" s="97"/>
      <c r="K344" s="97"/>
      <c r="L344" s="97"/>
      <c r="M344" s="97"/>
      <c r="AK344" s="76"/>
      <c r="AL344" s="134"/>
      <c r="AM344" s="134"/>
      <c r="AN344" s="134"/>
      <c r="AO344" s="134"/>
      <c r="AP344" s="134"/>
      <c r="AQ344" s="134"/>
      <c r="AR344" s="134"/>
      <c r="AS344" s="134"/>
      <c r="AT344" s="134"/>
      <c r="AU344" s="134"/>
      <c r="AV344" s="134"/>
      <c r="AW344" s="134"/>
    </row>
    <row r="345" spans="1:49" ht="18" hidden="1" x14ac:dyDescent="0.4">
      <c r="A345" s="76"/>
      <c r="B345" s="52"/>
      <c r="C345" s="51"/>
      <c r="D345" s="52"/>
      <c r="E345" s="52"/>
      <c r="F345" s="52"/>
      <c r="G345" s="52"/>
      <c r="H345" s="52"/>
      <c r="I345" s="52"/>
      <c r="J345" s="52"/>
      <c r="K345" s="52"/>
      <c r="L345" s="52"/>
      <c r="M345" s="52"/>
      <c r="AK345" s="76"/>
      <c r="AL345" s="121"/>
      <c r="AM345" s="121"/>
      <c r="AN345" s="121"/>
      <c r="AO345" s="121"/>
      <c r="AP345" s="121"/>
      <c r="AQ345" s="121"/>
      <c r="AR345" s="121"/>
      <c r="AS345" s="121"/>
      <c r="AT345" s="121"/>
      <c r="AU345" s="121"/>
      <c r="AV345" s="121"/>
      <c r="AW345" s="121"/>
    </row>
    <row r="346" spans="1:49" ht="18" hidden="1" x14ac:dyDescent="0.4">
      <c r="A346" s="57"/>
      <c r="B346" s="100"/>
      <c r="C346" s="100"/>
      <c r="D346" s="100"/>
      <c r="E346" s="100"/>
      <c r="F346" s="100"/>
      <c r="G346" s="100"/>
      <c r="H346" s="100"/>
      <c r="I346" s="100"/>
      <c r="J346" s="100"/>
      <c r="K346" s="100"/>
      <c r="L346" s="100"/>
      <c r="M346" s="100"/>
      <c r="AK346" s="76"/>
      <c r="AL346" s="97"/>
      <c r="AM346" s="97"/>
      <c r="AN346" s="97"/>
      <c r="AO346" s="97"/>
      <c r="AP346" s="97"/>
      <c r="AQ346" s="97"/>
      <c r="AR346" s="97"/>
      <c r="AS346" s="97"/>
      <c r="AT346" s="97"/>
      <c r="AU346" s="97"/>
      <c r="AV346" s="97"/>
      <c r="AW346" s="97"/>
    </row>
    <row r="347" spans="1:49" hidden="1" x14ac:dyDescent="0.35">
      <c r="A347" s="76"/>
      <c r="B347" s="97"/>
      <c r="C347" s="97"/>
      <c r="D347" s="97"/>
      <c r="E347" s="97"/>
      <c r="F347" s="97"/>
      <c r="G347" s="97"/>
      <c r="H347" s="97"/>
      <c r="I347" s="97"/>
      <c r="J347" s="97"/>
      <c r="K347" s="97"/>
      <c r="L347" s="97"/>
      <c r="M347" s="97"/>
      <c r="AK347" s="76"/>
      <c r="AL347" s="97"/>
      <c r="AM347" s="97"/>
      <c r="AN347" s="97"/>
      <c r="AO347" s="97"/>
      <c r="AP347" s="97"/>
      <c r="AQ347" s="97"/>
      <c r="AR347" s="97"/>
      <c r="AS347" s="97"/>
      <c r="AT347" s="97"/>
      <c r="AU347" s="97"/>
      <c r="AV347" s="97"/>
      <c r="AW347" s="97"/>
    </row>
    <row r="348" spans="1:49" hidden="1" x14ac:dyDescent="0.35">
      <c r="A348" s="76"/>
      <c r="B348" s="97"/>
      <c r="C348" s="97"/>
      <c r="D348" s="97"/>
      <c r="E348" s="97"/>
      <c r="F348" s="97"/>
      <c r="G348" s="97"/>
      <c r="H348" s="97"/>
      <c r="I348" s="97"/>
      <c r="J348" s="97"/>
      <c r="K348" s="97"/>
      <c r="L348" s="97"/>
      <c r="M348" s="97"/>
      <c r="AK348" s="76"/>
      <c r="AL348" s="97"/>
      <c r="AM348" s="97"/>
      <c r="AN348" s="97"/>
      <c r="AO348" s="97"/>
      <c r="AP348" s="97"/>
      <c r="AQ348" s="97"/>
      <c r="AR348" s="97"/>
      <c r="AS348" s="97"/>
      <c r="AT348" s="97"/>
      <c r="AU348" s="97"/>
      <c r="AV348" s="97"/>
      <c r="AW348" s="97"/>
    </row>
    <row r="349" spans="1:49" ht="18" hidden="1" x14ac:dyDescent="0.4">
      <c r="A349" s="76"/>
      <c r="B349" s="97"/>
      <c r="C349" s="97"/>
      <c r="D349" s="97"/>
      <c r="E349" s="97"/>
      <c r="F349" s="97"/>
      <c r="G349" s="97"/>
      <c r="H349" s="97"/>
      <c r="I349" s="97"/>
      <c r="J349" s="97"/>
      <c r="K349" s="97"/>
      <c r="L349" s="97"/>
      <c r="M349" s="97"/>
      <c r="AK349" s="72"/>
      <c r="AL349" s="122"/>
      <c r="AM349" s="97"/>
      <c r="AN349" s="97"/>
      <c r="AO349" s="97"/>
      <c r="AP349" s="97"/>
      <c r="AQ349" s="97"/>
      <c r="AR349" s="97"/>
      <c r="AS349" s="97"/>
      <c r="AT349" s="97"/>
      <c r="AU349" s="97"/>
      <c r="AV349" s="97"/>
      <c r="AW349" s="97"/>
    </row>
    <row r="350" spans="1:49" ht="18" hidden="1" x14ac:dyDescent="0.4">
      <c r="A350" s="76"/>
      <c r="B350" s="97"/>
      <c r="C350" s="97"/>
      <c r="D350" s="97"/>
      <c r="E350" s="97"/>
      <c r="F350" s="97"/>
      <c r="G350" s="97"/>
      <c r="H350" s="97"/>
      <c r="I350" s="97"/>
      <c r="J350" s="97"/>
      <c r="K350" s="97"/>
      <c r="L350" s="97"/>
      <c r="M350" s="97"/>
      <c r="AK350" s="76"/>
      <c r="AL350" s="52"/>
      <c r="AM350" s="51"/>
      <c r="AN350" s="52"/>
      <c r="AO350" s="52"/>
      <c r="AP350" s="52"/>
      <c r="AQ350" s="52"/>
      <c r="AR350" s="52"/>
      <c r="AS350" s="52"/>
      <c r="AT350" s="52"/>
      <c r="AU350" s="52"/>
      <c r="AV350" s="52"/>
      <c r="AW350" s="52"/>
    </row>
    <row r="351" spans="1:49" ht="18" hidden="1" x14ac:dyDescent="0.4">
      <c r="A351" s="76"/>
      <c r="B351" s="97"/>
      <c r="C351" s="97"/>
      <c r="D351" s="97"/>
      <c r="E351" s="97"/>
      <c r="F351" s="97"/>
      <c r="G351" s="97"/>
      <c r="H351" s="97"/>
      <c r="I351" s="97"/>
      <c r="J351" s="97"/>
      <c r="K351" s="97"/>
      <c r="L351" s="97"/>
      <c r="M351" s="97"/>
      <c r="AK351" s="57"/>
      <c r="AL351" s="100"/>
      <c r="AM351" s="100"/>
      <c r="AN351" s="100"/>
      <c r="AO351" s="100"/>
      <c r="AP351" s="100"/>
      <c r="AQ351" s="100"/>
      <c r="AR351" s="100"/>
      <c r="AS351" s="100"/>
      <c r="AT351" s="100"/>
      <c r="AU351" s="100"/>
      <c r="AV351" s="100"/>
      <c r="AW351" s="100"/>
    </row>
    <row r="352" spans="1:49" hidden="1" x14ac:dyDescent="0.35">
      <c r="A352" s="76"/>
      <c r="B352" s="97"/>
      <c r="C352" s="97"/>
      <c r="D352" s="97"/>
      <c r="E352" s="97"/>
      <c r="F352" s="97"/>
      <c r="G352" s="97"/>
      <c r="H352" s="97"/>
      <c r="I352" s="97"/>
      <c r="J352" s="97"/>
      <c r="K352" s="97"/>
      <c r="L352" s="97"/>
      <c r="M352" s="97"/>
      <c r="AK352" s="76"/>
      <c r="AL352" s="97"/>
      <c r="AM352" s="97"/>
      <c r="AN352" s="97"/>
      <c r="AO352" s="97"/>
      <c r="AP352" s="97"/>
      <c r="AQ352" s="97"/>
      <c r="AR352" s="97"/>
      <c r="AS352" s="97"/>
      <c r="AT352" s="97"/>
      <c r="AU352" s="97"/>
      <c r="AV352" s="97"/>
      <c r="AW352" s="97"/>
    </row>
    <row r="353" spans="1:49" hidden="1" x14ac:dyDescent="0.35">
      <c r="A353" s="76"/>
      <c r="B353" s="124"/>
      <c r="C353" s="124"/>
      <c r="D353" s="124"/>
      <c r="E353" s="124"/>
      <c r="F353" s="124"/>
      <c r="G353" s="124"/>
      <c r="H353" s="124"/>
      <c r="I353" s="124"/>
      <c r="J353" s="124"/>
      <c r="K353" s="124"/>
      <c r="L353" s="124"/>
      <c r="M353" s="124"/>
      <c r="AK353" s="76"/>
      <c r="AL353" s="97"/>
      <c r="AM353" s="97"/>
      <c r="AN353" s="97"/>
      <c r="AO353" s="97"/>
      <c r="AP353" s="97"/>
      <c r="AQ353" s="97"/>
      <c r="AR353" s="97"/>
      <c r="AS353" s="97"/>
      <c r="AT353" s="97"/>
      <c r="AU353" s="97"/>
      <c r="AV353" s="97"/>
      <c r="AW353" s="97"/>
    </row>
    <row r="354" spans="1:49" hidden="1" x14ac:dyDescent="0.35">
      <c r="A354" s="76"/>
      <c r="B354" s="134"/>
      <c r="C354" s="134"/>
      <c r="D354" s="134"/>
      <c r="E354" s="134"/>
      <c r="F354" s="134"/>
      <c r="G354" s="134"/>
      <c r="H354" s="134"/>
      <c r="I354" s="134"/>
      <c r="J354" s="134"/>
      <c r="K354" s="134"/>
      <c r="L354" s="134"/>
      <c r="M354" s="134"/>
      <c r="AK354" s="76"/>
      <c r="AL354" s="97"/>
      <c r="AM354" s="97"/>
      <c r="AN354" s="97"/>
      <c r="AO354" s="97"/>
      <c r="AP354" s="97"/>
      <c r="AQ354" s="97"/>
      <c r="AR354" s="97"/>
      <c r="AS354" s="97"/>
      <c r="AT354" s="97"/>
      <c r="AU354" s="97"/>
      <c r="AV354" s="97"/>
      <c r="AW354" s="97"/>
    </row>
    <row r="355" spans="1:49" hidden="1" x14ac:dyDescent="0.35">
      <c r="A355" s="76"/>
      <c r="B355" s="121"/>
      <c r="C355" s="121"/>
      <c r="D355" s="121"/>
      <c r="E355" s="121"/>
      <c r="F355" s="121"/>
      <c r="G355" s="121"/>
      <c r="H355" s="121"/>
      <c r="I355" s="121"/>
      <c r="J355" s="121"/>
      <c r="K355" s="121"/>
      <c r="L355" s="121"/>
      <c r="M355" s="121"/>
      <c r="AK355" s="76"/>
      <c r="AL355" s="97"/>
      <c r="AM355" s="97"/>
      <c r="AN355" s="97"/>
      <c r="AO355" s="97"/>
      <c r="AP355" s="97"/>
      <c r="AQ355" s="97"/>
      <c r="AR355" s="97"/>
      <c r="AS355" s="97"/>
      <c r="AT355" s="97"/>
      <c r="AU355" s="97"/>
      <c r="AV355" s="97"/>
      <c r="AW355" s="97"/>
    </row>
    <row r="356" spans="1:49" hidden="1" x14ac:dyDescent="0.35">
      <c r="A356" s="76"/>
      <c r="B356" s="97"/>
      <c r="C356" s="97"/>
      <c r="D356" s="97"/>
      <c r="E356" s="97"/>
      <c r="F356" s="97"/>
      <c r="G356" s="97"/>
      <c r="H356" s="97"/>
      <c r="I356" s="97"/>
      <c r="J356" s="97"/>
      <c r="K356" s="97"/>
      <c r="L356" s="97"/>
      <c r="M356" s="97"/>
      <c r="AK356" s="76"/>
      <c r="AL356" s="97"/>
      <c r="AM356" s="97"/>
      <c r="AN356" s="97"/>
      <c r="AO356" s="97"/>
      <c r="AP356" s="97"/>
      <c r="AQ356" s="97"/>
      <c r="AR356" s="97"/>
      <c r="AS356" s="97"/>
      <c r="AT356" s="97"/>
      <c r="AU356" s="97"/>
      <c r="AV356" s="97"/>
      <c r="AW356" s="97"/>
    </row>
    <row r="357" spans="1:49" hidden="1" x14ac:dyDescent="0.35">
      <c r="A357" s="76"/>
      <c r="B357" s="97"/>
      <c r="C357" s="97"/>
      <c r="D357" s="97"/>
      <c r="E357" s="97"/>
      <c r="F357" s="97"/>
      <c r="G357" s="97"/>
      <c r="H357" s="97"/>
      <c r="I357" s="97"/>
      <c r="J357" s="97"/>
      <c r="K357" s="97"/>
      <c r="L357" s="97"/>
      <c r="M357" s="97"/>
      <c r="AK357" s="76"/>
      <c r="AL357" s="97"/>
      <c r="AM357" s="97"/>
      <c r="AN357" s="97"/>
      <c r="AO357" s="97"/>
      <c r="AP357" s="97"/>
      <c r="AQ357" s="97"/>
      <c r="AR357" s="97"/>
      <c r="AS357" s="97"/>
      <c r="AT357" s="97"/>
      <c r="AU357" s="97"/>
      <c r="AV357" s="97"/>
      <c r="AW357" s="97"/>
    </row>
    <row r="358" spans="1:49" hidden="1" x14ac:dyDescent="0.35">
      <c r="A358" s="76"/>
      <c r="B358" s="97"/>
      <c r="C358" s="97"/>
      <c r="D358" s="97"/>
      <c r="E358" s="97"/>
      <c r="F358" s="97"/>
      <c r="G358" s="97"/>
      <c r="H358" s="97"/>
      <c r="I358" s="97"/>
      <c r="J358" s="97"/>
      <c r="K358" s="97"/>
      <c r="L358" s="97"/>
      <c r="M358" s="97"/>
      <c r="AK358" s="76"/>
      <c r="AL358" s="124"/>
      <c r="AM358" s="124"/>
      <c r="AN358" s="124"/>
      <c r="AO358" s="124"/>
      <c r="AP358" s="124"/>
      <c r="AQ358" s="124"/>
      <c r="AR358" s="124"/>
      <c r="AS358" s="124"/>
      <c r="AT358" s="124"/>
      <c r="AU358" s="124"/>
      <c r="AV358" s="124"/>
      <c r="AW358" s="124"/>
    </row>
    <row r="359" spans="1:49" ht="18" hidden="1" x14ac:dyDescent="0.4">
      <c r="A359" s="72"/>
      <c r="B359" s="122"/>
      <c r="C359" s="97"/>
      <c r="D359" s="97"/>
      <c r="E359" s="97"/>
      <c r="F359" s="97"/>
      <c r="G359" s="97"/>
      <c r="H359" s="97"/>
      <c r="I359" s="97"/>
      <c r="J359" s="97"/>
      <c r="K359" s="97"/>
      <c r="L359" s="97"/>
      <c r="M359" s="97"/>
      <c r="AK359" s="76"/>
      <c r="AL359" s="134"/>
      <c r="AM359" s="134"/>
      <c r="AN359" s="134"/>
      <c r="AO359" s="134"/>
      <c r="AP359" s="134"/>
      <c r="AQ359" s="134"/>
      <c r="AR359" s="134"/>
      <c r="AS359" s="134"/>
      <c r="AT359" s="134"/>
      <c r="AU359" s="134"/>
      <c r="AV359" s="134"/>
      <c r="AW359" s="134"/>
    </row>
    <row r="360" spans="1:49" ht="18" hidden="1" x14ac:dyDescent="0.4">
      <c r="A360" s="76"/>
      <c r="B360" s="52"/>
      <c r="C360" s="51"/>
      <c r="D360" s="52"/>
      <c r="E360" s="52"/>
      <c r="F360" s="52"/>
      <c r="G360" s="52"/>
      <c r="H360" s="52"/>
      <c r="I360" s="52"/>
      <c r="J360" s="52"/>
      <c r="K360" s="52"/>
      <c r="L360" s="52"/>
      <c r="M360" s="52"/>
      <c r="AK360" s="76"/>
      <c r="AL360" s="121"/>
      <c r="AM360" s="121"/>
      <c r="AN360" s="121"/>
      <c r="AO360" s="121"/>
      <c r="AP360" s="121"/>
      <c r="AQ360" s="121"/>
      <c r="AR360" s="121"/>
      <c r="AS360" s="121"/>
      <c r="AT360" s="121"/>
      <c r="AU360" s="121"/>
      <c r="AV360" s="121"/>
      <c r="AW360" s="121"/>
    </row>
    <row r="361" spans="1:49" ht="18" hidden="1" x14ac:dyDescent="0.4">
      <c r="A361" s="57"/>
      <c r="B361" s="100"/>
      <c r="C361" s="100"/>
      <c r="D361" s="100"/>
      <c r="E361" s="100"/>
      <c r="F361" s="100"/>
      <c r="G361" s="100"/>
      <c r="H361" s="100"/>
      <c r="I361" s="100"/>
      <c r="J361" s="100"/>
      <c r="K361" s="100"/>
      <c r="L361" s="100"/>
      <c r="M361" s="100"/>
      <c r="AK361" s="76"/>
      <c r="AL361" s="97"/>
      <c r="AM361" s="97"/>
      <c r="AN361" s="97"/>
      <c r="AO361" s="97"/>
      <c r="AP361" s="97"/>
      <c r="AQ361" s="97"/>
      <c r="AR361" s="97"/>
      <c r="AS361" s="97"/>
      <c r="AT361" s="97"/>
      <c r="AU361" s="97"/>
      <c r="AV361" s="97"/>
      <c r="AW361" s="97"/>
    </row>
    <row r="362" spans="1:49" hidden="1" x14ac:dyDescent="0.35">
      <c r="A362" s="76"/>
      <c r="B362" s="97"/>
      <c r="C362" s="97"/>
      <c r="D362" s="97"/>
      <c r="E362" s="97"/>
      <c r="F362" s="97"/>
      <c r="G362" s="97"/>
      <c r="H362" s="97"/>
      <c r="I362" s="97"/>
      <c r="J362" s="97"/>
      <c r="K362" s="97"/>
      <c r="L362" s="97"/>
      <c r="M362" s="97"/>
      <c r="AK362" s="76"/>
      <c r="AL362" s="97"/>
      <c r="AM362" s="97"/>
      <c r="AN362" s="97"/>
      <c r="AO362" s="97"/>
      <c r="AP362" s="97"/>
      <c r="AQ362" s="97"/>
      <c r="AR362" s="97"/>
      <c r="AS362" s="97"/>
      <c r="AT362" s="97"/>
      <c r="AU362" s="97"/>
      <c r="AV362" s="97"/>
      <c r="AW362" s="97"/>
    </row>
    <row r="363" spans="1:49" hidden="1" x14ac:dyDescent="0.35">
      <c r="A363" s="76"/>
      <c r="B363" s="97"/>
      <c r="C363" s="97"/>
      <c r="D363" s="97"/>
      <c r="E363" s="97"/>
      <c r="F363" s="97"/>
      <c r="G363" s="97"/>
      <c r="H363" s="97"/>
      <c r="I363" s="97"/>
      <c r="J363" s="97"/>
      <c r="K363" s="97"/>
      <c r="L363" s="97"/>
      <c r="M363" s="97"/>
      <c r="AK363" s="76"/>
      <c r="AL363" s="97"/>
      <c r="AM363" s="97"/>
      <c r="AN363" s="97"/>
      <c r="AO363" s="97"/>
      <c r="AP363" s="97"/>
      <c r="AQ363" s="97"/>
      <c r="AR363" s="97"/>
      <c r="AS363" s="97"/>
      <c r="AT363" s="97"/>
      <c r="AU363" s="97"/>
      <c r="AV363" s="97"/>
      <c r="AW363" s="97"/>
    </row>
    <row r="364" spans="1:49" ht="18" hidden="1" x14ac:dyDescent="0.4">
      <c r="A364" s="76"/>
      <c r="B364" s="97"/>
      <c r="C364" s="97"/>
      <c r="D364" s="97"/>
      <c r="E364" s="97"/>
      <c r="F364" s="97"/>
      <c r="G364" s="97"/>
      <c r="H364" s="97"/>
      <c r="I364" s="97"/>
      <c r="J364" s="97"/>
      <c r="K364" s="97"/>
      <c r="L364" s="97"/>
      <c r="M364" s="97"/>
      <c r="AK364" s="72"/>
      <c r="AL364" s="122"/>
      <c r="AM364" s="97"/>
      <c r="AN364" s="97"/>
      <c r="AO364" s="97"/>
      <c r="AP364" s="97"/>
      <c r="AQ364" s="97"/>
      <c r="AR364" s="97"/>
      <c r="AS364" s="97"/>
      <c r="AT364" s="97"/>
      <c r="AU364" s="97"/>
      <c r="AV364" s="97"/>
      <c r="AW364" s="97"/>
    </row>
    <row r="365" spans="1:49" ht="18" hidden="1" x14ac:dyDescent="0.4">
      <c r="A365" s="76"/>
      <c r="B365" s="97"/>
      <c r="C365" s="97"/>
      <c r="D365" s="97"/>
      <c r="E365" s="97"/>
      <c r="F365" s="97"/>
      <c r="G365" s="97"/>
      <c r="H365" s="97"/>
      <c r="I365" s="97"/>
      <c r="J365" s="97"/>
      <c r="K365" s="97"/>
      <c r="L365" s="97"/>
      <c r="M365" s="97"/>
      <c r="AK365" s="76"/>
      <c r="AL365" s="52"/>
      <c r="AM365" s="51"/>
      <c r="AN365" s="52"/>
      <c r="AO365" s="52"/>
      <c r="AP365" s="52"/>
      <c r="AQ365" s="52"/>
      <c r="AR365" s="52"/>
      <c r="AS365" s="52"/>
      <c r="AT365" s="52"/>
      <c r="AU365" s="52"/>
      <c r="AV365" s="52"/>
      <c r="AW365" s="52"/>
    </row>
    <row r="366" spans="1:49" ht="18" hidden="1" x14ac:dyDescent="0.4">
      <c r="A366" s="76"/>
      <c r="B366" s="97"/>
      <c r="C366" s="97"/>
      <c r="D366" s="97"/>
      <c r="E366" s="97"/>
      <c r="F366" s="97"/>
      <c r="G366" s="97"/>
      <c r="H366" s="97"/>
      <c r="I366" s="97"/>
      <c r="J366" s="97"/>
      <c r="K366" s="97"/>
      <c r="L366" s="97"/>
      <c r="M366" s="97"/>
      <c r="AK366" s="57"/>
      <c r="AL366" s="100"/>
      <c r="AM366" s="100"/>
      <c r="AN366" s="100"/>
      <c r="AO366" s="100"/>
      <c r="AP366" s="100"/>
      <c r="AQ366" s="100"/>
      <c r="AR366" s="100"/>
      <c r="AS366" s="100"/>
      <c r="AT366" s="100"/>
      <c r="AU366" s="100"/>
      <c r="AV366" s="100"/>
      <c r="AW366" s="100"/>
    </row>
    <row r="367" spans="1:49" hidden="1" x14ac:dyDescent="0.35">
      <c r="A367" s="76"/>
      <c r="B367" s="97"/>
      <c r="C367" s="97"/>
      <c r="D367" s="97"/>
      <c r="E367" s="97"/>
      <c r="F367" s="97"/>
      <c r="G367" s="97"/>
      <c r="H367" s="97"/>
      <c r="I367" s="97"/>
      <c r="J367" s="97"/>
      <c r="K367" s="97"/>
      <c r="L367" s="97"/>
      <c r="M367" s="97"/>
      <c r="AK367" s="76"/>
      <c r="AL367" s="97"/>
      <c r="AM367" s="97"/>
      <c r="AN367" s="97"/>
      <c r="AO367" s="97"/>
      <c r="AP367" s="97"/>
      <c r="AQ367" s="97"/>
      <c r="AR367" s="97"/>
      <c r="AS367" s="97"/>
      <c r="AT367" s="97"/>
      <c r="AU367" s="97"/>
      <c r="AV367" s="97"/>
      <c r="AW367" s="97"/>
    </row>
    <row r="368" spans="1:49" hidden="1" x14ac:dyDescent="0.35">
      <c r="A368" s="76"/>
      <c r="B368" s="124"/>
      <c r="C368" s="124"/>
      <c r="D368" s="124"/>
      <c r="E368" s="124"/>
      <c r="F368" s="124"/>
      <c r="G368" s="124"/>
      <c r="H368" s="124"/>
      <c r="I368" s="124"/>
      <c r="J368" s="124"/>
      <c r="K368" s="124"/>
      <c r="L368" s="124"/>
      <c r="M368" s="124"/>
      <c r="AK368" s="76"/>
      <c r="AL368" s="97"/>
      <c r="AM368" s="97"/>
      <c r="AN368" s="97"/>
      <c r="AO368" s="97"/>
      <c r="AP368" s="97"/>
      <c r="AQ368" s="97"/>
      <c r="AR368" s="97"/>
      <c r="AS368" s="97"/>
      <c r="AT368" s="97"/>
      <c r="AU368" s="97"/>
      <c r="AV368" s="97"/>
      <c r="AW368" s="97"/>
    </row>
    <row r="369" spans="1:49" hidden="1" x14ac:dyDescent="0.35">
      <c r="A369" s="76"/>
      <c r="B369" s="134"/>
      <c r="C369" s="134"/>
      <c r="D369" s="134"/>
      <c r="E369" s="134"/>
      <c r="F369" s="134"/>
      <c r="G369" s="134"/>
      <c r="H369" s="134"/>
      <c r="I369" s="134"/>
      <c r="J369" s="134"/>
      <c r="K369" s="134"/>
      <c r="L369" s="134"/>
      <c r="M369" s="134"/>
      <c r="AK369" s="76"/>
      <c r="AL369" s="97"/>
      <c r="AM369" s="97"/>
      <c r="AN369" s="97"/>
      <c r="AO369" s="97"/>
      <c r="AP369" s="97"/>
      <c r="AQ369" s="97"/>
      <c r="AR369" s="97"/>
      <c r="AS369" s="97"/>
      <c r="AT369" s="97"/>
      <c r="AU369" s="97"/>
      <c r="AV369" s="97"/>
      <c r="AW369" s="97"/>
    </row>
    <row r="370" spans="1:49" hidden="1" x14ac:dyDescent="0.35">
      <c r="A370" s="76"/>
      <c r="B370" s="121"/>
      <c r="C370" s="121"/>
      <c r="D370" s="121"/>
      <c r="E370" s="121"/>
      <c r="F370" s="121"/>
      <c r="G370" s="121"/>
      <c r="H370" s="121"/>
      <c r="I370" s="121"/>
      <c r="J370" s="121"/>
      <c r="K370" s="121"/>
      <c r="L370" s="121"/>
      <c r="M370" s="121"/>
      <c r="AK370" s="76"/>
      <c r="AL370" s="97"/>
      <c r="AM370" s="97"/>
      <c r="AN370" s="97"/>
      <c r="AO370" s="97"/>
      <c r="AP370" s="97"/>
      <c r="AQ370" s="97"/>
      <c r="AR370" s="97"/>
      <c r="AS370" s="97"/>
      <c r="AT370" s="97"/>
      <c r="AU370" s="97"/>
      <c r="AV370" s="97"/>
      <c r="AW370" s="97"/>
    </row>
    <row r="371" spans="1:49" hidden="1" x14ac:dyDescent="0.35">
      <c r="A371" s="76"/>
      <c r="B371" s="97"/>
      <c r="C371" s="97"/>
      <c r="D371" s="97"/>
      <c r="E371" s="97"/>
      <c r="F371" s="97"/>
      <c r="G371" s="97"/>
      <c r="H371" s="97"/>
      <c r="I371" s="97"/>
      <c r="J371" s="97"/>
      <c r="K371" s="97"/>
      <c r="L371" s="97"/>
      <c r="M371" s="97"/>
      <c r="AK371" s="76"/>
      <c r="AL371" s="97"/>
      <c r="AM371" s="97"/>
      <c r="AN371" s="97"/>
      <c r="AO371" s="97"/>
      <c r="AP371" s="97"/>
      <c r="AQ371" s="97"/>
      <c r="AR371" s="97"/>
      <c r="AS371" s="97"/>
      <c r="AT371" s="97"/>
      <c r="AU371" s="97"/>
      <c r="AV371" s="97"/>
      <c r="AW371" s="97"/>
    </row>
    <row r="372" spans="1:49" hidden="1" x14ac:dyDescent="0.35">
      <c r="A372" s="76"/>
      <c r="B372" s="97"/>
      <c r="C372" s="97"/>
      <c r="D372" s="97"/>
      <c r="E372" s="97"/>
      <c r="F372" s="97"/>
      <c r="G372" s="97"/>
      <c r="H372" s="97"/>
      <c r="I372" s="97"/>
      <c r="J372" s="97"/>
      <c r="K372" s="97"/>
      <c r="L372" s="97"/>
      <c r="M372" s="97"/>
      <c r="AK372" s="76"/>
      <c r="AL372" s="97"/>
      <c r="AM372" s="97"/>
      <c r="AN372" s="97"/>
      <c r="AO372" s="97"/>
      <c r="AP372" s="97"/>
      <c r="AQ372" s="97"/>
      <c r="AR372" s="97"/>
      <c r="AS372" s="97"/>
      <c r="AT372" s="97"/>
      <c r="AU372" s="97"/>
      <c r="AV372" s="97"/>
      <c r="AW372" s="97"/>
    </row>
    <row r="373" spans="1:49" hidden="1" x14ac:dyDescent="0.35">
      <c r="A373" s="76"/>
      <c r="B373" s="97"/>
      <c r="C373" s="97"/>
      <c r="D373" s="97"/>
      <c r="E373" s="97"/>
      <c r="F373" s="97"/>
      <c r="G373" s="97"/>
      <c r="H373" s="97"/>
      <c r="I373" s="97"/>
      <c r="J373" s="97"/>
      <c r="K373" s="97"/>
      <c r="L373" s="97"/>
      <c r="M373" s="97"/>
      <c r="AK373" s="76"/>
      <c r="AL373" s="124"/>
      <c r="AM373" s="124"/>
      <c r="AN373" s="124"/>
      <c r="AO373" s="124"/>
      <c r="AP373" s="124"/>
      <c r="AQ373" s="124"/>
      <c r="AR373" s="124"/>
      <c r="AS373" s="124"/>
      <c r="AT373" s="124"/>
      <c r="AU373" s="124"/>
      <c r="AV373" s="124"/>
      <c r="AW373" s="124"/>
    </row>
    <row r="374" spans="1:49" ht="18" hidden="1" x14ac:dyDescent="0.4">
      <c r="A374" s="72"/>
      <c r="B374" s="122"/>
      <c r="C374" s="97"/>
      <c r="D374" s="97"/>
      <c r="E374" s="97"/>
      <c r="F374" s="97"/>
      <c r="G374" s="97"/>
      <c r="H374" s="97"/>
      <c r="I374" s="97"/>
      <c r="J374" s="97"/>
      <c r="K374" s="97"/>
      <c r="L374" s="97"/>
      <c r="M374" s="97"/>
      <c r="AK374" s="76"/>
      <c r="AL374" s="134"/>
      <c r="AM374" s="134"/>
      <c r="AN374" s="134"/>
      <c r="AO374" s="134"/>
      <c r="AP374" s="134"/>
      <c r="AQ374" s="134"/>
      <c r="AR374" s="134"/>
      <c r="AS374" s="134"/>
      <c r="AT374" s="134"/>
      <c r="AU374" s="134"/>
      <c r="AV374" s="134"/>
      <c r="AW374" s="134"/>
    </row>
    <row r="375" spans="1:49" ht="18" hidden="1" x14ac:dyDescent="0.4">
      <c r="A375" s="76"/>
      <c r="B375" s="52"/>
      <c r="C375" s="51"/>
      <c r="D375" s="52"/>
      <c r="E375" s="52"/>
      <c r="F375" s="52"/>
      <c r="G375" s="52"/>
      <c r="H375" s="52"/>
      <c r="I375" s="52"/>
      <c r="J375" s="52"/>
      <c r="K375" s="52"/>
      <c r="L375" s="52"/>
      <c r="M375" s="52"/>
      <c r="AK375" s="76"/>
      <c r="AL375" s="121"/>
      <c r="AM375" s="121"/>
      <c r="AN375" s="121"/>
      <c r="AO375" s="121"/>
      <c r="AP375" s="121"/>
      <c r="AQ375" s="121"/>
      <c r="AR375" s="121"/>
      <c r="AS375" s="121"/>
      <c r="AT375" s="121"/>
      <c r="AU375" s="121"/>
      <c r="AV375" s="121"/>
      <c r="AW375" s="121"/>
    </row>
    <row r="376" spans="1:49" ht="18" hidden="1" x14ac:dyDescent="0.4">
      <c r="A376" s="57"/>
      <c r="B376" s="100"/>
      <c r="C376" s="100"/>
      <c r="D376" s="100"/>
      <c r="E376" s="100"/>
      <c r="F376" s="100"/>
      <c r="G376" s="100"/>
      <c r="H376" s="100"/>
      <c r="I376" s="100"/>
      <c r="J376" s="100"/>
      <c r="K376" s="100"/>
      <c r="L376" s="100"/>
      <c r="M376" s="100"/>
      <c r="AK376" s="76"/>
      <c r="AL376" s="97"/>
      <c r="AM376" s="97"/>
      <c r="AN376" s="97"/>
      <c r="AO376" s="97"/>
      <c r="AP376" s="97"/>
      <c r="AQ376" s="97"/>
      <c r="AR376" s="97"/>
      <c r="AS376" s="97"/>
      <c r="AT376" s="97"/>
      <c r="AU376" s="97"/>
      <c r="AV376" s="97"/>
      <c r="AW376" s="97"/>
    </row>
    <row r="377" spans="1:49" hidden="1" x14ac:dyDescent="0.35">
      <c r="A377" s="76"/>
      <c r="B377" s="97"/>
      <c r="C377" s="97"/>
      <c r="D377" s="97"/>
      <c r="E377" s="97"/>
      <c r="F377" s="97"/>
      <c r="G377" s="97"/>
      <c r="H377" s="97"/>
      <c r="I377" s="97"/>
      <c r="J377" s="97"/>
      <c r="K377" s="97"/>
      <c r="L377" s="97"/>
      <c r="M377" s="97"/>
      <c r="AK377" s="76"/>
      <c r="AL377" s="97"/>
      <c r="AM377" s="97"/>
      <c r="AN377" s="97"/>
      <c r="AO377" s="97"/>
      <c r="AP377" s="97"/>
      <c r="AQ377" s="97"/>
      <c r="AR377" s="97"/>
      <c r="AS377" s="97"/>
      <c r="AT377" s="97"/>
      <c r="AU377" s="97"/>
      <c r="AV377" s="97"/>
      <c r="AW377" s="97"/>
    </row>
    <row r="378" spans="1:49" hidden="1" x14ac:dyDescent="0.35">
      <c r="A378" s="76"/>
      <c r="B378" s="97"/>
      <c r="C378" s="97"/>
      <c r="D378" s="97"/>
      <c r="E378" s="97"/>
      <c r="F378" s="97"/>
      <c r="G378" s="97"/>
      <c r="H378" s="97"/>
      <c r="I378" s="97"/>
      <c r="J378" s="97"/>
      <c r="K378" s="97"/>
      <c r="L378" s="97"/>
      <c r="M378" s="97"/>
      <c r="AK378" s="76"/>
      <c r="AL378" s="97"/>
      <c r="AM378" s="97"/>
      <c r="AN378" s="97"/>
      <c r="AO378" s="97"/>
      <c r="AP378" s="97"/>
      <c r="AQ378" s="97"/>
      <c r="AR378" s="97"/>
      <c r="AS378" s="97"/>
      <c r="AT378" s="97"/>
      <c r="AU378" s="97"/>
      <c r="AV378" s="97"/>
      <c r="AW378" s="97"/>
    </row>
    <row r="379" spans="1:49" ht="18" hidden="1" x14ac:dyDescent="0.4">
      <c r="A379" s="76"/>
      <c r="B379" s="97"/>
      <c r="C379" s="97"/>
      <c r="D379" s="97"/>
      <c r="E379" s="97"/>
      <c r="F379" s="97"/>
      <c r="G379" s="97"/>
      <c r="H379" s="97"/>
      <c r="I379" s="97"/>
      <c r="J379" s="97"/>
      <c r="K379" s="97"/>
      <c r="L379" s="97"/>
      <c r="M379" s="97"/>
      <c r="AK379" s="72"/>
      <c r="AL379" s="122"/>
      <c r="AM379" s="97"/>
      <c r="AN379" s="97"/>
      <c r="AO379" s="97"/>
      <c r="AP379" s="97"/>
      <c r="AQ379" s="97"/>
      <c r="AR379" s="97"/>
      <c r="AS379" s="97"/>
      <c r="AT379" s="97"/>
      <c r="AU379" s="97"/>
      <c r="AV379" s="97"/>
      <c r="AW379" s="97"/>
    </row>
    <row r="380" spans="1:49" ht="18" hidden="1" x14ac:dyDescent="0.4">
      <c r="A380" s="76"/>
      <c r="B380" s="97"/>
      <c r="C380" s="97"/>
      <c r="D380" s="97"/>
      <c r="E380" s="97"/>
      <c r="F380" s="97"/>
      <c r="G380" s="97"/>
      <c r="H380" s="97"/>
      <c r="I380" s="97"/>
      <c r="J380" s="97"/>
      <c r="K380" s="97"/>
      <c r="L380" s="97"/>
      <c r="M380" s="97"/>
      <c r="AK380" s="76"/>
      <c r="AL380" s="52"/>
      <c r="AM380" s="51"/>
      <c r="AN380" s="52"/>
      <c r="AO380" s="52"/>
      <c r="AP380" s="52"/>
      <c r="AQ380" s="52"/>
      <c r="AR380" s="52"/>
      <c r="AS380" s="52"/>
      <c r="AT380" s="52"/>
      <c r="AU380" s="52"/>
      <c r="AV380" s="52"/>
      <c r="AW380" s="52"/>
    </row>
    <row r="381" spans="1:49" ht="18" hidden="1" x14ac:dyDescent="0.4">
      <c r="A381" s="76"/>
      <c r="B381" s="97"/>
      <c r="C381" s="97"/>
      <c r="D381" s="97"/>
      <c r="E381" s="97"/>
      <c r="F381" s="97"/>
      <c r="G381" s="97"/>
      <c r="H381" s="97"/>
      <c r="I381" s="97"/>
      <c r="J381" s="97"/>
      <c r="K381" s="97"/>
      <c r="L381" s="97"/>
      <c r="M381" s="97"/>
      <c r="AK381" s="57"/>
      <c r="AL381" s="100"/>
      <c r="AM381" s="100"/>
      <c r="AN381" s="100"/>
      <c r="AO381" s="100"/>
      <c r="AP381" s="100"/>
      <c r="AQ381" s="100"/>
      <c r="AR381" s="100"/>
      <c r="AS381" s="100"/>
      <c r="AT381" s="100"/>
      <c r="AU381" s="100"/>
      <c r="AV381" s="100"/>
      <c r="AW381" s="100"/>
    </row>
    <row r="382" spans="1:49" hidden="1" x14ac:dyDescent="0.35">
      <c r="A382" s="76"/>
      <c r="B382" s="97"/>
      <c r="C382" s="97"/>
      <c r="D382" s="97"/>
      <c r="E382" s="97"/>
      <c r="F382" s="97"/>
      <c r="G382" s="97"/>
      <c r="H382" s="97"/>
      <c r="I382" s="97"/>
      <c r="J382" s="97"/>
      <c r="K382" s="97"/>
      <c r="L382" s="97"/>
      <c r="M382" s="97"/>
      <c r="AK382" s="76"/>
      <c r="AL382" s="97"/>
      <c r="AM382" s="97"/>
      <c r="AN382" s="97"/>
      <c r="AO382" s="97"/>
      <c r="AP382" s="97"/>
      <c r="AQ382" s="97"/>
      <c r="AR382" s="97"/>
      <c r="AS382" s="97"/>
      <c r="AT382" s="97"/>
      <c r="AU382" s="97"/>
      <c r="AV382" s="97"/>
      <c r="AW382" s="97"/>
    </row>
    <row r="383" spans="1:49" hidden="1" x14ac:dyDescent="0.35">
      <c r="A383" s="76"/>
      <c r="B383" s="124"/>
      <c r="C383" s="124"/>
      <c r="D383" s="124"/>
      <c r="E383" s="124"/>
      <c r="F383" s="124"/>
      <c r="G383" s="124"/>
      <c r="H383" s="124"/>
      <c r="I383" s="124"/>
      <c r="J383" s="124"/>
      <c r="K383" s="124"/>
      <c r="L383" s="124"/>
      <c r="M383" s="124"/>
      <c r="AK383" s="76"/>
      <c r="AL383" s="97"/>
      <c r="AM383" s="97"/>
      <c r="AN383" s="97"/>
      <c r="AO383" s="97"/>
      <c r="AP383" s="97"/>
      <c r="AQ383" s="97"/>
      <c r="AR383" s="97"/>
      <c r="AS383" s="97"/>
      <c r="AT383" s="97"/>
      <c r="AU383" s="97"/>
      <c r="AV383" s="97"/>
      <c r="AW383" s="97"/>
    </row>
    <row r="384" spans="1:49" hidden="1" x14ac:dyDescent="0.35">
      <c r="A384" s="76"/>
      <c r="B384" s="134"/>
      <c r="C384" s="134"/>
      <c r="D384" s="134"/>
      <c r="E384" s="134"/>
      <c r="F384" s="134"/>
      <c r="G384" s="134"/>
      <c r="H384" s="134"/>
      <c r="I384" s="134"/>
      <c r="J384" s="134"/>
      <c r="K384" s="134"/>
      <c r="L384" s="134"/>
      <c r="M384" s="134"/>
      <c r="AK384" s="76"/>
      <c r="AL384" s="97"/>
      <c r="AM384" s="97"/>
      <c r="AN384" s="97"/>
      <c r="AO384" s="97"/>
      <c r="AP384" s="97"/>
      <c r="AQ384" s="97"/>
      <c r="AR384" s="97"/>
      <c r="AS384" s="97"/>
      <c r="AT384" s="97"/>
      <c r="AU384" s="97"/>
      <c r="AV384" s="97"/>
      <c r="AW384" s="97"/>
    </row>
    <row r="385" spans="1:49" hidden="1" x14ac:dyDescent="0.35">
      <c r="A385" s="76"/>
      <c r="B385" s="121"/>
      <c r="C385" s="121"/>
      <c r="D385" s="121"/>
      <c r="E385" s="121"/>
      <c r="F385" s="121"/>
      <c r="G385" s="121"/>
      <c r="H385" s="121"/>
      <c r="I385" s="121"/>
      <c r="J385" s="121"/>
      <c r="K385" s="121"/>
      <c r="L385" s="121"/>
      <c r="M385" s="121"/>
      <c r="AK385" s="76"/>
      <c r="AL385" s="97"/>
      <c r="AM385" s="97"/>
      <c r="AN385" s="97"/>
      <c r="AO385" s="97"/>
      <c r="AP385" s="97"/>
      <c r="AQ385" s="97"/>
      <c r="AR385" s="97"/>
      <c r="AS385" s="97"/>
      <c r="AT385" s="97"/>
      <c r="AU385" s="97"/>
      <c r="AV385" s="97"/>
      <c r="AW385" s="97"/>
    </row>
    <row r="386" spans="1:49" hidden="1" x14ac:dyDescent="0.35">
      <c r="A386" s="76"/>
      <c r="B386" s="97"/>
      <c r="C386" s="97"/>
      <c r="D386" s="97"/>
      <c r="E386" s="97"/>
      <c r="F386" s="97"/>
      <c r="G386" s="97"/>
      <c r="H386" s="97"/>
      <c r="I386" s="97"/>
      <c r="J386" s="97"/>
      <c r="K386" s="97"/>
      <c r="L386" s="97"/>
      <c r="M386" s="97"/>
      <c r="AK386" s="76"/>
      <c r="AL386" s="97"/>
      <c r="AM386" s="97"/>
      <c r="AN386" s="97"/>
      <c r="AO386" s="97"/>
      <c r="AP386" s="97"/>
      <c r="AQ386" s="97"/>
      <c r="AR386" s="97"/>
      <c r="AS386" s="97"/>
      <c r="AT386" s="97"/>
      <c r="AU386" s="97"/>
      <c r="AV386" s="97"/>
      <c r="AW386" s="97"/>
    </row>
    <row r="387" spans="1:49" hidden="1" x14ac:dyDescent="0.35">
      <c r="A387" s="76"/>
      <c r="B387" s="97"/>
      <c r="C387" s="97"/>
      <c r="D387" s="97"/>
      <c r="E387" s="97"/>
      <c r="F387" s="97"/>
      <c r="G387" s="97"/>
      <c r="H387" s="97"/>
      <c r="I387" s="97"/>
      <c r="J387" s="97"/>
      <c r="K387" s="97"/>
      <c r="L387" s="97"/>
      <c r="M387" s="97"/>
      <c r="AK387" s="76"/>
      <c r="AL387" s="97"/>
      <c r="AM387" s="97"/>
      <c r="AN387" s="97"/>
      <c r="AO387" s="97"/>
      <c r="AP387" s="97"/>
      <c r="AQ387" s="97"/>
      <c r="AR387" s="97"/>
      <c r="AS387" s="97"/>
      <c r="AT387" s="97"/>
      <c r="AU387" s="97"/>
      <c r="AV387" s="97"/>
      <c r="AW387" s="97"/>
    </row>
    <row r="388" spans="1:49" hidden="1" x14ac:dyDescent="0.35">
      <c r="A388" s="76"/>
      <c r="B388" s="97"/>
      <c r="C388" s="97"/>
      <c r="D388" s="97"/>
      <c r="E388" s="97"/>
      <c r="F388" s="97"/>
      <c r="G388" s="97"/>
      <c r="H388" s="97"/>
      <c r="I388" s="97"/>
      <c r="J388" s="97"/>
      <c r="K388" s="97"/>
      <c r="L388" s="97"/>
      <c r="M388" s="97"/>
      <c r="AK388" s="76"/>
      <c r="AL388" s="124"/>
      <c r="AM388" s="124"/>
      <c r="AN388" s="124"/>
      <c r="AO388" s="124"/>
      <c r="AP388" s="124"/>
      <c r="AQ388" s="124"/>
      <c r="AR388" s="124"/>
      <c r="AS388" s="124"/>
      <c r="AT388" s="124"/>
      <c r="AU388" s="124"/>
      <c r="AV388" s="124"/>
      <c r="AW388" s="124"/>
    </row>
    <row r="389" spans="1:49" ht="18" hidden="1" x14ac:dyDescent="0.4">
      <c r="A389" s="72"/>
      <c r="B389" s="127"/>
      <c r="C389" s="121"/>
      <c r="D389" s="121"/>
      <c r="E389" s="121"/>
      <c r="F389" s="121"/>
      <c r="G389" s="121"/>
      <c r="H389" s="121"/>
      <c r="I389" s="121"/>
      <c r="J389" s="121"/>
      <c r="K389" s="121"/>
      <c r="L389" s="121"/>
      <c r="M389" s="121"/>
      <c r="AK389" s="76"/>
      <c r="AL389" s="134"/>
      <c r="AM389" s="134"/>
      <c r="AN389" s="134"/>
      <c r="AO389" s="134"/>
      <c r="AP389" s="134"/>
      <c r="AQ389" s="134"/>
      <c r="AR389" s="134"/>
      <c r="AS389" s="134"/>
      <c r="AT389" s="134"/>
      <c r="AU389" s="134"/>
      <c r="AV389" s="134"/>
      <c r="AW389" s="134"/>
    </row>
    <row r="390" spans="1:49" hidden="1" x14ac:dyDescent="0.35">
      <c r="A390" s="76"/>
      <c r="B390" s="121"/>
      <c r="C390" s="121"/>
      <c r="D390" s="121"/>
      <c r="E390" s="121"/>
      <c r="F390" s="121"/>
      <c r="G390" s="121"/>
      <c r="H390" s="121"/>
      <c r="I390" s="121"/>
      <c r="J390" s="121"/>
      <c r="K390" s="121"/>
      <c r="L390" s="121"/>
      <c r="M390" s="121"/>
      <c r="AK390" s="76"/>
      <c r="AL390" s="121"/>
      <c r="AM390" s="121"/>
      <c r="AN390" s="121"/>
      <c r="AO390" s="121"/>
      <c r="AP390" s="121"/>
      <c r="AQ390" s="121"/>
      <c r="AR390" s="121"/>
      <c r="AS390" s="121"/>
      <c r="AT390" s="121"/>
      <c r="AU390" s="121"/>
      <c r="AV390" s="121"/>
      <c r="AW390" s="121"/>
    </row>
    <row r="391" spans="1:49" ht="18" hidden="1" x14ac:dyDescent="0.4">
      <c r="A391" s="76"/>
      <c r="B391" s="52"/>
      <c r="C391" s="51"/>
      <c r="D391" s="52"/>
      <c r="E391" s="52"/>
      <c r="F391" s="52"/>
      <c r="G391" s="52"/>
      <c r="H391" s="52"/>
      <c r="I391" s="52"/>
      <c r="J391" s="52"/>
      <c r="K391" s="52"/>
      <c r="L391" s="52"/>
      <c r="M391" s="52"/>
      <c r="AK391" s="76"/>
      <c r="AL391" s="97"/>
      <c r="AM391" s="97"/>
      <c r="AN391" s="97"/>
      <c r="AO391" s="97"/>
      <c r="AP391" s="97"/>
      <c r="AQ391" s="97"/>
      <c r="AR391" s="97"/>
      <c r="AS391" s="97"/>
      <c r="AT391" s="97"/>
      <c r="AU391" s="97"/>
      <c r="AV391" s="97"/>
      <c r="AW391" s="97"/>
    </row>
    <row r="392" spans="1:49" ht="18" hidden="1" x14ac:dyDescent="0.4">
      <c r="A392" s="115"/>
      <c r="B392" s="100"/>
      <c r="C392" s="100"/>
      <c r="D392" s="100"/>
      <c r="E392" s="100"/>
      <c r="F392" s="100"/>
      <c r="G392" s="100"/>
      <c r="H392" s="100"/>
      <c r="I392" s="100"/>
      <c r="J392" s="100"/>
      <c r="K392" s="100"/>
      <c r="L392" s="100"/>
      <c r="M392" s="100"/>
      <c r="AK392" s="76"/>
      <c r="AL392" s="97"/>
      <c r="AM392" s="97"/>
      <c r="AN392" s="97"/>
      <c r="AO392" s="97"/>
      <c r="AP392" s="97"/>
      <c r="AQ392" s="97"/>
      <c r="AR392" s="97"/>
      <c r="AS392" s="97"/>
      <c r="AT392" s="97"/>
      <c r="AU392" s="97"/>
      <c r="AV392" s="97"/>
      <c r="AW392" s="97"/>
    </row>
    <row r="393" spans="1:49" ht="18" x14ac:dyDescent="0.4">
      <c r="A393" s="72"/>
      <c r="B393" s="122"/>
      <c r="C393" s="122"/>
      <c r="D393" s="122"/>
      <c r="E393" s="122"/>
      <c r="F393" s="122"/>
      <c r="G393" s="122"/>
      <c r="H393" s="122"/>
      <c r="I393" s="122"/>
      <c r="J393" s="122"/>
      <c r="K393" s="122"/>
      <c r="L393" s="122"/>
      <c r="M393" s="122"/>
      <c r="AK393" s="76"/>
      <c r="AL393" s="97"/>
      <c r="AM393" s="97"/>
      <c r="AN393" s="97"/>
      <c r="AO393" s="97"/>
      <c r="AP393" s="97"/>
      <c r="AQ393" s="97"/>
      <c r="AR393" s="97"/>
      <c r="AS393" s="97"/>
      <c r="AT393" s="97"/>
      <c r="AU393" s="97"/>
      <c r="AV393" s="97"/>
      <c r="AW393" s="97"/>
    </row>
    <row r="394" spans="1:49" ht="18" x14ac:dyDescent="0.4">
      <c r="A394" s="72"/>
      <c r="B394" s="122"/>
      <c r="C394" s="122"/>
      <c r="D394" s="122"/>
      <c r="E394" s="122"/>
      <c r="F394" s="122"/>
      <c r="G394" s="122"/>
      <c r="H394" s="122"/>
      <c r="I394" s="122"/>
      <c r="J394" s="122"/>
      <c r="K394" s="122"/>
      <c r="L394" s="122"/>
      <c r="M394" s="122"/>
      <c r="AK394" s="72"/>
      <c r="AL394" s="127"/>
      <c r="AM394" s="121"/>
      <c r="AN394" s="121"/>
      <c r="AO394" s="121"/>
      <c r="AP394" s="121"/>
      <c r="AQ394" s="121"/>
      <c r="AR394" s="121"/>
      <c r="AS394" s="121"/>
      <c r="AT394" s="121"/>
      <c r="AU394" s="121"/>
      <c r="AV394" s="121"/>
      <c r="AW394" s="121"/>
    </row>
    <row r="395" spans="1:49" ht="18" x14ac:dyDescent="0.4">
      <c r="A395" s="72"/>
      <c r="B395" s="122"/>
      <c r="C395" s="122"/>
      <c r="D395" s="122"/>
      <c r="E395" s="122"/>
      <c r="F395" s="122"/>
      <c r="G395" s="122"/>
      <c r="H395" s="122"/>
      <c r="I395" s="122"/>
      <c r="J395" s="122"/>
      <c r="K395" s="122"/>
      <c r="L395" s="122"/>
      <c r="M395" s="122"/>
      <c r="AK395" s="76"/>
      <c r="AL395" s="121"/>
      <c r="AM395" s="121"/>
      <c r="AN395" s="121"/>
      <c r="AO395" s="121"/>
      <c r="AP395" s="121"/>
      <c r="AQ395" s="121"/>
      <c r="AR395" s="121"/>
      <c r="AS395" s="121"/>
      <c r="AT395" s="121"/>
      <c r="AU395" s="121"/>
      <c r="AV395" s="121"/>
      <c r="AW395" s="121"/>
    </row>
    <row r="396" spans="1:49" ht="18" x14ac:dyDescent="0.4">
      <c r="A396" s="72"/>
      <c r="B396" s="122"/>
      <c r="C396" s="122"/>
      <c r="D396" s="122"/>
      <c r="E396" s="122"/>
      <c r="F396" s="122"/>
      <c r="G396" s="122"/>
      <c r="H396" s="122"/>
      <c r="I396" s="122"/>
      <c r="J396" s="122"/>
      <c r="K396" s="122"/>
      <c r="L396" s="122"/>
      <c r="M396" s="122"/>
      <c r="AK396" s="76"/>
      <c r="AL396" s="52"/>
      <c r="AM396" s="51"/>
      <c r="AN396" s="52"/>
      <c r="AO396" s="52"/>
      <c r="AP396" s="52"/>
      <c r="AQ396" s="52"/>
      <c r="AR396" s="52"/>
      <c r="AS396" s="52"/>
      <c r="AT396" s="52"/>
      <c r="AU396" s="52"/>
      <c r="AV396" s="52"/>
      <c r="AW396" s="52"/>
    </row>
    <row r="397" spans="1:49" ht="18" x14ac:dyDescent="0.4">
      <c r="A397" s="72"/>
      <c r="B397" s="122"/>
      <c r="C397" s="122"/>
      <c r="D397" s="122"/>
      <c r="E397" s="122"/>
      <c r="F397" s="122"/>
      <c r="G397" s="122"/>
      <c r="H397" s="122"/>
      <c r="I397" s="122"/>
      <c r="J397" s="122"/>
      <c r="K397" s="122"/>
      <c r="L397" s="122"/>
      <c r="M397" s="122"/>
      <c r="AK397" s="115"/>
      <c r="AL397" s="100"/>
      <c r="AM397" s="100"/>
      <c r="AN397" s="100"/>
      <c r="AO397" s="100"/>
      <c r="AP397" s="100"/>
      <c r="AQ397" s="100"/>
      <c r="AR397" s="100"/>
      <c r="AS397" s="100"/>
      <c r="AT397" s="100"/>
      <c r="AU397" s="100"/>
      <c r="AV397" s="100"/>
      <c r="AW397" s="100"/>
    </row>
    <row r="398" spans="1:49" ht="18" x14ac:dyDescent="0.4">
      <c r="A398" s="72"/>
      <c r="B398" s="122"/>
      <c r="C398" s="122"/>
      <c r="D398" s="122"/>
      <c r="E398" s="122"/>
      <c r="F398" s="122"/>
      <c r="G398" s="122"/>
      <c r="H398" s="122"/>
      <c r="I398" s="122"/>
      <c r="J398" s="122"/>
      <c r="K398" s="122"/>
      <c r="L398" s="122"/>
      <c r="M398" s="122"/>
      <c r="AK398" s="72"/>
      <c r="AL398" s="122"/>
      <c r="AM398" s="122"/>
      <c r="AN398" s="122"/>
      <c r="AO398" s="122"/>
      <c r="AP398" s="122"/>
      <c r="AQ398" s="122"/>
      <c r="AR398" s="122"/>
      <c r="AS398" s="122"/>
      <c r="AT398" s="122"/>
      <c r="AU398" s="122"/>
      <c r="AV398" s="122"/>
      <c r="AW398" s="122"/>
    </row>
    <row r="399" spans="1:49" ht="18" x14ac:dyDescent="0.4">
      <c r="A399" s="72"/>
      <c r="B399" s="122"/>
      <c r="C399" s="122"/>
      <c r="D399" s="122"/>
      <c r="E399" s="122"/>
      <c r="F399" s="122"/>
      <c r="G399" s="122"/>
      <c r="H399" s="122"/>
      <c r="I399" s="122"/>
      <c r="J399" s="122"/>
      <c r="K399" s="122"/>
      <c r="L399" s="122"/>
      <c r="M399" s="122"/>
      <c r="AK399" s="72"/>
      <c r="AL399" s="122"/>
      <c r="AM399" s="122"/>
      <c r="AN399" s="122"/>
      <c r="AO399" s="122"/>
      <c r="AP399" s="122"/>
      <c r="AQ399" s="122"/>
      <c r="AR399" s="122"/>
      <c r="AS399" s="122"/>
      <c r="AT399" s="122"/>
      <c r="AU399" s="122"/>
      <c r="AV399" s="122"/>
      <c r="AW399" s="122"/>
    </row>
    <row r="400" spans="1:49" ht="18" x14ac:dyDescent="0.4">
      <c r="A400" s="76"/>
      <c r="B400" s="124"/>
      <c r="C400" s="124"/>
      <c r="D400" s="124"/>
      <c r="E400" s="124"/>
      <c r="F400" s="124"/>
      <c r="G400" s="124"/>
      <c r="H400" s="124"/>
      <c r="I400" s="124"/>
      <c r="J400" s="124"/>
      <c r="K400" s="124"/>
      <c r="L400" s="124"/>
      <c r="M400" s="124"/>
      <c r="AK400" s="72"/>
      <c r="AL400" s="122"/>
      <c r="AM400" s="122"/>
      <c r="AN400" s="122"/>
      <c r="AO400" s="122"/>
      <c r="AP400" s="122"/>
      <c r="AQ400" s="122"/>
      <c r="AR400" s="122"/>
      <c r="AS400" s="122"/>
      <c r="AT400" s="122"/>
      <c r="AU400" s="122"/>
      <c r="AV400" s="122"/>
      <c r="AW400" s="122"/>
    </row>
    <row r="401" spans="1:49" ht="18" x14ac:dyDescent="0.4">
      <c r="A401" s="76"/>
      <c r="B401" s="134"/>
      <c r="C401" s="134"/>
      <c r="D401" s="134"/>
      <c r="E401" s="134"/>
      <c r="F401" s="134"/>
      <c r="G401" s="134"/>
      <c r="H401" s="134"/>
      <c r="I401" s="134"/>
      <c r="J401" s="134"/>
      <c r="K401" s="134"/>
      <c r="L401" s="134"/>
      <c r="M401" s="134"/>
      <c r="AK401" s="72"/>
      <c r="AL401" s="122"/>
      <c r="AM401" s="122"/>
      <c r="AN401" s="122"/>
      <c r="AO401" s="122"/>
      <c r="AP401" s="122"/>
      <c r="AQ401" s="122"/>
      <c r="AR401" s="122"/>
      <c r="AS401" s="122"/>
      <c r="AT401" s="122"/>
      <c r="AU401" s="122"/>
      <c r="AV401" s="122"/>
      <c r="AW401" s="122"/>
    </row>
    <row r="402" spans="1:49" ht="18" x14ac:dyDescent="0.4">
      <c r="A402" s="76"/>
      <c r="B402" s="121"/>
      <c r="C402" s="121"/>
      <c r="D402" s="121"/>
      <c r="E402" s="121"/>
      <c r="F402" s="121"/>
      <c r="G402" s="121"/>
      <c r="H402" s="121"/>
      <c r="I402" s="121"/>
      <c r="J402" s="121"/>
      <c r="K402" s="121"/>
      <c r="L402" s="121"/>
      <c r="M402" s="121"/>
      <c r="AK402" s="72"/>
      <c r="AL402" s="122"/>
      <c r="AM402" s="122"/>
      <c r="AN402" s="122"/>
      <c r="AO402" s="122"/>
      <c r="AP402" s="122"/>
      <c r="AQ402" s="122"/>
      <c r="AR402" s="122"/>
      <c r="AS402" s="122"/>
      <c r="AT402" s="122"/>
      <c r="AU402" s="122"/>
      <c r="AV402" s="122"/>
      <c r="AW402" s="122"/>
    </row>
    <row r="403" spans="1:49" ht="18" x14ac:dyDescent="0.4">
      <c r="A403" s="76"/>
      <c r="B403" s="97"/>
      <c r="C403" s="97"/>
      <c r="D403" s="97"/>
      <c r="E403" s="97"/>
      <c r="F403" s="97"/>
      <c r="G403" s="97"/>
      <c r="H403" s="97"/>
      <c r="I403" s="97"/>
      <c r="J403" s="97"/>
      <c r="K403" s="97"/>
      <c r="L403" s="97"/>
      <c r="M403" s="97"/>
      <c r="AK403" s="72"/>
      <c r="AL403" s="122"/>
      <c r="AM403" s="122"/>
      <c r="AN403" s="122"/>
      <c r="AO403" s="122"/>
      <c r="AP403" s="122"/>
      <c r="AQ403" s="122"/>
      <c r="AR403" s="122"/>
      <c r="AS403" s="122"/>
      <c r="AT403" s="122"/>
      <c r="AU403" s="122"/>
      <c r="AV403" s="122"/>
      <c r="AW403" s="122"/>
    </row>
    <row r="404" spans="1:49" ht="18" x14ac:dyDescent="0.4">
      <c r="A404" s="76"/>
      <c r="B404" s="97"/>
      <c r="C404" s="97"/>
      <c r="D404" s="97"/>
      <c r="E404" s="97"/>
      <c r="F404" s="97"/>
      <c r="G404" s="97"/>
      <c r="H404" s="97"/>
      <c r="I404" s="97"/>
      <c r="J404" s="97"/>
      <c r="K404" s="97"/>
      <c r="L404" s="97"/>
      <c r="M404" s="97"/>
      <c r="AK404" s="72"/>
      <c r="AL404" s="122"/>
      <c r="AM404" s="122"/>
      <c r="AN404" s="122"/>
      <c r="AO404" s="122"/>
      <c r="AP404" s="122"/>
      <c r="AQ404" s="122"/>
      <c r="AR404" s="122"/>
      <c r="AS404" s="122"/>
      <c r="AT404" s="122"/>
      <c r="AU404" s="122"/>
      <c r="AV404" s="122"/>
      <c r="AW404" s="122"/>
    </row>
    <row r="405" spans="1:49" x14ac:dyDescent="0.35">
      <c r="A405" s="76"/>
      <c r="B405" s="97"/>
      <c r="C405" s="97"/>
      <c r="D405" s="97"/>
      <c r="E405" s="97"/>
      <c r="F405" s="97"/>
      <c r="G405" s="97"/>
      <c r="H405" s="97"/>
      <c r="I405" s="97"/>
      <c r="J405" s="97"/>
      <c r="K405" s="97"/>
      <c r="L405" s="97"/>
      <c r="M405" s="97"/>
      <c r="AK405" s="76"/>
      <c r="AL405" s="124"/>
      <c r="AM405" s="124"/>
      <c r="AN405" s="124"/>
      <c r="AO405" s="124"/>
      <c r="AP405" s="124"/>
      <c r="AQ405" s="124"/>
      <c r="AR405" s="124"/>
      <c r="AS405" s="124"/>
      <c r="AT405" s="124"/>
      <c r="AU405" s="124"/>
      <c r="AV405" s="124"/>
      <c r="AW405" s="124"/>
    </row>
    <row r="406" spans="1:49" x14ac:dyDescent="0.35">
      <c r="A406" s="72"/>
      <c r="B406" s="97"/>
      <c r="C406" s="97"/>
      <c r="D406" s="97"/>
      <c r="E406" s="97"/>
      <c r="F406" s="97"/>
      <c r="G406" s="97"/>
      <c r="H406" s="97"/>
      <c r="I406" s="97"/>
      <c r="J406" s="97"/>
      <c r="K406" s="97"/>
      <c r="L406" s="97"/>
      <c r="M406" s="97"/>
      <c r="AK406" s="76"/>
      <c r="AL406" s="134"/>
      <c r="AM406" s="134"/>
      <c r="AN406" s="134"/>
      <c r="AO406" s="134"/>
      <c r="AP406" s="134"/>
      <c r="AQ406" s="134"/>
      <c r="AR406" s="134"/>
      <c r="AS406" s="134"/>
      <c r="AT406" s="134"/>
      <c r="AU406" s="134"/>
      <c r="AV406" s="134"/>
      <c r="AW406" s="134"/>
    </row>
    <row r="407" spans="1:49" ht="18" x14ac:dyDescent="0.4">
      <c r="A407" s="76"/>
      <c r="B407" s="52"/>
      <c r="C407" s="51"/>
      <c r="D407" s="52"/>
      <c r="E407" s="52"/>
      <c r="F407" s="52"/>
      <c r="G407" s="52"/>
      <c r="H407" s="52"/>
      <c r="I407" s="52"/>
      <c r="J407" s="52"/>
      <c r="K407" s="52"/>
      <c r="L407" s="52"/>
      <c r="M407" s="52"/>
      <c r="AK407" s="76"/>
      <c r="AL407" s="121"/>
      <c r="AM407" s="121"/>
      <c r="AN407" s="121"/>
      <c r="AO407" s="121"/>
      <c r="AP407" s="121"/>
      <c r="AQ407" s="121"/>
      <c r="AR407" s="121"/>
      <c r="AS407" s="121"/>
      <c r="AT407" s="121"/>
      <c r="AU407" s="121"/>
      <c r="AV407" s="121"/>
      <c r="AW407" s="121"/>
    </row>
    <row r="408" spans="1:49" ht="18" x14ac:dyDescent="0.4">
      <c r="A408" s="57"/>
      <c r="B408" s="100"/>
      <c r="C408" s="100"/>
      <c r="D408" s="100"/>
      <c r="E408" s="100"/>
      <c r="F408" s="100"/>
      <c r="G408" s="100"/>
      <c r="H408" s="100"/>
      <c r="I408" s="100"/>
      <c r="J408" s="100"/>
      <c r="K408" s="100"/>
      <c r="L408" s="100"/>
      <c r="M408" s="100"/>
      <c r="AK408" s="76"/>
      <c r="AL408" s="97"/>
      <c r="AM408" s="97"/>
      <c r="AN408" s="97"/>
      <c r="AO408" s="97"/>
      <c r="AP408" s="97"/>
      <c r="AQ408" s="97"/>
      <c r="AR408" s="97"/>
      <c r="AS408" s="97"/>
      <c r="AT408" s="97"/>
      <c r="AU408" s="97"/>
      <c r="AV408" s="97"/>
      <c r="AW408" s="97"/>
    </row>
    <row r="409" spans="1:49" x14ac:dyDescent="0.35">
      <c r="A409" s="76"/>
      <c r="B409" s="97"/>
      <c r="C409" s="97"/>
      <c r="D409" s="97"/>
      <c r="E409" s="97"/>
      <c r="F409" s="97"/>
      <c r="G409" s="97"/>
      <c r="H409" s="97"/>
      <c r="I409" s="97"/>
      <c r="J409" s="97"/>
      <c r="K409" s="97"/>
      <c r="L409" s="97"/>
      <c r="M409" s="97"/>
      <c r="AK409" s="76"/>
      <c r="AL409" s="97"/>
      <c r="AM409" s="97"/>
      <c r="AN409" s="97"/>
      <c r="AO409" s="97"/>
      <c r="AP409" s="97"/>
      <c r="AQ409" s="97"/>
      <c r="AR409" s="97"/>
      <c r="AS409" s="97"/>
      <c r="AT409" s="97"/>
      <c r="AU409" s="97"/>
      <c r="AV409" s="97"/>
      <c r="AW409" s="97"/>
    </row>
    <row r="410" spans="1:49" hidden="1" x14ac:dyDescent="0.35">
      <c r="A410" s="76"/>
      <c r="B410" s="97"/>
      <c r="C410" s="97"/>
      <c r="D410" s="97"/>
      <c r="E410" s="97"/>
      <c r="F410" s="97"/>
      <c r="G410" s="97"/>
      <c r="H410" s="97"/>
      <c r="I410" s="97"/>
      <c r="J410" s="97"/>
      <c r="K410" s="97"/>
      <c r="L410" s="97"/>
      <c r="M410" s="97"/>
      <c r="AK410" s="76"/>
      <c r="AL410" s="97"/>
      <c r="AM410" s="97"/>
      <c r="AN410" s="97"/>
      <c r="AO410" s="97"/>
      <c r="AP410" s="97"/>
      <c r="AQ410" s="97"/>
      <c r="AR410" s="97"/>
      <c r="AS410" s="97"/>
      <c r="AT410" s="97"/>
      <c r="AU410" s="97"/>
      <c r="AV410" s="97"/>
      <c r="AW410" s="97"/>
    </row>
    <row r="411" spans="1:49" hidden="1" x14ac:dyDescent="0.35">
      <c r="A411" s="76"/>
      <c r="B411" s="97"/>
      <c r="C411" s="97"/>
      <c r="D411" s="97"/>
      <c r="E411" s="97"/>
      <c r="F411" s="97"/>
      <c r="G411" s="97"/>
      <c r="H411" s="97"/>
      <c r="I411" s="97"/>
      <c r="J411" s="97"/>
      <c r="K411" s="97"/>
      <c r="L411" s="97"/>
      <c r="M411" s="97"/>
      <c r="AK411" s="72"/>
      <c r="AL411" s="97"/>
      <c r="AM411" s="97"/>
      <c r="AN411" s="97"/>
      <c r="AO411" s="97"/>
      <c r="AP411" s="97"/>
      <c r="AQ411" s="97"/>
      <c r="AR411" s="97"/>
      <c r="AS411" s="97"/>
      <c r="AT411" s="97"/>
      <c r="AU411" s="97"/>
      <c r="AV411" s="97"/>
      <c r="AW411" s="97"/>
    </row>
    <row r="412" spans="1:49" ht="18" hidden="1" x14ac:dyDescent="0.4">
      <c r="A412" s="76"/>
      <c r="B412" s="97"/>
      <c r="C412" s="97"/>
      <c r="D412" s="97"/>
      <c r="E412" s="97"/>
      <c r="F412" s="97"/>
      <c r="G412" s="97"/>
      <c r="H412" s="97"/>
      <c r="I412" s="97"/>
      <c r="J412" s="97"/>
      <c r="K412" s="97"/>
      <c r="L412" s="97"/>
      <c r="M412" s="97"/>
      <c r="AK412" s="76"/>
      <c r="AL412" s="52"/>
      <c r="AM412" s="51"/>
      <c r="AN412" s="52"/>
      <c r="AO412" s="52"/>
      <c r="AP412" s="52"/>
      <c r="AQ412" s="52"/>
      <c r="AR412" s="52"/>
      <c r="AS412" s="52"/>
      <c r="AT412" s="52"/>
      <c r="AU412" s="52"/>
      <c r="AV412" s="52"/>
      <c r="AW412" s="52"/>
    </row>
    <row r="413" spans="1:49" ht="18" hidden="1" x14ac:dyDescent="0.4">
      <c r="A413" s="76"/>
      <c r="B413" s="97"/>
      <c r="C413" s="97"/>
      <c r="D413" s="97"/>
      <c r="E413" s="97"/>
      <c r="F413" s="97"/>
      <c r="G413" s="97"/>
      <c r="H413" s="97"/>
      <c r="I413" s="97"/>
      <c r="J413" s="97"/>
      <c r="K413" s="97"/>
      <c r="L413" s="97"/>
      <c r="M413" s="97"/>
      <c r="AK413" s="57"/>
      <c r="AL413" s="100"/>
      <c r="AM413" s="100"/>
      <c r="AN413" s="100"/>
      <c r="AO413" s="100"/>
      <c r="AP413" s="100"/>
      <c r="AQ413" s="100"/>
      <c r="AR413" s="100"/>
      <c r="AS413" s="100"/>
      <c r="AT413" s="100"/>
      <c r="AU413" s="100"/>
      <c r="AV413" s="100"/>
      <c r="AW413" s="100"/>
    </row>
    <row r="414" spans="1:49" hidden="1" x14ac:dyDescent="0.35">
      <c r="A414" s="76"/>
      <c r="B414" s="97"/>
      <c r="C414" s="97"/>
      <c r="D414" s="97"/>
      <c r="E414" s="97"/>
      <c r="F414" s="97"/>
      <c r="G414" s="97"/>
      <c r="H414" s="97"/>
      <c r="I414" s="97"/>
      <c r="J414" s="97"/>
      <c r="K414" s="97"/>
      <c r="L414" s="97"/>
      <c r="M414" s="97"/>
      <c r="AK414" s="76"/>
      <c r="AL414" s="97"/>
      <c r="AM414" s="97"/>
      <c r="AN414" s="97"/>
      <c r="AO414" s="97"/>
      <c r="AP414" s="97"/>
      <c r="AQ414" s="97"/>
      <c r="AR414" s="97"/>
      <c r="AS414" s="97"/>
      <c r="AT414" s="97"/>
      <c r="AU414" s="97"/>
      <c r="AV414" s="97"/>
      <c r="AW414" s="97"/>
    </row>
    <row r="415" spans="1:49" hidden="1" x14ac:dyDescent="0.35">
      <c r="A415" s="76"/>
      <c r="B415" s="124"/>
      <c r="C415" s="124"/>
      <c r="D415" s="124"/>
      <c r="E415" s="124"/>
      <c r="F415" s="124"/>
      <c r="G415" s="124"/>
      <c r="H415" s="124"/>
      <c r="I415" s="124"/>
      <c r="J415" s="124"/>
      <c r="K415" s="124"/>
      <c r="L415" s="124"/>
      <c r="M415" s="124"/>
      <c r="AK415" s="76"/>
      <c r="AL415" s="97"/>
      <c r="AM415" s="97"/>
      <c r="AN415" s="97"/>
      <c r="AO415" s="97"/>
      <c r="AP415" s="97"/>
      <c r="AQ415" s="97"/>
      <c r="AR415" s="97"/>
      <c r="AS415" s="97"/>
      <c r="AT415" s="97"/>
      <c r="AU415" s="97"/>
      <c r="AV415" s="97"/>
      <c r="AW415" s="97"/>
    </row>
    <row r="416" spans="1:49" hidden="1" x14ac:dyDescent="0.35">
      <c r="A416" s="76"/>
      <c r="B416" s="134"/>
      <c r="C416" s="134"/>
      <c r="D416" s="134"/>
      <c r="E416" s="134"/>
      <c r="F416" s="134"/>
      <c r="G416" s="134"/>
      <c r="H416" s="134"/>
      <c r="I416" s="134"/>
      <c r="J416" s="134"/>
      <c r="K416" s="134"/>
      <c r="L416" s="134"/>
      <c r="M416" s="134"/>
      <c r="AK416" s="76"/>
      <c r="AL416" s="97"/>
      <c r="AM416" s="97"/>
      <c r="AN416" s="97"/>
      <c r="AO416" s="97"/>
      <c r="AP416" s="97"/>
      <c r="AQ416" s="97"/>
      <c r="AR416" s="97"/>
      <c r="AS416" s="97"/>
      <c r="AT416" s="97"/>
      <c r="AU416" s="97"/>
      <c r="AV416" s="97"/>
      <c r="AW416" s="97"/>
    </row>
    <row r="417" spans="1:49" hidden="1" x14ac:dyDescent="0.35">
      <c r="A417" s="76"/>
      <c r="B417" s="121"/>
      <c r="C417" s="121"/>
      <c r="D417" s="121"/>
      <c r="E417" s="121"/>
      <c r="F417" s="121"/>
      <c r="G417" s="121"/>
      <c r="H417" s="121"/>
      <c r="I417" s="121"/>
      <c r="J417" s="121"/>
      <c r="K417" s="121"/>
      <c r="L417" s="121"/>
      <c r="M417" s="121"/>
      <c r="AK417" s="76"/>
      <c r="AL417" s="97"/>
      <c r="AM417" s="97"/>
      <c r="AN417" s="97"/>
      <c r="AO417" s="97"/>
      <c r="AP417" s="97"/>
      <c r="AQ417" s="97"/>
      <c r="AR417" s="97"/>
      <c r="AS417" s="97"/>
      <c r="AT417" s="97"/>
      <c r="AU417" s="97"/>
      <c r="AV417" s="97"/>
      <c r="AW417" s="97"/>
    </row>
    <row r="418" spans="1:49" hidden="1" x14ac:dyDescent="0.35">
      <c r="A418" s="76"/>
      <c r="B418" s="97"/>
      <c r="C418" s="97"/>
      <c r="D418" s="97"/>
      <c r="E418" s="97"/>
      <c r="F418" s="97"/>
      <c r="G418" s="97"/>
      <c r="H418" s="97"/>
      <c r="I418" s="97"/>
      <c r="J418" s="97"/>
      <c r="K418" s="97"/>
      <c r="L418" s="97"/>
      <c r="M418" s="97"/>
      <c r="AK418" s="76"/>
      <c r="AL418" s="97"/>
      <c r="AM418" s="97"/>
      <c r="AN418" s="97"/>
      <c r="AO418" s="97"/>
      <c r="AP418" s="97"/>
      <c r="AQ418" s="97"/>
      <c r="AR418" s="97"/>
      <c r="AS418" s="97"/>
      <c r="AT418" s="97"/>
      <c r="AU418" s="97"/>
      <c r="AV418" s="97"/>
      <c r="AW418" s="97"/>
    </row>
    <row r="419" spans="1:49" hidden="1" x14ac:dyDescent="0.35">
      <c r="A419" s="76"/>
      <c r="B419" s="97"/>
      <c r="C419" s="97"/>
      <c r="D419" s="97"/>
      <c r="E419" s="97"/>
      <c r="F419" s="97"/>
      <c r="G419" s="97"/>
      <c r="H419" s="97"/>
      <c r="I419" s="97"/>
      <c r="J419" s="97"/>
      <c r="K419" s="97"/>
      <c r="L419" s="97"/>
      <c r="M419" s="97"/>
      <c r="AK419" s="76"/>
      <c r="AL419" s="97"/>
      <c r="AM419" s="97"/>
      <c r="AN419" s="97"/>
      <c r="AO419" s="97"/>
      <c r="AP419" s="97"/>
      <c r="AQ419" s="97"/>
      <c r="AR419" s="97"/>
      <c r="AS419" s="97"/>
      <c r="AT419" s="97"/>
      <c r="AU419" s="97"/>
      <c r="AV419" s="97"/>
      <c r="AW419" s="97"/>
    </row>
    <row r="420" spans="1:49" hidden="1" x14ac:dyDescent="0.35">
      <c r="A420" s="76"/>
      <c r="B420" s="97"/>
      <c r="C420" s="97"/>
      <c r="D420" s="97"/>
      <c r="E420" s="97"/>
      <c r="F420" s="97"/>
      <c r="G420" s="97"/>
      <c r="H420" s="97"/>
      <c r="I420" s="97"/>
      <c r="J420" s="97"/>
      <c r="K420" s="97"/>
      <c r="L420" s="97"/>
      <c r="M420" s="97"/>
      <c r="AK420" s="76"/>
      <c r="AL420" s="124"/>
      <c r="AM420" s="124"/>
      <c r="AN420" s="124"/>
      <c r="AO420" s="124"/>
      <c r="AP420" s="124"/>
      <c r="AQ420" s="124"/>
      <c r="AR420" s="124"/>
      <c r="AS420" s="124"/>
      <c r="AT420" s="124"/>
      <c r="AU420" s="124"/>
      <c r="AV420" s="124"/>
      <c r="AW420" s="124"/>
    </row>
    <row r="421" spans="1:49" ht="18" hidden="1" x14ac:dyDescent="0.4">
      <c r="A421" s="72"/>
      <c r="B421" s="122"/>
      <c r="C421" s="97"/>
      <c r="D421" s="97"/>
      <c r="E421" s="97"/>
      <c r="F421" s="97"/>
      <c r="G421" s="97"/>
      <c r="H421" s="97"/>
      <c r="I421" s="97"/>
      <c r="J421" s="97"/>
      <c r="K421" s="97"/>
      <c r="L421" s="97"/>
      <c r="M421" s="97"/>
      <c r="AK421" s="76"/>
      <c r="AL421" s="134"/>
      <c r="AM421" s="134"/>
      <c r="AN421" s="134"/>
      <c r="AO421" s="134"/>
      <c r="AP421" s="134"/>
      <c r="AQ421" s="134"/>
      <c r="AR421" s="134"/>
      <c r="AS421" s="134"/>
      <c r="AT421" s="134"/>
      <c r="AU421" s="134"/>
      <c r="AV421" s="134"/>
      <c r="AW421" s="134"/>
    </row>
    <row r="422" spans="1:49" ht="18" hidden="1" x14ac:dyDescent="0.4">
      <c r="A422" s="76"/>
      <c r="B422" s="52"/>
      <c r="C422" s="51"/>
      <c r="D422" s="52"/>
      <c r="E422" s="52"/>
      <c r="F422" s="52"/>
      <c r="G422" s="52"/>
      <c r="H422" s="52"/>
      <c r="I422" s="52"/>
      <c r="J422" s="52"/>
      <c r="K422" s="52"/>
      <c r="L422" s="52"/>
      <c r="M422" s="52"/>
      <c r="AK422" s="76"/>
      <c r="AL422" s="121"/>
      <c r="AM422" s="121"/>
      <c r="AN422" s="121"/>
      <c r="AO422" s="121"/>
      <c r="AP422" s="121"/>
      <c r="AQ422" s="121"/>
      <c r="AR422" s="121"/>
      <c r="AS422" s="121"/>
      <c r="AT422" s="121"/>
      <c r="AU422" s="121"/>
      <c r="AV422" s="121"/>
      <c r="AW422" s="121"/>
    </row>
    <row r="423" spans="1:49" ht="18" hidden="1" x14ac:dyDescent="0.4">
      <c r="A423" s="57"/>
      <c r="B423" s="100"/>
      <c r="C423" s="100"/>
      <c r="D423" s="100"/>
      <c r="E423" s="100"/>
      <c r="F423" s="100"/>
      <c r="G423" s="100"/>
      <c r="H423" s="100"/>
      <c r="I423" s="100"/>
      <c r="J423" s="100"/>
      <c r="K423" s="100"/>
      <c r="L423" s="100"/>
      <c r="M423" s="100"/>
      <c r="AK423" s="76"/>
      <c r="AL423" s="97"/>
      <c r="AM423" s="97"/>
      <c r="AN423" s="97"/>
      <c r="AO423" s="97"/>
      <c r="AP423" s="97"/>
      <c r="AQ423" s="97"/>
      <c r="AR423" s="97"/>
      <c r="AS423" s="97"/>
      <c r="AT423" s="97"/>
      <c r="AU423" s="97"/>
      <c r="AV423" s="97"/>
      <c r="AW423" s="97"/>
    </row>
    <row r="424" spans="1:49" hidden="1" x14ac:dyDescent="0.35">
      <c r="A424" s="76"/>
      <c r="B424" s="97"/>
      <c r="C424" s="97"/>
      <c r="D424" s="97"/>
      <c r="E424" s="97"/>
      <c r="F424" s="97"/>
      <c r="G424" s="97"/>
      <c r="H424" s="97"/>
      <c r="I424" s="97"/>
      <c r="J424" s="97"/>
      <c r="K424" s="97"/>
      <c r="L424" s="97"/>
      <c r="M424" s="97"/>
      <c r="AK424" s="76"/>
      <c r="AL424" s="97"/>
      <c r="AM424" s="97"/>
      <c r="AN424" s="97"/>
      <c r="AO424" s="97"/>
      <c r="AP424" s="97"/>
      <c r="AQ424" s="97"/>
      <c r="AR424" s="97"/>
      <c r="AS424" s="97"/>
      <c r="AT424" s="97"/>
      <c r="AU424" s="97"/>
      <c r="AV424" s="97"/>
      <c r="AW424" s="97"/>
    </row>
    <row r="425" spans="1:49" hidden="1" x14ac:dyDescent="0.35">
      <c r="A425" s="76"/>
      <c r="B425" s="97"/>
      <c r="C425" s="97"/>
      <c r="D425" s="97"/>
      <c r="E425" s="97"/>
      <c r="F425" s="97"/>
      <c r="G425" s="97"/>
      <c r="H425" s="97"/>
      <c r="I425" s="97"/>
      <c r="J425" s="97"/>
      <c r="K425" s="97"/>
      <c r="L425" s="97"/>
      <c r="M425" s="97"/>
      <c r="AK425" s="76"/>
      <c r="AL425" s="97"/>
      <c r="AM425" s="97"/>
      <c r="AN425" s="97"/>
      <c r="AO425" s="97"/>
      <c r="AP425" s="97"/>
      <c r="AQ425" s="97"/>
      <c r="AR425" s="97"/>
      <c r="AS425" s="97"/>
      <c r="AT425" s="97"/>
      <c r="AU425" s="97"/>
      <c r="AV425" s="97"/>
      <c r="AW425" s="97"/>
    </row>
    <row r="426" spans="1:49" ht="18" hidden="1" x14ac:dyDescent="0.4">
      <c r="A426" s="76"/>
      <c r="B426" s="97"/>
      <c r="C426" s="97"/>
      <c r="D426" s="97"/>
      <c r="E426" s="97"/>
      <c r="F426" s="97"/>
      <c r="G426" s="97"/>
      <c r="H426" s="97"/>
      <c r="I426" s="97"/>
      <c r="J426" s="97"/>
      <c r="K426" s="97"/>
      <c r="L426" s="97"/>
      <c r="M426" s="97"/>
      <c r="AK426" s="72"/>
      <c r="AL426" s="122"/>
      <c r="AM426" s="97"/>
      <c r="AN426" s="97"/>
      <c r="AO426" s="97"/>
      <c r="AP426" s="97"/>
      <c r="AQ426" s="97"/>
      <c r="AR426" s="97"/>
      <c r="AS426" s="97"/>
      <c r="AT426" s="97"/>
      <c r="AU426" s="97"/>
      <c r="AV426" s="97"/>
      <c r="AW426" s="97"/>
    </row>
    <row r="427" spans="1:49" ht="18" hidden="1" x14ac:dyDescent="0.4">
      <c r="A427" s="76"/>
      <c r="B427" s="97"/>
      <c r="C427" s="97"/>
      <c r="D427" s="97"/>
      <c r="E427" s="97"/>
      <c r="F427" s="97"/>
      <c r="G427" s="97"/>
      <c r="H427" s="97"/>
      <c r="I427" s="97"/>
      <c r="J427" s="97"/>
      <c r="K427" s="97"/>
      <c r="L427" s="97"/>
      <c r="M427" s="97"/>
      <c r="AK427" s="76"/>
      <c r="AL427" s="52"/>
      <c r="AM427" s="51"/>
      <c r="AN427" s="52"/>
      <c r="AO427" s="52"/>
      <c r="AP427" s="52"/>
      <c r="AQ427" s="52"/>
      <c r="AR427" s="52"/>
      <c r="AS427" s="52"/>
      <c r="AT427" s="52"/>
      <c r="AU427" s="52"/>
      <c r="AV427" s="52"/>
      <c r="AW427" s="52"/>
    </row>
    <row r="428" spans="1:49" ht="18" hidden="1" x14ac:dyDescent="0.4">
      <c r="A428" s="76"/>
      <c r="B428" s="97"/>
      <c r="C428" s="97"/>
      <c r="D428" s="97"/>
      <c r="E428" s="97"/>
      <c r="F428" s="97"/>
      <c r="G428" s="97"/>
      <c r="H428" s="97"/>
      <c r="I428" s="97"/>
      <c r="J428" s="97"/>
      <c r="K428" s="97"/>
      <c r="L428" s="97"/>
      <c r="M428" s="97"/>
      <c r="AK428" s="57"/>
      <c r="AL428" s="100"/>
      <c r="AM428" s="100"/>
      <c r="AN428" s="100"/>
      <c r="AO428" s="100"/>
      <c r="AP428" s="100"/>
      <c r="AQ428" s="100"/>
      <c r="AR428" s="100"/>
      <c r="AS428" s="100"/>
      <c r="AT428" s="100"/>
      <c r="AU428" s="100"/>
      <c r="AV428" s="100"/>
      <c r="AW428" s="100"/>
    </row>
    <row r="429" spans="1:49" hidden="1" x14ac:dyDescent="0.35">
      <c r="A429" s="76"/>
      <c r="B429" s="97"/>
      <c r="C429" s="97"/>
      <c r="D429" s="97"/>
      <c r="E429" s="97"/>
      <c r="F429" s="97"/>
      <c r="G429" s="97"/>
      <c r="H429" s="97"/>
      <c r="I429" s="97"/>
      <c r="J429" s="97"/>
      <c r="K429" s="97"/>
      <c r="L429" s="97"/>
      <c r="M429" s="97"/>
      <c r="AK429" s="76"/>
      <c r="AL429" s="97"/>
      <c r="AM429" s="97"/>
      <c r="AN429" s="97"/>
      <c r="AO429" s="97"/>
      <c r="AP429" s="97"/>
      <c r="AQ429" s="97"/>
      <c r="AR429" s="97"/>
      <c r="AS429" s="97"/>
      <c r="AT429" s="97"/>
      <c r="AU429" s="97"/>
      <c r="AV429" s="97"/>
      <c r="AW429" s="97"/>
    </row>
    <row r="430" spans="1:49" hidden="1" x14ac:dyDescent="0.35">
      <c r="A430" s="76"/>
      <c r="B430" s="124"/>
      <c r="C430" s="124"/>
      <c r="D430" s="124"/>
      <c r="E430" s="124"/>
      <c r="F430" s="124"/>
      <c r="G430" s="124"/>
      <c r="H430" s="124"/>
      <c r="I430" s="124"/>
      <c r="J430" s="124"/>
      <c r="K430" s="124"/>
      <c r="L430" s="124"/>
      <c r="M430" s="124"/>
      <c r="AK430" s="76"/>
      <c r="AL430" s="97"/>
      <c r="AM430" s="97"/>
      <c r="AN430" s="97"/>
      <c r="AO430" s="97"/>
      <c r="AP430" s="97"/>
      <c r="AQ430" s="97"/>
      <c r="AR430" s="97"/>
      <c r="AS430" s="97"/>
      <c r="AT430" s="97"/>
      <c r="AU430" s="97"/>
      <c r="AV430" s="97"/>
      <c r="AW430" s="97"/>
    </row>
    <row r="431" spans="1:49" hidden="1" x14ac:dyDescent="0.35">
      <c r="A431" s="76"/>
      <c r="B431" s="134"/>
      <c r="C431" s="134"/>
      <c r="D431" s="134"/>
      <c r="E431" s="134"/>
      <c r="F431" s="134"/>
      <c r="G431" s="134"/>
      <c r="H431" s="134"/>
      <c r="I431" s="134"/>
      <c r="J431" s="134"/>
      <c r="K431" s="134"/>
      <c r="L431" s="134"/>
      <c r="M431" s="134"/>
      <c r="AK431" s="76"/>
      <c r="AL431" s="97"/>
      <c r="AM431" s="97"/>
      <c r="AN431" s="97"/>
      <c r="AO431" s="97"/>
      <c r="AP431" s="97"/>
      <c r="AQ431" s="97"/>
      <c r="AR431" s="97"/>
      <c r="AS431" s="97"/>
      <c r="AT431" s="97"/>
      <c r="AU431" s="97"/>
      <c r="AV431" s="97"/>
      <c r="AW431" s="97"/>
    </row>
    <row r="432" spans="1:49" hidden="1" x14ac:dyDescent="0.35">
      <c r="A432" s="76"/>
      <c r="B432" s="121"/>
      <c r="C432" s="121"/>
      <c r="D432" s="121"/>
      <c r="E432" s="121"/>
      <c r="F432" s="121"/>
      <c r="G432" s="121"/>
      <c r="H432" s="121"/>
      <c r="I432" s="121"/>
      <c r="J432" s="121"/>
      <c r="K432" s="121"/>
      <c r="L432" s="121"/>
      <c r="M432" s="121"/>
      <c r="AK432" s="76"/>
      <c r="AL432" s="97"/>
      <c r="AM432" s="97"/>
      <c r="AN432" s="97"/>
      <c r="AO432" s="97"/>
      <c r="AP432" s="97"/>
      <c r="AQ432" s="97"/>
      <c r="AR432" s="97"/>
      <c r="AS432" s="97"/>
      <c r="AT432" s="97"/>
      <c r="AU432" s="97"/>
      <c r="AV432" s="97"/>
      <c r="AW432" s="97"/>
    </row>
    <row r="433" spans="1:49" hidden="1" x14ac:dyDescent="0.35">
      <c r="A433" s="76"/>
      <c r="B433" s="97"/>
      <c r="C433" s="97"/>
      <c r="D433" s="97"/>
      <c r="E433" s="97"/>
      <c r="F433" s="97"/>
      <c r="G433" s="97"/>
      <c r="H433" s="97"/>
      <c r="I433" s="97"/>
      <c r="J433" s="97"/>
      <c r="K433" s="97"/>
      <c r="L433" s="97"/>
      <c r="M433" s="97"/>
      <c r="AK433" s="76"/>
      <c r="AL433" s="97"/>
      <c r="AM433" s="97"/>
      <c r="AN433" s="97"/>
      <c r="AO433" s="97"/>
      <c r="AP433" s="97"/>
      <c r="AQ433" s="97"/>
      <c r="AR433" s="97"/>
      <c r="AS433" s="97"/>
      <c r="AT433" s="97"/>
      <c r="AU433" s="97"/>
      <c r="AV433" s="97"/>
      <c r="AW433" s="97"/>
    </row>
    <row r="434" spans="1:49" hidden="1" x14ac:dyDescent="0.35">
      <c r="A434" s="76"/>
      <c r="B434" s="97"/>
      <c r="C434" s="97"/>
      <c r="D434" s="97"/>
      <c r="E434" s="97"/>
      <c r="F434" s="97"/>
      <c r="G434" s="97"/>
      <c r="H434" s="97"/>
      <c r="I434" s="97"/>
      <c r="J434" s="97"/>
      <c r="K434" s="97"/>
      <c r="L434" s="97"/>
      <c r="M434" s="97"/>
      <c r="AK434" s="76"/>
      <c r="AL434" s="97"/>
      <c r="AM434" s="97"/>
      <c r="AN434" s="97"/>
      <c r="AO434" s="97"/>
      <c r="AP434" s="97"/>
      <c r="AQ434" s="97"/>
      <c r="AR434" s="97"/>
      <c r="AS434" s="97"/>
      <c r="AT434" s="97"/>
      <c r="AU434" s="97"/>
      <c r="AV434" s="97"/>
      <c r="AW434" s="97"/>
    </row>
    <row r="435" spans="1:49" hidden="1" x14ac:dyDescent="0.35">
      <c r="A435" s="76"/>
      <c r="B435" s="97"/>
      <c r="C435" s="97"/>
      <c r="D435" s="97"/>
      <c r="E435" s="97"/>
      <c r="F435" s="97"/>
      <c r="G435" s="97"/>
      <c r="H435" s="97"/>
      <c r="I435" s="97"/>
      <c r="J435" s="97"/>
      <c r="K435" s="97"/>
      <c r="L435" s="97"/>
      <c r="M435" s="97"/>
      <c r="AK435" s="76"/>
      <c r="AL435" s="124"/>
      <c r="AM435" s="124"/>
      <c r="AN435" s="124"/>
      <c r="AO435" s="124"/>
      <c r="AP435" s="124"/>
      <c r="AQ435" s="124"/>
      <c r="AR435" s="124"/>
      <c r="AS435" s="124"/>
      <c r="AT435" s="124"/>
      <c r="AU435" s="124"/>
      <c r="AV435" s="124"/>
      <c r="AW435" s="124"/>
    </row>
    <row r="436" spans="1:49" ht="18" hidden="1" x14ac:dyDescent="0.4">
      <c r="A436" s="72"/>
      <c r="B436" s="122"/>
      <c r="C436" s="97"/>
      <c r="D436" s="97"/>
      <c r="E436" s="97"/>
      <c r="F436" s="97"/>
      <c r="G436" s="97"/>
      <c r="H436" s="97"/>
      <c r="I436" s="97"/>
      <c r="J436" s="97"/>
      <c r="K436" s="97"/>
      <c r="L436" s="97"/>
      <c r="M436" s="97"/>
      <c r="AK436" s="76"/>
      <c r="AL436" s="134"/>
      <c r="AM436" s="134"/>
      <c r="AN436" s="134"/>
      <c r="AO436" s="134"/>
      <c r="AP436" s="134"/>
      <c r="AQ436" s="134"/>
      <c r="AR436" s="134"/>
      <c r="AS436" s="134"/>
      <c r="AT436" s="134"/>
      <c r="AU436" s="134"/>
      <c r="AV436" s="134"/>
      <c r="AW436" s="134"/>
    </row>
    <row r="437" spans="1:49" ht="18" hidden="1" x14ac:dyDescent="0.4">
      <c r="A437" s="76"/>
      <c r="B437" s="52"/>
      <c r="C437" s="51"/>
      <c r="D437" s="52"/>
      <c r="E437" s="52"/>
      <c r="F437" s="52"/>
      <c r="G437" s="52"/>
      <c r="H437" s="52"/>
      <c r="I437" s="52"/>
      <c r="J437" s="52"/>
      <c r="K437" s="52"/>
      <c r="L437" s="52"/>
      <c r="M437" s="52"/>
      <c r="AK437" s="76"/>
      <c r="AL437" s="121"/>
      <c r="AM437" s="121"/>
      <c r="AN437" s="121"/>
      <c r="AO437" s="121"/>
      <c r="AP437" s="121"/>
      <c r="AQ437" s="121"/>
      <c r="AR437" s="121"/>
      <c r="AS437" s="121"/>
      <c r="AT437" s="121"/>
      <c r="AU437" s="121"/>
      <c r="AV437" s="121"/>
      <c r="AW437" s="121"/>
    </row>
    <row r="438" spans="1:49" ht="18" hidden="1" x14ac:dyDescent="0.4">
      <c r="A438" s="57"/>
      <c r="B438" s="100"/>
      <c r="C438" s="100"/>
      <c r="D438" s="100"/>
      <c r="E438" s="100"/>
      <c r="F438" s="100"/>
      <c r="G438" s="100"/>
      <c r="H438" s="100"/>
      <c r="I438" s="100"/>
      <c r="J438" s="100"/>
      <c r="K438" s="100"/>
      <c r="L438" s="100"/>
      <c r="M438" s="100"/>
      <c r="AK438" s="76"/>
      <c r="AL438" s="97"/>
      <c r="AM438" s="97"/>
      <c r="AN438" s="97"/>
      <c r="AO438" s="97"/>
      <c r="AP438" s="97"/>
      <c r="AQ438" s="97"/>
      <c r="AR438" s="97"/>
      <c r="AS438" s="97"/>
      <c r="AT438" s="97"/>
      <c r="AU438" s="97"/>
      <c r="AV438" s="97"/>
      <c r="AW438" s="97"/>
    </row>
    <row r="439" spans="1:49" hidden="1" x14ac:dyDescent="0.35">
      <c r="A439" s="76"/>
      <c r="B439" s="97"/>
      <c r="C439" s="97"/>
      <c r="D439" s="97"/>
      <c r="E439" s="97"/>
      <c r="F439" s="97"/>
      <c r="G439" s="97"/>
      <c r="H439" s="97"/>
      <c r="I439" s="97"/>
      <c r="J439" s="97"/>
      <c r="K439" s="97"/>
      <c r="L439" s="97"/>
      <c r="M439" s="97"/>
      <c r="AK439" s="76"/>
      <c r="AL439" s="97"/>
      <c r="AM439" s="97"/>
      <c r="AN439" s="97"/>
      <c r="AO439" s="97"/>
      <c r="AP439" s="97"/>
      <c r="AQ439" s="97"/>
      <c r="AR439" s="97"/>
      <c r="AS439" s="97"/>
      <c r="AT439" s="97"/>
      <c r="AU439" s="97"/>
      <c r="AV439" s="97"/>
      <c r="AW439" s="97"/>
    </row>
    <row r="440" spans="1:49" hidden="1" x14ac:dyDescent="0.35">
      <c r="A440" s="76"/>
      <c r="B440" s="97"/>
      <c r="C440" s="97"/>
      <c r="D440" s="97"/>
      <c r="E440" s="97"/>
      <c r="F440" s="97"/>
      <c r="G440" s="97"/>
      <c r="H440" s="97"/>
      <c r="I440" s="97"/>
      <c r="J440" s="97"/>
      <c r="K440" s="97"/>
      <c r="L440" s="97"/>
      <c r="M440" s="97"/>
      <c r="AK440" s="76"/>
      <c r="AL440" s="97"/>
      <c r="AM440" s="97"/>
      <c r="AN440" s="97"/>
      <c r="AO440" s="97"/>
      <c r="AP440" s="97"/>
      <c r="AQ440" s="97"/>
      <c r="AR440" s="97"/>
      <c r="AS440" s="97"/>
      <c r="AT440" s="97"/>
      <c r="AU440" s="97"/>
      <c r="AV440" s="97"/>
      <c r="AW440" s="97"/>
    </row>
    <row r="441" spans="1:49" ht="18" hidden="1" x14ac:dyDescent="0.4">
      <c r="A441" s="76"/>
      <c r="B441" s="97"/>
      <c r="C441" s="97"/>
      <c r="D441" s="97"/>
      <c r="E441" s="97"/>
      <c r="F441" s="97"/>
      <c r="G441" s="97"/>
      <c r="H441" s="97"/>
      <c r="I441" s="97"/>
      <c r="J441" s="97"/>
      <c r="K441" s="97"/>
      <c r="L441" s="97"/>
      <c r="M441" s="97"/>
      <c r="AK441" s="72"/>
      <c r="AL441" s="122"/>
      <c r="AM441" s="97"/>
      <c r="AN441" s="97"/>
      <c r="AO441" s="97"/>
      <c r="AP441" s="97"/>
      <c r="AQ441" s="97"/>
      <c r="AR441" s="97"/>
      <c r="AS441" s="97"/>
      <c r="AT441" s="97"/>
      <c r="AU441" s="97"/>
      <c r="AV441" s="97"/>
      <c r="AW441" s="97"/>
    </row>
    <row r="442" spans="1:49" ht="18" hidden="1" x14ac:dyDescent="0.4">
      <c r="A442" s="76"/>
      <c r="B442" s="97"/>
      <c r="C442" s="97"/>
      <c r="D442" s="97"/>
      <c r="E442" s="97"/>
      <c r="F442" s="97"/>
      <c r="G442" s="97"/>
      <c r="H442" s="97"/>
      <c r="I442" s="97"/>
      <c r="J442" s="97"/>
      <c r="K442" s="97"/>
      <c r="L442" s="97"/>
      <c r="M442" s="97"/>
      <c r="AK442" s="76"/>
      <c r="AL442" s="52"/>
      <c r="AM442" s="51"/>
      <c r="AN442" s="52"/>
      <c r="AO442" s="52"/>
      <c r="AP442" s="52"/>
      <c r="AQ442" s="52"/>
      <c r="AR442" s="52"/>
      <c r="AS442" s="52"/>
      <c r="AT442" s="52"/>
      <c r="AU442" s="52"/>
      <c r="AV442" s="52"/>
      <c r="AW442" s="52"/>
    </row>
    <row r="443" spans="1:49" ht="18" hidden="1" x14ac:dyDescent="0.4">
      <c r="A443" s="76"/>
      <c r="B443" s="97"/>
      <c r="C443" s="97"/>
      <c r="D443" s="97"/>
      <c r="E443" s="97"/>
      <c r="F443" s="97"/>
      <c r="G443" s="97"/>
      <c r="H443" s="97"/>
      <c r="I443" s="97"/>
      <c r="J443" s="97"/>
      <c r="K443" s="97"/>
      <c r="L443" s="97"/>
      <c r="M443" s="97"/>
      <c r="AK443" s="57"/>
      <c r="AL443" s="100"/>
      <c r="AM443" s="100"/>
      <c r="AN443" s="100"/>
      <c r="AO443" s="100"/>
      <c r="AP443" s="100"/>
      <c r="AQ443" s="100"/>
      <c r="AR443" s="100"/>
      <c r="AS443" s="100"/>
      <c r="AT443" s="100"/>
      <c r="AU443" s="100"/>
      <c r="AV443" s="100"/>
      <c r="AW443" s="100"/>
    </row>
    <row r="444" spans="1:49" hidden="1" x14ac:dyDescent="0.35">
      <c r="A444" s="76"/>
      <c r="B444" s="97"/>
      <c r="C444" s="97"/>
      <c r="D444" s="97"/>
      <c r="E444" s="97"/>
      <c r="F444" s="97"/>
      <c r="G444" s="97"/>
      <c r="H444" s="97"/>
      <c r="I444" s="97"/>
      <c r="J444" s="97"/>
      <c r="K444" s="97"/>
      <c r="L444" s="97"/>
      <c r="M444" s="97"/>
      <c r="AK444" s="76"/>
      <c r="AL444" s="97"/>
      <c r="AM444" s="97"/>
      <c r="AN444" s="97"/>
      <c r="AO444" s="97"/>
      <c r="AP444" s="97"/>
      <c r="AQ444" s="97"/>
      <c r="AR444" s="97"/>
      <c r="AS444" s="97"/>
      <c r="AT444" s="97"/>
      <c r="AU444" s="97"/>
      <c r="AV444" s="97"/>
      <c r="AW444" s="97"/>
    </row>
    <row r="445" spans="1:49" hidden="1" x14ac:dyDescent="0.35">
      <c r="A445" s="76"/>
      <c r="B445" s="124"/>
      <c r="C445" s="124"/>
      <c r="D445" s="124"/>
      <c r="E445" s="124"/>
      <c r="F445" s="124"/>
      <c r="G445" s="124"/>
      <c r="H445" s="124"/>
      <c r="I445" s="124"/>
      <c r="J445" s="124"/>
      <c r="K445" s="124"/>
      <c r="L445" s="124"/>
      <c r="M445" s="124"/>
      <c r="AK445" s="76"/>
      <c r="AL445" s="97"/>
      <c r="AM445" s="97"/>
      <c r="AN445" s="97"/>
      <c r="AO445" s="97"/>
      <c r="AP445" s="97"/>
      <c r="AQ445" s="97"/>
      <c r="AR445" s="97"/>
      <c r="AS445" s="97"/>
      <c r="AT445" s="97"/>
      <c r="AU445" s="97"/>
      <c r="AV445" s="97"/>
      <c r="AW445" s="97"/>
    </row>
    <row r="446" spans="1:49" hidden="1" x14ac:dyDescent="0.35">
      <c r="A446" s="76"/>
      <c r="B446" s="134"/>
      <c r="C446" s="134"/>
      <c r="D446" s="134"/>
      <c r="E446" s="134"/>
      <c r="F446" s="134"/>
      <c r="G446" s="134"/>
      <c r="H446" s="134"/>
      <c r="I446" s="134"/>
      <c r="J446" s="134"/>
      <c r="K446" s="134"/>
      <c r="L446" s="134"/>
      <c r="M446" s="134"/>
      <c r="AK446" s="76"/>
      <c r="AL446" s="97"/>
      <c r="AM446" s="97"/>
      <c r="AN446" s="97"/>
      <c r="AO446" s="97"/>
      <c r="AP446" s="97"/>
      <c r="AQ446" s="97"/>
      <c r="AR446" s="97"/>
      <c r="AS446" s="97"/>
      <c r="AT446" s="97"/>
      <c r="AU446" s="97"/>
      <c r="AV446" s="97"/>
      <c r="AW446" s="97"/>
    </row>
    <row r="447" spans="1:49" hidden="1" x14ac:dyDescent="0.35">
      <c r="A447" s="76"/>
      <c r="B447" s="121"/>
      <c r="C447" s="121"/>
      <c r="D447" s="121"/>
      <c r="E447" s="121"/>
      <c r="F447" s="121"/>
      <c r="G447" s="121"/>
      <c r="H447" s="121"/>
      <c r="I447" s="121"/>
      <c r="J447" s="121"/>
      <c r="K447" s="121"/>
      <c r="L447" s="121"/>
      <c r="M447" s="121"/>
      <c r="AK447" s="76"/>
      <c r="AL447" s="97"/>
      <c r="AM447" s="97"/>
      <c r="AN447" s="97"/>
      <c r="AO447" s="97"/>
      <c r="AP447" s="97"/>
      <c r="AQ447" s="97"/>
      <c r="AR447" s="97"/>
      <c r="AS447" s="97"/>
      <c r="AT447" s="97"/>
      <c r="AU447" s="97"/>
      <c r="AV447" s="97"/>
      <c r="AW447" s="97"/>
    </row>
    <row r="448" spans="1:49" hidden="1" x14ac:dyDescent="0.35">
      <c r="A448" s="76"/>
      <c r="B448" s="97"/>
      <c r="C448" s="97"/>
      <c r="D448" s="97"/>
      <c r="E448" s="97"/>
      <c r="F448" s="97"/>
      <c r="G448" s="97"/>
      <c r="H448" s="97"/>
      <c r="I448" s="97"/>
      <c r="J448" s="97"/>
      <c r="K448" s="97"/>
      <c r="L448" s="97"/>
      <c r="M448" s="97"/>
      <c r="AK448" s="76"/>
      <c r="AL448" s="97"/>
      <c r="AM448" s="97"/>
      <c r="AN448" s="97"/>
      <c r="AO448" s="97"/>
      <c r="AP448" s="97"/>
      <c r="AQ448" s="97"/>
      <c r="AR448" s="97"/>
      <c r="AS448" s="97"/>
      <c r="AT448" s="97"/>
      <c r="AU448" s="97"/>
      <c r="AV448" s="97"/>
      <c r="AW448" s="97"/>
    </row>
    <row r="449" spans="1:49" hidden="1" x14ac:dyDescent="0.35">
      <c r="A449" s="76"/>
      <c r="B449" s="97"/>
      <c r="C449" s="97"/>
      <c r="D449" s="97"/>
      <c r="E449" s="97"/>
      <c r="F449" s="97"/>
      <c r="G449" s="97"/>
      <c r="H449" s="97"/>
      <c r="I449" s="97"/>
      <c r="J449" s="97"/>
      <c r="K449" s="97"/>
      <c r="L449" s="97"/>
      <c r="M449" s="97"/>
      <c r="AK449" s="76"/>
      <c r="AL449" s="97"/>
      <c r="AM449" s="97"/>
      <c r="AN449" s="97"/>
      <c r="AO449" s="97"/>
      <c r="AP449" s="97"/>
      <c r="AQ449" s="97"/>
      <c r="AR449" s="97"/>
      <c r="AS449" s="97"/>
      <c r="AT449" s="97"/>
      <c r="AU449" s="97"/>
      <c r="AV449" s="97"/>
      <c r="AW449" s="97"/>
    </row>
    <row r="450" spans="1:49" hidden="1" x14ac:dyDescent="0.35">
      <c r="A450" s="76"/>
      <c r="B450" s="97"/>
      <c r="C450" s="97"/>
      <c r="D450" s="97"/>
      <c r="E450" s="97"/>
      <c r="F450" s="97"/>
      <c r="G450" s="97"/>
      <c r="H450" s="97"/>
      <c r="I450" s="97"/>
      <c r="J450" s="97"/>
      <c r="K450" s="97"/>
      <c r="L450" s="97"/>
      <c r="M450" s="97"/>
      <c r="AK450" s="76"/>
      <c r="AL450" s="124"/>
      <c r="AM450" s="124"/>
      <c r="AN450" s="124"/>
      <c r="AO450" s="124"/>
      <c r="AP450" s="124"/>
      <c r="AQ450" s="124"/>
      <c r="AR450" s="124"/>
      <c r="AS450" s="124"/>
      <c r="AT450" s="124"/>
      <c r="AU450" s="124"/>
      <c r="AV450" s="124"/>
      <c r="AW450" s="124"/>
    </row>
    <row r="451" spans="1:49" hidden="1" x14ac:dyDescent="0.35">
      <c r="A451" s="76"/>
      <c r="B451" s="97"/>
      <c r="C451" s="97"/>
      <c r="D451" s="97"/>
      <c r="E451" s="97"/>
      <c r="F451" s="97"/>
      <c r="G451" s="97"/>
      <c r="H451" s="97"/>
      <c r="I451" s="97"/>
      <c r="J451" s="97"/>
      <c r="K451" s="97"/>
      <c r="L451" s="97"/>
      <c r="M451" s="97"/>
      <c r="AK451" s="76"/>
      <c r="AL451" s="134"/>
      <c r="AM451" s="134"/>
      <c r="AN451" s="134"/>
      <c r="AO451" s="134"/>
      <c r="AP451" s="134"/>
      <c r="AQ451" s="134"/>
      <c r="AR451" s="134"/>
      <c r="AS451" s="134"/>
      <c r="AT451" s="134"/>
      <c r="AU451" s="134"/>
      <c r="AV451" s="134"/>
      <c r="AW451" s="134"/>
    </row>
    <row r="452" spans="1:49" ht="18" hidden="1" x14ac:dyDescent="0.4">
      <c r="A452" s="72"/>
      <c r="B452" s="127"/>
      <c r="C452" s="121"/>
      <c r="D452" s="121"/>
      <c r="E452" s="121"/>
      <c r="F452" s="121"/>
      <c r="G452" s="121"/>
      <c r="H452" s="121"/>
      <c r="I452" s="121"/>
      <c r="J452" s="121"/>
      <c r="K452" s="121"/>
      <c r="L452" s="121"/>
      <c r="M452" s="121"/>
      <c r="AK452" s="76"/>
      <c r="AL452" s="121"/>
      <c r="AM452" s="121"/>
      <c r="AN452" s="121"/>
      <c r="AO452" s="121"/>
      <c r="AP452" s="121"/>
      <c r="AQ452" s="121"/>
      <c r="AR452" s="121"/>
      <c r="AS452" s="121"/>
      <c r="AT452" s="121"/>
      <c r="AU452" s="121"/>
      <c r="AV452" s="121"/>
      <c r="AW452" s="121"/>
    </row>
    <row r="453" spans="1:49" hidden="1" x14ac:dyDescent="0.35">
      <c r="A453" s="76"/>
      <c r="B453" s="121"/>
      <c r="C453" s="121"/>
      <c r="D453" s="121"/>
      <c r="E453" s="121"/>
      <c r="F453" s="121"/>
      <c r="G453" s="121"/>
      <c r="H453" s="121"/>
      <c r="I453" s="121"/>
      <c r="J453" s="121"/>
      <c r="K453" s="121"/>
      <c r="L453" s="121"/>
      <c r="M453" s="121"/>
      <c r="AK453" s="76"/>
      <c r="AL453" s="97"/>
      <c r="AM453" s="97"/>
      <c r="AN453" s="97"/>
      <c r="AO453" s="97"/>
      <c r="AP453" s="97"/>
      <c r="AQ453" s="97"/>
      <c r="AR453" s="97"/>
      <c r="AS453" s="97"/>
      <c r="AT453" s="97"/>
      <c r="AU453" s="97"/>
      <c r="AV453" s="97"/>
      <c r="AW453" s="97"/>
    </row>
    <row r="454" spans="1:49" ht="18" hidden="1" x14ac:dyDescent="0.4">
      <c r="A454" s="76"/>
      <c r="B454" s="52"/>
      <c r="C454" s="52"/>
      <c r="D454" s="51"/>
      <c r="E454" s="52"/>
      <c r="F454" s="52"/>
      <c r="G454" s="52"/>
      <c r="H454" s="52"/>
      <c r="I454" s="52"/>
      <c r="J454" s="52"/>
      <c r="K454" s="52"/>
      <c r="L454" s="52"/>
      <c r="M454" s="52"/>
      <c r="AK454" s="76"/>
      <c r="AL454" s="97"/>
      <c r="AM454" s="97"/>
      <c r="AN454" s="97"/>
      <c r="AO454" s="97"/>
      <c r="AP454" s="97"/>
      <c r="AQ454" s="97"/>
      <c r="AR454" s="97"/>
      <c r="AS454" s="97"/>
      <c r="AT454" s="97"/>
      <c r="AU454" s="97"/>
      <c r="AV454" s="97"/>
      <c r="AW454" s="97"/>
    </row>
    <row r="455" spans="1:49" ht="18" x14ac:dyDescent="0.4">
      <c r="A455" s="57"/>
      <c r="B455" s="100"/>
      <c r="C455" s="100"/>
      <c r="D455" s="100"/>
      <c r="E455" s="100"/>
      <c r="F455" s="100"/>
      <c r="G455" s="100"/>
      <c r="H455" s="100"/>
      <c r="I455" s="100"/>
      <c r="J455" s="100"/>
      <c r="K455" s="100"/>
      <c r="L455" s="100"/>
      <c r="M455" s="100"/>
      <c r="AK455" s="76"/>
      <c r="AL455" s="97"/>
      <c r="AM455" s="97"/>
      <c r="AN455" s="97"/>
      <c r="AO455" s="97"/>
      <c r="AP455" s="97"/>
      <c r="AQ455" s="97"/>
      <c r="AR455" s="97"/>
      <c r="AS455" s="97"/>
      <c r="AT455" s="97"/>
      <c r="AU455" s="97"/>
      <c r="AV455" s="97"/>
      <c r="AW455" s="97"/>
    </row>
    <row r="456" spans="1:49" ht="18" x14ac:dyDescent="0.4">
      <c r="A456" s="72"/>
      <c r="B456" s="122"/>
      <c r="C456" s="122"/>
      <c r="D456" s="122"/>
      <c r="E456" s="122"/>
      <c r="F456" s="122"/>
      <c r="G456" s="122"/>
      <c r="H456" s="122"/>
      <c r="I456" s="122"/>
      <c r="J456" s="122"/>
      <c r="K456" s="122"/>
      <c r="L456" s="122"/>
      <c r="M456" s="122"/>
      <c r="AK456" s="76"/>
      <c r="AL456" s="97"/>
      <c r="AM456" s="97"/>
      <c r="AN456" s="97"/>
      <c r="AO456" s="97"/>
      <c r="AP456" s="97"/>
      <c r="AQ456" s="97"/>
      <c r="AR456" s="97"/>
      <c r="AS456" s="97"/>
      <c r="AT456" s="97"/>
      <c r="AU456" s="97"/>
      <c r="AV456" s="97"/>
      <c r="AW456" s="97"/>
    </row>
    <row r="457" spans="1:49" ht="18" x14ac:dyDescent="0.4">
      <c r="A457" s="72"/>
      <c r="B457" s="122"/>
      <c r="C457" s="122"/>
      <c r="D457" s="122"/>
      <c r="E457" s="122"/>
      <c r="F457" s="122"/>
      <c r="G457" s="122"/>
      <c r="H457" s="122"/>
      <c r="I457" s="122"/>
      <c r="J457" s="122"/>
      <c r="K457" s="122"/>
      <c r="L457" s="122"/>
      <c r="M457" s="122"/>
      <c r="AK457" s="72"/>
      <c r="AL457" s="127"/>
      <c r="AM457" s="121"/>
      <c r="AN457" s="121"/>
      <c r="AO457" s="121"/>
      <c r="AP457" s="121"/>
      <c r="AQ457" s="121"/>
      <c r="AR457" s="121"/>
      <c r="AS457" s="121"/>
      <c r="AT457" s="121"/>
      <c r="AU457" s="121"/>
      <c r="AV457" s="121"/>
      <c r="AW457" s="121"/>
    </row>
    <row r="458" spans="1:49" ht="18" x14ac:dyDescent="0.4">
      <c r="A458" s="72"/>
      <c r="B458" s="122"/>
      <c r="C458" s="122"/>
      <c r="D458" s="122"/>
      <c r="E458" s="122"/>
      <c r="F458" s="122"/>
      <c r="G458" s="122"/>
      <c r="H458" s="122"/>
      <c r="I458" s="122"/>
      <c r="J458" s="122"/>
      <c r="K458" s="122"/>
      <c r="L458" s="122"/>
      <c r="M458" s="122"/>
      <c r="AK458" s="76"/>
      <c r="AL458" s="121"/>
      <c r="AM458" s="121"/>
      <c r="AN458" s="121"/>
      <c r="AO458" s="121"/>
      <c r="AP458" s="121"/>
      <c r="AQ458" s="121"/>
      <c r="AR458" s="121"/>
      <c r="AS458" s="121"/>
      <c r="AT458" s="121"/>
      <c r="AU458" s="121"/>
      <c r="AV458" s="121"/>
      <c r="AW458" s="121"/>
    </row>
    <row r="459" spans="1:49" ht="18" x14ac:dyDescent="0.4">
      <c r="A459" s="72"/>
      <c r="B459" s="122"/>
      <c r="C459" s="122"/>
      <c r="D459" s="122"/>
      <c r="E459" s="122"/>
      <c r="F459" s="122"/>
      <c r="G459" s="122"/>
      <c r="H459" s="122"/>
      <c r="I459" s="122"/>
      <c r="J459" s="122"/>
      <c r="K459" s="122"/>
      <c r="L459" s="122"/>
      <c r="M459" s="122"/>
      <c r="AK459" s="76"/>
      <c r="AL459" s="52"/>
      <c r="AM459" s="52"/>
      <c r="AN459" s="51"/>
      <c r="AO459" s="52"/>
      <c r="AP459" s="52"/>
      <c r="AQ459" s="52"/>
      <c r="AR459" s="52"/>
      <c r="AS459" s="52"/>
      <c r="AT459" s="52"/>
      <c r="AU459" s="52"/>
      <c r="AV459" s="52"/>
      <c r="AW459" s="52"/>
    </row>
    <row r="460" spans="1:49" ht="18" x14ac:dyDescent="0.4">
      <c r="A460" s="72"/>
      <c r="B460" s="122"/>
      <c r="C460" s="122"/>
      <c r="D460" s="122"/>
      <c r="E460" s="122"/>
      <c r="F460" s="122"/>
      <c r="G460" s="122"/>
      <c r="H460" s="122"/>
      <c r="I460" s="122"/>
      <c r="J460" s="122"/>
      <c r="K460" s="122"/>
      <c r="L460" s="122"/>
      <c r="M460" s="122"/>
      <c r="AK460" s="57"/>
      <c r="AL460" s="100"/>
      <c r="AM460" s="100"/>
      <c r="AN460" s="100"/>
      <c r="AO460" s="100"/>
      <c r="AP460" s="100"/>
      <c r="AQ460" s="100"/>
      <c r="AR460" s="100"/>
      <c r="AS460" s="100"/>
      <c r="AT460" s="100"/>
      <c r="AU460" s="100"/>
      <c r="AV460" s="100"/>
      <c r="AW460" s="100"/>
    </row>
    <row r="461" spans="1:49" ht="18" x14ac:dyDescent="0.4">
      <c r="A461" s="72"/>
      <c r="B461" s="122"/>
      <c r="C461" s="122"/>
      <c r="D461" s="122"/>
      <c r="E461" s="122"/>
      <c r="F461" s="122"/>
      <c r="G461" s="122"/>
      <c r="H461" s="122"/>
      <c r="I461" s="122"/>
      <c r="J461" s="122"/>
      <c r="K461" s="122"/>
      <c r="L461" s="122"/>
      <c r="M461" s="122"/>
      <c r="AK461" s="72"/>
      <c r="AL461" s="122"/>
      <c r="AM461" s="122"/>
      <c r="AN461" s="122"/>
      <c r="AO461" s="122"/>
      <c r="AP461" s="122"/>
      <c r="AQ461" s="122"/>
      <c r="AR461" s="122"/>
      <c r="AS461" s="122"/>
      <c r="AT461" s="122"/>
      <c r="AU461" s="122"/>
      <c r="AV461" s="122"/>
      <c r="AW461" s="122"/>
    </row>
    <row r="462" spans="1:49" ht="18" x14ac:dyDescent="0.4">
      <c r="A462" s="72"/>
      <c r="B462" s="122"/>
      <c r="C462" s="122"/>
      <c r="D462" s="122"/>
      <c r="E462" s="122"/>
      <c r="F462" s="122"/>
      <c r="G462" s="122"/>
      <c r="H462" s="122"/>
      <c r="I462" s="122"/>
      <c r="J462" s="122"/>
      <c r="K462" s="122"/>
      <c r="L462" s="122"/>
      <c r="M462" s="122"/>
      <c r="AK462" s="72"/>
      <c r="AL462" s="122"/>
      <c r="AM462" s="122"/>
      <c r="AN462" s="122"/>
      <c r="AO462" s="122"/>
      <c r="AP462" s="122"/>
      <c r="AQ462" s="122"/>
      <c r="AR462" s="122"/>
      <c r="AS462" s="122"/>
      <c r="AT462" s="122"/>
      <c r="AU462" s="122"/>
      <c r="AV462" s="122"/>
      <c r="AW462" s="122"/>
    </row>
    <row r="463" spans="1:49" ht="18" x14ac:dyDescent="0.4">
      <c r="A463" s="76"/>
      <c r="B463" s="124"/>
      <c r="C463" s="124"/>
      <c r="D463" s="124"/>
      <c r="E463" s="124"/>
      <c r="F463" s="124"/>
      <c r="G463" s="124"/>
      <c r="H463" s="124"/>
      <c r="I463" s="124"/>
      <c r="J463" s="124"/>
      <c r="K463" s="124"/>
      <c r="L463" s="124"/>
      <c r="M463" s="124"/>
      <c r="AK463" s="72"/>
      <c r="AL463" s="122"/>
      <c r="AM463" s="122"/>
      <c r="AN463" s="122"/>
      <c r="AO463" s="122"/>
      <c r="AP463" s="122"/>
      <c r="AQ463" s="122"/>
      <c r="AR463" s="122"/>
      <c r="AS463" s="122"/>
      <c r="AT463" s="122"/>
      <c r="AU463" s="122"/>
      <c r="AV463" s="122"/>
      <c r="AW463" s="122"/>
    </row>
    <row r="464" spans="1:49" ht="18" x14ac:dyDescent="0.4">
      <c r="A464" s="76"/>
      <c r="B464" s="134"/>
      <c r="C464" s="134"/>
      <c r="D464" s="134"/>
      <c r="E464" s="134"/>
      <c r="F464" s="134"/>
      <c r="G464" s="134"/>
      <c r="H464" s="134"/>
      <c r="I464" s="134"/>
      <c r="J464" s="134"/>
      <c r="K464" s="134"/>
      <c r="L464" s="134"/>
      <c r="M464" s="134"/>
      <c r="AK464" s="72"/>
      <c r="AL464" s="122"/>
      <c r="AM464" s="122"/>
      <c r="AN464" s="122"/>
      <c r="AO464" s="122"/>
      <c r="AP464" s="122"/>
      <c r="AQ464" s="122"/>
      <c r="AR464" s="122"/>
      <c r="AS464" s="122"/>
      <c r="AT464" s="122"/>
      <c r="AU464" s="122"/>
      <c r="AV464" s="122"/>
      <c r="AW464" s="122"/>
    </row>
    <row r="465" spans="1:49" ht="18" x14ac:dyDescent="0.4">
      <c r="A465" s="76"/>
      <c r="B465" s="121"/>
      <c r="C465" s="121"/>
      <c r="D465" s="121"/>
      <c r="E465" s="121"/>
      <c r="F465" s="121"/>
      <c r="G465" s="121"/>
      <c r="H465" s="121"/>
      <c r="I465" s="121"/>
      <c r="J465" s="121"/>
      <c r="K465" s="121"/>
      <c r="L465" s="121"/>
      <c r="M465" s="121"/>
      <c r="AK465" s="72"/>
      <c r="AL465" s="122"/>
      <c r="AM465" s="122"/>
      <c r="AN465" s="122"/>
      <c r="AO465" s="122"/>
      <c r="AP465" s="122"/>
      <c r="AQ465" s="122"/>
      <c r="AR465" s="122"/>
      <c r="AS465" s="122"/>
      <c r="AT465" s="122"/>
      <c r="AU465" s="122"/>
      <c r="AV465" s="122"/>
      <c r="AW465" s="122"/>
    </row>
    <row r="466" spans="1:49" ht="18" x14ac:dyDescent="0.4">
      <c r="A466" s="76"/>
      <c r="B466" s="97"/>
      <c r="C466" s="97"/>
      <c r="D466" s="97"/>
      <c r="E466" s="97"/>
      <c r="F466" s="97"/>
      <c r="G466" s="97"/>
      <c r="H466" s="97"/>
      <c r="I466" s="97"/>
      <c r="J466" s="97"/>
      <c r="K466" s="97"/>
      <c r="L466" s="97"/>
      <c r="M466" s="97"/>
      <c r="AK466" s="72"/>
      <c r="AL466" s="122"/>
      <c r="AM466" s="122"/>
      <c r="AN466" s="122"/>
      <c r="AO466" s="122"/>
      <c r="AP466" s="122"/>
      <c r="AQ466" s="122"/>
      <c r="AR466" s="122"/>
      <c r="AS466" s="122"/>
      <c r="AT466" s="122"/>
      <c r="AU466" s="122"/>
      <c r="AV466" s="122"/>
      <c r="AW466" s="122"/>
    </row>
    <row r="467" spans="1:49" ht="18" x14ac:dyDescent="0.4">
      <c r="A467" s="76"/>
      <c r="B467" s="121"/>
      <c r="C467" s="121"/>
      <c r="D467" s="121"/>
      <c r="E467" s="121"/>
      <c r="F467" s="121"/>
      <c r="G467" s="121"/>
      <c r="H467" s="121"/>
      <c r="I467" s="121"/>
      <c r="J467" s="121"/>
      <c r="K467" s="121"/>
      <c r="L467" s="121"/>
      <c r="M467" s="121"/>
      <c r="AK467" s="72"/>
      <c r="AL467" s="122"/>
      <c r="AM467" s="122"/>
      <c r="AN467" s="122"/>
      <c r="AO467" s="122"/>
      <c r="AP467" s="122"/>
      <c r="AQ467" s="122"/>
      <c r="AR467" s="122"/>
      <c r="AS467" s="122"/>
      <c r="AT467" s="122"/>
      <c r="AU467" s="122"/>
      <c r="AV467" s="122"/>
      <c r="AW467" s="122"/>
    </row>
    <row r="468" spans="1:49" x14ac:dyDescent="0.35">
      <c r="A468" s="76"/>
      <c r="B468" s="121"/>
      <c r="C468" s="121"/>
      <c r="D468" s="121"/>
      <c r="E468" s="121"/>
      <c r="F468" s="121"/>
      <c r="G468" s="121"/>
      <c r="H468" s="121"/>
      <c r="I468" s="121"/>
      <c r="J468" s="121"/>
      <c r="K468" s="121"/>
      <c r="L468" s="121"/>
      <c r="M468" s="121"/>
      <c r="AK468" s="76"/>
      <c r="AL468" s="124"/>
      <c r="AM468" s="124"/>
      <c r="AN468" s="124"/>
      <c r="AO468" s="124"/>
      <c r="AP468" s="124"/>
      <c r="AQ468" s="124"/>
      <c r="AR468" s="124"/>
      <c r="AS468" s="124"/>
      <c r="AT468" s="124"/>
      <c r="AU468" s="124"/>
      <c r="AV468" s="124"/>
      <c r="AW468" s="124"/>
    </row>
    <row r="469" spans="1:49" ht="18" x14ac:dyDescent="0.4">
      <c r="A469" s="72"/>
      <c r="B469" s="127"/>
      <c r="C469" s="121"/>
      <c r="D469" s="121"/>
      <c r="E469" s="121"/>
      <c r="F469" s="121"/>
      <c r="G469" s="121"/>
      <c r="H469" s="121"/>
      <c r="I469" s="121"/>
      <c r="J469" s="121"/>
      <c r="K469" s="121"/>
      <c r="L469" s="121"/>
      <c r="M469" s="121"/>
      <c r="AK469" s="76"/>
      <c r="AL469" s="134"/>
      <c r="AM469" s="134"/>
      <c r="AN469" s="134"/>
      <c r="AO469" s="134"/>
      <c r="AP469" s="134"/>
      <c r="AQ469" s="134"/>
      <c r="AR469" s="134"/>
      <c r="AS469" s="134"/>
      <c r="AT469" s="134"/>
      <c r="AU469" s="134"/>
      <c r="AV469" s="134"/>
      <c r="AW469" s="134"/>
    </row>
    <row r="470" spans="1:49" x14ac:dyDescent="0.35">
      <c r="A470" s="76"/>
      <c r="B470" s="121"/>
      <c r="C470" s="121"/>
      <c r="D470" s="121"/>
      <c r="E470" s="121"/>
      <c r="F470" s="121"/>
      <c r="G470" s="121"/>
      <c r="H470" s="121"/>
      <c r="I470" s="121"/>
      <c r="J470" s="121"/>
      <c r="K470" s="121"/>
      <c r="L470" s="121"/>
      <c r="M470" s="121"/>
      <c r="AK470" s="76"/>
      <c r="AL470" s="121"/>
      <c r="AM470" s="121"/>
      <c r="AN470" s="121"/>
      <c r="AO470" s="121"/>
      <c r="AP470" s="121"/>
      <c r="AQ470" s="121"/>
      <c r="AR470" s="121"/>
      <c r="AS470" s="121"/>
      <c r="AT470" s="121"/>
      <c r="AU470" s="121"/>
      <c r="AV470" s="121"/>
      <c r="AW470" s="121"/>
    </row>
    <row r="471" spans="1:49" ht="18" x14ac:dyDescent="0.4">
      <c r="A471" s="76"/>
      <c r="B471" s="52"/>
      <c r="C471" s="51"/>
      <c r="D471" s="52"/>
      <c r="E471" s="52"/>
      <c r="F471" s="52"/>
      <c r="G471" s="52"/>
      <c r="H471" s="52"/>
      <c r="I471" s="52"/>
      <c r="J471" s="52"/>
      <c r="K471" s="52"/>
      <c r="L471" s="52"/>
      <c r="M471" s="52"/>
      <c r="AK471" s="76"/>
      <c r="AL471" s="97"/>
      <c r="AM471" s="97"/>
      <c r="AN471" s="97"/>
      <c r="AO471" s="97"/>
      <c r="AP471" s="97"/>
      <c r="AQ471" s="97"/>
      <c r="AR471" s="97"/>
      <c r="AS471" s="97"/>
      <c r="AT471" s="97"/>
      <c r="AU471" s="97"/>
      <c r="AV471" s="97"/>
      <c r="AW471" s="97"/>
    </row>
    <row r="472" spans="1:49" ht="18" x14ac:dyDescent="0.4">
      <c r="A472" s="57"/>
      <c r="B472" s="100"/>
      <c r="C472" s="100"/>
      <c r="D472" s="100"/>
      <c r="E472" s="100"/>
      <c r="F472" s="100"/>
      <c r="G472" s="100"/>
      <c r="H472" s="100"/>
      <c r="I472" s="100"/>
      <c r="J472" s="100"/>
      <c r="K472" s="100"/>
      <c r="L472" s="100"/>
      <c r="M472" s="100"/>
      <c r="AK472" s="76"/>
      <c r="AL472" s="121"/>
      <c r="AM472" s="121"/>
      <c r="AN472" s="121"/>
      <c r="AO472" s="121"/>
      <c r="AP472" s="121"/>
      <c r="AQ472" s="121"/>
      <c r="AR472" s="121"/>
      <c r="AS472" s="121"/>
      <c r="AT472" s="121"/>
      <c r="AU472" s="121"/>
      <c r="AV472" s="121"/>
      <c r="AW472" s="121"/>
    </row>
    <row r="473" spans="1:49" hidden="1" x14ac:dyDescent="0.35">
      <c r="A473" s="76"/>
      <c r="B473" s="97"/>
      <c r="C473" s="97"/>
      <c r="D473" s="97"/>
      <c r="E473" s="97"/>
      <c r="F473" s="97"/>
      <c r="G473" s="97"/>
      <c r="H473" s="97"/>
      <c r="I473" s="97"/>
      <c r="J473" s="97"/>
      <c r="K473" s="97"/>
      <c r="L473" s="97"/>
      <c r="M473" s="97"/>
      <c r="AK473" s="76"/>
      <c r="AL473" s="121"/>
      <c r="AM473" s="121"/>
      <c r="AN473" s="121"/>
      <c r="AO473" s="121"/>
      <c r="AP473" s="121"/>
      <c r="AQ473" s="121"/>
      <c r="AR473" s="121"/>
      <c r="AS473" s="121"/>
      <c r="AT473" s="121"/>
      <c r="AU473" s="121"/>
      <c r="AV473" s="121"/>
      <c r="AW473" s="121"/>
    </row>
    <row r="474" spans="1:49" ht="18" hidden="1" x14ac:dyDescent="0.4">
      <c r="A474" s="76"/>
      <c r="B474" s="97"/>
      <c r="C474" s="97"/>
      <c r="D474" s="97"/>
      <c r="E474" s="97"/>
      <c r="F474" s="97"/>
      <c r="G474" s="97"/>
      <c r="H474" s="97"/>
      <c r="I474" s="97"/>
      <c r="J474" s="97"/>
      <c r="K474" s="97"/>
      <c r="L474" s="97"/>
      <c r="M474" s="97"/>
      <c r="AK474" s="72"/>
      <c r="AL474" s="127"/>
      <c r="AM474" s="121"/>
      <c r="AN474" s="121"/>
      <c r="AO474" s="121"/>
      <c r="AP474" s="121"/>
      <c r="AQ474" s="121"/>
      <c r="AR474" s="121"/>
      <c r="AS474" s="121"/>
      <c r="AT474" s="121"/>
      <c r="AU474" s="121"/>
      <c r="AV474" s="121"/>
      <c r="AW474" s="121"/>
    </row>
    <row r="475" spans="1:49" hidden="1" x14ac:dyDescent="0.35">
      <c r="A475" s="76"/>
      <c r="B475" s="97"/>
      <c r="C475" s="97"/>
      <c r="D475" s="97"/>
      <c r="E475" s="97"/>
      <c r="F475" s="97"/>
      <c r="G475" s="97"/>
      <c r="H475" s="97"/>
      <c r="I475" s="97"/>
      <c r="J475" s="97"/>
      <c r="K475" s="97"/>
      <c r="L475" s="97"/>
      <c r="M475" s="97"/>
      <c r="AK475" s="76"/>
      <c r="AL475" s="121"/>
      <c r="AM475" s="121"/>
      <c r="AN475" s="121"/>
      <c r="AO475" s="121"/>
      <c r="AP475" s="121"/>
      <c r="AQ475" s="121"/>
      <c r="AR475" s="121"/>
      <c r="AS475" s="121"/>
      <c r="AT475" s="121"/>
      <c r="AU475" s="121"/>
      <c r="AV475" s="121"/>
      <c r="AW475" s="121"/>
    </row>
    <row r="476" spans="1:49" ht="18" hidden="1" x14ac:dyDescent="0.4">
      <c r="A476" s="76"/>
      <c r="B476" s="97"/>
      <c r="C476" s="97"/>
      <c r="D476" s="97"/>
      <c r="E476" s="97"/>
      <c r="F476" s="97"/>
      <c r="G476" s="97"/>
      <c r="H476" s="97"/>
      <c r="I476" s="97"/>
      <c r="J476" s="97"/>
      <c r="K476" s="97"/>
      <c r="L476" s="97"/>
      <c r="M476" s="97"/>
      <c r="AK476" s="76"/>
      <c r="AL476" s="52"/>
      <c r="AM476" s="51"/>
      <c r="AN476" s="52"/>
      <c r="AO476" s="52"/>
      <c r="AP476" s="52"/>
      <c r="AQ476" s="52"/>
      <c r="AR476" s="52"/>
      <c r="AS476" s="52"/>
      <c r="AT476" s="52"/>
      <c r="AU476" s="52"/>
      <c r="AV476" s="52"/>
      <c r="AW476" s="52"/>
    </row>
    <row r="477" spans="1:49" ht="18" hidden="1" x14ac:dyDescent="0.4">
      <c r="A477" s="76"/>
      <c r="B477" s="97"/>
      <c r="C477" s="97"/>
      <c r="D477" s="97"/>
      <c r="E477" s="97"/>
      <c r="F477" s="97"/>
      <c r="G477" s="97"/>
      <c r="H477" s="97"/>
      <c r="I477" s="97"/>
      <c r="J477" s="97"/>
      <c r="K477" s="97"/>
      <c r="L477" s="97"/>
      <c r="M477" s="97"/>
      <c r="AK477" s="57"/>
      <c r="AL477" s="100"/>
      <c r="AM477" s="100"/>
      <c r="AN477" s="100"/>
      <c r="AO477" s="100"/>
      <c r="AP477" s="100"/>
      <c r="AQ477" s="100"/>
      <c r="AR477" s="100"/>
      <c r="AS477" s="100"/>
      <c r="AT477" s="100"/>
      <c r="AU477" s="100"/>
      <c r="AV477" s="100"/>
      <c r="AW477" s="100"/>
    </row>
    <row r="478" spans="1:49" hidden="1" x14ac:dyDescent="0.35">
      <c r="A478" s="76"/>
      <c r="B478" s="97"/>
      <c r="C478" s="97"/>
      <c r="D478" s="97"/>
      <c r="E478" s="97"/>
      <c r="F478" s="97"/>
      <c r="G478" s="97"/>
      <c r="H478" s="97"/>
      <c r="I478" s="97"/>
      <c r="J478" s="97"/>
      <c r="K478" s="97"/>
      <c r="L478" s="97"/>
      <c r="M478" s="97"/>
      <c r="AK478" s="76"/>
      <c r="AL478" s="97"/>
      <c r="AM478" s="97"/>
      <c r="AN478" s="97"/>
      <c r="AO478" s="97"/>
      <c r="AP478" s="97"/>
      <c r="AQ478" s="97"/>
      <c r="AR478" s="97"/>
      <c r="AS478" s="97"/>
      <c r="AT478" s="97"/>
      <c r="AU478" s="97"/>
      <c r="AV478" s="97"/>
      <c r="AW478" s="97"/>
    </row>
    <row r="479" spans="1:49" hidden="1" x14ac:dyDescent="0.35">
      <c r="A479" s="76"/>
      <c r="B479" s="124"/>
      <c r="C479" s="124"/>
      <c r="D479" s="124"/>
      <c r="E479" s="124"/>
      <c r="F479" s="124"/>
      <c r="G479" s="124"/>
      <c r="H479" s="124"/>
      <c r="I479" s="124"/>
      <c r="J479" s="124"/>
      <c r="K479" s="124"/>
      <c r="L479" s="124"/>
      <c r="M479" s="124"/>
      <c r="AK479" s="76"/>
      <c r="AL479" s="97"/>
      <c r="AM479" s="97"/>
      <c r="AN479" s="97"/>
      <c r="AO479" s="97"/>
      <c r="AP479" s="97"/>
      <c r="AQ479" s="97"/>
      <c r="AR479" s="97"/>
      <c r="AS479" s="97"/>
      <c r="AT479" s="97"/>
      <c r="AU479" s="97"/>
      <c r="AV479" s="97"/>
      <c r="AW479" s="97"/>
    </row>
    <row r="480" spans="1:49" hidden="1" x14ac:dyDescent="0.35">
      <c r="A480" s="76"/>
      <c r="B480" s="134"/>
      <c r="C480" s="134"/>
      <c r="D480" s="134"/>
      <c r="E480" s="134"/>
      <c r="F480" s="134"/>
      <c r="G480" s="134"/>
      <c r="H480" s="134"/>
      <c r="I480" s="134"/>
      <c r="J480" s="134"/>
      <c r="K480" s="134"/>
      <c r="L480" s="134"/>
      <c r="M480" s="134"/>
      <c r="AK480" s="76"/>
      <c r="AL480" s="97"/>
      <c r="AM480" s="97"/>
      <c r="AN480" s="97"/>
      <c r="AO480" s="97"/>
      <c r="AP480" s="97"/>
      <c r="AQ480" s="97"/>
      <c r="AR480" s="97"/>
      <c r="AS480" s="97"/>
      <c r="AT480" s="97"/>
      <c r="AU480" s="97"/>
      <c r="AV480" s="97"/>
      <c r="AW480" s="97"/>
    </row>
    <row r="481" spans="1:49" hidden="1" x14ac:dyDescent="0.35">
      <c r="A481" s="76"/>
      <c r="B481" s="121"/>
      <c r="C481" s="121"/>
      <c r="D481" s="121"/>
      <c r="E481" s="121"/>
      <c r="F481" s="121"/>
      <c r="G481" s="121"/>
      <c r="H481" s="121"/>
      <c r="I481" s="121"/>
      <c r="J481" s="121"/>
      <c r="K481" s="121"/>
      <c r="L481" s="121"/>
      <c r="M481" s="121"/>
      <c r="AK481" s="76"/>
      <c r="AL481" s="97"/>
      <c r="AM481" s="97"/>
      <c r="AN481" s="97"/>
      <c r="AO481" s="97"/>
      <c r="AP481" s="97"/>
      <c r="AQ481" s="97"/>
      <c r="AR481" s="97"/>
      <c r="AS481" s="97"/>
      <c r="AT481" s="97"/>
      <c r="AU481" s="97"/>
      <c r="AV481" s="97"/>
      <c r="AW481" s="97"/>
    </row>
    <row r="482" spans="1:49" hidden="1" x14ac:dyDescent="0.35">
      <c r="A482" s="76"/>
      <c r="B482" s="97"/>
      <c r="C482" s="97"/>
      <c r="D482" s="97"/>
      <c r="E482" s="97"/>
      <c r="F482" s="97"/>
      <c r="G482" s="97"/>
      <c r="H482" s="97"/>
      <c r="I482" s="97"/>
      <c r="J482" s="97"/>
      <c r="K482" s="97"/>
      <c r="L482" s="97"/>
      <c r="M482" s="97"/>
      <c r="AK482" s="76"/>
      <c r="AL482" s="97"/>
      <c r="AM482" s="97"/>
      <c r="AN482" s="97"/>
      <c r="AO482" s="97"/>
      <c r="AP482" s="97"/>
      <c r="AQ482" s="97"/>
      <c r="AR482" s="97"/>
      <c r="AS482" s="97"/>
      <c r="AT482" s="97"/>
      <c r="AU482" s="97"/>
      <c r="AV482" s="97"/>
      <c r="AW482" s="97"/>
    </row>
    <row r="483" spans="1:49" ht="18" hidden="1" x14ac:dyDescent="0.4">
      <c r="A483" s="72"/>
      <c r="B483" s="127"/>
      <c r="C483" s="121"/>
      <c r="D483" s="121"/>
      <c r="E483" s="121"/>
      <c r="F483" s="121"/>
      <c r="G483" s="121"/>
      <c r="H483" s="121"/>
      <c r="I483" s="121"/>
      <c r="J483" s="121"/>
      <c r="K483" s="121"/>
      <c r="L483" s="121"/>
      <c r="M483" s="121"/>
      <c r="AK483" s="76"/>
      <c r="AL483" s="97"/>
      <c r="AM483" s="97"/>
      <c r="AN483" s="97"/>
      <c r="AO483" s="97"/>
      <c r="AP483" s="97"/>
      <c r="AQ483" s="97"/>
      <c r="AR483" s="97"/>
      <c r="AS483" s="97"/>
      <c r="AT483" s="97"/>
      <c r="AU483" s="97"/>
      <c r="AV483" s="97"/>
      <c r="AW483" s="97"/>
    </row>
    <row r="484" spans="1:49" hidden="1" x14ac:dyDescent="0.35">
      <c r="A484" s="76"/>
      <c r="B484" s="121"/>
      <c r="C484" s="121"/>
      <c r="D484" s="121"/>
      <c r="E484" s="121"/>
      <c r="F484" s="121"/>
      <c r="G484" s="121"/>
      <c r="H484" s="121"/>
      <c r="I484" s="121"/>
      <c r="J484" s="121"/>
      <c r="K484" s="121"/>
      <c r="L484" s="121"/>
      <c r="M484" s="121"/>
      <c r="AK484" s="76"/>
      <c r="AL484" s="124"/>
      <c r="AM484" s="124"/>
      <c r="AN484" s="124"/>
      <c r="AO484" s="124"/>
      <c r="AP484" s="124"/>
      <c r="AQ484" s="124"/>
      <c r="AR484" s="124"/>
      <c r="AS484" s="124"/>
      <c r="AT484" s="124"/>
      <c r="AU484" s="124"/>
      <c r="AV484" s="124"/>
      <c r="AW484" s="124"/>
    </row>
    <row r="485" spans="1:49" ht="18" hidden="1" x14ac:dyDescent="0.4">
      <c r="A485" s="76"/>
      <c r="B485" s="52"/>
      <c r="C485" s="51"/>
      <c r="D485" s="52"/>
      <c r="E485" s="52"/>
      <c r="F485" s="52"/>
      <c r="G485" s="52"/>
      <c r="H485" s="52"/>
      <c r="I485" s="52"/>
      <c r="J485" s="52"/>
      <c r="K485" s="52"/>
      <c r="L485" s="52"/>
      <c r="M485" s="52"/>
      <c r="AK485" s="76"/>
      <c r="AL485" s="134"/>
      <c r="AM485" s="134"/>
      <c r="AN485" s="134"/>
      <c r="AO485" s="134"/>
      <c r="AP485" s="134"/>
      <c r="AQ485" s="134"/>
      <c r="AR485" s="134"/>
      <c r="AS485" s="134"/>
      <c r="AT485" s="134"/>
      <c r="AU485" s="134"/>
      <c r="AV485" s="134"/>
      <c r="AW485" s="134"/>
    </row>
    <row r="486" spans="1:49" ht="18" hidden="1" x14ac:dyDescent="0.4">
      <c r="A486" s="115"/>
      <c r="B486" s="100"/>
      <c r="C486" s="100"/>
      <c r="D486" s="100"/>
      <c r="E486" s="100"/>
      <c r="F486" s="100"/>
      <c r="G486" s="100"/>
      <c r="H486" s="100"/>
      <c r="I486" s="100"/>
      <c r="J486" s="100"/>
      <c r="K486" s="100"/>
      <c r="L486" s="100"/>
      <c r="M486" s="100"/>
      <c r="AK486" s="76"/>
      <c r="AL486" s="121"/>
      <c r="AM486" s="121"/>
      <c r="AN486" s="121"/>
      <c r="AO486" s="121"/>
      <c r="AP486" s="121"/>
      <c r="AQ486" s="121"/>
      <c r="AR486" s="121"/>
      <c r="AS486" s="121"/>
      <c r="AT486" s="121"/>
      <c r="AU486" s="121"/>
      <c r="AV486" s="121"/>
      <c r="AW486" s="121"/>
    </row>
    <row r="487" spans="1:49" ht="18" hidden="1" x14ac:dyDescent="0.4">
      <c r="A487" s="72"/>
      <c r="B487" s="122"/>
      <c r="C487" s="122"/>
      <c r="D487" s="122"/>
      <c r="E487" s="122"/>
      <c r="F487" s="122"/>
      <c r="G487" s="122"/>
      <c r="H487" s="122"/>
      <c r="I487" s="122"/>
      <c r="J487" s="122"/>
      <c r="K487" s="122"/>
      <c r="L487" s="122"/>
      <c r="M487" s="122"/>
      <c r="AK487" s="76"/>
      <c r="AL487" s="97"/>
      <c r="AM487" s="97"/>
      <c r="AN487" s="97"/>
      <c r="AO487" s="97"/>
      <c r="AP487" s="97"/>
      <c r="AQ487" s="97"/>
      <c r="AR487" s="97"/>
      <c r="AS487" s="97"/>
      <c r="AT487" s="97"/>
      <c r="AU487" s="97"/>
      <c r="AV487" s="97"/>
      <c r="AW487" s="97"/>
    </row>
    <row r="488" spans="1:49" ht="18" x14ac:dyDescent="0.4">
      <c r="A488" s="72"/>
      <c r="B488" s="122"/>
      <c r="C488" s="122"/>
      <c r="D488" s="122"/>
      <c r="E488" s="122"/>
      <c r="F488" s="122"/>
      <c r="G488" s="122"/>
      <c r="H488" s="122"/>
      <c r="I488" s="122"/>
      <c r="J488" s="122"/>
      <c r="K488" s="122"/>
      <c r="L488" s="122"/>
      <c r="M488" s="122"/>
      <c r="AK488" s="72"/>
      <c r="AL488" s="127"/>
      <c r="AM488" s="121"/>
      <c r="AN488" s="121"/>
      <c r="AO488" s="121"/>
      <c r="AP488" s="121"/>
      <c r="AQ488" s="121"/>
      <c r="AR488" s="121"/>
      <c r="AS488" s="121"/>
      <c r="AT488" s="121"/>
      <c r="AU488" s="121"/>
      <c r="AV488" s="121"/>
      <c r="AW488" s="121"/>
    </row>
    <row r="489" spans="1:49" ht="18" x14ac:dyDescent="0.4">
      <c r="A489" s="72"/>
      <c r="B489" s="122"/>
      <c r="C489" s="122"/>
      <c r="D489" s="122"/>
      <c r="E489" s="122"/>
      <c r="F489" s="122"/>
      <c r="G489" s="122"/>
      <c r="H489" s="122"/>
      <c r="I489" s="122"/>
      <c r="J489" s="122"/>
      <c r="K489" s="122"/>
      <c r="L489" s="122"/>
      <c r="M489" s="122"/>
      <c r="AK489" s="76"/>
      <c r="AL489" s="121"/>
      <c r="AM489" s="121"/>
      <c r="AN489" s="121"/>
      <c r="AO489" s="121"/>
      <c r="AP489" s="121"/>
      <c r="AQ489" s="121"/>
      <c r="AR489" s="121"/>
      <c r="AS489" s="121"/>
      <c r="AT489" s="121"/>
      <c r="AU489" s="121"/>
      <c r="AV489" s="121"/>
      <c r="AW489" s="121"/>
    </row>
    <row r="490" spans="1:49" ht="18" x14ac:dyDescent="0.4">
      <c r="A490" s="72"/>
      <c r="B490" s="122"/>
      <c r="C490" s="122"/>
      <c r="D490" s="122"/>
      <c r="E490" s="122"/>
      <c r="F490" s="122"/>
      <c r="G490" s="122"/>
      <c r="H490" s="122"/>
      <c r="I490" s="122"/>
      <c r="J490" s="122"/>
      <c r="K490" s="122"/>
      <c r="L490" s="122"/>
      <c r="M490" s="122"/>
      <c r="AK490" s="76"/>
      <c r="AL490" s="52"/>
      <c r="AM490" s="51"/>
      <c r="AN490" s="52"/>
      <c r="AO490" s="52"/>
      <c r="AP490" s="52"/>
      <c r="AQ490" s="52"/>
      <c r="AR490" s="52"/>
      <c r="AS490" s="52"/>
      <c r="AT490" s="52"/>
      <c r="AU490" s="52"/>
      <c r="AV490" s="52"/>
      <c r="AW490" s="52"/>
    </row>
    <row r="491" spans="1:49" ht="18" x14ac:dyDescent="0.4">
      <c r="A491" s="72"/>
      <c r="B491" s="122"/>
      <c r="C491" s="122"/>
      <c r="D491" s="122"/>
      <c r="E491" s="122"/>
      <c r="F491" s="122"/>
      <c r="G491" s="122"/>
      <c r="H491" s="122"/>
      <c r="I491" s="122"/>
      <c r="J491" s="122"/>
      <c r="K491" s="122"/>
      <c r="L491" s="122"/>
      <c r="M491" s="122"/>
      <c r="AK491" s="115"/>
      <c r="AL491" s="100"/>
      <c r="AM491" s="100"/>
      <c r="AN491" s="100"/>
      <c r="AO491" s="100"/>
      <c r="AP491" s="100"/>
      <c r="AQ491" s="100"/>
      <c r="AR491" s="100"/>
      <c r="AS491" s="100"/>
      <c r="AT491" s="100"/>
      <c r="AU491" s="100"/>
      <c r="AV491" s="100"/>
      <c r="AW491" s="100"/>
    </row>
    <row r="492" spans="1:49" ht="18" x14ac:dyDescent="0.4">
      <c r="A492" s="72"/>
      <c r="B492" s="122"/>
      <c r="C492" s="122"/>
      <c r="D492" s="122"/>
      <c r="E492" s="122"/>
      <c r="F492" s="122"/>
      <c r="G492" s="122"/>
      <c r="H492" s="122"/>
      <c r="I492" s="122"/>
      <c r="J492" s="122"/>
      <c r="K492" s="122"/>
      <c r="L492" s="122"/>
      <c r="M492" s="122"/>
      <c r="AK492" s="72"/>
      <c r="AL492" s="122"/>
      <c r="AM492" s="122"/>
      <c r="AN492" s="122"/>
      <c r="AO492" s="122"/>
      <c r="AP492" s="122"/>
      <c r="AQ492" s="122"/>
      <c r="AR492" s="122"/>
      <c r="AS492" s="122"/>
      <c r="AT492" s="122"/>
      <c r="AU492" s="122"/>
      <c r="AV492" s="122"/>
      <c r="AW492" s="122"/>
    </row>
    <row r="493" spans="1:49" ht="18" x14ac:dyDescent="0.4">
      <c r="A493" s="72"/>
      <c r="B493" s="122"/>
      <c r="C493" s="122"/>
      <c r="D493" s="122"/>
      <c r="E493" s="122"/>
      <c r="F493" s="122"/>
      <c r="G493" s="122"/>
      <c r="H493" s="122"/>
      <c r="I493" s="122"/>
      <c r="J493" s="122"/>
      <c r="K493" s="122"/>
      <c r="L493" s="122"/>
      <c r="M493" s="122"/>
      <c r="AK493" s="72"/>
      <c r="AL493" s="122"/>
      <c r="AM493" s="122"/>
      <c r="AN493" s="122"/>
      <c r="AO493" s="122"/>
      <c r="AP493" s="122"/>
      <c r="AQ493" s="122"/>
      <c r="AR493" s="122"/>
      <c r="AS493" s="122"/>
      <c r="AT493" s="122"/>
      <c r="AU493" s="122"/>
      <c r="AV493" s="122"/>
      <c r="AW493" s="122"/>
    </row>
    <row r="494" spans="1:49" ht="18" x14ac:dyDescent="0.4">
      <c r="A494" s="76"/>
      <c r="B494" s="124"/>
      <c r="C494" s="124"/>
      <c r="D494" s="124"/>
      <c r="E494" s="124"/>
      <c r="F494" s="124"/>
      <c r="G494" s="124"/>
      <c r="H494" s="124"/>
      <c r="I494" s="124"/>
      <c r="J494" s="124"/>
      <c r="K494" s="124"/>
      <c r="L494" s="124"/>
      <c r="M494" s="124"/>
      <c r="AK494" s="72"/>
      <c r="AL494" s="122"/>
      <c r="AM494" s="122"/>
      <c r="AN494" s="122"/>
      <c r="AO494" s="122"/>
      <c r="AP494" s="122"/>
      <c r="AQ494" s="122"/>
      <c r="AR494" s="122"/>
      <c r="AS494" s="122"/>
      <c r="AT494" s="122"/>
      <c r="AU494" s="122"/>
      <c r="AV494" s="122"/>
      <c r="AW494" s="122"/>
    </row>
    <row r="495" spans="1:49" ht="18" x14ac:dyDescent="0.4">
      <c r="A495" s="76"/>
      <c r="B495" s="134"/>
      <c r="C495" s="134"/>
      <c r="D495" s="134"/>
      <c r="E495" s="134"/>
      <c r="F495" s="134"/>
      <c r="G495" s="134"/>
      <c r="H495" s="134"/>
      <c r="I495" s="134"/>
      <c r="J495" s="134"/>
      <c r="K495" s="134"/>
      <c r="L495" s="134"/>
      <c r="M495" s="134"/>
      <c r="AK495" s="72"/>
      <c r="AL495" s="122"/>
      <c r="AM495" s="122"/>
      <c r="AN495" s="122"/>
      <c r="AO495" s="122"/>
      <c r="AP495" s="122"/>
      <c r="AQ495" s="122"/>
      <c r="AR495" s="122"/>
      <c r="AS495" s="122"/>
      <c r="AT495" s="122"/>
      <c r="AU495" s="122"/>
      <c r="AV495" s="122"/>
      <c r="AW495" s="122"/>
    </row>
    <row r="496" spans="1:49" ht="18" x14ac:dyDescent="0.4">
      <c r="A496" s="76"/>
      <c r="B496" s="121"/>
      <c r="C496" s="121"/>
      <c r="D496" s="121"/>
      <c r="E496" s="121"/>
      <c r="F496" s="121"/>
      <c r="G496" s="121"/>
      <c r="H496" s="121"/>
      <c r="I496" s="121"/>
      <c r="J496" s="121"/>
      <c r="K496" s="121"/>
      <c r="L496" s="121"/>
      <c r="M496" s="121"/>
      <c r="AK496" s="72"/>
      <c r="AL496" s="122"/>
      <c r="AM496" s="122"/>
      <c r="AN496" s="122"/>
      <c r="AO496" s="122"/>
      <c r="AP496" s="122"/>
      <c r="AQ496" s="122"/>
      <c r="AR496" s="122"/>
      <c r="AS496" s="122"/>
      <c r="AT496" s="122"/>
      <c r="AU496" s="122"/>
      <c r="AV496" s="122"/>
      <c r="AW496" s="122"/>
    </row>
    <row r="497" spans="1:49" ht="18" x14ac:dyDescent="0.4">
      <c r="A497" s="76"/>
      <c r="B497" s="97"/>
      <c r="C497" s="97"/>
      <c r="D497" s="97"/>
      <c r="E497" s="97"/>
      <c r="F497" s="97"/>
      <c r="G497" s="97"/>
      <c r="H497" s="97"/>
      <c r="I497" s="97"/>
      <c r="J497" s="97"/>
      <c r="K497" s="97"/>
      <c r="L497" s="97"/>
      <c r="M497" s="97"/>
      <c r="AK497" s="72"/>
      <c r="AL497" s="122"/>
      <c r="AM497" s="122"/>
      <c r="AN497" s="122"/>
      <c r="AO497" s="122"/>
      <c r="AP497" s="122"/>
      <c r="AQ497" s="122"/>
      <c r="AR497" s="122"/>
      <c r="AS497" s="122"/>
      <c r="AT497" s="122"/>
      <c r="AU497" s="122"/>
      <c r="AV497" s="122"/>
      <c r="AW497" s="122"/>
    </row>
    <row r="498" spans="1:49" ht="18" x14ac:dyDescent="0.4">
      <c r="A498" s="76"/>
      <c r="B498" s="97"/>
      <c r="C498" s="97"/>
      <c r="D498" s="97"/>
      <c r="E498" s="97"/>
      <c r="F498" s="97"/>
      <c r="G498" s="97"/>
      <c r="H498" s="97"/>
      <c r="I498" s="97"/>
      <c r="J498" s="97"/>
      <c r="K498" s="97"/>
      <c r="L498" s="97"/>
      <c r="M498" s="97"/>
      <c r="AK498" s="72"/>
      <c r="AL498" s="122"/>
      <c r="AM498" s="122"/>
      <c r="AN498" s="122"/>
      <c r="AO498" s="122"/>
      <c r="AP498" s="122"/>
      <c r="AQ498" s="122"/>
      <c r="AR498" s="122"/>
      <c r="AS498" s="122"/>
      <c r="AT498" s="122"/>
      <c r="AU498" s="122"/>
      <c r="AV498" s="122"/>
      <c r="AW498" s="122"/>
    </row>
    <row r="499" spans="1:49" x14ac:dyDescent="0.35">
      <c r="A499" s="76"/>
      <c r="B499" s="105"/>
      <c r="C499" s="105"/>
      <c r="D499" s="105"/>
      <c r="E499" s="105"/>
      <c r="F499" s="105"/>
      <c r="G499" s="105"/>
      <c r="H499" s="105"/>
      <c r="I499" s="105"/>
      <c r="J499" s="105"/>
      <c r="K499" s="105"/>
      <c r="L499" s="105"/>
      <c r="M499" s="105"/>
      <c r="AK499" s="76"/>
      <c r="AL499" s="124"/>
      <c r="AM499" s="124"/>
      <c r="AN499" s="124"/>
      <c r="AO499" s="124"/>
      <c r="AP499" s="124"/>
      <c r="AQ499" s="124"/>
      <c r="AR499" s="124"/>
      <c r="AS499" s="124"/>
      <c r="AT499" s="124"/>
      <c r="AU499" s="124"/>
      <c r="AV499" s="124"/>
      <c r="AW499" s="124"/>
    </row>
    <row r="500" spans="1:49" x14ac:dyDescent="0.35">
      <c r="A500" s="72"/>
      <c r="B500" s="97"/>
      <c r="C500" s="97"/>
      <c r="D500" s="97"/>
      <c r="E500" s="97"/>
      <c r="F500" s="97"/>
      <c r="G500" s="97"/>
      <c r="H500" s="97"/>
      <c r="I500" s="97"/>
      <c r="J500" s="97"/>
      <c r="K500" s="97"/>
      <c r="L500" s="97"/>
      <c r="M500" s="97"/>
      <c r="AK500" s="76"/>
      <c r="AL500" s="134"/>
      <c r="AM500" s="134"/>
      <c r="AN500" s="134"/>
      <c r="AO500" s="134"/>
      <c r="AP500" s="134"/>
      <c r="AQ500" s="134"/>
      <c r="AR500" s="134"/>
      <c r="AS500" s="134"/>
      <c r="AT500" s="134"/>
      <c r="AU500" s="134"/>
      <c r="AV500" s="134"/>
      <c r="AW500" s="134"/>
    </row>
    <row r="501" spans="1:49" ht="18" x14ac:dyDescent="0.4">
      <c r="A501" s="76"/>
      <c r="B501" s="52"/>
      <c r="C501" s="51"/>
      <c r="D501" s="52"/>
      <c r="E501" s="52"/>
      <c r="F501" s="52"/>
      <c r="G501" s="52"/>
      <c r="H501" s="52"/>
      <c r="I501" s="52"/>
      <c r="J501" s="52"/>
      <c r="K501" s="52"/>
      <c r="L501" s="52"/>
      <c r="M501" s="52"/>
      <c r="AK501" s="76"/>
      <c r="AL501" s="121"/>
      <c r="AM501" s="121"/>
      <c r="AN501" s="121"/>
      <c r="AO501" s="121"/>
      <c r="AP501" s="121"/>
      <c r="AQ501" s="121"/>
      <c r="AR501" s="121"/>
      <c r="AS501" s="121"/>
      <c r="AT501" s="121"/>
      <c r="AU501" s="121"/>
      <c r="AV501" s="121"/>
      <c r="AW501" s="121"/>
    </row>
    <row r="502" spans="1:49" ht="18" x14ac:dyDescent="0.4">
      <c r="A502" s="57"/>
      <c r="B502" s="100"/>
      <c r="C502" s="100"/>
      <c r="D502" s="100"/>
      <c r="E502" s="100"/>
      <c r="F502" s="100"/>
      <c r="G502" s="100"/>
      <c r="H502" s="100"/>
      <c r="I502" s="100"/>
      <c r="J502" s="100"/>
      <c r="K502" s="100"/>
      <c r="L502" s="100"/>
      <c r="M502" s="100"/>
      <c r="AK502" s="76"/>
      <c r="AL502" s="97"/>
      <c r="AM502" s="97"/>
      <c r="AN502" s="97"/>
      <c r="AO502" s="97"/>
      <c r="AP502" s="97"/>
      <c r="AQ502" s="97"/>
      <c r="AR502" s="97"/>
      <c r="AS502" s="97"/>
      <c r="AT502" s="97"/>
      <c r="AU502" s="97"/>
      <c r="AV502" s="97"/>
      <c r="AW502" s="97"/>
    </row>
    <row r="503" spans="1:49" hidden="1" x14ac:dyDescent="0.35">
      <c r="A503" s="76"/>
      <c r="B503" s="97"/>
      <c r="C503" s="97"/>
      <c r="D503" s="97"/>
      <c r="E503" s="97"/>
      <c r="F503" s="97"/>
      <c r="G503" s="97"/>
      <c r="H503" s="97"/>
      <c r="I503" s="97"/>
      <c r="J503" s="97"/>
      <c r="K503" s="97"/>
      <c r="L503" s="97"/>
      <c r="M503" s="97"/>
      <c r="AK503" s="76"/>
      <c r="AL503" s="97"/>
      <c r="AM503" s="97"/>
      <c r="AN503" s="97"/>
      <c r="AO503" s="97"/>
      <c r="AP503" s="97"/>
      <c r="AQ503" s="97"/>
      <c r="AR503" s="97"/>
      <c r="AS503" s="97"/>
      <c r="AT503" s="97"/>
      <c r="AU503" s="97"/>
      <c r="AV503" s="97"/>
      <c r="AW503" s="97"/>
    </row>
    <row r="504" spans="1:49" hidden="1" x14ac:dyDescent="0.35">
      <c r="A504" s="76"/>
      <c r="B504" s="97"/>
      <c r="C504" s="97"/>
      <c r="D504" s="97"/>
      <c r="E504" s="97"/>
      <c r="F504" s="97"/>
      <c r="G504" s="97"/>
      <c r="H504" s="97"/>
      <c r="I504" s="97"/>
      <c r="J504" s="97"/>
      <c r="K504" s="97"/>
      <c r="L504" s="97"/>
      <c r="M504" s="97"/>
      <c r="AK504" s="76"/>
      <c r="AL504" s="105"/>
      <c r="AM504" s="105"/>
      <c r="AN504" s="105"/>
      <c r="AO504" s="105"/>
      <c r="AP504" s="105"/>
      <c r="AQ504" s="105"/>
      <c r="AR504" s="105"/>
      <c r="AS504" s="105"/>
      <c r="AT504" s="105"/>
      <c r="AU504" s="105"/>
      <c r="AV504" s="105"/>
      <c r="AW504" s="105"/>
    </row>
    <row r="505" spans="1:49" hidden="1" x14ac:dyDescent="0.35">
      <c r="A505" s="76"/>
      <c r="B505" s="97"/>
      <c r="C505" s="97"/>
      <c r="D505" s="97"/>
      <c r="E505" s="97"/>
      <c r="F505" s="97"/>
      <c r="G505" s="97"/>
      <c r="H505" s="97"/>
      <c r="I505" s="97"/>
      <c r="J505" s="97"/>
      <c r="K505" s="97"/>
      <c r="L505" s="97"/>
      <c r="M505" s="97"/>
      <c r="AK505" s="72"/>
      <c r="AL505" s="97"/>
      <c r="AM505" s="97"/>
      <c r="AN505" s="97"/>
      <c r="AO505" s="97"/>
      <c r="AP505" s="97"/>
      <c r="AQ505" s="97"/>
      <c r="AR505" s="97"/>
      <c r="AS505" s="97"/>
      <c r="AT505" s="97"/>
      <c r="AU505" s="97"/>
      <c r="AV505" s="97"/>
      <c r="AW505" s="97"/>
    </row>
    <row r="506" spans="1:49" ht="18" hidden="1" x14ac:dyDescent="0.4">
      <c r="A506" s="76"/>
      <c r="B506" s="97"/>
      <c r="C506" s="97"/>
      <c r="D506" s="97"/>
      <c r="E506" s="97"/>
      <c r="F506" s="97"/>
      <c r="G506" s="97"/>
      <c r="H506" s="97"/>
      <c r="I506" s="97"/>
      <c r="J506" s="97"/>
      <c r="K506" s="97"/>
      <c r="L506" s="97"/>
      <c r="M506" s="97"/>
      <c r="AK506" s="76"/>
      <c r="AL506" s="52"/>
      <c r="AM506" s="51"/>
      <c r="AN506" s="52"/>
      <c r="AO506" s="52"/>
      <c r="AP506" s="52"/>
      <c r="AQ506" s="52"/>
      <c r="AR506" s="52"/>
      <c r="AS506" s="52"/>
      <c r="AT506" s="52"/>
      <c r="AU506" s="52"/>
      <c r="AV506" s="52"/>
      <c r="AW506" s="52"/>
    </row>
    <row r="507" spans="1:49" ht="18" hidden="1" x14ac:dyDescent="0.4">
      <c r="A507" s="76"/>
      <c r="B507" s="97"/>
      <c r="C507" s="97"/>
      <c r="D507" s="97"/>
      <c r="E507" s="97"/>
      <c r="F507" s="97"/>
      <c r="G507" s="97"/>
      <c r="H507" s="97"/>
      <c r="I507" s="97"/>
      <c r="J507" s="97"/>
      <c r="K507" s="97"/>
      <c r="L507" s="97"/>
      <c r="M507" s="97"/>
      <c r="AK507" s="57"/>
      <c r="AL507" s="100"/>
      <c r="AM507" s="100"/>
      <c r="AN507" s="100"/>
      <c r="AO507" s="100"/>
      <c r="AP507" s="100"/>
      <c r="AQ507" s="100"/>
      <c r="AR507" s="100"/>
      <c r="AS507" s="100"/>
      <c r="AT507" s="100"/>
      <c r="AU507" s="100"/>
      <c r="AV507" s="100"/>
      <c r="AW507" s="100"/>
    </row>
    <row r="508" spans="1:49" hidden="1" x14ac:dyDescent="0.35">
      <c r="A508" s="76"/>
      <c r="B508" s="97"/>
      <c r="C508" s="97"/>
      <c r="D508" s="97"/>
      <c r="E508" s="97"/>
      <c r="F508" s="97"/>
      <c r="G508" s="97"/>
      <c r="H508" s="97"/>
      <c r="I508" s="97"/>
      <c r="J508" s="97"/>
      <c r="K508" s="97"/>
      <c r="L508" s="97"/>
      <c r="M508" s="97"/>
      <c r="AK508" s="76"/>
      <c r="AL508" s="97"/>
      <c r="AM508" s="97"/>
      <c r="AN508" s="97"/>
      <c r="AO508" s="97"/>
      <c r="AP508" s="97"/>
      <c r="AQ508" s="97"/>
      <c r="AR508" s="97"/>
      <c r="AS508" s="97"/>
      <c r="AT508" s="97"/>
      <c r="AU508" s="97"/>
      <c r="AV508" s="97"/>
      <c r="AW508" s="97"/>
    </row>
    <row r="509" spans="1:49" hidden="1" x14ac:dyDescent="0.35">
      <c r="A509" s="76"/>
      <c r="B509" s="124"/>
      <c r="C509" s="124"/>
      <c r="D509" s="124"/>
      <c r="E509" s="124"/>
      <c r="F509" s="124"/>
      <c r="G509" s="124"/>
      <c r="H509" s="124"/>
      <c r="I509" s="124"/>
      <c r="J509" s="124"/>
      <c r="K509" s="124"/>
      <c r="L509" s="124"/>
      <c r="M509" s="124"/>
      <c r="AK509" s="76"/>
      <c r="AL509" s="97"/>
      <c r="AM509" s="97"/>
      <c r="AN509" s="97"/>
      <c r="AO509" s="97"/>
      <c r="AP509" s="97"/>
      <c r="AQ509" s="97"/>
      <c r="AR509" s="97"/>
      <c r="AS509" s="97"/>
      <c r="AT509" s="97"/>
      <c r="AU509" s="97"/>
      <c r="AV509" s="97"/>
      <c r="AW509" s="97"/>
    </row>
    <row r="510" spans="1:49" hidden="1" x14ac:dyDescent="0.35">
      <c r="A510" s="76"/>
      <c r="B510" s="134"/>
      <c r="C510" s="134"/>
      <c r="D510" s="134"/>
      <c r="E510" s="134"/>
      <c r="F510" s="134"/>
      <c r="G510" s="134"/>
      <c r="H510" s="134"/>
      <c r="I510" s="134"/>
      <c r="J510" s="134"/>
      <c r="K510" s="134"/>
      <c r="L510" s="134"/>
      <c r="M510" s="134"/>
      <c r="AK510" s="76"/>
      <c r="AL510" s="97"/>
      <c r="AM510" s="97"/>
      <c r="AN510" s="97"/>
      <c r="AO510" s="97"/>
      <c r="AP510" s="97"/>
      <c r="AQ510" s="97"/>
      <c r="AR510" s="97"/>
      <c r="AS510" s="97"/>
      <c r="AT510" s="97"/>
      <c r="AU510" s="97"/>
      <c r="AV510" s="97"/>
      <c r="AW510" s="97"/>
    </row>
    <row r="511" spans="1:49" hidden="1" x14ac:dyDescent="0.35">
      <c r="A511" s="76"/>
      <c r="B511" s="121"/>
      <c r="C511" s="121"/>
      <c r="D511" s="121"/>
      <c r="E511" s="121"/>
      <c r="F511" s="121"/>
      <c r="G511" s="121"/>
      <c r="H511" s="121"/>
      <c r="I511" s="121"/>
      <c r="J511" s="121"/>
      <c r="K511" s="121"/>
      <c r="L511" s="121"/>
      <c r="M511" s="121"/>
      <c r="AK511" s="76"/>
      <c r="AL511" s="97"/>
      <c r="AM511" s="97"/>
      <c r="AN511" s="97"/>
      <c r="AO511" s="97"/>
      <c r="AP511" s="97"/>
      <c r="AQ511" s="97"/>
      <c r="AR511" s="97"/>
      <c r="AS511" s="97"/>
      <c r="AT511" s="97"/>
      <c r="AU511" s="97"/>
      <c r="AV511" s="97"/>
      <c r="AW511" s="97"/>
    </row>
    <row r="512" spans="1:49" hidden="1" x14ac:dyDescent="0.35">
      <c r="A512" s="76"/>
      <c r="B512" s="97"/>
      <c r="C512" s="97"/>
      <c r="D512" s="97"/>
      <c r="E512" s="97"/>
      <c r="F512" s="97"/>
      <c r="G512" s="97"/>
      <c r="H512" s="97"/>
      <c r="I512" s="97"/>
      <c r="J512" s="97"/>
      <c r="K512" s="97"/>
      <c r="L512" s="97"/>
      <c r="M512" s="97"/>
      <c r="AK512" s="76"/>
      <c r="AL512" s="97"/>
      <c r="AM512" s="97"/>
      <c r="AN512" s="97"/>
      <c r="AO512" s="97"/>
      <c r="AP512" s="97"/>
      <c r="AQ512" s="97"/>
      <c r="AR512" s="97"/>
      <c r="AS512" s="97"/>
      <c r="AT512" s="97"/>
      <c r="AU512" s="97"/>
      <c r="AV512" s="97"/>
      <c r="AW512" s="97"/>
    </row>
    <row r="513" spans="1:49" hidden="1" x14ac:dyDescent="0.35">
      <c r="A513" s="76"/>
      <c r="B513" s="121"/>
      <c r="C513" s="121"/>
      <c r="D513" s="121"/>
      <c r="E513" s="121"/>
      <c r="F513" s="121"/>
      <c r="G513" s="121"/>
      <c r="H513" s="121"/>
      <c r="I513" s="121"/>
      <c r="J513" s="121"/>
      <c r="K513" s="121"/>
      <c r="L513" s="121"/>
      <c r="M513" s="121"/>
      <c r="AK513" s="76"/>
      <c r="AL513" s="97"/>
      <c r="AM513" s="97"/>
      <c r="AN513" s="97"/>
      <c r="AO513" s="97"/>
      <c r="AP513" s="97"/>
      <c r="AQ513" s="97"/>
      <c r="AR513" s="97"/>
      <c r="AS513" s="97"/>
      <c r="AT513" s="97"/>
      <c r="AU513" s="97"/>
      <c r="AV513" s="97"/>
      <c r="AW513" s="97"/>
    </row>
    <row r="514" spans="1:49" hidden="1" x14ac:dyDescent="0.35">
      <c r="A514" s="76"/>
      <c r="B514" s="121"/>
      <c r="C514" s="121"/>
      <c r="D514" s="121"/>
      <c r="E514" s="121"/>
      <c r="F514" s="121"/>
      <c r="G514" s="121"/>
      <c r="H514" s="121"/>
      <c r="I514" s="121"/>
      <c r="J514" s="121"/>
      <c r="K514" s="121"/>
      <c r="L514" s="121"/>
      <c r="M514" s="121"/>
      <c r="AK514" s="76"/>
      <c r="AL514" s="124"/>
      <c r="AM514" s="124"/>
      <c r="AN514" s="124"/>
      <c r="AO514" s="124"/>
      <c r="AP514" s="124"/>
      <c r="AQ514" s="124"/>
      <c r="AR514" s="124"/>
      <c r="AS514" s="124"/>
      <c r="AT514" s="124"/>
      <c r="AU514" s="124"/>
      <c r="AV514" s="124"/>
      <c r="AW514" s="124"/>
    </row>
    <row r="515" spans="1:49" hidden="1" x14ac:dyDescent="0.35">
      <c r="A515" s="72"/>
      <c r="B515" s="97"/>
      <c r="C515" s="97"/>
      <c r="D515" s="97"/>
      <c r="E515" s="97"/>
      <c r="F515" s="97"/>
      <c r="G515" s="97"/>
      <c r="H515" s="97"/>
      <c r="I515" s="97"/>
      <c r="J515" s="97"/>
      <c r="K515" s="97"/>
      <c r="L515" s="97"/>
      <c r="M515" s="97"/>
      <c r="AK515" s="76"/>
      <c r="AL515" s="134"/>
      <c r="AM515" s="134"/>
      <c r="AN515" s="134"/>
      <c r="AO515" s="134"/>
      <c r="AP515" s="134"/>
      <c r="AQ515" s="134"/>
      <c r="AR515" s="134"/>
      <c r="AS515" s="134"/>
      <c r="AT515" s="134"/>
      <c r="AU515" s="134"/>
      <c r="AV515" s="134"/>
      <c r="AW515" s="134"/>
    </row>
    <row r="516" spans="1:49" ht="18" hidden="1" x14ac:dyDescent="0.4">
      <c r="A516" s="76"/>
      <c r="B516" s="52"/>
      <c r="C516" s="51"/>
      <c r="D516" s="52"/>
      <c r="E516" s="52"/>
      <c r="F516" s="52"/>
      <c r="G516" s="52"/>
      <c r="H516" s="52"/>
      <c r="I516" s="52"/>
      <c r="J516" s="52"/>
      <c r="K516" s="52"/>
      <c r="L516" s="52"/>
      <c r="M516" s="52"/>
      <c r="AK516" s="76"/>
      <c r="AL516" s="121"/>
      <c r="AM516" s="121"/>
      <c r="AN516" s="121"/>
      <c r="AO516" s="121"/>
      <c r="AP516" s="121"/>
      <c r="AQ516" s="121"/>
      <c r="AR516" s="121"/>
      <c r="AS516" s="121"/>
      <c r="AT516" s="121"/>
      <c r="AU516" s="121"/>
      <c r="AV516" s="121"/>
      <c r="AW516" s="121"/>
    </row>
    <row r="517" spans="1:49" ht="18" hidden="1" x14ac:dyDescent="0.4">
      <c r="A517" s="57"/>
      <c r="B517" s="100"/>
      <c r="C517" s="100"/>
      <c r="D517" s="100"/>
      <c r="E517" s="100"/>
      <c r="F517" s="100"/>
      <c r="G517" s="100"/>
      <c r="H517" s="100"/>
      <c r="I517" s="100"/>
      <c r="J517" s="100"/>
      <c r="K517" s="100"/>
      <c r="L517" s="100"/>
      <c r="M517" s="100"/>
      <c r="AK517" s="76"/>
      <c r="AL517" s="97"/>
      <c r="AM517" s="97"/>
      <c r="AN517" s="97"/>
      <c r="AO517" s="97"/>
      <c r="AP517" s="97"/>
      <c r="AQ517" s="97"/>
      <c r="AR517" s="97"/>
      <c r="AS517" s="97"/>
      <c r="AT517" s="97"/>
      <c r="AU517" s="97"/>
      <c r="AV517" s="97"/>
      <c r="AW517" s="97"/>
    </row>
    <row r="518" spans="1:49" hidden="1" x14ac:dyDescent="0.35">
      <c r="A518" s="76"/>
      <c r="B518" s="97"/>
      <c r="C518" s="97"/>
      <c r="D518" s="97"/>
      <c r="E518" s="97"/>
      <c r="F518" s="97"/>
      <c r="G518" s="97"/>
      <c r="H518" s="97"/>
      <c r="I518" s="97"/>
      <c r="J518" s="97"/>
      <c r="K518" s="97"/>
      <c r="L518" s="97"/>
      <c r="M518" s="97"/>
      <c r="AK518" s="76"/>
      <c r="AL518" s="121"/>
      <c r="AM518" s="121"/>
      <c r="AN518" s="121"/>
      <c r="AO518" s="121"/>
      <c r="AP518" s="121"/>
      <c r="AQ518" s="121"/>
      <c r="AR518" s="121"/>
      <c r="AS518" s="121"/>
      <c r="AT518" s="121"/>
      <c r="AU518" s="121"/>
      <c r="AV518" s="121"/>
      <c r="AW518" s="121"/>
    </row>
    <row r="519" spans="1:49" hidden="1" x14ac:dyDescent="0.35">
      <c r="A519" s="76"/>
      <c r="B519" s="97"/>
      <c r="C519" s="97"/>
      <c r="D519" s="97"/>
      <c r="E519" s="97"/>
      <c r="F519" s="97"/>
      <c r="G519" s="97"/>
      <c r="H519" s="97"/>
      <c r="I519" s="97"/>
      <c r="J519" s="97"/>
      <c r="K519" s="97"/>
      <c r="L519" s="97"/>
      <c r="M519" s="97"/>
      <c r="AK519" s="76"/>
      <c r="AL519" s="121"/>
      <c r="AM519" s="121"/>
      <c r="AN519" s="121"/>
      <c r="AO519" s="121"/>
      <c r="AP519" s="121"/>
      <c r="AQ519" s="121"/>
      <c r="AR519" s="121"/>
      <c r="AS519" s="121"/>
      <c r="AT519" s="121"/>
      <c r="AU519" s="121"/>
      <c r="AV519" s="121"/>
      <c r="AW519" s="121"/>
    </row>
    <row r="520" spans="1:49" hidden="1" x14ac:dyDescent="0.35">
      <c r="A520" s="76"/>
      <c r="B520" s="97"/>
      <c r="C520" s="97"/>
      <c r="D520" s="97"/>
      <c r="E520" s="97"/>
      <c r="F520" s="97"/>
      <c r="G520" s="97"/>
      <c r="H520" s="97"/>
      <c r="I520" s="97"/>
      <c r="J520" s="97"/>
      <c r="K520" s="97"/>
      <c r="L520" s="97"/>
      <c r="M520" s="97"/>
      <c r="AK520" s="72"/>
      <c r="AL520" s="97"/>
      <c r="AM520" s="97"/>
      <c r="AN520" s="97"/>
      <c r="AO520" s="97"/>
      <c r="AP520" s="97"/>
      <c r="AQ520" s="97"/>
      <c r="AR520" s="97"/>
      <c r="AS520" s="97"/>
      <c r="AT520" s="97"/>
      <c r="AU520" s="97"/>
      <c r="AV520" s="97"/>
      <c r="AW520" s="97"/>
    </row>
    <row r="521" spans="1:49" ht="18" hidden="1" x14ac:dyDescent="0.4">
      <c r="A521" s="76"/>
      <c r="B521" s="97"/>
      <c r="C521" s="97"/>
      <c r="D521" s="97"/>
      <c r="E521" s="97"/>
      <c r="F521" s="97"/>
      <c r="G521" s="97"/>
      <c r="H521" s="97"/>
      <c r="I521" s="97"/>
      <c r="J521" s="97"/>
      <c r="K521" s="97"/>
      <c r="L521" s="97"/>
      <c r="M521" s="97"/>
      <c r="AK521" s="76"/>
      <c r="AL521" s="52"/>
      <c r="AM521" s="51"/>
      <c r="AN521" s="52"/>
      <c r="AO521" s="52"/>
      <c r="AP521" s="52"/>
      <c r="AQ521" s="52"/>
      <c r="AR521" s="52"/>
      <c r="AS521" s="52"/>
      <c r="AT521" s="52"/>
      <c r="AU521" s="52"/>
      <c r="AV521" s="52"/>
      <c r="AW521" s="52"/>
    </row>
    <row r="522" spans="1:49" ht="18" hidden="1" x14ac:dyDescent="0.4">
      <c r="A522" s="76"/>
      <c r="B522" s="97"/>
      <c r="C522" s="97"/>
      <c r="D522" s="97"/>
      <c r="E522" s="97"/>
      <c r="F522" s="97"/>
      <c r="G522" s="97"/>
      <c r="H522" s="97"/>
      <c r="I522" s="97"/>
      <c r="J522" s="97"/>
      <c r="K522" s="97"/>
      <c r="L522" s="97"/>
      <c r="M522" s="97"/>
      <c r="AK522" s="57"/>
      <c r="AL522" s="100"/>
      <c r="AM522" s="100"/>
      <c r="AN522" s="100"/>
      <c r="AO522" s="100"/>
      <c r="AP522" s="100"/>
      <c r="AQ522" s="100"/>
      <c r="AR522" s="100"/>
      <c r="AS522" s="100"/>
      <c r="AT522" s="100"/>
      <c r="AU522" s="100"/>
      <c r="AV522" s="100"/>
      <c r="AW522" s="100"/>
    </row>
    <row r="523" spans="1:49" hidden="1" x14ac:dyDescent="0.35">
      <c r="A523" s="76"/>
      <c r="B523" s="97"/>
      <c r="C523" s="97"/>
      <c r="D523" s="97"/>
      <c r="E523" s="97"/>
      <c r="F523" s="97"/>
      <c r="G523" s="97"/>
      <c r="H523" s="97"/>
      <c r="I523" s="97"/>
      <c r="J523" s="97"/>
      <c r="K523" s="97"/>
      <c r="L523" s="97"/>
      <c r="M523" s="97"/>
      <c r="AK523" s="76"/>
      <c r="AL523" s="97"/>
      <c r="AM523" s="97"/>
      <c r="AN523" s="97"/>
      <c r="AO523" s="97"/>
      <c r="AP523" s="97"/>
      <c r="AQ523" s="97"/>
      <c r="AR523" s="97"/>
      <c r="AS523" s="97"/>
      <c r="AT523" s="97"/>
      <c r="AU523" s="97"/>
      <c r="AV523" s="97"/>
      <c r="AW523" s="97"/>
    </row>
    <row r="524" spans="1:49" hidden="1" x14ac:dyDescent="0.35">
      <c r="A524" s="76"/>
      <c r="B524" s="124"/>
      <c r="C524" s="124"/>
      <c r="D524" s="124"/>
      <c r="E524" s="124"/>
      <c r="F524" s="124"/>
      <c r="G524" s="124"/>
      <c r="H524" s="124"/>
      <c r="I524" s="124"/>
      <c r="J524" s="124"/>
      <c r="K524" s="124"/>
      <c r="L524" s="124"/>
      <c r="M524" s="124"/>
      <c r="AK524" s="76"/>
      <c r="AL524" s="97"/>
      <c r="AM524" s="97"/>
      <c r="AN524" s="97"/>
      <c r="AO524" s="97"/>
      <c r="AP524" s="97"/>
      <c r="AQ524" s="97"/>
      <c r="AR524" s="97"/>
      <c r="AS524" s="97"/>
      <c r="AT524" s="97"/>
      <c r="AU524" s="97"/>
      <c r="AV524" s="97"/>
      <c r="AW524" s="97"/>
    </row>
    <row r="525" spans="1:49" hidden="1" x14ac:dyDescent="0.35">
      <c r="A525" s="76"/>
      <c r="B525" s="134"/>
      <c r="C525" s="134"/>
      <c r="D525" s="134"/>
      <c r="E525" s="134"/>
      <c r="F525" s="134"/>
      <c r="G525" s="134"/>
      <c r="H525" s="134"/>
      <c r="I525" s="134"/>
      <c r="J525" s="134"/>
      <c r="K525" s="134"/>
      <c r="L525" s="134"/>
      <c r="M525" s="134"/>
      <c r="AK525" s="76"/>
      <c r="AL525" s="97"/>
      <c r="AM525" s="97"/>
      <c r="AN525" s="97"/>
      <c r="AO525" s="97"/>
      <c r="AP525" s="97"/>
      <c r="AQ525" s="97"/>
      <c r="AR525" s="97"/>
      <c r="AS525" s="97"/>
      <c r="AT525" s="97"/>
      <c r="AU525" s="97"/>
      <c r="AV525" s="97"/>
      <c r="AW525" s="97"/>
    </row>
    <row r="526" spans="1:49" hidden="1" x14ac:dyDescent="0.35">
      <c r="A526" s="76"/>
      <c r="B526" s="121"/>
      <c r="C526" s="121"/>
      <c r="D526" s="121"/>
      <c r="E526" s="121"/>
      <c r="F526" s="121"/>
      <c r="G526" s="121"/>
      <c r="H526" s="121"/>
      <c r="I526" s="121"/>
      <c r="J526" s="121"/>
      <c r="K526" s="121"/>
      <c r="L526" s="121"/>
      <c r="M526" s="121"/>
      <c r="AK526" s="76"/>
      <c r="AL526" s="97"/>
      <c r="AM526" s="97"/>
      <c r="AN526" s="97"/>
      <c r="AO526" s="97"/>
      <c r="AP526" s="97"/>
      <c r="AQ526" s="97"/>
      <c r="AR526" s="97"/>
      <c r="AS526" s="97"/>
      <c r="AT526" s="97"/>
      <c r="AU526" s="97"/>
      <c r="AV526" s="97"/>
      <c r="AW526" s="97"/>
    </row>
    <row r="527" spans="1:49" hidden="1" x14ac:dyDescent="0.35">
      <c r="A527" s="76"/>
      <c r="B527" s="97"/>
      <c r="C527" s="97"/>
      <c r="D527" s="97"/>
      <c r="E527" s="97"/>
      <c r="F527" s="97"/>
      <c r="G527" s="97"/>
      <c r="H527" s="97"/>
      <c r="I527" s="97"/>
      <c r="J527" s="97"/>
      <c r="K527" s="97"/>
      <c r="L527" s="97"/>
      <c r="M527" s="97"/>
      <c r="AK527" s="76"/>
      <c r="AL527" s="97"/>
      <c r="AM527" s="97"/>
      <c r="AN527" s="97"/>
      <c r="AO527" s="97"/>
      <c r="AP527" s="97"/>
      <c r="AQ527" s="97"/>
      <c r="AR527" s="97"/>
      <c r="AS527" s="97"/>
      <c r="AT527" s="97"/>
      <c r="AU527" s="97"/>
      <c r="AV527" s="97"/>
      <c r="AW527" s="97"/>
    </row>
    <row r="528" spans="1:49" hidden="1" x14ac:dyDescent="0.35">
      <c r="A528" s="76"/>
      <c r="B528" s="123"/>
      <c r="C528" s="123"/>
      <c r="D528" s="121"/>
      <c r="E528" s="121"/>
      <c r="F528" s="121"/>
      <c r="G528" s="121"/>
      <c r="H528" s="121"/>
      <c r="I528" s="121"/>
      <c r="J528" s="121"/>
      <c r="K528" s="121"/>
      <c r="L528" s="121"/>
      <c r="M528" s="121"/>
      <c r="AK528" s="76"/>
      <c r="AL528" s="97"/>
      <c r="AM528" s="97"/>
      <c r="AN528" s="97"/>
      <c r="AO528" s="97"/>
      <c r="AP528" s="97"/>
      <c r="AQ528" s="97"/>
      <c r="AR528" s="97"/>
      <c r="AS528" s="97"/>
      <c r="AT528" s="97"/>
      <c r="AU528" s="97"/>
      <c r="AV528" s="97"/>
      <c r="AW528" s="97"/>
    </row>
    <row r="529" spans="1:49" hidden="1" x14ac:dyDescent="0.35">
      <c r="A529" s="76"/>
      <c r="B529" s="121"/>
      <c r="C529" s="121"/>
      <c r="D529" s="121"/>
      <c r="E529" s="121"/>
      <c r="F529" s="121"/>
      <c r="G529" s="121"/>
      <c r="H529" s="121"/>
      <c r="I529" s="121"/>
      <c r="J529" s="121"/>
      <c r="K529" s="121"/>
      <c r="L529" s="121"/>
      <c r="M529" s="121"/>
      <c r="AK529" s="76"/>
      <c r="AL529" s="124"/>
      <c r="AM529" s="124"/>
      <c r="AN529" s="124"/>
      <c r="AO529" s="124"/>
      <c r="AP529" s="124"/>
      <c r="AQ529" s="124"/>
      <c r="AR529" s="124"/>
      <c r="AS529" s="124"/>
      <c r="AT529" s="124"/>
      <c r="AU529" s="124"/>
      <c r="AV529" s="124"/>
      <c r="AW529" s="124"/>
    </row>
    <row r="530" spans="1:49" ht="18" hidden="1" x14ac:dyDescent="0.4">
      <c r="A530" s="72"/>
      <c r="B530" s="127"/>
      <c r="C530" s="121"/>
      <c r="D530" s="121"/>
      <c r="E530" s="121"/>
      <c r="F530" s="121"/>
      <c r="G530" s="121"/>
      <c r="H530" s="121"/>
      <c r="I530" s="121"/>
      <c r="J530" s="121"/>
      <c r="K530" s="121"/>
      <c r="L530" s="121"/>
      <c r="M530" s="121"/>
      <c r="AK530" s="76"/>
      <c r="AL530" s="134"/>
      <c r="AM530" s="134"/>
      <c r="AN530" s="134"/>
      <c r="AO530" s="134"/>
      <c r="AP530" s="134"/>
      <c r="AQ530" s="134"/>
      <c r="AR530" s="134"/>
      <c r="AS530" s="134"/>
      <c r="AT530" s="134"/>
      <c r="AU530" s="134"/>
      <c r="AV530" s="134"/>
      <c r="AW530" s="134"/>
    </row>
    <row r="531" spans="1:49" hidden="1" x14ac:dyDescent="0.35">
      <c r="A531" s="76"/>
      <c r="B531" s="110"/>
      <c r="C531" s="135"/>
      <c r="D531" s="114"/>
      <c r="E531" s="114"/>
      <c r="F531" s="114"/>
      <c r="G531" s="114"/>
      <c r="H531" s="114"/>
      <c r="I531" s="114"/>
      <c r="J531" s="114"/>
      <c r="K531" s="114"/>
      <c r="L531" s="114"/>
      <c r="M531" s="136"/>
      <c r="AK531" s="76"/>
      <c r="AL531" s="121"/>
      <c r="AM531" s="121"/>
      <c r="AN531" s="121"/>
      <c r="AO531" s="121"/>
      <c r="AP531" s="121"/>
      <c r="AQ531" s="121"/>
      <c r="AR531" s="121"/>
      <c r="AS531" s="121"/>
      <c r="AT531" s="121"/>
      <c r="AU531" s="121"/>
      <c r="AV531" s="121"/>
      <c r="AW531" s="121"/>
    </row>
    <row r="532" spans="1:49" hidden="1" x14ac:dyDescent="0.35">
      <c r="A532" s="76"/>
      <c r="B532" s="110"/>
      <c r="C532" s="110"/>
      <c r="D532" s="114"/>
      <c r="E532" s="114"/>
      <c r="F532" s="114"/>
      <c r="G532" s="114"/>
      <c r="H532" s="114"/>
      <c r="I532" s="114"/>
      <c r="J532" s="114"/>
      <c r="K532" s="114"/>
      <c r="L532" s="114"/>
      <c r="M532" s="136"/>
      <c r="AK532" s="76"/>
      <c r="AL532" s="97"/>
      <c r="AM532" s="97"/>
      <c r="AN532" s="97"/>
      <c r="AO532" s="97"/>
      <c r="AP532" s="97"/>
      <c r="AQ532" s="97"/>
      <c r="AR532" s="97"/>
      <c r="AS532" s="97"/>
      <c r="AT532" s="97"/>
      <c r="AU532" s="97"/>
      <c r="AV532" s="97"/>
      <c r="AW532" s="97"/>
    </row>
    <row r="533" spans="1:49" ht="18" hidden="1" x14ac:dyDescent="0.4">
      <c r="A533" s="115"/>
      <c r="B533" s="100"/>
      <c r="C533" s="100"/>
      <c r="D533" s="100"/>
      <c r="E533" s="100"/>
      <c r="F533" s="100"/>
      <c r="G533" s="100"/>
      <c r="H533" s="100"/>
      <c r="I533" s="100"/>
      <c r="J533" s="100"/>
      <c r="K533" s="100"/>
      <c r="L533" s="100"/>
      <c r="M533" s="100"/>
      <c r="AK533" s="76"/>
      <c r="AL533" s="123"/>
      <c r="AM533" s="123"/>
      <c r="AN533" s="121"/>
      <c r="AO533" s="121"/>
      <c r="AP533" s="121"/>
      <c r="AQ533" s="121"/>
      <c r="AR533" s="121"/>
      <c r="AS533" s="121"/>
      <c r="AT533" s="121"/>
      <c r="AU533" s="121"/>
      <c r="AV533" s="121"/>
      <c r="AW533" s="121"/>
    </row>
    <row r="534" spans="1:49" ht="18" hidden="1" x14ac:dyDescent="0.4">
      <c r="A534" s="72"/>
      <c r="B534" s="122"/>
      <c r="C534" s="122"/>
      <c r="D534" s="122"/>
      <c r="E534" s="122"/>
      <c r="F534" s="122"/>
      <c r="G534" s="122"/>
      <c r="H534" s="122"/>
      <c r="I534" s="122"/>
      <c r="J534" s="122"/>
      <c r="K534" s="122"/>
      <c r="L534" s="122"/>
      <c r="M534" s="122"/>
      <c r="AK534" s="76"/>
      <c r="AL534" s="121"/>
      <c r="AM534" s="121"/>
      <c r="AN534" s="121"/>
      <c r="AO534" s="121"/>
      <c r="AP534" s="121"/>
      <c r="AQ534" s="121"/>
      <c r="AR534" s="121"/>
      <c r="AS534" s="121"/>
      <c r="AT534" s="121"/>
      <c r="AU534" s="121"/>
      <c r="AV534" s="121"/>
      <c r="AW534" s="121"/>
    </row>
    <row r="535" spans="1:49" ht="18" x14ac:dyDescent="0.4">
      <c r="A535" s="72"/>
      <c r="B535" s="122"/>
      <c r="C535" s="122"/>
      <c r="D535" s="122"/>
      <c r="E535" s="122"/>
      <c r="F535" s="122"/>
      <c r="G535" s="122"/>
      <c r="H535" s="122"/>
      <c r="I535" s="122"/>
      <c r="J535" s="122"/>
      <c r="K535" s="122"/>
      <c r="L535" s="122"/>
      <c r="M535" s="122"/>
      <c r="AK535" s="72"/>
      <c r="AL535" s="127"/>
      <c r="AM535" s="121"/>
      <c r="AN535" s="121"/>
      <c r="AO535" s="121"/>
      <c r="AP535" s="121"/>
      <c r="AQ535" s="121"/>
      <c r="AR535" s="121"/>
      <c r="AS535" s="121"/>
      <c r="AT535" s="121"/>
      <c r="AU535" s="121"/>
      <c r="AV535" s="121"/>
      <c r="AW535" s="121"/>
    </row>
    <row r="536" spans="1:49" ht="18" x14ac:dyDescent="0.4">
      <c r="A536" s="72"/>
      <c r="B536" s="122"/>
      <c r="C536" s="122"/>
      <c r="D536" s="122"/>
      <c r="E536" s="122"/>
      <c r="F536" s="122"/>
      <c r="G536" s="122"/>
      <c r="H536" s="122"/>
      <c r="I536" s="122"/>
      <c r="J536" s="122"/>
      <c r="K536" s="122"/>
      <c r="L536" s="122"/>
      <c r="M536" s="122"/>
      <c r="AK536" s="76"/>
      <c r="AL536" s="110"/>
      <c r="AM536" s="135"/>
      <c r="AN536" s="114"/>
      <c r="AO536" s="114"/>
      <c r="AP536" s="114"/>
      <c r="AQ536" s="114"/>
      <c r="AR536" s="114"/>
      <c r="AS536" s="114"/>
      <c r="AT536" s="114"/>
      <c r="AU536" s="114"/>
      <c r="AV536" s="114"/>
      <c r="AW536" s="136"/>
    </row>
    <row r="537" spans="1:49" ht="18" x14ac:dyDescent="0.4">
      <c r="A537" s="72"/>
      <c r="B537" s="122"/>
      <c r="C537" s="122"/>
      <c r="D537" s="122"/>
      <c r="E537" s="122"/>
      <c r="F537" s="122"/>
      <c r="G537" s="122"/>
      <c r="H537" s="122"/>
      <c r="I537" s="122"/>
      <c r="J537" s="122"/>
      <c r="K537" s="122"/>
      <c r="L537" s="122"/>
      <c r="M537" s="122"/>
      <c r="AK537" s="76"/>
      <c r="AL537" s="110"/>
      <c r="AM537" s="110"/>
      <c r="AN537" s="114"/>
      <c r="AO537" s="114"/>
      <c r="AP537" s="114"/>
      <c r="AQ537" s="114"/>
      <c r="AR537" s="114"/>
      <c r="AS537" s="114"/>
      <c r="AT537" s="114"/>
      <c r="AU537" s="114"/>
      <c r="AV537" s="114"/>
      <c r="AW537" s="136"/>
    </row>
    <row r="538" spans="1:49" ht="18" x14ac:dyDescent="0.4">
      <c r="A538" s="72"/>
      <c r="B538" s="122"/>
      <c r="C538" s="122"/>
      <c r="D538" s="122"/>
      <c r="E538" s="122"/>
      <c r="F538" s="122"/>
      <c r="G538" s="122"/>
      <c r="H538" s="122"/>
      <c r="I538" s="122"/>
      <c r="J538" s="122"/>
      <c r="K538" s="122"/>
      <c r="L538" s="122"/>
      <c r="M538" s="122"/>
      <c r="AK538" s="115"/>
      <c r="AL538" s="100"/>
      <c r="AM538" s="100"/>
      <c r="AN538" s="100"/>
      <c r="AO538" s="100"/>
      <c r="AP538" s="100"/>
      <c r="AQ538" s="100"/>
      <c r="AR538" s="100"/>
      <c r="AS538" s="100"/>
      <c r="AT538" s="100"/>
      <c r="AU538" s="100"/>
      <c r="AV538" s="100"/>
      <c r="AW538" s="100"/>
    </row>
    <row r="539" spans="1:49" ht="18" x14ac:dyDescent="0.4">
      <c r="A539" s="72"/>
      <c r="B539" s="122"/>
      <c r="C539" s="122"/>
      <c r="D539" s="122"/>
      <c r="E539" s="122"/>
      <c r="F539" s="122"/>
      <c r="G539" s="122"/>
      <c r="H539" s="122"/>
      <c r="I539" s="122"/>
      <c r="J539" s="122"/>
      <c r="K539" s="122"/>
      <c r="L539" s="122"/>
      <c r="M539" s="122"/>
      <c r="AK539" s="72"/>
      <c r="AL539" s="122"/>
      <c r="AM539" s="122"/>
      <c r="AN539" s="122"/>
      <c r="AO539" s="122"/>
      <c r="AP539" s="122"/>
      <c r="AQ539" s="122"/>
      <c r="AR539" s="122"/>
      <c r="AS539" s="122"/>
      <c r="AT539" s="122"/>
      <c r="AU539" s="122"/>
      <c r="AV539" s="122"/>
      <c r="AW539" s="122"/>
    </row>
    <row r="540" spans="1:49" ht="18" x14ac:dyDescent="0.4">
      <c r="A540" s="72"/>
      <c r="B540" s="122"/>
      <c r="C540" s="122"/>
      <c r="D540" s="122"/>
      <c r="E540" s="122"/>
      <c r="F540" s="122"/>
      <c r="G540" s="122"/>
      <c r="H540" s="122"/>
      <c r="I540" s="122"/>
      <c r="J540" s="122"/>
      <c r="K540" s="122"/>
      <c r="L540" s="122"/>
      <c r="M540" s="122"/>
      <c r="AK540" s="72"/>
      <c r="AL540" s="122"/>
      <c r="AM540" s="122"/>
      <c r="AN540" s="122"/>
      <c r="AO540" s="122"/>
      <c r="AP540" s="122"/>
      <c r="AQ540" s="122"/>
      <c r="AR540" s="122"/>
      <c r="AS540" s="122"/>
      <c r="AT540" s="122"/>
      <c r="AU540" s="122"/>
      <c r="AV540" s="122"/>
      <c r="AW540" s="122"/>
    </row>
    <row r="541" spans="1:49" ht="18" x14ac:dyDescent="0.4">
      <c r="A541" s="76"/>
      <c r="B541" s="124"/>
      <c r="C541" s="124"/>
      <c r="D541" s="124"/>
      <c r="E541" s="124"/>
      <c r="F541" s="124"/>
      <c r="G541" s="124"/>
      <c r="H541" s="124"/>
      <c r="I541" s="124"/>
      <c r="J541" s="124"/>
      <c r="K541" s="124"/>
      <c r="L541" s="124"/>
      <c r="M541" s="124"/>
      <c r="AK541" s="72"/>
      <c r="AL541" s="122"/>
      <c r="AM541" s="122"/>
      <c r="AN541" s="122"/>
      <c r="AO541" s="122"/>
      <c r="AP541" s="122"/>
      <c r="AQ541" s="122"/>
      <c r="AR541" s="122"/>
      <c r="AS541" s="122"/>
      <c r="AT541" s="122"/>
      <c r="AU541" s="122"/>
      <c r="AV541" s="122"/>
      <c r="AW541" s="122"/>
    </row>
    <row r="542" spans="1:49" ht="18" x14ac:dyDescent="0.4">
      <c r="A542" s="76"/>
      <c r="B542" s="134"/>
      <c r="C542" s="134"/>
      <c r="D542" s="134"/>
      <c r="E542" s="134"/>
      <c r="F542" s="134"/>
      <c r="G542" s="134"/>
      <c r="H542" s="134"/>
      <c r="I542" s="134"/>
      <c r="J542" s="134"/>
      <c r="K542" s="134"/>
      <c r="L542" s="134"/>
      <c r="M542" s="134"/>
      <c r="AK542" s="72"/>
      <c r="AL542" s="122"/>
      <c r="AM542" s="122"/>
      <c r="AN542" s="122"/>
      <c r="AO542" s="122"/>
      <c r="AP542" s="122"/>
      <c r="AQ542" s="122"/>
      <c r="AR542" s="122"/>
      <c r="AS542" s="122"/>
      <c r="AT542" s="122"/>
      <c r="AU542" s="122"/>
      <c r="AV542" s="122"/>
      <c r="AW542" s="122"/>
    </row>
    <row r="543" spans="1:49" ht="18" x14ac:dyDescent="0.4">
      <c r="A543" s="76"/>
      <c r="B543" s="121"/>
      <c r="C543" s="121"/>
      <c r="D543" s="121"/>
      <c r="E543" s="121"/>
      <c r="F543" s="121"/>
      <c r="G543" s="121"/>
      <c r="H543" s="121"/>
      <c r="I543" s="121"/>
      <c r="J543" s="121"/>
      <c r="K543" s="121"/>
      <c r="L543" s="121"/>
      <c r="M543" s="121"/>
      <c r="AK543" s="72"/>
      <c r="AL543" s="122"/>
      <c r="AM543" s="122"/>
      <c r="AN543" s="122"/>
      <c r="AO543" s="122"/>
      <c r="AP543" s="122"/>
      <c r="AQ543" s="122"/>
      <c r="AR543" s="122"/>
      <c r="AS543" s="122"/>
      <c r="AT543" s="122"/>
      <c r="AU543" s="122"/>
      <c r="AV543" s="122"/>
      <c r="AW543" s="122"/>
    </row>
    <row r="544" spans="1:49" ht="18" x14ac:dyDescent="0.4">
      <c r="A544" s="76"/>
      <c r="B544" s="97"/>
      <c r="C544" s="97"/>
      <c r="D544" s="97"/>
      <c r="E544" s="97"/>
      <c r="F544" s="97"/>
      <c r="G544" s="97"/>
      <c r="H544" s="97"/>
      <c r="I544" s="97"/>
      <c r="J544" s="97"/>
      <c r="K544" s="97"/>
      <c r="L544" s="97"/>
      <c r="M544" s="97"/>
      <c r="AK544" s="72"/>
      <c r="AL544" s="122"/>
      <c r="AM544" s="122"/>
      <c r="AN544" s="122"/>
      <c r="AO544" s="122"/>
      <c r="AP544" s="122"/>
      <c r="AQ544" s="122"/>
      <c r="AR544" s="122"/>
      <c r="AS544" s="122"/>
      <c r="AT544" s="122"/>
      <c r="AU544" s="122"/>
      <c r="AV544" s="122"/>
      <c r="AW544" s="122"/>
    </row>
    <row r="545" spans="1:49" ht="18" x14ac:dyDescent="0.4">
      <c r="A545" s="76"/>
      <c r="B545" s="121"/>
      <c r="C545" s="121"/>
      <c r="D545" s="121"/>
      <c r="E545" s="121"/>
      <c r="F545" s="121"/>
      <c r="G545" s="121"/>
      <c r="H545" s="121"/>
      <c r="I545" s="121"/>
      <c r="J545" s="121"/>
      <c r="K545" s="121"/>
      <c r="L545" s="121"/>
      <c r="M545" s="121"/>
      <c r="AK545" s="72"/>
      <c r="AL545" s="122"/>
      <c r="AM545" s="122"/>
      <c r="AN545" s="122"/>
      <c r="AO545" s="122"/>
      <c r="AP545" s="122"/>
      <c r="AQ545" s="122"/>
      <c r="AR545" s="122"/>
      <c r="AS545" s="122"/>
      <c r="AT545" s="122"/>
      <c r="AU545" s="122"/>
      <c r="AV545" s="122"/>
      <c r="AW545" s="122"/>
    </row>
    <row r="546" spans="1:49" ht="18" x14ac:dyDescent="0.4">
      <c r="A546" s="72"/>
      <c r="B546" s="121"/>
      <c r="C546" s="51"/>
      <c r="D546" s="52"/>
      <c r="E546" s="52"/>
      <c r="F546" s="52"/>
      <c r="G546" s="52"/>
      <c r="H546" s="52"/>
      <c r="I546" s="52"/>
      <c r="J546" s="52"/>
      <c r="K546" s="52"/>
      <c r="L546" s="52"/>
      <c r="M546" s="52"/>
      <c r="AK546" s="76"/>
      <c r="AL546" s="124"/>
      <c r="AM546" s="124"/>
      <c r="AN546" s="124"/>
      <c r="AO546" s="124"/>
      <c r="AP546" s="124"/>
      <c r="AQ546" s="124"/>
      <c r="AR546" s="124"/>
      <c r="AS546" s="124"/>
      <c r="AT546" s="124"/>
      <c r="AU546" s="124"/>
      <c r="AV546" s="124"/>
      <c r="AW546" s="124"/>
    </row>
    <row r="547" spans="1:49" ht="18" x14ac:dyDescent="0.4">
      <c r="A547" s="57"/>
      <c r="B547" s="100"/>
      <c r="C547" s="100"/>
      <c r="D547" s="100"/>
      <c r="E547" s="100"/>
      <c r="F547" s="100"/>
      <c r="G547" s="100"/>
      <c r="H547" s="100"/>
      <c r="I547" s="100"/>
      <c r="J547" s="100"/>
      <c r="K547" s="100"/>
      <c r="L547" s="100"/>
      <c r="M547" s="100"/>
      <c r="AK547" s="76"/>
      <c r="AL547" s="134"/>
      <c r="AM547" s="134"/>
      <c r="AN547" s="134"/>
      <c r="AO547" s="134"/>
      <c r="AP547" s="134"/>
      <c r="AQ547" s="134"/>
      <c r="AR547" s="134"/>
      <c r="AS547" s="134"/>
      <c r="AT547" s="134"/>
      <c r="AU547" s="134"/>
      <c r="AV547" s="134"/>
      <c r="AW547" s="134"/>
    </row>
    <row r="548" spans="1:49" ht="18" x14ac:dyDescent="0.4">
      <c r="A548" s="72"/>
      <c r="B548" s="122"/>
      <c r="C548" s="122"/>
      <c r="D548" s="122"/>
      <c r="E548" s="122"/>
      <c r="F548" s="122"/>
      <c r="G548" s="122"/>
      <c r="H548" s="122"/>
      <c r="I548" s="122"/>
      <c r="J548" s="122"/>
      <c r="K548" s="122"/>
      <c r="L548" s="122"/>
      <c r="M548" s="122"/>
      <c r="AK548" s="76"/>
      <c r="AL548" s="121"/>
      <c r="AM548" s="121"/>
      <c r="AN548" s="121"/>
      <c r="AO548" s="121"/>
      <c r="AP548" s="121"/>
      <c r="AQ548" s="121"/>
      <c r="AR548" s="121"/>
      <c r="AS548" s="121"/>
      <c r="AT548" s="121"/>
      <c r="AU548" s="121"/>
      <c r="AV548" s="121"/>
      <c r="AW548" s="121"/>
    </row>
    <row r="549" spans="1:49" ht="18" x14ac:dyDescent="0.4">
      <c r="A549" s="72"/>
      <c r="B549" s="122"/>
      <c r="C549" s="122"/>
      <c r="D549" s="122"/>
      <c r="E549" s="122"/>
      <c r="F549" s="122"/>
      <c r="G549" s="122"/>
      <c r="H549" s="122"/>
      <c r="I549" s="122"/>
      <c r="J549" s="122"/>
      <c r="K549" s="122"/>
      <c r="L549" s="122"/>
      <c r="M549" s="122"/>
      <c r="AK549" s="76"/>
      <c r="AL549" s="97"/>
      <c r="AM549" s="97"/>
      <c r="AN549" s="97"/>
      <c r="AO549" s="97"/>
      <c r="AP549" s="97"/>
      <c r="AQ549" s="97"/>
      <c r="AR549" s="97"/>
      <c r="AS549" s="97"/>
      <c r="AT549" s="97"/>
      <c r="AU549" s="97"/>
      <c r="AV549" s="97"/>
      <c r="AW549" s="97"/>
    </row>
    <row r="550" spans="1:49" ht="18" x14ac:dyDescent="0.4">
      <c r="A550" s="72"/>
      <c r="B550" s="122"/>
      <c r="C550" s="122"/>
      <c r="D550" s="122"/>
      <c r="E550" s="122"/>
      <c r="F550" s="122"/>
      <c r="G550" s="122"/>
      <c r="H550" s="122"/>
      <c r="I550" s="122"/>
      <c r="J550" s="122"/>
      <c r="K550" s="122"/>
      <c r="L550" s="122"/>
      <c r="M550" s="122"/>
      <c r="AK550" s="76"/>
      <c r="AL550" s="121"/>
      <c r="AM550" s="121"/>
      <c r="AN550" s="121"/>
      <c r="AO550" s="121"/>
      <c r="AP550" s="121"/>
      <c r="AQ550" s="121"/>
      <c r="AR550" s="121"/>
      <c r="AS550" s="121"/>
      <c r="AT550" s="121"/>
      <c r="AU550" s="121"/>
      <c r="AV550" s="121"/>
      <c r="AW550" s="121"/>
    </row>
    <row r="551" spans="1:49" ht="18" x14ac:dyDescent="0.4">
      <c r="A551" s="72"/>
      <c r="B551" s="122"/>
      <c r="C551" s="122"/>
      <c r="D551" s="122"/>
      <c r="E551" s="122"/>
      <c r="F551" s="122"/>
      <c r="G551" s="122"/>
      <c r="H551" s="122"/>
      <c r="I551" s="122"/>
      <c r="J551" s="122"/>
      <c r="K551" s="122"/>
      <c r="L551" s="122"/>
      <c r="M551" s="122"/>
      <c r="AK551" s="72"/>
      <c r="AL551" s="121"/>
      <c r="AM551" s="51"/>
      <c r="AN551" s="52"/>
      <c r="AO551" s="52"/>
      <c r="AP551" s="52"/>
      <c r="AQ551" s="52"/>
      <c r="AR551" s="52"/>
      <c r="AS551" s="52"/>
      <c r="AT551" s="52"/>
      <c r="AU551" s="52"/>
      <c r="AV551" s="52"/>
      <c r="AW551" s="52"/>
    </row>
    <row r="552" spans="1:49" ht="18" x14ac:dyDescent="0.4">
      <c r="A552" s="72"/>
      <c r="B552" s="122"/>
      <c r="C552" s="122"/>
      <c r="D552" s="122"/>
      <c r="E552" s="122"/>
      <c r="F552" s="122"/>
      <c r="G552" s="122"/>
      <c r="H552" s="122"/>
      <c r="I552" s="122"/>
      <c r="J552" s="122"/>
      <c r="K552" s="122"/>
      <c r="L552" s="122"/>
      <c r="M552" s="122"/>
      <c r="AK552" s="57"/>
      <c r="AL552" s="100"/>
      <c r="AM552" s="100"/>
      <c r="AN552" s="100"/>
      <c r="AO552" s="100"/>
      <c r="AP552" s="100"/>
      <c r="AQ552" s="100"/>
      <c r="AR552" s="100"/>
      <c r="AS552" s="100"/>
      <c r="AT552" s="100"/>
      <c r="AU552" s="100"/>
      <c r="AV552" s="100"/>
      <c r="AW552" s="100"/>
    </row>
    <row r="553" spans="1:49" ht="18" x14ac:dyDescent="0.4">
      <c r="A553" s="72"/>
      <c r="B553" s="122"/>
      <c r="C553" s="122"/>
      <c r="D553" s="122"/>
      <c r="E553" s="122"/>
      <c r="F553" s="122"/>
      <c r="G553" s="122"/>
      <c r="H553" s="122"/>
      <c r="I553" s="122"/>
      <c r="J553" s="122"/>
      <c r="K553" s="122"/>
      <c r="L553" s="122"/>
      <c r="M553" s="122"/>
      <c r="AK553" s="72"/>
      <c r="AL553" s="122"/>
      <c r="AM553" s="122"/>
      <c r="AN553" s="122"/>
      <c r="AO553" s="122"/>
      <c r="AP553" s="122"/>
      <c r="AQ553" s="122"/>
      <c r="AR553" s="122"/>
      <c r="AS553" s="122"/>
      <c r="AT553" s="122"/>
      <c r="AU553" s="122"/>
      <c r="AV553" s="122"/>
      <c r="AW553" s="122"/>
    </row>
    <row r="554" spans="1:49" ht="18" x14ac:dyDescent="0.4">
      <c r="A554" s="72"/>
      <c r="B554" s="122"/>
      <c r="C554" s="122"/>
      <c r="D554" s="122"/>
      <c r="E554" s="122"/>
      <c r="F554" s="122"/>
      <c r="G554" s="122"/>
      <c r="H554" s="122"/>
      <c r="I554" s="122"/>
      <c r="J554" s="122"/>
      <c r="K554" s="122"/>
      <c r="L554" s="122"/>
      <c r="M554" s="122"/>
      <c r="AK554" s="72"/>
      <c r="AL554" s="122"/>
      <c r="AM554" s="122"/>
      <c r="AN554" s="122"/>
      <c r="AO554" s="122"/>
      <c r="AP554" s="122"/>
      <c r="AQ554" s="122"/>
      <c r="AR554" s="122"/>
      <c r="AS554" s="122"/>
      <c r="AT554" s="122"/>
      <c r="AU554" s="122"/>
      <c r="AV554" s="122"/>
      <c r="AW554" s="122"/>
    </row>
    <row r="555" spans="1:49" ht="18" x14ac:dyDescent="0.4">
      <c r="A555" s="76"/>
      <c r="B555" s="124"/>
      <c r="C555" s="124"/>
      <c r="D555" s="124"/>
      <c r="E555" s="124"/>
      <c r="F555" s="124"/>
      <c r="G555" s="124"/>
      <c r="H555" s="124"/>
      <c r="I555" s="124"/>
      <c r="J555" s="124"/>
      <c r="K555" s="124"/>
      <c r="L555" s="124"/>
      <c r="M555" s="124"/>
      <c r="AK555" s="72"/>
      <c r="AL555" s="122"/>
      <c r="AM555" s="122"/>
      <c r="AN555" s="122"/>
      <c r="AO555" s="122"/>
      <c r="AP555" s="122"/>
      <c r="AQ555" s="122"/>
      <c r="AR555" s="122"/>
      <c r="AS555" s="122"/>
      <c r="AT555" s="122"/>
      <c r="AU555" s="122"/>
      <c r="AV555" s="122"/>
      <c r="AW555" s="122"/>
    </row>
    <row r="556" spans="1:49" ht="18" x14ac:dyDescent="0.4">
      <c r="A556" s="76"/>
      <c r="B556" s="124"/>
      <c r="C556" s="124"/>
      <c r="D556" s="124"/>
      <c r="E556" s="124"/>
      <c r="F556" s="124"/>
      <c r="G556" s="124"/>
      <c r="H556" s="124"/>
      <c r="I556" s="124"/>
      <c r="J556" s="124"/>
      <c r="K556" s="124"/>
      <c r="L556" s="124"/>
      <c r="M556" s="124"/>
      <c r="AK556" s="72"/>
      <c r="AL556" s="122"/>
      <c r="AM556" s="122"/>
      <c r="AN556" s="122"/>
      <c r="AO556" s="122"/>
      <c r="AP556" s="122"/>
      <c r="AQ556" s="122"/>
      <c r="AR556" s="122"/>
      <c r="AS556" s="122"/>
      <c r="AT556" s="122"/>
      <c r="AU556" s="122"/>
      <c r="AV556" s="122"/>
      <c r="AW556" s="122"/>
    </row>
    <row r="557" spans="1:49" ht="18" x14ac:dyDescent="0.4">
      <c r="A557" s="76"/>
      <c r="B557" s="121"/>
      <c r="C557" s="121"/>
      <c r="D557" s="121"/>
      <c r="E557" s="121"/>
      <c r="F557" s="121"/>
      <c r="G557" s="121"/>
      <c r="H557" s="121"/>
      <c r="I557" s="121"/>
      <c r="J557" s="121"/>
      <c r="K557" s="121"/>
      <c r="L557" s="121"/>
      <c r="M557" s="121"/>
      <c r="AK557" s="72"/>
      <c r="AL557" s="122"/>
      <c r="AM557" s="122"/>
      <c r="AN557" s="122"/>
      <c r="AO557" s="122"/>
      <c r="AP557" s="122"/>
      <c r="AQ557" s="122"/>
      <c r="AR557" s="122"/>
      <c r="AS557" s="122"/>
      <c r="AT557" s="122"/>
      <c r="AU557" s="122"/>
      <c r="AV557" s="122"/>
      <c r="AW557" s="122"/>
    </row>
    <row r="558" spans="1:49" ht="18" x14ac:dyDescent="0.4">
      <c r="A558" s="76"/>
      <c r="B558" s="121"/>
      <c r="C558" s="121"/>
      <c r="D558" s="121"/>
      <c r="E558" s="121"/>
      <c r="F558" s="121"/>
      <c r="G558" s="121"/>
      <c r="H558" s="121"/>
      <c r="I558" s="121"/>
      <c r="J558" s="121"/>
      <c r="K558" s="121"/>
      <c r="L558" s="121"/>
      <c r="M558" s="121"/>
      <c r="AK558" s="72"/>
      <c r="AL558" s="122"/>
      <c r="AM558" s="122"/>
      <c r="AN558" s="122"/>
      <c r="AO558" s="122"/>
      <c r="AP558" s="122"/>
      <c r="AQ558" s="122"/>
      <c r="AR558" s="122"/>
      <c r="AS558" s="122"/>
      <c r="AT558" s="122"/>
      <c r="AU558" s="122"/>
      <c r="AV558" s="122"/>
      <c r="AW558" s="122"/>
    </row>
    <row r="559" spans="1:49" ht="18" x14ac:dyDescent="0.4">
      <c r="AK559" s="72"/>
      <c r="AL559" s="122"/>
      <c r="AM559" s="122"/>
      <c r="AN559" s="122"/>
      <c r="AO559" s="122"/>
      <c r="AP559" s="122"/>
      <c r="AQ559" s="122"/>
      <c r="AR559" s="122"/>
      <c r="AS559" s="122"/>
      <c r="AT559" s="122"/>
      <c r="AU559" s="122"/>
      <c r="AV559" s="122"/>
      <c r="AW559" s="122"/>
    </row>
    <row r="560" spans="1:49" x14ac:dyDescent="0.35">
      <c r="AK560" s="76"/>
      <c r="AL560" s="124"/>
      <c r="AM560" s="124"/>
      <c r="AN560" s="124"/>
      <c r="AO560" s="124"/>
      <c r="AP560" s="124"/>
      <c r="AQ560" s="124"/>
      <c r="AR560" s="124"/>
      <c r="AS560" s="124"/>
      <c r="AT560" s="124"/>
      <c r="AU560" s="124"/>
      <c r="AV560" s="124"/>
      <c r="AW560" s="124"/>
    </row>
    <row r="561" spans="37:49" x14ac:dyDescent="0.35">
      <c r="AK561" s="76"/>
      <c r="AL561" s="124"/>
      <c r="AM561" s="124"/>
      <c r="AN561" s="124"/>
      <c r="AO561" s="124"/>
      <c r="AP561" s="124"/>
      <c r="AQ561" s="124"/>
      <c r="AR561" s="124"/>
      <c r="AS561" s="124"/>
      <c r="AT561" s="124"/>
      <c r="AU561" s="124"/>
      <c r="AV561" s="124"/>
      <c r="AW561" s="124"/>
    </row>
    <row r="562" spans="37:49" x14ac:dyDescent="0.35">
      <c r="AK562" s="76"/>
      <c r="AL562" s="121"/>
      <c r="AM562" s="121"/>
      <c r="AN562" s="121"/>
      <c r="AO562" s="121"/>
      <c r="AP562" s="121"/>
      <c r="AQ562" s="121"/>
      <c r="AR562" s="121"/>
      <c r="AS562" s="121"/>
      <c r="AT562" s="121"/>
      <c r="AU562" s="121"/>
      <c r="AV562" s="121"/>
      <c r="AW562" s="121"/>
    </row>
    <row r="563" spans="37:49" x14ac:dyDescent="0.35">
      <c r="AK563" s="76"/>
      <c r="AL563" s="121"/>
      <c r="AM563" s="121"/>
      <c r="AN563" s="121"/>
      <c r="AO563" s="121"/>
      <c r="AP563" s="121"/>
      <c r="AQ563" s="121"/>
      <c r="AR563" s="121"/>
      <c r="AS563" s="121"/>
      <c r="AT563" s="121"/>
      <c r="AU563" s="121"/>
      <c r="AV563" s="121"/>
      <c r="AW563" s="121"/>
    </row>
  </sheetData>
  <pageMargins left="0.75" right="0.75" top="0.54" bottom="1" header="0" footer="0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"/>
  <dimension ref="C1:N694"/>
  <sheetViews>
    <sheetView showGridLines="0" zoomScale="70" zoomScaleNormal="70" zoomScaleSheetLayoutView="80" workbookViewId="0">
      <selection activeCell="K69" sqref="K69"/>
    </sheetView>
  </sheetViews>
  <sheetFormatPr baseColWidth="10" defaultRowHeight="14.5" x14ac:dyDescent="0.35"/>
  <cols>
    <col min="4" max="4" width="34.1796875" bestFit="1" customWidth="1"/>
    <col min="5" max="5" width="11.81640625" bestFit="1" customWidth="1"/>
    <col min="6" max="6" width="11" customWidth="1"/>
    <col min="7" max="7" width="11.453125" customWidth="1"/>
    <col min="8" max="8" width="10.26953125" customWidth="1"/>
    <col min="11" max="11" width="10.81640625" customWidth="1"/>
  </cols>
  <sheetData>
    <row r="1" spans="3:9" x14ac:dyDescent="0.35">
      <c r="C1" t="s">
        <v>279</v>
      </c>
      <c r="E1">
        <v>506</v>
      </c>
      <c r="F1">
        <v>503</v>
      </c>
      <c r="G1">
        <v>512</v>
      </c>
      <c r="H1">
        <v>508</v>
      </c>
    </row>
    <row r="2" spans="3:9" x14ac:dyDescent="0.35">
      <c r="D2" s="235" t="s">
        <v>267</v>
      </c>
      <c r="E2" s="235" t="s">
        <v>106</v>
      </c>
      <c r="F2" s="236"/>
      <c r="G2" s="236"/>
      <c r="H2" s="236"/>
      <c r="I2" s="236"/>
    </row>
    <row r="3" spans="3:9" ht="28.5" x14ac:dyDescent="0.35">
      <c r="D3" s="236"/>
      <c r="E3" s="238" t="s">
        <v>136</v>
      </c>
      <c r="F3" s="238" t="s">
        <v>268</v>
      </c>
      <c r="G3" s="238" t="s">
        <v>138</v>
      </c>
      <c r="H3" s="248" t="s">
        <v>139</v>
      </c>
      <c r="I3" s="238" t="s">
        <v>140</v>
      </c>
    </row>
    <row r="4" spans="3:9" x14ac:dyDescent="0.35">
      <c r="D4" s="235" t="s">
        <v>247</v>
      </c>
      <c r="E4" s="239">
        <f>(BDFE!C514+BDFE!C505)/1000</f>
        <v>-53.631160000000001</v>
      </c>
      <c r="F4" s="239">
        <f>(BDFE!C444+BDFE!C435)/1000</f>
        <v>-20.7791</v>
      </c>
      <c r="G4" s="239">
        <f>(BDFE!C654+BDFE!C645)/1000</f>
        <v>-1.2529999999999999</v>
      </c>
      <c r="H4" s="239">
        <f>(BDFE!C584+BDFE!C575)/1000</f>
        <v>-0.97499999999999998</v>
      </c>
      <c r="I4" s="239">
        <f>SUM(E4,F4,G4,H4)</f>
        <v>-76.638259999999988</v>
      </c>
    </row>
    <row r="5" spans="3:9" x14ac:dyDescent="0.35">
      <c r="D5" s="236"/>
      <c r="E5" s="240"/>
      <c r="F5" s="240"/>
      <c r="G5" s="240"/>
      <c r="H5" s="240"/>
      <c r="I5" s="240"/>
    </row>
    <row r="6" spans="3:9" x14ac:dyDescent="0.35">
      <c r="D6" s="235" t="s">
        <v>270</v>
      </c>
      <c r="E6" s="240"/>
      <c r="F6" s="240"/>
      <c r="G6" s="240"/>
      <c r="H6" s="240"/>
      <c r="I6" s="240"/>
    </row>
    <row r="7" spans="3:9" x14ac:dyDescent="0.35">
      <c r="D7" s="236" t="s">
        <v>196</v>
      </c>
      <c r="E7" s="241">
        <f>BDFE!$C$516/1000</f>
        <v>-15.00001</v>
      </c>
      <c r="F7" s="241">
        <f>(BDFE!$C$446)/1000</f>
        <v>0</v>
      </c>
      <c r="G7" s="241">
        <f>BDFE!$C$656/1000</f>
        <v>0</v>
      </c>
      <c r="H7" s="241">
        <f>BDFE!$C$586/1000</f>
        <v>0</v>
      </c>
      <c r="I7" s="241">
        <f t="shared" ref="I7:I13" si="0">SUM(E7,F7,G7,H7)</f>
        <v>-15.00001</v>
      </c>
    </row>
    <row r="8" spans="3:9" x14ac:dyDescent="0.35">
      <c r="D8" s="236" t="s">
        <v>197</v>
      </c>
      <c r="E8" s="242">
        <f>(BDFE!C517+BDFE!C518+BDFE!C519)/1000</f>
        <v>0</v>
      </c>
      <c r="F8" s="242">
        <f>(BDFE!C447+BDFE!C448+BDFE!C449)/1000</f>
        <v>0</v>
      </c>
      <c r="G8" s="242">
        <f>(BDFE!C657+BDFE!C658+BDFE!C659)/1000</f>
        <v>0</v>
      </c>
      <c r="H8" s="242">
        <f>(BDFE!C587+BDFE!C588+BDFE!C589)/1000</f>
        <v>0</v>
      </c>
      <c r="I8" s="242">
        <f t="shared" si="0"/>
        <v>0</v>
      </c>
    </row>
    <row r="9" spans="3:9" x14ac:dyDescent="0.35">
      <c r="D9" s="236" t="s">
        <v>198</v>
      </c>
      <c r="E9" s="242">
        <f>BDFE!$C$520/1000</f>
        <v>0</v>
      </c>
      <c r="F9" s="242">
        <f>BDFE!$C$450/1000</f>
        <v>0</v>
      </c>
      <c r="G9" s="242">
        <f>BDFE!$C$660/1000</f>
        <v>0</v>
      </c>
      <c r="H9" s="242">
        <f>BDFE!$C$590/1000</f>
        <v>0</v>
      </c>
      <c r="I9" s="242">
        <f t="shared" si="0"/>
        <v>0</v>
      </c>
    </row>
    <row r="10" spans="3:9" x14ac:dyDescent="0.35">
      <c r="D10" s="236" t="s">
        <v>199</v>
      </c>
      <c r="E10" s="242">
        <f>(BDFE!C521+BDFE!C522)/1000</f>
        <v>25.802520000000001</v>
      </c>
      <c r="F10" s="242">
        <f>(BDFE!C451+BDFE!C452)/1000</f>
        <v>-3.3245999999999998</v>
      </c>
      <c r="G10" s="242">
        <f>(BDFE!C661+BDFE!C662)/1000</f>
        <v>-0.20047999999999999</v>
      </c>
      <c r="H10" s="242">
        <f>(BDFE!C591+BDFE!C592)/1000</f>
        <v>0</v>
      </c>
      <c r="I10" s="242">
        <f t="shared" si="0"/>
        <v>22.277440000000002</v>
      </c>
    </row>
    <row r="11" spans="3:9" x14ac:dyDescent="0.35">
      <c r="D11" s="236" t="s">
        <v>222</v>
      </c>
      <c r="E11" s="242">
        <f>BDFE!$C$523/1000</f>
        <v>36.880489999999995</v>
      </c>
      <c r="F11" s="242">
        <f>BDFE!$C$453/1000</f>
        <v>0</v>
      </c>
      <c r="G11" s="242">
        <f>BDFE!$C$663/1000</f>
        <v>0</v>
      </c>
      <c r="H11" s="242">
        <f>BDFE!$C$593/1000</f>
        <v>0</v>
      </c>
      <c r="I11" s="242">
        <f t="shared" si="0"/>
        <v>36.880489999999995</v>
      </c>
    </row>
    <row r="12" spans="3:9" x14ac:dyDescent="0.35">
      <c r="D12" s="236" t="s">
        <v>248</v>
      </c>
      <c r="E12" s="242">
        <f>(BDFE!C524+BDFE!C525)/1000</f>
        <v>0</v>
      </c>
      <c r="F12" s="242">
        <f>(BDFE!C454 +BDFE!C455)/1000</f>
        <v>0</v>
      </c>
      <c r="G12" s="242">
        <f>(BDFE!C664+BDFE!C665)/1000</f>
        <v>0</v>
      </c>
      <c r="H12" s="242">
        <f>(BDFE!C594+BDFE!C595)/1000</f>
        <v>3.7</v>
      </c>
      <c r="I12" s="242">
        <f t="shared" si="0"/>
        <v>3.7</v>
      </c>
    </row>
    <row r="13" spans="3:9" x14ac:dyDescent="0.35">
      <c r="D13" s="236" t="s">
        <v>249</v>
      </c>
      <c r="E13" s="242">
        <f>(BDFE!C526+BDFE!C527+BDFE!C528+BDFE!C529)/1000</f>
        <v>-18.201879999999996</v>
      </c>
      <c r="F13" s="242">
        <f>(BDFE!$C$456+ BDFE!C457+BDFE!C458+BDFE!C459)/1000</f>
        <v>3.5700000000000003E-2</v>
      </c>
      <c r="G13" s="242">
        <f>(BDFE!C666+BDFE!C667+BDFE!C668+BDFE!C669)/1000</f>
        <v>0</v>
      </c>
      <c r="H13" s="242">
        <f>(BDFE!C596+BDFE!C597+BDFE!C598+BDFE!C599)/1000</f>
        <v>0</v>
      </c>
      <c r="I13" s="242">
        <f t="shared" si="0"/>
        <v>-18.166179999999997</v>
      </c>
    </row>
    <row r="14" spans="3:9" x14ac:dyDescent="0.35">
      <c r="D14" s="235" t="s">
        <v>270</v>
      </c>
      <c r="E14" s="239">
        <f>SUM(E7:E13)</f>
        <v>29.481119999999997</v>
      </c>
      <c r="F14" s="239">
        <f>SUM(F7:F13)</f>
        <v>-3.2888999999999999</v>
      </c>
      <c r="G14" s="239">
        <f t="shared" ref="G14:I14" si="1">SUM(G7:G13)</f>
        <v>-0.20047999999999999</v>
      </c>
      <c r="H14" s="239">
        <f t="shared" si="1"/>
        <v>3.7</v>
      </c>
      <c r="I14" s="239">
        <f t="shared" si="1"/>
        <v>29.691740000000003</v>
      </c>
    </row>
    <row r="15" spans="3:9" x14ac:dyDescent="0.35">
      <c r="D15" s="236"/>
      <c r="E15" s="243"/>
      <c r="F15" s="243"/>
      <c r="G15" s="243"/>
      <c r="H15" s="243"/>
      <c r="I15" s="243"/>
    </row>
    <row r="16" spans="3:9" x14ac:dyDescent="0.35">
      <c r="D16" s="235" t="s">
        <v>250</v>
      </c>
      <c r="E16" s="240"/>
      <c r="F16" s="240"/>
      <c r="G16" s="240"/>
      <c r="H16" s="240"/>
      <c r="I16" s="240"/>
    </row>
    <row r="17" spans="4:9" x14ac:dyDescent="0.35">
      <c r="D17" s="236" t="s">
        <v>251</v>
      </c>
      <c r="E17" s="241">
        <f>BDFE!$C$532/1000</f>
        <v>0</v>
      </c>
      <c r="F17" s="241">
        <f>BDFE!$C$462/1000</f>
        <v>0</v>
      </c>
      <c r="G17" s="241">
        <f>BDFE!$C$672/1000</f>
        <v>0</v>
      </c>
      <c r="H17" s="241">
        <f>BDFE!$C$602/1000</f>
        <v>0</v>
      </c>
      <c r="I17" s="241">
        <f t="shared" ref="I17:I22" si="2">SUM(E17,F17,G17,H17)</f>
        <v>0</v>
      </c>
    </row>
    <row r="18" spans="4:9" x14ac:dyDescent="0.35">
      <c r="D18" s="236" t="s">
        <v>252</v>
      </c>
      <c r="E18" s="242">
        <f>BDFE!$C$533/1000</f>
        <v>0</v>
      </c>
      <c r="F18" s="242">
        <f>BDFE!$C$463/1000</f>
        <v>33</v>
      </c>
      <c r="G18" s="242">
        <f>BDFE!$C$673/1000</f>
        <v>0</v>
      </c>
      <c r="H18" s="242">
        <f>BDFE!C603/1000</f>
        <v>0</v>
      </c>
      <c r="I18" s="242">
        <f t="shared" si="2"/>
        <v>33</v>
      </c>
    </row>
    <row r="19" spans="4:9" x14ac:dyDescent="0.35">
      <c r="D19" s="236" t="s">
        <v>237</v>
      </c>
      <c r="E19" s="242">
        <f>BDFE!$C$534/1000</f>
        <v>0</v>
      </c>
      <c r="F19" s="242">
        <f>BDFE!$C$464/1000</f>
        <v>0</v>
      </c>
      <c r="G19" s="242">
        <f>BDFE!$C$674/1000</f>
        <v>0</v>
      </c>
      <c r="H19" s="242">
        <f>BDFE!C604/1000</f>
        <v>0</v>
      </c>
      <c r="I19" s="242">
        <f t="shared" si="2"/>
        <v>0</v>
      </c>
    </row>
    <row r="20" spans="4:9" x14ac:dyDescent="0.35">
      <c r="D20" s="236" t="s">
        <v>253</v>
      </c>
      <c r="E20" s="242">
        <f>BDFE!$C$535/1000</f>
        <v>0</v>
      </c>
      <c r="F20" s="242">
        <f>BDFE!$C$465/1000</f>
        <v>0</v>
      </c>
      <c r="G20" s="242">
        <f>BDFE!$C$675/1000</f>
        <v>0</v>
      </c>
      <c r="H20" s="242">
        <f>BDFE!C605/1000</f>
        <v>0</v>
      </c>
      <c r="I20" s="242">
        <f t="shared" si="2"/>
        <v>0</v>
      </c>
    </row>
    <row r="21" spans="4:9" x14ac:dyDescent="0.35">
      <c r="D21" s="236" t="s">
        <v>271</v>
      </c>
      <c r="E21" s="242">
        <f>(BDFE!C536+BDFE!C537)/1000</f>
        <v>0</v>
      </c>
      <c r="F21" s="242">
        <f>(BDFE!C466+BDFE!C467)/1000</f>
        <v>0</v>
      </c>
      <c r="G21" s="242">
        <f>(BDFE!C676+BDFE!C677)/1000</f>
        <v>0</v>
      </c>
      <c r="H21" s="242">
        <f>(BDFE!C606+BDFE!C607)/1000</f>
        <v>0</v>
      </c>
      <c r="I21" s="242">
        <f t="shared" si="2"/>
        <v>0</v>
      </c>
    </row>
    <row r="22" spans="4:9" x14ac:dyDescent="0.35">
      <c r="D22" s="236" t="s">
        <v>254</v>
      </c>
      <c r="E22" s="242">
        <f>BDFE!$C$538/1000</f>
        <v>0</v>
      </c>
      <c r="F22" s="242">
        <f>BDFE!C468/1000</f>
        <v>0</v>
      </c>
      <c r="G22" s="242">
        <f>BDFE!$C$678/1000</f>
        <v>0</v>
      </c>
      <c r="H22" s="242">
        <f>BDFE!$C$608/1000</f>
        <v>0</v>
      </c>
      <c r="I22" s="245">
        <f t="shared" si="2"/>
        <v>0</v>
      </c>
    </row>
    <row r="23" spans="4:9" x14ac:dyDescent="0.35">
      <c r="D23" s="235" t="s">
        <v>255</v>
      </c>
      <c r="E23" s="239">
        <f>SUM(E17:E22)</f>
        <v>0</v>
      </c>
      <c r="F23" s="239">
        <f>SUM(F17:F22)</f>
        <v>33</v>
      </c>
      <c r="G23" s="239">
        <f t="shared" ref="G23:H23" si="3">SUM(G17:G22)</f>
        <v>0</v>
      </c>
      <c r="H23" s="239">
        <f t="shared" si="3"/>
        <v>0</v>
      </c>
      <c r="I23" s="239">
        <f>SUM(I17:I22)</f>
        <v>33</v>
      </c>
    </row>
    <row r="24" spans="4:9" x14ac:dyDescent="0.35">
      <c r="D24" s="235"/>
      <c r="E24" s="244"/>
      <c r="F24" s="244"/>
      <c r="G24" s="244"/>
      <c r="H24" s="244"/>
      <c r="I24" s="243"/>
    </row>
    <row r="25" spans="4:9" x14ac:dyDescent="0.35">
      <c r="D25" s="235" t="s">
        <v>256</v>
      </c>
      <c r="E25" s="240"/>
      <c r="F25" s="240"/>
      <c r="G25" s="240"/>
      <c r="H25" s="240"/>
      <c r="I25" s="240"/>
    </row>
    <row r="26" spans="4:9" x14ac:dyDescent="0.35">
      <c r="D26" s="236" t="s">
        <v>204</v>
      </c>
      <c r="E26" s="241">
        <f>BDFE!$C$541/1000</f>
        <v>0</v>
      </c>
      <c r="F26" s="241">
        <f>BDFE!$C$471/1000</f>
        <v>0</v>
      </c>
      <c r="G26" s="241">
        <f>BDFE!$C$681/1000</f>
        <v>0</v>
      </c>
      <c r="H26" s="241">
        <f>BDFE!$C$611/1000</f>
        <v>0</v>
      </c>
      <c r="I26" s="241">
        <f>SUM(E26,F26,G26,H26)</f>
        <v>0</v>
      </c>
    </row>
    <row r="27" spans="4:9" x14ac:dyDescent="0.35">
      <c r="D27" s="236" t="s">
        <v>208</v>
      </c>
      <c r="E27" s="242">
        <f>BDFE!$C$543/1000</f>
        <v>0</v>
      </c>
      <c r="F27" s="242">
        <f>BDFE!$C$473/1000</f>
        <v>0</v>
      </c>
      <c r="G27" s="242">
        <f>BDFE!$C$683/1000</f>
        <v>0</v>
      </c>
      <c r="H27" s="242">
        <f>BDFE!$C$613/1000</f>
        <v>0</v>
      </c>
      <c r="I27" s="242">
        <f t="shared" ref="I27:I38" si="4">SUM(E27,F27,G27,H27)</f>
        <v>0</v>
      </c>
    </row>
    <row r="28" spans="4:9" x14ac:dyDescent="0.35">
      <c r="D28" s="236" t="s">
        <v>207</v>
      </c>
      <c r="E28" s="242">
        <f>BDFE!$C$545/1000</f>
        <v>0</v>
      </c>
      <c r="F28" s="242">
        <f>BDFE!$C$475/1000</f>
        <v>0</v>
      </c>
      <c r="G28" s="242">
        <f>BDFE!$C$685/1000</f>
        <v>0</v>
      </c>
      <c r="H28" s="242">
        <f>BDFE!$C$615/1000</f>
        <v>0</v>
      </c>
      <c r="I28" s="242">
        <f t="shared" si="4"/>
        <v>0</v>
      </c>
    </row>
    <row r="29" spans="4:9" x14ac:dyDescent="0.35">
      <c r="D29" s="236" t="s">
        <v>206</v>
      </c>
      <c r="E29" s="242">
        <f>BDFE!$C$547/1000</f>
        <v>0</v>
      </c>
      <c r="F29" s="242">
        <f>BDFE!$C$477/1000</f>
        <v>0</v>
      </c>
      <c r="G29" s="242">
        <f>BDFE!$C$687/1000</f>
        <v>0</v>
      </c>
      <c r="H29" s="242">
        <f>BDFE!$C$617/1000</f>
        <v>0</v>
      </c>
      <c r="I29" s="242">
        <f t="shared" si="4"/>
        <v>0</v>
      </c>
    </row>
    <row r="30" spans="4:9" x14ac:dyDescent="0.35">
      <c r="D30" s="236" t="s">
        <v>257</v>
      </c>
      <c r="E30" s="242">
        <f>BDFE!$C$549/1000</f>
        <v>0</v>
      </c>
      <c r="F30" s="242">
        <f>BDFE!$C$479/1000</f>
        <v>0</v>
      </c>
      <c r="G30" s="242">
        <f>BDFE!$C$689/1000</f>
        <v>0</v>
      </c>
      <c r="H30" s="242">
        <f>BDFE!$C$619/1000</f>
        <v>0</v>
      </c>
      <c r="I30" s="242">
        <f t="shared" si="4"/>
        <v>0</v>
      </c>
    </row>
    <row r="31" spans="4:9" x14ac:dyDescent="0.35">
      <c r="D31" s="236" t="s">
        <v>272</v>
      </c>
      <c r="E31" s="242">
        <f>BDFE!$C$551/1000</f>
        <v>0</v>
      </c>
      <c r="F31" s="242">
        <f>BDFE!$C$481/1000</f>
        <v>0</v>
      </c>
      <c r="G31" s="242">
        <f>BDFE!$C$691/1000</f>
        <v>0</v>
      </c>
      <c r="H31" s="242">
        <f>BDFE!$C$621/1000</f>
        <v>0</v>
      </c>
      <c r="I31" s="242">
        <f t="shared" si="4"/>
        <v>0</v>
      </c>
    </row>
    <row r="32" spans="4:9" x14ac:dyDescent="0.35">
      <c r="D32" s="236" t="s">
        <v>273</v>
      </c>
      <c r="E32" s="242">
        <f>BDFE!$C$553/1000</f>
        <v>0</v>
      </c>
      <c r="F32" s="242">
        <f>BDFE!$C$483/1000</f>
        <v>0</v>
      </c>
      <c r="G32" s="242">
        <f>BDFE!$C$693/1000</f>
        <v>0</v>
      </c>
      <c r="H32" s="242">
        <f>BDFE!$C$623/1000</f>
        <v>0</v>
      </c>
      <c r="I32" s="242">
        <f t="shared" si="4"/>
        <v>0</v>
      </c>
    </row>
    <row r="33" spans="4:9" hidden="1" x14ac:dyDescent="0.35">
      <c r="D33" s="236" t="s">
        <v>274</v>
      </c>
      <c r="E33" s="242">
        <f>BDFE!$C$555/1000</f>
        <v>0</v>
      </c>
      <c r="F33" s="242">
        <f>BDFE!$C$485/1000</f>
        <v>0</v>
      </c>
      <c r="G33" s="242">
        <f>BDFE!$C$695/1000</f>
        <v>0</v>
      </c>
      <c r="H33" s="242">
        <f>BDFE!$C$625/1000</f>
        <v>0</v>
      </c>
      <c r="I33" s="242">
        <f t="shared" si="4"/>
        <v>0</v>
      </c>
    </row>
    <row r="34" spans="4:9" hidden="1" x14ac:dyDescent="0.35">
      <c r="D34" s="236" t="s">
        <v>258</v>
      </c>
      <c r="E34" s="242">
        <f>BDFE!$C$557/1000</f>
        <v>0</v>
      </c>
      <c r="F34" s="242">
        <f>BDFE!$C$487/1000</f>
        <v>0</v>
      </c>
      <c r="G34" s="242">
        <f>BDFE!$C$697/1000</f>
        <v>0</v>
      </c>
      <c r="H34" s="242">
        <f>BDFE!$C$627/1000</f>
        <v>0</v>
      </c>
      <c r="I34" s="242">
        <f t="shared" si="4"/>
        <v>0</v>
      </c>
    </row>
    <row r="35" spans="4:9" hidden="1" x14ac:dyDescent="0.35">
      <c r="D35" s="236" t="s">
        <v>259</v>
      </c>
      <c r="E35" s="242">
        <f>BDFE!$C$559/1000</f>
        <v>0</v>
      </c>
      <c r="F35" s="242">
        <f>BDFE!$C$489/1000</f>
        <v>0</v>
      </c>
      <c r="G35" s="242">
        <f>BDFE!$C$699/1000</f>
        <v>0</v>
      </c>
      <c r="H35" s="242">
        <f>BDFE!$C$629/1000</f>
        <v>0</v>
      </c>
      <c r="I35" s="242">
        <f t="shared" si="4"/>
        <v>0</v>
      </c>
    </row>
    <row r="36" spans="4:9" hidden="1" x14ac:dyDescent="0.35">
      <c r="D36" s="236" t="s">
        <v>260</v>
      </c>
      <c r="E36" s="242">
        <f>BDFE!$C$562/1000</f>
        <v>0</v>
      </c>
      <c r="F36" s="242">
        <f>BDFE!$C$492/1000</f>
        <v>0</v>
      </c>
      <c r="G36" s="242">
        <f>BDFE!$C$702/1000</f>
        <v>0</v>
      </c>
      <c r="H36" s="242">
        <f>BDFE!$C$632/1000</f>
        <v>0</v>
      </c>
      <c r="I36" s="242">
        <f t="shared" si="4"/>
        <v>0</v>
      </c>
    </row>
    <row r="37" spans="4:9" x14ac:dyDescent="0.35">
      <c r="D37" s="236" t="s">
        <v>261</v>
      </c>
      <c r="E37" s="242">
        <f>BDFE!$C$563/1000</f>
        <v>0</v>
      </c>
      <c r="F37" s="242">
        <f>BDFE!$C$493/1000</f>
        <v>0</v>
      </c>
      <c r="G37" s="242">
        <f>BDFE!$C$703/1000</f>
        <v>0</v>
      </c>
      <c r="H37" s="242">
        <f>BDFE!$C$633/1000</f>
        <v>0</v>
      </c>
      <c r="I37" s="242">
        <f t="shared" si="4"/>
        <v>0</v>
      </c>
    </row>
    <row r="38" spans="4:9" x14ac:dyDescent="0.35">
      <c r="D38" s="236" t="s">
        <v>10</v>
      </c>
      <c r="E38" s="245">
        <f>(BDFE!C542+BDFE!C544+BDFE!C546+BDFE!C548+BDFE!C550+BDFE!C552+BDFE!C554+BDFE!C556+BDFE!C558+BDFE!C560-BDFE!C505)/1000</f>
        <v>0</v>
      </c>
      <c r="F38" s="245">
        <f>(BDFE!C472+BDFE!C474+BDFE!C476+BDFE!C478+BDFE!C480+BDFE!C482+BDFE!C484+BDFE!C486+BDFE!C488+BDFE!C490-BDFE!C435)/1000</f>
        <v>0</v>
      </c>
      <c r="G38" s="245">
        <f>(BDFE!C682+BDFE!C684+BDFE!C686+BDFE!C688+BDFE!C690+BDFE!C692+BDFE!C694+BDFE!C696+BDFE!C698+BDFE!C700-BDFE!C645)/1000</f>
        <v>0</v>
      </c>
      <c r="H38" s="245">
        <f>(BDFE!C612+BDFE!C614+BDFE!C616+BDFE!C618+BDFE!C620+BDFE!C622+BDFE!C624+BDFE!C626+BDFE!C628+BDFE!C630-BDFE!C575)/1000</f>
        <v>0</v>
      </c>
      <c r="I38" s="245">
        <f t="shared" si="4"/>
        <v>0</v>
      </c>
    </row>
    <row r="39" spans="4:9" x14ac:dyDescent="0.35">
      <c r="D39" s="235" t="s">
        <v>262</v>
      </c>
      <c r="E39" s="254">
        <f>SUM(E26:E38)</f>
        <v>0</v>
      </c>
      <c r="F39" s="239">
        <f t="shared" ref="F39:H39" si="5">SUM(F26:F38)</f>
        <v>0</v>
      </c>
      <c r="G39" s="239">
        <f t="shared" si="5"/>
        <v>0</v>
      </c>
      <c r="H39" s="239">
        <f t="shared" si="5"/>
        <v>0</v>
      </c>
      <c r="I39" s="239">
        <f>SUM(I26:I38)</f>
        <v>0</v>
      </c>
    </row>
    <row r="40" spans="4:9" x14ac:dyDescent="0.35">
      <c r="D40" s="236"/>
      <c r="E40" s="246"/>
      <c r="F40" s="246"/>
      <c r="G40" s="246"/>
      <c r="H40" s="246"/>
      <c r="I40" s="249"/>
    </row>
    <row r="41" spans="4:9" x14ac:dyDescent="0.35">
      <c r="D41" s="235" t="s">
        <v>263</v>
      </c>
      <c r="E41" s="247">
        <f>E4+E14+E23+E39</f>
        <v>-24.150040000000004</v>
      </c>
      <c r="F41" s="247">
        <f>F4+F14+F23+F39</f>
        <v>8.9320000000000022</v>
      </c>
      <c r="G41" s="247">
        <f t="shared" ref="G41:H41" si="6">G4+G14+G23+G39</f>
        <v>-1.4534799999999999</v>
      </c>
      <c r="H41" s="247">
        <f t="shared" si="6"/>
        <v>2.7250000000000001</v>
      </c>
      <c r="I41" s="239">
        <f>I4+I14+I23+I39</f>
        <v>-13.946519999999985</v>
      </c>
    </row>
    <row r="42" spans="4:9" x14ac:dyDescent="0.35">
      <c r="D42" s="237" t="s">
        <v>275</v>
      </c>
      <c r="E42" s="247">
        <f>(BDBG!$H$381)/1000</f>
        <v>7.8650500000000001</v>
      </c>
      <c r="F42" s="247">
        <f>BDBG!$H$327/1000</f>
        <v>7.1302500000000002</v>
      </c>
      <c r="G42" s="247">
        <f>BDBG!$H$489/1000</f>
        <v>2.9091799999999997</v>
      </c>
      <c r="H42" s="247">
        <f>(BDBG!$H$435+BDBG!$H$436)/1000</f>
        <v>0.30780000000000002</v>
      </c>
      <c r="I42" s="239">
        <f>SUM(E42,F42,G42,H42)</f>
        <v>18.21228</v>
      </c>
    </row>
    <row r="43" spans="4:9" x14ac:dyDescent="0.35">
      <c r="D43" s="237" t="s">
        <v>276</v>
      </c>
      <c r="E43" s="247">
        <f t="shared" ref="E43" si="7">SUM(E41:E42)</f>
        <v>-16.284990000000004</v>
      </c>
      <c r="F43" s="247">
        <f>SUM(F41:F42)</f>
        <v>16.062250000000002</v>
      </c>
      <c r="G43" s="247">
        <f t="shared" ref="G43:H43" si="8">SUM(G41:G42)</f>
        <v>1.4556999999999998</v>
      </c>
      <c r="H43" s="247">
        <f t="shared" si="8"/>
        <v>3.0327999999999999</v>
      </c>
      <c r="I43" s="247">
        <f>SUM(I41:I42)</f>
        <v>4.2657600000000144</v>
      </c>
    </row>
    <row r="45" spans="4:9" x14ac:dyDescent="0.35">
      <c r="I45" s="253">
        <f>BG!$C$4</f>
        <v>0</v>
      </c>
    </row>
    <row r="46" spans="4:9" x14ac:dyDescent="0.35">
      <c r="I46" t="s">
        <v>284</v>
      </c>
    </row>
    <row r="50" spans="4:9" x14ac:dyDescent="0.35">
      <c r="D50" s="250"/>
      <c r="E50" s="235" t="s">
        <v>277</v>
      </c>
      <c r="F50" s="236"/>
      <c r="G50" s="236"/>
      <c r="H50" s="236"/>
      <c r="I50" s="236"/>
    </row>
    <row r="51" spans="4:9" ht="28.5" x14ac:dyDescent="0.35">
      <c r="D51" s="251" t="s">
        <v>278</v>
      </c>
      <c r="E51" s="238" t="s">
        <v>136</v>
      </c>
      <c r="F51" s="238" t="s">
        <v>268</v>
      </c>
      <c r="G51" s="238" t="s">
        <v>138</v>
      </c>
      <c r="H51" s="248" t="s">
        <v>139</v>
      </c>
      <c r="I51" s="238" t="s">
        <v>269</v>
      </c>
    </row>
    <row r="52" spans="4:9" x14ac:dyDescent="0.35">
      <c r="D52" s="235" t="s">
        <v>247</v>
      </c>
      <c r="E52" s="239">
        <f>(BDFE!F514+BDFE!F505)/1000</f>
        <v>-53.631160000000001</v>
      </c>
      <c r="F52" s="239">
        <f>(BDFE!F444+BDFE!F435)/1000</f>
        <v>-20.7791</v>
      </c>
      <c r="G52" s="239">
        <f>(BDFE!F654+BDFE!F645)/1000</f>
        <v>-1.2529999999999999</v>
      </c>
      <c r="H52" s="239">
        <f>(BDFE!F584+BDFE!F575)/1000</f>
        <v>-0.97499999999999998</v>
      </c>
      <c r="I52" s="239">
        <f>SUM(E52,F52,G52,H52)</f>
        <v>-76.638259999999988</v>
      </c>
    </row>
    <row r="53" spans="4:9" x14ac:dyDescent="0.35">
      <c r="D53" s="236"/>
      <c r="E53" s="240"/>
      <c r="F53" s="240"/>
      <c r="G53" s="240"/>
      <c r="H53" s="240"/>
      <c r="I53" s="240"/>
    </row>
    <row r="54" spans="4:9" x14ac:dyDescent="0.35">
      <c r="D54" s="235" t="s">
        <v>270</v>
      </c>
      <c r="E54" s="240"/>
      <c r="F54" s="240"/>
      <c r="G54" s="240"/>
      <c r="H54" s="240"/>
      <c r="I54" s="240"/>
    </row>
    <row r="55" spans="4:9" x14ac:dyDescent="0.35">
      <c r="D55" s="236" t="s">
        <v>196</v>
      </c>
      <c r="E55" s="241">
        <f>BDFE!$F$516/1000</f>
        <v>-15.00001</v>
      </c>
      <c r="F55" s="241">
        <f>(BDFE!$F$446)/1000</f>
        <v>0</v>
      </c>
      <c r="G55" s="241">
        <f>BDFE!$F$656/1000</f>
        <v>0</v>
      </c>
      <c r="H55" s="241">
        <f>BDFE!$F$586/1000</f>
        <v>0</v>
      </c>
      <c r="I55" s="241">
        <f t="shared" ref="I55:I61" si="9">SUM(E55,F55,G55,H55)</f>
        <v>-15.00001</v>
      </c>
    </row>
    <row r="56" spans="4:9" x14ac:dyDescent="0.35">
      <c r="D56" s="236" t="s">
        <v>197</v>
      </c>
      <c r="E56" s="242">
        <f>(BDFE!F517+BDFE!F518+BDFE!F519)/1000</f>
        <v>0</v>
      </c>
      <c r="F56" s="242">
        <f>(BDFE!F447+BDFE!F448+BDFE!F449)/1000</f>
        <v>0</v>
      </c>
      <c r="G56" s="242">
        <f>(BDFE!F657+BDFE!F658+BDFE!F659)/1000</f>
        <v>0</v>
      </c>
      <c r="H56" s="242">
        <f>(BDFE!F587+BDFE!F588+BDFE!F589)/1000</f>
        <v>0</v>
      </c>
      <c r="I56" s="242">
        <f t="shared" si="9"/>
        <v>0</v>
      </c>
    </row>
    <row r="57" spans="4:9" x14ac:dyDescent="0.35">
      <c r="D57" s="236" t="s">
        <v>198</v>
      </c>
      <c r="E57" s="242">
        <f>BDFE!$F$520/1000</f>
        <v>0</v>
      </c>
      <c r="F57" s="242">
        <f>BDFE!$F$450/1000</f>
        <v>0</v>
      </c>
      <c r="G57" s="242">
        <f>BDFE!$F$660/1000</f>
        <v>0</v>
      </c>
      <c r="H57" s="242">
        <f>BDFE!$F$590/1000</f>
        <v>0</v>
      </c>
      <c r="I57" s="242">
        <f t="shared" si="9"/>
        <v>0</v>
      </c>
    </row>
    <row r="58" spans="4:9" x14ac:dyDescent="0.35">
      <c r="D58" s="236" t="s">
        <v>199</v>
      </c>
      <c r="E58" s="242">
        <f>(BDFE!F521+BDFE!F522)/1000</f>
        <v>25.802520000000001</v>
      </c>
      <c r="F58" s="242">
        <f>(BDFE!F451+BDFE!F452)/1000</f>
        <v>-3.3245999999999998</v>
      </c>
      <c r="G58" s="242">
        <f>(BDFE!F661+BDFE!F662)/1000</f>
        <v>-0.20047999999999999</v>
      </c>
      <c r="H58" s="242">
        <f>(BDFE!F591+BDFE!F592)/1000</f>
        <v>0</v>
      </c>
      <c r="I58" s="242">
        <f t="shared" si="9"/>
        <v>22.277440000000002</v>
      </c>
    </row>
    <row r="59" spans="4:9" x14ac:dyDescent="0.35">
      <c r="D59" s="236" t="s">
        <v>222</v>
      </c>
      <c r="E59" s="242">
        <f>BDFE!$F$523/1000</f>
        <v>36.880489999999995</v>
      </c>
      <c r="F59" s="242">
        <f>BDFE!$F$453/1000</f>
        <v>0</v>
      </c>
      <c r="G59" s="242">
        <f>BDFE!$F$663/1000</f>
        <v>0</v>
      </c>
      <c r="H59" s="242">
        <f>BDFE!$F$593/1000</f>
        <v>0</v>
      </c>
      <c r="I59" s="242">
        <f t="shared" si="9"/>
        <v>36.880489999999995</v>
      </c>
    </row>
    <row r="60" spans="4:9" x14ac:dyDescent="0.35">
      <c r="D60" s="236" t="s">
        <v>248</v>
      </c>
      <c r="E60" s="242">
        <f>(BDFE!F524+BDFE!F525)/1000</f>
        <v>0</v>
      </c>
      <c r="F60" s="242">
        <f>(BDFE!F454 +BDFE!F455)/1000</f>
        <v>0</v>
      </c>
      <c r="G60" s="242">
        <f>(BDFE!F664+BDFE!F665)/1000</f>
        <v>0</v>
      </c>
      <c r="H60" s="242">
        <f>(BDFE!F594+BDFE!F595)/1000</f>
        <v>3.7</v>
      </c>
      <c r="I60" s="242">
        <f t="shared" si="9"/>
        <v>3.7</v>
      </c>
    </row>
    <row r="61" spans="4:9" x14ac:dyDescent="0.35">
      <c r="D61" s="236" t="s">
        <v>249</v>
      </c>
      <c r="E61" s="242">
        <f>(BDFE!F526+BDFE!F527+BDFE!F528+BDFE!F529)/1000</f>
        <v>-18.201879999999996</v>
      </c>
      <c r="F61" s="242">
        <f>(BDFE!$F$456+ BDFE!F457+BDFE!F458+BDFE!F459)/1000</f>
        <v>3.5700000000000003E-2</v>
      </c>
      <c r="G61" s="242">
        <f>(BDFE!F666+BDFE!F667+BDFE!F668+BDFE!F669)/1000</f>
        <v>0</v>
      </c>
      <c r="H61" s="242">
        <f>(BDFE!F596+BDFE!F597+BDFE!F598+BDFE!F599)/1000</f>
        <v>0</v>
      </c>
      <c r="I61" s="242">
        <f t="shared" si="9"/>
        <v>-18.166179999999997</v>
      </c>
    </row>
    <row r="62" spans="4:9" x14ac:dyDescent="0.35">
      <c r="D62" s="235" t="s">
        <v>270</v>
      </c>
      <c r="E62" s="239">
        <f>SUM(E55:E61)</f>
        <v>29.481119999999997</v>
      </c>
      <c r="F62" s="239">
        <f t="shared" ref="F62:H62" si="10">SUM(F55:F61)</f>
        <v>-3.2888999999999999</v>
      </c>
      <c r="G62" s="239">
        <f t="shared" si="10"/>
        <v>-0.20047999999999999</v>
      </c>
      <c r="H62" s="239">
        <f t="shared" si="10"/>
        <v>3.7</v>
      </c>
      <c r="I62" s="239">
        <f>SUM(I55:I61)</f>
        <v>29.691740000000003</v>
      </c>
    </row>
    <row r="63" spans="4:9" x14ac:dyDescent="0.35">
      <c r="D63" s="236"/>
      <c r="E63" s="243"/>
      <c r="F63" s="243"/>
      <c r="G63" s="243"/>
      <c r="H63" s="243"/>
      <c r="I63" s="243"/>
    </row>
    <row r="64" spans="4:9" x14ac:dyDescent="0.35">
      <c r="D64" s="235" t="s">
        <v>250</v>
      </c>
      <c r="E64" s="240"/>
      <c r="F64" s="240"/>
      <c r="G64" s="240"/>
      <c r="H64" s="240"/>
      <c r="I64" s="240"/>
    </row>
    <row r="65" spans="4:9" x14ac:dyDescent="0.35">
      <c r="D65" s="236" t="s">
        <v>251</v>
      </c>
      <c r="E65" s="241">
        <f>BDFE!$F$532/1000</f>
        <v>0</v>
      </c>
      <c r="F65" s="241">
        <f>BDFE!$F$462/1000</f>
        <v>0</v>
      </c>
      <c r="G65" s="241">
        <f>BDFE!$F$672/1000</f>
        <v>0</v>
      </c>
      <c r="H65" s="241">
        <f>BDFE!$F$602/1000</f>
        <v>0</v>
      </c>
      <c r="I65" s="241">
        <f t="shared" ref="I65:I70" si="11">SUM(E65,F65,G65,H65)</f>
        <v>0</v>
      </c>
    </row>
    <row r="66" spans="4:9" x14ac:dyDescent="0.35">
      <c r="D66" s="236" t="s">
        <v>252</v>
      </c>
      <c r="E66" s="242">
        <f>BDFE!$F$533/1000</f>
        <v>0</v>
      </c>
      <c r="F66" s="242">
        <f>BDFE!$F$463/1000</f>
        <v>33</v>
      </c>
      <c r="G66" s="242">
        <f>BDFE!$F$673/1000</f>
        <v>0</v>
      </c>
      <c r="H66" s="242">
        <f>BDFE!F603/1000</f>
        <v>0</v>
      </c>
      <c r="I66" s="242">
        <f t="shared" si="11"/>
        <v>33</v>
      </c>
    </row>
    <row r="67" spans="4:9" x14ac:dyDescent="0.35">
      <c r="D67" s="236" t="s">
        <v>237</v>
      </c>
      <c r="E67" s="242">
        <f>BDFE!$F$534/1000</f>
        <v>0</v>
      </c>
      <c r="F67" s="242">
        <f>BDFE!$F$464/1000</f>
        <v>0</v>
      </c>
      <c r="G67" s="242">
        <f>BDFE!$F$674/1000</f>
        <v>0</v>
      </c>
      <c r="H67" s="242">
        <f>BDFE!F604/1000</f>
        <v>0</v>
      </c>
      <c r="I67" s="242">
        <f t="shared" si="11"/>
        <v>0</v>
      </c>
    </row>
    <row r="68" spans="4:9" x14ac:dyDescent="0.35">
      <c r="D68" s="236" t="s">
        <v>253</v>
      </c>
      <c r="E68" s="242">
        <f>BDFE!$F$535/1000</f>
        <v>0</v>
      </c>
      <c r="F68" s="242">
        <f>BDFE!$F$465/1000</f>
        <v>0</v>
      </c>
      <c r="G68" s="242">
        <f>BDFE!$F$675/1000</f>
        <v>0</v>
      </c>
      <c r="H68" s="242">
        <f>BDFE!F605/1000</f>
        <v>0</v>
      </c>
      <c r="I68" s="242">
        <f t="shared" si="11"/>
        <v>0</v>
      </c>
    </row>
    <row r="69" spans="4:9" x14ac:dyDescent="0.35">
      <c r="D69" s="236" t="s">
        <v>271</v>
      </c>
      <c r="E69" s="242">
        <f>(BDFE!F536+BDFE!F537)/1000</f>
        <v>0</v>
      </c>
      <c r="F69" s="242">
        <f>(BDFE!F466+BDFE!F467)/1000</f>
        <v>0</v>
      </c>
      <c r="G69" s="242">
        <f>(BDFE!F676+BDFE!F677)/1000</f>
        <v>0</v>
      </c>
      <c r="H69" s="242">
        <f>(BDFE!F606+BDFE!F607)/1000</f>
        <v>0</v>
      </c>
      <c r="I69" s="242">
        <f t="shared" si="11"/>
        <v>0</v>
      </c>
    </row>
    <row r="70" spans="4:9" x14ac:dyDescent="0.35">
      <c r="D70" s="236" t="s">
        <v>254</v>
      </c>
      <c r="E70" s="242">
        <f>BDFE!$F$538/1000</f>
        <v>0</v>
      </c>
      <c r="F70" s="242">
        <f>BDFE!F468/1000</f>
        <v>0</v>
      </c>
      <c r="G70" s="242">
        <f>BDFE!$F$678/1000</f>
        <v>0</v>
      </c>
      <c r="H70" s="242">
        <f>BDFE!$F$608/1000</f>
        <v>0</v>
      </c>
      <c r="I70" s="242">
        <f t="shared" si="11"/>
        <v>0</v>
      </c>
    </row>
    <row r="71" spans="4:9" x14ac:dyDescent="0.35">
      <c r="D71" s="235" t="s">
        <v>255</v>
      </c>
      <c r="E71" s="239">
        <f>SUM(E65:E70)</f>
        <v>0</v>
      </c>
      <c r="F71" s="239">
        <f t="shared" ref="F71:I71" si="12">SUM(F65:F70)</f>
        <v>33</v>
      </c>
      <c r="G71" s="239">
        <f t="shared" si="12"/>
        <v>0</v>
      </c>
      <c r="H71" s="239">
        <f t="shared" si="12"/>
        <v>0</v>
      </c>
      <c r="I71" s="239">
        <f t="shared" si="12"/>
        <v>33</v>
      </c>
    </row>
    <row r="72" spans="4:9" x14ac:dyDescent="0.35">
      <c r="D72" s="235"/>
      <c r="E72" s="244"/>
      <c r="F72" s="244"/>
      <c r="G72" s="244"/>
      <c r="H72" s="244"/>
      <c r="I72" s="244"/>
    </row>
    <row r="73" spans="4:9" x14ac:dyDescent="0.35">
      <c r="D73" s="235" t="s">
        <v>256</v>
      </c>
      <c r="E73" s="252"/>
      <c r="F73" s="252"/>
      <c r="G73" s="252"/>
      <c r="H73" s="252"/>
      <c r="I73" s="252"/>
    </row>
    <row r="74" spans="4:9" x14ac:dyDescent="0.35">
      <c r="D74" s="236" t="s">
        <v>204</v>
      </c>
      <c r="E74" s="241">
        <f>BDFE!$F$541/1000</f>
        <v>0</v>
      </c>
      <c r="F74" s="241">
        <f>BDFE!$F$471/1000</f>
        <v>0</v>
      </c>
      <c r="G74" s="241">
        <f>BDFE!$F$681/1000</f>
        <v>0</v>
      </c>
      <c r="H74" s="241">
        <f>BDFE!$F$611/1000</f>
        <v>0</v>
      </c>
      <c r="I74" s="242">
        <f t="shared" ref="I74:I86" si="13">SUM(E74,F74,G74,H74)</f>
        <v>0</v>
      </c>
    </row>
    <row r="75" spans="4:9" x14ac:dyDescent="0.35">
      <c r="D75" s="236" t="s">
        <v>208</v>
      </c>
      <c r="E75" s="242">
        <f>BDFE!$F$543/1000</f>
        <v>0</v>
      </c>
      <c r="F75" s="242">
        <f>BDFE!$F$473/1000</f>
        <v>0</v>
      </c>
      <c r="G75" s="242">
        <f>BDFE!$F$683/1000</f>
        <v>0</v>
      </c>
      <c r="H75" s="242">
        <f>BDFE!$F$613/1000</f>
        <v>0</v>
      </c>
      <c r="I75" s="242">
        <f t="shared" si="13"/>
        <v>0</v>
      </c>
    </row>
    <row r="76" spans="4:9" x14ac:dyDescent="0.35">
      <c r="D76" s="236" t="s">
        <v>207</v>
      </c>
      <c r="E76" s="242">
        <f>BDFE!$F$545/1000</f>
        <v>0</v>
      </c>
      <c r="F76" s="242">
        <f>BDFE!$F$475/1000</f>
        <v>0</v>
      </c>
      <c r="G76" s="242">
        <f>BDFE!$F$685/1000</f>
        <v>0</v>
      </c>
      <c r="H76" s="242">
        <f>BDFE!$F$615/1000</f>
        <v>0</v>
      </c>
      <c r="I76" s="242">
        <f t="shared" si="13"/>
        <v>0</v>
      </c>
    </row>
    <row r="77" spans="4:9" x14ac:dyDescent="0.35">
      <c r="D77" s="236" t="s">
        <v>206</v>
      </c>
      <c r="E77" s="242">
        <f>BDFE!$F$547/1000</f>
        <v>0</v>
      </c>
      <c r="F77" s="242">
        <f>BDFE!$F$477/1000</f>
        <v>0</v>
      </c>
      <c r="G77" s="242">
        <f>BDFE!$F$687/1000</f>
        <v>0</v>
      </c>
      <c r="H77" s="242">
        <f>BDFE!$F$617/1000</f>
        <v>0</v>
      </c>
      <c r="I77" s="242">
        <f t="shared" si="13"/>
        <v>0</v>
      </c>
    </row>
    <row r="78" spans="4:9" x14ac:dyDescent="0.35">
      <c r="D78" s="236" t="s">
        <v>257</v>
      </c>
      <c r="E78" s="242">
        <f>BDFE!$F$549/1000</f>
        <v>0</v>
      </c>
      <c r="F78" s="242">
        <f>BDFE!$F$479/1000</f>
        <v>0</v>
      </c>
      <c r="G78" s="242">
        <f>BDFE!$F$689/1000</f>
        <v>0</v>
      </c>
      <c r="H78" s="242">
        <f>BDFE!$F$619/1000</f>
        <v>0</v>
      </c>
      <c r="I78" s="242">
        <f t="shared" si="13"/>
        <v>0</v>
      </c>
    </row>
    <row r="79" spans="4:9" x14ac:dyDescent="0.35">
      <c r="D79" s="236" t="s">
        <v>272</v>
      </c>
      <c r="E79" s="242">
        <f>BDFE!$F$551/1000</f>
        <v>0</v>
      </c>
      <c r="F79" s="242">
        <f>BDFE!$F$481/1000</f>
        <v>0</v>
      </c>
      <c r="G79" s="242">
        <f>BDFE!$F$691/1000</f>
        <v>0</v>
      </c>
      <c r="H79" s="242">
        <f>BDFE!$F$621/1000</f>
        <v>0</v>
      </c>
      <c r="I79" s="242">
        <f t="shared" si="13"/>
        <v>0</v>
      </c>
    </row>
    <row r="80" spans="4:9" x14ac:dyDescent="0.35">
      <c r="D80" s="236" t="s">
        <v>273</v>
      </c>
      <c r="E80" s="242">
        <f>BDFE!$F$553/1000</f>
        <v>0</v>
      </c>
      <c r="F80" s="242">
        <f>BDFE!$F$483/1000</f>
        <v>0</v>
      </c>
      <c r="G80" s="242">
        <f>BDFE!$F$693/1000</f>
        <v>0</v>
      </c>
      <c r="H80" s="242">
        <f>BDFE!$F$623/1000</f>
        <v>0</v>
      </c>
      <c r="I80" s="242">
        <f t="shared" si="13"/>
        <v>0</v>
      </c>
    </row>
    <row r="81" spans="4:9" hidden="1" x14ac:dyDescent="0.35">
      <c r="D81" s="236" t="s">
        <v>274</v>
      </c>
      <c r="E81" s="242">
        <f>BDFE!$F$555/1000</f>
        <v>0</v>
      </c>
      <c r="F81" s="242">
        <f>BDFE!$F$485/1000</f>
        <v>0</v>
      </c>
      <c r="G81" s="242">
        <f>BDFE!$F$695/1000</f>
        <v>0</v>
      </c>
      <c r="H81" s="242">
        <f>BDFE!$F$625/1000</f>
        <v>0</v>
      </c>
      <c r="I81" s="242">
        <f t="shared" si="13"/>
        <v>0</v>
      </c>
    </row>
    <row r="82" spans="4:9" hidden="1" x14ac:dyDescent="0.35">
      <c r="D82" s="236" t="s">
        <v>258</v>
      </c>
      <c r="E82" s="242">
        <f>BDFE!$F$557/1000</f>
        <v>0</v>
      </c>
      <c r="F82" s="242">
        <f>BDFE!$F$487/1000</f>
        <v>0</v>
      </c>
      <c r="G82" s="242">
        <f>BDFE!$F$697/1000</f>
        <v>0</v>
      </c>
      <c r="H82" s="242">
        <f>BDFE!$F$627/1000</f>
        <v>0</v>
      </c>
      <c r="I82" s="242">
        <f t="shared" si="13"/>
        <v>0</v>
      </c>
    </row>
    <row r="83" spans="4:9" hidden="1" x14ac:dyDescent="0.35">
      <c r="D83" s="236" t="s">
        <v>259</v>
      </c>
      <c r="E83" s="242">
        <f>BDFE!$F$559/1000</f>
        <v>0</v>
      </c>
      <c r="F83" s="242">
        <f>BDFE!$F$489/1000</f>
        <v>0</v>
      </c>
      <c r="G83" s="242">
        <f>BDFE!$F$699/1000</f>
        <v>0</v>
      </c>
      <c r="H83" s="242">
        <f>BDFE!$F$629/1000</f>
        <v>0</v>
      </c>
      <c r="I83" s="242">
        <f t="shared" si="13"/>
        <v>0</v>
      </c>
    </row>
    <row r="84" spans="4:9" hidden="1" x14ac:dyDescent="0.35">
      <c r="D84" s="236" t="s">
        <v>260</v>
      </c>
      <c r="E84" s="242">
        <f>BDFE!$F$562/1000</f>
        <v>0</v>
      </c>
      <c r="F84" s="242">
        <f>BDFE!$F$492/1000</f>
        <v>0</v>
      </c>
      <c r="G84" s="242">
        <f>BDFE!$F$702/1000</f>
        <v>0</v>
      </c>
      <c r="H84" s="242">
        <f>BDFE!$F$632/1000</f>
        <v>0</v>
      </c>
      <c r="I84" s="242">
        <f t="shared" si="13"/>
        <v>0</v>
      </c>
    </row>
    <row r="85" spans="4:9" x14ac:dyDescent="0.35">
      <c r="D85" s="236" t="s">
        <v>261</v>
      </c>
      <c r="E85" s="242">
        <f>BDFE!$F$563/1000</f>
        <v>0</v>
      </c>
      <c r="F85" s="242">
        <f>BDFE!$F$493/1000</f>
        <v>0</v>
      </c>
      <c r="G85" s="242">
        <f>BDFE!$F$703/1000</f>
        <v>0</v>
      </c>
      <c r="H85" s="242">
        <f>BDFE!$F$633/1000</f>
        <v>0</v>
      </c>
      <c r="I85" s="242">
        <f t="shared" si="13"/>
        <v>0</v>
      </c>
    </row>
    <row r="86" spans="4:9" x14ac:dyDescent="0.35">
      <c r="D86" s="236" t="s">
        <v>10</v>
      </c>
      <c r="E86" s="245">
        <f>(BDFE!F542+BDFE!F544+BDFE!F546+BDFE!F548+BDFE!F550+BDFE!F552+BDFE!F554+BDFE!F556+BDFE!F558+BDFE!F560-BDFE!F505)/1000</f>
        <v>0</v>
      </c>
      <c r="F86" s="245">
        <f>(BDFE!F472+BDFE!F474+BDFE!F476+BDFE!F478+BDFE!F480+BDFE!F482+BDFE!F484+BDFE!F486+BDFE!F488+BDFE!F490-BDFE!F435)/1000</f>
        <v>0</v>
      </c>
      <c r="G86" s="245">
        <f>(BDFE!F682+BDFE!F684+BDFE!F686+BDFE!F688+BDFE!F690+BDFE!F692+BDFE!F694+BDFE!F696+BDFE!F698+BDFE!F700-BDFE!F645)/1000</f>
        <v>0</v>
      </c>
      <c r="H86" s="245">
        <f>(BDFE!F612+BDFE!F614+BDFE!F616+BDFE!F618+BDFE!F620+BDFE!F622+BDFE!F624+BDFE!F626+BDFE!F628+BDFE!F630-BDFE!F575)/1000</f>
        <v>0</v>
      </c>
      <c r="I86" s="245">
        <f t="shared" si="13"/>
        <v>0</v>
      </c>
    </row>
    <row r="87" spans="4:9" x14ac:dyDescent="0.35">
      <c r="D87" s="235" t="s">
        <v>262</v>
      </c>
      <c r="E87" s="239">
        <f>SUM(E74:E86)</f>
        <v>0</v>
      </c>
      <c r="F87" s="239">
        <f>SUM(F74:F86)</f>
        <v>0</v>
      </c>
      <c r="G87" s="239">
        <f>SUM(G74:G86)</f>
        <v>0</v>
      </c>
      <c r="H87" s="239">
        <f>SUM(H74:H86)</f>
        <v>0</v>
      </c>
      <c r="I87" s="239">
        <f>SUM(I74:I86)</f>
        <v>0</v>
      </c>
    </row>
    <row r="88" spans="4:9" x14ac:dyDescent="0.35">
      <c r="D88" s="236"/>
      <c r="E88" s="246"/>
      <c r="F88" s="246"/>
      <c r="G88" s="246"/>
      <c r="H88" s="246"/>
      <c r="I88" s="246"/>
    </row>
    <row r="89" spans="4:9" x14ac:dyDescent="0.35">
      <c r="D89" s="235" t="s">
        <v>263</v>
      </c>
      <c r="E89" s="247">
        <f>E52+E62+E71+E87</f>
        <v>-24.150040000000004</v>
      </c>
      <c r="F89" s="247">
        <f>F52+F62+F71+F87</f>
        <v>8.9320000000000022</v>
      </c>
      <c r="G89" s="247">
        <f t="shared" ref="G89" si="14">G52+G62+G71+G87</f>
        <v>-1.4534799999999999</v>
      </c>
      <c r="H89" s="247">
        <f>H52+H62+H71+H87</f>
        <v>2.7250000000000001</v>
      </c>
      <c r="I89" s="239">
        <f>I52+I62+I71+I87</f>
        <v>-13.946519999999985</v>
      </c>
    </row>
    <row r="90" spans="4:9" x14ac:dyDescent="0.35">
      <c r="D90" s="237" t="s">
        <v>275</v>
      </c>
      <c r="E90" s="247">
        <f>BDBG!$I$381/1000</f>
        <v>7.8650500000000001</v>
      </c>
      <c r="F90" s="247">
        <f>BDBG!$I$327/1000</f>
        <v>7.1302500000000002</v>
      </c>
      <c r="G90" s="247">
        <f>BDBG!$I$489/1000</f>
        <v>2.9091799999999997</v>
      </c>
      <c r="H90" s="247">
        <f>(BDBG!$I$435+BDBG!$I$436)/1000</f>
        <v>0.30780000000000002</v>
      </c>
      <c r="I90" s="239">
        <f t="shared" ref="I90" si="15">SUM(E90,F90,G90,H90)</f>
        <v>18.21228</v>
      </c>
    </row>
    <row r="91" spans="4:9" x14ac:dyDescent="0.35">
      <c r="D91" s="237" t="s">
        <v>276</v>
      </c>
      <c r="E91" s="247">
        <f t="shared" ref="E91" si="16">SUM(E89:E90)</f>
        <v>-16.284990000000004</v>
      </c>
      <c r="F91" s="247">
        <f>SUM(F89:F90)</f>
        <v>16.062250000000002</v>
      </c>
      <c r="G91" s="247">
        <f t="shared" ref="G91:I91" si="17">SUM(G89:G90)</f>
        <v>1.4556999999999998</v>
      </c>
      <c r="H91" s="247">
        <f t="shared" si="17"/>
        <v>3.0327999999999999</v>
      </c>
      <c r="I91" s="247">
        <f t="shared" si="17"/>
        <v>4.2657600000000144</v>
      </c>
    </row>
    <row r="93" spans="4:9" x14ac:dyDescent="0.35">
      <c r="H93" s="183"/>
      <c r="I93" s="253"/>
    </row>
    <row r="97" spans="3:11" x14ac:dyDescent="0.35">
      <c r="C97" t="s">
        <v>280</v>
      </c>
      <c r="E97">
        <v>201</v>
      </c>
      <c r="F97">
        <v>202</v>
      </c>
      <c r="G97">
        <v>203</v>
      </c>
      <c r="H97">
        <v>204</v>
      </c>
      <c r="I97">
        <v>208</v>
      </c>
      <c r="J97">
        <v>602</v>
      </c>
    </row>
    <row r="98" spans="3:11" x14ac:dyDescent="0.35">
      <c r="D98" s="235" t="s">
        <v>267</v>
      </c>
      <c r="E98" s="235" t="s">
        <v>106</v>
      </c>
      <c r="F98" s="236"/>
      <c r="G98" s="236"/>
      <c r="H98" s="236"/>
      <c r="I98" s="236"/>
      <c r="J98" s="236"/>
      <c r="K98" s="236"/>
    </row>
    <row r="99" spans="3:11" x14ac:dyDescent="0.35">
      <c r="D99" s="236"/>
      <c r="E99" s="238" t="s">
        <v>281</v>
      </c>
      <c r="F99" s="238" t="s">
        <v>145</v>
      </c>
      <c r="G99" s="238" t="s">
        <v>146</v>
      </c>
      <c r="H99" s="248" t="s">
        <v>147</v>
      </c>
      <c r="I99" s="238" t="s">
        <v>148</v>
      </c>
      <c r="J99" s="238" t="s">
        <v>282</v>
      </c>
      <c r="K99" s="238" t="s">
        <v>140</v>
      </c>
    </row>
    <row r="100" spans="3:11" x14ac:dyDescent="0.35">
      <c r="D100" s="235" t="s">
        <v>247</v>
      </c>
      <c r="E100" s="239">
        <f>(BDFE!C22+BDFE!C11)/1000</f>
        <v>3179.7450299999996</v>
      </c>
      <c r="F100" s="239">
        <f>(BDFE!C93+BDFE!C82)/1000</f>
        <v>1129.3173400000001</v>
      </c>
      <c r="G100" s="239">
        <f>(BDFE!C164+BDFE!C153)/1000</f>
        <v>395.67516000000001</v>
      </c>
      <c r="H100" s="239">
        <f>(BDFE!C235+BDFE!C224)/1000</f>
        <v>216.25283000000002</v>
      </c>
      <c r="I100" s="239">
        <f>(BDFE!C306+BDFE!C295)/1000</f>
        <v>-44.401290000000003</v>
      </c>
      <c r="J100" s="239">
        <f>(BDFE!C377+BDFE!C366)/1000</f>
        <v>63.64537</v>
      </c>
      <c r="K100" s="239">
        <f>SUM(E100,F100,G100,H100,I100,J100)</f>
        <v>4940.2344400000002</v>
      </c>
    </row>
    <row r="101" spans="3:11" x14ac:dyDescent="0.35">
      <c r="D101" s="236"/>
      <c r="E101" s="240"/>
      <c r="F101" s="240"/>
      <c r="G101" s="240"/>
      <c r="H101" s="240"/>
      <c r="I101" s="240"/>
      <c r="J101" s="240"/>
      <c r="K101" s="240"/>
    </row>
    <row r="102" spans="3:11" x14ac:dyDescent="0.35">
      <c r="D102" s="235" t="s">
        <v>270</v>
      </c>
      <c r="E102" s="240"/>
      <c r="F102" s="240"/>
      <c r="G102" s="240"/>
      <c r="H102" s="240"/>
      <c r="I102" s="240"/>
      <c r="J102" s="240"/>
      <c r="K102" s="240"/>
    </row>
    <row r="103" spans="3:11" x14ac:dyDescent="0.35">
      <c r="D103" s="236" t="s">
        <v>196</v>
      </c>
      <c r="E103" s="241">
        <f>BDFE!$C$25/1000</f>
        <v>0</v>
      </c>
      <c r="F103" s="241">
        <f>BDFE!$C$96/1000</f>
        <v>482.56084999999996</v>
      </c>
      <c r="G103" s="241">
        <f>BDFE!$C$167/1000</f>
        <v>5765.4099299999998</v>
      </c>
      <c r="H103" s="241">
        <f>(BDFE!$C$238)/1000</f>
        <v>304.69158000000004</v>
      </c>
      <c r="I103" s="241">
        <f>BDFE!$C$309/1000</f>
        <v>164.98335999999998</v>
      </c>
      <c r="J103" s="241">
        <f>BDFE!$C$380/1000</f>
        <v>-38.522320000000001</v>
      </c>
      <c r="K103" s="241">
        <f>SUM(E103,F103,G103,H103,I103,J103)</f>
        <v>6679.1233999999995</v>
      </c>
    </row>
    <row r="104" spans="3:11" x14ac:dyDescent="0.35">
      <c r="D104" s="236" t="s">
        <v>197</v>
      </c>
      <c r="E104" s="242">
        <f>(BDFE!C26+BDFE!C27)/1000</f>
        <v>-4849.5024299999995</v>
      </c>
      <c r="F104" s="242">
        <f>(BDFE!C97+BDFE!C98)/1000</f>
        <v>172.10772</v>
      </c>
      <c r="G104" s="242">
        <f>(BDFE!C168+BDFE!C169)/1000</f>
        <v>-499.40868</v>
      </c>
      <c r="H104" s="242">
        <f>(BDFE!C239+BDFE!C240)/1000</f>
        <v>1469.3826200000001</v>
      </c>
      <c r="I104" s="242">
        <f>(BDFE!C310+BDFE!C311)/1000</f>
        <v>2.8000000000000003E-4</v>
      </c>
      <c r="J104" s="242">
        <f>(BDFE!C381+BDFE!C382)/1000</f>
        <v>0</v>
      </c>
      <c r="K104" s="242">
        <f t="shared" ref="K104:K109" si="18">SUM(E104,F104,G104,H104,I104,J104)</f>
        <v>-3707.4204899999986</v>
      </c>
    </row>
    <row r="105" spans="3:11" x14ac:dyDescent="0.35">
      <c r="D105" s="236" t="s">
        <v>198</v>
      </c>
      <c r="E105" s="242">
        <f>BDFE!$C$28/1000</f>
        <v>437.24230999999997</v>
      </c>
      <c r="F105" s="242">
        <f>BDFE!$C$99/1000</f>
        <v>0</v>
      </c>
      <c r="G105" s="242">
        <f>BDFE!$C$170/1000</f>
        <v>1038.80673</v>
      </c>
      <c r="H105" s="242">
        <f>BDFE!$C$241/1000</f>
        <v>0</v>
      </c>
      <c r="I105" s="242">
        <f>BDFE!$C$312/1000</f>
        <v>0</v>
      </c>
      <c r="J105" s="242">
        <f>BDFE!$C$383/1000</f>
        <v>0</v>
      </c>
      <c r="K105" s="242">
        <f t="shared" si="18"/>
        <v>1476.0490399999999</v>
      </c>
    </row>
    <row r="106" spans="3:11" x14ac:dyDescent="0.35">
      <c r="D106" s="236" t="s">
        <v>199</v>
      </c>
      <c r="E106" s="242">
        <f>(BDFE!C29+BDFE!C30)/1000</f>
        <v>1463.2505199999998</v>
      </c>
      <c r="F106" s="242">
        <f>(BDFE!C100+BDFE!C101)/1000</f>
        <v>-1638.48972</v>
      </c>
      <c r="G106" s="242">
        <f>(BDFE!C171+BDFE!C172)/1000</f>
        <v>-3282.2641200000003</v>
      </c>
      <c r="H106" s="242">
        <f>(BDFE!C242+BDFE!C243)/1000</f>
        <v>-331.79109999999997</v>
      </c>
      <c r="I106" s="242">
        <f>(BDFE!C313+BDFE!C314)/1000</f>
        <v>-31.703389999999999</v>
      </c>
      <c r="J106" s="242">
        <f>(BDFE!C384+BDFE!C385)/1000</f>
        <v>-27.8644</v>
      </c>
      <c r="K106" s="242">
        <f t="shared" si="18"/>
        <v>-3848.8622100000007</v>
      </c>
    </row>
    <row r="107" spans="3:11" x14ac:dyDescent="0.35">
      <c r="D107" s="236" t="s">
        <v>222</v>
      </c>
      <c r="E107" s="242">
        <f>BDFE!$C$31/1000</f>
        <v>-2596.9749999999999</v>
      </c>
      <c r="F107" s="242">
        <f>BDFE!$C$102/1000</f>
        <v>0</v>
      </c>
      <c r="G107" s="242">
        <f>BDFE!$C$173/1000</f>
        <v>-3857.8053399999999</v>
      </c>
      <c r="H107" s="242">
        <f>BDFE!$C$244/1000</f>
        <v>0</v>
      </c>
      <c r="I107" s="242">
        <f>BDFE!$C$315/1000</f>
        <v>0</v>
      </c>
      <c r="J107" s="242">
        <f>BDFE!$C$386/1000</f>
        <v>0</v>
      </c>
      <c r="K107" s="242">
        <f t="shared" si="18"/>
        <v>-6454.7803399999993</v>
      </c>
    </row>
    <row r="108" spans="3:11" x14ac:dyDescent="0.35">
      <c r="D108" s="236" t="s">
        <v>248</v>
      </c>
      <c r="E108" s="242">
        <f>(BDFE!C32+BDFE!C33)/1000</f>
        <v>-1934.5489399999999</v>
      </c>
      <c r="F108" s="242">
        <f>(BDFE!C103+BDFE!C104)/1000</f>
        <v>1870.41077</v>
      </c>
      <c r="G108" s="242">
        <f>(BDFE!C174+BDFE!C175)/1000</f>
        <v>5016.4482099999996</v>
      </c>
      <c r="H108" s="242">
        <f>(BDFE!C245+BDFE!C246)/1000</f>
        <v>-336.65777000000003</v>
      </c>
      <c r="I108" s="242">
        <f>(BDFE!C316+BDFE!C317)/1000</f>
        <v>-57.430949999999996</v>
      </c>
      <c r="J108" s="242">
        <f>(BDFE!C387+BDFE!C388)/1000</f>
        <v>40.53378</v>
      </c>
      <c r="K108" s="242">
        <f t="shared" si="18"/>
        <v>4598.7550999999994</v>
      </c>
    </row>
    <row r="109" spans="3:11" x14ac:dyDescent="0.35">
      <c r="D109" s="236" t="s">
        <v>249</v>
      </c>
      <c r="E109" s="242">
        <f>(BDFE!C34+BDFE!C35+BDFE!C36)/1000</f>
        <v>-1526.925</v>
      </c>
      <c r="F109" s="242">
        <f>(BDFE!C105+BDFE!C106+BDFE!C107)/1000</f>
        <v>-212.16531000000001</v>
      </c>
      <c r="G109" s="242">
        <f>(BDFE!C176+BDFE!C177+BDFE!C178)/1000</f>
        <v>-1909.5011500000001</v>
      </c>
      <c r="H109" s="242">
        <f>(BDFE!C247+BDFE!C248+BDFE!C249)/1000</f>
        <v>-1165.3611799999999</v>
      </c>
      <c r="I109" s="242">
        <f>(BDFE!C318+BDFE!C319+BDFE!C320)/1000</f>
        <v>-6.5963800000000008</v>
      </c>
      <c r="J109" s="242">
        <f>(BDFE!C389+BDFE!C390+BDFE!C391)/1000</f>
        <v>16.323719999999998</v>
      </c>
      <c r="K109" s="242">
        <f t="shared" si="18"/>
        <v>-4804.2252999999992</v>
      </c>
    </row>
    <row r="110" spans="3:11" x14ac:dyDescent="0.35">
      <c r="D110" s="235" t="s">
        <v>270</v>
      </c>
      <c r="E110" s="239">
        <f>SUM(E103:E109)</f>
        <v>-9007.4585399999996</v>
      </c>
      <c r="F110" s="239">
        <f>SUM(F103:F109)</f>
        <v>674.42430999999988</v>
      </c>
      <c r="G110" s="239">
        <f t="shared" ref="G110:I110" si="19">SUM(G103:G109)</f>
        <v>2271.6855799999994</v>
      </c>
      <c r="H110" s="239">
        <f>SUM(H103:H109)</f>
        <v>-59.7358499999998</v>
      </c>
      <c r="I110" s="239">
        <f t="shared" si="19"/>
        <v>69.252919999999975</v>
      </c>
      <c r="J110" s="239">
        <f t="shared" ref="J110:K110" si="20">SUM(J103:J109)</f>
        <v>-9.5292199999999987</v>
      </c>
      <c r="K110" s="239">
        <f t="shared" si="20"/>
        <v>-6061.3607999999986</v>
      </c>
    </row>
    <row r="111" spans="3:11" x14ac:dyDescent="0.35">
      <c r="D111" s="236"/>
      <c r="E111" s="243"/>
      <c r="F111" s="243"/>
      <c r="G111" s="243"/>
      <c r="H111" s="243"/>
      <c r="I111" s="243"/>
      <c r="J111" s="243"/>
      <c r="K111" s="243"/>
    </row>
    <row r="112" spans="3:11" x14ac:dyDescent="0.35">
      <c r="D112" s="235" t="s">
        <v>250</v>
      </c>
      <c r="E112" s="240"/>
      <c r="F112" s="240"/>
      <c r="G112" s="240"/>
      <c r="H112" s="240"/>
      <c r="I112" s="240"/>
      <c r="J112" s="240"/>
      <c r="K112" s="240"/>
    </row>
    <row r="113" spans="4:11" x14ac:dyDescent="0.35">
      <c r="D113" s="236" t="s">
        <v>251</v>
      </c>
      <c r="E113" s="241">
        <f>BDFE!$C$39/1000</f>
        <v>3748.9577799999997</v>
      </c>
      <c r="F113" s="241">
        <f>BDFE!$C$110/1000</f>
        <v>0</v>
      </c>
      <c r="G113" s="241">
        <f>BDFE!$C$181/1000</f>
        <v>-107.66146000000001</v>
      </c>
      <c r="H113" s="241">
        <f>BDFE!$C$252/1000</f>
        <v>0</v>
      </c>
      <c r="I113" s="241">
        <f>BDFE!$C$323/1000</f>
        <v>0</v>
      </c>
      <c r="J113" s="241">
        <f>BDFE!$C$394/1000</f>
        <v>0</v>
      </c>
      <c r="K113" s="241">
        <f t="shared" ref="K113:K118" si="21">SUM(E113,F113,G113,H113,I113,J113)</f>
        <v>3641.2963199999999</v>
      </c>
    </row>
    <row r="114" spans="4:11" x14ac:dyDescent="0.35">
      <c r="D114" s="236" t="s">
        <v>252</v>
      </c>
      <c r="E114" s="242">
        <f>BDFE!$C$40/1000</f>
        <v>-2.3999999999999998E-4</v>
      </c>
      <c r="F114" s="242">
        <f>BDFE!$C$111/1000</f>
        <v>0</v>
      </c>
      <c r="G114" s="242">
        <f>BDFE!$C$182/1000</f>
        <v>0</v>
      </c>
      <c r="H114" s="242">
        <f>BDFE!$C$253/1000</f>
        <v>0</v>
      </c>
      <c r="I114" s="242">
        <f>BDFE!$C$324/1000</f>
        <v>0</v>
      </c>
      <c r="J114" s="242">
        <f>BDFE!$C$395/1000</f>
        <v>0</v>
      </c>
      <c r="K114" s="242">
        <f t="shared" si="21"/>
        <v>-2.3999999999999998E-4</v>
      </c>
    </row>
    <row r="115" spans="4:11" x14ac:dyDescent="0.35">
      <c r="D115" s="236" t="s">
        <v>237</v>
      </c>
      <c r="E115" s="242">
        <f>BDFE!$C$41/1000</f>
        <v>0</v>
      </c>
      <c r="F115" s="242">
        <f>BDFE!$C$112/1000</f>
        <v>0</v>
      </c>
      <c r="G115" s="242">
        <f>BDFE!$C$183/1000</f>
        <v>0</v>
      </c>
      <c r="H115" s="242">
        <f>BDFE!$C$254/1000</f>
        <v>0</v>
      </c>
      <c r="I115" s="242">
        <f>BDFE!$C$325/1000</f>
        <v>0</v>
      </c>
      <c r="J115" s="242">
        <f>BDFE!$C$396/1000</f>
        <v>0</v>
      </c>
      <c r="K115" s="242">
        <f t="shared" si="21"/>
        <v>0</v>
      </c>
    </row>
    <row r="116" spans="4:11" x14ac:dyDescent="0.35">
      <c r="D116" s="236" t="s">
        <v>253</v>
      </c>
      <c r="E116" s="242">
        <f>BDFE!$C$42/1000</f>
        <v>0</v>
      </c>
      <c r="F116" s="242">
        <f>BDFE!$C$113/1000</f>
        <v>0</v>
      </c>
      <c r="G116" s="242">
        <f>BDFE!$C$184/1000</f>
        <v>0</v>
      </c>
      <c r="H116" s="242">
        <f>BDFE!$C$255/1000</f>
        <v>0</v>
      </c>
      <c r="I116" s="242">
        <f>BDFE!$C$326/1000</f>
        <v>0</v>
      </c>
      <c r="J116" s="242">
        <f>BDFE!$C$397/1000</f>
        <v>0</v>
      </c>
      <c r="K116" s="242">
        <f t="shared" si="21"/>
        <v>0</v>
      </c>
    </row>
    <row r="117" spans="4:11" x14ac:dyDescent="0.35">
      <c r="D117" s="236" t="s">
        <v>271</v>
      </c>
      <c r="E117" s="242">
        <f>(BDFE!C43+BDFE!C44)/1000</f>
        <v>0</v>
      </c>
      <c r="F117" s="242">
        <f>(BDFE!C114+BDFE!C115)/1000</f>
        <v>0</v>
      </c>
      <c r="G117" s="242">
        <f>(BDFE!C185+BDFE!C186)/1000</f>
        <v>0</v>
      </c>
      <c r="H117" s="242">
        <f>(BDFE!C256+BDFE!C257)/1000</f>
        <v>0</v>
      </c>
      <c r="I117" s="242">
        <f>(BDFE!C327+BDFE!C328)/1000</f>
        <v>0</v>
      </c>
      <c r="J117" s="242">
        <f>(BDFE!C398+BDFE!C399)/1000</f>
        <v>0</v>
      </c>
      <c r="K117" s="242">
        <f t="shared" si="21"/>
        <v>0</v>
      </c>
    </row>
    <row r="118" spans="4:11" x14ac:dyDescent="0.35">
      <c r="D118" s="236" t="s">
        <v>254</v>
      </c>
      <c r="E118" s="242">
        <f>BDFE!$C$45/1000</f>
        <v>0</v>
      </c>
      <c r="F118" s="242">
        <f>BDFE!$C$116/1000</f>
        <v>0</v>
      </c>
      <c r="G118" s="242">
        <f>BDFE!$C$187/1000</f>
        <v>0</v>
      </c>
      <c r="H118" s="242">
        <f>BDFE!$C$258/1000</f>
        <v>0</v>
      </c>
      <c r="I118" s="245">
        <f>BDFE!$C$328/1000</f>
        <v>0</v>
      </c>
      <c r="J118" s="245">
        <f>BDFE!$C$399/1000</f>
        <v>0</v>
      </c>
      <c r="K118" s="245">
        <f t="shared" si="21"/>
        <v>0</v>
      </c>
    </row>
    <row r="119" spans="4:11" x14ac:dyDescent="0.35">
      <c r="D119" s="235" t="s">
        <v>255</v>
      </c>
      <c r="E119" s="239">
        <f>SUM(E113:E118)</f>
        <v>3748.9575399999999</v>
      </c>
      <c r="F119" s="239">
        <f>SUM(F113:F118)</f>
        <v>0</v>
      </c>
      <c r="G119" s="239">
        <f t="shared" ref="G119:H119" si="22">SUM(G113:G118)</f>
        <v>-107.66146000000001</v>
      </c>
      <c r="H119" s="239">
        <f t="shared" si="22"/>
        <v>0</v>
      </c>
      <c r="I119" s="239">
        <f>SUM(I113:I118)</f>
        <v>0</v>
      </c>
      <c r="J119" s="239">
        <f>SUM(J113:J118)</f>
        <v>0</v>
      </c>
      <c r="K119" s="239">
        <f t="shared" ref="K119" si="23">SUM(K113:K118)</f>
        <v>3641.2960800000001</v>
      </c>
    </row>
    <row r="120" spans="4:11" x14ac:dyDescent="0.35">
      <c r="D120" s="235"/>
      <c r="E120" s="244"/>
      <c r="F120" s="244"/>
      <c r="G120" s="244"/>
      <c r="H120" s="244"/>
      <c r="I120" s="243"/>
      <c r="J120" s="243"/>
      <c r="K120" s="243"/>
    </row>
    <row r="121" spans="4:11" x14ac:dyDescent="0.35">
      <c r="D121" s="235" t="s">
        <v>256</v>
      </c>
      <c r="E121" s="240"/>
      <c r="F121" s="240"/>
      <c r="G121" s="240"/>
      <c r="H121" s="240"/>
      <c r="I121" s="240"/>
      <c r="J121" s="240"/>
      <c r="K121" s="240"/>
    </row>
    <row r="122" spans="4:11" x14ac:dyDescent="0.35">
      <c r="D122" s="236" t="s">
        <v>204</v>
      </c>
      <c r="E122" s="241">
        <f>BDFE!$C$48/1000</f>
        <v>0</v>
      </c>
      <c r="F122" s="241">
        <f>BDFE!$C$119/1000</f>
        <v>0</v>
      </c>
      <c r="G122" s="241">
        <f>BDFE!$C$190/1000</f>
        <v>0</v>
      </c>
      <c r="H122" s="241">
        <f>BDFE!$C$261/1000</f>
        <v>0</v>
      </c>
      <c r="I122" s="241">
        <f>BDFE!$C$332/1000</f>
        <v>0</v>
      </c>
      <c r="J122" s="241">
        <f>BDFE!$C$403/1000</f>
        <v>0</v>
      </c>
      <c r="K122" s="241">
        <f t="shared" ref="K122:K134" si="24">SUM(E122,F122,G122,H122,I122,J122)</f>
        <v>0</v>
      </c>
    </row>
    <row r="123" spans="4:11" x14ac:dyDescent="0.35">
      <c r="D123" s="236" t="s">
        <v>208</v>
      </c>
      <c r="E123" s="242">
        <f>BDFE!$C$50/1000</f>
        <v>-12.68</v>
      </c>
      <c r="F123" s="242">
        <f>BDFE!$C$121/1000</f>
        <v>0</v>
      </c>
      <c r="G123" s="242">
        <f>BDFE!$C$192/1000</f>
        <v>0</v>
      </c>
      <c r="H123" s="242">
        <f>BDFE!$C$263/1000</f>
        <v>-12.904629999999999</v>
      </c>
      <c r="I123" s="242">
        <f>BDFE!$C$334/1000</f>
        <v>0</v>
      </c>
      <c r="J123" s="242">
        <f>BDFE!$C$405/1000</f>
        <v>0</v>
      </c>
      <c r="K123" s="242">
        <f t="shared" si="24"/>
        <v>-25.584629999999997</v>
      </c>
    </row>
    <row r="124" spans="4:11" x14ac:dyDescent="0.35">
      <c r="D124" s="236" t="s">
        <v>207</v>
      </c>
      <c r="E124" s="242">
        <f>BDFE!$C$52/1000</f>
        <v>-85.965509999999995</v>
      </c>
      <c r="F124" s="242">
        <f>BDFE!$C$123/1000</f>
        <v>0</v>
      </c>
      <c r="G124" s="242">
        <f>BDFE!$C$194/1000</f>
        <v>0</v>
      </c>
      <c r="H124" s="242">
        <f>BDFE!$C$265/1000</f>
        <v>0</v>
      </c>
      <c r="I124" s="242">
        <f>BDFE!$C$336/1000</f>
        <v>0</v>
      </c>
      <c r="J124" s="242">
        <f>BDFE!$C$407/1000</f>
        <v>0</v>
      </c>
      <c r="K124" s="242">
        <f t="shared" si="24"/>
        <v>-85.965509999999995</v>
      </c>
    </row>
    <row r="125" spans="4:11" x14ac:dyDescent="0.35">
      <c r="D125" s="236" t="s">
        <v>206</v>
      </c>
      <c r="E125" s="242">
        <f>BDFE!$C$54/1000</f>
        <v>0</v>
      </c>
      <c r="F125" s="242">
        <f>BDFE!$C$125/1000</f>
        <v>0</v>
      </c>
      <c r="G125" s="242">
        <f>BDFE!$C$196/1000</f>
        <v>0</v>
      </c>
      <c r="H125" s="242">
        <f>BDFE!$C$267/1000</f>
        <v>0</v>
      </c>
      <c r="I125" s="242">
        <f>BDFE!$C$338/1000</f>
        <v>0</v>
      </c>
      <c r="J125" s="242">
        <f>BDFE!$C$409/1000</f>
        <v>0</v>
      </c>
      <c r="K125" s="242">
        <f t="shared" si="24"/>
        <v>0</v>
      </c>
    </row>
    <row r="126" spans="4:11" x14ac:dyDescent="0.35">
      <c r="D126" s="236" t="s">
        <v>257</v>
      </c>
      <c r="E126" s="242">
        <f>BDFE!$C$56/1000</f>
        <v>0</v>
      </c>
      <c r="F126" s="242">
        <f>BDFE!$C$127/1000</f>
        <v>0</v>
      </c>
      <c r="G126" s="242">
        <f>BDFE!$C$198/1000</f>
        <v>0</v>
      </c>
      <c r="H126" s="242">
        <f>BDFE!$C$269/1000</f>
        <v>0</v>
      </c>
      <c r="I126" s="242">
        <f>BDFE!$C$340/1000</f>
        <v>0</v>
      </c>
      <c r="J126" s="242">
        <f>BDFE!$C$411/1000</f>
        <v>0</v>
      </c>
      <c r="K126" s="242">
        <f t="shared" si="24"/>
        <v>0</v>
      </c>
    </row>
    <row r="127" spans="4:11" x14ac:dyDescent="0.35">
      <c r="D127" s="236" t="s">
        <v>272</v>
      </c>
      <c r="E127" s="242">
        <f>BDFE!$C$58/1000</f>
        <v>0</v>
      </c>
      <c r="F127" s="242">
        <f>BDFE!$C$129/1000</f>
        <v>0</v>
      </c>
      <c r="G127" s="242">
        <f>BDFE!$C$200/1000</f>
        <v>0</v>
      </c>
      <c r="H127" s="242">
        <f>BDFE!$C$271/1000</f>
        <v>0</v>
      </c>
      <c r="I127" s="242">
        <f>BDFE!$C$342/1000</f>
        <v>0</v>
      </c>
      <c r="J127" s="242">
        <f>BDFE!$C$413/1000</f>
        <v>0</v>
      </c>
      <c r="K127" s="242">
        <f t="shared" si="24"/>
        <v>0</v>
      </c>
    </row>
    <row r="128" spans="4:11" x14ac:dyDescent="0.35">
      <c r="D128" s="236" t="s">
        <v>273</v>
      </c>
      <c r="E128" s="242">
        <f>BDFE!$C$60/1000</f>
        <v>0</v>
      </c>
      <c r="F128" s="242">
        <f>BDFE!$C$131/1000</f>
        <v>0</v>
      </c>
      <c r="G128" s="242">
        <f>BDFE!$C$202/1000</f>
        <v>0</v>
      </c>
      <c r="H128" s="242">
        <f>BDFE!$C$273/1000</f>
        <v>0</v>
      </c>
      <c r="I128" s="242">
        <f>BDFE!$C$344/1000</f>
        <v>0</v>
      </c>
      <c r="J128" s="242">
        <f>BDFE!$C$415/1000</f>
        <v>0</v>
      </c>
      <c r="K128" s="242">
        <f t="shared" si="24"/>
        <v>0</v>
      </c>
    </row>
    <row r="129" spans="4:11" x14ac:dyDescent="0.35">
      <c r="D129" s="236" t="s">
        <v>274</v>
      </c>
      <c r="E129" s="242">
        <f>BDFE!$C$62/1000</f>
        <v>20.95786</v>
      </c>
      <c r="F129" s="242">
        <f>BDFE!$C$133/1000</f>
        <v>0</v>
      </c>
      <c r="G129" s="242">
        <f>BDFE!$C$204/1000</f>
        <v>5.3134899999999998</v>
      </c>
      <c r="H129" s="242">
        <f>BDFE!$C$275/1000</f>
        <v>0</v>
      </c>
      <c r="I129" s="242">
        <f>BDFE!$C$346/1000</f>
        <v>0</v>
      </c>
      <c r="J129" s="242">
        <f>BDFE!$C$417/1000</f>
        <v>0</v>
      </c>
      <c r="K129" s="242">
        <f t="shared" si="24"/>
        <v>26.271349999999998</v>
      </c>
    </row>
    <row r="130" spans="4:11" x14ac:dyDescent="0.35">
      <c r="D130" s="236" t="s">
        <v>258</v>
      </c>
      <c r="E130" s="242">
        <f>BDFE!$C$64/1000</f>
        <v>0</v>
      </c>
      <c r="F130" s="242">
        <f>BDFE!$C$135/1000</f>
        <v>0</v>
      </c>
      <c r="G130" s="242">
        <f>BDFE!$C$206/1000</f>
        <v>0</v>
      </c>
      <c r="H130" s="242">
        <f>BDFE!$C$277/1000</f>
        <v>0</v>
      </c>
      <c r="I130" s="242">
        <f>BDFE!$C$348/1000</f>
        <v>0</v>
      </c>
      <c r="J130" s="242">
        <f>BDFE!$C$419/1000</f>
        <v>0</v>
      </c>
      <c r="K130" s="242">
        <f t="shared" si="24"/>
        <v>0</v>
      </c>
    </row>
    <row r="131" spans="4:11" x14ac:dyDescent="0.35">
      <c r="D131" s="236" t="s">
        <v>259</v>
      </c>
      <c r="E131" s="242">
        <f>BDFE!$C$66/1000</f>
        <v>0</v>
      </c>
      <c r="F131" s="242">
        <f>BDFE!$C$137/1000</f>
        <v>0</v>
      </c>
      <c r="G131" s="242">
        <f>BDFE!$C$208/1000</f>
        <v>-570.53611999999998</v>
      </c>
      <c r="H131" s="242">
        <f>BDFE!$C$279/1000</f>
        <v>0</v>
      </c>
      <c r="I131" s="242">
        <f>BDFE!$C$350/1000</f>
        <v>0</v>
      </c>
      <c r="J131" s="242">
        <f>BDFE!$C$421/1000</f>
        <v>0</v>
      </c>
      <c r="K131" s="242">
        <f t="shared" si="24"/>
        <v>-570.53611999999998</v>
      </c>
    </row>
    <row r="132" spans="4:11" hidden="1" x14ac:dyDescent="0.35">
      <c r="D132" s="236" t="s">
        <v>260</v>
      </c>
      <c r="E132" s="242">
        <f>BDFE!$C$68/1000</f>
        <v>0</v>
      </c>
      <c r="F132" s="242">
        <f>BDFE!$C$139/1000</f>
        <v>0</v>
      </c>
      <c r="G132" s="242">
        <f>BDFE!$C$210/1000</f>
        <v>0</v>
      </c>
      <c r="H132" s="242">
        <f>BDFE!$C$281/1000</f>
        <v>0</v>
      </c>
      <c r="I132" s="242">
        <f>BDFE!$C$352/1000</f>
        <v>0</v>
      </c>
      <c r="J132" s="242">
        <f>BDFE!$C$423/1000</f>
        <v>0</v>
      </c>
      <c r="K132" s="242">
        <f t="shared" si="24"/>
        <v>0</v>
      </c>
    </row>
    <row r="133" spans="4:11" hidden="1" x14ac:dyDescent="0.35">
      <c r="D133" s="236" t="s">
        <v>261</v>
      </c>
      <c r="E133" s="242">
        <f>BDFE!$C$69/1000</f>
        <v>0</v>
      </c>
      <c r="F133" s="242">
        <f>BDFE!$C$140/1000</f>
        <v>0</v>
      </c>
      <c r="G133" s="242">
        <f>BDFE!$C$211/1000</f>
        <v>0</v>
      </c>
      <c r="H133" s="242">
        <f>BDFE!$C$282/1000</f>
        <v>0</v>
      </c>
      <c r="I133" s="242">
        <f>BDFE!$C$353/1000</f>
        <v>0</v>
      </c>
      <c r="J133" s="242">
        <f>BDFE!$C$424/1000</f>
        <v>0</v>
      </c>
      <c r="K133" s="242">
        <f t="shared" si="24"/>
        <v>0</v>
      </c>
    </row>
    <row r="134" spans="4:11" x14ac:dyDescent="0.35">
      <c r="D134" s="236" t="s">
        <v>10</v>
      </c>
      <c r="E134" s="245">
        <f>(BDFE!C49+BDFE!C51+BDFE!C53+BDFE!C55+BDFE!C57+BDFE!C59+BDFE!C61+BDFE!C63+BDFE!C65+BDFE!C67-BDFE!C11)/1000</f>
        <v>-1.1641532182693482E-13</v>
      </c>
      <c r="F134" s="245">
        <f>(BDFE!C120+BDFE!C122+BDFE!C124+BDFE!C126+BDFE!C128+BDFE!C130+BDFE!C132+BDFE!C134+BDFE!C136+BDFE!C138-BDFE!C82)/1000</f>
        <v>0</v>
      </c>
      <c r="G134" s="245">
        <f>(BDFE!C191+BDFE!C193+BDFE!C195+BDFE!C197+BDFE!C199+BDFE!C201+BDFE!C203+BDFE!C205+BDFE!C207+BDFE!C209-BDFE!C153)/1000</f>
        <v>0</v>
      </c>
      <c r="H134" s="245">
        <f>(BDFE!C262+BDFE!C264+BDFE!C266+BDFE!C268+BDFE!C270+BDFE!C272+BDFE!C274+BDFE!C276+BDFE!C278+BDFE!C280-BDFE!C224)/1000</f>
        <v>0</v>
      </c>
      <c r="I134" s="245">
        <f>(BDFE!C333+BDFE!C335+BDFE!C337+BDFE!C339+BDFE!C341+BDFE!C343+BDFE!C345+BDFE!C347+BDFE!C349+BDFE!C351-BDFE!C295)/1000</f>
        <v>0</v>
      </c>
      <c r="J134" s="245">
        <f>(BDFE!C404+BDFE!C406+BDFE!C408+BDFE!C410+BDFE!C412+BDFE!C414+BDFE!C416+BDFE!C418+BDFE!C420+BDFE!C422-BDFE!C366)/1000</f>
        <v>0</v>
      </c>
      <c r="K134" s="245">
        <f t="shared" si="24"/>
        <v>-1.1641532182693482E-13</v>
      </c>
    </row>
    <row r="135" spans="4:11" x14ac:dyDescent="0.35">
      <c r="D135" s="235" t="s">
        <v>262</v>
      </c>
      <c r="E135" s="239">
        <f>SUM(E122:E134)</f>
        <v>-77.687650000000119</v>
      </c>
      <c r="F135" s="239">
        <f t="shared" ref="F135" si="25">SUM(F122:F134)</f>
        <v>0</v>
      </c>
      <c r="G135" s="239">
        <f t="shared" ref="G135" si="26">SUM(G122:G134)</f>
        <v>-565.22262999999998</v>
      </c>
      <c r="H135" s="239">
        <f t="shared" ref="H135" si="27">SUM(H122:H134)</f>
        <v>-12.904629999999999</v>
      </c>
      <c r="I135" s="239">
        <f>SUM(I122:I134)</f>
        <v>0</v>
      </c>
      <c r="J135" s="239">
        <f t="shared" ref="J135:K135" si="28">SUM(J122:J134)</f>
        <v>0</v>
      </c>
      <c r="K135" s="239">
        <f t="shared" si="28"/>
        <v>-655.81491000000005</v>
      </c>
    </row>
    <row r="136" spans="4:11" x14ac:dyDescent="0.35">
      <c r="D136" s="236"/>
      <c r="E136" s="246"/>
      <c r="F136" s="246"/>
      <c r="G136" s="246"/>
      <c r="H136" s="246"/>
      <c r="I136" s="249"/>
      <c r="J136" s="249"/>
      <c r="K136" s="249"/>
    </row>
    <row r="137" spans="4:11" x14ac:dyDescent="0.35">
      <c r="D137" s="235" t="s">
        <v>263</v>
      </c>
      <c r="E137" s="247">
        <f>E100+E110+E119+E135</f>
        <v>-2156.44362</v>
      </c>
      <c r="F137" s="247">
        <f>F100+F110+F119+F135</f>
        <v>1803.7416499999999</v>
      </c>
      <c r="G137" s="247">
        <f t="shared" ref="G137:H137" si="29">G100+G110+G119+G135</f>
        <v>1994.4766499999994</v>
      </c>
      <c r="H137" s="247">
        <f t="shared" si="29"/>
        <v>143.61235000000022</v>
      </c>
      <c r="I137" s="239">
        <f>I100+I110+I119+I135</f>
        <v>24.851629999999972</v>
      </c>
      <c r="J137" s="239">
        <f t="shared" ref="J137:K137" si="30">J100+J110+J119+J135</f>
        <v>54.116150000000005</v>
      </c>
      <c r="K137" s="239">
        <f t="shared" si="30"/>
        <v>1864.3548100000016</v>
      </c>
    </row>
    <row r="138" spans="4:11" x14ac:dyDescent="0.35">
      <c r="D138" s="237" t="s">
        <v>275</v>
      </c>
      <c r="E138" s="247">
        <f>(BDBG!H3+BDBG!H4)/1000</f>
        <v>13236.64363</v>
      </c>
      <c r="F138" s="247">
        <f>(BDBG!H57+BDBG!H58)/1000</f>
        <v>2976.3126699999998</v>
      </c>
      <c r="G138" s="247">
        <f>(BDBG!H111+BDBG!H112)/1000</f>
        <v>617.87617</v>
      </c>
      <c r="H138" s="247">
        <f>(BDBG!H165+BDBG!H166)/1000</f>
        <v>256.13817999999998</v>
      </c>
      <c r="I138" s="239">
        <f>(BDBG!H219+BDBG!H220)/1000</f>
        <v>261.57616999999999</v>
      </c>
      <c r="J138" s="239">
        <f>(BDBG!H273+BDBG!H274)/1000</f>
        <v>67.605890000000002</v>
      </c>
      <c r="K138" s="239">
        <f>SUM(E138,F138,G138,H138,I138,J138)</f>
        <v>17416.152710000002</v>
      </c>
    </row>
    <row r="139" spans="4:11" x14ac:dyDescent="0.35">
      <c r="D139" s="237" t="s">
        <v>276</v>
      </c>
      <c r="E139" s="247">
        <f t="shared" ref="E139" si="31">SUM(E137:E138)</f>
        <v>11080.20001</v>
      </c>
      <c r="F139" s="247">
        <f>SUM(F137:F138)</f>
        <v>4780.0543199999993</v>
      </c>
      <c r="G139" s="247">
        <f t="shared" ref="G139:H139" si="32">SUM(G137:G138)</f>
        <v>2612.3528199999992</v>
      </c>
      <c r="H139" s="247">
        <f t="shared" si="32"/>
        <v>399.7505300000002</v>
      </c>
      <c r="I139" s="247">
        <f>SUM(I137:I138)</f>
        <v>286.42779999999993</v>
      </c>
      <c r="J139" s="247">
        <f t="shared" ref="J139:K139" si="33">SUM(J137:J138)</f>
        <v>121.72204000000001</v>
      </c>
      <c r="K139" s="247">
        <f t="shared" si="33"/>
        <v>19280.507520000003</v>
      </c>
    </row>
    <row r="141" spans="4:11" x14ac:dyDescent="0.35">
      <c r="I141" s="253"/>
      <c r="J141" s="253"/>
      <c r="K141" s="253"/>
    </row>
    <row r="146" spans="4:11" x14ac:dyDescent="0.35">
      <c r="D146" s="250"/>
      <c r="E146" s="235" t="s">
        <v>277</v>
      </c>
      <c r="F146" s="236"/>
      <c r="G146" s="236"/>
      <c r="H146" s="236"/>
      <c r="I146" s="236"/>
      <c r="J146" s="236"/>
      <c r="K146" s="236"/>
    </row>
    <row r="147" spans="4:11" x14ac:dyDescent="0.35">
      <c r="D147" s="251" t="s">
        <v>278</v>
      </c>
      <c r="E147" s="238" t="s">
        <v>281</v>
      </c>
      <c r="F147" s="238" t="s">
        <v>145</v>
      </c>
      <c r="G147" s="238" t="s">
        <v>146</v>
      </c>
      <c r="H147" s="248" t="s">
        <v>147</v>
      </c>
      <c r="I147" s="238" t="s">
        <v>148</v>
      </c>
      <c r="J147" s="238" t="s">
        <v>282</v>
      </c>
      <c r="K147" s="238" t="s">
        <v>140</v>
      </c>
    </row>
    <row r="148" spans="4:11" x14ac:dyDescent="0.35">
      <c r="D148" s="235" t="s">
        <v>247</v>
      </c>
      <c r="E148" s="239">
        <f>(BDFE!F22+BDFE!F11)/1000</f>
        <v>3179.7450299999996</v>
      </c>
      <c r="F148" s="239">
        <f>(BDFE!F93+BDFE!F82)/1000</f>
        <v>1129.3173400000001</v>
      </c>
      <c r="G148" s="239">
        <f>(BDFE!F164+BDFE!F153)/1000</f>
        <v>395.67516000000001</v>
      </c>
      <c r="H148" s="239">
        <f>(BDFE!F235+BDFE!F224)/1000</f>
        <v>216.25283000000002</v>
      </c>
      <c r="I148" s="239">
        <f>(BDFE!F306+BDFE!F295)/1000</f>
        <v>-44.401290000000003</v>
      </c>
      <c r="J148" s="239">
        <f>(BDFE!F377+BDFE!F366)/1000</f>
        <v>63.64537</v>
      </c>
      <c r="K148" s="239">
        <f>SUM(E148,F148,G148,H148,I148,J148)</f>
        <v>4940.2344400000002</v>
      </c>
    </row>
    <row r="149" spans="4:11" x14ac:dyDescent="0.35">
      <c r="D149" s="236"/>
      <c r="E149" s="240"/>
      <c r="F149" s="240"/>
      <c r="G149" s="240"/>
      <c r="H149" s="240"/>
      <c r="I149" s="240"/>
      <c r="J149" s="240"/>
      <c r="K149" s="240"/>
    </row>
    <row r="150" spans="4:11" x14ac:dyDescent="0.35">
      <c r="D150" s="235" t="s">
        <v>270</v>
      </c>
      <c r="E150" s="240"/>
      <c r="F150" s="240"/>
      <c r="G150" s="240"/>
      <c r="H150" s="240"/>
      <c r="I150" s="240"/>
      <c r="J150" s="240"/>
      <c r="K150" s="240"/>
    </row>
    <row r="151" spans="4:11" x14ac:dyDescent="0.35">
      <c r="D151" s="236" t="s">
        <v>196</v>
      </c>
      <c r="E151" s="241">
        <f>BDFE!$F$25/1000</f>
        <v>0</v>
      </c>
      <c r="F151" s="241">
        <f>BDFE!$F$96/1000</f>
        <v>482.56084999999996</v>
      </c>
      <c r="G151" s="241">
        <f>BDFE!$F$167/1000</f>
        <v>5765.4099299999998</v>
      </c>
      <c r="H151" s="241">
        <f>(BDFE!$F$238)/1000</f>
        <v>304.69158000000004</v>
      </c>
      <c r="I151" s="241">
        <f>BDFE!$F$309/1000</f>
        <v>164.98335999999998</v>
      </c>
      <c r="J151" s="241">
        <f>BDFE!$F$380/1000</f>
        <v>-38.522320000000001</v>
      </c>
      <c r="K151" s="241">
        <f t="shared" ref="K151:K157" si="34">SUM(E151,F151,G151,H151,I151,J151)</f>
        <v>6679.1233999999995</v>
      </c>
    </row>
    <row r="152" spans="4:11" x14ac:dyDescent="0.35">
      <c r="D152" s="236" t="s">
        <v>197</v>
      </c>
      <c r="E152" s="242">
        <f>(BDFE!F26+BDFE!F27)/1000</f>
        <v>-4849.5024299999995</v>
      </c>
      <c r="F152" s="242">
        <f>(BDFE!F97+BDFE!F98)/1000</f>
        <v>172.10772</v>
      </c>
      <c r="G152" s="242">
        <f>(BDFE!F168+BDFE!F169)/1000</f>
        <v>-499.40868</v>
      </c>
      <c r="H152" s="242">
        <f>(BDFE!F239+BDFE!F240)/1000</f>
        <v>1469.3826200000001</v>
      </c>
      <c r="I152" s="242">
        <f>(BDFE!F310+BDFE!F311)/1000</f>
        <v>2.8000000000000003E-4</v>
      </c>
      <c r="J152" s="242">
        <f>(BDFE!F381+BDFE!F382)/1000</f>
        <v>0</v>
      </c>
      <c r="K152" s="242">
        <f t="shared" si="34"/>
        <v>-3707.4204899999986</v>
      </c>
    </row>
    <row r="153" spans="4:11" x14ac:dyDescent="0.35">
      <c r="D153" s="236" t="s">
        <v>198</v>
      </c>
      <c r="E153" s="242">
        <f>BDFE!$F$28/1000</f>
        <v>437.24230999999997</v>
      </c>
      <c r="F153" s="242">
        <f>BDFE!$F$99/1000</f>
        <v>0</v>
      </c>
      <c r="G153" s="242">
        <f>BDFE!$F$170/1000</f>
        <v>1038.80673</v>
      </c>
      <c r="H153" s="242">
        <f>BDFE!$F$241/1000</f>
        <v>0</v>
      </c>
      <c r="I153" s="242">
        <f>BDFE!$F$312/1000</f>
        <v>0</v>
      </c>
      <c r="J153" s="242">
        <f>BDFE!$F$383/1000</f>
        <v>0</v>
      </c>
      <c r="K153" s="242">
        <f t="shared" si="34"/>
        <v>1476.0490399999999</v>
      </c>
    </row>
    <row r="154" spans="4:11" x14ac:dyDescent="0.35">
      <c r="D154" s="236" t="s">
        <v>199</v>
      </c>
      <c r="E154" s="242">
        <f>(BDFE!F29+BDFE!F30)/1000</f>
        <v>1463.2505199999998</v>
      </c>
      <c r="F154" s="242">
        <f>(BDFE!F100+BDFE!F101)/1000</f>
        <v>-1638.48972</v>
      </c>
      <c r="G154" s="242">
        <f>(BDFE!F171+BDFE!F172)/1000</f>
        <v>-3282.2641200000003</v>
      </c>
      <c r="H154" s="242">
        <f>(BDFE!F242+BDFE!F243)/1000</f>
        <v>-331.79109999999997</v>
      </c>
      <c r="I154" s="242">
        <f>(BDFE!F313+BDFE!F314)/1000</f>
        <v>-31.703389999999999</v>
      </c>
      <c r="J154" s="242">
        <f>(BDFE!F384+BDFE!F385)/1000</f>
        <v>-27.8644</v>
      </c>
      <c r="K154" s="242">
        <f t="shared" si="34"/>
        <v>-3848.8622100000007</v>
      </c>
    </row>
    <row r="155" spans="4:11" x14ac:dyDescent="0.35">
      <c r="D155" s="236" t="s">
        <v>222</v>
      </c>
      <c r="E155" s="242">
        <f>BDFE!$F$31/1000</f>
        <v>-2596.9749999999999</v>
      </c>
      <c r="F155" s="242">
        <f>BDFE!$F$102/1000</f>
        <v>0</v>
      </c>
      <c r="G155" s="242">
        <f>BDFE!$F$173/1000</f>
        <v>-3857.8053399999999</v>
      </c>
      <c r="H155" s="242">
        <f>BDFE!$F$244/1000</f>
        <v>0</v>
      </c>
      <c r="I155" s="242">
        <f>BDFE!$F$315/1000</f>
        <v>0</v>
      </c>
      <c r="J155" s="242">
        <f>BDFE!$F$386/1000</f>
        <v>0</v>
      </c>
      <c r="K155" s="242">
        <f t="shared" si="34"/>
        <v>-6454.7803399999993</v>
      </c>
    </row>
    <row r="156" spans="4:11" x14ac:dyDescent="0.35">
      <c r="D156" s="236" t="s">
        <v>248</v>
      </c>
      <c r="E156" s="242">
        <f>(BDFE!F32+BDFE!F33)/1000</f>
        <v>-1934.5489399999999</v>
      </c>
      <c r="F156" s="242">
        <f>(BDFE!F103+BDFE!F104)/1000</f>
        <v>1870.41077</v>
      </c>
      <c r="G156" s="242">
        <f>(BDFE!F174+BDFE!F175)/1000</f>
        <v>5016.4482099999996</v>
      </c>
      <c r="H156" s="242">
        <f>(BDFE!F245+BDFE!F246)/1000</f>
        <v>-336.65777000000003</v>
      </c>
      <c r="I156" s="242">
        <f>(BDFE!F316+BDFE!F317)/1000</f>
        <v>-57.430949999999996</v>
      </c>
      <c r="J156" s="242">
        <f>(BDFE!F387+BDFE!F388)/1000</f>
        <v>40.53378</v>
      </c>
      <c r="K156" s="242">
        <f t="shared" si="34"/>
        <v>4598.7550999999994</v>
      </c>
    </row>
    <row r="157" spans="4:11" x14ac:dyDescent="0.35">
      <c r="D157" s="236" t="s">
        <v>249</v>
      </c>
      <c r="E157" s="242">
        <f>(BDFE!F34+BDFE!F35+BDFE!F36)/1000</f>
        <v>-1526.925</v>
      </c>
      <c r="F157" s="242">
        <f>(BDFE!F105+BDFE!F106+BDFE!F107)/1000</f>
        <v>-212.16531000000001</v>
      </c>
      <c r="G157" s="242">
        <f>(BDFE!F176+BDFE!F177+BDFE!F178)/1000</f>
        <v>-1909.5011500000001</v>
      </c>
      <c r="H157" s="242">
        <f>(BDFE!F247+BDFE!F248+BDFE!F249)/1000</f>
        <v>-1165.3611799999999</v>
      </c>
      <c r="I157" s="242">
        <f>(BDFE!F318+BDFE!F319+BDFE!F320)/1000</f>
        <v>-6.5963800000000008</v>
      </c>
      <c r="J157" s="242">
        <f>(BDFE!F389+BDFE!F390+BDFE!F391)/1000</f>
        <v>16.323719999999998</v>
      </c>
      <c r="K157" s="242">
        <f t="shared" si="34"/>
        <v>-4804.2252999999992</v>
      </c>
    </row>
    <row r="158" spans="4:11" x14ac:dyDescent="0.35">
      <c r="D158" s="235" t="s">
        <v>270</v>
      </c>
      <c r="E158" s="239">
        <f>SUM(E151:E157)</f>
        <v>-9007.4585399999996</v>
      </c>
      <c r="F158" s="239">
        <f t="shared" ref="F158" si="35">SUM(F151:F157)</f>
        <v>674.42430999999988</v>
      </c>
      <c r="G158" s="239">
        <f t="shared" ref="G158" si="36">SUM(G151:G157)</f>
        <v>2271.6855799999994</v>
      </c>
      <c r="H158" s="239">
        <f t="shared" ref="H158" si="37">SUM(H151:H157)</f>
        <v>-59.7358499999998</v>
      </c>
      <c r="I158" s="239">
        <f>SUM(I151:I157)</f>
        <v>69.252919999999975</v>
      </c>
      <c r="J158" s="239">
        <f t="shared" ref="J158:K158" si="38">SUM(J151:J157)</f>
        <v>-9.5292199999999987</v>
      </c>
      <c r="K158" s="239">
        <f t="shared" si="38"/>
        <v>-6061.3607999999986</v>
      </c>
    </row>
    <row r="159" spans="4:11" x14ac:dyDescent="0.35">
      <c r="D159" s="236"/>
      <c r="E159" s="243"/>
      <c r="F159" s="243"/>
      <c r="G159" s="243"/>
      <c r="H159" s="243"/>
      <c r="I159" s="243"/>
      <c r="J159" s="243"/>
      <c r="K159" s="243"/>
    </row>
    <row r="160" spans="4:11" x14ac:dyDescent="0.35">
      <c r="D160" s="235" t="s">
        <v>250</v>
      </c>
      <c r="E160" s="240"/>
      <c r="F160" s="240"/>
      <c r="G160" s="240"/>
      <c r="H160" s="240"/>
      <c r="I160" s="240"/>
      <c r="J160" s="240"/>
      <c r="K160" s="240"/>
    </row>
    <row r="161" spans="4:11" x14ac:dyDescent="0.35">
      <c r="D161" s="236" t="s">
        <v>251</v>
      </c>
      <c r="E161" s="241">
        <f>BDFE!$F$39/1000</f>
        <v>3748.9577799999997</v>
      </c>
      <c r="F161" s="241">
        <f>BDFE!$F$110/1000</f>
        <v>0</v>
      </c>
      <c r="G161" s="241">
        <f>BDFE!$F$181/1000</f>
        <v>-107.66146000000001</v>
      </c>
      <c r="H161" s="241">
        <f>BDFE!$F$252/1000</f>
        <v>0</v>
      </c>
      <c r="I161" s="241">
        <f>BDFE!$F$323/1000</f>
        <v>0</v>
      </c>
      <c r="J161" s="241">
        <f>BDFE!$F$394/1000</f>
        <v>0</v>
      </c>
      <c r="K161" s="241">
        <f t="shared" ref="K161:K166" si="39">SUM(E161,F161,G161,H161,I161,J161)</f>
        <v>3641.2963199999999</v>
      </c>
    </row>
    <row r="162" spans="4:11" x14ac:dyDescent="0.35">
      <c r="D162" s="236" t="s">
        <v>252</v>
      </c>
      <c r="E162" s="242">
        <f>BDFE!$F$40/1000</f>
        <v>-2.3999999999999998E-4</v>
      </c>
      <c r="F162" s="242">
        <f>BDFE!$F$111/1000</f>
        <v>0</v>
      </c>
      <c r="G162" s="242">
        <f>BDFE!$F$182/1000</f>
        <v>0</v>
      </c>
      <c r="H162" s="242">
        <f>BDFE!$F$253/1000</f>
        <v>0</v>
      </c>
      <c r="I162" s="242">
        <f>BDFE!$F$324/1000</f>
        <v>0</v>
      </c>
      <c r="J162" s="242">
        <f>BDFE!$F$395/1000</f>
        <v>0</v>
      </c>
      <c r="K162" s="242">
        <f t="shared" si="39"/>
        <v>-2.3999999999999998E-4</v>
      </c>
    </row>
    <row r="163" spans="4:11" x14ac:dyDescent="0.35">
      <c r="D163" s="236" t="s">
        <v>237</v>
      </c>
      <c r="E163" s="242">
        <f>BDFE!$F$41/1000</f>
        <v>0</v>
      </c>
      <c r="F163" s="242">
        <f>BDFE!$F$112/1000</f>
        <v>0</v>
      </c>
      <c r="G163" s="242">
        <f>BDFE!$F$183/1000</f>
        <v>0</v>
      </c>
      <c r="H163" s="242">
        <f>BDFE!$F$254/1000</f>
        <v>0</v>
      </c>
      <c r="I163" s="242">
        <f>BDFE!$F$325/1000</f>
        <v>0</v>
      </c>
      <c r="J163" s="242">
        <f>BDFE!$F$396/1000</f>
        <v>0</v>
      </c>
      <c r="K163" s="242">
        <f t="shared" si="39"/>
        <v>0</v>
      </c>
    </row>
    <row r="164" spans="4:11" x14ac:dyDescent="0.35">
      <c r="D164" s="236" t="s">
        <v>253</v>
      </c>
      <c r="E164" s="242">
        <f>BDFE!$F$42/1000</f>
        <v>0</v>
      </c>
      <c r="F164" s="242">
        <f>BDFE!$F$113/1000</f>
        <v>0</v>
      </c>
      <c r="G164" s="242">
        <f>BDFE!$F$184/1000</f>
        <v>0</v>
      </c>
      <c r="H164" s="242">
        <f>BDFE!$F$255/1000</f>
        <v>0</v>
      </c>
      <c r="I164" s="242">
        <f>BDFE!$F$326/1000</f>
        <v>0</v>
      </c>
      <c r="J164" s="242">
        <f>BDFE!$F$397/1000</f>
        <v>0</v>
      </c>
      <c r="K164" s="242">
        <f t="shared" si="39"/>
        <v>0</v>
      </c>
    </row>
    <row r="165" spans="4:11" x14ac:dyDescent="0.35">
      <c r="D165" s="236" t="s">
        <v>271</v>
      </c>
      <c r="E165" s="242">
        <f>(BDFE!F43+BDFE!F44)/1000</f>
        <v>0</v>
      </c>
      <c r="F165" s="242">
        <f>(BDFE!F114+BDFE!F115)/1000</f>
        <v>0</v>
      </c>
      <c r="G165" s="242">
        <f>(BDFE!F185+BDFE!F186)/1000</f>
        <v>0</v>
      </c>
      <c r="H165" s="242">
        <f>(BDFE!F256+BDFE!F257)/1000</f>
        <v>0</v>
      </c>
      <c r="I165" s="242">
        <f>(BDFE!F327+BDFE!F328)/1000</f>
        <v>0</v>
      </c>
      <c r="J165" s="242">
        <f>(BDFE!F398+BDFE!F399)/1000</f>
        <v>0</v>
      </c>
      <c r="K165" s="242">
        <f t="shared" si="39"/>
        <v>0</v>
      </c>
    </row>
    <row r="166" spans="4:11" x14ac:dyDescent="0.35">
      <c r="D166" s="236" t="s">
        <v>254</v>
      </c>
      <c r="E166" s="242">
        <f>BDFE!$F$45/1000</f>
        <v>0</v>
      </c>
      <c r="F166" s="242">
        <f>BDFE!$F$116/1000</f>
        <v>0</v>
      </c>
      <c r="G166" s="242">
        <f>BDFE!$F$187/1000</f>
        <v>0</v>
      </c>
      <c r="H166" s="242">
        <f>BDFE!$F$258/1000</f>
        <v>0</v>
      </c>
      <c r="I166" s="245">
        <f>BDFE!$F$328/1000</f>
        <v>0</v>
      </c>
      <c r="J166" s="245">
        <f>BDFE!$F$399/1000</f>
        <v>0</v>
      </c>
      <c r="K166" s="242">
        <f t="shared" si="39"/>
        <v>0</v>
      </c>
    </row>
    <row r="167" spans="4:11" x14ac:dyDescent="0.35">
      <c r="D167" s="235" t="s">
        <v>255</v>
      </c>
      <c r="E167" s="239">
        <f>SUM(E161:E166)</f>
        <v>3748.9575399999999</v>
      </c>
      <c r="F167" s="239">
        <f t="shared" ref="F167" si="40">SUM(F161:F166)</f>
        <v>0</v>
      </c>
      <c r="G167" s="239">
        <f t="shared" ref="G167" si="41">SUM(G161:G166)</f>
        <v>-107.66146000000001</v>
      </c>
      <c r="H167" s="239">
        <f t="shared" ref="H167" si="42">SUM(H161:H166)</f>
        <v>0</v>
      </c>
      <c r="I167" s="239">
        <f t="shared" ref="I167" si="43">SUM(I161:I166)</f>
        <v>0</v>
      </c>
      <c r="J167" s="239">
        <f t="shared" ref="J167" si="44">SUM(J161:J166)</f>
        <v>0</v>
      </c>
      <c r="K167" s="239">
        <f>SUM(K161:K166)</f>
        <v>3641.2960800000001</v>
      </c>
    </row>
    <row r="168" spans="4:11" x14ac:dyDescent="0.35">
      <c r="D168" s="235"/>
      <c r="E168" s="244"/>
      <c r="F168" s="244"/>
      <c r="G168" s="244"/>
      <c r="H168" s="244"/>
      <c r="I168" s="244"/>
      <c r="J168" s="244"/>
      <c r="K168" s="244"/>
    </row>
    <row r="169" spans="4:11" x14ac:dyDescent="0.35">
      <c r="D169" s="235" t="s">
        <v>256</v>
      </c>
      <c r="E169" s="252"/>
      <c r="F169" s="252"/>
      <c r="G169" s="252"/>
      <c r="H169" s="252"/>
      <c r="I169" s="252"/>
      <c r="J169" s="252"/>
      <c r="K169" s="252"/>
    </row>
    <row r="170" spans="4:11" x14ac:dyDescent="0.35">
      <c r="D170" s="236" t="s">
        <v>204</v>
      </c>
      <c r="E170" s="241">
        <f>BDFE!$F$48/1000</f>
        <v>0</v>
      </c>
      <c r="F170" s="241">
        <f>BDFE!$F$119/1000</f>
        <v>0</v>
      </c>
      <c r="G170" s="241">
        <f>BDFE!$F$190/1000</f>
        <v>0</v>
      </c>
      <c r="H170" s="241">
        <f>BDFE!$F$261/1000</f>
        <v>0</v>
      </c>
      <c r="I170" s="241">
        <f>BDFE!$F$332/1000</f>
        <v>0</v>
      </c>
      <c r="J170" s="241">
        <f>BDFE!$F$403/1000</f>
        <v>0</v>
      </c>
      <c r="K170" s="242">
        <f t="shared" ref="K170:K182" si="45">SUM(E170,F170,G170,H170,I170,J170)</f>
        <v>0</v>
      </c>
    </row>
    <row r="171" spans="4:11" x14ac:dyDescent="0.35">
      <c r="D171" s="236" t="s">
        <v>208</v>
      </c>
      <c r="E171" s="242">
        <f>BDFE!$F$50/1000</f>
        <v>-12.68</v>
      </c>
      <c r="F171" s="242">
        <f>BDFE!$F$121/1000</f>
        <v>0</v>
      </c>
      <c r="G171" s="242">
        <f>BDFE!$F$192/1000</f>
        <v>0</v>
      </c>
      <c r="H171" s="242">
        <f>BDFE!$F$263/1000</f>
        <v>-12.904629999999999</v>
      </c>
      <c r="I171" s="242">
        <f>BDFE!$F$334/1000</f>
        <v>0</v>
      </c>
      <c r="J171" s="242">
        <f>BDFE!$F$405/1000</f>
        <v>0</v>
      </c>
      <c r="K171" s="242">
        <f t="shared" si="45"/>
        <v>-25.584629999999997</v>
      </c>
    </row>
    <row r="172" spans="4:11" x14ac:dyDescent="0.35">
      <c r="D172" s="236" t="s">
        <v>207</v>
      </c>
      <c r="E172" s="242">
        <f>BDFE!$F$52/1000</f>
        <v>-85.965509999999995</v>
      </c>
      <c r="F172" s="242">
        <f>BDFE!$F$123/1000</f>
        <v>0</v>
      </c>
      <c r="G172" s="242">
        <f>BDFE!$F$194/1000</f>
        <v>0</v>
      </c>
      <c r="H172" s="242">
        <f>BDFE!$F$265/1000</f>
        <v>0</v>
      </c>
      <c r="I172" s="242">
        <f>BDFE!$F$336/1000</f>
        <v>0</v>
      </c>
      <c r="J172" s="242">
        <f>BDFE!$F$407/1000</f>
        <v>0</v>
      </c>
      <c r="K172" s="242">
        <f t="shared" si="45"/>
        <v>-85.965509999999995</v>
      </c>
    </row>
    <row r="173" spans="4:11" x14ac:dyDescent="0.35">
      <c r="D173" s="236" t="s">
        <v>206</v>
      </c>
      <c r="E173" s="242">
        <f>BDFE!$F$54/1000</f>
        <v>0</v>
      </c>
      <c r="F173" s="242">
        <f>BDFE!$F$125/1000</f>
        <v>0</v>
      </c>
      <c r="G173" s="242">
        <f>BDFE!$F$196/1000</f>
        <v>0</v>
      </c>
      <c r="H173" s="242">
        <f>BDFE!$F$267/1000</f>
        <v>0</v>
      </c>
      <c r="I173" s="242">
        <f>BDFE!$F$338/1000</f>
        <v>0</v>
      </c>
      <c r="J173" s="242">
        <f>BDFE!$F$409/1000</f>
        <v>0</v>
      </c>
      <c r="K173" s="242">
        <f t="shared" si="45"/>
        <v>0</v>
      </c>
    </row>
    <row r="174" spans="4:11" x14ac:dyDescent="0.35">
      <c r="D174" s="236" t="s">
        <v>257</v>
      </c>
      <c r="E174" s="242">
        <f>BDFE!$F$56/1000</f>
        <v>0</v>
      </c>
      <c r="F174" s="242">
        <f>BDFE!$F$127/1000</f>
        <v>0</v>
      </c>
      <c r="G174" s="242">
        <f>BDFE!$F$198/1000</f>
        <v>0</v>
      </c>
      <c r="H174" s="242">
        <f>BDFE!$F$269/1000</f>
        <v>0</v>
      </c>
      <c r="I174" s="242">
        <f>BDFE!$F$340/1000</f>
        <v>0</v>
      </c>
      <c r="J174" s="242">
        <f>BDFE!$F$411/1000</f>
        <v>0</v>
      </c>
      <c r="K174" s="242">
        <f t="shared" si="45"/>
        <v>0</v>
      </c>
    </row>
    <row r="175" spans="4:11" x14ac:dyDescent="0.35">
      <c r="D175" s="236" t="s">
        <v>272</v>
      </c>
      <c r="E175" s="242">
        <f>BDFE!$F$58/1000</f>
        <v>0</v>
      </c>
      <c r="F175" s="242">
        <f>BDFE!$F$129/1000</f>
        <v>0</v>
      </c>
      <c r="G175" s="242">
        <f>BDFE!$F$200/1000</f>
        <v>0</v>
      </c>
      <c r="H175" s="242">
        <f>BDFE!$F$271/1000</f>
        <v>0</v>
      </c>
      <c r="I175" s="242">
        <f>BDFE!$F$342/1000</f>
        <v>0</v>
      </c>
      <c r="J175" s="242">
        <f>BDFE!$F$413/1000</f>
        <v>0</v>
      </c>
      <c r="K175" s="242">
        <f t="shared" si="45"/>
        <v>0</v>
      </c>
    </row>
    <row r="176" spans="4:11" x14ac:dyDescent="0.35">
      <c r="D176" s="236" t="s">
        <v>273</v>
      </c>
      <c r="E176" s="242">
        <f>BDFE!$F$60/1000</f>
        <v>0</v>
      </c>
      <c r="F176" s="242">
        <f>BDFE!$F$131/1000</f>
        <v>0</v>
      </c>
      <c r="G176" s="242">
        <f>BDFE!$F$202/1000</f>
        <v>0</v>
      </c>
      <c r="H176" s="242">
        <f>BDFE!$F$273/1000</f>
        <v>0</v>
      </c>
      <c r="I176" s="242">
        <f>BDFE!$F$344/1000</f>
        <v>0</v>
      </c>
      <c r="J176" s="242">
        <f>BDFE!$F$415/1000</f>
        <v>0</v>
      </c>
      <c r="K176" s="242">
        <f t="shared" si="45"/>
        <v>0</v>
      </c>
    </row>
    <row r="177" spans="4:11" x14ac:dyDescent="0.35">
      <c r="D177" s="236" t="s">
        <v>274</v>
      </c>
      <c r="E177" s="242">
        <f>BDFE!$F$62/1000</f>
        <v>20.95786</v>
      </c>
      <c r="F177" s="242">
        <f>BDFE!$F$133/1000</f>
        <v>0</v>
      </c>
      <c r="G177" s="242">
        <f>BDFE!$F$204/1000</f>
        <v>5.3134899999999998</v>
      </c>
      <c r="H177" s="242">
        <f>BDFE!$F$275/1000</f>
        <v>0</v>
      </c>
      <c r="I177" s="242">
        <f>BDFE!$F$346/1000</f>
        <v>0</v>
      </c>
      <c r="J177" s="242">
        <f>BDFE!$F$417/1000</f>
        <v>0</v>
      </c>
      <c r="K177" s="242">
        <f t="shared" si="45"/>
        <v>26.271349999999998</v>
      </c>
    </row>
    <row r="178" spans="4:11" x14ac:dyDescent="0.35">
      <c r="D178" s="236" t="s">
        <v>258</v>
      </c>
      <c r="E178" s="242">
        <f>BDFE!$F$64/1000</f>
        <v>0</v>
      </c>
      <c r="F178" s="242">
        <f>BDFE!$F$135/1000</f>
        <v>0</v>
      </c>
      <c r="G178" s="242">
        <f>BDFE!$F$206/1000</f>
        <v>0</v>
      </c>
      <c r="H178" s="242">
        <f>BDFE!$F$277/1000</f>
        <v>0</v>
      </c>
      <c r="I178" s="242">
        <f>BDFE!$F$348/1000</f>
        <v>0</v>
      </c>
      <c r="J178" s="242">
        <f>BDFE!$F$419/1000</f>
        <v>0</v>
      </c>
      <c r="K178" s="242">
        <f t="shared" si="45"/>
        <v>0</v>
      </c>
    </row>
    <row r="179" spans="4:11" x14ac:dyDescent="0.35">
      <c r="D179" s="236" t="s">
        <v>259</v>
      </c>
      <c r="E179" s="242">
        <f>BDFE!$F$66/1000</f>
        <v>0</v>
      </c>
      <c r="F179" s="242">
        <f>BDFE!$F$137/1000</f>
        <v>0</v>
      </c>
      <c r="G179" s="242">
        <f>BDFE!$F$208/1000</f>
        <v>-570.53611999999998</v>
      </c>
      <c r="H179" s="242">
        <f>BDFE!$F$279/1000</f>
        <v>0</v>
      </c>
      <c r="I179" s="242">
        <f>BDFE!$F$350/1000</f>
        <v>0</v>
      </c>
      <c r="J179" s="242">
        <f>BDFE!$F$421/1000</f>
        <v>0</v>
      </c>
      <c r="K179" s="242">
        <f t="shared" si="45"/>
        <v>-570.53611999999998</v>
      </c>
    </row>
    <row r="180" spans="4:11" hidden="1" x14ac:dyDescent="0.35">
      <c r="D180" s="236" t="s">
        <v>260</v>
      </c>
      <c r="E180" s="242">
        <f>BDFE!$F$68/1000</f>
        <v>0</v>
      </c>
      <c r="F180" s="242">
        <f>BDFE!$F$139/1000</f>
        <v>0</v>
      </c>
      <c r="G180" s="242">
        <f>BDFE!$F$210/1000</f>
        <v>0</v>
      </c>
      <c r="H180" s="242">
        <f>BDFE!$F$281/1000</f>
        <v>0</v>
      </c>
      <c r="I180" s="242">
        <f>BDFE!$F$352/1000</f>
        <v>0</v>
      </c>
      <c r="J180" s="242">
        <f>BDFE!$F$423/1000</f>
        <v>0</v>
      </c>
      <c r="K180" s="242">
        <f t="shared" si="45"/>
        <v>0</v>
      </c>
    </row>
    <row r="181" spans="4:11" hidden="1" x14ac:dyDescent="0.35">
      <c r="D181" s="236" t="s">
        <v>261</v>
      </c>
      <c r="E181" s="242">
        <f>BDFE!$F$69/1000</f>
        <v>0</v>
      </c>
      <c r="F181" s="242">
        <f>BDFE!$F$140/1000</f>
        <v>0</v>
      </c>
      <c r="G181" s="242">
        <f>BDFE!$F$211/1000</f>
        <v>0</v>
      </c>
      <c r="H181" s="242">
        <f>BDFE!$F$282/1000</f>
        <v>0</v>
      </c>
      <c r="I181" s="242">
        <f>BDFE!$F$353/1000</f>
        <v>0</v>
      </c>
      <c r="J181" s="242">
        <f>BDFE!$F$424/1000</f>
        <v>0</v>
      </c>
      <c r="K181" s="242">
        <f t="shared" si="45"/>
        <v>0</v>
      </c>
    </row>
    <row r="182" spans="4:11" x14ac:dyDescent="0.35">
      <c r="D182" s="236" t="s">
        <v>10</v>
      </c>
      <c r="E182" s="245">
        <f>(BDFE!F49+BDFE!F51+BDFE!F53+BDFE!F55+BDFE!F57+BDFE!F59+BDFE!F61+BDFE!F63+BDFE!F65+BDFE!F67-BDFE!F11)/1000</f>
        <v>-1.1641532182693482E-13</v>
      </c>
      <c r="F182" s="245">
        <f>(BDFE!F120+BDFE!F122+BDFE!F124+BDFE!F126+BDFE!F128+BDFE!F130+BDFE!F132+BDFE!F134+BDFE!F136+BDFE!F138-BDFE!F82)/1000</f>
        <v>0</v>
      </c>
      <c r="G182" s="245">
        <f>(BDFE!F191+BDFE!F193+BDFE!F195+BDFE!F197+BDFE!F199+BDFE!F201+BDFE!F203+BDFE!F205+BDFE!F207+BDFE!F209-BDFE!F153)/1000</f>
        <v>0</v>
      </c>
      <c r="H182" s="245">
        <f>(BDFE!F262+BDFE!F264+BDFE!F266+BDFE!F268+BDFE!F270+BDFE!F272+BDFE!F274+BDFE!F276+BDFE!F278+BDFE!F280-BDFE!F224)/1000</f>
        <v>0</v>
      </c>
      <c r="I182" s="245">
        <f>(BDFE!F333+BDFE!F335+BDFE!F337+BDFE!F339+BDFE!F341+BDFE!F343+BDFE!F345+BDFE!F347+BDFE!F349+BDFE!F351-BDFE!F295)/1000</f>
        <v>0</v>
      </c>
      <c r="J182" s="245">
        <f>(BDFE!F404+BDFE!F406+BDFE!F408+BDFE!F410+BDFE!F412+BDFE!F414+BDFE!F416+BDFE!F418+BDFE!F420+BDFE!F422-BDFE!F366)/1000</f>
        <v>0</v>
      </c>
      <c r="K182" s="245">
        <f t="shared" si="45"/>
        <v>-1.1641532182693482E-13</v>
      </c>
    </row>
    <row r="183" spans="4:11" x14ac:dyDescent="0.35">
      <c r="D183" s="235" t="s">
        <v>262</v>
      </c>
      <c r="E183" s="239">
        <f>SUM(E170:E182)</f>
        <v>-77.687650000000119</v>
      </c>
      <c r="F183" s="239">
        <f>SUM(F170:F182)</f>
        <v>0</v>
      </c>
      <c r="G183" s="239">
        <f>SUM(G170:G182)</f>
        <v>-565.22262999999998</v>
      </c>
      <c r="H183" s="239">
        <f>SUM(H170:H182)</f>
        <v>-12.904629999999999</v>
      </c>
      <c r="I183" s="239">
        <f>SUM(I170:I182)</f>
        <v>0</v>
      </c>
      <c r="J183" s="239">
        <f t="shared" ref="J183:K183" si="46">SUM(J170:J182)</f>
        <v>0</v>
      </c>
      <c r="K183" s="239">
        <f t="shared" si="46"/>
        <v>-655.81491000000005</v>
      </c>
    </row>
    <row r="184" spans="4:11" x14ac:dyDescent="0.35">
      <c r="D184" s="236"/>
      <c r="E184" s="246"/>
      <c r="F184" s="246"/>
      <c r="G184" s="246"/>
      <c r="H184" s="246"/>
      <c r="I184" s="246"/>
      <c r="J184" s="246"/>
      <c r="K184" s="246"/>
    </row>
    <row r="185" spans="4:11" x14ac:dyDescent="0.35">
      <c r="D185" s="235" t="s">
        <v>263</v>
      </c>
      <c r="E185" s="247">
        <f>E148+E158+E167+E183</f>
        <v>-2156.44362</v>
      </c>
      <c r="F185" s="247">
        <f>F148+F158+F167+F183</f>
        <v>1803.7416499999999</v>
      </c>
      <c r="G185" s="247">
        <f t="shared" ref="G185" si="47">G148+G158+G167+G183</f>
        <v>1994.4766499999994</v>
      </c>
      <c r="H185" s="247">
        <f>H148+H158+H167+H183</f>
        <v>143.61235000000022</v>
      </c>
      <c r="I185" s="239">
        <f>I148+I158+I167+I183</f>
        <v>24.851629999999972</v>
      </c>
      <c r="J185" s="239">
        <f t="shared" ref="J185:K185" si="48">J148+J158+J167+J183</f>
        <v>54.116150000000005</v>
      </c>
      <c r="K185" s="239">
        <f t="shared" si="48"/>
        <v>1864.3548100000016</v>
      </c>
    </row>
    <row r="186" spans="4:11" x14ac:dyDescent="0.35">
      <c r="D186" s="237" t="s">
        <v>275</v>
      </c>
      <c r="E186" s="247">
        <f>(BDBG!I3+BDBG!I4)/1000</f>
        <v>13236.64363</v>
      </c>
      <c r="F186" s="247">
        <f>(BDBG!I57+BDBG!I58)/1000</f>
        <v>2976.3126699999998</v>
      </c>
      <c r="G186" s="247">
        <f>(BDBG!I111+BDBG!I112)/1000</f>
        <v>617.87617</v>
      </c>
      <c r="H186" s="247">
        <f>(BDBG!I165+BDBG!I166)/1000</f>
        <v>256.13817999999998</v>
      </c>
      <c r="I186" s="239">
        <f>(BDBG!I219+BDBG!I220)/1000</f>
        <v>261.57616999999999</v>
      </c>
      <c r="J186" s="239">
        <f>(BDBG!I273+BDBG!I274)/1000</f>
        <v>67.605890000000002</v>
      </c>
      <c r="K186" s="239">
        <f>SUM(E186,F186,G186,H186,I186,J186)</f>
        <v>17416.152710000002</v>
      </c>
    </row>
    <row r="187" spans="4:11" x14ac:dyDescent="0.35">
      <c r="D187" s="237" t="s">
        <v>276</v>
      </c>
      <c r="E187" s="247">
        <f t="shared" ref="E187" si="49">SUM(E185:E186)</f>
        <v>11080.20001</v>
      </c>
      <c r="F187" s="247">
        <f>SUM(F185:F186)</f>
        <v>4780.0543199999993</v>
      </c>
      <c r="G187" s="247">
        <f t="shared" ref="G187:I187" si="50">SUM(G185:G186)</f>
        <v>2612.3528199999992</v>
      </c>
      <c r="H187" s="247">
        <f t="shared" si="50"/>
        <v>399.7505300000002</v>
      </c>
      <c r="I187" s="247">
        <f t="shared" si="50"/>
        <v>286.42779999999993</v>
      </c>
      <c r="J187" s="247">
        <f t="shared" ref="J187:K187" si="51">SUM(J185:J186)</f>
        <v>121.72204000000001</v>
      </c>
      <c r="K187" s="247">
        <f t="shared" si="51"/>
        <v>19280.507520000003</v>
      </c>
    </row>
    <row r="193" spans="3:14" x14ac:dyDescent="0.35">
      <c r="C193" t="s">
        <v>283</v>
      </c>
      <c r="E193">
        <v>804</v>
      </c>
      <c r="F193">
        <v>805</v>
      </c>
      <c r="G193">
        <v>811</v>
      </c>
      <c r="H193">
        <v>813</v>
      </c>
      <c r="N193">
        <v>803</v>
      </c>
    </row>
    <row r="194" spans="3:14" x14ac:dyDescent="0.35">
      <c r="D194" s="235" t="s">
        <v>267</v>
      </c>
      <c r="E194" s="235" t="s">
        <v>106</v>
      </c>
      <c r="F194" s="236"/>
      <c r="G194" s="236"/>
      <c r="H194" s="236"/>
      <c r="N194" s="235"/>
    </row>
    <row r="195" spans="3:14" x14ac:dyDescent="0.35">
      <c r="D195" s="236"/>
      <c r="E195" s="238" t="s">
        <v>180</v>
      </c>
      <c r="F195" s="238" t="s">
        <v>181</v>
      </c>
      <c r="G195" s="238" t="s">
        <v>182</v>
      </c>
      <c r="H195" s="238" t="s">
        <v>183</v>
      </c>
      <c r="I195" s="238" t="s">
        <v>140</v>
      </c>
      <c r="N195" s="238" t="s">
        <v>179</v>
      </c>
    </row>
    <row r="196" spans="3:14" x14ac:dyDescent="0.35">
      <c r="D196" s="235" t="s">
        <v>247</v>
      </c>
      <c r="E196" s="239">
        <f>(BDFE!C1296+BDFE!C1285)/1000</f>
        <v>16.672080000000001</v>
      </c>
      <c r="F196" s="239">
        <f>(BDFE!C1369+BDFE!C1358)/1000</f>
        <v>29.193919999999999</v>
      </c>
      <c r="G196" s="239">
        <f>(BDFE!C1588+BDFE!C1577)/1000</f>
        <v>39.601510000000005</v>
      </c>
      <c r="H196" s="239">
        <f>(BDFE!C1734+BDFE!C1723)/1000</f>
        <v>32.377099999999999</v>
      </c>
      <c r="I196" s="239">
        <f>SUM(N196,E196,F196,G196,H196)</f>
        <v>117.84461</v>
      </c>
      <c r="N196" s="293"/>
    </row>
    <row r="197" spans="3:14" x14ac:dyDescent="0.35">
      <c r="D197" s="236"/>
      <c r="E197" s="240"/>
      <c r="F197" s="240"/>
      <c r="G197" s="240"/>
      <c r="H197" s="240"/>
      <c r="I197" s="240"/>
      <c r="N197" s="240"/>
    </row>
    <row r="198" spans="3:14" x14ac:dyDescent="0.35">
      <c r="D198" s="235" t="s">
        <v>270</v>
      </c>
      <c r="E198" s="240"/>
      <c r="F198" s="240"/>
      <c r="G198" s="240"/>
      <c r="H198" s="240"/>
      <c r="I198" s="240"/>
      <c r="N198" s="240"/>
    </row>
    <row r="199" spans="3:14" x14ac:dyDescent="0.35">
      <c r="D199" s="236" t="s">
        <v>196</v>
      </c>
      <c r="E199" s="241">
        <f>BDFE!$C$1299/1000</f>
        <v>-14.75084</v>
      </c>
      <c r="F199" s="241">
        <f>BDFE!$C$1372/1000</f>
        <v>3.38632</v>
      </c>
      <c r="G199" s="241">
        <f>BDFE!$C$1591/1000</f>
        <v>-26.540119999999998</v>
      </c>
      <c r="H199" s="241">
        <f>BDFE!$C$1737/1000</f>
        <v>-19.70608</v>
      </c>
      <c r="I199" s="241">
        <f t="shared" ref="I199:I204" si="52">SUM(N199,E199,F199,G199,H199)</f>
        <v>-57.610720000000001</v>
      </c>
      <c r="N199" s="294"/>
    </row>
    <row r="200" spans="3:14" x14ac:dyDescent="0.35">
      <c r="D200" s="236" t="s">
        <v>197</v>
      </c>
      <c r="E200" s="242">
        <f>(BDFE!C1300+BDFE!C1301)/1000</f>
        <v>0</v>
      </c>
      <c r="F200" s="242">
        <f>(BDFE!C1373+BDFE!C1374)/1000</f>
        <v>0</v>
      </c>
      <c r="G200" s="242">
        <f>(BDFE!C1592+BDFE!C1593)/1000</f>
        <v>0</v>
      </c>
      <c r="H200" s="242">
        <f>(BDFE!C1738+BDFE!C1739)/1000</f>
        <v>-310.40454999999997</v>
      </c>
      <c r="I200" s="242">
        <f t="shared" si="52"/>
        <v>-310.40454999999997</v>
      </c>
      <c r="N200" s="264"/>
    </row>
    <row r="201" spans="3:14" x14ac:dyDescent="0.35">
      <c r="D201" s="236" t="s">
        <v>198</v>
      </c>
      <c r="E201" s="242">
        <f>BDFE!$C$1302/1000</f>
        <v>2.0569600000000001</v>
      </c>
      <c r="F201" s="242">
        <f>BDFE!$C$1375/1000</f>
        <v>3.5768400000000002</v>
      </c>
      <c r="G201" s="242">
        <f>BDFE!$C$1594/1000</f>
        <v>-2.7741700000000002</v>
      </c>
      <c r="H201" s="242">
        <f>BDFE!$C$1740/1000</f>
        <v>2.6583699999999997</v>
      </c>
      <c r="I201" s="242">
        <f t="shared" si="52"/>
        <v>5.5180000000000007</v>
      </c>
      <c r="N201" s="264"/>
    </row>
    <row r="202" spans="3:14" x14ac:dyDescent="0.35">
      <c r="D202" s="236" t="s">
        <v>199</v>
      </c>
      <c r="E202" s="242">
        <f>BDFE!$C$1304/1000</f>
        <v>-9.3445699999999992</v>
      </c>
      <c r="F202" s="242">
        <f>BDFE!$C$1377/1000</f>
        <v>-12.094040000000001</v>
      </c>
      <c r="G202" s="242">
        <f>BDFE!$C$1596/1000</f>
        <v>1.2271099999999999</v>
      </c>
      <c r="H202" s="242">
        <f>BDFE!$C$1742/1000</f>
        <v>0.69911999999999996</v>
      </c>
      <c r="I202" s="242">
        <f t="shared" si="52"/>
        <v>-19.51238</v>
      </c>
      <c r="N202" s="264"/>
    </row>
    <row r="203" spans="3:14" x14ac:dyDescent="0.35">
      <c r="D203" s="236" t="s">
        <v>222</v>
      </c>
      <c r="E203" s="242">
        <f>BDFE!$C$1305/1000</f>
        <v>27.590130000000002</v>
      </c>
      <c r="F203" s="242">
        <f>BDFE!$C$1378/1000</f>
        <v>-16.707909999999998</v>
      </c>
      <c r="G203" s="242">
        <f>BDFE!$C$1597/1000</f>
        <v>5.3502000000000001</v>
      </c>
      <c r="H203" s="242">
        <f>BDFE!$C$1743/1000</f>
        <v>3.4082399999999997</v>
      </c>
      <c r="I203" s="242">
        <f t="shared" si="52"/>
        <v>19.640660000000004</v>
      </c>
      <c r="N203" s="264"/>
    </row>
    <row r="204" spans="3:14" x14ac:dyDescent="0.35">
      <c r="D204" s="236" t="s">
        <v>248</v>
      </c>
      <c r="E204" s="242">
        <f>(BDFE!C1306+BDFE!C1307+BDFE!C1309)/1000</f>
        <v>-230</v>
      </c>
      <c r="F204" s="242">
        <f>(BDFE!C1379+BDFE!C1380+BDFE!C1382)/1000</f>
        <v>-506</v>
      </c>
      <c r="G204" s="242">
        <f>(BDFE!C1598+BDFE!C1599+BDFE!C1601)/1000</f>
        <v>-194.41090000000003</v>
      </c>
      <c r="H204" s="242">
        <f>(BDFE!C1744+BDFE!C1745+BDFE!C1747)/1000</f>
        <v>0.48580000000000001</v>
      </c>
      <c r="I204" s="242">
        <f t="shared" si="52"/>
        <v>-929.92510000000004</v>
      </c>
      <c r="N204" s="264"/>
    </row>
    <row r="205" spans="3:14" x14ac:dyDescent="0.35">
      <c r="D205" s="236" t="s">
        <v>249</v>
      </c>
      <c r="E205" s="242">
        <f>(BDFE!C1308+BDFE!C1310)/1000</f>
        <v>-79.009919999999994</v>
      </c>
      <c r="F205" s="242">
        <f>(BDFE!C1381+BDFE!C1383)/1000</f>
        <v>41.930800000000005</v>
      </c>
      <c r="G205" s="242">
        <f>(BDFE!C1600+BDFE!C1602)/1000</f>
        <v>7.2414399999999999</v>
      </c>
      <c r="H205" s="242">
        <f>(BDFE!C1746+BDFE!C1748)/1000</f>
        <v>6.9186499999999995</v>
      </c>
      <c r="I205" s="242">
        <f>SUM(N205,E205,F205,G205,H205)</f>
        <v>-22.919029999999989</v>
      </c>
      <c r="N205" s="264"/>
    </row>
    <row r="206" spans="3:14" x14ac:dyDescent="0.35">
      <c r="D206" s="235" t="s">
        <v>270</v>
      </c>
      <c r="E206" s="239">
        <f>SUM(E199:E205)</f>
        <v>-303.45823999999999</v>
      </c>
      <c r="F206" s="239">
        <f>SUM(F199:F205)</f>
        <v>-485.90799000000004</v>
      </c>
      <c r="G206" s="239">
        <f>SUM(G199:G205)</f>
        <v>-209.90644</v>
      </c>
      <c r="H206" s="239">
        <f>SUM(H199:H205)</f>
        <v>-315.94045</v>
      </c>
      <c r="I206" s="239">
        <f>SUM(N206,E206,F206,G206,H206)</f>
        <v>-1315.2131200000001</v>
      </c>
      <c r="N206" s="292"/>
    </row>
    <row r="207" spans="3:14" x14ac:dyDescent="0.35">
      <c r="D207" s="236"/>
      <c r="E207" s="243"/>
      <c r="F207" s="243"/>
      <c r="G207" s="243"/>
      <c r="H207" s="243"/>
      <c r="I207" s="243"/>
      <c r="N207" s="243"/>
    </row>
    <row r="208" spans="3:14" x14ac:dyDescent="0.35">
      <c r="D208" s="235" t="s">
        <v>250</v>
      </c>
      <c r="E208" s="240"/>
      <c r="F208" s="240"/>
      <c r="G208" s="240"/>
      <c r="H208" s="240"/>
      <c r="I208" s="240"/>
      <c r="N208" s="240"/>
    </row>
    <row r="209" spans="4:14" x14ac:dyDescent="0.35">
      <c r="D209" s="236" t="s">
        <v>251</v>
      </c>
      <c r="E209" s="241">
        <f>BDFE!$C$1313/1000</f>
        <v>0</v>
      </c>
      <c r="F209" s="241">
        <f>BDFE!$C$1386/1000</f>
        <v>0</v>
      </c>
      <c r="G209" s="241">
        <f>BDFE!$C$1605/1000</f>
        <v>0</v>
      </c>
      <c r="H209" s="241">
        <f>BDFE!$C$1751/1000</f>
        <v>0</v>
      </c>
      <c r="I209" s="241">
        <f t="shared" ref="I209:I215" si="53">SUM(N209,E209,F209,G209,H209)</f>
        <v>0</v>
      </c>
      <c r="N209" s="294"/>
    </row>
    <row r="210" spans="4:14" x14ac:dyDescent="0.35">
      <c r="D210" s="236" t="s">
        <v>252</v>
      </c>
      <c r="E210" s="242">
        <f>BDFE!$C$1314/1000</f>
        <v>0</v>
      </c>
      <c r="F210" s="242">
        <f>BDFE!$C$1387/1000</f>
        <v>0</v>
      </c>
      <c r="G210" s="242">
        <f>BDFE!$C$1606/1000</f>
        <v>0</v>
      </c>
      <c r="H210" s="242">
        <f>BDFE!$C$1752/1000</f>
        <v>0</v>
      </c>
      <c r="I210" s="242">
        <f t="shared" si="53"/>
        <v>0</v>
      </c>
      <c r="N210" s="264"/>
    </row>
    <row r="211" spans="4:14" x14ac:dyDescent="0.35">
      <c r="D211" s="236" t="s">
        <v>237</v>
      </c>
      <c r="E211" s="242">
        <f>BDFE!$C$1315/1000</f>
        <v>0</v>
      </c>
      <c r="F211" s="242">
        <f>BDFE!$C$1388/1000</f>
        <v>0</v>
      </c>
      <c r="G211" s="242">
        <f>BDFE!$C$1607/1000</f>
        <v>0</v>
      </c>
      <c r="H211" s="242">
        <f>BDFE!$C$1753/1000</f>
        <v>0</v>
      </c>
      <c r="I211" s="242">
        <f t="shared" si="53"/>
        <v>0</v>
      </c>
      <c r="N211" s="264"/>
    </row>
    <row r="212" spans="4:14" hidden="1" x14ac:dyDescent="0.35">
      <c r="D212" s="236" t="s">
        <v>253</v>
      </c>
      <c r="E212" s="242">
        <f>BDFE!$C$1316/1000</f>
        <v>0</v>
      </c>
      <c r="F212" s="242">
        <f>BDFE!$C$1389/1000</f>
        <v>0</v>
      </c>
      <c r="G212" s="242">
        <f>BDFE!$C$1608/1000</f>
        <v>0</v>
      </c>
      <c r="H212" s="242">
        <f>BDFE!$C$1754/1000</f>
        <v>0</v>
      </c>
      <c r="I212" s="242">
        <f t="shared" si="53"/>
        <v>0</v>
      </c>
      <c r="N212" s="264"/>
    </row>
    <row r="213" spans="4:14" hidden="1" x14ac:dyDescent="0.35">
      <c r="D213" s="236" t="s">
        <v>271</v>
      </c>
      <c r="E213" s="242">
        <f>(BDFE!C1317+BDFE!C1318)/1000</f>
        <v>0</v>
      </c>
      <c r="F213" s="242">
        <f>(BDFE!$C$1390+BDFE!C1391)/1000</f>
        <v>0</v>
      </c>
      <c r="G213" s="242">
        <f>(BDFE!C1609+BDFE!C1610)/1000</f>
        <v>0</v>
      </c>
      <c r="H213" s="242">
        <f>(BDFE!C1755+BDFE!C1756)/1000</f>
        <v>0</v>
      </c>
      <c r="I213" s="242">
        <f t="shared" si="53"/>
        <v>0</v>
      </c>
      <c r="N213" s="264"/>
    </row>
    <row r="214" spans="4:14" x14ac:dyDescent="0.35">
      <c r="D214" s="236" t="s">
        <v>254</v>
      </c>
      <c r="E214" s="242">
        <f>BDFE!$C$1319/1000</f>
        <v>0</v>
      </c>
      <c r="F214" s="242">
        <f>BDFE!$C$1392/1000</f>
        <v>0</v>
      </c>
      <c r="G214" s="242">
        <f>BDFE!$C$1611/1000</f>
        <v>0</v>
      </c>
      <c r="H214" s="245">
        <f>BDFE!$C$1757/1000</f>
        <v>0</v>
      </c>
      <c r="I214" s="245">
        <f t="shared" si="53"/>
        <v>0</v>
      </c>
      <c r="N214" s="264"/>
    </row>
    <row r="215" spans="4:14" x14ac:dyDescent="0.35">
      <c r="D215" s="235" t="s">
        <v>255</v>
      </c>
      <c r="E215" s="239">
        <f>SUM(E209:E214)</f>
        <v>0</v>
      </c>
      <c r="F215" s="239">
        <f>SUM(F209:F214)</f>
        <v>0</v>
      </c>
      <c r="G215" s="239">
        <f>SUM(G209:G214)</f>
        <v>0</v>
      </c>
      <c r="H215" s="239">
        <f>SUM(H209:H214)</f>
        <v>0</v>
      </c>
      <c r="I215" s="239">
        <f t="shared" si="53"/>
        <v>0</v>
      </c>
      <c r="N215" s="292"/>
    </row>
    <row r="216" spans="4:14" x14ac:dyDescent="0.35">
      <c r="D216" s="235"/>
      <c r="E216" s="244"/>
      <c r="F216" s="244"/>
      <c r="G216" s="244"/>
      <c r="H216" s="243"/>
      <c r="I216" s="243"/>
      <c r="N216" s="243"/>
    </row>
    <row r="217" spans="4:14" x14ac:dyDescent="0.35">
      <c r="D217" s="235" t="s">
        <v>256</v>
      </c>
      <c r="E217" s="240"/>
      <c r="F217" s="240"/>
      <c r="G217" s="240"/>
      <c r="H217" s="240"/>
      <c r="I217" s="240"/>
      <c r="N217" s="240"/>
    </row>
    <row r="218" spans="4:14" x14ac:dyDescent="0.35">
      <c r="D218" s="236" t="s">
        <v>204</v>
      </c>
      <c r="E218" s="241">
        <f>BDFE!$C$1322/1000</f>
        <v>0</v>
      </c>
      <c r="F218" s="241">
        <f>BDFE!$C$1395/1000</f>
        <v>0</v>
      </c>
      <c r="G218" s="241">
        <f>BDFE!$C$1614/1000</f>
        <v>0</v>
      </c>
      <c r="H218" s="241">
        <f>BDFE!$C$1760/1000</f>
        <v>0</v>
      </c>
      <c r="I218" s="241">
        <f t="shared" ref="I218:I231" si="54">SUM(N218,E218,F218,G218,H218)</f>
        <v>0</v>
      </c>
      <c r="N218" s="294"/>
    </row>
    <row r="219" spans="4:14" x14ac:dyDescent="0.35">
      <c r="D219" s="236" t="s">
        <v>208</v>
      </c>
      <c r="E219" s="242">
        <f>BDFE!$C$1324/1000</f>
        <v>0</v>
      </c>
      <c r="F219" s="242">
        <f>BDFE!$C$1397/1000</f>
        <v>0</v>
      </c>
      <c r="G219" s="242">
        <f>BDFE!$C$1616/1000</f>
        <v>0</v>
      </c>
      <c r="H219" s="242">
        <f>BDFE!$C$1762/1000</f>
        <v>-9.1074599999999997</v>
      </c>
      <c r="I219" s="242">
        <f t="shared" si="54"/>
        <v>-9.1074599999999997</v>
      </c>
      <c r="N219" s="264"/>
    </row>
    <row r="220" spans="4:14" x14ac:dyDescent="0.35">
      <c r="D220" s="236" t="s">
        <v>207</v>
      </c>
      <c r="E220" s="242">
        <f>BDFE!$C$1326/1000</f>
        <v>0</v>
      </c>
      <c r="F220" s="242">
        <f>BDFE!$C$1399/1000</f>
        <v>0</v>
      </c>
      <c r="G220" s="242">
        <f>BDFE!$C$1618/1000</f>
        <v>0</v>
      </c>
      <c r="H220" s="242">
        <f>BDFE!$C$1764/1000</f>
        <v>0</v>
      </c>
      <c r="I220" s="242">
        <f t="shared" si="54"/>
        <v>0</v>
      </c>
      <c r="N220" s="264"/>
    </row>
    <row r="221" spans="4:14" x14ac:dyDescent="0.35">
      <c r="D221" s="236" t="s">
        <v>206</v>
      </c>
      <c r="E221" s="242">
        <f>BDFE!$C$1328/1000</f>
        <v>0</v>
      </c>
      <c r="F221" s="242">
        <f>BDFE!$C$1401/1000</f>
        <v>0</v>
      </c>
      <c r="G221" s="242">
        <f>BDFE!$C$1620/1000</f>
        <v>0</v>
      </c>
      <c r="H221" s="242">
        <f>BDFE!$C$1766/1000</f>
        <v>0</v>
      </c>
      <c r="I221" s="242">
        <f t="shared" si="54"/>
        <v>0</v>
      </c>
      <c r="N221" s="264"/>
    </row>
    <row r="222" spans="4:14" x14ac:dyDescent="0.35">
      <c r="D222" s="236" t="s">
        <v>257</v>
      </c>
      <c r="E222" s="242">
        <f>BDFE!$C$1330/1000</f>
        <v>0</v>
      </c>
      <c r="F222" s="242">
        <f>BDFE!$C$1403/1000</f>
        <v>0</v>
      </c>
      <c r="G222" s="242">
        <f>BDFE!$C$1622/1000</f>
        <v>0</v>
      </c>
      <c r="H222" s="242">
        <f>BDFE!$C$1768/1000</f>
        <v>0</v>
      </c>
      <c r="I222" s="242">
        <f t="shared" si="54"/>
        <v>0</v>
      </c>
      <c r="N222" s="264"/>
    </row>
    <row r="223" spans="4:14" x14ac:dyDescent="0.35">
      <c r="D223" s="236" t="s">
        <v>272</v>
      </c>
      <c r="E223" s="242">
        <f>BDFE!$C$1332/1000</f>
        <v>0</v>
      </c>
      <c r="F223" s="242">
        <f>BDFE!$C$1405/1000</f>
        <v>0</v>
      </c>
      <c r="G223" s="242">
        <f>BDFE!$C$1624/1000</f>
        <v>0</v>
      </c>
      <c r="H223" s="242">
        <f>BDFE!$C$1770/1000</f>
        <v>0</v>
      </c>
      <c r="I223" s="242">
        <f t="shared" si="54"/>
        <v>0</v>
      </c>
      <c r="N223" s="264"/>
    </row>
    <row r="224" spans="4:14" x14ac:dyDescent="0.35">
      <c r="D224" s="236" t="s">
        <v>273</v>
      </c>
      <c r="E224" s="242">
        <f>BDFE!$C$1334/1000</f>
        <v>0</v>
      </c>
      <c r="F224" s="242">
        <f>BDFE!$C$1407/1000</f>
        <v>0</v>
      </c>
      <c r="G224" s="242">
        <f>BDFE!$C$1626/1000</f>
        <v>0</v>
      </c>
      <c r="H224" s="242">
        <f>BDFE!$C$1772/1000</f>
        <v>0</v>
      </c>
      <c r="I224" s="242">
        <f t="shared" si="54"/>
        <v>0</v>
      </c>
      <c r="N224" s="264"/>
    </row>
    <row r="225" spans="4:14" x14ac:dyDescent="0.35">
      <c r="D225" s="236" t="s">
        <v>274</v>
      </c>
      <c r="E225" s="242">
        <f>BDFE!$C$1336/1000</f>
        <v>0</v>
      </c>
      <c r="F225" s="242">
        <f>BDFE!$C$1409/1000</f>
        <v>0</v>
      </c>
      <c r="G225" s="242">
        <f>BDFE!$C$1628/1000</f>
        <v>-0.5</v>
      </c>
      <c r="H225" s="242">
        <f>BDFE!$C$1774/1000</f>
        <v>0</v>
      </c>
      <c r="I225" s="242">
        <f t="shared" si="54"/>
        <v>-0.5</v>
      </c>
      <c r="N225" s="264"/>
    </row>
    <row r="226" spans="4:14" x14ac:dyDescent="0.35">
      <c r="D226" s="236" t="s">
        <v>258</v>
      </c>
      <c r="E226" s="242">
        <f>BDFE!$C$1338/1000</f>
        <v>0</v>
      </c>
      <c r="F226" s="242">
        <f>BDFE!$C$1411/1000</f>
        <v>0</v>
      </c>
      <c r="G226" s="242">
        <f>BDFE!$C$1630/1000</f>
        <v>0</v>
      </c>
      <c r="H226" s="242">
        <f>BDFE!$C$1776/1000</f>
        <v>0</v>
      </c>
      <c r="I226" s="242">
        <f t="shared" si="54"/>
        <v>0</v>
      </c>
      <c r="N226" s="264"/>
    </row>
    <row r="227" spans="4:14" x14ac:dyDescent="0.35">
      <c r="D227" s="236" t="s">
        <v>259</v>
      </c>
      <c r="E227" s="242">
        <f>BDFE!$C$1340/1000</f>
        <v>0</v>
      </c>
      <c r="F227" s="242">
        <f>BDFE!$C$1413/1000</f>
        <v>-34.902000000000001</v>
      </c>
      <c r="G227" s="242">
        <f>BDFE!$C$1632/1000</f>
        <v>-0.58063999999999993</v>
      </c>
      <c r="H227" s="242">
        <f>BDFE!$C$1778/1000</f>
        <v>0</v>
      </c>
      <c r="I227" s="242">
        <f t="shared" si="54"/>
        <v>-35.482640000000004</v>
      </c>
      <c r="N227" s="264"/>
    </row>
    <row r="228" spans="4:14" hidden="1" x14ac:dyDescent="0.35">
      <c r="D228" s="236" t="s">
        <v>260</v>
      </c>
      <c r="E228" s="242">
        <f>BDFE!$C$1343/1000</f>
        <v>0</v>
      </c>
      <c r="F228" s="242">
        <f>BDFE!$C$1416/1000</f>
        <v>0</v>
      </c>
      <c r="G228" s="242">
        <f>BDFE!$C$1635/1000</f>
        <v>0</v>
      </c>
      <c r="H228" s="242">
        <f>BDFE!$C$1781/1000</f>
        <v>0</v>
      </c>
      <c r="I228" s="242">
        <f t="shared" si="54"/>
        <v>0</v>
      </c>
      <c r="N228" s="264"/>
    </row>
    <row r="229" spans="4:14" hidden="1" x14ac:dyDescent="0.35">
      <c r="D229" s="236" t="s">
        <v>261</v>
      </c>
      <c r="E229" s="242">
        <f>BDFE!$C$1344/1000</f>
        <v>0</v>
      </c>
      <c r="F229" s="242">
        <f>BDFE!$C$1417/1000</f>
        <v>0</v>
      </c>
      <c r="G229" s="242">
        <f>BDFE!$C$1636/1000</f>
        <v>0</v>
      </c>
      <c r="H229" s="242">
        <f>BDFE!$C$1782/1000</f>
        <v>0</v>
      </c>
      <c r="I229" s="242">
        <f t="shared" si="54"/>
        <v>0</v>
      </c>
      <c r="N229" s="264"/>
    </row>
    <row r="230" spans="4:14" x14ac:dyDescent="0.35">
      <c r="D230" s="236" t="s">
        <v>10</v>
      </c>
      <c r="E230" s="245">
        <f>(BDFE!C1323+BDFE!C1325+BDFE!C1327+BDFE!C1329+BDFE!C1331+BDFE!C1333+BDFE!C1335+BDFE!C1337+BDFE!C1339+BDFE!C1341+BDFE!C1342-BDFE!C1285)/1000</f>
        <v>0</v>
      </c>
      <c r="F230" s="245">
        <f>(BDFE!C1396+BDFE!C1398+BDFE!C1400+BDFE!C1402+BDFE!C1404+BDFE!C1406+BDFE!C1408+BDFE!C1410+BDFE!C1412+BDFE!C1414+BDFE!C1415-BDFE!C1358)/1000</f>
        <v>0</v>
      </c>
      <c r="G230" s="245">
        <f>(BDFE!C1615+BDFE!C1617+BDFE!C1619+BDFE!C1621+BDFE!C1623+BDFE!C1625+BDFE!C1627+BDFE!C1629+BDFE!C1631+BDFE!C1633+BDFE!C1634-BDFE!C1577)/1000</f>
        <v>0</v>
      </c>
      <c r="H230" s="245">
        <f>(BDFE!C1761+BDFE!C1763+BDFE!C1765+BDFE!C1767+BDFE!C1769+BDFE!C1771+BDFE!C1773+BDFE!C1775+BDFE!C1777+BDFE!C1779+BDFE!C1780-BDFE!C1723)/1000</f>
        <v>0</v>
      </c>
      <c r="I230" s="245">
        <f t="shared" si="54"/>
        <v>0</v>
      </c>
      <c r="N230" s="264"/>
    </row>
    <row r="231" spans="4:14" x14ac:dyDescent="0.35">
      <c r="D231" s="235" t="s">
        <v>262</v>
      </c>
      <c r="E231" s="239">
        <f>SUM(E218:E230)</f>
        <v>0</v>
      </c>
      <c r="F231" s="239">
        <f>SUM(F218:F230)</f>
        <v>-34.902000000000001</v>
      </c>
      <c r="G231" s="239">
        <f>SUM(G218:G230)</f>
        <v>-1.0806399999999998</v>
      </c>
      <c r="H231" s="239">
        <f>SUM(H218:H230)</f>
        <v>-9.1074599999999997</v>
      </c>
      <c r="I231" s="239">
        <f t="shared" si="54"/>
        <v>-45.090100000000007</v>
      </c>
      <c r="N231" s="292"/>
    </row>
    <row r="232" spans="4:14" x14ac:dyDescent="0.35">
      <c r="D232" s="236"/>
      <c r="E232" s="246"/>
      <c r="F232" s="246"/>
      <c r="G232" s="246"/>
      <c r="H232" s="249"/>
      <c r="I232" s="249"/>
      <c r="N232" s="240"/>
    </row>
    <row r="233" spans="4:14" x14ac:dyDescent="0.35">
      <c r="D233" s="235" t="s">
        <v>263</v>
      </c>
      <c r="E233" s="247">
        <f>E196+E206+E215+E231</f>
        <v>-286.78616</v>
      </c>
      <c r="F233" s="247">
        <f>F196+F206+F215+F231</f>
        <v>-491.61607000000004</v>
      </c>
      <c r="G233" s="247">
        <f>G196+G206+G215+G231</f>
        <v>-171.38557</v>
      </c>
      <c r="H233" s="239">
        <f>H196+H206+H215+H231</f>
        <v>-292.67081000000002</v>
      </c>
      <c r="I233" s="239">
        <f>I196+I206+I215+I231</f>
        <v>-1242.4586100000001</v>
      </c>
      <c r="N233" s="291"/>
    </row>
    <row r="234" spans="4:14" x14ac:dyDescent="0.35">
      <c r="D234" s="237" t="s">
        <v>275</v>
      </c>
      <c r="E234" s="247">
        <f>BDBG!$H$1138/1000</f>
        <v>293.68430000000001</v>
      </c>
      <c r="F234" s="247">
        <f>BDBG!$H$1192/1000</f>
        <v>788.31259999999997</v>
      </c>
      <c r="G234" s="247">
        <f>BDBG!$H$1354/1000</f>
        <v>317.99106999999998</v>
      </c>
      <c r="H234" s="239">
        <f>BDBG!$H$1462/1000</f>
        <v>362.06971000000004</v>
      </c>
      <c r="I234" s="239">
        <f>SUM(N234,E234,F234,G234,H234)</f>
        <v>1762.0576800000001</v>
      </c>
      <c r="N234" s="263"/>
    </row>
    <row r="235" spans="4:14" x14ac:dyDescent="0.35">
      <c r="D235" s="237" t="s">
        <v>276</v>
      </c>
      <c r="E235" s="247">
        <f>SUM(E233:E234)</f>
        <v>6.8981400000000122</v>
      </c>
      <c r="F235" s="247">
        <f>SUM(F233:F234)</f>
        <v>296.69652999999994</v>
      </c>
      <c r="G235" s="247">
        <f>SUM(G233:G234)</f>
        <v>146.60549999999998</v>
      </c>
      <c r="H235" s="247">
        <f>SUM(H233:H234)</f>
        <v>69.398900000000026</v>
      </c>
      <c r="I235" s="247">
        <f>SUM(I233:I234)</f>
        <v>519.59906999999998</v>
      </c>
      <c r="N235" s="292"/>
    </row>
    <row r="237" spans="4:14" x14ac:dyDescent="0.35">
      <c r="I237" s="253"/>
      <c r="J237" s="253"/>
    </row>
    <row r="242" spans="4:10" x14ac:dyDescent="0.35">
      <c r="D242" s="250"/>
      <c r="E242" s="235"/>
      <c r="F242" s="235" t="s">
        <v>277</v>
      </c>
      <c r="G242" s="236"/>
      <c r="H242" s="236"/>
      <c r="I242" s="236"/>
      <c r="J242" s="236"/>
    </row>
    <row r="243" spans="4:10" x14ac:dyDescent="0.35">
      <c r="D243" s="251" t="s">
        <v>278</v>
      </c>
      <c r="E243" s="238" t="s">
        <v>180</v>
      </c>
      <c r="F243" s="238" t="s">
        <v>181</v>
      </c>
      <c r="G243" s="238" t="s">
        <v>182</v>
      </c>
      <c r="H243" s="238" t="s">
        <v>183</v>
      </c>
      <c r="I243" s="238" t="s">
        <v>140</v>
      </c>
    </row>
    <row r="244" spans="4:10" x14ac:dyDescent="0.35">
      <c r="D244" s="235" t="s">
        <v>247</v>
      </c>
      <c r="E244" s="239">
        <f>(BDFE!F1296+BDFE!F1285)/1000</f>
        <v>16.672080000000001</v>
      </c>
      <c r="F244" s="239">
        <f>(BDFE!F1369+BDFE!F1358)/1000</f>
        <v>29.193919999999999</v>
      </c>
      <c r="G244" s="239">
        <f>(BDFE!F1588+BDFE!F1577)/1000</f>
        <v>39.601510000000005</v>
      </c>
      <c r="H244" s="239">
        <f>(BDFE!F1734+BDFE!F1723)/1000</f>
        <v>32.377099999999999</v>
      </c>
      <c r="I244" s="239">
        <f>SUM(E244,F244,G244,H244)</f>
        <v>117.84461</v>
      </c>
    </row>
    <row r="245" spans="4:10" x14ac:dyDescent="0.35">
      <c r="D245" s="236"/>
      <c r="E245" s="240"/>
      <c r="F245" s="240"/>
      <c r="G245" s="240"/>
      <c r="H245" s="240"/>
      <c r="I245" s="240"/>
    </row>
    <row r="246" spans="4:10" x14ac:dyDescent="0.35">
      <c r="D246" s="235" t="s">
        <v>270</v>
      </c>
      <c r="E246" s="240"/>
      <c r="F246" s="240"/>
      <c r="G246" s="240"/>
      <c r="H246" s="240"/>
      <c r="I246" s="240"/>
    </row>
    <row r="247" spans="4:10" x14ac:dyDescent="0.35">
      <c r="D247" s="236" t="s">
        <v>196</v>
      </c>
      <c r="E247" s="241">
        <f>BDFE!$F$1299/1000</f>
        <v>-14.75084</v>
      </c>
      <c r="F247" s="241">
        <f>BDFE!$F$1372/1000</f>
        <v>3.38632</v>
      </c>
      <c r="G247" s="241">
        <f>BDFE!$F$1591/1000</f>
        <v>-26.540119999999998</v>
      </c>
      <c r="H247" s="241">
        <f>BDFE!$F$1737/1000</f>
        <v>-19.70608</v>
      </c>
      <c r="I247" s="241">
        <f t="shared" ref="I247:I254" si="55">SUM(E247,F247,G247,H247)</f>
        <v>-57.610720000000001</v>
      </c>
    </row>
    <row r="248" spans="4:10" x14ac:dyDescent="0.35">
      <c r="D248" s="236" t="s">
        <v>197</v>
      </c>
      <c r="E248" s="242">
        <f>(BDFE!F1300+BDFE!F1301)/1000</f>
        <v>0</v>
      </c>
      <c r="F248" s="242">
        <f>(BDFE!F1373+BDFE!F1374)/1000</f>
        <v>0</v>
      </c>
      <c r="G248" s="242">
        <f>(BDFE!F1592+BDFE!F1593)/1000</f>
        <v>0</v>
      </c>
      <c r="H248" s="242">
        <f>(BDFE!F1738+BDFE!F1739)/1000</f>
        <v>-310.40454999999997</v>
      </c>
      <c r="I248" s="242">
        <f t="shared" si="55"/>
        <v>-310.40454999999997</v>
      </c>
    </row>
    <row r="249" spans="4:10" x14ac:dyDescent="0.35">
      <c r="D249" s="236" t="s">
        <v>198</v>
      </c>
      <c r="E249" s="242">
        <f>BDFE!$F$1302/1000</f>
        <v>2.0569600000000001</v>
      </c>
      <c r="F249" s="242">
        <f>BDFE!$F$1375/1000</f>
        <v>3.5768400000000002</v>
      </c>
      <c r="G249" s="242">
        <f>BDFE!$F$1594/1000</f>
        <v>-2.7741700000000002</v>
      </c>
      <c r="H249" s="242">
        <f>BDFE!$F$1740/1000</f>
        <v>2.6583699999999997</v>
      </c>
      <c r="I249" s="242">
        <f t="shared" si="55"/>
        <v>5.5180000000000007</v>
      </c>
    </row>
    <row r="250" spans="4:10" x14ac:dyDescent="0.35">
      <c r="D250" s="236" t="s">
        <v>199</v>
      </c>
      <c r="E250" s="242">
        <f>BDFE!$F$1304/1000</f>
        <v>-9.3445699999999992</v>
      </c>
      <c r="F250" s="242">
        <f>BDFE!$F$1377/1000</f>
        <v>-12.094040000000001</v>
      </c>
      <c r="G250" s="242">
        <f>BDFE!$F$1596/1000</f>
        <v>1.2271099999999999</v>
      </c>
      <c r="H250" s="242">
        <f>BDFE!$F$1742/1000</f>
        <v>0.69911999999999996</v>
      </c>
      <c r="I250" s="242">
        <f t="shared" si="55"/>
        <v>-19.51238</v>
      </c>
    </row>
    <row r="251" spans="4:10" x14ac:dyDescent="0.35">
      <c r="D251" s="236" t="s">
        <v>222</v>
      </c>
      <c r="E251" s="242">
        <f>BDFE!$F$1305/1000</f>
        <v>27.590130000000002</v>
      </c>
      <c r="F251" s="242">
        <f>BDFE!$F$1378/1000</f>
        <v>-16.707909999999998</v>
      </c>
      <c r="G251" s="242">
        <f>BDFE!$F$1597/1000</f>
        <v>5.3502000000000001</v>
      </c>
      <c r="H251" s="242">
        <f>BDFE!$F$1743/1000</f>
        <v>3.4082399999999997</v>
      </c>
      <c r="I251" s="242">
        <f t="shared" si="55"/>
        <v>19.640660000000004</v>
      </c>
    </row>
    <row r="252" spans="4:10" x14ac:dyDescent="0.35">
      <c r="D252" s="236" t="s">
        <v>248</v>
      </c>
      <c r="E252" s="242">
        <f>(BDFE!F1306+BDFE!F1307+BDFE!F1309)/1000</f>
        <v>-230</v>
      </c>
      <c r="F252" s="242">
        <f>(BDFE!F1379+BDFE!F1380+BDFE!F1382)/1000</f>
        <v>-506</v>
      </c>
      <c r="G252" s="242">
        <f>(BDFE!F1598+BDFE!F1599+BDFE!F1601)/1000</f>
        <v>-194.41090000000003</v>
      </c>
      <c r="H252" s="242">
        <f>(BDFE!F1744+BDFE!F1745+BDFE!F1747)/1000</f>
        <v>0.48580000000000001</v>
      </c>
      <c r="I252" s="242">
        <f t="shared" si="55"/>
        <v>-929.92510000000004</v>
      </c>
    </row>
    <row r="253" spans="4:10" x14ac:dyDescent="0.35">
      <c r="D253" s="236" t="s">
        <v>249</v>
      </c>
      <c r="E253" s="242">
        <f>(BDFE!F1308+BDFE!F1310)/1000</f>
        <v>-79.009919999999994</v>
      </c>
      <c r="F253" s="242">
        <f>(BDFE!F1381+BDFE!F1383)/1000</f>
        <v>41.930800000000005</v>
      </c>
      <c r="G253" s="242">
        <f>(BDFE!F1600+BDFE!F1602)/1000</f>
        <v>7.2414399999999999</v>
      </c>
      <c r="H253" s="242">
        <f>(BDFE!F1746+BDFE!F1748)/1000</f>
        <v>6.9186499999999995</v>
      </c>
      <c r="I253" s="242">
        <f t="shared" si="55"/>
        <v>-22.919029999999989</v>
      </c>
    </row>
    <row r="254" spans="4:10" x14ac:dyDescent="0.35">
      <c r="D254" s="235" t="s">
        <v>270</v>
      </c>
      <c r="E254" s="239">
        <f>SUM(E247:E253)</f>
        <v>-303.45823999999999</v>
      </c>
      <c r="F254" s="239">
        <f>SUM(F247:F253)</f>
        <v>-485.90799000000004</v>
      </c>
      <c r="G254" s="239">
        <f>SUM(G247:G253)</f>
        <v>-209.90644</v>
      </c>
      <c r="H254" s="239">
        <f>SUM(H247:H253)</f>
        <v>-315.94045</v>
      </c>
      <c r="I254" s="239">
        <f t="shared" si="55"/>
        <v>-1315.2131200000001</v>
      </c>
    </row>
    <row r="255" spans="4:10" x14ac:dyDescent="0.35">
      <c r="D255" s="236"/>
      <c r="E255" s="243"/>
      <c r="F255" s="243"/>
      <c r="G255" s="243"/>
      <c r="H255" s="243"/>
      <c r="I255" s="243"/>
    </row>
    <row r="256" spans="4:10" x14ac:dyDescent="0.35">
      <c r="D256" s="235" t="s">
        <v>250</v>
      </c>
      <c r="E256" s="240"/>
      <c r="F256" s="240"/>
      <c r="G256" s="240"/>
      <c r="H256" s="240"/>
      <c r="I256" s="240"/>
    </row>
    <row r="257" spans="4:9" x14ac:dyDescent="0.35">
      <c r="D257" s="236" t="s">
        <v>251</v>
      </c>
      <c r="E257" s="241">
        <f>BDFE!$F$1313/1000</f>
        <v>0</v>
      </c>
      <c r="F257" s="241">
        <f>BDFE!$F$1386/1000</f>
        <v>0</v>
      </c>
      <c r="G257" s="241">
        <f>BDFE!$F$1605/1000</f>
        <v>0</v>
      </c>
      <c r="H257" s="241">
        <f>BDFE!$F$1751/1000</f>
        <v>0</v>
      </c>
      <c r="I257" s="241">
        <f t="shared" ref="I257:I263" si="56">SUM(E257,F257,G257,H257)</f>
        <v>0</v>
      </c>
    </row>
    <row r="258" spans="4:9" x14ac:dyDescent="0.35">
      <c r="D258" s="236" t="s">
        <v>252</v>
      </c>
      <c r="E258" s="242">
        <f>BDFE!$F$1314/1000</f>
        <v>0</v>
      </c>
      <c r="F258" s="242">
        <f>BDFE!$F$1387/1000</f>
        <v>0</v>
      </c>
      <c r="G258" s="242">
        <f>BDFE!$F$1606/1000</f>
        <v>0</v>
      </c>
      <c r="H258" s="242">
        <f>BDFE!$F$1752/1000</f>
        <v>0</v>
      </c>
      <c r="I258" s="242">
        <f t="shared" si="56"/>
        <v>0</v>
      </c>
    </row>
    <row r="259" spans="4:9" x14ac:dyDescent="0.35">
      <c r="D259" s="236" t="s">
        <v>237</v>
      </c>
      <c r="E259" s="242">
        <f>BDFE!$F$1315/1000</f>
        <v>0</v>
      </c>
      <c r="F259" s="242">
        <f>BDFE!$F$1388/1000</f>
        <v>0</v>
      </c>
      <c r="G259" s="242">
        <f>BDFE!$F$1607/1000</f>
        <v>0</v>
      </c>
      <c r="H259" s="242">
        <f>BDFE!$F$1753/1000</f>
        <v>0</v>
      </c>
      <c r="I259" s="242">
        <f t="shared" si="56"/>
        <v>0</v>
      </c>
    </row>
    <row r="260" spans="4:9" hidden="1" x14ac:dyDescent="0.35">
      <c r="D260" s="236" t="s">
        <v>253</v>
      </c>
      <c r="E260" s="242">
        <f>BDFE!$F$1316/1000</f>
        <v>0</v>
      </c>
      <c r="F260" s="242">
        <f>BDFE!$F$1389/1000</f>
        <v>0</v>
      </c>
      <c r="G260" s="242">
        <f>BDFE!$F$1608/1000</f>
        <v>0</v>
      </c>
      <c r="H260" s="242">
        <f>BDFE!$F$1754/1000</f>
        <v>0</v>
      </c>
      <c r="I260" s="242">
        <f t="shared" si="56"/>
        <v>0</v>
      </c>
    </row>
    <row r="261" spans="4:9" hidden="1" x14ac:dyDescent="0.35">
      <c r="D261" s="236" t="s">
        <v>271</v>
      </c>
      <c r="E261" s="242">
        <f>(BDFE!F1317+BDFE!F1318)/1000</f>
        <v>0</v>
      </c>
      <c r="F261" s="242">
        <f>(BDFE!$F$1390+BDFE!F1391)/1000</f>
        <v>0</v>
      </c>
      <c r="G261" s="242">
        <f>(BDFE!F1609+BDFE!F1610)/1000</f>
        <v>0</v>
      </c>
      <c r="H261" s="242">
        <f>(BDFE!F1755+BDFE!F1756)/1000</f>
        <v>0</v>
      </c>
      <c r="I261" s="242">
        <f t="shared" si="56"/>
        <v>0</v>
      </c>
    </row>
    <row r="262" spans="4:9" x14ac:dyDescent="0.35">
      <c r="D262" s="236" t="s">
        <v>254</v>
      </c>
      <c r="E262" s="242">
        <f>BDFE!$F$1319/1000</f>
        <v>0</v>
      </c>
      <c r="F262" s="242">
        <f>BDFE!$F$1392/1000</f>
        <v>0</v>
      </c>
      <c r="G262" s="242">
        <f>BDFE!$F$1611/1000</f>
        <v>0</v>
      </c>
      <c r="H262" s="245">
        <f>BDFE!$F$1757/1000</f>
        <v>0</v>
      </c>
      <c r="I262" s="242">
        <f t="shared" si="56"/>
        <v>0</v>
      </c>
    </row>
    <row r="263" spans="4:9" x14ac:dyDescent="0.35">
      <c r="D263" s="235" t="s">
        <v>255</v>
      </c>
      <c r="E263" s="239">
        <f>SUM(E257:E262)</f>
        <v>0</v>
      </c>
      <c r="F263" s="239">
        <f>SUM(F257:F262)</f>
        <v>0</v>
      </c>
      <c r="G263" s="239">
        <f>SUM(G257:G262)</f>
        <v>0</v>
      </c>
      <c r="H263" s="239">
        <f>SUM(H257:H262)</f>
        <v>0</v>
      </c>
      <c r="I263" s="239">
        <f t="shared" si="56"/>
        <v>0</v>
      </c>
    </row>
    <row r="264" spans="4:9" x14ac:dyDescent="0.35">
      <c r="D264" s="235"/>
      <c r="E264" s="244"/>
      <c r="F264" s="244"/>
      <c r="G264" s="244"/>
      <c r="H264" s="244"/>
      <c r="I264" s="244"/>
    </row>
    <row r="265" spans="4:9" x14ac:dyDescent="0.35">
      <c r="D265" s="235" t="s">
        <v>256</v>
      </c>
      <c r="E265" s="252"/>
      <c r="F265" s="252"/>
      <c r="G265" s="252"/>
      <c r="H265" s="252"/>
      <c r="I265" s="252"/>
    </row>
    <row r="266" spans="4:9" x14ac:dyDescent="0.35">
      <c r="D266" s="236" t="s">
        <v>204</v>
      </c>
      <c r="E266" s="241">
        <f>BDFE!$F$1322/1000</f>
        <v>0</v>
      </c>
      <c r="F266" s="241">
        <f>BDFE!$F$1395/1000</f>
        <v>0</v>
      </c>
      <c r="G266" s="241">
        <f>BDFE!$F$1614/1000</f>
        <v>0</v>
      </c>
      <c r="H266" s="241">
        <f>BDFE!$F$1760/1000</f>
        <v>0</v>
      </c>
      <c r="I266" s="242">
        <f t="shared" ref="I266:I279" si="57">SUM(E266,F266,G266,H266)</f>
        <v>0</v>
      </c>
    </row>
    <row r="267" spans="4:9" x14ac:dyDescent="0.35">
      <c r="D267" s="236" t="s">
        <v>208</v>
      </c>
      <c r="E267" s="242">
        <f>BDFE!$F$1324/1000</f>
        <v>0</v>
      </c>
      <c r="F267" s="242">
        <f>BDFE!$F$1397/1000</f>
        <v>0</v>
      </c>
      <c r="G267" s="242">
        <f>BDFE!$F$1616/1000</f>
        <v>0</v>
      </c>
      <c r="H267" s="242">
        <f>BDFE!$F$1762/1000</f>
        <v>-9.1074599999999997</v>
      </c>
      <c r="I267" s="242">
        <f t="shared" si="57"/>
        <v>-9.1074599999999997</v>
      </c>
    </row>
    <row r="268" spans="4:9" x14ac:dyDescent="0.35">
      <c r="D268" s="236" t="s">
        <v>207</v>
      </c>
      <c r="E268" s="242">
        <f>BDFE!$F$1326/1000</f>
        <v>0</v>
      </c>
      <c r="F268" s="242">
        <f>BDFE!$F$1399/1000</f>
        <v>0</v>
      </c>
      <c r="G268" s="242">
        <f>BDFE!$F$1618/1000</f>
        <v>0</v>
      </c>
      <c r="H268" s="242">
        <f>BDFE!$F$1764/1000</f>
        <v>0</v>
      </c>
      <c r="I268" s="242">
        <f t="shared" si="57"/>
        <v>0</v>
      </c>
    </row>
    <row r="269" spans="4:9" x14ac:dyDescent="0.35">
      <c r="D269" s="236" t="s">
        <v>206</v>
      </c>
      <c r="E269" s="242">
        <f>BDFE!$F$1328/1000</f>
        <v>0</v>
      </c>
      <c r="F269" s="242">
        <f>BDFE!$F$1401/1000</f>
        <v>0</v>
      </c>
      <c r="G269" s="242">
        <f>BDFE!$F$1620/1000</f>
        <v>0</v>
      </c>
      <c r="H269" s="242">
        <f>BDFE!$F$1766/1000</f>
        <v>0</v>
      </c>
      <c r="I269" s="242">
        <f t="shared" si="57"/>
        <v>0</v>
      </c>
    </row>
    <row r="270" spans="4:9" x14ac:dyDescent="0.35">
      <c r="D270" s="236" t="s">
        <v>257</v>
      </c>
      <c r="E270" s="242">
        <f>BDFE!$F$1330/1000</f>
        <v>0</v>
      </c>
      <c r="F270" s="242">
        <f>BDFE!$F$1403/1000</f>
        <v>0</v>
      </c>
      <c r="G270" s="242">
        <f>BDFE!$F$1622/1000</f>
        <v>0</v>
      </c>
      <c r="H270" s="242">
        <f>BDFE!$F$1768/1000</f>
        <v>0</v>
      </c>
      <c r="I270" s="242">
        <f t="shared" si="57"/>
        <v>0</v>
      </c>
    </row>
    <row r="271" spans="4:9" x14ac:dyDescent="0.35">
      <c r="D271" s="236" t="s">
        <v>272</v>
      </c>
      <c r="E271" s="242">
        <f>BDFE!$F$1332/1000</f>
        <v>0</v>
      </c>
      <c r="F271" s="242">
        <f>BDFE!$F$1405/1000</f>
        <v>0</v>
      </c>
      <c r="G271" s="242">
        <f>BDFE!$F$1624/1000</f>
        <v>0</v>
      </c>
      <c r="H271" s="242">
        <f>BDFE!$F$1770/1000</f>
        <v>0</v>
      </c>
      <c r="I271" s="242">
        <f t="shared" si="57"/>
        <v>0</v>
      </c>
    </row>
    <row r="272" spans="4:9" x14ac:dyDescent="0.35">
      <c r="D272" s="236" t="s">
        <v>273</v>
      </c>
      <c r="E272" s="242">
        <f>BDFE!$F$1334/1000</f>
        <v>0</v>
      </c>
      <c r="F272" s="242">
        <f>BDFE!$F$1407/1000</f>
        <v>0</v>
      </c>
      <c r="G272" s="242">
        <f>BDFE!$F$1626/1000</f>
        <v>0</v>
      </c>
      <c r="H272" s="242">
        <f>BDFE!$F$1772/1000</f>
        <v>0</v>
      </c>
      <c r="I272" s="242">
        <f t="shared" si="57"/>
        <v>0</v>
      </c>
    </row>
    <row r="273" spans="4:9" x14ac:dyDescent="0.35">
      <c r="D273" s="236" t="s">
        <v>274</v>
      </c>
      <c r="E273" s="242">
        <f>BDFE!$F$1336/1000</f>
        <v>0</v>
      </c>
      <c r="F273" s="242">
        <f>BDFE!$F$1409/1000</f>
        <v>0</v>
      </c>
      <c r="G273" s="242">
        <f>BDFE!$F$1628/1000</f>
        <v>-0.5</v>
      </c>
      <c r="H273" s="242">
        <f>BDFE!$F$1774/1000</f>
        <v>0</v>
      </c>
      <c r="I273" s="242">
        <f t="shared" si="57"/>
        <v>-0.5</v>
      </c>
    </row>
    <row r="274" spans="4:9" x14ac:dyDescent="0.35">
      <c r="D274" s="236" t="s">
        <v>258</v>
      </c>
      <c r="E274" s="242">
        <f>BDFE!$F$1338/1000</f>
        <v>0</v>
      </c>
      <c r="F274" s="242">
        <f>BDFE!$F$1411/1000</f>
        <v>0</v>
      </c>
      <c r="G274" s="242">
        <f>BDFE!$F$1630/1000</f>
        <v>0</v>
      </c>
      <c r="H274" s="242">
        <f>BDFE!$F$1776/1000</f>
        <v>0</v>
      </c>
      <c r="I274" s="242">
        <f t="shared" si="57"/>
        <v>0</v>
      </c>
    </row>
    <row r="275" spans="4:9" x14ac:dyDescent="0.35">
      <c r="D275" s="236" t="s">
        <v>259</v>
      </c>
      <c r="E275" s="242">
        <f>BDFE!$F$1340/1000</f>
        <v>0</v>
      </c>
      <c r="F275" s="242">
        <f>BDFE!$F$1413/1000</f>
        <v>-34.902000000000001</v>
      </c>
      <c r="G275" s="242">
        <f>BDFE!$F$1632/1000</f>
        <v>-0.58063999999999993</v>
      </c>
      <c r="H275" s="242">
        <f>BDFE!$F$1778/1000</f>
        <v>0</v>
      </c>
      <c r="I275" s="242">
        <f t="shared" si="57"/>
        <v>-35.482640000000004</v>
      </c>
    </row>
    <row r="276" spans="4:9" hidden="1" x14ac:dyDescent="0.35">
      <c r="D276" s="236" t="s">
        <v>260</v>
      </c>
      <c r="E276" s="242">
        <f>BDFE!$F$1343/1000</f>
        <v>0</v>
      </c>
      <c r="F276" s="242">
        <f>BDFE!$F$1416/1000</f>
        <v>0</v>
      </c>
      <c r="G276" s="242">
        <f>BDFE!$F$1635/1000</f>
        <v>0</v>
      </c>
      <c r="H276" s="242">
        <f>BDFE!$F$1781/1000</f>
        <v>0</v>
      </c>
      <c r="I276" s="242">
        <f t="shared" si="57"/>
        <v>0</v>
      </c>
    </row>
    <row r="277" spans="4:9" hidden="1" x14ac:dyDescent="0.35">
      <c r="D277" s="236" t="s">
        <v>261</v>
      </c>
      <c r="E277" s="242">
        <f>BDFE!$F$1344/1000</f>
        <v>0</v>
      </c>
      <c r="F277" s="242">
        <f>BDFE!$F$1417/1000</f>
        <v>0</v>
      </c>
      <c r="G277" s="242">
        <f>BDFE!$F$1636/1000</f>
        <v>0</v>
      </c>
      <c r="H277" s="242">
        <f>BDFE!$F$1782/1000</f>
        <v>0</v>
      </c>
      <c r="I277" s="242">
        <f t="shared" si="57"/>
        <v>0</v>
      </c>
    </row>
    <row r="278" spans="4:9" x14ac:dyDescent="0.35">
      <c r="D278" s="236" t="s">
        <v>10</v>
      </c>
      <c r="E278" s="245">
        <f>(BDFE!F1323+BDFE!F1325+BDFE!F1327+BDFE!F1329+BDFE!F1331+BDFE!F1333+BDFE!F1335+BDFE!F1337+BDFE!F1339+BDFE!F1341+BDFE!F1342-BDFE!F1285)/1000</f>
        <v>0</v>
      </c>
      <c r="F278" s="245">
        <f>(BDFE!F1396+BDFE!F1398+BDFE!F1400+BDFE!F1402+BDFE!F1404+BDFE!F1406+BDFE!F1408+BDFE!F1410+BDFE!F1412+BDFE!F1414+BDFE!F1415-BDFE!F1358)/1000</f>
        <v>0</v>
      </c>
      <c r="G278" s="245">
        <f>(BDFE!F1615+BDFE!F1617+BDFE!F1619+BDFE!F1621+BDFE!F1623+BDFE!F1625+BDFE!F1627+BDFE!F1629+BDFE!F1631+BDFE!F1633+BDFE!F1634-BDFE!F1577)/1000</f>
        <v>0</v>
      </c>
      <c r="H278" s="245">
        <f>(BDFE!F1761+BDFE!F1763+BDFE!F1765+BDFE!F1767+BDFE!F1769+BDFE!F1771+BDFE!F1773+BDFE!F1775+BDFE!F1777+BDFE!F1779+BDFE!F1780-BDFE!F1723)/1000</f>
        <v>0</v>
      </c>
      <c r="I278" s="245">
        <f t="shared" si="57"/>
        <v>0</v>
      </c>
    </row>
    <row r="279" spans="4:9" x14ac:dyDescent="0.35">
      <c r="D279" s="235" t="s">
        <v>262</v>
      </c>
      <c r="E279" s="239">
        <f>SUM(E266:E278)</f>
        <v>0</v>
      </c>
      <c r="F279" s="239">
        <f>SUM(F266:F278)</f>
        <v>-34.902000000000001</v>
      </c>
      <c r="G279" s="239">
        <f>SUM(G266:G278)</f>
        <v>-1.0806399999999998</v>
      </c>
      <c r="H279" s="239">
        <f>SUM(H266:H278)</f>
        <v>-9.1074599999999997</v>
      </c>
      <c r="I279" s="239">
        <f t="shared" si="57"/>
        <v>-45.090100000000007</v>
      </c>
    </row>
    <row r="280" spans="4:9" x14ac:dyDescent="0.35">
      <c r="D280" s="236"/>
      <c r="E280" s="246"/>
      <c r="F280" s="246"/>
      <c r="G280" s="246"/>
      <c r="H280" s="246"/>
      <c r="I280" s="246"/>
    </row>
    <row r="281" spans="4:9" x14ac:dyDescent="0.35">
      <c r="D281" s="235" t="s">
        <v>263</v>
      </c>
      <c r="E281" s="247">
        <f t="shared" ref="E281:I281" si="58">E244+E254+E263+E279</f>
        <v>-286.78616</v>
      </c>
      <c r="F281" s="247">
        <f t="shared" si="58"/>
        <v>-491.61607000000004</v>
      </c>
      <c r="G281" s="247">
        <f t="shared" si="58"/>
        <v>-171.38557</v>
      </c>
      <c r="H281" s="239">
        <f t="shared" si="58"/>
        <v>-292.67081000000002</v>
      </c>
      <c r="I281" s="239">
        <f t="shared" si="58"/>
        <v>-1242.4586100000001</v>
      </c>
    </row>
    <row r="282" spans="4:9" x14ac:dyDescent="0.35">
      <c r="D282" s="237" t="s">
        <v>275</v>
      </c>
      <c r="E282" s="247">
        <f>BDBG!$I$1138/1000</f>
        <v>293.68430000000001</v>
      </c>
      <c r="F282" s="247">
        <f>BDBG!$I$1192/1000</f>
        <v>788.31259999999997</v>
      </c>
      <c r="G282" s="247">
        <f>BDBG!$I$1354/1000</f>
        <v>317.99106999999998</v>
      </c>
      <c r="H282" s="239">
        <f>BDBG!$I$1462/1000</f>
        <v>362.06971000000004</v>
      </c>
      <c r="I282" s="239">
        <f>SUM(E282,F282,G282,H282)</f>
        <v>1762.0576800000001</v>
      </c>
    </row>
    <row r="283" spans="4:9" x14ac:dyDescent="0.35">
      <c r="D283" s="237" t="s">
        <v>276</v>
      </c>
      <c r="E283" s="247">
        <f t="shared" ref="E283:I283" si="59">SUM(E281:E282)</f>
        <v>6.8981400000000122</v>
      </c>
      <c r="F283" s="247">
        <f t="shared" si="59"/>
        <v>296.69652999999994</v>
      </c>
      <c r="G283" s="247">
        <f t="shared" si="59"/>
        <v>146.60549999999998</v>
      </c>
      <c r="H283" s="247">
        <f t="shared" si="59"/>
        <v>69.398900000000026</v>
      </c>
      <c r="I283" s="247">
        <f t="shared" si="59"/>
        <v>519.59906999999998</v>
      </c>
    </row>
    <row r="289" spans="3:10" x14ac:dyDescent="0.35">
      <c r="C289" t="s">
        <v>285</v>
      </c>
    </row>
    <row r="290" spans="3:10" x14ac:dyDescent="0.35">
      <c r="E290">
        <v>816</v>
      </c>
      <c r="F290">
        <v>817</v>
      </c>
      <c r="G290">
        <v>812</v>
      </c>
      <c r="H290">
        <v>808</v>
      </c>
      <c r="I290">
        <v>807</v>
      </c>
    </row>
    <row r="291" spans="3:10" x14ac:dyDescent="0.35">
      <c r="D291" s="235" t="s">
        <v>267</v>
      </c>
      <c r="E291" s="235" t="s">
        <v>106</v>
      </c>
      <c r="F291" s="236"/>
      <c r="G291" s="236"/>
      <c r="H291" s="236"/>
    </row>
    <row r="292" spans="3:10" x14ac:dyDescent="0.35">
      <c r="D292" s="236"/>
      <c r="E292" s="238" t="s">
        <v>289</v>
      </c>
      <c r="F292" s="238" t="s">
        <v>286</v>
      </c>
      <c r="G292" s="238" t="s">
        <v>187</v>
      </c>
      <c r="H292" s="238" t="s">
        <v>287</v>
      </c>
      <c r="I292" s="238" t="s">
        <v>288</v>
      </c>
      <c r="J292" s="238" t="s">
        <v>140</v>
      </c>
    </row>
    <row r="293" spans="3:10" x14ac:dyDescent="0.35">
      <c r="D293" s="235" t="s">
        <v>247</v>
      </c>
      <c r="E293" s="239">
        <f>(BDFE!C1807+BDFE!C1796)/1000</f>
        <v>17.109959999999997</v>
      </c>
      <c r="F293" s="239">
        <f>(BDFE!C1880+BDFE!C1869)/1000</f>
        <v>2.2444000000000002</v>
      </c>
      <c r="G293" s="239">
        <f>(BDFE!C1661+BDFE!C1650)/1000</f>
        <v>17.946540000000002</v>
      </c>
      <c r="H293" s="239">
        <f>(BDFE!C1515+BDFE!C1504)/1000</f>
        <v>3.7278000000000002</v>
      </c>
      <c r="I293" s="239">
        <f>(BDFE!C1442+BDFE!C1431)/1000</f>
        <v>28.563029999999998</v>
      </c>
      <c r="J293" s="239">
        <f>SUM(E293,F293,G293,H293,I293)</f>
        <v>69.591729999999998</v>
      </c>
    </row>
    <row r="294" spans="3:10" x14ac:dyDescent="0.35">
      <c r="D294" s="236"/>
      <c r="E294" s="240"/>
      <c r="F294" s="240"/>
      <c r="G294" s="240"/>
      <c r="H294" s="240"/>
      <c r="I294" s="240"/>
      <c r="J294" s="240"/>
    </row>
    <row r="295" spans="3:10" x14ac:dyDescent="0.35">
      <c r="D295" s="235" t="s">
        <v>270</v>
      </c>
      <c r="E295" s="240"/>
      <c r="F295" s="240"/>
      <c r="G295" s="240"/>
      <c r="H295" s="240"/>
      <c r="I295" s="240"/>
      <c r="J295" s="240"/>
    </row>
    <row r="296" spans="3:10" x14ac:dyDescent="0.35">
      <c r="D296" s="236" t="s">
        <v>196</v>
      </c>
      <c r="E296" s="241">
        <f>BDFE!$C$1810/1000</f>
        <v>0</v>
      </c>
      <c r="F296" s="241">
        <f>BDFE!$C$1883/1000</f>
        <v>0</v>
      </c>
      <c r="G296" s="241">
        <f>BDFE!$C$1664/1000</f>
        <v>-325</v>
      </c>
      <c r="H296" s="241">
        <f>BDFE!$C$1518/1000</f>
        <v>0</v>
      </c>
      <c r="I296" s="241">
        <f>BDFE!$C$1445/1000</f>
        <v>0</v>
      </c>
      <c r="J296" s="241">
        <f>SUM(E296,F296,G296,H296,I296)</f>
        <v>-325</v>
      </c>
    </row>
    <row r="297" spans="3:10" x14ac:dyDescent="0.35">
      <c r="D297" s="236" t="s">
        <v>197</v>
      </c>
      <c r="E297" s="242">
        <f>(BDFE!C1811+BDFE!C1812)/1000</f>
        <v>-431.375</v>
      </c>
      <c r="F297" s="242">
        <f>(BDFE!C1884+BDFE!C1885)/1000</f>
        <v>5</v>
      </c>
      <c r="G297" s="242">
        <f>(BDFE!C1665+BDFE!C1666)/1000</f>
        <v>-55</v>
      </c>
      <c r="H297" s="242">
        <f>(BDFE!C1519+BDFE!C1520)/1000</f>
        <v>0</v>
      </c>
      <c r="I297" s="242">
        <f>(BDFE!C1446+BDFE!C1447)/1000</f>
        <v>-165</v>
      </c>
      <c r="J297" s="242">
        <f t="shared" ref="J297:J302" si="60">SUM(E297,F297,G297,H297,I297)</f>
        <v>-646.375</v>
      </c>
    </row>
    <row r="298" spans="3:10" x14ac:dyDescent="0.35">
      <c r="D298" s="236" t="s">
        <v>198</v>
      </c>
      <c r="E298" s="242">
        <f>BDFE!$C$1813/1000</f>
        <v>0</v>
      </c>
      <c r="F298" s="242">
        <f>BDFE!$C$1886/1000</f>
        <v>0</v>
      </c>
      <c r="G298" s="242">
        <f>BDFE!$C$1667/1000</f>
        <v>0</v>
      </c>
      <c r="H298" s="242">
        <f>BDFE!$C$1521/1000</f>
        <v>0</v>
      </c>
      <c r="I298" s="242">
        <f>BDFE!$C$1448/1000</f>
        <v>0</v>
      </c>
      <c r="J298" s="242">
        <f t="shared" si="60"/>
        <v>0</v>
      </c>
    </row>
    <row r="299" spans="3:10" x14ac:dyDescent="0.35">
      <c r="D299" s="236" t="s">
        <v>199</v>
      </c>
      <c r="E299" s="242">
        <f>BDFE!$C$1815/1000</f>
        <v>0.61111000000000004</v>
      </c>
      <c r="F299" s="242">
        <f>BDFE!$C$1888/1000</f>
        <v>0</v>
      </c>
      <c r="G299" s="242">
        <f>BDFE!$C$1669/1000</f>
        <v>0.61111000000000004</v>
      </c>
      <c r="H299" s="242">
        <f>BDFE!$C$1523/1000</f>
        <v>0</v>
      </c>
      <c r="I299" s="242">
        <f>BDFE!$C$1450/1000</f>
        <v>0</v>
      </c>
      <c r="J299" s="242">
        <f t="shared" si="60"/>
        <v>1.2222200000000001</v>
      </c>
    </row>
    <row r="300" spans="3:10" x14ac:dyDescent="0.35">
      <c r="D300" s="236" t="s">
        <v>222</v>
      </c>
      <c r="E300" s="242">
        <f>BDFE!$C$1816/1000</f>
        <v>0</v>
      </c>
      <c r="F300" s="242">
        <f>BDFE!$C$1889/1000</f>
        <v>0</v>
      </c>
      <c r="G300" s="242">
        <f>BDFE!$C$1670/1000</f>
        <v>0</v>
      </c>
      <c r="H300" s="242">
        <f>BDFE!$C$1524/1000</f>
        <v>0</v>
      </c>
      <c r="I300" s="242">
        <f>BDFE!$C$1451/1000</f>
        <v>0</v>
      </c>
      <c r="J300" s="242">
        <f t="shared" si="60"/>
        <v>0</v>
      </c>
    </row>
    <row r="301" spans="3:10" x14ac:dyDescent="0.35">
      <c r="D301" s="236" t="s">
        <v>248</v>
      </c>
      <c r="E301" s="242">
        <f>(BDFE!C1817+BDFE!C1818+BDFE!C1820)/1000</f>
        <v>0</v>
      </c>
      <c r="F301" s="242">
        <f>(BDFE!C1890+BDFE!C1891+BDFE!C1893)/1000</f>
        <v>0</v>
      </c>
      <c r="G301" s="242">
        <f>(BDFE!C1671+BDFE!C1672+BDFE!C1674)/1000</f>
        <v>0</v>
      </c>
      <c r="H301" s="242">
        <f>(BDFE!C1525+BDFE!C1526+BDFE!C1528)/1000</f>
        <v>0</v>
      </c>
      <c r="I301" s="242">
        <f>(BDFE!C1452+BDFE!C1453+BDFE!C1455)/1000</f>
        <v>-183.67311999999998</v>
      </c>
      <c r="J301" s="242">
        <f t="shared" si="60"/>
        <v>-183.67311999999998</v>
      </c>
    </row>
    <row r="302" spans="3:10" x14ac:dyDescent="0.35">
      <c r="D302" s="236" t="s">
        <v>249</v>
      </c>
      <c r="E302" s="242">
        <f>(BDFE!C1819+BDFE!C1821)/1000</f>
        <v>-19.087220000000002</v>
      </c>
      <c r="F302" s="242">
        <f>(BDFE!C1892+BDFE!C1894)/1000</f>
        <v>0</v>
      </c>
      <c r="G302" s="242">
        <f>(BDFE!C1673+BDFE!C1675)/1000</f>
        <v>0</v>
      </c>
      <c r="H302" s="242">
        <f>(BDFE!C1527+BDFE!C1529)/1000</f>
        <v>0</v>
      </c>
      <c r="I302" s="242">
        <f>(BDFE!C1454+BDFE!C1456)/1000</f>
        <v>0</v>
      </c>
      <c r="J302" s="242">
        <f t="shared" si="60"/>
        <v>-19.087220000000002</v>
      </c>
    </row>
    <row r="303" spans="3:10" x14ac:dyDescent="0.35">
      <c r="D303" s="235" t="s">
        <v>270</v>
      </c>
      <c r="E303" s="239">
        <f t="shared" ref="E303:J303" si="61">SUM(E296:E302)</f>
        <v>-449.85111000000001</v>
      </c>
      <c r="F303" s="239">
        <f t="shared" si="61"/>
        <v>5</v>
      </c>
      <c r="G303" s="239">
        <f t="shared" si="61"/>
        <v>-379.38889</v>
      </c>
      <c r="H303" s="239">
        <f t="shared" si="61"/>
        <v>0</v>
      </c>
      <c r="I303" s="239">
        <f t="shared" si="61"/>
        <v>-348.67311999999998</v>
      </c>
      <c r="J303" s="239">
        <f t="shared" si="61"/>
        <v>-1172.9131200000002</v>
      </c>
    </row>
    <row r="304" spans="3:10" x14ac:dyDescent="0.35">
      <c r="D304" s="236"/>
      <c r="E304" s="243"/>
      <c r="F304" s="243"/>
      <c r="G304" s="243"/>
      <c r="H304" s="243"/>
      <c r="I304" s="243"/>
      <c r="J304" s="243"/>
    </row>
    <row r="305" spans="4:10" x14ac:dyDescent="0.35">
      <c r="D305" s="235" t="s">
        <v>250</v>
      </c>
      <c r="E305" s="240"/>
      <c r="F305" s="240"/>
      <c r="G305" s="240"/>
      <c r="H305" s="240"/>
      <c r="I305" s="240"/>
      <c r="J305" s="240"/>
    </row>
    <row r="306" spans="4:10" x14ac:dyDescent="0.35">
      <c r="D306" s="236" t="s">
        <v>251</v>
      </c>
      <c r="E306" s="241">
        <f>BDFE!$C$1824/1000</f>
        <v>392.22490000000005</v>
      </c>
      <c r="F306" s="241">
        <f>BDFE!$C$1897/1000</f>
        <v>-4.6847899999999996</v>
      </c>
      <c r="G306" s="241">
        <f>BDFE!$C$1678/1000</f>
        <v>-4.4626299999999999</v>
      </c>
      <c r="H306" s="241">
        <f>BDFE!$C$1532/1000</f>
        <v>0</v>
      </c>
      <c r="I306" s="241">
        <f>BDFE!$C$1459/1000</f>
        <v>-8.4404400000000006</v>
      </c>
      <c r="J306" s="241">
        <f t="shared" ref="J306:J311" si="62">SUM(E306,F306,G306,H306,I306)</f>
        <v>374.63704000000001</v>
      </c>
    </row>
    <row r="307" spans="4:10" x14ac:dyDescent="0.35">
      <c r="D307" s="236" t="s">
        <v>252</v>
      </c>
      <c r="E307" s="242">
        <f>BDFE!$C$1825/1000</f>
        <v>0</v>
      </c>
      <c r="F307" s="242">
        <f>BDFE!$C$1898/1000</f>
        <v>0</v>
      </c>
      <c r="G307" s="242">
        <f>BDFE!$C$1679/1000</f>
        <v>0</v>
      </c>
      <c r="H307" s="242">
        <f>BDFE!$C$1533/1000</f>
        <v>0</v>
      </c>
      <c r="I307" s="242">
        <f>BDFE!$C$1460/1000</f>
        <v>0</v>
      </c>
      <c r="J307" s="242">
        <f t="shared" si="62"/>
        <v>0</v>
      </c>
    </row>
    <row r="308" spans="4:10" x14ac:dyDescent="0.35">
      <c r="D308" s="236" t="s">
        <v>237</v>
      </c>
      <c r="E308" s="242">
        <f>BDFE!$C$1826/1000</f>
        <v>0</v>
      </c>
      <c r="F308" s="242">
        <f>BDFE!$C$1899/1000</f>
        <v>0</v>
      </c>
      <c r="G308" s="242">
        <f>BDFE!$C$1680/1000</f>
        <v>0</v>
      </c>
      <c r="H308" s="242">
        <f>BDFE!$C$1534/1000</f>
        <v>0</v>
      </c>
      <c r="I308" s="242">
        <f>BDFE!$C$1461/1000</f>
        <v>0</v>
      </c>
      <c r="J308" s="242">
        <f t="shared" si="62"/>
        <v>0</v>
      </c>
    </row>
    <row r="309" spans="4:10" hidden="1" x14ac:dyDescent="0.35">
      <c r="D309" s="236" t="s">
        <v>253</v>
      </c>
      <c r="E309" s="242">
        <f>BDFE!$C$1827/1000</f>
        <v>0</v>
      </c>
      <c r="F309" s="242">
        <f>BDFE!$C$1900/1000</f>
        <v>0</v>
      </c>
      <c r="G309" s="242">
        <f>BDFE!$C$1681/1000</f>
        <v>0</v>
      </c>
      <c r="H309" s="242">
        <f>BDFE!$C$1535/1000</f>
        <v>0</v>
      </c>
      <c r="I309" s="242">
        <f>BDFE!$C$1462/1000</f>
        <v>0</v>
      </c>
      <c r="J309" s="242">
        <f t="shared" si="62"/>
        <v>0</v>
      </c>
    </row>
    <row r="310" spans="4:10" hidden="1" x14ac:dyDescent="0.35">
      <c r="D310" s="236" t="s">
        <v>271</v>
      </c>
      <c r="E310" s="242">
        <f>(BDFE!C1828+BDFE!C1829)/1000</f>
        <v>0</v>
      </c>
      <c r="F310" s="242">
        <f>(BDFE!C1901+BDFE!C1902)/1000</f>
        <v>0</v>
      </c>
      <c r="G310" s="242">
        <f>(BDFE!C1682+BDFE!C1683)/1000</f>
        <v>0</v>
      </c>
      <c r="H310" s="242">
        <f>(BDFE!C1536+BDFE!C1537)/1000</f>
        <v>0</v>
      </c>
      <c r="I310" s="242">
        <f>(BDFE!C1463+BDFE!C1464)/1000</f>
        <v>0</v>
      </c>
      <c r="J310" s="242">
        <f t="shared" si="62"/>
        <v>0</v>
      </c>
    </row>
    <row r="311" spans="4:10" x14ac:dyDescent="0.35">
      <c r="D311" s="236" t="s">
        <v>254</v>
      </c>
      <c r="E311" s="242">
        <f>BDFE!$C$1830/1000</f>
        <v>0</v>
      </c>
      <c r="F311" s="242">
        <f>BDFE!$C$1903/1000</f>
        <v>0</v>
      </c>
      <c r="G311" s="242">
        <f>BDFE!$C$1684/1000</f>
        <v>0</v>
      </c>
      <c r="H311" s="245">
        <f>BDFE!$C$1538/1000</f>
        <v>0</v>
      </c>
      <c r="I311" s="245">
        <f>BDFE!$C$1465/1000</f>
        <v>0</v>
      </c>
      <c r="J311" s="245">
        <f t="shared" si="62"/>
        <v>0</v>
      </c>
    </row>
    <row r="312" spans="4:10" x14ac:dyDescent="0.35">
      <c r="D312" s="235" t="s">
        <v>255</v>
      </c>
      <c r="E312" s="239">
        <f t="shared" ref="E312:J312" si="63">SUM(E306:E311)</f>
        <v>392.22490000000005</v>
      </c>
      <c r="F312" s="239">
        <f t="shared" si="63"/>
        <v>-4.6847899999999996</v>
      </c>
      <c r="G312" s="239">
        <f t="shared" si="63"/>
        <v>-4.4626299999999999</v>
      </c>
      <c r="H312" s="239">
        <f t="shared" si="63"/>
        <v>0</v>
      </c>
      <c r="I312" s="239">
        <f t="shared" si="63"/>
        <v>-8.4404400000000006</v>
      </c>
      <c r="J312" s="239">
        <f t="shared" si="63"/>
        <v>374.63704000000001</v>
      </c>
    </row>
    <row r="313" spans="4:10" x14ac:dyDescent="0.35">
      <c r="D313" s="235"/>
      <c r="E313" s="244"/>
      <c r="F313" s="244"/>
      <c r="G313" s="244"/>
      <c r="H313" s="243"/>
      <c r="I313" s="243"/>
      <c r="J313" s="243"/>
    </row>
    <row r="314" spans="4:10" x14ac:dyDescent="0.35">
      <c r="D314" s="235" t="s">
        <v>256</v>
      </c>
      <c r="E314" s="240"/>
      <c r="F314" s="240"/>
      <c r="G314" s="240"/>
      <c r="H314" s="240"/>
      <c r="I314" s="240"/>
      <c r="J314" s="240"/>
    </row>
    <row r="315" spans="4:10" x14ac:dyDescent="0.35">
      <c r="D315" s="236" t="s">
        <v>204</v>
      </c>
      <c r="E315" s="241">
        <f>BDFE!$C$1833/1000</f>
        <v>0</v>
      </c>
      <c r="F315" s="241">
        <f>BDFE!$C$1906/1000</f>
        <v>0</v>
      </c>
      <c r="G315" s="241">
        <f>BDFE!$C$1687/1000</f>
        <v>0</v>
      </c>
      <c r="H315" s="241">
        <f>BDFE!$C$1541/1000</f>
        <v>0</v>
      </c>
      <c r="I315" s="241">
        <f>BDFE!$C$1468/1000</f>
        <v>0</v>
      </c>
      <c r="J315" s="241">
        <f t="shared" ref="J315:J327" si="64">SUM(E315,F315,G315,H315,I315)</f>
        <v>0</v>
      </c>
    </row>
    <row r="316" spans="4:10" x14ac:dyDescent="0.35">
      <c r="D316" s="236" t="s">
        <v>208</v>
      </c>
      <c r="E316" s="242">
        <f>BDFE!$C$1835/1000</f>
        <v>0</v>
      </c>
      <c r="F316" s="242">
        <f>BDFE!$C$1908/1000</f>
        <v>0</v>
      </c>
      <c r="G316" s="242">
        <f>BDFE!$C$1689/1000</f>
        <v>0</v>
      </c>
      <c r="H316" s="242">
        <f>BDFE!$C$1543/1000</f>
        <v>0</v>
      </c>
      <c r="I316" s="242">
        <f>BDFE!$C$1470/1000</f>
        <v>0</v>
      </c>
      <c r="J316" s="242">
        <f t="shared" si="64"/>
        <v>0</v>
      </c>
    </row>
    <row r="317" spans="4:10" x14ac:dyDescent="0.35">
      <c r="D317" s="236" t="s">
        <v>207</v>
      </c>
      <c r="E317" s="242">
        <f>BDFE!$C$1837/1000</f>
        <v>0</v>
      </c>
      <c r="F317" s="242">
        <f>BDFE!$C$1910/1000</f>
        <v>0</v>
      </c>
      <c r="G317" s="242">
        <f>BDFE!$C$1691/1000</f>
        <v>0</v>
      </c>
      <c r="H317" s="242">
        <f>BDFE!$C$1545/1000</f>
        <v>0</v>
      </c>
      <c r="I317" s="242">
        <f>BDFE!$C$1472/1000</f>
        <v>0</v>
      </c>
      <c r="J317" s="242">
        <f t="shared" si="64"/>
        <v>0</v>
      </c>
    </row>
    <row r="318" spans="4:10" x14ac:dyDescent="0.35">
      <c r="D318" s="236" t="s">
        <v>206</v>
      </c>
      <c r="E318" s="242">
        <f>BDFE!$C$1839/1000</f>
        <v>0</v>
      </c>
      <c r="F318" s="242">
        <f>BDFE!$C$1912/1000</f>
        <v>0</v>
      </c>
      <c r="G318" s="242">
        <f>BDFE!$C$1693/1000</f>
        <v>0</v>
      </c>
      <c r="H318" s="242">
        <f>BDFE!$C$1547/1000</f>
        <v>0</v>
      </c>
      <c r="I318" s="242">
        <f>BDFE!$C$1474/1000</f>
        <v>0</v>
      </c>
      <c r="J318" s="242">
        <f t="shared" si="64"/>
        <v>0</v>
      </c>
    </row>
    <row r="319" spans="4:10" x14ac:dyDescent="0.35">
      <c r="D319" s="236" t="s">
        <v>257</v>
      </c>
      <c r="E319" s="242">
        <f>BDFE!$C$1841/1000</f>
        <v>0</v>
      </c>
      <c r="F319" s="242">
        <f>BDFE!$C$1914/1000</f>
        <v>0</v>
      </c>
      <c r="G319" s="242">
        <f>BDFE!$C$1695/1000</f>
        <v>0</v>
      </c>
      <c r="H319" s="242">
        <f>BDFE!$C$1549/1000</f>
        <v>0</v>
      </c>
      <c r="I319" s="242">
        <f>BDFE!$C$1476/1000</f>
        <v>0</v>
      </c>
      <c r="J319" s="242">
        <f t="shared" si="64"/>
        <v>0</v>
      </c>
    </row>
    <row r="320" spans="4:10" x14ac:dyDescent="0.35">
      <c r="D320" s="236" t="s">
        <v>272</v>
      </c>
      <c r="E320" s="242">
        <f>BDFE!$C$1843/1000</f>
        <v>0</v>
      </c>
      <c r="F320" s="242">
        <f>BDFE!$C$1916/1000</f>
        <v>0</v>
      </c>
      <c r="G320" s="242">
        <f>BDFE!$C$1697/1000</f>
        <v>0</v>
      </c>
      <c r="H320" s="242">
        <f>BDFE!$C$1551/1000</f>
        <v>0</v>
      </c>
      <c r="I320" s="242">
        <f>BDFE!$C$1478/1000</f>
        <v>0</v>
      </c>
      <c r="J320" s="242">
        <f t="shared" si="64"/>
        <v>0</v>
      </c>
    </row>
    <row r="321" spans="4:10" x14ac:dyDescent="0.35">
      <c r="D321" s="236" t="s">
        <v>273</v>
      </c>
      <c r="E321" s="242">
        <f>BDFE!$C$1845/1000</f>
        <v>0</v>
      </c>
      <c r="F321" s="242">
        <f>BDFE!$C$1918/1000</f>
        <v>0</v>
      </c>
      <c r="G321" s="242">
        <f>BDFE!$C$1699/1000</f>
        <v>0</v>
      </c>
      <c r="H321" s="242">
        <f>BDFE!$C$1553/1000</f>
        <v>0</v>
      </c>
      <c r="I321" s="242">
        <f>BDFE!$C$1480/1000</f>
        <v>0</v>
      </c>
      <c r="J321" s="242">
        <f t="shared" si="64"/>
        <v>0</v>
      </c>
    </row>
    <row r="322" spans="4:10" x14ac:dyDescent="0.35">
      <c r="D322" s="236" t="s">
        <v>274</v>
      </c>
      <c r="E322" s="242">
        <f>BDFE!$C$1847/1000</f>
        <v>0</v>
      </c>
      <c r="F322" s="242">
        <f>BDFE!$C$1920/1000</f>
        <v>0</v>
      </c>
      <c r="G322" s="242">
        <f>BDFE!$C$1701/1000</f>
        <v>0</v>
      </c>
      <c r="H322" s="242">
        <f>BDFE!$C$1555/1000</f>
        <v>0</v>
      </c>
      <c r="I322" s="242">
        <f>BDFE!$C$1482/1000</f>
        <v>0</v>
      </c>
      <c r="J322" s="242">
        <f t="shared" si="64"/>
        <v>0</v>
      </c>
    </row>
    <row r="323" spans="4:10" x14ac:dyDescent="0.35">
      <c r="D323" s="236" t="s">
        <v>258</v>
      </c>
      <c r="E323" s="242">
        <f>BDFE!$C$1849/1000</f>
        <v>0</v>
      </c>
      <c r="F323" s="242">
        <f>BDFE!$C$1922/1000</f>
        <v>0</v>
      </c>
      <c r="G323" s="242">
        <f>BDFE!$C$1703/1000</f>
        <v>0</v>
      </c>
      <c r="H323" s="242">
        <f>BDFE!$C$1557/1000</f>
        <v>0</v>
      </c>
      <c r="I323" s="242">
        <f>BDFE!$C$1484/1000</f>
        <v>0</v>
      </c>
      <c r="J323" s="242">
        <f t="shared" si="64"/>
        <v>0</v>
      </c>
    </row>
    <row r="324" spans="4:10" x14ac:dyDescent="0.35">
      <c r="D324" s="236" t="s">
        <v>259</v>
      </c>
      <c r="E324" s="242">
        <f>BDFE!$C$1851/1000</f>
        <v>0</v>
      </c>
      <c r="F324" s="242">
        <f>BDFE!$C$1924/1000</f>
        <v>0</v>
      </c>
      <c r="G324" s="242">
        <f>BDFE!$C$1705/1000</f>
        <v>0</v>
      </c>
      <c r="H324" s="242">
        <f>BDFE!$C$1559/1000</f>
        <v>0</v>
      </c>
      <c r="I324" s="242">
        <f>BDFE!$C$1486/1000</f>
        <v>0</v>
      </c>
      <c r="J324" s="242">
        <f t="shared" si="64"/>
        <v>0</v>
      </c>
    </row>
    <row r="325" spans="4:10" hidden="1" x14ac:dyDescent="0.35">
      <c r="D325" s="236" t="s">
        <v>260</v>
      </c>
      <c r="E325" s="242">
        <f>BDFE!$C$1854/1000</f>
        <v>0</v>
      </c>
      <c r="F325" s="242">
        <f>BDFE!$C$1927/1000</f>
        <v>0</v>
      </c>
      <c r="G325" s="242">
        <f>BDFE!$C$1708/1000</f>
        <v>0</v>
      </c>
      <c r="H325" s="242">
        <f>BDFE!$C$1562/1000</f>
        <v>0</v>
      </c>
      <c r="I325" s="242">
        <f>BDFE!$C$1489/1000</f>
        <v>0</v>
      </c>
      <c r="J325" s="242">
        <f t="shared" si="64"/>
        <v>0</v>
      </c>
    </row>
    <row r="326" spans="4:10" hidden="1" x14ac:dyDescent="0.35">
      <c r="D326" s="236" t="s">
        <v>261</v>
      </c>
      <c r="E326" s="242">
        <f>BDFE!$C$1855/1000</f>
        <v>0</v>
      </c>
      <c r="F326" s="242">
        <f>BDFE!$C$1928/1000</f>
        <v>0</v>
      </c>
      <c r="G326" s="242">
        <f>BDFE!$C$1709/1000</f>
        <v>0</v>
      </c>
      <c r="H326" s="242">
        <f>BDFE!$C$1563/1000</f>
        <v>0</v>
      </c>
      <c r="I326" s="242">
        <f>BDFE!$C$1490/1000</f>
        <v>0</v>
      </c>
      <c r="J326" s="242">
        <f t="shared" si="64"/>
        <v>0</v>
      </c>
    </row>
    <row r="327" spans="4:10" x14ac:dyDescent="0.35">
      <c r="D327" s="236" t="s">
        <v>10</v>
      </c>
      <c r="E327" s="245">
        <f>(BDFE!C1834+BDFE!C1836+BDFE!C1838+BDFE!C1840+BDFE!C1842+BDFE!C1844+BDFE!C1846+BDFE!C1848+BDFE!C1850+BDFE!C1852-BDFE!C1796)/1000</f>
        <v>0</v>
      </c>
      <c r="F327" s="245">
        <f>(BDFE!C1907+BDFE!C1909+BDFE!C1911+BDFE!C1913+BDFE!C1915+BDFE!C1917+BDFE!C1919+BDFE!C1921+BDFE!C1923+BDFE!C1925-BDFE!C1869)/1000</f>
        <v>0</v>
      </c>
      <c r="G327" s="245">
        <f>(BDFE!C1688+BDFE!C1690+BDFE!C1692+BDFE!C1694+BDFE!C1696+BDFE!C1698+BDFE!C1700+BDFE!C1702+BDFE!C1704+BDFE!C1706-BDFE!C1650)/1000</f>
        <v>0</v>
      </c>
      <c r="H327" s="245">
        <f>(BDFE!C1542+BDFE!C1544+BDFE!C1546+BDFE!C1548+BDFE!C1550+BDFE!C1552+BDFE!C1554+BDFE!C1556+BDFE!C1558+BDFE!C1560-BDFE!C1504)/1000</f>
        <v>0</v>
      </c>
      <c r="I327" s="245">
        <f>(BDFE!C1469+BDFE!C1471+BDFE!C1473+BDFE!C1475+BDFE!C1477+BDFE!C1479+BDFE!C1481+BDFE!C1483+BDFE!C1485+BDFE!C1487-BDFE!C1431)/1000</f>
        <v>0</v>
      </c>
      <c r="J327" s="245">
        <f t="shared" si="64"/>
        <v>0</v>
      </c>
    </row>
    <row r="328" spans="4:10" x14ac:dyDescent="0.35">
      <c r="D328" s="235" t="s">
        <v>262</v>
      </c>
      <c r="E328" s="239">
        <f t="shared" ref="E328:J328" si="65">SUM(E315:E327)</f>
        <v>0</v>
      </c>
      <c r="F328" s="239">
        <f t="shared" si="65"/>
        <v>0</v>
      </c>
      <c r="G328" s="239">
        <f t="shared" si="65"/>
        <v>0</v>
      </c>
      <c r="H328" s="239">
        <f t="shared" si="65"/>
        <v>0</v>
      </c>
      <c r="I328" s="239">
        <f t="shared" si="65"/>
        <v>0</v>
      </c>
      <c r="J328" s="239">
        <f t="shared" si="65"/>
        <v>0</v>
      </c>
    </row>
    <row r="329" spans="4:10" x14ac:dyDescent="0.35">
      <c r="D329" s="236"/>
      <c r="E329" s="246"/>
      <c r="F329" s="246"/>
      <c r="G329" s="246"/>
      <c r="H329" s="249"/>
      <c r="I329" s="249"/>
      <c r="J329" s="249"/>
    </row>
    <row r="330" spans="4:10" x14ac:dyDescent="0.35">
      <c r="D330" s="235" t="s">
        <v>263</v>
      </c>
      <c r="E330" s="247">
        <f t="shared" ref="E330:J330" si="66">E293+E303+E312+E328</f>
        <v>-40.516249999999957</v>
      </c>
      <c r="F330" s="247">
        <f t="shared" si="66"/>
        <v>2.5596100000000011</v>
      </c>
      <c r="G330" s="247">
        <f t="shared" si="66"/>
        <v>-365.90497999999997</v>
      </c>
      <c r="H330" s="239">
        <f t="shared" si="66"/>
        <v>3.7278000000000002</v>
      </c>
      <c r="I330" s="239">
        <f t="shared" si="66"/>
        <v>-328.55053000000004</v>
      </c>
      <c r="J330" s="239">
        <f t="shared" si="66"/>
        <v>-728.68434999999999</v>
      </c>
    </row>
    <row r="331" spans="4:10" x14ac:dyDescent="0.35">
      <c r="D331" s="237" t="s">
        <v>275</v>
      </c>
      <c r="E331" s="247">
        <f>BDBG!$H$1516/1000</f>
        <v>44.260260000000002</v>
      </c>
      <c r="F331" s="247">
        <f>BDBG!$H$1570/1000</f>
        <v>-1.9716400000000001</v>
      </c>
      <c r="G331" s="247">
        <f>BDBG!$H$1408/1000</f>
        <v>418.21217999999999</v>
      </c>
      <c r="H331" s="239">
        <f>BDBG!$H$1300/1000</f>
        <v>2.93181</v>
      </c>
      <c r="I331" s="239">
        <f>BDBG!$H$1246/1000</f>
        <v>368.30144000000001</v>
      </c>
      <c r="J331" s="239">
        <f>SUM(E331,F331,G331,H331,I331)</f>
        <v>831.73405000000002</v>
      </c>
    </row>
    <row r="332" spans="4:10" x14ac:dyDescent="0.35">
      <c r="D332" s="237" t="s">
        <v>276</v>
      </c>
      <c r="E332" s="247">
        <f t="shared" ref="E332:J332" si="67">E330+E331</f>
        <v>3.7440100000000456</v>
      </c>
      <c r="F332" s="247">
        <f t="shared" si="67"/>
        <v>0.58797000000000099</v>
      </c>
      <c r="G332" s="247">
        <f t="shared" si="67"/>
        <v>52.307200000000023</v>
      </c>
      <c r="H332" s="247">
        <f t="shared" si="67"/>
        <v>6.6596100000000007</v>
      </c>
      <c r="I332" s="247">
        <f t="shared" si="67"/>
        <v>39.750909999999976</v>
      </c>
      <c r="J332" s="247">
        <f t="shared" si="67"/>
        <v>103.04970000000003</v>
      </c>
    </row>
    <row r="334" spans="4:10" x14ac:dyDescent="0.35">
      <c r="H334" s="253"/>
      <c r="I334" s="253"/>
    </row>
    <row r="339" spans="4:10" x14ac:dyDescent="0.35">
      <c r="D339" s="250"/>
      <c r="E339" s="235" t="s">
        <v>277</v>
      </c>
      <c r="F339" s="236"/>
      <c r="G339" s="236"/>
      <c r="H339" s="236"/>
      <c r="I339" s="236"/>
    </row>
    <row r="340" spans="4:10" x14ac:dyDescent="0.35">
      <c r="D340" s="251" t="s">
        <v>278</v>
      </c>
      <c r="E340" s="238" t="s">
        <v>289</v>
      </c>
      <c r="F340" s="238" t="s">
        <v>286</v>
      </c>
      <c r="G340" s="238" t="s">
        <v>187</v>
      </c>
      <c r="H340" s="238" t="s">
        <v>287</v>
      </c>
      <c r="I340" s="238" t="s">
        <v>288</v>
      </c>
      <c r="J340" s="238" t="s">
        <v>140</v>
      </c>
    </row>
    <row r="341" spans="4:10" x14ac:dyDescent="0.35">
      <c r="D341" s="235" t="s">
        <v>247</v>
      </c>
      <c r="E341" s="239">
        <f>(BDFE!F1807+BDFE!F1796)/1000</f>
        <v>17.109959999999997</v>
      </c>
      <c r="F341" s="239">
        <f>(BDFE!F1880+BDFE!F1869)/1000</f>
        <v>2.2444000000000002</v>
      </c>
      <c r="G341" s="239">
        <f>(BDFE!F1661+BDFE!F1650)/1000</f>
        <v>17.946540000000002</v>
      </c>
      <c r="H341" s="239">
        <f>(BDFE!F1515+BDFE!F1504)/1000</f>
        <v>3.7278000000000002</v>
      </c>
      <c r="I341" s="239">
        <f>(BDFE!F1442+BDFE!F1431)/1000</f>
        <v>28.563029999999998</v>
      </c>
      <c r="J341" s="239">
        <f>SUM(E341,F341,G341,H341,I341)</f>
        <v>69.591729999999998</v>
      </c>
    </row>
    <row r="342" spans="4:10" x14ac:dyDescent="0.35">
      <c r="D342" s="236"/>
      <c r="E342" s="240"/>
      <c r="F342" s="240"/>
      <c r="G342" s="240"/>
      <c r="H342" s="240"/>
      <c r="I342" s="240"/>
      <c r="J342" s="240"/>
    </row>
    <row r="343" spans="4:10" x14ac:dyDescent="0.35">
      <c r="D343" s="235" t="s">
        <v>270</v>
      </c>
      <c r="E343" s="240"/>
      <c r="F343" s="240"/>
      <c r="G343" s="240"/>
      <c r="H343" s="240"/>
      <c r="I343" s="240"/>
      <c r="J343" s="240"/>
    </row>
    <row r="344" spans="4:10" x14ac:dyDescent="0.35">
      <c r="D344" s="236" t="s">
        <v>196</v>
      </c>
      <c r="E344" s="241">
        <f>BDFE!$F$1810/1000</f>
        <v>0</v>
      </c>
      <c r="F344" s="241">
        <f>BDFE!$F$1883/1000</f>
        <v>0</v>
      </c>
      <c r="G344" s="241">
        <f>BDFE!$F$1664/1000</f>
        <v>-325</v>
      </c>
      <c r="H344" s="241">
        <f>BDFE!$F$1518/1000</f>
        <v>0</v>
      </c>
      <c r="I344" s="241">
        <f>BDFE!$F$1445/1000</f>
        <v>0</v>
      </c>
      <c r="J344" s="241">
        <f t="shared" ref="J344:J350" si="68">SUM(E344,F344,G344,H344,I344)</f>
        <v>-325</v>
      </c>
    </row>
    <row r="345" spans="4:10" x14ac:dyDescent="0.35">
      <c r="D345" s="236" t="s">
        <v>197</v>
      </c>
      <c r="E345" s="242">
        <f>(BDFE!F1811+BDFE!F1812)/1000</f>
        <v>-431.375</v>
      </c>
      <c r="F345" s="242">
        <f>(BDFE!F1884+BDFE!F1885)/1000</f>
        <v>5</v>
      </c>
      <c r="G345" s="242">
        <f>(BDFE!F1665+BDFE!F1666)/1000</f>
        <v>-55</v>
      </c>
      <c r="H345" s="242">
        <f>(BDFE!F1519+BDFE!F1520)/1000</f>
        <v>0</v>
      </c>
      <c r="I345" s="242">
        <f>(BDFE!F1446+BDFE!F1447)/1000</f>
        <v>-165</v>
      </c>
      <c r="J345" s="242">
        <f t="shared" si="68"/>
        <v>-646.375</v>
      </c>
    </row>
    <row r="346" spans="4:10" x14ac:dyDescent="0.35">
      <c r="D346" s="236" t="s">
        <v>198</v>
      </c>
      <c r="E346" s="242">
        <f>BDFE!$F$1813/1000</f>
        <v>0</v>
      </c>
      <c r="F346" s="242">
        <f>BDFE!$F$1886/1000</f>
        <v>0</v>
      </c>
      <c r="G346" s="242">
        <f>BDFE!$F$1667/1000</f>
        <v>0</v>
      </c>
      <c r="H346" s="242">
        <f>BDFE!$F$1521/1000</f>
        <v>0</v>
      </c>
      <c r="I346" s="242">
        <f>BDFE!$F$1448/1000</f>
        <v>0</v>
      </c>
      <c r="J346" s="242">
        <f t="shared" si="68"/>
        <v>0</v>
      </c>
    </row>
    <row r="347" spans="4:10" x14ac:dyDescent="0.35">
      <c r="D347" s="236" t="s">
        <v>199</v>
      </c>
      <c r="E347" s="242">
        <f>BDFE!$F$1815/1000</f>
        <v>0.61111000000000004</v>
      </c>
      <c r="F347" s="242">
        <f>BDFE!$F$1888/1000</f>
        <v>0</v>
      </c>
      <c r="G347" s="242">
        <f>BDFE!$F$1669/1000</f>
        <v>0.61111000000000004</v>
      </c>
      <c r="H347" s="242">
        <f>BDFE!$F$1523/1000</f>
        <v>0</v>
      </c>
      <c r="I347" s="242">
        <f>BDFE!$F$1450/1000</f>
        <v>0</v>
      </c>
      <c r="J347" s="242">
        <f t="shared" si="68"/>
        <v>1.2222200000000001</v>
      </c>
    </row>
    <row r="348" spans="4:10" x14ac:dyDescent="0.35">
      <c r="D348" s="236" t="s">
        <v>222</v>
      </c>
      <c r="E348" s="242">
        <f>BDFE!$F$1816/1000</f>
        <v>0</v>
      </c>
      <c r="F348" s="242">
        <f>BDFE!$F$1889/1000</f>
        <v>0</v>
      </c>
      <c r="G348" s="242">
        <f>BDFE!$F$1670/1000</f>
        <v>0</v>
      </c>
      <c r="H348" s="242">
        <f>BDFE!$F$1524/1000</f>
        <v>0</v>
      </c>
      <c r="I348" s="242">
        <f>BDFE!$F$1451/1000</f>
        <v>0</v>
      </c>
      <c r="J348" s="242">
        <f t="shared" si="68"/>
        <v>0</v>
      </c>
    </row>
    <row r="349" spans="4:10" x14ac:dyDescent="0.35">
      <c r="D349" s="236" t="s">
        <v>248</v>
      </c>
      <c r="E349" s="242">
        <f>(BDFE!F1817+BDFE!F1818+BDFE!F1820)/1000</f>
        <v>0</v>
      </c>
      <c r="F349" s="242">
        <f>(BDFE!F1890+BDFE!F1891+BDFE!F1893)/1000</f>
        <v>0</v>
      </c>
      <c r="G349" s="242">
        <f>(BDFE!F1671+BDFE!F1672+BDFE!F1674)/1000</f>
        <v>0</v>
      </c>
      <c r="H349" s="242">
        <f>(BDFE!F1525+BDFE!F1526+BDFE!F1528)/1000</f>
        <v>0</v>
      </c>
      <c r="I349" s="242">
        <f>(BDFE!F1452+BDFE!F1453+BDFE!F1455)/1000</f>
        <v>-183.67311999999998</v>
      </c>
      <c r="J349" s="242">
        <f t="shared" si="68"/>
        <v>-183.67311999999998</v>
      </c>
    </row>
    <row r="350" spans="4:10" x14ac:dyDescent="0.35">
      <c r="D350" s="236" t="s">
        <v>249</v>
      </c>
      <c r="E350" s="242">
        <f>(BDFE!F1819+BDFE!F1821)/1000</f>
        <v>-19.087220000000002</v>
      </c>
      <c r="F350" s="242">
        <f>(BDFE!F1892+BDFE!F1894)/1000</f>
        <v>0</v>
      </c>
      <c r="G350" s="242">
        <f>(BDFE!F1673+BDFE!F1675)/1000</f>
        <v>0</v>
      </c>
      <c r="H350" s="242">
        <f>(BDFE!F1527+BDFE!F1529)/1000</f>
        <v>0</v>
      </c>
      <c r="I350" s="242">
        <f>(BDFE!F1454+BDFE!F1456)/1000</f>
        <v>0</v>
      </c>
      <c r="J350" s="242">
        <f t="shared" si="68"/>
        <v>-19.087220000000002</v>
      </c>
    </row>
    <row r="351" spans="4:10" x14ac:dyDescent="0.35">
      <c r="D351" s="235" t="s">
        <v>270</v>
      </c>
      <c r="E351" s="239">
        <f t="shared" ref="E351:J351" si="69">SUM(E344:E350)</f>
        <v>-449.85111000000001</v>
      </c>
      <c r="F351" s="239">
        <f t="shared" si="69"/>
        <v>5</v>
      </c>
      <c r="G351" s="239">
        <f t="shared" si="69"/>
        <v>-379.38889</v>
      </c>
      <c r="H351" s="239">
        <f t="shared" si="69"/>
        <v>0</v>
      </c>
      <c r="I351" s="239">
        <f t="shared" si="69"/>
        <v>-348.67311999999998</v>
      </c>
      <c r="J351" s="239">
        <f t="shared" si="69"/>
        <v>-1172.9131200000002</v>
      </c>
    </row>
    <row r="352" spans="4:10" x14ac:dyDescent="0.35">
      <c r="D352" s="236"/>
      <c r="E352" s="243"/>
      <c r="F352" s="243"/>
      <c r="G352" s="243"/>
      <c r="H352" s="243"/>
      <c r="I352" s="243"/>
      <c r="J352" s="243"/>
    </row>
    <row r="353" spans="4:10" x14ac:dyDescent="0.35">
      <c r="D353" s="235" t="s">
        <v>250</v>
      </c>
      <c r="E353" s="240"/>
      <c r="F353" s="240"/>
      <c r="G353" s="240"/>
      <c r="H353" s="240"/>
      <c r="I353" s="240"/>
      <c r="J353" s="240"/>
    </row>
    <row r="354" spans="4:10" x14ac:dyDescent="0.35">
      <c r="D354" s="236" t="s">
        <v>251</v>
      </c>
      <c r="E354" s="241">
        <f>BDFE!$F$1824/1000</f>
        <v>392.22490000000005</v>
      </c>
      <c r="F354" s="241">
        <f>BDFE!$F$1897/1000</f>
        <v>-4.6847899999999996</v>
      </c>
      <c r="G354" s="241">
        <f>BDFE!$F$1678/1000</f>
        <v>-4.4626299999999999</v>
      </c>
      <c r="H354" s="241">
        <f>BDFE!$F$1532/1000</f>
        <v>0</v>
      </c>
      <c r="I354" s="241">
        <f>BDFE!$F$1459/1000</f>
        <v>-8.4404400000000006</v>
      </c>
      <c r="J354" s="241">
        <f t="shared" ref="J354:J359" si="70">SUM(E354,F354,G354,H354,I354)</f>
        <v>374.63704000000001</v>
      </c>
    </row>
    <row r="355" spans="4:10" x14ac:dyDescent="0.35">
      <c r="D355" s="236" t="s">
        <v>252</v>
      </c>
      <c r="E355" s="242">
        <f>BDFE!$F$1825/1000</f>
        <v>0</v>
      </c>
      <c r="F355" s="242">
        <f>BDFE!$F$1898/1000</f>
        <v>0</v>
      </c>
      <c r="G355" s="242">
        <f>BDFE!$F$1679/1000</f>
        <v>0</v>
      </c>
      <c r="H355" s="242">
        <f>BDFE!$F$1533/1000</f>
        <v>0</v>
      </c>
      <c r="I355" s="242">
        <f>BDFE!$F$1460/1000</f>
        <v>0</v>
      </c>
      <c r="J355" s="242">
        <f t="shared" si="70"/>
        <v>0</v>
      </c>
    </row>
    <row r="356" spans="4:10" x14ac:dyDescent="0.35">
      <c r="D356" s="236" t="s">
        <v>237</v>
      </c>
      <c r="E356" s="242">
        <f>BDFE!$F$1826/1000</f>
        <v>0</v>
      </c>
      <c r="F356" s="242">
        <f>BDFE!$F$1899/1000</f>
        <v>0</v>
      </c>
      <c r="G356" s="242">
        <f>BDFE!$F$1680/1000</f>
        <v>0</v>
      </c>
      <c r="H356" s="242">
        <f>BDFE!$F$1534/1000</f>
        <v>0</v>
      </c>
      <c r="I356" s="242">
        <f>BDFE!$F$1461/1000</f>
        <v>0</v>
      </c>
      <c r="J356" s="242">
        <f t="shared" si="70"/>
        <v>0</v>
      </c>
    </row>
    <row r="357" spans="4:10" hidden="1" x14ac:dyDescent="0.35">
      <c r="D357" s="236" t="s">
        <v>253</v>
      </c>
      <c r="E357" s="242">
        <f>BDFE!$F$1827/1000</f>
        <v>0</v>
      </c>
      <c r="F357" s="242">
        <f>BDFE!$F$1900/1000</f>
        <v>0</v>
      </c>
      <c r="G357" s="242">
        <f>BDFE!$F$1681/1000</f>
        <v>0</v>
      </c>
      <c r="H357" s="242">
        <f>BDFE!$F$1535/1000</f>
        <v>0</v>
      </c>
      <c r="I357" s="242">
        <f>BDFE!$F$1462/1000</f>
        <v>0</v>
      </c>
      <c r="J357" s="242">
        <f t="shared" si="70"/>
        <v>0</v>
      </c>
    </row>
    <row r="358" spans="4:10" hidden="1" x14ac:dyDescent="0.35">
      <c r="D358" s="236" t="s">
        <v>271</v>
      </c>
      <c r="E358" s="242">
        <f>(BDFE!F1828+BDFE!F1829)/1000</f>
        <v>0</v>
      </c>
      <c r="F358" s="242">
        <f>(BDFE!F1901+BDFE!F1902)/1000</f>
        <v>0</v>
      </c>
      <c r="G358" s="242">
        <f>(BDFE!F1682+BDFE!F1683)/1000</f>
        <v>0</v>
      </c>
      <c r="H358" s="242">
        <f>(BDFE!F1536+BDFE!F1537)/1000</f>
        <v>0</v>
      </c>
      <c r="I358" s="242">
        <f>(BDFE!F1463+BDFE!F1464)/1000</f>
        <v>0</v>
      </c>
      <c r="J358" s="242">
        <f t="shared" si="70"/>
        <v>0</v>
      </c>
    </row>
    <row r="359" spans="4:10" x14ac:dyDescent="0.35">
      <c r="D359" s="236" t="s">
        <v>254</v>
      </c>
      <c r="E359" s="242">
        <f>BDFE!$F$1830/1000</f>
        <v>0</v>
      </c>
      <c r="F359" s="242">
        <f>BDFE!$F$1903/1000</f>
        <v>0</v>
      </c>
      <c r="G359" s="242">
        <f>BDFE!$F$1684/1000</f>
        <v>0</v>
      </c>
      <c r="H359" s="245">
        <f>BDFE!$F$1538/1000</f>
        <v>0</v>
      </c>
      <c r="I359" s="245">
        <f>BDFE!$F$1465/1000</f>
        <v>0</v>
      </c>
      <c r="J359" s="245">
        <f t="shared" si="70"/>
        <v>0</v>
      </c>
    </row>
    <row r="360" spans="4:10" x14ac:dyDescent="0.35">
      <c r="D360" s="235" t="s">
        <v>255</v>
      </c>
      <c r="E360" s="239">
        <f t="shared" ref="E360:J360" si="71">SUM(E354:E359)</f>
        <v>392.22490000000005</v>
      </c>
      <c r="F360" s="239">
        <f t="shared" si="71"/>
        <v>-4.6847899999999996</v>
      </c>
      <c r="G360" s="239">
        <f t="shared" si="71"/>
        <v>-4.4626299999999999</v>
      </c>
      <c r="H360" s="239">
        <f t="shared" si="71"/>
        <v>0</v>
      </c>
      <c r="I360" s="239">
        <f t="shared" si="71"/>
        <v>-8.4404400000000006</v>
      </c>
      <c r="J360" s="239">
        <f t="shared" si="71"/>
        <v>374.63704000000001</v>
      </c>
    </row>
    <row r="361" spans="4:10" x14ac:dyDescent="0.35">
      <c r="D361" s="235"/>
      <c r="E361" s="244"/>
      <c r="F361" s="244"/>
      <c r="G361" s="244"/>
      <c r="H361" s="243"/>
      <c r="I361" s="243"/>
      <c r="J361" s="243"/>
    </row>
    <row r="362" spans="4:10" x14ac:dyDescent="0.35">
      <c r="D362" s="235" t="s">
        <v>256</v>
      </c>
      <c r="E362" s="240"/>
      <c r="F362" s="240"/>
      <c r="G362" s="240"/>
      <c r="H362" s="240"/>
      <c r="I362" s="240"/>
      <c r="J362" s="240"/>
    </row>
    <row r="363" spans="4:10" x14ac:dyDescent="0.35">
      <c r="D363" s="236" t="s">
        <v>204</v>
      </c>
      <c r="E363" s="241">
        <f>BDFE!$F$1833/1000</f>
        <v>0</v>
      </c>
      <c r="F363" s="241">
        <f>BDFE!$F$1906/1000</f>
        <v>0</v>
      </c>
      <c r="G363" s="241">
        <f>BDFE!$F$1687/1000</f>
        <v>0</v>
      </c>
      <c r="H363" s="241">
        <f>BDFE!$F$1541/1000</f>
        <v>0</v>
      </c>
      <c r="I363" s="241">
        <f>BDFE!$F$1468/1000</f>
        <v>0</v>
      </c>
      <c r="J363" s="241">
        <f t="shared" ref="J363:J375" si="72">SUM(E363,F363,G363,H363,I363)</f>
        <v>0</v>
      </c>
    </row>
    <row r="364" spans="4:10" x14ac:dyDescent="0.35">
      <c r="D364" s="236" t="s">
        <v>208</v>
      </c>
      <c r="E364" s="242">
        <f>BDFE!$F$1835/1000</f>
        <v>0</v>
      </c>
      <c r="F364" s="242">
        <f>BDFE!$F$1908/1000</f>
        <v>0</v>
      </c>
      <c r="G364" s="242">
        <f>BDFE!$F$1689/1000</f>
        <v>0</v>
      </c>
      <c r="H364" s="242">
        <f>BDFE!$F$1543/1000</f>
        <v>0</v>
      </c>
      <c r="I364" s="242">
        <f>BDFE!$F$1470/1000</f>
        <v>0</v>
      </c>
      <c r="J364" s="242">
        <f t="shared" si="72"/>
        <v>0</v>
      </c>
    </row>
    <row r="365" spans="4:10" x14ac:dyDescent="0.35">
      <c r="D365" s="236" t="s">
        <v>207</v>
      </c>
      <c r="E365" s="242">
        <f>BDFE!$F$1837/1000</f>
        <v>0</v>
      </c>
      <c r="F365" s="242">
        <f>BDFE!$F$1910/1000</f>
        <v>0</v>
      </c>
      <c r="G365" s="242">
        <f>BDFE!$F$1691/1000</f>
        <v>0</v>
      </c>
      <c r="H365" s="242">
        <f>BDFE!$F$1545/1000</f>
        <v>0</v>
      </c>
      <c r="I365" s="242">
        <f>BDFE!$F$1472/1000</f>
        <v>0</v>
      </c>
      <c r="J365" s="242">
        <f t="shared" si="72"/>
        <v>0</v>
      </c>
    </row>
    <row r="366" spans="4:10" x14ac:dyDescent="0.35">
      <c r="D366" s="236" t="s">
        <v>206</v>
      </c>
      <c r="E366" s="242">
        <f>BDFE!$F$1839/1000</f>
        <v>0</v>
      </c>
      <c r="F366" s="242">
        <f>BDFE!$F$1912/1000</f>
        <v>0</v>
      </c>
      <c r="G366" s="242">
        <f>BDFE!$F$1693/1000</f>
        <v>0</v>
      </c>
      <c r="H366" s="242">
        <f>BDFE!$F$1547/1000</f>
        <v>0</v>
      </c>
      <c r="I366" s="242">
        <f>BDFE!$F$1474/1000</f>
        <v>0</v>
      </c>
      <c r="J366" s="242">
        <f t="shared" si="72"/>
        <v>0</v>
      </c>
    </row>
    <row r="367" spans="4:10" x14ac:dyDescent="0.35">
      <c r="D367" s="236" t="s">
        <v>257</v>
      </c>
      <c r="E367" s="242">
        <f>BDFE!$F$1841/1000</f>
        <v>0</v>
      </c>
      <c r="F367" s="242">
        <f>BDFE!$F$1914/1000</f>
        <v>0</v>
      </c>
      <c r="G367" s="242">
        <f>BDFE!$F$1695/1000</f>
        <v>0</v>
      </c>
      <c r="H367" s="242">
        <f>BDFE!$F$1549/1000</f>
        <v>0</v>
      </c>
      <c r="I367" s="242">
        <f>BDFE!$F$1476/1000</f>
        <v>0</v>
      </c>
      <c r="J367" s="242">
        <f t="shared" si="72"/>
        <v>0</v>
      </c>
    </row>
    <row r="368" spans="4:10" x14ac:dyDescent="0.35">
      <c r="D368" s="236" t="s">
        <v>272</v>
      </c>
      <c r="E368" s="242">
        <f>BDFE!$F$1843/1000</f>
        <v>0</v>
      </c>
      <c r="F368" s="242">
        <f>BDFE!$F$1916/1000</f>
        <v>0</v>
      </c>
      <c r="G368" s="242">
        <f>BDFE!$F$1697/1000</f>
        <v>0</v>
      </c>
      <c r="H368" s="242">
        <f>BDFE!$F$1551/1000</f>
        <v>0</v>
      </c>
      <c r="I368" s="242">
        <f>BDFE!$F$1478/1000</f>
        <v>0</v>
      </c>
      <c r="J368" s="242">
        <f t="shared" si="72"/>
        <v>0</v>
      </c>
    </row>
    <row r="369" spans="4:10" x14ac:dyDescent="0.35">
      <c r="D369" s="236" t="s">
        <v>273</v>
      </c>
      <c r="E369" s="242">
        <f>BDFE!$F$1845/1000</f>
        <v>0</v>
      </c>
      <c r="F369" s="242">
        <f>BDFE!$F$1918/1000</f>
        <v>0</v>
      </c>
      <c r="G369" s="242">
        <f>BDFE!$F$1699/1000</f>
        <v>0</v>
      </c>
      <c r="H369" s="242">
        <f>BDFE!$F$1553/1000</f>
        <v>0</v>
      </c>
      <c r="I369" s="242">
        <f>BDFE!$F$1480/1000</f>
        <v>0</v>
      </c>
      <c r="J369" s="242">
        <f t="shared" si="72"/>
        <v>0</v>
      </c>
    </row>
    <row r="370" spans="4:10" x14ac:dyDescent="0.35">
      <c r="D370" s="236" t="s">
        <v>274</v>
      </c>
      <c r="E370" s="242">
        <f>BDFE!$F$1847/1000</f>
        <v>0</v>
      </c>
      <c r="F370" s="242">
        <f>BDFE!$F$1920/1000</f>
        <v>0</v>
      </c>
      <c r="G370" s="242">
        <f>BDFE!$F$1701/1000</f>
        <v>0</v>
      </c>
      <c r="H370" s="242">
        <f>BDFE!$F$1555/1000</f>
        <v>0</v>
      </c>
      <c r="I370" s="242">
        <f>BDFE!$F$1482/1000</f>
        <v>0</v>
      </c>
      <c r="J370" s="242">
        <f t="shared" si="72"/>
        <v>0</v>
      </c>
    </row>
    <row r="371" spans="4:10" x14ac:dyDescent="0.35">
      <c r="D371" s="236" t="s">
        <v>258</v>
      </c>
      <c r="E371" s="242">
        <f>BDFE!$F$1849/1000</f>
        <v>0</v>
      </c>
      <c r="F371" s="242">
        <f>BDFE!$F$1922/1000</f>
        <v>0</v>
      </c>
      <c r="G371" s="242">
        <f>BDFE!$F$1703/1000</f>
        <v>0</v>
      </c>
      <c r="H371" s="242">
        <f>BDFE!$F$1557/1000</f>
        <v>0</v>
      </c>
      <c r="I371" s="242">
        <f>BDFE!$F$1484/1000</f>
        <v>0</v>
      </c>
      <c r="J371" s="242">
        <f t="shared" si="72"/>
        <v>0</v>
      </c>
    </row>
    <row r="372" spans="4:10" x14ac:dyDescent="0.35">
      <c r="D372" s="236" t="s">
        <v>259</v>
      </c>
      <c r="E372" s="242">
        <f>BDFE!$F$1851/1000</f>
        <v>0</v>
      </c>
      <c r="F372" s="242">
        <f>BDFE!$F$1924/1000</f>
        <v>0</v>
      </c>
      <c r="G372" s="242">
        <f>BDFE!$F$1705/1000</f>
        <v>0</v>
      </c>
      <c r="H372" s="242">
        <f>BDFE!$F$1559/1000</f>
        <v>0</v>
      </c>
      <c r="I372" s="242">
        <f>BDFE!$F$1486/1000</f>
        <v>0</v>
      </c>
      <c r="J372" s="242">
        <f t="shared" si="72"/>
        <v>0</v>
      </c>
    </row>
    <row r="373" spans="4:10" hidden="1" x14ac:dyDescent="0.35">
      <c r="D373" s="236" t="s">
        <v>260</v>
      </c>
      <c r="E373" s="242">
        <f>BDFE!$F$1854/1000</f>
        <v>0</v>
      </c>
      <c r="F373" s="242">
        <f>BDFE!$F$1927/1000</f>
        <v>0</v>
      </c>
      <c r="G373" s="242">
        <f>BDFE!$F$1708/1000</f>
        <v>0</v>
      </c>
      <c r="H373" s="242">
        <f>BDFE!$F$1562/1000</f>
        <v>0</v>
      </c>
      <c r="I373" s="242">
        <f>BDFE!$F$1489/1000</f>
        <v>0</v>
      </c>
      <c r="J373" s="242">
        <f t="shared" si="72"/>
        <v>0</v>
      </c>
    </row>
    <row r="374" spans="4:10" hidden="1" x14ac:dyDescent="0.35">
      <c r="D374" s="236" t="s">
        <v>261</v>
      </c>
      <c r="E374" s="242">
        <f>BDFE!$F$1855/1000</f>
        <v>0</v>
      </c>
      <c r="F374" s="242">
        <f>BDFE!$F$1928/1000</f>
        <v>0</v>
      </c>
      <c r="G374" s="242">
        <f>BDFE!$F$1709/1000</f>
        <v>0</v>
      </c>
      <c r="H374" s="242">
        <f>BDFE!$F$1563/1000</f>
        <v>0</v>
      </c>
      <c r="I374" s="242">
        <f>BDFE!$F$1490/1000</f>
        <v>0</v>
      </c>
      <c r="J374" s="242">
        <f t="shared" si="72"/>
        <v>0</v>
      </c>
    </row>
    <row r="375" spans="4:10" x14ac:dyDescent="0.35">
      <c r="D375" s="236" t="s">
        <v>10</v>
      </c>
      <c r="E375" s="245">
        <f>(BDFE!F1834+BDFE!F1836+BDFE!F1838+BDFE!F1840+BDFE!F1842+BDFE!F1844+BDFE!F1846+BDFE!F1848+BDFE!F1850+BDFE!F1852-BDFE!F1796)/1000</f>
        <v>0</v>
      </c>
      <c r="F375" s="245">
        <f>(BDFE!F1907+BDFE!F1909+BDFE!F1911+BDFE!F1913+BDFE!F1915+BDFE!F1917+BDFE!F1919+BDFE!F1921+BDFE!F1923+BDFE!F1925-BDFE!F1869)/1000</f>
        <v>0</v>
      </c>
      <c r="G375" s="245">
        <f>(BDFE!F1688+BDFE!F1690+BDFE!F1692+BDFE!F1694+BDFE!F1696+BDFE!F1698+BDFE!F1700+BDFE!F1702+BDFE!F1704+BDFE!F1706-BDFE!F1650)/1000</f>
        <v>0</v>
      </c>
      <c r="H375" s="245">
        <f>(BDFE!F1542+BDFE!F1544+BDFE!F1546+BDFE!F1548+BDFE!F1550+BDFE!F1552+BDFE!F1554+BDFE!F1556+BDFE!F1558+BDFE!F1560-BDFE!F1504)/1000</f>
        <v>0</v>
      </c>
      <c r="I375" s="245">
        <f>(BDFE!F1469+BDFE!F1471+BDFE!F1473+BDFE!F1475+BDFE!F1477+BDFE!F1479+BDFE!F1481+BDFE!F1483+BDFE!F1485+BDFE!F1487-BDFE!F1431)/1000</f>
        <v>0</v>
      </c>
      <c r="J375" s="245">
        <f t="shared" si="72"/>
        <v>0</v>
      </c>
    </row>
    <row r="376" spans="4:10" x14ac:dyDescent="0.35">
      <c r="D376" s="235" t="s">
        <v>262</v>
      </c>
      <c r="E376" s="239">
        <f t="shared" ref="E376:J376" si="73">SUM(E363:E375)</f>
        <v>0</v>
      </c>
      <c r="F376" s="239">
        <f t="shared" si="73"/>
        <v>0</v>
      </c>
      <c r="G376" s="239">
        <f t="shared" si="73"/>
        <v>0</v>
      </c>
      <c r="H376" s="239">
        <f t="shared" si="73"/>
        <v>0</v>
      </c>
      <c r="I376" s="239">
        <f t="shared" si="73"/>
        <v>0</v>
      </c>
      <c r="J376" s="239">
        <f t="shared" si="73"/>
        <v>0</v>
      </c>
    </row>
    <row r="377" spans="4:10" x14ac:dyDescent="0.35">
      <c r="D377" s="236"/>
      <c r="E377" s="246"/>
      <c r="F377" s="246"/>
      <c r="G377" s="246"/>
      <c r="H377" s="249"/>
      <c r="I377" s="249"/>
      <c r="J377" s="249"/>
    </row>
    <row r="378" spans="4:10" x14ac:dyDescent="0.35">
      <c r="D378" s="235" t="s">
        <v>263</v>
      </c>
      <c r="E378" s="247">
        <f t="shared" ref="E378:J378" si="74">E341+E351+E360+E376</f>
        <v>-40.516249999999957</v>
      </c>
      <c r="F378" s="247">
        <f t="shared" si="74"/>
        <v>2.5596100000000011</v>
      </c>
      <c r="G378" s="247">
        <f t="shared" si="74"/>
        <v>-365.90497999999997</v>
      </c>
      <c r="H378" s="239">
        <f t="shared" si="74"/>
        <v>3.7278000000000002</v>
      </c>
      <c r="I378" s="239">
        <f t="shared" si="74"/>
        <v>-328.55053000000004</v>
      </c>
      <c r="J378" s="239">
        <f t="shared" si="74"/>
        <v>-728.68434999999999</v>
      </c>
    </row>
    <row r="379" spans="4:10" x14ac:dyDescent="0.35">
      <c r="D379" s="237" t="s">
        <v>275</v>
      </c>
      <c r="E379" s="247">
        <f>BDBG!$I$1516/1000</f>
        <v>44.260260000000002</v>
      </c>
      <c r="F379" s="247">
        <f>BDBG!$I$1570/1000</f>
        <v>-1.9716400000000001</v>
      </c>
      <c r="G379" s="247">
        <f>BDBG!$I$1408/1000</f>
        <v>418.21217999999999</v>
      </c>
      <c r="H379" s="239">
        <f>BDBG!$I$1300/1000</f>
        <v>2.93181</v>
      </c>
      <c r="I379" s="239">
        <f>BDBG!$I$1246/1000</f>
        <v>368.30144000000001</v>
      </c>
      <c r="J379" s="239">
        <f>SUM(E379,F379,G379,H379,I379)</f>
        <v>831.73405000000002</v>
      </c>
    </row>
    <row r="380" spans="4:10" x14ac:dyDescent="0.35">
      <c r="D380" s="237" t="s">
        <v>276</v>
      </c>
      <c r="E380" s="247">
        <f t="shared" ref="E380:J380" si="75">E378+E379</f>
        <v>3.7440100000000456</v>
      </c>
      <c r="F380" s="247">
        <f t="shared" si="75"/>
        <v>0.58797000000000099</v>
      </c>
      <c r="G380" s="247">
        <f t="shared" si="75"/>
        <v>52.307200000000023</v>
      </c>
      <c r="H380" s="247">
        <f t="shared" si="75"/>
        <v>6.6596100000000007</v>
      </c>
      <c r="I380" s="247">
        <f t="shared" si="75"/>
        <v>39.750909999999976</v>
      </c>
      <c r="J380" s="247">
        <f t="shared" si="75"/>
        <v>103.04970000000003</v>
      </c>
    </row>
    <row r="387" spans="3:10" x14ac:dyDescent="0.35">
      <c r="C387" t="s">
        <v>290</v>
      </c>
      <c r="E387">
        <v>301</v>
      </c>
      <c r="F387">
        <v>303</v>
      </c>
      <c r="G387">
        <v>307</v>
      </c>
      <c r="H387">
        <v>305</v>
      </c>
      <c r="I387">
        <v>309</v>
      </c>
    </row>
    <row r="388" spans="3:10" x14ac:dyDescent="0.35">
      <c r="D388" s="255"/>
      <c r="E388" s="238" t="s">
        <v>106</v>
      </c>
      <c r="F388" s="256"/>
      <c r="G388" s="256"/>
      <c r="H388" s="256"/>
      <c r="I388" s="256"/>
      <c r="J388" s="256"/>
    </row>
    <row r="389" spans="3:10" x14ac:dyDescent="0.35">
      <c r="D389" s="255"/>
      <c r="E389" s="238" t="s">
        <v>152</v>
      </c>
      <c r="F389" s="235" t="s">
        <v>153</v>
      </c>
      <c r="G389" s="235" t="s">
        <v>154</v>
      </c>
      <c r="H389" s="238" t="s">
        <v>292</v>
      </c>
      <c r="I389" s="238" t="s">
        <v>158</v>
      </c>
      <c r="J389" s="238" t="s">
        <v>269</v>
      </c>
    </row>
    <row r="390" spans="3:10" x14ac:dyDescent="0.35">
      <c r="D390" s="235" t="s">
        <v>247</v>
      </c>
      <c r="E390" s="239">
        <f>(BDFE!C728+BDFE!C717)/1000+ajustes!L15</f>
        <v>1423.8973000000001</v>
      </c>
      <c r="F390" s="239">
        <f>(BDFE!C801+BDFE!C790)/1000+ajustes!M15</f>
        <v>3170.9291400000002</v>
      </c>
      <c r="G390" s="239">
        <f>(BDFE!C947+BDFE!C936)/1000+ajustes!N15</f>
        <v>-1602.8060800000001</v>
      </c>
      <c r="H390" s="239">
        <f>(BDFE!C874+BDFE!C863)/1000+ajustes!O15</f>
        <v>2741.6433299999999</v>
      </c>
      <c r="I390" s="239">
        <f>(BDFE!C1020+BDFE!C1009)/1000+ajustes!R15</f>
        <v>2831.0524799999998</v>
      </c>
      <c r="J390" s="239">
        <f>SUM(E390,F390,G390,H390,I390)</f>
        <v>8564.7161699999997</v>
      </c>
    </row>
    <row r="391" spans="3:10" x14ac:dyDescent="0.35">
      <c r="D391" s="236"/>
      <c r="E391" s="240"/>
      <c r="F391" s="240"/>
      <c r="G391" s="240"/>
      <c r="H391" s="240"/>
      <c r="I391" s="240"/>
      <c r="J391" s="240"/>
    </row>
    <row r="392" spans="3:10" x14ac:dyDescent="0.35">
      <c r="D392" s="235" t="s">
        <v>270</v>
      </c>
      <c r="E392" s="240"/>
      <c r="F392" s="240"/>
      <c r="G392" s="240"/>
      <c r="H392" s="240"/>
      <c r="I392" s="240"/>
      <c r="J392" s="240"/>
    </row>
    <row r="393" spans="3:10" x14ac:dyDescent="0.35">
      <c r="D393" s="236" t="s">
        <v>196</v>
      </c>
      <c r="E393" s="257">
        <f>BDFE!$C$731/1000</f>
        <v>-2247.2228399999999</v>
      </c>
      <c r="F393" s="257">
        <f>BDFE!$C$804/1000</f>
        <v>-134.49648999999999</v>
      </c>
      <c r="G393" s="257">
        <f>BDFE!$C$950/1000</f>
        <v>444.71897999999999</v>
      </c>
      <c r="H393" s="257">
        <f>BDFE!$C$877/1000</f>
        <v>36.32987</v>
      </c>
      <c r="I393" s="257">
        <f>BDFE!$C$1023/1000</f>
        <v>-3608.4504999999999</v>
      </c>
      <c r="J393" s="257">
        <f t="shared" ref="J393:J399" si="76">SUM(E393,F393,G393,H393,I393)</f>
        <v>-5509.1209799999997</v>
      </c>
    </row>
    <row r="394" spans="3:10" x14ac:dyDescent="0.35">
      <c r="D394" s="236" t="s">
        <v>197</v>
      </c>
      <c r="E394" s="258">
        <f>(BDFE!C732+BDFE!C733)/1000</f>
        <v>-14840.14676</v>
      </c>
      <c r="F394" s="258">
        <f>(BDFE!C805+BDFE!C806)/1000</f>
        <v>-203.53051000000002</v>
      </c>
      <c r="G394" s="258">
        <f>(BDFE!C951+BDFE!C952)/1000</f>
        <v>121.45003</v>
      </c>
      <c r="H394" s="258">
        <f>(BDFE!C878+BDFE!C879)/1000</f>
        <v>-147.83106000000001</v>
      </c>
      <c r="I394" s="258">
        <f>(BDFE!C1024+BDFE!C1025)/1000</f>
        <v>-593.92780000000005</v>
      </c>
      <c r="J394" s="258">
        <f t="shared" si="76"/>
        <v>-15663.9861</v>
      </c>
    </row>
    <row r="395" spans="3:10" x14ac:dyDescent="0.35">
      <c r="D395" s="236" t="s">
        <v>198</v>
      </c>
      <c r="E395" s="258">
        <f>BDFE!$C$734/1000</f>
        <v>-1126.49551</v>
      </c>
      <c r="F395" s="258">
        <f>BDFE!$C$807/1000</f>
        <v>-1581.05295</v>
      </c>
      <c r="G395" s="258">
        <f>BDFE!$C$953/1000</f>
        <v>-2748.1652300000001</v>
      </c>
      <c r="H395" s="258">
        <f>BDFE!$C$880/1000</f>
        <v>-838.23018999999999</v>
      </c>
      <c r="I395" s="258">
        <f>BDFE!$C$1026/1000</f>
        <v>-497.02978999999999</v>
      </c>
      <c r="J395" s="258">
        <f t="shared" si="76"/>
        <v>-6790.9736700000003</v>
      </c>
    </row>
    <row r="396" spans="3:10" x14ac:dyDescent="0.35">
      <c r="D396" s="236" t="s">
        <v>199</v>
      </c>
      <c r="E396" s="258">
        <f>(BDFE!C735+BDFE!C736)/1000</f>
        <v>-1269.8965499999999</v>
      </c>
      <c r="F396" s="258">
        <f>(BDFE!C808+BDFE!C809)/1000</f>
        <v>782.5293099999999</v>
      </c>
      <c r="G396" s="258">
        <f>(BDFE!C954+BDFE!C955)/1000</f>
        <v>-501.51511999999997</v>
      </c>
      <c r="H396" s="258">
        <f>(BDFE!C881+BDFE!C882)/1000</f>
        <v>-130.48656</v>
      </c>
      <c r="I396" s="258">
        <f>(BDFE!C1027+BDFE!C1028)/1000</f>
        <v>9732.6979800000008</v>
      </c>
      <c r="J396" s="258">
        <f t="shared" si="76"/>
        <v>8613.32906</v>
      </c>
    </row>
    <row r="397" spans="3:10" x14ac:dyDescent="0.35">
      <c r="D397" s="236" t="s">
        <v>222</v>
      </c>
      <c r="E397" s="258">
        <f>BDFE!$C$737/1000</f>
        <v>7200.3638899999996</v>
      </c>
      <c r="F397" s="258">
        <f>BDFE!$C$810/1000</f>
        <v>645.66880000000003</v>
      </c>
      <c r="G397" s="258">
        <f>BDFE!$C$956/1000</f>
        <v>4720.1483600000001</v>
      </c>
      <c r="H397" s="258">
        <f>BDFE!$C$883/1000</f>
        <v>449.43113</v>
      </c>
      <c r="I397" s="258">
        <f>BDFE!$C$1029/1000</f>
        <v>-4555.55026</v>
      </c>
      <c r="J397" s="258">
        <f t="shared" si="76"/>
        <v>8460.0619200000001</v>
      </c>
    </row>
    <row r="398" spans="3:10" x14ac:dyDescent="0.35">
      <c r="D398" s="236" t="s">
        <v>248</v>
      </c>
      <c r="E398" s="258">
        <f>(BDFE!C738+BDFE!C739)/1000</f>
        <v>9424.408660000001</v>
      </c>
      <c r="F398" s="258">
        <f>(BDFE!C811+BDFE!C812)/1000</f>
        <v>121.78854</v>
      </c>
      <c r="G398" s="258">
        <f>(BDFE!C957+BDFE!C958)/1000</f>
        <v>-311.35828000000004</v>
      </c>
      <c r="H398" s="258">
        <f>(BDFE!C884+BDFE!C885)/1000</f>
        <v>0</v>
      </c>
      <c r="I398" s="258">
        <f>(BDFE!C1030+BDFE!C1031)/1000</f>
        <v>-252.19422</v>
      </c>
      <c r="J398" s="258">
        <f t="shared" si="76"/>
        <v>8982.6447000000007</v>
      </c>
    </row>
    <row r="399" spans="3:10" x14ac:dyDescent="0.35">
      <c r="D399" s="236" t="s">
        <v>249</v>
      </c>
      <c r="E399" s="258">
        <f>(BDFE!C740+BDFE!C741+BDFE!C742)/1000</f>
        <v>957.78979000000004</v>
      </c>
      <c r="F399" s="258">
        <f>(BDFE!C813+BDFE!C814+BDFE!C815)/1000</f>
        <v>33.680399999999999</v>
      </c>
      <c r="G399" s="258">
        <f>(BDFE!C959+BDFE!C960+BDFE!C961)/1000</f>
        <v>-54.219080000000005</v>
      </c>
      <c r="H399" s="258">
        <f>(BDFE!C886+BDFE!C887+BDFE!C888)/1000</f>
        <v>-493.23266999999998</v>
      </c>
      <c r="I399" s="258">
        <f>(BDFE!C1032+BDFE!C1033+BDFE!C1034)/1000</f>
        <v>7.6763700000000243</v>
      </c>
      <c r="J399" s="258">
        <f t="shared" si="76"/>
        <v>451.69481000000007</v>
      </c>
    </row>
    <row r="400" spans="3:10" x14ac:dyDescent="0.35">
      <c r="D400" s="235" t="s">
        <v>270</v>
      </c>
      <c r="E400" s="259">
        <f t="shared" ref="E400:J400" si="77">SUM(E393:E399)</f>
        <v>-1901.1993199999986</v>
      </c>
      <c r="F400" s="259">
        <f t="shared" si="77"/>
        <v>-335.41290000000009</v>
      </c>
      <c r="G400" s="259">
        <f t="shared" si="77"/>
        <v>1671.0596600000001</v>
      </c>
      <c r="H400" s="259">
        <f t="shared" si="77"/>
        <v>-1124.0194799999999</v>
      </c>
      <c r="I400" s="259">
        <f t="shared" si="77"/>
        <v>233.22178000000096</v>
      </c>
      <c r="J400" s="259">
        <f t="shared" si="77"/>
        <v>-1456.3502600000002</v>
      </c>
    </row>
    <row r="401" spans="4:10" x14ac:dyDescent="0.35">
      <c r="D401" s="236"/>
      <c r="E401" s="243"/>
      <c r="F401" s="243"/>
      <c r="G401" s="243"/>
      <c r="H401" s="243"/>
      <c r="I401" s="243"/>
      <c r="J401" s="243"/>
    </row>
    <row r="402" spans="4:10" x14ac:dyDescent="0.35">
      <c r="D402" s="235" t="s">
        <v>250</v>
      </c>
      <c r="E402" s="240"/>
      <c r="F402" s="240"/>
      <c r="G402" s="240"/>
      <c r="H402" s="240"/>
      <c r="I402" s="240"/>
      <c r="J402" s="240"/>
    </row>
    <row r="403" spans="4:10" x14ac:dyDescent="0.35">
      <c r="D403" s="236" t="s">
        <v>251</v>
      </c>
      <c r="E403" s="241">
        <f>BDFE!$C$745/1000</f>
        <v>0</v>
      </c>
      <c r="F403" s="241">
        <f>BDFE!$C$818/1000</f>
        <v>0</v>
      </c>
      <c r="G403" s="241">
        <f>BDFE!$C$964/1000</f>
        <v>0</v>
      </c>
      <c r="H403" s="241">
        <f>BDFE!$C$891/1000</f>
        <v>0</v>
      </c>
      <c r="I403" s="241">
        <f>BDFE!$C$1037/1000</f>
        <v>-436.34719000000001</v>
      </c>
      <c r="J403" s="241">
        <f t="shared" ref="J403:J408" si="78">SUM(E403,F403,G403,H403,I403)</f>
        <v>-436.34719000000001</v>
      </c>
    </row>
    <row r="404" spans="4:10" x14ac:dyDescent="0.35">
      <c r="D404" s="236" t="s">
        <v>252</v>
      </c>
      <c r="E404" s="242">
        <f>BDFE!$C$746/1000</f>
        <v>0</v>
      </c>
      <c r="F404" s="242">
        <f>BDFE!$C$819/1000</f>
        <v>0</v>
      </c>
      <c r="G404" s="242">
        <f>BDFE!$C$965/1000</f>
        <v>0</v>
      </c>
      <c r="H404" s="242">
        <f>BDFE!$C$892/1000</f>
        <v>69</v>
      </c>
      <c r="I404" s="242">
        <f>BDFE!$C$1038/1000</f>
        <v>0</v>
      </c>
      <c r="J404" s="242">
        <f t="shared" si="78"/>
        <v>69</v>
      </c>
    </row>
    <row r="405" spans="4:10" x14ac:dyDescent="0.35">
      <c r="D405" s="236" t="s">
        <v>237</v>
      </c>
      <c r="E405" s="242">
        <f>BDFE!$C$747/1000</f>
        <v>0</v>
      </c>
      <c r="F405" s="242">
        <f>BDFE!$C$820/1000</f>
        <v>0</v>
      </c>
      <c r="G405" s="242">
        <f>BDFE!$C$966/1000</f>
        <v>0</v>
      </c>
      <c r="H405" s="242">
        <f>BDFE!$C$893/1000</f>
        <v>0</v>
      </c>
      <c r="I405" s="242">
        <f>BDFE!$C$1039/1000</f>
        <v>0</v>
      </c>
      <c r="J405" s="242">
        <f t="shared" si="78"/>
        <v>0</v>
      </c>
    </row>
    <row r="406" spans="4:10" x14ac:dyDescent="0.35">
      <c r="D406" s="236" t="s">
        <v>253</v>
      </c>
      <c r="E406" s="242">
        <f>BDFE!$C$748/1000</f>
        <v>0</v>
      </c>
      <c r="F406" s="242">
        <f>BDFE!$C$821/1000</f>
        <v>0</v>
      </c>
      <c r="G406" s="242">
        <f>BDFE!$C$967/1000</f>
        <v>0</v>
      </c>
      <c r="H406" s="242">
        <f>BDFE!$C$894/1000</f>
        <v>0</v>
      </c>
      <c r="I406" s="242">
        <f>BDFE!$C$1040/1000</f>
        <v>0</v>
      </c>
      <c r="J406" s="242">
        <f t="shared" si="78"/>
        <v>0</v>
      </c>
    </row>
    <row r="407" spans="4:10" x14ac:dyDescent="0.35">
      <c r="D407" s="236" t="s">
        <v>271</v>
      </c>
      <c r="E407" s="242">
        <f>(BDFE!C749+BDFE!C750)/1000</f>
        <v>0</v>
      </c>
      <c r="F407" s="242">
        <f>(BDFE!C822+BDFE!C823)/1000</f>
        <v>0</v>
      </c>
      <c r="G407" s="242">
        <f>(BDFE!C968+BDFE!C969)/1000</f>
        <v>0</v>
      </c>
      <c r="H407" s="242">
        <f>(BDFE!C895+BDFE!C896)/1000</f>
        <v>0</v>
      </c>
      <c r="I407" s="242">
        <f>(BDFE!C1041+BDFE!C1042)/1000</f>
        <v>0</v>
      </c>
      <c r="J407" s="242">
        <f t="shared" si="78"/>
        <v>0</v>
      </c>
    </row>
    <row r="408" spans="4:10" x14ac:dyDescent="0.35">
      <c r="D408" s="236" t="s">
        <v>254</v>
      </c>
      <c r="E408" s="242">
        <f>BDFE!$C$751/1000</f>
        <v>0</v>
      </c>
      <c r="F408" s="242">
        <f>BDFE!$C$824/1000</f>
        <v>0</v>
      </c>
      <c r="G408" s="242">
        <f>BDFE!$C$970/1000</f>
        <v>0</v>
      </c>
      <c r="H408" s="242">
        <f>BDFE!$C$897/1000</f>
        <v>0</v>
      </c>
      <c r="I408" s="242">
        <f>BDFE!$C$1043/1000</f>
        <v>0</v>
      </c>
      <c r="J408" s="242">
        <f t="shared" si="78"/>
        <v>0</v>
      </c>
    </row>
    <row r="409" spans="4:10" x14ac:dyDescent="0.35">
      <c r="D409" s="235" t="s">
        <v>255</v>
      </c>
      <c r="E409" s="239">
        <f t="shared" ref="E409:J409" si="79">SUM(E403:E408)</f>
        <v>0</v>
      </c>
      <c r="F409" s="239">
        <f t="shared" si="79"/>
        <v>0</v>
      </c>
      <c r="G409" s="239">
        <f t="shared" si="79"/>
        <v>0</v>
      </c>
      <c r="H409" s="239">
        <f t="shared" si="79"/>
        <v>69</v>
      </c>
      <c r="I409" s="239">
        <f t="shared" si="79"/>
        <v>-436.34719000000001</v>
      </c>
      <c r="J409" s="239">
        <f t="shared" si="79"/>
        <v>-367.34719000000001</v>
      </c>
    </row>
    <row r="410" spans="4:10" x14ac:dyDescent="0.35">
      <c r="D410" s="235"/>
      <c r="E410" s="244"/>
      <c r="F410" s="244"/>
      <c r="G410" s="244"/>
      <c r="H410" s="244"/>
      <c r="I410" s="244"/>
      <c r="J410" s="244"/>
    </row>
    <row r="411" spans="4:10" x14ac:dyDescent="0.35">
      <c r="D411" s="235" t="s">
        <v>256</v>
      </c>
      <c r="E411" s="240"/>
      <c r="F411" s="240"/>
      <c r="G411" s="240"/>
      <c r="H411" s="240"/>
      <c r="I411" s="240"/>
      <c r="J411" s="240"/>
    </row>
    <row r="412" spans="4:10" x14ac:dyDescent="0.35">
      <c r="D412" s="236" t="s">
        <v>204</v>
      </c>
      <c r="E412" s="241">
        <f>BDFE!$C$754/1000</f>
        <v>0</v>
      </c>
      <c r="F412" s="241">
        <f>BDFE!$C$827/1000</f>
        <v>0</v>
      </c>
      <c r="G412" s="241">
        <f>BDFE!$C$973/1000</f>
        <v>0</v>
      </c>
      <c r="H412" s="241">
        <f>BDFE!$C$900/1000</f>
        <v>0</v>
      </c>
      <c r="I412" s="241">
        <f>BDFE!$C$1046/1000</f>
        <v>0</v>
      </c>
      <c r="J412" s="241">
        <f t="shared" ref="J412:J426" si="80">SUM(E412,F412,G412,H412,I412)</f>
        <v>0</v>
      </c>
    </row>
    <row r="413" spans="4:10" x14ac:dyDescent="0.35">
      <c r="D413" s="236" t="s">
        <v>208</v>
      </c>
      <c r="E413" s="242">
        <f>BDFE!$C$756/1000</f>
        <v>-438.12434000000002</v>
      </c>
      <c r="F413" s="242">
        <f>BDFE!$C$829/1000</f>
        <v>-392.08362</v>
      </c>
      <c r="G413" s="242">
        <f>BDFE!$C$975/1000</f>
        <v>-11.58103</v>
      </c>
      <c r="H413" s="242">
        <f>BDFE!$C$902/1000</f>
        <v>-25.240560000000002</v>
      </c>
      <c r="I413" s="242">
        <f>BDFE!$C$1048/1000</f>
        <v>0</v>
      </c>
      <c r="J413" s="242">
        <f t="shared" si="80"/>
        <v>-867.02954999999997</v>
      </c>
    </row>
    <row r="414" spans="4:10" x14ac:dyDescent="0.35">
      <c r="D414" s="236" t="s">
        <v>207</v>
      </c>
      <c r="E414" s="242">
        <f>BDFE!$C$758/1000</f>
        <v>0</v>
      </c>
      <c r="F414" s="242">
        <f>BDFE!$C$831/1000</f>
        <v>-50</v>
      </c>
      <c r="G414" s="242">
        <f>BDFE!$C$977/1000</f>
        <v>-16.433</v>
      </c>
      <c r="H414" s="242">
        <f>BDFE!$C$904/1000</f>
        <v>0</v>
      </c>
      <c r="I414" s="242">
        <f>BDFE!$C$1050/1000</f>
        <v>399.05171999999999</v>
      </c>
      <c r="J414" s="242">
        <f t="shared" si="80"/>
        <v>332.61872</v>
      </c>
    </row>
    <row r="415" spans="4:10" x14ac:dyDescent="0.35">
      <c r="D415" s="236" t="s">
        <v>206</v>
      </c>
      <c r="E415" s="242">
        <f>BDFE!$C$760/1000</f>
        <v>0</v>
      </c>
      <c r="F415" s="242">
        <f>BDFE!$C$833/1000</f>
        <v>0</v>
      </c>
      <c r="G415" s="242">
        <f>BDFE!$C$979/1000</f>
        <v>0</v>
      </c>
      <c r="H415" s="242">
        <f>BDFE!$C$906/1000</f>
        <v>0</v>
      </c>
      <c r="I415" s="242">
        <f>BDFE!$C$1052/1000</f>
        <v>0</v>
      </c>
      <c r="J415" s="242">
        <f t="shared" si="80"/>
        <v>0</v>
      </c>
    </row>
    <row r="416" spans="4:10" x14ac:dyDescent="0.35">
      <c r="D416" s="236" t="s">
        <v>257</v>
      </c>
      <c r="E416" s="242">
        <f>BDFE!$C$762/1000</f>
        <v>0</v>
      </c>
      <c r="F416" s="242">
        <f>BDFE!$C$835/1000</f>
        <v>0</v>
      </c>
      <c r="G416" s="242">
        <f>BDFE!$C$981/1000</f>
        <v>-9.98475</v>
      </c>
      <c r="H416" s="242">
        <f>BDFE!$C$908/1000</f>
        <v>0</v>
      </c>
      <c r="I416" s="242">
        <f>BDFE!$C$1054/1000</f>
        <v>0</v>
      </c>
      <c r="J416" s="242">
        <f t="shared" si="80"/>
        <v>-9.98475</v>
      </c>
    </row>
    <row r="417" spans="4:10" x14ac:dyDescent="0.35">
      <c r="D417" s="236" t="s">
        <v>272</v>
      </c>
      <c r="E417" s="242">
        <f>BDFE!$C$764/1000</f>
        <v>0</v>
      </c>
      <c r="F417" s="242">
        <f>BDFE!$C$837/1000</f>
        <v>0</v>
      </c>
      <c r="G417" s="242">
        <f>BDFE!$C$983/1000</f>
        <v>0</v>
      </c>
      <c r="H417" s="242">
        <f>BDFE!$C$910/1000</f>
        <v>0</v>
      </c>
      <c r="I417" s="242">
        <f>BDFE!$C$1056/1000</f>
        <v>0</v>
      </c>
      <c r="J417" s="242">
        <f t="shared" si="80"/>
        <v>0</v>
      </c>
    </row>
    <row r="418" spans="4:10" hidden="1" x14ac:dyDescent="0.35">
      <c r="D418" s="236" t="s">
        <v>273</v>
      </c>
      <c r="E418" s="242">
        <f>BDFE!$C$766/1000</f>
        <v>0</v>
      </c>
      <c r="F418" s="242">
        <f>BDFE!$C$839/1000</f>
        <v>0</v>
      </c>
      <c r="G418" s="242">
        <f>BDFE!$C$985/1000</f>
        <v>0</v>
      </c>
      <c r="H418" s="242">
        <f>BDFE!$C$912/1000</f>
        <v>0</v>
      </c>
      <c r="I418" s="242">
        <f>BDFE!$C$1058/1000</f>
        <v>0</v>
      </c>
      <c r="J418" s="242">
        <f t="shared" si="80"/>
        <v>0</v>
      </c>
    </row>
    <row r="419" spans="4:10" hidden="1" x14ac:dyDescent="0.35">
      <c r="D419" s="236" t="s">
        <v>274</v>
      </c>
      <c r="E419" s="242">
        <f>BDFE!$C$768/1000</f>
        <v>0</v>
      </c>
      <c r="F419" s="242">
        <f>BDFE!$C$841/1000</f>
        <v>0</v>
      </c>
      <c r="G419" s="242">
        <f>BDFE!$C$987/1000</f>
        <v>0</v>
      </c>
      <c r="H419" s="242">
        <f>BDFE!$C$914/1000</f>
        <v>0</v>
      </c>
      <c r="I419" s="242">
        <f>BDFE!$C$1060/1000</f>
        <v>0</v>
      </c>
      <c r="J419" s="242">
        <f t="shared" si="80"/>
        <v>0</v>
      </c>
    </row>
    <row r="420" spans="4:10" hidden="1" x14ac:dyDescent="0.35">
      <c r="D420" s="236" t="s">
        <v>258</v>
      </c>
      <c r="E420" s="242">
        <f>BDFE!$C$770/1000</f>
        <v>0</v>
      </c>
      <c r="F420" s="242">
        <f>BDFE!$C$843/1000</f>
        <v>0</v>
      </c>
      <c r="G420" s="242">
        <f>BDFE!$C$989/1000</f>
        <v>0</v>
      </c>
      <c r="H420" s="242">
        <f>BDFE!$C$916/1000</f>
        <v>0</v>
      </c>
      <c r="I420" s="242">
        <f>BDFE!$C$1062/1000</f>
        <v>0</v>
      </c>
      <c r="J420" s="242">
        <f t="shared" si="80"/>
        <v>0</v>
      </c>
    </row>
    <row r="421" spans="4:10" hidden="1" x14ac:dyDescent="0.35">
      <c r="D421" s="236" t="s">
        <v>259</v>
      </c>
      <c r="E421" s="242">
        <f>BDFE!$C$772/1000</f>
        <v>0</v>
      </c>
      <c r="F421" s="242">
        <f>BDFE!$C$845/1000</f>
        <v>0</v>
      </c>
      <c r="G421" s="242">
        <f>BDFE!$C$991/1000</f>
        <v>0</v>
      </c>
      <c r="H421" s="242">
        <f>BDFE!$C$918/1000</f>
        <v>0</v>
      </c>
      <c r="I421" s="242">
        <f>BDFE!$C$1064/1000</f>
        <v>0</v>
      </c>
      <c r="J421" s="242">
        <f t="shared" si="80"/>
        <v>0</v>
      </c>
    </row>
    <row r="422" spans="4:10" hidden="1" x14ac:dyDescent="0.35">
      <c r="D422" s="236" t="s">
        <v>260</v>
      </c>
      <c r="E422" s="242">
        <f>BDFE!$C$775/1000</f>
        <v>0</v>
      </c>
      <c r="F422" s="242">
        <f>BDFE!$C$848/1000</f>
        <v>0</v>
      </c>
      <c r="G422" s="242">
        <f>BDFE!$C$994/1000</f>
        <v>0</v>
      </c>
      <c r="H422" s="242">
        <f>BDFE!$C$921/1000</f>
        <v>0</v>
      </c>
      <c r="I422" s="242">
        <f>BDFE!$C$1067/1000</f>
        <v>0</v>
      </c>
      <c r="J422" s="242">
        <f t="shared" si="80"/>
        <v>0</v>
      </c>
    </row>
    <row r="423" spans="4:10" hidden="1" x14ac:dyDescent="0.35">
      <c r="D423" s="236" t="s">
        <v>261</v>
      </c>
      <c r="E423" s="242">
        <f>BDFE!$C$776/1000</f>
        <v>0</v>
      </c>
      <c r="F423" s="242">
        <f>BDFE!$C$849/1000</f>
        <v>0</v>
      </c>
      <c r="G423" s="242">
        <f>BDFE!$C$995/1000</f>
        <v>0</v>
      </c>
      <c r="H423" s="242">
        <f>BDFE!$C$922/1000</f>
        <v>0</v>
      </c>
      <c r="I423" s="242">
        <f>BDFE!$C$1068/1000</f>
        <v>0</v>
      </c>
      <c r="J423" s="242">
        <f t="shared" si="80"/>
        <v>0</v>
      </c>
    </row>
    <row r="424" spans="4:10" x14ac:dyDescent="0.35">
      <c r="D424" s="236" t="s">
        <v>293</v>
      </c>
      <c r="E424" s="242">
        <f>BDFE!$C$774/1000</f>
        <v>0</v>
      </c>
      <c r="F424" s="242">
        <f>BDFE!$C$847/1000</f>
        <v>0</v>
      </c>
      <c r="G424" s="242">
        <f>BDFE!$C$993/1000</f>
        <v>0</v>
      </c>
      <c r="H424" s="242">
        <f>BDFE!$C$920/1000</f>
        <v>0</v>
      </c>
      <c r="I424" s="242">
        <f>BDFE!$C$1066/1000</f>
        <v>0</v>
      </c>
      <c r="J424" s="242">
        <f t="shared" si="80"/>
        <v>0</v>
      </c>
    </row>
    <row r="425" spans="4:10" hidden="1" x14ac:dyDescent="0.35">
      <c r="D425" s="236" t="s">
        <v>294</v>
      </c>
      <c r="E425" s="242">
        <f>BDFE!$C$777/1000</f>
        <v>0</v>
      </c>
      <c r="F425" s="242">
        <f>BDFE!$C$850/1000</f>
        <v>0</v>
      </c>
      <c r="G425" s="242">
        <f>BDFE!$C$996/1000</f>
        <v>0</v>
      </c>
      <c r="H425" s="242">
        <f>BDFE!$C$923/1000</f>
        <v>0</v>
      </c>
      <c r="I425" s="242">
        <f>BDFE!$C$1069/1000</f>
        <v>0</v>
      </c>
      <c r="J425" s="242">
        <f t="shared" si="80"/>
        <v>0</v>
      </c>
    </row>
    <row r="426" spans="4:10" x14ac:dyDescent="0.35">
      <c r="D426" s="236" t="s">
        <v>10</v>
      </c>
      <c r="E426" s="245">
        <f>(BDFE!C755+BDFE!C757+BDFE!C759+BDFE!C761+BDFE!C763+BDFE!C765+BDFE!C767+BDFE!C769+BDFE!C771+BDFE!C773-BDFE!C717)/1000</f>
        <v>-5.8207660913467408E-14</v>
      </c>
      <c r="F426" s="245">
        <f>(BDFE!C828+BDFE!C830+BDFE!C832+BDFE!C834+BDFE!C836+BDFE!C838+BDFE!C840+BDFE!C842+BDFE!C844+BDFE!C846-BDFE!C790)/1000</f>
        <v>0</v>
      </c>
      <c r="G426" s="245">
        <f>(BDFE!C974+BDFE!C976+BDFE!C978+BDFE!C980+BDFE!C982+BDFE!C984+BDFE!C986+BDFE!C988+BDFE!C990+BDFE!C992-BDFE!C936)/1000</f>
        <v>2.9103830456733704E-14</v>
      </c>
      <c r="H426" s="245">
        <f>(BDFE!C901+BDFE!C903+BDFE!C905+BDFE!C907+BDFE!C909+BDFE!C911+BDFE!C913+BDFE!C915+BDFE!C917+BDFE!C919-BDFE!C863)/1000</f>
        <v>0</v>
      </c>
      <c r="I426" s="245">
        <f>(BDFE!C1047+BDFE!C1049+BDFE!C1051+BDFE!C1053+BDFE!C1055+BDFE!C1057+BDFE!C1059+BDFE!C1061+BDFE!C1063+BDFE!C1065-BDFE!C1009)/1000</f>
        <v>-255.39309999999998</v>
      </c>
      <c r="J426" s="245">
        <f t="shared" si="80"/>
        <v>-255.3931</v>
      </c>
    </row>
    <row r="427" spans="4:10" x14ac:dyDescent="0.35">
      <c r="D427" s="235" t="s">
        <v>262</v>
      </c>
      <c r="E427" s="247">
        <f t="shared" ref="E427:J427" si="81">SUM(E412:E426)</f>
        <v>-438.12434000000007</v>
      </c>
      <c r="F427" s="247">
        <f t="shared" si="81"/>
        <v>-442.08362</v>
      </c>
      <c r="G427" s="247">
        <f t="shared" si="81"/>
        <v>-37.998779999999968</v>
      </c>
      <c r="H427" s="247">
        <f t="shared" si="81"/>
        <v>-25.240560000000002</v>
      </c>
      <c r="I427" s="247">
        <f t="shared" si="81"/>
        <v>143.65862000000001</v>
      </c>
      <c r="J427" s="247">
        <f t="shared" si="81"/>
        <v>-799.78868</v>
      </c>
    </row>
    <row r="428" spans="4:10" x14ac:dyDescent="0.35">
      <c r="D428" s="235" t="s">
        <v>291</v>
      </c>
      <c r="E428" s="20">
        <f>-ajustes!L15</f>
        <v>0</v>
      </c>
      <c r="F428" s="20">
        <f>-ajustes!M15</f>
        <v>0</v>
      </c>
      <c r="G428" s="20">
        <f>-ajustes!N15</f>
        <v>0</v>
      </c>
      <c r="H428" s="20">
        <f>-ajustes!O15</f>
        <v>0</v>
      </c>
      <c r="I428" s="20">
        <f>-ajustes!R15</f>
        <v>0</v>
      </c>
      <c r="J428" s="20">
        <f>SUM(E428:I428)</f>
        <v>0</v>
      </c>
    </row>
    <row r="429" spans="4:10" x14ac:dyDescent="0.35">
      <c r="D429" s="255"/>
      <c r="E429" s="255"/>
      <c r="F429" s="255"/>
      <c r="G429" s="255"/>
      <c r="H429" s="255"/>
      <c r="I429" s="255"/>
      <c r="J429" s="255"/>
    </row>
    <row r="430" spans="4:10" x14ac:dyDescent="0.35">
      <c r="D430" s="235" t="s">
        <v>263</v>
      </c>
      <c r="E430" s="239">
        <f>E390+E400+E409+E427+E428</f>
        <v>-915.42635999999857</v>
      </c>
      <c r="F430" s="239">
        <f t="shared" ref="F430:J430" si="82">F390+F400+F409+F427+F428</f>
        <v>2393.43262</v>
      </c>
      <c r="G430" s="239">
        <f t="shared" si="82"/>
        <v>30.254800000000088</v>
      </c>
      <c r="H430" s="239">
        <f t="shared" si="82"/>
        <v>1661.38329</v>
      </c>
      <c r="I430" s="239">
        <f t="shared" si="82"/>
        <v>2771.5856900000008</v>
      </c>
      <c r="J430" s="239">
        <f t="shared" si="82"/>
        <v>5941.2300399999995</v>
      </c>
    </row>
    <row r="431" spans="4:10" x14ac:dyDescent="0.35">
      <c r="D431" s="235" t="s">
        <v>275</v>
      </c>
      <c r="E431" s="239">
        <f>(BDBG!$H$705+BDBG!$H$706)/1000</f>
        <v>7845.2742500000004</v>
      </c>
      <c r="F431" s="239">
        <f>(BDBG!$H$759+BDBG!$H$760)/1000</f>
        <v>2594.2572300000002</v>
      </c>
      <c r="G431" s="239">
        <f>(BDBG!$H$868+BDBG!$H$869)/1000</f>
        <v>1319.2488599999999</v>
      </c>
      <c r="H431" s="239">
        <f>(BDBG!$H$814+BDBG!$H$815)/1000</f>
        <v>34769.613589999994</v>
      </c>
      <c r="I431" s="239">
        <f>BDBG!$H$922/1000</f>
        <v>2563.1635299999998</v>
      </c>
      <c r="J431" s="239">
        <f>SUM(E431,F431,G431,H431,I431)</f>
        <v>49091.557459999989</v>
      </c>
    </row>
    <row r="432" spans="4:10" x14ac:dyDescent="0.35">
      <c r="D432" s="235" t="s">
        <v>276</v>
      </c>
      <c r="E432" s="239">
        <f>E430+E431</f>
        <v>6929.8478900000018</v>
      </c>
      <c r="F432" s="239">
        <f t="shared" ref="F432:J432" si="83">F430+F431</f>
        <v>4987.6898500000007</v>
      </c>
      <c r="G432" s="239">
        <f t="shared" si="83"/>
        <v>1349.5036600000001</v>
      </c>
      <c r="H432" s="239">
        <f t="shared" si="83"/>
        <v>36430.996879999992</v>
      </c>
      <c r="I432" s="239">
        <f t="shared" si="83"/>
        <v>5334.7492200000006</v>
      </c>
      <c r="J432" s="239">
        <f t="shared" si="83"/>
        <v>55032.787499999991</v>
      </c>
    </row>
    <row r="439" spans="4:10" x14ac:dyDescent="0.35">
      <c r="D439" s="260"/>
      <c r="E439" s="261" t="s">
        <v>295</v>
      </c>
      <c r="F439" s="255"/>
      <c r="G439" s="255"/>
      <c r="H439" s="255"/>
      <c r="I439" s="255"/>
      <c r="J439" s="255"/>
    </row>
    <row r="440" spans="4:10" x14ac:dyDescent="0.35">
      <c r="D440" s="262"/>
      <c r="E440" s="238" t="s">
        <v>152</v>
      </c>
      <c r="F440" s="235" t="s">
        <v>153</v>
      </c>
      <c r="G440" s="235" t="s">
        <v>154</v>
      </c>
      <c r="H440" s="238" t="s">
        <v>292</v>
      </c>
      <c r="I440" s="238" t="s">
        <v>158</v>
      </c>
      <c r="J440" s="238" t="s">
        <v>269</v>
      </c>
    </row>
    <row r="441" spans="4:10" x14ac:dyDescent="0.35">
      <c r="D441" s="263" t="s">
        <v>247</v>
      </c>
      <c r="E441" s="239">
        <f>(BDFE!F728+BDFE!F717)/1000+ajustes!L30</f>
        <v>1423.8973000000001</v>
      </c>
      <c r="F441" s="239">
        <f>(BDFE!F801+BDFE!F790)/1000+ajustes!M30</f>
        <v>3170.9291400000002</v>
      </c>
      <c r="G441" s="239">
        <f>(BDFE!F947+BDFE!F936)/1000+ajustes!N30</f>
        <v>-1602.8060800000001</v>
      </c>
      <c r="H441" s="239">
        <f>(BDFE!F874+BDFE!F863)/1000+ajustes!O30</f>
        <v>2741.6433299999999</v>
      </c>
      <c r="I441" s="239">
        <f>(BDFE!F1020+BDFE!F1009)/1000+ajustes!R30</f>
        <v>2831.0524799999998</v>
      </c>
      <c r="J441" s="239">
        <f>SUM(E441,F441,G441,H441,I441)</f>
        <v>8564.7161699999997</v>
      </c>
    </row>
    <row r="442" spans="4:10" x14ac:dyDescent="0.35">
      <c r="D442" s="243"/>
      <c r="E442" s="240"/>
      <c r="F442" s="240"/>
      <c r="G442" s="240"/>
      <c r="H442" s="240"/>
      <c r="I442" s="240"/>
      <c r="J442" s="240"/>
    </row>
    <row r="443" spans="4:10" x14ac:dyDescent="0.35">
      <c r="D443" s="243" t="s">
        <v>270</v>
      </c>
      <c r="E443" s="240"/>
      <c r="F443" s="240"/>
      <c r="G443" s="240"/>
      <c r="H443" s="240"/>
      <c r="I443" s="240"/>
      <c r="J443" s="240"/>
    </row>
    <row r="444" spans="4:10" x14ac:dyDescent="0.35">
      <c r="D444" s="264" t="s">
        <v>196</v>
      </c>
      <c r="E444" s="241">
        <f>BDFE!$F$731/1000</f>
        <v>-2247.2228399999999</v>
      </c>
      <c r="F444" s="241">
        <f>BDFE!$F$804/1000</f>
        <v>-134.49648999999999</v>
      </c>
      <c r="G444" s="241">
        <f>BDFE!$F$950/1000</f>
        <v>444.71897999999999</v>
      </c>
      <c r="H444" s="241">
        <f>BDFE!$F$877/1000</f>
        <v>36.32987</v>
      </c>
      <c r="I444" s="241">
        <f>BDFE!$F$1023/1000</f>
        <v>-3608.4504999999999</v>
      </c>
      <c r="J444" s="241">
        <f t="shared" ref="J444:J450" si="84">SUM(E444,F444,G444,H444,I444)</f>
        <v>-5509.1209799999997</v>
      </c>
    </row>
    <row r="445" spans="4:10" x14ac:dyDescent="0.35">
      <c r="D445" s="264" t="s">
        <v>197</v>
      </c>
      <c r="E445" s="242">
        <f>(BDFE!F732+BDFE!F733)/1000</f>
        <v>-14840.14676</v>
      </c>
      <c r="F445" s="242">
        <f>(BDFE!F805+BDFE!F806)/1000</f>
        <v>-203.53051000000002</v>
      </c>
      <c r="G445" s="242">
        <f>(BDFE!F951+BDFE!F952)/1000</f>
        <v>121.45003</v>
      </c>
      <c r="H445" s="242">
        <f>(BDFE!F878+BDFE!F879)/1000</f>
        <v>-147.83106000000001</v>
      </c>
      <c r="I445" s="242">
        <f>(BDFE!F1024+BDFE!F1025)/1000</f>
        <v>-593.92780000000005</v>
      </c>
      <c r="J445" s="242">
        <f t="shared" si="84"/>
        <v>-15663.9861</v>
      </c>
    </row>
    <row r="446" spans="4:10" x14ac:dyDescent="0.35">
      <c r="D446" s="264" t="s">
        <v>198</v>
      </c>
      <c r="E446" s="242">
        <f>BDFE!$F$734/1000</f>
        <v>-1126.49551</v>
      </c>
      <c r="F446" s="242">
        <f>BDFE!$F$807/1000</f>
        <v>-1581.05295</v>
      </c>
      <c r="G446" s="242">
        <f>BDFE!$F$953/1000</f>
        <v>-2748.1652300000001</v>
      </c>
      <c r="H446" s="242">
        <f>BDFE!$F$880/1000</f>
        <v>-838.23018999999999</v>
      </c>
      <c r="I446" s="242">
        <f>BDFE!$F$1026/1000</f>
        <v>-497.02978999999999</v>
      </c>
      <c r="J446" s="242">
        <f t="shared" si="84"/>
        <v>-6790.9736700000003</v>
      </c>
    </row>
    <row r="447" spans="4:10" x14ac:dyDescent="0.35">
      <c r="D447" s="264" t="s">
        <v>199</v>
      </c>
      <c r="E447" s="242">
        <f>(BDFE!F735+BDFE!F736)/1000</f>
        <v>-1269.8965499999999</v>
      </c>
      <c r="F447" s="242">
        <f>(BDFE!F808+BDFE!F809)/1000</f>
        <v>782.5293099999999</v>
      </c>
      <c r="G447" s="242">
        <f>(BDFE!F954+BDFE!F955)/1000</f>
        <v>-501.51511999999997</v>
      </c>
      <c r="H447" s="242">
        <f>(BDFE!F881+BDFE!F882)/1000</f>
        <v>-130.48656</v>
      </c>
      <c r="I447" s="242">
        <f>(BDFE!F1027+BDFE!F1028)/1000</f>
        <v>9732.6979800000008</v>
      </c>
      <c r="J447" s="242">
        <f t="shared" si="84"/>
        <v>8613.32906</v>
      </c>
    </row>
    <row r="448" spans="4:10" x14ac:dyDescent="0.35">
      <c r="D448" s="264" t="s">
        <v>222</v>
      </c>
      <c r="E448" s="242">
        <f>BDFE!$F$737/1000</f>
        <v>7200.3638899999996</v>
      </c>
      <c r="F448" s="242">
        <f>BDFE!$F$810/1000</f>
        <v>645.66880000000003</v>
      </c>
      <c r="G448" s="242">
        <f>BDFE!$F$956/1000</f>
        <v>4720.1483600000001</v>
      </c>
      <c r="H448" s="242">
        <f>BDFE!$F$883/1000</f>
        <v>449.43113</v>
      </c>
      <c r="I448" s="242">
        <f>BDFE!$F$1029/1000</f>
        <v>-4555.55026</v>
      </c>
      <c r="J448" s="242">
        <f t="shared" si="84"/>
        <v>8460.0619200000001</v>
      </c>
    </row>
    <row r="449" spans="4:10" x14ac:dyDescent="0.35">
      <c r="D449" s="264" t="s">
        <v>248</v>
      </c>
      <c r="E449" s="242">
        <f>(BDFE!F738+BDFE!F739)/1000</f>
        <v>9424.408660000001</v>
      </c>
      <c r="F449" s="242">
        <f>(BDFE!F811+BDFE!F812)/1000</f>
        <v>121.78854</v>
      </c>
      <c r="G449" s="242">
        <f>(BDFE!F957+BDFE!F958)/1000</f>
        <v>-311.35828000000004</v>
      </c>
      <c r="H449" s="242">
        <f>(BDFE!F884+BDFE!F885)/1000</f>
        <v>0</v>
      </c>
      <c r="I449" s="242">
        <f>(BDFE!F1030+BDFE!F1031)/1000</f>
        <v>-252.19422</v>
      </c>
      <c r="J449" s="242">
        <f t="shared" si="84"/>
        <v>8982.6447000000007</v>
      </c>
    </row>
    <row r="450" spans="4:10" x14ac:dyDescent="0.35">
      <c r="D450" s="264" t="s">
        <v>249</v>
      </c>
      <c r="E450" s="245">
        <f>(BDFE!F740+BDFE!F741+BDFE!F742)/1000</f>
        <v>957.78979000000004</v>
      </c>
      <c r="F450" s="242">
        <f>(BDFE!F813+BDFE!F814+BDFE!F815)/1000</f>
        <v>33.680399999999999</v>
      </c>
      <c r="G450" s="242">
        <f>(BDFE!F959+BDFE!F960+BDFE!F961)/1000</f>
        <v>-54.219080000000005</v>
      </c>
      <c r="H450" s="242">
        <f>(BDFE!F886+BDFE!F887+BDFE!F888)/1000</f>
        <v>-493.23266999999998</v>
      </c>
      <c r="I450" s="242">
        <f>(BDFE!F1032+BDFE!F1033+BDFE!F1034)/1000</f>
        <v>7.6763700000000243</v>
      </c>
      <c r="J450" s="242">
        <f t="shared" si="84"/>
        <v>451.69481000000007</v>
      </c>
    </row>
    <row r="451" spans="4:10" x14ac:dyDescent="0.35">
      <c r="D451" s="263" t="s">
        <v>270</v>
      </c>
      <c r="E451" s="239">
        <f t="shared" ref="E451:J451" si="85">SUM(E444:E450)</f>
        <v>-1901.1993199999986</v>
      </c>
      <c r="F451" s="239">
        <f t="shared" si="85"/>
        <v>-335.41290000000009</v>
      </c>
      <c r="G451" s="239">
        <f t="shared" si="85"/>
        <v>1671.0596600000001</v>
      </c>
      <c r="H451" s="239">
        <f t="shared" si="85"/>
        <v>-1124.0194799999999</v>
      </c>
      <c r="I451" s="239">
        <f t="shared" si="85"/>
        <v>233.22178000000096</v>
      </c>
      <c r="J451" s="239">
        <f t="shared" si="85"/>
        <v>-1456.3502600000002</v>
      </c>
    </row>
    <row r="452" spans="4:10" x14ac:dyDescent="0.35">
      <c r="D452" s="243"/>
      <c r="E452" s="243"/>
      <c r="F452" s="243"/>
      <c r="G452" s="243"/>
      <c r="H452" s="243"/>
      <c r="I452" s="243"/>
      <c r="J452" s="243"/>
    </row>
    <row r="453" spans="4:10" x14ac:dyDescent="0.35">
      <c r="D453" s="243" t="s">
        <v>250</v>
      </c>
      <c r="E453" s="240"/>
      <c r="F453" s="240"/>
      <c r="G453" s="240"/>
      <c r="H453" s="240"/>
      <c r="I453" s="240"/>
      <c r="J453" s="240"/>
    </row>
    <row r="454" spans="4:10" x14ac:dyDescent="0.35">
      <c r="D454" s="264" t="s">
        <v>251</v>
      </c>
      <c r="E454" s="241">
        <f>BDFE!$F$745/1000</f>
        <v>0</v>
      </c>
      <c r="F454" s="241">
        <f>BDFE!$F$818/1000</f>
        <v>0</v>
      </c>
      <c r="G454" s="241">
        <f>BDFE!$F$964/1000</f>
        <v>0</v>
      </c>
      <c r="H454" s="241">
        <f>BDFE!$F$891/1000</f>
        <v>0</v>
      </c>
      <c r="I454" s="241">
        <f>BDFE!$F$1037/1000</f>
        <v>-436.34719000000001</v>
      </c>
      <c r="J454" s="241">
        <f t="shared" ref="J454:J459" si="86">SUM(E454,F454,G454,H454,I454)</f>
        <v>-436.34719000000001</v>
      </c>
    </row>
    <row r="455" spans="4:10" x14ac:dyDescent="0.35">
      <c r="D455" s="264" t="s">
        <v>252</v>
      </c>
      <c r="E455" s="242">
        <f>BDFE!$F$746/1000</f>
        <v>0</v>
      </c>
      <c r="F455" s="242">
        <f>BDFE!$F$819/1000</f>
        <v>0</v>
      </c>
      <c r="G455" s="242">
        <f>BDFE!$F$965/1000</f>
        <v>0</v>
      </c>
      <c r="H455" s="242">
        <f>BDFE!$F$892/1000</f>
        <v>69</v>
      </c>
      <c r="I455" s="242">
        <f>BDFE!$F$1038/1000</f>
        <v>0</v>
      </c>
      <c r="J455" s="242">
        <f t="shared" si="86"/>
        <v>69</v>
      </c>
    </row>
    <row r="456" spans="4:10" x14ac:dyDescent="0.35">
      <c r="D456" s="264" t="s">
        <v>237</v>
      </c>
      <c r="E456" s="242">
        <f>BDFE!$F$747/1000</f>
        <v>0</v>
      </c>
      <c r="F456" s="242">
        <f>BDFE!$F$820/1000</f>
        <v>0</v>
      </c>
      <c r="G456" s="242">
        <f>BDFE!$F$966/1000</f>
        <v>0</v>
      </c>
      <c r="H456" s="242">
        <f>BDFE!$F$893/1000</f>
        <v>0</v>
      </c>
      <c r="I456" s="242">
        <f>BDFE!$F$1039/1000</f>
        <v>0</v>
      </c>
      <c r="J456" s="242">
        <f t="shared" si="86"/>
        <v>0</v>
      </c>
    </row>
    <row r="457" spans="4:10" x14ac:dyDescent="0.35">
      <c r="D457" s="264" t="s">
        <v>253</v>
      </c>
      <c r="E457" s="242">
        <f>BDFE!$F$748/1000</f>
        <v>0</v>
      </c>
      <c r="F457" s="242">
        <f>BDFE!$F$821/1000</f>
        <v>0</v>
      </c>
      <c r="G457" s="242">
        <f>BDFE!$F$967/1000</f>
        <v>0</v>
      </c>
      <c r="H457" s="242">
        <f>BDFE!$F$894/1000</f>
        <v>0</v>
      </c>
      <c r="I457" s="242">
        <f>BDFE!$F$1040/1000</f>
        <v>0</v>
      </c>
      <c r="J457" s="242">
        <f t="shared" si="86"/>
        <v>0</v>
      </c>
    </row>
    <row r="458" spans="4:10" x14ac:dyDescent="0.35">
      <c r="D458" s="264" t="s">
        <v>271</v>
      </c>
      <c r="E458" s="242">
        <f>(BDFE!F749+BDFE!F750)/1000</f>
        <v>0</v>
      </c>
      <c r="F458" s="242">
        <f>(BDFE!F822+BDFE!F823)/1000</f>
        <v>0</v>
      </c>
      <c r="G458" s="242">
        <f>(BDFE!F968+BDFE!F969)/1000</f>
        <v>0</v>
      </c>
      <c r="H458" s="242">
        <f>(BDFE!F895+BDFE!F896)/1000</f>
        <v>0</v>
      </c>
      <c r="I458" s="242">
        <f>(BDFE!F1041+BDFE!F1042)/1000</f>
        <v>0</v>
      </c>
      <c r="J458" s="242">
        <f t="shared" si="86"/>
        <v>0</v>
      </c>
    </row>
    <row r="459" spans="4:10" x14ac:dyDescent="0.35">
      <c r="D459" s="264" t="s">
        <v>254</v>
      </c>
      <c r="E459" s="242">
        <f>BDFE!$F$751/1000</f>
        <v>0</v>
      </c>
      <c r="F459" s="242">
        <f>BDFE!$F$824/1000</f>
        <v>0</v>
      </c>
      <c r="G459" s="242">
        <f>BDFE!$F$970/1000</f>
        <v>0</v>
      </c>
      <c r="H459" s="242">
        <f>BDFE!$F$897/1000</f>
        <v>0</v>
      </c>
      <c r="I459" s="242">
        <f>BDFE!$F$1043/1000</f>
        <v>0</v>
      </c>
      <c r="J459" s="242">
        <f t="shared" si="86"/>
        <v>0</v>
      </c>
    </row>
    <row r="460" spans="4:10" x14ac:dyDescent="0.35">
      <c r="D460" s="263" t="s">
        <v>255</v>
      </c>
      <c r="E460" s="239">
        <f t="shared" ref="E460:J460" si="87">SUM(E454:E459)</f>
        <v>0</v>
      </c>
      <c r="F460" s="239">
        <f t="shared" si="87"/>
        <v>0</v>
      </c>
      <c r="G460" s="239">
        <f t="shared" si="87"/>
        <v>0</v>
      </c>
      <c r="H460" s="239">
        <f t="shared" si="87"/>
        <v>69</v>
      </c>
      <c r="I460" s="239">
        <f t="shared" si="87"/>
        <v>-436.34719000000001</v>
      </c>
      <c r="J460" s="239">
        <f t="shared" si="87"/>
        <v>-367.34719000000001</v>
      </c>
    </row>
    <row r="461" spans="4:10" x14ac:dyDescent="0.35">
      <c r="D461" s="243"/>
      <c r="E461" s="243"/>
      <c r="F461" s="244"/>
      <c r="G461" s="244"/>
      <c r="H461" s="244"/>
      <c r="I461" s="244"/>
      <c r="J461" s="244"/>
    </row>
    <row r="462" spans="4:10" x14ac:dyDescent="0.35">
      <c r="D462" s="243" t="s">
        <v>256</v>
      </c>
      <c r="E462" s="240"/>
      <c r="F462" s="240"/>
      <c r="G462" s="240"/>
      <c r="H462" s="240"/>
      <c r="I462" s="240"/>
      <c r="J462" s="240"/>
    </row>
    <row r="463" spans="4:10" x14ac:dyDescent="0.35">
      <c r="D463" s="264" t="s">
        <v>204</v>
      </c>
      <c r="E463" s="241">
        <f>BDFE!$F$754/1000</f>
        <v>0</v>
      </c>
      <c r="F463" s="241">
        <f>BDFE!$F$827/1000</f>
        <v>0</v>
      </c>
      <c r="G463" s="241">
        <f>BDFE!$F$973/1000</f>
        <v>0</v>
      </c>
      <c r="H463" s="241">
        <f>BDFE!$F$900/1000</f>
        <v>0</v>
      </c>
      <c r="I463" s="241">
        <f>BDFE!$F$1046/1000</f>
        <v>0</v>
      </c>
      <c r="J463" s="241">
        <f t="shared" ref="J463:J477" si="88">SUM(E463,F463,G463,H463,I463)</f>
        <v>0</v>
      </c>
    </row>
    <row r="464" spans="4:10" x14ac:dyDescent="0.35">
      <c r="D464" s="264" t="s">
        <v>208</v>
      </c>
      <c r="E464" s="242">
        <f>BDFE!$F$756/1000</f>
        <v>-438.12434000000002</v>
      </c>
      <c r="F464" s="242">
        <f>BDFE!$F$829/1000</f>
        <v>-392.08362</v>
      </c>
      <c r="G464" s="242">
        <f>BDFE!$F$975/1000</f>
        <v>-11.58103</v>
      </c>
      <c r="H464" s="242">
        <f>BDFE!$F$902/1000</f>
        <v>-25.240560000000002</v>
      </c>
      <c r="I464" s="242">
        <f>BDFE!$F$1048/1000</f>
        <v>0</v>
      </c>
      <c r="J464" s="242">
        <f t="shared" si="88"/>
        <v>-867.02954999999997</v>
      </c>
    </row>
    <row r="465" spans="4:10" x14ac:dyDescent="0.35">
      <c r="D465" s="264" t="s">
        <v>207</v>
      </c>
      <c r="E465" s="242">
        <f>BDFE!$F$758/1000</f>
        <v>0</v>
      </c>
      <c r="F465" s="242">
        <f>BDFE!$F$831/1000</f>
        <v>-50</v>
      </c>
      <c r="G465" s="242">
        <f>BDFE!$F$977/1000</f>
        <v>-16.433</v>
      </c>
      <c r="H465" s="242">
        <f>BDFE!$F$904/1000</f>
        <v>0</v>
      </c>
      <c r="I465" s="242">
        <f>BDFE!$F$1050/1000</f>
        <v>399.05171999999999</v>
      </c>
      <c r="J465" s="242">
        <f t="shared" si="88"/>
        <v>332.61872</v>
      </c>
    </row>
    <row r="466" spans="4:10" x14ac:dyDescent="0.35">
      <c r="D466" s="264" t="s">
        <v>206</v>
      </c>
      <c r="E466" s="242">
        <f>BDFE!$F$760/1000</f>
        <v>0</v>
      </c>
      <c r="F466" s="242">
        <f>BDFE!$F$833/1000</f>
        <v>0</v>
      </c>
      <c r="G466" s="242">
        <f>BDFE!$F$979/1000</f>
        <v>0</v>
      </c>
      <c r="H466" s="242">
        <f>BDFE!$F$906/1000</f>
        <v>0</v>
      </c>
      <c r="I466" s="242">
        <f>BDFE!$F$1052/1000</f>
        <v>0</v>
      </c>
      <c r="J466" s="242">
        <f t="shared" si="88"/>
        <v>0</v>
      </c>
    </row>
    <row r="467" spans="4:10" x14ac:dyDescent="0.35">
      <c r="D467" s="264" t="s">
        <v>257</v>
      </c>
      <c r="E467" s="242">
        <f>BDFE!$F$762/1000</f>
        <v>0</v>
      </c>
      <c r="F467" s="242">
        <f>BDFE!$F$835/1000</f>
        <v>0</v>
      </c>
      <c r="G467" s="242">
        <f>BDFE!$F$981/1000</f>
        <v>-9.98475</v>
      </c>
      <c r="H467" s="242">
        <f>BDFE!$F$908/1000</f>
        <v>0</v>
      </c>
      <c r="I467" s="242">
        <f>BDFE!$F$1054/1000</f>
        <v>0</v>
      </c>
      <c r="J467" s="242">
        <f t="shared" si="88"/>
        <v>-9.98475</v>
      </c>
    </row>
    <row r="468" spans="4:10" x14ac:dyDescent="0.35">
      <c r="D468" s="264" t="s">
        <v>272</v>
      </c>
      <c r="E468" s="242">
        <f>BDFE!$F$764/1000</f>
        <v>0</v>
      </c>
      <c r="F468" s="242">
        <f>BDFE!$F$837/1000</f>
        <v>0</v>
      </c>
      <c r="G468" s="242">
        <f>BDFE!$F$983/1000</f>
        <v>0</v>
      </c>
      <c r="H468" s="242">
        <f>BDFE!$F$910/1000</f>
        <v>0</v>
      </c>
      <c r="I468" s="242">
        <f>BDFE!$F$1056/1000</f>
        <v>0</v>
      </c>
      <c r="J468" s="242">
        <f t="shared" si="88"/>
        <v>0</v>
      </c>
    </row>
    <row r="469" spans="4:10" hidden="1" x14ac:dyDescent="0.35">
      <c r="D469" s="264" t="s">
        <v>273</v>
      </c>
      <c r="E469" s="242">
        <f>BDFE!$F$766/1000</f>
        <v>0</v>
      </c>
      <c r="F469" s="242">
        <f>BDFE!$F$839/1000</f>
        <v>0</v>
      </c>
      <c r="G469" s="242">
        <f>BDFE!$F$985/1000</f>
        <v>0</v>
      </c>
      <c r="H469" s="242">
        <f>BDFE!$F$912/1000</f>
        <v>0</v>
      </c>
      <c r="I469" s="242">
        <f>BDFE!$F$1058/1000</f>
        <v>0</v>
      </c>
      <c r="J469" s="242">
        <f t="shared" si="88"/>
        <v>0</v>
      </c>
    </row>
    <row r="470" spans="4:10" hidden="1" x14ac:dyDescent="0.35">
      <c r="D470" s="264" t="s">
        <v>274</v>
      </c>
      <c r="E470" s="242">
        <f>BDFE!$F$768/1000</f>
        <v>0</v>
      </c>
      <c r="F470" s="242">
        <f>BDFE!$F$841/1000</f>
        <v>0</v>
      </c>
      <c r="G470" s="242">
        <f>BDFE!$F$987/1000</f>
        <v>0</v>
      </c>
      <c r="H470" s="242">
        <f>BDFE!$F$914/1000</f>
        <v>0</v>
      </c>
      <c r="I470" s="242">
        <f>BDFE!$F$1060/1000</f>
        <v>0</v>
      </c>
      <c r="J470" s="242">
        <f t="shared" si="88"/>
        <v>0</v>
      </c>
    </row>
    <row r="471" spans="4:10" hidden="1" x14ac:dyDescent="0.35">
      <c r="D471" s="264" t="s">
        <v>258</v>
      </c>
      <c r="E471" s="242">
        <f>BDFE!$F$770/1000</f>
        <v>0</v>
      </c>
      <c r="F471" s="242">
        <f>BDFE!$F$843/1000</f>
        <v>0</v>
      </c>
      <c r="G471" s="242">
        <f>BDFE!$F$989/1000</f>
        <v>0</v>
      </c>
      <c r="H471" s="242">
        <f>BDFE!$F$916/1000</f>
        <v>0</v>
      </c>
      <c r="I471" s="242">
        <f>BDFE!$F$1062/1000</f>
        <v>0</v>
      </c>
      <c r="J471" s="242">
        <f t="shared" si="88"/>
        <v>0</v>
      </c>
    </row>
    <row r="472" spans="4:10" hidden="1" x14ac:dyDescent="0.35">
      <c r="D472" s="264" t="s">
        <v>259</v>
      </c>
      <c r="E472" s="242">
        <f>BDFE!$F$772/1000</f>
        <v>0</v>
      </c>
      <c r="F472" s="242">
        <f>BDFE!$F$845/1000</f>
        <v>0</v>
      </c>
      <c r="G472" s="242">
        <f>BDFE!$F$991/1000</f>
        <v>0</v>
      </c>
      <c r="H472" s="242">
        <f>BDFE!$F$918/1000</f>
        <v>0</v>
      </c>
      <c r="I472" s="242">
        <f>BDFE!$F$1064/1000</f>
        <v>0</v>
      </c>
      <c r="J472" s="242">
        <f t="shared" si="88"/>
        <v>0</v>
      </c>
    </row>
    <row r="473" spans="4:10" hidden="1" x14ac:dyDescent="0.35">
      <c r="D473" s="264" t="s">
        <v>260</v>
      </c>
      <c r="E473" s="242">
        <f>BDFE!$F$775/1000</f>
        <v>0</v>
      </c>
      <c r="F473" s="242">
        <f>BDFE!$F$848/1000</f>
        <v>0</v>
      </c>
      <c r="G473" s="242">
        <f>BDFE!$F$994/1000</f>
        <v>0</v>
      </c>
      <c r="H473" s="242">
        <f>BDFE!$F$921/1000</f>
        <v>0</v>
      </c>
      <c r="I473" s="242">
        <f>BDFE!$F$1067/1000</f>
        <v>0</v>
      </c>
      <c r="J473" s="242">
        <f t="shared" si="88"/>
        <v>0</v>
      </c>
    </row>
    <row r="474" spans="4:10" hidden="1" x14ac:dyDescent="0.35">
      <c r="D474" s="264" t="s">
        <v>261</v>
      </c>
      <c r="E474" s="242">
        <f>BDFE!$F$776/1000</f>
        <v>0</v>
      </c>
      <c r="F474" s="242">
        <f>BDFE!$F$849/1000</f>
        <v>0</v>
      </c>
      <c r="G474" s="242">
        <f>BDFE!$F$995/1000</f>
        <v>0</v>
      </c>
      <c r="H474" s="242">
        <f>BDFE!$F$922/1000</f>
        <v>0</v>
      </c>
      <c r="I474" s="242">
        <f>BDFE!$F$1068/1000</f>
        <v>0</v>
      </c>
      <c r="J474" s="242">
        <f t="shared" si="88"/>
        <v>0</v>
      </c>
    </row>
    <row r="475" spans="4:10" x14ac:dyDescent="0.35">
      <c r="D475" s="264" t="s">
        <v>293</v>
      </c>
      <c r="E475" s="242">
        <f>BDFE!$F$774/1000</f>
        <v>0</v>
      </c>
      <c r="F475" s="242">
        <f>BDFE!$F$847/1000</f>
        <v>0</v>
      </c>
      <c r="G475" s="242">
        <f>BDFE!$F$993/1000</f>
        <v>0</v>
      </c>
      <c r="H475" s="242">
        <f>BDFE!$F$920/1000</f>
        <v>0</v>
      </c>
      <c r="I475" s="242">
        <f>BDFE!$F$1066/1000</f>
        <v>0</v>
      </c>
      <c r="J475" s="242">
        <f t="shared" si="88"/>
        <v>0</v>
      </c>
    </row>
    <row r="476" spans="4:10" hidden="1" x14ac:dyDescent="0.35">
      <c r="D476" s="264" t="s">
        <v>294</v>
      </c>
      <c r="E476" s="242">
        <f>BDFE!$F$777/1000</f>
        <v>0</v>
      </c>
      <c r="F476" s="242">
        <f>BDFE!$F$850/1000</f>
        <v>0</v>
      </c>
      <c r="G476" s="242">
        <f>BDFE!$F$996/1000</f>
        <v>0</v>
      </c>
      <c r="H476" s="242">
        <f>BDFE!$F$923/1000</f>
        <v>0</v>
      </c>
      <c r="I476" s="242">
        <f>BDFE!$F$1069/1000</f>
        <v>0</v>
      </c>
      <c r="J476" s="242">
        <f t="shared" si="88"/>
        <v>0</v>
      </c>
    </row>
    <row r="477" spans="4:10" x14ac:dyDescent="0.35">
      <c r="D477" s="264" t="s">
        <v>10</v>
      </c>
      <c r="E477" s="245">
        <f>(BDFE!F755+BDFE!F757+BDFE!F759+BDFE!F761+BDFE!F763+BDFE!F765+BDFE!F767+BDFE!F769+BDFE!F771+BDFE!F773-BDFE!F717)/1000</f>
        <v>-5.8207660913467408E-14</v>
      </c>
      <c r="F477" s="245">
        <f>(BDFE!F828+BDFE!F830+BDFE!F832+BDFE!F834+BDFE!F836+BDFE!F838+BDFE!F840+BDFE!F842+BDFE!F844+BDFE!F846-BDFE!F790)/1000</f>
        <v>0</v>
      </c>
      <c r="G477" s="245">
        <f>(BDFE!F974+BDFE!F976+BDFE!F978+BDFE!F980+BDFE!F982+BDFE!F984+BDFE!F986+BDFE!F988+BDFE!F990+BDFE!F992-BDFE!F936)/1000</f>
        <v>2.9103830456733704E-14</v>
      </c>
      <c r="H477" s="245">
        <f>(BDFE!F901+BDFE!F903+BDFE!F905+BDFE!F907+BDFE!F909+BDFE!F911+BDFE!F913+BDFE!F915+BDFE!F917+BDFE!F919-BDFE!F863)/1000</f>
        <v>0</v>
      </c>
      <c r="I477" s="245">
        <f>(BDFE!F1047+BDFE!F1049+BDFE!F1051+BDFE!F1053+BDFE!F1055+BDFE!F1057+BDFE!F1059+BDFE!F1061+BDFE!F1063+BDFE!F1065-BDFE!F1009)/1000</f>
        <v>-255.39309999999998</v>
      </c>
      <c r="J477" s="245">
        <f t="shared" si="88"/>
        <v>-255.3931</v>
      </c>
    </row>
    <row r="478" spans="4:10" x14ac:dyDescent="0.35">
      <c r="D478" s="263" t="s">
        <v>262</v>
      </c>
      <c r="E478" s="265">
        <f t="shared" ref="E478:J478" si="89">SUM(E463:E477)</f>
        <v>-438.12434000000007</v>
      </c>
      <c r="F478" s="247">
        <f t="shared" si="89"/>
        <v>-442.08362</v>
      </c>
      <c r="G478" s="247">
        <f t="shared" si="89"/>
        <v>-37.998779999999968</v>
      </c>
      <c r="H478" s="247">
        <f t="shared" si="89"/>
        <v>-25.240560000000002</v>
      </c>
      <c r="I478" s="247">
        <f t="shared" si="89"/>
        <v>143.65862000000001</v>
      </c>
      <c r="J478" s="247">
        <f t="shared" si="89"/>
        <v>-799.78868</v>
      </c>
    </row>
    <row r="479" spans="4:10" x14ac:dyDescent="0.35">
      <c r="D479" s="263" t="s">
        <v>291</v>
      </c>
      <c r="E479" s="14">
        <f>-ajustes!L30</f>
        <v>0</v>
      </c>
      <c r="F479" s="20">
        <f>-ajustes!M30</f>
        <v>0</v>
      </c>
      <c r="G479" s="20">
        <f>-ajustes!N30</f>
        <v>0</v>
      </c>
      <c r="H479" s="20">
        <f>-ajustes!O30</f>
        <v>0</v>
      </c>
      <c r="I479" s="20">
        <f>-ajustes!R30</f>
        <v>0</v>
      </c>
      <c r="J479" s="20">
        <f>SUM(E479:I479)</f>
        <v>0</v>
      </c>
    </row>
    <row r="480" spans="4:10" x14ac:dyDescent="0.35">
      <c r="D480" s="243"/>
      <c r="E480" s="266"/>
      <c r="F480" s="255"/>
      <c r="G480" s="255"/>
      <c r="H480" s="255"/>
      <c r="I480" s="255"/>
      <c r="J480" s="255"/>
    </row>
    <row r="481" spans="3:10" x14ac:dyDescent="0.35">
      <c r="D481" s="263" t="s">
        <v>263</v>
      </c>
      <c r="E481" s="239">
        <f>E441+E451+E460+E478+E479</f>
        <v>-915.42635999999857</v>
      </c>
      <c r="F481" s="239">
        <f t="shared" ref="F481:I481" si="90">F441+F451+F460+F478+F479</f>
        <v>2393.43262</v>
      </c>
      <c r="G481" s="239">
        <f t="shared" si="90"/>
        <v>30.254800000000088</v>
      </c>
      <c r="H481" s="239">
        <f t="shared" si="90"/>
        <v>1661.38329</v>
      </c>
      <c r="I481" s="239">
        <f t="shared" si="90"/>
        <v>2771.5856900000008</v>
      </c>
      <c r="J481" s="239">
        <f>J441+J451+J460+J478+J479</f>
        <v>5941.2300399999995</v>
      </c>
    </row>
    <row r="482" spans="3:10" x14ac:dyDescent="0.35">
      <c r="D482" s="263" t="s">
        <v>275</v>
      </c>
      <c r="E482" s="247">
        <f>(BDBG!$I$705+BDBG!$I$706)/1000</f>
        <v>7845.2742500000004</v>
      </c>
      <c r="F482" s="239">
        <f>(BDBG!$I$759+BDBG!$I$760)/1000</f>
        <v>2594.2572300000002</v>
      </c>
      <c r="G482" s="239">
        <f>(BDBG!$I$868+BDBG!$I$869)/1000</f>
        <v>1319.2488599999999</v>
      </c>
      <c r="H482" s="239">
        <f>(BDBG!$I$814+BDBG!$I$815)/1000</f>
        <v>34769.613589999994</v>
      </c>
      <c r="I482" s="239">
        <f>BDBG!$I$922/1000</f>
        <v>2563.1635299999998</v>
      </c>
      <c r="J482" s="239">
        <f>SUM(E482,F482,G482,H482,I482)</f>
        <v>49091.557459999989</v>
      </c>
    </row>
    <row r="483" spans="3:10" x14ac:dyDescent="0.35">
      <c r="D483" s="263" t="s">
        <v>276</v>
      </c>
      <c r="E483" s="239">
        <f>E481+E482</f>
        <v>6929.8478900000018</v>
      </c>
      <c r="F483" s="239">
        <f t="shared" ref="F483" si="91">F481+F482</f>
        <v>4987.6898500000007</v>
      </c>
      <c r="G483" s="239">
        <f t="shared" ref="G483" si="92">G481+G482</f>
        <v>1349.5036600000001</v>
      </c>
      <c r="H483" s="239">
        <f t="shared" ref="H483" si="93">H481+H482</f>
        <v>36430.996879999992</v>
      </c>
      <c r="I483" s="239">
        <f t="shared" ref="I483" si="94">I481+I482</f>
        <v>5334.7492200000006</v>
      </c>
      <c r="J483" s="239">
        <f t="shared" ref="J483" si="95">J481+J482</f>
        <v>55032.787499999991</v>
      </c>
    </row>
    <row r="490" spans="3:10" x14ac:dyDescent="0.35">
      <c r="C490" t="s">
        <v>296</v>
      </c>
      <c r="E490">
        <v>615</v>
      </c>
      <c r="F490">
        <v>613</v>
      </c>
    </row>
    <row r="491" spans="3:10" x14ac:dyDescent="0.35">
      <c r="D491" s="255"/>
      <c r="E491" s="235" t="s">
        <v>106</v>
      </c>
      <c r="F491" s="236"/>
      <c r="G491" s="236"/>
    </row>
    <row r="492" spans="3:10" x14ac:dyDescent="0.35">
      <c r="D492" s="255"/>
      <c r="E492" s="235" t="s">
        <v>160</v>
      </c>
      <c r="F492" s="235" t="s">
        <v>161</v>
      </c>
      <c r="G492" s="238" t="s">
        <v>269</v>
      </c>
    </row>
    <row r="493" spans="3:10" x14ac:dyDescent="0.35">
      <c r="D493" s="235" t="s">
        <v>297</v>
      </c>
      <c r="E493" s="239">
        <f>(BDFE!C1231+BDFE!C1220)/1000</f>
        <v>2444.51505</v>
      </c>
      <c r="F493" s="239">
        <f>(BDFE!C1166+BDFE!C1155)/1000</f>
        <v>125.11216999999999</v>
      </c>
      <c r="G493" s="239">
        <f>SUM(E493,F493)</f>
        <v>2569.6272199999999</v>
      </c>
    </row>
    <row r="494" spans="3:10" x14ac:dyDescent="0.35">
      <c r="D494" s="236"/>
      <c r="E494" s="240"/>
      <c r="F494" s="240"/>
      <c r="G494" s="240"/>
    </row>
    <row r="495" spans="3:10" x14ac:dyDescent="0.35">
      <c r="D495" s="235" t="s">
        <v>270</v>
      </c>
      <c r="E495" s="240"/>
      <c r="F495" s="240"/>
      <c r="G495" s="240"/>
    </row>
    <row r="496" spans="3:10" x14ac:dyDescent="0.35">
      <c r="D496" s="236" t="s">
        <v>196</v>
      </c>
      <c r="E496" s="241">
        <f>BDFE!$C$1234/1000</f>
        <v>-3711.4746700000001</v>
      </c>
      <c r="F496" s="241">
        <f>BDFE!$C$1169/1000</f>
        <v>1694.5075099999999</v>
      </c>
      <c r="G496" s="241">
        <f t="shared" ref="G496:G506" si="96">SUM(E496,F496)</f>
        <v>-2016.9671600000001</v>
      </c>
    </row>
    <row r="497" spans="4:7" x14ac:dyDescent="0.35">
      <c r="D497" s="236" t="s">
        <v>197</v>
      </c>
      <c r="E497" s="242">
        <f>BDFE!$C$1235/1000</f>
        <v>-1407.0584199999998</v>
      </c>
      <c r="F497" s="242">
        <f>BDFE!$C$1170/1000</f>
        <v>-313.69908000000004</v>
      </c>
      <c r="G497" s="242">
        <f t="shared" si="96"/>
        <v>-1720.7574999999999</v>
      </c>
    </row>
    <row r="498" spans="4:7" x14ac:dyDescent="0.35">
      <c r="D498" s="236" t="s">
        <v>198</v>
      </c>
      <c r="E498" s="242">
        <f>BDFE!$C$1236/1000</f>
        <v>2154.0308100000002</v>
      </c>
      <c r="F498" s="242">
        <f>BDFE!$C$1171/1000</f>
        <v>0</v>
      </c>
      <c r="G498" s="242">
        <f t="shared" si="96"/>
        <v>2154.0308100000002</v>
      </c>
    </row>
    <row r="499" spans="4:7" x14ac:dyDescent="0.35">
      <c r="D499" s="236" t="s">
        <v>199</v>
      </c>
      <c r="E499" s="242">
        <f>(BDFE!C1237+BDFE!C1238)/1000</f>
        <v>-305.17500000000001</v>
      </c>
      <c r="F499" s="242">
        <f>(BDFE!C1172+BDFE!C1173)/1000</f>
        <v>-54.14864</v>
      </c>
      <c r="G499" s="242">
        <f t="shared" si="96"/>
        <v>-359.32364000000001</v>
      </c>
    </row>
    <row r="500" spans="4:7" x14ac:dyDescent="0.35">
      <c r="D500" s="236" t="s">
        <v>264</v>
      </c>
      <c r="E500" s="242">
        <f>BDFE!$C$1239/1000</f>
        <v>0</v>
      </c>
      <c r="F500" s="242">
        <f>BDFE!$C$1174/1000</f>
        <v>0</v>
      </c>
      <c r="G500" s="242">
        <f t="shared" si="96"/>
        <v>0</v>
      </c>
    </row>
    <row r="501" spans="4:7" x14ac:dyDescent="0.35">
      <c r="D501" s="236" t="s">
        <v>265</v>
      </c>
      <c r="E501" s="242">
        <f>BDFE!$C$1240/1000</f>
        <v>0</v>
      </c>
      <c r="F501" s="242">
        <f>BDFE!$C$1175/1000</f>
        <v>0</v>
      </c>
      <c r="G501" s="242">
        <f t="shared" si="96"/>
        <v>0</v>
      </c>
    </row>
    <row r="502" spans="4:7" x14ac:dyDescent="0.35">
      <c r="D502" s="236" t="s">
        <v>222</v>
      </c>
      <c r="E502" s="242">
        <f>BDFE!$C$1241/1000</f>
        <v>0</v>
      </c>
      <c r="F502" s="242">
        <f>BDFE!$C$1176/1000</f>
        <v>-1457</v>
      </c>
      <c r="G502" s="242">
        <f t="shared" si="96"/>
        <v>-1457</v>
      </c>
    </row>
    <row r="503" spans="4:7" x14ac:dyDescent="0.35">
      <c r="D503" s="236" t="s">
        <v>248</v>
      </c>
      <c r="E503" s="242">
        <f>(BDFE!C1242+BDFE!C1243)/1000</f>
        <v>-818.62320999999997</v>
      </c>
      <c r="F503" s="242">
        <f>(BDFE!C1177+BDFE!C1178)/1000</f>
        <v>-2.9</v>
      </c>
      <c r="G503" s="242">
        <f t="shared" si="96"/>
        <v>-821.52320999999995</v>
      </c>
    </row>
    <row r="504" spans="4:7" x14ac:dyDescent="0.35">
      <c r="D504" s="236" t="s">
        <v>249</v>
      </c>
      <c r="E504" s="242">
        <f>(BDFE!C1244+BDFE!C1245)/1000</f>
        <v>-124.89317999999999</v>
      </c>
      <c r="F504" s="242">
        <f>(BDFE!C1179+BDFE!C1180)/1000</f>
        <v>-388.67892000000006</v>
      </c>
      <c r="G504" s="242">
        <f t="shared" si="96"/>
        <v>-513.57210000000009</v>
      </c>
    </row>
    <row r="505" spans="4:7" x14ac:dyDescent="0.35">
      <c r="D505" s="236" t="s">
        <v>266</v>
      </c>
      <c r="E505" s="242">
        <f>BDFE!$C$1246/1000</f>
        <v>0</v>
      </c>
      <c r="F505" s="242">
        <f>BDFE!$C$1181/1000</f>
        <v>0</v>
      </c>
      <c r="G505" s="242">
        <f t="shared" si="96"/>
        <v>0</v>
      </c>
    </row>
    <row r="506" spans="4:7" x14ac:dyDescent="0.35">
      <c r="D506" s="236" t="s">
        <v>298</v>
      </c>
      <c r="E506" s="242">
        <f>(BDFE!C1247+BDFE!C1248)/1000</f>
        <v>667.37466000000006</v>
      </c>
      <c r="F506" s="242">
        <f>(BDFE!C1182+BDFE!C1183)/1000</f>
        <v>0</v>
      </c>
      <c r="G506" s="242">
        <f t="shared" si="96"/>
        <v>667.37466000000006</v>
      </c>
    </row>
    <row r="507" spans="4:7" x14ac:dyDescent="0.35">
      <c r="D507" s="235" t="s">
        <v>270</v>
      </c>
      <c r="E507" s="239">
        <f>SUM(E496:E506)</f>
        <v>-3545.8190099999997</v>
      </c>
      <c r="F507" s="239">
        <f>SUM(F496:F506)</f>
        <v>-521.91913000000034</v>
      </c>
      <c r="G507" s="239">
        <f>SUM(G496:G506)</f>
        <v>-4067.7381399999999</v>
      </c>
    </row>
    <row r="508" spans="4:7" x14ac:dyDescent="0.35">
      <c r="D508" s="236"/>
      <c r="E508" s="249"/>
      <c r="F508" s="249"/>
      <c r="G508" s="249"/>
    </row>
    <row r="509" spans="4:7" x14ac:dyDescent="0.35">
      <c r="D509" s="235" t="s">
        <v>250</v>
      </c>
      <c r="E509" s="252"/>
      <c r="F509" s="252"/>
      <c r="G509" s="252"/>
    </row>
    <row r="510" spans="4:7" x14ac:dyDescent="0.35">
      <c r="D510" s="236" t="s">
        <v>251</v>
      </c>
      <c r="E510" s="241">
        <f>BDFE!$C$1251/1000</f>
        <v>0</v>
      </c>
      <c r="F510" s="241">
        <f>BDFE!$C$1186/1000</f>
        <v>0</v>
      </c>
      <c r="G510" s="241">
        <f t="shared" ref="G510:G515" si="97">SUM(E510,F510)</f>
        <v>0</v>
      </c>
    </row>
    <row r="511" spans="4:7" ht="14.5" hidden="1" customHeight="1" x14ac:dyDescent="0.35">
      <c r="D511" s="236" t="s">
        <v>252</v>
      </c>
      <c r="E511" s="242"/>
      <c r="F511" s="242"/>
      <c r="G511" s="242">
        <f t="shared" si="97"/>
        <v>0</v>
      </c>
    </row>
    <row r="512" spans="4:7" x14ac:dyDescent="0.35">
      <c r="D512" s="236" t="s">
        <v>237</v>
      </c>
      <c r="E512" s="242">
        <f>BDFE!$C$1252/1000</f>
        <v>0</v>
      </c>
      <c r="F512" s="242">
        <f>BDFE!$C$1187/1000</f>
        <v>0</v>
      </c>
      <c r="G512" s="242">
        <f t="shared" si="97"/>
        <v>0</v>
      </c>
    </row>
    <row r="513" spans="4:7" x14ac:dyDescent="0.35">
      <c r="D513" s="236" t="s">
        <v>253</v>
      </c>
      <c r="E513" s="242">
        <f>BDFE!$C$1253/1000</f>
        <v>0</v>
      </c>
      <c r="F513" s="242">
        <f>BDFE!$C$1188/1000</f>
        <v>0</v>
      </c>
      <c r="G513" s="242">
        <f t="shared" si="97"/>
        <v>0</v>
      </c>
    </row>
    <row r="514" spans="4:7" x14ac:dyDescent="0.35">
      <c r="D514" s="236" t="s">
        <v>271</v>
      </c>
      <c r="E514" s="242">
        <f>BDFE!$C$1254/1000</f>
        <v>0</v>
      </c>
      <c r="F514" s="242">
        <f>BDFE!$C$1189/1000</f>
        <v>0</v>
      </c>
      <c r="G514" s="242">
        <f t="shared" si="97"/>
        <v>0</v>
      </c>
    </row>
    <row r="515" spans="4:7" x14ac:dyDescent="0.35">
      <c r="D515" s="236" t="s">
        <v>254</v>
      </c>
      <c r="E515" s="242">
        <f>BDFE!$C$1255/1000</f>
        <v>0</v>
      </c>
      <c r="F515" s="242">
        <f>BDFE!$C$1190/1000</f>
        <v>0</v>
      </c>
      <c r="G515" s="242">
        <f t="shared" si="97"/>
        <v>0</v>
      </c>
    </row>
    <row r="516" spans="4:7" x14ac:dyDescent="0.35">
      <c r="D516" s="235" t="s">
        <v>255</v>
      </c>
      <c r="E516" s="239">
        <f>SUM(E510:E515)</f>
        <v>0</v>
      </c>
      <c r="F516" s="239">
        <f>SUM(F510:F515)</f>
        <v>0</v>
      </c>
      <c r="G516" s="239">
        <f>SUM(G510:G515)</f>
        <v>0</v>
      </c>
    </row>
    <row r="517" spans="4:7" x14ac:dyDescent="0.35">
      <c r="D517" s="235"/>
      <c r="E517" s="249"/>
      <c r="F517" s="249"/>
      <c r="G517" s="249"/>
    </row>
    <row r="518" spans="4:7" x14ac:dyDescent="0.35">
      <c r="D518" s="235" t="s">
        <v>256</v>
      </c>
      <c r="E518" s="252"/>
      <c r="F518" s="252"/>
      <c r="G518" s="252"/>
    </row>
    <row r="519" spans="4:7" x14ac:dyDescent="0.35">
      <c r="D519" s="236" t="s">
        <v>203</v>
      </c>
      <c r="E519" s="241">
        <f>BDFE!$C$1258/1000</f>
        <v>0</v>
      </c>
      <c r="F519" s="241">
        <f>BDFE!$C$1193/1000</f>
        <v>0</v>
      </c>
      <c r="G519" s="241">
        <f t="shared" ref="G519:G533" si="98">SUM(E519,F519)</f>
        <v>0</v>
      </c>
    </row>
    <row r="520" spans="4:7" x14ac:dyDescent="0.35">
      <c r="D520" s="236" t="s">
        <v>204</v>
      </c>
      <c r="E520" s="242">
        <f>BDFE!$C$1259/1000</f>
        <v>0</v>
      </c>
      <c r="F520" s="242">
        <f>BDFE!$C$1194/1000</f>
        <v>0</v>
      </c>
      <c r="G520" s="242">
        <f t="shared" si="98"/>
        <v>0</v>
      </c>
    </row>
    <row r="521" spans="4:7" hidden="1" x14ac:dyDescent="0.35">
      <c r="D521" s="236" t="s">
        <v>208</v>
      </c>
      <c r="E521" s="242">
        <f>BDFE!$C$1261/1000</f>
        <v>0</v>
      </c>
      <c r="F521" s="242">
        <f>BDFE!$C$1196/1000</f>
        <v>0</v>
      </c>
      <c r="G521" s="242">
        <f t="shared" si="98"/>
        <v>0</v>
      </c>
    </row>
    <row r="522" spans="4:7" hidden="1" x14ac:dyDescent="0.35">
      <c r="D522" s="236" t="s">
        <v>207</v>
      </c>
      <c r="E522" s="242">
        <f>BDFE!$C$1265/1000</f>
        <v>0</v>
      </c>
      <c r="F522" s="242">
        <f>BDFE!$C$1200/1000</f>
        <v>0</v>
      </c>
      <c r="G522" s="242">
        <f t="shared" si="98"/>
        <v>0</v>
      </c>
    </row>
    <row r="523" spans="4:7" x14ac:dyDescent="0.35">
      <c r="D523" s="236" t="s">
        <v>206</v>
      </c>
      <c r="E523" s="242">
        <f>BDFE!$C$1267/1000</f>
        <v>0</v>
      </c>
      <c r="F523" s="242">
        <f>BDFE!$C$1202/1000</f>
        <v>0</v>
      </c>
      <c r="G523" s="242">
        <f t="shared" si="98"/>
        <v>0</v>
      </c>
    </row>
    <row r="524" spans="4:7" x14ac:dyDescent="0.35">
      <c r="D524" s="236" t="s">
        <v>257</v>
      </c>
      <c r="E524" s="242">
        <f>BDFE!$C$1262/1000</f>
        <v>0</v>
      </c>
      <c r="F524" s="242">
        <f>BDFE!$C$1197/1000</f>
        <v>0</v>
      </c>
      <c r="G524" s="242">
        <f t="shared" si="98"/>
        <v>0</v>
      </c>
    </row>
    <row r="525" spans="4:7" x14ac:dyDescent="0.35">
      <c r="D525" s="236" t="s">
        <v>272</v>
      </c>
      <c r="E525" s="242">
        <f>BDFE!$C$1269/1000</f>
        <v>0</v>
      </c>
      <c r="F525" s="242">
        <f>BDFE!$C$1204/1000</f>
        <v>0</v>
      </c>
      <c r="G525" s="242">
        <f t="shared" si="98"/>
        <v>0</v>
      </c>
    </row>
    <row r="526" spans="4:7" hidden="1" x14ac:dyDescent="0.35">
      <c r="D526" s="236" t="s">
        <v>273</v>
      </c>
      <c r="E526" s="242">
        <f>BDFE!$C$1270/1000</f>
        <v>0</v>
      </c>
      <c r="F526" s="242">
        <f>BDFE!$C$1205/1000</f>
        <v>0</v>
      </c>
      <c r="G526" s="242">
        <f t="shared" si="98"/>
        <v>0</v>
      </c>
    </row>
    <row r="527" spans="4:7" hidden="1" x14ac:dyDescent="0.35">
      <c r="D527" s="236" t="s">
        <v>274</v>
      </c>
      <c r="E527" s="242"/>
      <c r="F527" s="242"/>
      <c r="G527" s="242">
        <f t="shared" si="98"/>
        <v>0</v>
      </c>
    </row>
    <row r="528" spans="4:7" hidden="1" x14ac:dyDescent="0.35">
      <c r="D528" s="236" t="s">
        <v>258</v>
      </c>
      <c r="E528" s="242"/>
      <c r="F528" s="242"/>
      <c r="G528" s="242">
        <f t="shared" si="98"/>
        <v>0</v>
      </c>
    </row>
    <row r="529" spans="4:14" hidden="1" x14ac:dyDescent="0.35">
      <c r="D529" s="236" t="s">
        <v>259</v>
      </c>
      <c r="E529" s="242"/>
      <c r="F529" s="242"/>
      <c r="G529" s="242">
        <f t="shared" si="98"/>
        <v>0</v>
      </c>
    </row>
    <row r="530" spans="4:14" hidden="1" x14ac:dyDescent="0.35">
      <c r="D530" s="236" t="s">
        <v>299</v>
      </c>
      <c r="E530" s="242"/>
      <c r="F530" s="242"/>
      <c r="G530" s="242">
        <f t="shared" si="98"/>
        <v>0</v>
      </c>
    </row>
    <row r="531" spans="4:14" hidden="1" x14ac:dyDescent="0.35">
      <c r="D531" s="236" t="s">
        <v>261</v>
      </c>
      <c r="E531" s="267"/>
      <c r="F531" s="267"/>
      <c r="G531" s="267">
        <f t="shared" si="98"/>
        <v>0</v>
      </c>
    </row>
    <row r="532" spans="4:14" hidden="1" x14ac:dyDescent="0.35">
      <c r="D532" s="236" t="s">
        <v>300</v>
      </c>
      <c r="E532" s="267">
        <f>BDFE!$C$1272/1000</f>
        <v>0</v>
      </c>
      <c r="F532" s="267">
        <f>BDFE!$C$1207/1000</f>
        <v>0</v>
      </c>
      <c r="G532" s="267">
        <f t="shared" si="98"/>
        <v>0</v>
      </c>
    </row>
    <row r="533" spans="4:14" x14ac:dyDescent="0.35">
      <c r="D533" s="236" t="s">
        <v>301</v>
      </c>
      <c r="E533" s="245">
        <f>(BDFE!C1260+BDFE!C1263+BDFE!C1264+BDFE!C1266+BDFE!C1268+BDFE!C1271-BDFE!C1220)/1000</f>
        <v>0</v>
      </c>
      <c r="F533" s="245">
        <f>(BDFE!C1195+BDFE!C1198+BDFE!C1199+BDFE!C1201+BDFE!C1203+BDFE!C1206-BDFE!C1155)/1000</f>
        <v>0</v>
      </c>
      <c r="G533" s="245">
        <f t="shared" si="98"/>
        <v>0</v>
      </c>
      <c r="N533" t="s">
        <v>302</v>
      </c>
    </row>
    <row r="534" spans="4:14" x14ac:dyDescent="0.35">
      <c r="D534" s="235" t="s">
        <v>262</v>
      </c>
      <c r="E534" s="239">
        <f>SUM(E519:E533)</f>
        <v>0</v>
      </c>
      <c r="F534" s="239">
        <f>SUM(F519:F533)</f>
        <v>0</v>
      </c>
      <c r="G534" s="239">
        <f>SUM(G519:G533)</f>
        <v>0</v>
      </c>
    </row>
    <row r="535" spans="4:14" x14ac:dyDescent="0.35">
      <c r="D535" s="236"/>
      <c r="E535" s="255"/>
      <c r="F535" s="255"/>
      <c r="G535" s="255"/>
    </row>
    <row r="536" spans="4:14" x14ac:dyDescent="0.35">
      <c r="D536" s="235" t="s">
        <v>263</v>
      </c>
      <c r="E536" s="268">
        <f>E493+E507+E516+E534</f>
        <v>-1101.3039599999997</v>
      </c>
      <c r="F536" s="268">
        <f>F493+F507+F516+F534</f>
        <v>-396.80696000000034</v>
      </c>
      <c r="G536" s="268">
        <f>G493+G507+G516+G534</f>
        <v>-1498.1109200000001</v>
      </c>
    </row>
    <row r="537" spans="4:14" x14ac:dyDescent="0.35">
      <c r="D537" s="237" t="s">
        <v>275</v>
      </c>
      <c r="E537" s="239">
        <f>BDBG!$H$1084/1000</f>
        <v>10590.632740000001</v>
      </c>
      <c r="F537" s="239">
        <f>BDBG!$H$1030/1000</f>
        <v>1856.4122399999999</v>
      </c>
      <c r="G537" s="239">
        <f>SUM(E537,F537)</f>
        <v>12447.044980000001</v>
      </c>
    </row>
    <row r="538" spans="4:14" x14ac:dyDescent="0.35">
      <c r="D538" s="237" t="s">
        <v>276</v>
      </c>
      <c r="E538" s="239">
        <f>SUM(E536:E537)</f>
        <v>9489.3287800000016</v>
      </c>
      <c r="F538" s="239">
        <f t="shared" ref="F538:G538" si="99">SUM(F536:F537)</f>
        <v>1459.6052799999995</v>
      </c>
      <c r="G538" s="239">
        <f t="shared" si="99"/>
        <v>10948.93406</v>
      </c>
    </row>
    <row r="545" spans="4:7" x14ac:dyDescent="0.35">
      <c r="D545" s="250"/>
      <c r="E545" s="235" t="s">
        <v>295</v>
      </c>
      <c r="F545" s="236"/>
      <c r="G545" s="236"/>
    </row>
    <row r="546" spans="4:7" x14ac:dyDescent="0.35">
      <c r="D546" s="262"/>
      <c r="E546" s="235" t="s">
        <v>160</v>
      </c>
      <c r="F546" s="235" t="s">
        <v>161</v>
      </c>
      <c r="G546" s="238" t="s">
        <v>269</v>
      </c>
    </row>
    <row r="547" spans="4:7" x14ac:dyDescent="0.35">
      <c r="D547" s="235" t="s">
        <v>297</v>
      </c>
      <c r="E547" s="239">
        <f>(BDFE!F1231+BDFE!F1220)/1000</f>
        <v>2444.51505</v>
      </c>
      <c r="F547" s="239">
        <f>(BDFE!F1166+BDFE!F1155)/1000</f>
        <v>125.11216999999999</v>
      </c>
      <c r="G547" s="239">
        <f>SUM(E547,F547)</f>
        <v>2569.6272199999999</v>
      </c>
    </row>
    <row r="548" spans="4:7" x14ac:dyDescent="0.35">
      <c r="D548" s="236"/>
      <c r="E548" s="240"/>
      <c r="F548" s="240"/>
      <c r="G548" s="240"/>
    </row>
    <row r="549" spans="4:7" x14ac:dyDescent="0.35">
      <c r="D549" s="235" t="s">
        <v>270</v>
      </c>
      <c r="E549" s="240"/>
      <c r="F549" s="240"/>
      <c r="G549" s="240"/>
    </row>
    <row r="550" spans="4:7" x14ac:dyDescent="0.35">
      <c r="D550" s="236" t="s">
        <v>196</v>
      </c>
      <c r="E550" s="241">
        <f>BDFE!$F$1234/1000</f>
        <v>-3711.4746700000001</v>
      </c>
      <c r="F550" s="241">
        <f>BDFE!$F$1169/1000</f>
        <v>1694.5075099999999</v>
      </c>
      <c r="G550" s="241">
        <f t="shared" ref="G550:G560" si="100">SUM(E550,F550)</f>
        <v>-2016.9671600000001</v>
      </c>
    </row>
    <row r="551" spans="4:7" x14ac:dyDescent="0.35">
      <c r="D551" s="236" t="s">
        <v>197</v>
      </c>
      <c r="E551" s="242">
        <f>BDFE!$F$1235/1000</f>
        <v>-1407.0584199999998</v>
      </c>
      <c r="F551" s="242">
        <f>BDFE!$F$1170/1000</f>
        <v>-313.69908000000004</v>
      </c>
      <c r="G551" s="242">
        <f t="shared" si="100"/>
        <v>-1720.7574999999999</v>
      </c>
    </row>
    <row r="552" spans="4:7" x14ac:dyDescent="0.35">
      <c r="D552" s="236" t="s">
        <v>198</v>
      </c>
      <c r="E552" s="242">
        <f>BDFE!$F$1236/1000</f>
        <v>2154.0308100000002</v>
      </c>
      <c r="F552" s="242">
        <f>BDFE!$F$1171/1000</f>
        <v>0</v>
      </c>
      <c r="G552" s="242">
        <f t="shared" si="100"/>
        <v>2154.0308100000002</v>
      </c>
    </row>
    <row r="553" spans="4:7" x14ac:dyDescent="0.35">
      <c r="D553" s="236" t="s">
        <v>199</v>
      </c>
      <c r="E553" s="242">
        <f>(BDFE!F1237+BDFE!F1238)/1000</f>
        <v>-305.17500000000001</v>
      </c>
      <c r="F553" s="242">
        <f>(BDFE!F1172+BDFE!F1173)/1000</f>
        <v>-54.14864</v>
      </c>
      <c r="G553" s="242">
        <f t="shared" si="100"/>
        <v>-359.32364000000001</v>
      </c>
    </row>
    <row r="554" spans="4:7" x14ac:dyDescent="0.35">
      <c r="D554" s="236" t="s">
        <v>264</v>
      </c>
      <c r="E554" s="242">
        <f>BDFE!$F$1239/1000</f>
        <v>0</v>
      </c>
      <c r="F554" s="242">
        <f>BDFE!$F$1174/1000</f>
        <v>0</v>
      </c>
      <c r="G554" s="242">
        <f t="shared" si="100"/>
        <v>0</v>
      </c>
    </row>
    <row r="555" spans="4:7" x14ac:dyDescent="0.35">
      <c r="D555" s="236" t="s">
        <v>265</v>
      </c>
      <c r="E555" s="242">
        <f>BDFE!$F$1240/1000</f>
        <v>0</v>
      </c>
      <c r="F555" s="242">
        <f>BDFE!$F$1175/1000</f>
        <v>0</v>
      </c>
      <c r="G555" s="242">
        <f t="shared" si="100"/>
        <v>0</v>
      </c>
    </row>
    <row r="556" spans="4:7" x14ac:dyDescent="0.35">
      <c r="D556" s="236" t="s">
        <v>222</v>
      </c>
      <c r="E556" s="242">
        <f>BDFE!$F$1241/1000</f>
        <v>0</v>
      </c>
      <c r="F556" s="242">
        <f>BDFE!$F$1176/1000</f>
        <v>-1457</v>
      </c>
      <c r="G556" s="242">
        <f t="shared" si="100"/>
        <v>-1457</v>
      </c>
    </row>
    <row r="557" spans="4:7" x14ac:dyDescent="0.35">
      <c r="D557" s="236" t="s">
        <v>248</v>
      </c>
      <c r="E557" s="242">
        <f>(BDFE!F1242+BDFE!F1243)/1000</f>
        <v>-818.62320999999997</v>
      </c>
      <c r="F557" s="242">
        <f>(BDFE!F1177+BDFE!F1178)/1000</f>
        <v>-2.9</v>
      </c>
      <c r="G557" s="242">
        <f t="shared" si="100"/>
        <v>-821.52320999999995</v>
      </c>
    </row>
    <row r="558" spans="4:7" x14ac:dyDescent="0.35">
      <c r="D558" s="236" t="s">
        <v>249</v>
      </c>
      <c r="E558" s="242">
        <f>(BDFE!F1244+BDFE!F1245)/1000</f>
        <v>-124.89317999999999</v>
      </c>
      <c r="F558" s="242">
        <f>(BDFE!F1179+BDFE!F1180)/1000</f>
        <v>-388.67892000000006</v>
      </c>
      <c r="G558" s="242">
        <f t="shared" si="100"/>
        <v>-513.57210000000009</v>
      </c>
    </row>
    <row r="559" spans="4:7" x14ac:dyDescent="0.35">
      <c r="D559" s="236" t="s">
        <v>266</v>
      </c>
      <c r="E559" s="242">
        <f>BDFE!$F$1246/1000</f>
        <v>0</v>
      </c>
      <c r="F559" s="242">
        <f>BDFE!$F$1181/1000</f>
        <v>0</v>
      </c>
      <c r="G559" s="242">
        <f t="shared" si="100"/>
        <v>0</v>
      </c>
    </row>
    <row r="560" spans="4:7" x14ac:dyDescent="0.35">
      <c r="D560" s="236" t="s">
        <v>298</v>
      </c>
      <c r="E560" s="242">
        <f>(BDFE!F1247+BDFE!F1248)/1000</f>
        <v>667.37466000000006</v>
      </c>
      <c r="F560" s="242">
        <f>(BDFE!F1182+BDFE!F1183)/1000</f>
        <v>0</v>
      </c>
      <c r="G560" s="242">
        <f t="shared" si="100"/>
        <v>667.37466000000006</v>
      </c>
    </row>
    <row r="561" spans="4:7" x14ac:dyDescent="0.35">
      <c r="D561" s="235" t="s">
        <v>270</v>
      </c>
      <c r="E561" s="239">
        <f>SUM(E550:E560)</f>
        <v>-3545.8190099999997</v>
      </c>
      <c r="F561" s="239">
        <f>SUM(F550:F560)</f>
        <v>-521.91913000000034</v>
      </c>
      <c r="G561" s="239">
        <f>SUM(G550:G560)</f>
        <v>-4067.7381399999999</v>
      </c>
    </row>
    <row r="562" spans="4:7" ht="14.15" customHeight="1" x14ac:dyDescent="0.35">
      <c r="D562" s="236"/>
      <c r="E562" s="249"/>
      <c r="F562" s="249"/>
      <c r="G562" s="249"/>
    </row>
    <row r="563" spans="4:7" x14ac:dyDescent="0.35">
      <c r="D563" s="235" t="s">
        <v>250</v>
      </c>
      <c r="E563" s="240"/>
      <c r="F563" s="252"/>
      <c r="G563" s="252"/>
    </row>
    <row r="564" spans="4:7" x14ac:dyDescent="0.35">
      <c r="D564" s="236" t="s">
        <v>251</v>
      </c>
      <c r="E564" s="241">
        <f>BDFE!$F$1251/1000</f>
        <v>0</v>
      </c>
      <c r="F564" s="241">
        <f>BDFE!$F$1186/1000</f>
        <v>0</v>
      </c>
      <c r="G564" s="241">
        <f t="shared" ref="G564:G569" si="101">SUM(E564,F564)</f>
        <v>0</v>
      </c>
    </row>
    <row r="565" spans="4:7" hidden="1" x14ac:dyDescent="0.35">
      <c r="D565" s="236" t="s">
        <v>252</v>
      </c>
      <c r="E565" s="242"/>
      <c r="F565" s="242"/>
      <c r="G565" s="242">
        <f t="shared" si="101"/>
        <v>0</v>
      </c>
    </row>
    <row r="566" spans="4:7" x14ac:dyDescent="0.35">
      <c r="D566" s="236" t="s">
        <v>237</v>
      </c>
      <c r="E566" s="242">
        <f>BDFE!$F$1252/1000</f>
        <v>0</v>
      </c>
      <c r="F566" s="242">
        <f>BDFE!$F$1187/1000</f>
        <v>0</v>
      </c>
      <c r="G566" s="242">
        <f t="shared" si="101"/>
        <v>0</v>
      </c>
    </row>
    <row r="567" spans="4:7" x14ac:dyDescent="0.35">
      <c r="D567" s="236" t="s">
        <v>253</v>
      </c>
      <c r="E567" s="242">
        <f>BDFE!$F$1253/1000</f>
        <v>0</v>
      </c>
      <c r="F567" s="242">
        <f>BDFE!$F$1188/1000</f>
        <v>0</v>
      </c>
      <c r="G567" s="242">
        <f t="shared" si="101"/>
        <v>0</v>
      </c>
    </row>
    <row r="568" spans="4:7" x14ac:dyDescent="0.35">
      <c r="D568" s="236" t="s">
        <v>271</v>
      </c>
      <c r="E568" s="242">
        <f>BDFE!$F$1254/1000</f>
        <v>0</v>
      </c>
      <c r="F568" s="242">
        <f>BDFE!$F$1189/1000</f>
        <v>0</v>
      </c>
      <c r="G568" s="242">
        <f t="shared" si="101"/>
        <v>0</v>
      </c>
    </row>
    <row r="569" spans="4:7" x14ac:dyDescent="0.35">
      <c r="D569" s="236" t="s">
        <v>254</v>
      </c>
      <c r="E569" s="242">
        <f>BDFE!$F$1255/1000</f>
        <v>0</v>
      </c>
      <c r="F569" s="242">
        <f>BDFE!$F$1190/1000</f>
        <v>0</v>
      </c>
      <c r="G569" s="242">
        <f t="shared" si="101"/>
        <v>0</v>
      </c>
    </row>
    <row r="570" spans="4:7" x14ac:dyDescent="0.35">
      <c r="D570" s="235" t="s">
        <v>255</v>
      </c>
      <c r="E570" s="239">
        <f>SUM(E564:E569)</f>
        <v>0</v>
      </c>
      <c r="F570" s="239">
        <f>SUM(F564:F569)</f>
        <v>0</v>
      </c>
      <c r="G570" s="239">
        <f>SUM(G564:G569)</f>
        <v>0</v>
      </c>
    </row>
    <row r="571" spans="4:7" x14ac:dyDescent="0.35">
      <c r="D571" s="235"/>
      <c r="E571" s="249"/>
      <c r="F571" s="249"/>
      <c r="G571" s="249"/>
    </row>
    <row r="572" spans="4:7" x14ac:dyDescent="0.35">
      <c r="D572" s="235" t="s">
        <v>256</v>
      </c>
      <c r="E572" s="240"/>
      <c r="F572" s="252"/>
      <c r="G572" s="252"/>
    </row>
    <row r="573" spans="4:7" x14ac:dyDescent="0.35">
      <c r="D573" s="236" t="s">
        <v>203</v>
      </c>
      <c r="E573" s="241">
        <f>BDFE!$F$1258/1000</f>
        <v>0</v>
      </c>
      <c r="F573" s="241">
        <f>BDFE!$F$1193/1000</f>
        <v>0</v>
      </c>
      <c r="G573" s="241">
        <f t="shared" ref="G573:G587" si="102">SUM(E573,F573)</f>
        <v>0</v>
      </c>
    </row>
    <row r="574" spans="4:7" x14ac:dyDescent="0.35">
      <c r="D574" s="236" t="s">
        <v>204</v>
      </c>
      <c r="E574" s="242">
        <f>BDFE!$F$1259/1000</f>
        <v>0</v>
      </c>
      <c r="F574" s="242">
        <f>BDFE!$F$1194/1000</f>
        <v>0</v>
      </c>
      <c r="G574" s="242">
        <f t="shared" si="102"/>
        <v>0</v>
      </c>
    </row>
    <row r="575" spans="4:7" hidden="1" x14ac:dyDescent="0.35">
      <c r="D575" s="236" t="s">
        <v>208</v>
      </c>
      <c r="E575" s="242">
        <f>BDFE!$F$1261/1000</f>
        <v>0</v>
      </c>
      <c r="F575" s="242">
        <f>BDFE!$F$1196/1000</f>
        <v>0</v>
      </c>
      <c r="G575" s="242">
        <f t="shared" si="102"/>
        <v>0</v>
      </c>
    </row>
    <row r="576" spans="4:7" hidden="1" x14ac:dyDescent="0.35">
      <c r="D576" s="236" t="s">
        <v>207</v>
      </c>
      <c r="E576" s="242">
        <f>BDFE!$F$1265/1000</f>
        <v>0</v>
      </c>
      <c r="F576" s="242">
        <f>BDFE!$F$1200/1000</f>
        <v>0</v>
      </c>
      <c r="G576" s="242">
        <f t="shared" si="102"/>
        <v>0</v>
      </c>
    </row>
    <row r="577" spans="4:7" x14ac:dyDescent="0.35">
      <c r="D577" s="236" t="s">
        <v>206</v>
      </c>
      <c r="E577" s="242">
        <f>BDFE!$F$1267/1000</f>
        <v>0</v>
      </c>
      <c r="F577" s="242">
        <f>BDFE!$F$1202/1000</f>
        <v>0</v>
      </c>
      <c r="G577" s="242">
        <f t="shared" si="102"/>
        <v>0</v>
      </c>
    </row>
    <row r="578" spans="4:7" x14ac:dyDescent="0.35">
      <c r="D578" s="236" t="s">
        <v>257</v>
      </c>
      <c r="E578" s="242">
        <f>BDFE!$F$1262/1000</f>
        <v>0</v>
      </c>
      <c r="F578" s="242">
        <f>BDFE!$F$1197/1000</f>
        <v>0</v>
      </c>
      <c r="G578" s="242">
        <f t="shared" si="102"/>
        <v>0</v>
      </c>
    </row>
    <row r="579" spans="4:7" x14ac:dyDescent="0.35">
      <c r="D579" s="236" t="s">
        <v>272</v>
      </c>
      <c r="E579" s="242">
        <f>BDFE!$F$1269/1000</f>
        <v>0</v>
      </c>
      <c r="F579" s="242">
        <f>BDFE!$F$1204/1000</f>
        <v>0</v>
      </c>
      <c r="G579" s="242">
        <f t="shared" si="102"/>
        <v>0</v>
      </c>
    </row>
    <row r="580" spans="4:7" x14ac:dyDescent="0.35">
      <c r="D580" s="236" t="s">
        <v>273</v>
      </c>
      <c r="E580" s="242">
        <f>BDFE!$F$1270/1000</f>
        <v>0</v>
      </c>
      <c r="F580" s="242">
        <f>BDFE!$F$1205/1000</f>
        <v>0</v>
      </c>
      <c r="G580" s="242">
        <f t="shared" si="102"/>
        <v>0</v>
      </c>
    </row>
    <row r="581" spans="4:7" hidden="1" x14ac:dyDescent="0.35">
      <c r="D581" s="236" t="s">
        <v>274</v>
      </c>
      <c r="E581" s="242"/>
      <c r="F581" s="242"/>
      <c r="G581" s="242">
        <f t="shared" si="102"/>
        <v>0</v>
      </c>
    </row>
    <row r="582" spans="4:7" hidden="1" x14ac:dyDescent="0.35">
      <c r="D582" s="236" t="s">
        <v>258</v>
      </c>
      <c r="E582" s="242"/>
      <c r="F582" s="242"/>
      <c r="G582" s="242">
        <f t="shared" si="102"/>
        <v>0</v>
      </c>
    </row>
    <row r="583" spans="4:7" hidden="1" x14ac:dyDescent="0.35">
      <c r="D583" s="236" t="s">
        <v>259</v>
      </c>
      <c r="E583" s="242"/>
      <c r="F583" s="242"/>
      <c r="G583" s="242">
        <f t="shared" si="102"/>
        <v>0</v>
      </c>
    </row>
    <row r="584" spans="4:7" hidden="1" x14ac:dyDescent="0.35">
      <c r="D584" s="236" t="s">
        <v>299</v>
      </c>
      <c r="E584" s="242"/>
      <c r="F584" s="242"/>
      <c r="G584" s="242">
        <f t="shared" si="102"/>
        <v>0</v>
      </c>
    </row>
    <row r="585" spans="4:7" hidden="1" x14ac:dyDescent="0.35">
      <c r="D585" s="236" t="s">
        <v>261</v>
      </c>
      <c r="E585" s="267"/>
      <c r="F585" s="267"/>
      <c r="G585" s="267">
        <f t="shared" si="102"/>
        <v>0</v>
      </c>
    </row>
    <row r="586" spans="4:7" hidden="1" x14ac:dyDescent="0.35">
      <c r="D586" s="236" t="s">
        <v>300</v>
      </c>
      <c r="E586" s="267">
        <f>BDFE!$F$1272/1000</f>
        <v>0</v>
      </c>
      <c r="F586" s="267">
        <f>BDFE!$F$1207/1000</f>
        <v>0</v>
      </c>
      <c r="G586" s="267">
        <f t="shared" si="102"/>
        <v>0</v>
      </c>
    </row>
    <row r="587" spans="4:7" x14ac:dyDescent="0.35">
      <c r="D587" s="236" t="s">
        <v>301</v>
      </c>
      <c r="E587" s="245">
        <f>(BDFE!F1260+BDFE!F1263+BDFE!F1264+BDFE!F1266+BDFE!F1268+BDFE!F1271-BDFE!F1220)/1000</f>
        <v>0</v>
      </c>
      <c r="F587" s="242">
        <f>(BDFE!F1195+BDFE!F1198+BDFE!F1199+BDFE!F1201+BDFE!F1203+BDFE!F1206-BDFE!F1155)/1000</f>
        <v>0</v>
      </c>
      <c r="G587" s="242">
        <f t="shared" si="102"/>
        <v>0</v>
      </c>
    </row>
    <row r="588" spans="4:7" x14ac:dyDescent="0.35">
      <c r="D588" s="235" t="s">
        <v>262</v>
      </c>
      <c r="E588" s="239">
        <f>SUM(E573:E587)</f>
        <v>0</v>
      </c>
      <c r="F588" s="239">
        <f>SUM(F573:F587)</f>
        <v>0</v>
      </c>
      <c r="G588" s="239">
        <f>SUM(G573:G587)</f>
        <v>0</v>
      </c>
    </row>
    <row r="589" spans="4:7" x14ac:dyDescent="0.35">
      <c r="D589" s="236"/>
      <c r="E589" s="255"/>
      <c r="F589" s="255"/>
      <c r="G589" s="255"/>
    </row>
    <row r="590" spans="4:7" x14ac:dyDescent="0.35">
      <c r="D590" s="235" t="s">
        <v>263</v>
      </c>
      <c r="E590" s="268">
        <f>E547+E561+E570+E588</f>
        <v>-1101.3039599999997</v>
      </c>
      <c r="F590" s="268">
        <f>F547+F561+F570+F588</f>
        <v>-396.80696000000034</v>
      </c>
      <c r="G590" s="268">
        <f>G547+G561+G570+G588</f>
        <v>-1498.1109200000001</v>
      </c>
    </row>
    <row r="591" spans="4:7" x14ac:dyDescent="0.35">
      <c r="D591" s="237" t="s">
        <v>275</v>
      </c>
      <c r="E591" s="239">
        <f>BDBG!$I$1084/1000</f>
        <v>10590.632740000001</v>
      </c>
      <c r="F591" s="239">
        <f>BDBG!$I$1030/1000</f>
        <v>1856.4122399999999</v>
      </c>
      <c r="G591" s="239">
        <f>SUM(E591,F591)</f>
        <v>12447.044980000001</v>
      </c>
    </row>
    <row r="592" spans="4:7" x14ac:dyDescent="0.35">
      <c r="D592" s="237" t="s">
        <v>276</v>
      </c>
      <c r="E592" s="239">
        <f>SUM(E590:E591)</f>
        <v>9489.3287800000016</v>
      </c>
      <c r="F592" s="239">
        <f t="shared" ref="F592" si="103">SUM(F590:F591)</f>
        <v>1459.6052799999995</v>
      </c>
      <c r="G592" s="239">
        <f t="shared" ref="G592" si="104">SUM(G590:G591)</f>
        <v>10948.93406</v>
      </c>
    </row>
    <row r="599" spans="3:11" x14ac:dyDescent="0.35">
      <c r="C599" t="s">
        <v>303</v>
      </c>
    </row>
    <row r="600" spans="3:11" x14ac:dyDescent="0.35">
      <c r="D600" s="25"/>
      <c r="E600" s="269"/>
      <c r="F600" s="269"/>
      <c r="G600" s="269"/>
      <c r="H600" s="269"/>
      <c r="I600" s="269" t="s">
        <v>106</v>
      </c>
      <c r="J600" s="269"/>
      <c r="K600" s="270"/>
    </row>
    <row r="601" spans="3:11" x14ac:dyDescent="0.35">
      <c r="D601" s="7"/>
      <c r="E601" s="28" t="s">
        <v>26</v>
      </c>
      <c r="F601" s="28" t="s">
        <v>27</v>
      </c>
      <c r="G601" s="28" t="s">
        <v>28</v>
      </c>
      <c r="H601" s="28" t="s">
        <v>29</v>
      </c>
      <c r="I601" s="28" t="s">
        <v>30</v>
      </c>
      <c r="J601" s="28" t="s">
        <v>31</v>
      </c>
    </row>
    <row r="602" spans="3:11" x14ac:dyDescent="0.35">
      <c r="D602" s="4" t="s">
        <v>304</v>
      </c>
      <c r="E602" s="14">
        <f>$K$100</f>
        <v>4940.2344400000002</v>
      </c>
      <c r="F602" s="14">
        <f>I196*TC_MES</f>
        <v>2383.3836683279997</v>
      </c>
      <c r="G602" s="14">
        <f>J293*TC_MES</f>
        <v>1407.4788209039998</v>
      </c>
      <c r="H602" s="14">
        <f>J390</f>
        <v>8564.7161699999997</v>
      </c>
      <c r="I602" s="14">
        <f>G493</f>
        <v>2569.6272199999999</v>
      </c>
      <c r="J602" s="14">
        <f>SUM(E602,F602,G602,H602,I602)</f>
        <v>19865.440319231999</v>
      </c>
    </row>
    <row r="603" spans="3:11" x14ac:dyDescent="0.35">
      <c r="D603" s="7"/>
      <c r="E603" s="30"/>
      <c r="F603" s="30"/>
      <c r="G603" s="30"/>
      <c r="H603" s="30"/>
      <c r="I603" s="30"/>
      <c r="J603" s="30"/>
    </row>
    <row r="604" spans="3:11" x14ac:dyDescent="0.35">
      <c r="D604" s="4" t="s">
        <v>270</v>
      </c>
      <c r="E604" s="30"/>
      <c r="F604" s="30"/>
      <c r="G604" s="30"/>
      <c r="H604" s="30"/>
      <c r="I604" s="30"/>
      <c r="J604" s="30"/>
    </row>
    <row r="605" spans="3:11" x14ac:dyDescent="0.35">
      <c r="D605" s="7" t="s">
        <v>305</v>
      </c>
      <c r="E605" s="8">
        <f t="shared" ref="E605:E612" si="105">K103</f>
        <v>6679.1233999999995</v>
      </c>
      <c r="F605" s="8">
        <f t="shared" ref="F605:F612" si="106">I199*TC_MES</f>
        <v>-1165.1652898559998</v>
      </c>
      <c r="G605" s="8">
        <f t="shared" ref="G605:G612" si="107">J296*TC_MES</f>
        <v>-6573.0599999999995</v>
      </c>
      <c r="H605" s="8">
        <f t="shared" ref="H605:H612" si="108">J393</f>
        <v>-5509.1209799999997</v>
      </c>
      <c r="I605" s="8">
        <f>G496</f>
        <v>-2016.9671600000001</v>
      </c>
      <c r="J605" s="8">
        <f t="shared" ref="J605:J612" si="109">SUM(E605,F605,G605,H605,I605)</f>
        <v>-8585.1900298559995</v>
      </c>
    </row>
    <row r="606" spans="3:11" x14ac:dyDescent="0.35">
      <c r="D606" s="7" t="s">
        <v>306</v>
      </c>
      <c r="E606" s="11">
        <f t="shared" si="105"/>
        <v>-3707.4204899999986</v>
      </c>
      <c r="F606" s="11">
        <f t="shared" si="106"/>
        <v>-6277.8699428399987</v>
      </c>
      <c r="G606" s="11">
        <f t="shared" si="107"/>
        <v>-13072.8051</v>
      </c>
      <c r="H606" s="11">
        <f t="shared" si="108"/>
        <v>-15663.9861</v>
      </c>
      <c r="I606" s="11">
        <f>G497</f>
        <v>-1720.7574999999999</v>
      </c>
      <c r="J606" s="11">
        <f t="shared" si="109"/>
        <v>-40442.839132839996</v>
      </c>
    </row>
    <row r="607" spans="3:11" x14ac:dyDescent="0.35">
      <c r="D607" s="7" t="s">
        <v>307</v>
      </c>
      <c r="E607" s="11">
        <f t="shared" si="105"/>
        <v>1476.0490399999999</v>
      </c>
      <c r="F607" s="11">
        <f t="shared" si="106"/>
        <v>111.60044640000001</v>
      </c>
      <c r="G607" s="11">
        <f t="shared" si="107"/>
        <v>0</v>
      </c>
      <c r="H607" s="11">
        <f t="shared" si="108"/>
        <v>-6790.9736700000003</v>
      </c>
      <c r="I607" s="11">
        <f>G498</f>
        <v>2154.0308100000002</v>
      </c>
      <c r="J607" s="11">
        <f t="shared" si="109"/>
        <v>-3049.2933736000005</v>
      </c>
    </row>
    <row r="608" spans="3:11" x14ac:dyDescent="0.35">
      <c r="D608" s="7" t="s">
        <v>308</v>
      </c>
      <c r="E608" s="11">
        <f t="shared" si="105"/>
        <v>-3848.8622100000007</v>
      </c>
      <c r="F608" s="11">
        <f t="shared" si="106"/>
        <v>-394.63398302399997</v>
      </c>
      <c r="G608" s="11">
        <f t="shared" si="107"/>
        <v>24.719155055999998</v>
      </c>
      <c r="H608" s="11">
        <f t="shared" si="108"/>
        <v>8613.32906</v>
      </c>
      <c r="I608" s="11">
        <f>G499</f>
        <v>-359.32364000000001</v>
      </c>
      <c r="J608" s="11">
        <f t="shared" si="109"/>
        <v>4035.2283820319994</v>
      </c>
    </row>
    <row r="609" spans="4:10" x14ac:dyDescent="0.35">
      <c r="D609" s="7" t="s">
        <v>309</v>
      </c>
      <c r="E609" s="11">
        <f t="shared" si="105"/>
        <v>-6454.7803399999993</v>
      </c>
      <c r="F609" s="11">
        <f t="shared" si="106"/>
        <v>397.22842036800006</v>
      </c>
      <c r="G609" s="11">
        <f t="shared" si="107"/>
        <v>0</v>
      </c>
      <c r="H609" s="11">
        <f t="shared" si="108"/>
        <v>8460.0619200000001</v>
      </c>
      <c r="I609" s="11">
        <f>G502</f>
        <v>-1457</v>
      </c>
      <c r="J609" s="11">
        <f t="shared" si="109"/>
        <v>945.51000036800087</v>
      </c>
    </row>
    <row r="610" spans="4:10" x14ac:dyDescent="0.35">
      <c r="D610" s="7" t="s">
        <v>310</v>
      </c>
      <c r="E610" s="11">
        <f t="shared" si="105"/>
        <v>4598.7550999999994</v>
      </c>
      <c r="F610" s="11">
        <f t="shared" si="106"/>
        <v>-18807.549162479998</v>
      </c>
      <c r="G610" s="11">
        <f t="shared" si="107"/>
        <v>-3714.7521173759992</v>
      </c>
      <c r="H610" s="11">
        <f t="shared" si="108"/>
        <v>8982.6447000000007</v>
      </c>
      <c r="I610" s="11">
        <f>G503</f>
        <v>-821.52320999999995</v>
      </c>
      <c r="J610" s="11">
        <f t="shared" si="109"/>
        <v>-9762.4246898559977</v>
      </c>
    </row>
    <row r="611" spans="4:10" x14ac:dyDescent="0.35">
      <c r="D611" s="7" t="s">
        <v>311</v>
      </c>
      <c r="E611" s="11">
        <f t="shared" si="105"/>
        <v>-4804.2252999999992</v>
      </c>
      <c r="F611" s="11">
        <f t="shared" si="106"/>
        <v>-463.53279794399975</v>
      </c>
      <c r="G611" s="11">
        <f t="shared" si="107"/>
        <v>-386.03520705599999</v>
      </c>
      <c r="H611" s="11">
        <f t="shared" si="108"/>
        <v>451.69481000000007</v>
      </c>
      <c r="I611" s="11">
        <f>G504</f>
        <v>-513.57210000000009</v>
      </c>
      <c r="J611" s="11">
        <f t="shared" si="109"/>
        <v>-5715.6705949999996</v>
      </c>
    </row>
    <row r="612" spans="4:10" x14ac:dyDescent="0.35">
      <c r="D612" s="4" t="s">
        <v>270</v>
      </c>
      <c r="E612" s="14">
        <f t="shared" si="105"/>
        <v>-6061.3607999999986</v>
      </c>
      <c r="F612" s="14">
        <f t="shared" si="106"/>
        <v>-26599.922309376001</v>
      </c>
      <c r="G612" s="14">
        <f t="shared" si="107"/>
        <v>-23721.933269376001</v>
      </c>
      <c r="H612" s="259">
        <f t="shared" si="108"/>
        <v>-1456.3502600000002</v>
      </c>
      <c r="I612" s="14">
        <f>G507</f>
        <v>-4067.7381399999999</v>
      </c>
      <c r="J612" s="14">
        <f t="shared" si="109"/>
        <v>-61907.304778751997</v>
      </c>
    </row>
    <row r="613" spans="4:10" x14ac:dyDescent="0.35">
      <c r="D613" s="7"/>
      <c r="E613" s="202"/>
      <c r="F613" s="202"/>
      <c r="G613" s="202"/>
      <c r="H613" s="202"/>
      <c r="I613" s="202"/>
      <c r="J613" s="202"/>
    </row>
    <row r="614" spans="4:10" x14ac:dyDescent="0.35">
      <c r="D614" s="4" t="s">
        <v>312</v>
      </c>
      <c r="E614" s="30"/>
      <c r="F614" s="30"/>
      <c r="G614" s="30"/>
      <c r="H614" s="30"/>
      <c r="I614" s="30"/>
      <c r="J614" s="30"/>
    </row>
    <row r="615" spans="4:10" x14ac:dyDescent="0.35">
      <c r="D615" s="7" t="s">
        <v>313</v>
      </c>
      <c r="E615" s="8">
        <f t="shared" ref="E615:E621" si="110">K113</f>
        <v>3641.2963199999999</v>
      </c>
      <c r="F615" s="8">
        <f t="shared" ref="F615:F621" si="111">I209*TC_MES</f>
        <v>0</v>
      </c>
      <c r="G615" s="8">
        <f t="shared" ref="G615:G621" si="112">J306*TC_MES</f>
        <v>7576.9592065919996</v>
      </c>
      <c r="H615" s="8">
        <f t="shared" ref="H615:H621" si="113">J403</f>
        <v>-436.34719000000001</v>
      </c>
      <c r="I615" s="8">
        <f t="shared" ref="I615:I621" si="114">G510</f>
        <v>0</v>
      </c>
      <c r="J615" s="8">
        <f t="shared" ref="J615:J621" si="115">SUM(E615,F615,G615,H615,I615)</f>
        <v>10781.908336592</v>
      </c>
    </row>
    <row r="616" spans="4:10" x14ac:dyDescent="0.35">
      <c r="D616" s="7" t="s">
        <v>314</v>
      </c>
      <c r="E616" s="11">
        <f t="shared" si="110"/>
        <v>-2.3999999999999998E-4</v>
      </c>
      <c r="F616" s="11">
        <f t="shared" si="111"/>
        <v>0</v>
      </c>
      <c r="G616" s="11">
        <f t="shared" si="112"/>
        <v>0</v>
      </c>
      <c r="H616" s="11">
        <f t="shared" si="113"/>
        <v>69</v>
      </c>
      <c r="I616" s="11">
        <f t="shared" si="114"/>
        <v>0</v>
      </c>
      <c r="J616" s="11">
        <f t="shared" si="115"/>
        <v>68.999759999999995</v>
      </c>
    </row>
    <row r="617" spans="4:10" x14ac:dyDescent="0.35">
      <c r="D617" s="7" t="s">
        <v>315</v>
      </c>
      <c r="E617" s="11">
        <f t="shared" si="110"/>
        <v>0</v>
      </c>
      <c r="F617" s="11">
        <f t="shared" si="111"/>
        <v>0</v>
      </c>
      <c r="G617" s="11">
        <f t="shared" si="112"/>
        <v>0</v>
      </c>
      <c r="H617" s="11">
        <f t="shared" si="113"/>
        <v>0</v>
      </c>
      <c r="I617" s="11">
        <f t="shared" si="114"/>
        <v>0</v>
      </c>
      <c r="J617" s="11">
        <f t="shared" si="115"/>
        <v>0</v>
      </c>
    </row>
    <row r="618" spans="4:10" x14ac:dyDescent="0.35">
      <c r="D618" s="7" t="s">
        <v>316</v>
      </c>
      <c r="E618" s="11">
        <f t="shared" si="110"/>
        <v>0</v>
      </c>
      <c r="F618" s="11">
        <f t="shared" si="111"/>
        <v>0</v>
      </c>
      <c r="G618" s="11">
        <f t="shared" si="112"/>
        <v>0</v>
      </c>
      <c r="H618" s="11">
        <f t="shared" si="113"/>
        <v>0</v>
      </c>
      <c r="I618" s="11">
        <f t="shared" si="114"/>
        <v>0</v>
      </c>
      <c r="J618" s="11">
        <f t="shared" si="115"/>
        <v>0</v>
      </c>
    </row>
    <row r="619" spans="4:10" x14ac:dyDescent="0.35">
      <c r="D619" s="7" t="s">
        <v>271</v>
      </c>
      <c r="E619" s="11">
        <f t="shared" si="110"/>
        <v>0</v>
      </c>
      <c r="F619" s="11">
        <f t="shared" si="111"/>
        <v>0</v>
      </c>
      <c r="G619" s="11">
        <f t="shared" si="112"/>
        <v>0</v>
      </c>
      <c r="H619" s="11">
        <f t="shared" si="113"/>
        <v>0</v>
      </c>
      <c r="I619" s="11">
        <f t="shared" si="114"/>
        <v>0</v>
      </c>
      <c r="J619" s="11">
        <f t="shared" si="115"/>
        <v>0</v>
      </c>
    </row>
    <row r="620" spans="4:10" x14ac:dyDescent="0.35">
      <c r="D620" s="7" t="s">
        <v>317</v>
      </c>
      <c r="E620" s="11">
        <f t="shared" si="110"/>
        <v>0</v>
      </c>
      <c r="F620" s="11">
        <f t="shared" si="111"/>
        <v>0</v>
      </c>
      <c r="G620" s="11">
        <f t="shared" si="112"/>
        <v>0</v>
      </c>
      <c r="H620" s="11">
        <f t="shared" si="113"/>
        <v>0</v>
      </c>
      <c r="I620" s="11">
        <f t="shared" si="114"/>
        <v>0</v>
      </c>
      <c r="J620" s="11">
        <f t="shared" si="115"/>
        <v>0</v>
      </c>
    </row>
    <row r="621" spans="4:10" x14ac:dyDescent="0.35">
      <c r="D621" s="4" t="s">
        <v>318</v>
      </c>
      <c r="E621" s="14">
        <f t="shared" si="110"/>
        <v>3641.2960800000001</v>
      </c>
      <c r="F621" s="14">
        <f t="shared" si="111"/>
        <v>0</v>
      </c>
      <c r="G621" s="14">
        <f t="shared" si="112"/>
        <v>7576.9592065919996</v>
      </c>
      <c r="H621" s="14">
        <f t="shared" si="113"/>
        <v>-367.34719000000001</v>
      </c>
      <c r="I621" s="14">
        <f t="shared" si="114"/>
        <v>0</v>
      </c>
      <c r="J621" s="14">
        <f t="shared" si="115"/>
        <v>10850.908096592</v>
      </c>
    </row>
    <row r="622" spans="4:10" x14ac:dyDescent="0.35">
      <c r="D622" s="4"/>
      <c r="E622" s="209"/>
      <c r="F622" s="209"/>
      <c r="G622" s="209"/>
      <c r="H622" s="209"/>
      <c r="I622" s="209"/>
      <c r="J622" s="209"/>
    </row>
    <row r="623" spans="4:10" x14ac:dyDescent="0.35">
      <c r="D623" s="4" t="s">
        <v>319</v>
      </c>
      <c r="E623" s="30"/>
      <c r="F623" s="30"/>
      <c r="G623" s="30"/>
      <c r="H623" s="30"/>
      <c r="I623" s="30"/>
      <c r="J623" s="30"/>
    </row>
    <row r="624" spans="4:10" x14ac:dyDescent="0.35">
      <c r="D624" s="7" t="s">
        <v>320</v>
      </c>
      <c r="E624" s="8">
        <f t="shared" ref="E624:E635" si="116">K122</f>
        <v>0</v>
      </c>
      <c r="F624" s="8">
        <f t="shared" ref="F624:F635" si="117">I218*TC_MES</f>
        <v>0</v>
      </c>
      <c r="G624" s="8">
        <f t="shared" ref="G624:G635" si="118">J315*TC_MES</f>
        <v>0</v>
      </c>
      <c r="H624" s="8">
        <f t="shared" ref="H624:H640" si="119">J412</f>
        <v>0</v>
      </c>
      <c r="I624" s="8">
        <f t="shared" ref="I624:I636" si="120">G520</f>
        <v>0</v>
      </c>
      <c r="J624" s="8">
        <f t="shared" ref="J624:J640" si="121">SUM(E624,F624,G624,H624,I624)</f>
        <v>0</v>
      </c>
    </row>
    <row r="625" spans="4:10" x14ac:dyDescent="0.35">
      <c r="D625" s="7" t="s">
        <v>321</v>
      </c>
      <c r="E625" s="11">
        <f t="shared" si="116"/>
        <v>-25.584629999999997</v>
      </c>
      <c r="F625" s="11">
        <f t="shared" si="117"/>
        <v>-184.19655700799998</v>
      </c>
      <c r="G625" s="11">
        <f t="shared" si="118"/>
        <v>0</v>
      </c>
      <c r="H625" s="11">
        <f t="shared" si="119"/>
        <v>-867.02954999999997</v>
      </c>
      <c r="I625" s="11">
        <f t="shared" si="120"/>
        <v>0</v>
      </c>
      <c r="J625" s="11">
        <f t="shared" si="121"/>
        <v>-1076.8107370079999</v>
      </c>
    </row>
    <row r="626" spans="4:10" x14ac:dyDescent="0.35">
      <c r="D626" s="7" t="s">
        <v>322</v>
      </c>
      <c r="E626" s="11">
        <f t="shared" si="116"/>
        <v>-85.965509999999995</v>
      </c>
      <c r="F626" s="11">
        <f t="shared" si="117"/>
        <v>0</v>
      </c>
      <c r="G626" s="11">
        <f t="shared" si="118"/>
        <v>0</v>
      </c>
      <c r="H626" s="11">
        <f t="shared" si="119"/>
        <v>332.61872</v>
      </c>
      <c r="I626" s="11">
        <f t="shared" si="120"/>
        <v>0</v>
      </c>
      <c r="J626" s="11">
        <f t="shared" si="121"/>
        <v>246.65321</v>
      </c>
    </row>
    <row r="627" spans="4:10" x14ac:dyDescent="0.35">
      <c r="D627" s="7" t="s">
        <v>323</v>
      </c>
      <c r="E627" s="11">
        <f t="shared" si="116"/>
        <v>0</v>
      </c>
      <c r="F627" s="11">
        <f t="shared" si="117"/>
        <v>0</v>
      </c>
      <c r="G627" s="11">
        <f t="shared" si="118"/>
        <v>0</v>
      </c>
      <c r="H627" s="11">
        <f t="shared" si="119"/>
        <v>0</v>
      </c>
      <c r="I627" s="11">
        <f t="shared" si="120"/>
        <v>0</v>
      </c>
      <c r="J627" s="11">
        <f t="shared" si="121"/>
        <v>0</v>
      </c>
    </row>
    <row r="628" spans="4:10" x14ac:dyDescent="0.35">
      <c r="D628" s="7" t="s">
        <v>324</v>
      </c>
      <c r="E628" s="11">
        <f t="shared" si="116"/>
        <v>0</v>
      </c>
      <c r="F628" s="11">
        <f t="shared" si="117"/>
        <v>0</v>
      </c>
      <c r="G628" s="11">
        <f t="shared" si="118"/>
        <v>0</v>
      </c>
      <c r="H628" s="11">
        <f t="shared" si="119"/>
        <v>-9.98475</v>
      </c>
      <c r="I628" s="11">
        <f t="shared" si="120"/>
        <v>0</v>
      </c>
      <c r="J628" s="11">
        <f t="shared" si="121"/>
        <v>-9.98475</v>
      </c>
    </row>
    <row r="629" spans="4:10" x14ac:dyDescent="0.35">
      <c r="D629" s="7" t="s">
        <v>325</v>
      </c>
      <c r="E629" s="11">
        <f t="shared" si="116"/>
        <v>0</v>
      </c>
      <c r="F629" s="11">
        <f t="shared" si="117"/>
        <v>0</v>
      </c>
      <c r="G629" s="11">
        <f t="shared" si="118"/>
        <v>0</v>
      </c>
      <c r="H629" s="11">
        <f t="shared" si="119"/>
        <v>0</v>
      </c>
      <c r="I629" s="11">
        <f t="shared" si="120"/>
        <v>0</v>
      </c>
      <c r="J629" s="11">
        <f t="shared" si="121"/>
        <v>0</v>
      </c>
    </row>
    <row r="630" spans="4:10" x14ac:dyDescent="0.35">
      <c r="D630" s="7" t="s">
        <v>326</v>
      </c>
      <c r="E630" s="11">
        <f t="shared" si="116"/>
        <v>0</v>
      </c>
      <c r="F630" s="11">
        <f t="shared" si="117"/>
        <v>0</v>
      </c>
      <c r="G630" s="11">
        <f t="shared" si="118"/>
        <v>0</v>
      </c>
      <c r="H630" s="11">
        <f t="shared" si="119"/>
        <v>0</v>
      </c>
      <c r="I630" s="11">
        <f t="shared" si="120"/>
        <v>0</v>
      </c>
      <c r="J630" s="11">
        <f t="shared" si="121"/>
        <v>0</v>
      </c>
    </row>
    <row r="631" spans="4:10" x14ac:dyDescent="0.35">
      <c r="D631" s="7" t="s">
        <v>327</v>
      </c>
      <c r="E631" s="11">
        <f t="shared" si="116"/>
        <v>26.271349999999998</v>
      </c>
      <c r="F631" s="11">
        <f t="shared" si="117"/>
        <v>-10.112399999999999</v>
      </c>
      <c r="G631" s="11">
        <f t="shared" si="118"/>
        <v>0</v>
      </c>
      <c r="H631" s="11">
        <f t="shared" si="119"/>
        <v>0</v>
      </c>
      <c r="I631" s="11">
        <f t="shared" si="120"/>
        <v>0</v>
      </c>
      <c r="J631" s="11">
        <f t="shared" si="121"/>
        <v>16.158949999999997</v>
      </c>
    </row>
    <row r="632" spans="4:10" hidden="1" x14ac:dyDescent="0.35">
      <c r="D632" s="7" t="s">
        <v>328</v>
      </c>
      <c r="E632" s="11">
        <f t="shared" si="116"/>
        <v>0</v>
      </c>
      <c r="F632" s="11">
        <f t="shared" si="117"/>
        <v>0</v>
      </c>
      <c r="G632" s="11">
        <f t="shared" si="118"/>
        <v>0</v>
      </c>
      <c r="H632" s="11">
        <f t="shared" si="119"/>
        <v>0</v>
      </c>
      <c r="I632" s="11">
        <f t="shared" si="120"/>
        <v>0</v>
      </c>
      <c r="J632" s="11">
        <f t="shared" si="121"/>
        <v>0</v>
      </c>
    </row>
    <row r="633" spans="4:10" x14ac:dyDescent="0.35">
      <c r="D633" s="7" t="s">
        <v>329</v>
      </c>
      <c r="E633" s="11">
        <f t="shared" si="116"/>
        <v>-570.53611999999998</v>
      </c>
      <c r="F633" s="11">
        <f t="shared" si="117"/>
        <v>-717.62929747199996</v>
      </c>
      <c r="G633" s="11">
        <f t="shared" si="118"/>
        <v>0</v>
      </c>
      <c r="H633" s="11">
        <f t="shared" si="119"/>
        <v>0</v>
      </c>
      <c r="I633" s="11">
        <f t="shared" si="120"/>
        <v>0</v>
      </c>
      <c r="J633" s="11">
        <f t="shared" si="121"/>
        <v>-1288.1654174719999</v>
      </c>
    </row>
    <row r="634" spans="4:10" hidden="1" x14ac:dyDescent="0.35">
      <c r="D634" s="7" t="s">
        <v>330</v>
      </c>
      <c r="E634" s="11">
        <f t="shared" si="116"/>
        <v>0</v>
      </c>
      <c r="F634" s="11">
        <f t="shared" si="117"/>
        <v>0</v>
      </c>
      <c r="G634" s="11">
        <f t="shared" si="118"/>
        <v>0</v>
      </c>
      <c r="H634" s="11">
        <f t="shared" si="119"/>
        <v>0</v>
      </c>
      <c r="I634" s="11">
        <f t="shared" si="120"/>
        <v>0</v>
      </c>
      <c r="J634" s="11">
        <f t="shared" si="121"/>
        <v>0</v>
      </c>
    </row>
    <row r="635" spans="4:10" x14ac:dyDescent="0.35">
      <c r="D635" s="7" t="s">
        <v>331</v>
      </c>
      <c r="E635" s="11">
        <f t="shared" si="116"/>
        <v>0</v>
      </c>
      <c r="F635" s="11">
        <f t="shared" si="117"/>
        <v>0</v>
      </c>
      <c r="G635" s="11">
        <f t="shared" si="118"/>
        <v>0</v>
      </c>
      <c r="H635" s="11">
        <f t="shared" si="119"/>
        <v>0</v>
      </c>
      <c r="I635" s="11">
        <f t="shared" si="120"/>
        <v>0</v>
      </c>
      <c r="J635" s="11">
        <f t="shared" si="121"/>
        <v>0</v>
      </c>
    </row>
    <row r="636" spans="4:10" x14ac:dyDescent="0.35">
      <c r="D636" s="7" t="s">
        <v>293</v>
      </c>
      <c r="E636" s="11">
        <v>0</v>
      </c>
      <c r="F636" s="11">
        <v>0</v>
      </c>
      <c r="G636" s="11">
        <v>0</v>
      </c>
      <c r="H636" s="11">
        <f t="shared" si="119"/>
        <v>0</v>
      </c>
      <c r="I636" s="11">
        <f t="shared" si="120"/>
        <v>0</v>
      </c>
      <c r="J636" s="11">
        <f t="shared" si="121"/>
        <v>0</v>
      </c>
    </row>
    <row r="637" spans="4:10" hidden="1" x14ac:dyDescent="0.35">
      <c r="D637" s="7" t="s">
        <v>294</v>
      </c>
      <c r="E637" s="11"/>
      <c r="F637" s="11"/>
      <c r="G637" s="11"/>
      <c r="H637" s="11">
        <f t="shared" si="119"/>
        <v>0</v>
      </c>
      <c r="I637" s="11"/>
      <c r="J637" s="11">
        <f t="shared" si="121"/>
        <v>0</v>
      </c>
    </row>
    <row r="638" spans="4:10" x14ac:dyDescent="0.35">
      <c r="D638" s="7" t="s">
        <v>10</v>
      </c>
      <c r="E638" s="34">
        <f>K134</f>
        <v>-1.1641532182693482E-13</v>
      </c>
      <c r="F638" s="34">
        <f>I230*TC_MES</f>
        <v>0</v>
      </c>
      <c r="G638" s="34">
        <f>J327*TC_MES</f>
        <v>0</v>
      </c>
      <c r="H638" s="34">
        <f t="shared" si="119"/>
        <v>-255.3931</v>
      </c>
      <c r="I638" s="34">
        <f>G533</f>
        <v>0</v>
      </c>
      <c r="J638" s="34">
        <f t="shared" si="121"/>
        <v>-255.39310000000012</v>
      </c>
    </row>
    <row r="639" spans="4:10" x14ac:dyDescent="0.35">
      <c r="D639" s="4" t="s">
        <v>332</v>
      </c>
      <c r="E639" s="14">
        <f>K135</f>
        <v>-655.81491000000005</v>
      </c>
      <c r="F639" s="20">
        <f>I231*TC_MES</f>
        <v>-911.93825448000007</v>
      </c>
      <c r="G639" s="20">
        <f>J328*TC_MES</f>
        <v>0</v>
      </c>
      <c r="H639" s="20">
        <f t="shared" si="119"/>
        <v>-799.78868</v>
      </c>
      <c r="I639" s="20">
        <f>G534</f>
        <v>0</v>
      </c>
      <c r="J639" s="20">
        <f t="shared" si="121"/>
        <v>-2367.5418444800002</v>
      </c>
    </row>
    <row r="640" spans="4:10" x14ac:dyDescent="0.35">
      <c r="D640" s="4" t="s">
        <v>291</v>
      </c>
      <c r="E640" s="203"/>
      <c r="F640" s="271"/>
      <c r="G640" s="203"/>
      <c r="H640" s="20">
        <f t="shared" si="119"/>
        <v>0</v>
      </c>
      <c r="I640" s="203"/>
      <c r="J640" s="20">
        <f t="shared" si="121"/>
        <v>0</v>
      </c>
    </row>
    <row r="641" spans="4:10" x14ac:dyDescent="0.35">
      <c r="D641" s="25"/>
      <c r="E641" s="25"/>
      <c r="F641" s="25"/>
      <c r="G641" s="40"/>
      <c r="H641" s="25"/>
      <c r="I641" s="40"/>
      <c r="J641" s="25"/>
    </row>
    <row r="642" spans="4:10" x14ac:dyDescent="0.35">
      <c r="D642" s="4" t="s">
        <v>333</v>
      </c>
      <c r="E642" s="14">
        <f>K137</f>
        <v>1864.3548100000016</v>
      </c>
      <c r="F642" s="14">
        <f>I233*TC_MES</f>
        <v>-25128.476895528001</v>
      </c>
      <c r="G642" s="14">
        <f>J330*TC_MES</f>
        <v>-14737.495241879999</v>
      </c>
      <c r="H642" s="14">
        <f>J430</f>
        <v>5941.2300399999995</v>
      </c>
      <c r="I642" s="14">
        <f>G536</f>
        <v>-1498.1109200000001</v>
      </c>
      <c r="J642" s="14">
        <f>SUM(E642,F642,G642,H642,I642)</f>
        <v>-33558.498207408004</v>
      </c>
    </row>
    <row r="643" spans="4:10" x14ac:dyDescent="0.35">
      <c r="D643" s="4" t="s">
        <v>275</v>
      </c>
      <c r="E643" s="20">
        <f>K138</f>
        <v>17416.152710000002</v>
      </c>
      <c r="F643" s="14">
        <f>I234*TC_MES</f>
        <v>35637.264166463996</v>
      </c>
      <c r="G643" s="14">
        <f>J331*TC_MES</f>
        <v>16821.65481444</v>
      </c>
      <c r="H643" s="14">
        <f>J431</f>
        <v>49091.557459999989</v>
      </c>
      <c r="I643" s="14">
        <f>G537</f>
        <v>12447.044980000001</v>
      </c>
      <c r="J643" s="14">
        <f>SUM(E643,F643,G643,H643,I643)</f>
        <v>131413.67413090399</v>
      </c>
    </row>
    <row r="644" spans="4:10" x14ac:dyDescent="0.35">
      <c r="D644" s="4" t="s">
        <v>276</v>
      </c>
      <c r="E644" s="14">
        <f>K139</f>
        <v>19280.507520000003</v>
      </c>
      <c r="F644" s="14">
        <f>I235*TC_MES</f>
        <v>10508.787270935998</v>
      </c>
      <c r="G644" s="14">
        <f>J332*TC_MES</f>
        <v>2084.1595725600005</v>
      </c>
      <c r="H644" s="14">
        <f>J432</f>
        <v>55032.787499999991</v>
      </c>
      <c r="I644" s="14">
        <f>G538</f>
        <v>10948.93406</v>
      </c>
      <c r="J644" s="14">
        <f>J642+J643</f>
        <v>97855.17592349599</v>
      </c>
    </row>
    <row r="645" spans="4:10" x14ac:dyDescent="0.35">
      <c r="I645" s="201"/>
    </row>
    <row r="646" spans="4:10" x14ac:dyDescent="0.35">
      <c r="I646" s="201"/>
    </row>
    <row r="647" spans="4:10" x14ac:dyDescent="0.35">
      <c r="I647" s="201"/>
    </row>
    <row r="650" spans="4:10" x14ac:dyDescent="0.35">
      <c r="D650" s="25"/>
      <c r="E650" s="269"/>
      <c r="F650" s="25"/>
      <c r="G650" s="25"/>
      <c r="H650" s="269" t="s">
        <v>277</v>
      </c>
      <c r="I650" s="25"/>
      <c r="J650" s="25"/>
    </row>
    <row r="651" spans="4:10" x14ac:dyDescent="0.35">
      <c r="D651" s="7"/>
      <c r="E651" s="28" t="s">
        <v>26</v>
      </c>
      <c r="F651" s="28" t="s">
        <v>27</v>
      </c>
      <c r="G651" s="28" t="s">
        <v>28</v>
      </c>
      <c r="H651" s="28" t="s">
        <v>29</v>
      </c>
      <c r="I651" s="28" t="s">
        <v>30</v>
      </c>
      <c r="J651" s="28" t="s">
        <v>31</v>
      </c>
    </row>
    <row r="652" spans="4:10" x14ac:dyDescent="0.35">
      <c r="D652" s="26" t="s">
        <v>247</v>
      </c>
      <c r="E652" s="14">
        <f>$K$148</f>
        <v>4940.2344400000002</v>
      </c>
      <c r="F652" s="14">
        <f>I244*TC_MES</f>
        <v>2383.3836683279997</v>
      </c>
      <c r="G652" s="14">
        <f>J341*TC_MES</f>
        <v>1407.4788209039998</v>
      </c>
      <c r="H652" s="14">
        <f>J441</f>
        <v>8564.7161699999997</v>
      </c>
      <c r="I652" s="14">
        <f>G547</f>
        <v>2569.6272199999999</v>
      </c>
      <c r="J652" s="14">
        <f>SUM(E652:I652)</f>
        <v>19865.440319231999</v>
      </c>
    </row>
    <row r="653" spans="4:10" x14ac:dyDescent="0.35">
      <c r="D653" s="1"/>
      <c r="E653" s="30"/>
      <c r="F653" s="30"/>
      <c r="G653" s="30"/>
      <c r="H653" s="30"/>
      <c r="I653" s="30"/>
      <c r="J653" s="30"/>
    </row>
    <row r="654" spans="4:10" x14ac:dyDescent="0.35">
      <c r="D654" s="26" t="s">
        <v>270</v>
      </c>
      <c r="E654" s="30"/>
      <c r="F654" s="30"/>
      <c r="G654" s="30"/>
      <c r="H654" s="30"/>
      <c r="I654" s="30"/>
      <c r="J654" s="30"/>
    </row>
    <row r="655" spans="4:10" x14ac:dyDescent="0.35">
      <c r="D655" s="1" t="s">
        <v>196</v>
      </c>
      <c r="E655" s="8">
        <f t="shared" ref="E655:E662" si="122">K151</f>
        <v>6679.1233999999995</v>
      </c>
      <c r="F655" s="8">
        <f t="shared" ref="F655:F662" si="123">I247*TC_MES</f>
        <v>-1165.1652898559998</v>
      </c>
      <c r="G655" s="8">
        <f t="shared" ref="G655:G662" si="124">J344*TC_MES</f>
        <v>-6573.0599999999995</v>
      </c>
      <c r="H655" s="194">
        <f t="shared" ref="H655:H662" si="125">J444</f>
        <v>-5509.1209799999997</v>
      </c>
      <c r="I655" s="8">
        <f>G550</f>
        <v>-2016.9671600000001</v>
      </c>
      <c r="J655" s="8">
        <f t="shared" ref="J655:J661" si="126">SUM(E655:I655)</f>
        <v>-8585.1900298559995</v>
      </c>
    </row>
    <row r="656" spans="4:10" x14ac:dyDescent="0.35">
      <c r="D656" s="1" t="s">
        <v>197</v>
      </c>
      <c r="E656" s="11">
        <f t="shared" si="122"/>
        <v>-3707.4204899999986</v>
      </c>
      <c r="F656" s="11">
        <f t="shared" si="123"/>
        <v>-6277.8699428399987</v>
      </c>
      <c r="G656" s="11">
        <f t="shared" si="124"/>
        <v>-13072.8051</v>
      </c>
      <c r="H656" s="198">
        <f t="shared" si="125"/>
        <v>-15663.9861</v>
      </c>
      <c r="I656" s="11">
        <f>G551</f>
        <v>-1720.7574999999999</v>
      </c>
      <c r="J656" s="11">
        <f t="shared" si="126"/>
        <v>-40442.839132839996</v>
      </c>
    </row>
    <row r="657" spans="4:10" x14ac:dyDescent="0.35">
      <c r="D657" s="1" t="s">
        <v>198</v>
      </c>
      <c r="E657" s="11">
        <f t="shared" si="122"/>
        <v>1476.0490399999999</v>
      </c>
      <c r="F657" s="11">
        <f t="shared" si="123"/>
        <v>111.60044640000001</v>
      </c>
      <c r="G657" s="11">
        <f t="shared" si="124"/>
        <v>0</v>
      </c>
      <c r="H657" s="198">
        <f t="shared" si="125"/>
        <v>-6790.9736700000003</v>
      </c>
      <c r="I657" s="11">
        <f>G552</f>
        <v>2154.0308100000002</v>
      </c>
      <c r="J657" s="11">
        <f t="shared" si="126"/>
        <v>-3049.2933736000005</v>
      </c>
    </row>
    <row r="658" spans="4:10" x14ac:dyDescent="0.35">
      <c r="D658" s="1" t="s">
        <v>199</v>
      </c>
      <c r="E658" s="11">
        <f t="shared" si="122"/>
        <v>-3848.8622100000007</v>
      </c>
      <c r="F658" s="11">
        <f t="shared" si="123"/>
        <v>-394.63398302399997</v>
      </c>
      <c r="G658" s="11">
        <f t="shared" si="124"/>
        <v>24.719155055999998</v>
      </c>
      <c r="H658" s="198">
        <f t="shared" si="125"/>
        <v>8613.32906</v>
      </c>
      <c r="I658" s="11">
        <f>G553</f>
        <v>-359.32364000000001</v>
      </c>
      <c r="J658" s="11">
        <f t="shared" si="126"/>
        <v>4035.2283820319994</v>
      </c>
    </row>
    <row r="659" spans="4:10" x14ac:dyDescent="0.35">
      <c r="D659" s="1" t="s">
        <v>222</v>
      </c>
      <c r="E659" s="11">
        <f t="shared" si="122"/>
        <v>-6454.7803399999993</v>
      </c>
      <c r="F659" s="11">
        <f t="shared" si="123"/>
        <v>397.22842036800006</v>
      </c>
      <c r="G659" s="11">
        <f t="shared" si="124"/>
        <v>0</v>
      </c>
      <c r="H659" s="198">
        <f t="shared" si="125"/>
        <v>8460.0619200000001</v>
      </c>
      <c r="I659" s="11">
        <f>G556</f>
        <v>-1457</v>
      </c>
      <c r="J659" s="11">
        <f t="shared" si="126"/>
        <v>945.51000036800087</v>
      </c>
    </row>
    <row r="660" spans="4:10" x14ac:dyDescent="0.35">
      <c r="D660" s="1" t="s">
        <v>248</v>
      </c>
      <c r="E660" s="11">
        <f t="shared" si="122"/>
        <v>4598.7550999999994</v>
      </c>
      <c r="F660" s="11">
        <f t="shared" si="123"/>
        <v>-18807.549162479998</v>
      </c>
      <c r="G660" s="11">
        <f t="shared" si="124"/>
        <v>-3714.7521173759992</v>
      </c>
      <c r="H660" s="198">
        <f t="shared" si="125"/>
        <v>8982.6447000000007</v>
      </c>
      <c r="I660" s="11">
        <f>G557</f>
        <v>-821.52320999999995</v>
      </c>
      <c r="J660" s="11">
        <f t="shared" si="126"/>
        <v>-9762.4246898559977</v>
      </c>
    </row>
    <row r="661" spans="4:10" x14ac:dyDescent="0.35">
      <c r="D661" s="1" t="s">
        <v>249</v>
      </c>
      <c r="E661" s="11">
        <f t="shared" si="122"/>
        <v>-4804.2252999999992</v>
      </c>
      <c r="F661" s="11">
        <f t="shared" si="123"/>
        <v>-463.53279794399975</v>
      </c>
      <c r="G661" s="11">
        <f t="shared" si="124"/>
        <v>-386.03520705599999</v>
      </c>
      <c r="H661" s="198">
        <f t="shared" si="125"/>
        <v>451.69481000000007</v>
      </c>
      <c r="I661" s="11">
        <f>G558</f>
        <v>-513.57210000000009</v>
      </c>
      <c r="J661" s="11">
        <f t="shared" si="126"/>
        <v>-5715.6705949999996</v>
      </c>
    </row>
    <row r="662" spans="4:10" x14ac:dyDescent="0.35">
      <c r="D662" s="26" t="s">
        <v>270</v>
      </c>
      <c r="E662" s="14">
        <f t="shared" si="122"/>
        <v>-6061.3607999999986</v>
      </c>
      <c r="F662" s="14">
        <f t="shared" si="123"/>
        <v>-26599.922309376001</v>
      </c>
      <c r="G662" s="14">
        <f t="shared" si="124"/>
        <v>-23721.933269376001</v>
      </c>
      <c r="H662" s="215">
        <f t="shared" si="125"/>
        <v>-1456.3502600000002</v>
      </c>
      <c r="I662" s="14">
        <f>G561</f>
        <v>-4067.7381399999999</v>
      </c>
      <c r="J662" s="14">
        <f>SUM(E662,F662,G662,H662,I662)</f>
        <v>-61907.304778751997</v>
      </c>
    </row>
    <row r="663" spans="4:10" x14ac:dyDescent="0.35">
      <c r="D663" s="1"/>
      <c r="E663" s="202"/>
      <c r="F663" s="202"/>
      <c r="G663" s="202"/>
      <c r="H663" s="202"/>
      <c r="I663" s="202"/>
      <c r="J663" s="202"/>
    </row>
    <row r="664" spans="4:10" x14ac:dyDescent="0.35">
      <c r="D664" s="26" t="s">
        <v>250</v>
      </c>
      <c r="E664" s="30"/>
      <c r="F664" s="30"/>
      <c r="G664" s="30"/>
      <c r="H664" s="30"/>
      <c r="I664" s="30"/>
      <c r="J664" s="30"/>
    </row>
    <row r="665" spans="4:10" x14ac:dyDescent="0.35">
      <c r="D665" s="1" t="s">
        <v>251</v>
      </c>
      <c r="E665" s="8">
        <f t="shared" ref="E665:E671" si="127">K161</f>
        <v>3641.2963199999999</v>
      </c>
      <c r="F665" s="8">
        <f t="shared" ref="F665:F671" si="128">I257*TC_MES</f>
        <v>0</v>
      </c>
      <c r="G665" s="8">
        <f t="shared" ref="G665:G671" si="129">J354*TC_MES</f>
        <v>7576.9592065919996</v>
      </c>
      <c r="H665" s="194">
        <f t="shared" ref="H665:H671" si="130">J454</f>
        <v>-436.34719000000001</v>
      </c>
      <c r="I665" s="8">
        <f t="shared" ref="I665:I671" si="131">G564</f>
        <v>0</v>
      </c>
      <c r="J665" s="8">
        <f t="shared" ref="J665:J670" si="132">SUM(E665:I665)</f>
        <v>10781.908336592</v>
      </c>
    </row>
    <row r="666" spans="4:10" x14ac:dyDescent="0.35">
      <c r="D666" s="1" t="s">
        <v>252</v>
      </c>
      <c r="E666" s="11">
        <f t="shared" si="127"/>
        <v>-2.3999999999999998E-4</v>
      </c>
      <c r="F666" s="11">
        <f t="shared" si="128"/>
        <v>0</v>
      </c>
      <c r="G666" s="11">
        <f t="shared" si="129"/>
        <v>0</v>
      </c>
      <c r="H666" s="198">
        <f t="shared" si="130"/>
        <v>69</v>
      </c>
      <c r="I666" s="11">
        <f t="shared" si="131"/>
        <v>0</v>
      </c>
      <c r="J666" s="11">
        <f t="shared" si="132"/>
        <v>68.999759999999995</v>
      </c>
    </row>
    <row r="667" spans="4:10" x14ac:dyDescent="0.35">
      <c r="D667" s="1" t="s">
        <v>237</v>
      </c>
      <c r="E667" s="11">
        <f t="shared" si="127"/>
        <v>0</v>
      </c>
      <c r="F667" s="11">
        <f t="shared" si="128"/>
        <v>0</v>
      </c>
      <c r="G667" s="11">
        <f t="shared" si="129"/>
        <v>0</v>
      </c>
      <c r="H667" s="198">
        <f t="shared" si="130"/>
        <v>0</v>
      </c>
      <c r="I667" s="11">
        <f t="shared" si="131"/>
        <v>0</v>
      </c>
      <c r="J667" s="11">
        <f t="shared" si="132"/>
        <v>0</v>
      </c>
    </row>
    <row r="668" spans="4:10" x14ac:dyDescent="0.35">
      <c r="D668" s="1" t="s">
        <v>253</v>
      </c>
      <c r="E668" s="11">
        <f t="shared" si="127"/>
        <v>0</v>
      </c>
      <c r="F668" s="11">
        <f t="shared" si="128"/>
        <v>0</v>
      </c>
      <c r="G668" s="11">
        <f t="shared" si="129"/>
        <v>0</v>
      </c>
      <c r="H668" s="198">
        <f t="shared" si="130"/>
        <v>0</v>
      </c>
      <c r="I668" s="11">
        <f t="shared" si="131"/>
        <v>0</v>
      </c>
      <c r="J668" s="11">
        <f t="shared" si="132"/>
        <v>0</v>
      </c>
    </row>
    <row r="669" spans="4:10" x14ac:dyDescent="0.35">
      <c r="D669" s="1" t="s">
        <v>271</v>
      </c>
      <c r="E669" s="11">
        <f t="shared" si="127"/>
        <v>0</v>
      </c>
      <c r="F669" s="11">
        <f t="shared" si="128"/>
        <v>0</v>
      </c>
      <c r="G669" s="11">
        <f t="shared" si="129"/>
        <v>0</v>
      </c>
      <c r="H669" s="198">
        <f t="shared" si="130"/>
        <v>0</v>
      </c>
      <c r="I669" s="11">
        <f t="shared" si="131"/>
        <v>0</v>
      </c>
      <c r="J669" s="11">
        <f t="shared" si="132"/>
        <v>0</v>
      </c>
    </row>
    <row r="670" spans="4:10" x14ac:dyDescent="0.35">
      <c r="D670" s="1" t="s">
        <v>254</v>
      </c>
      <c r="E670" s="11">
        <f t="shared" si="127"/>
        <v>0</v>
      </c>
      <c r="F670" s="11">
        <f t="shared" si="128"/>
        <v>0</v>
      </c>
      <c r="G670" s="11">
        <f t="shared" si="129"/>
        <v>0</v>
      </c>
      <c r="H670" s="198">
        <f t="shared" si="130"/>
        <v>0</v>
      </c>
      <c r="I670" s="11">
        <f t="shared" si="131"/>
        <v>0</v>
      </c>
      <c r="J670" s="11">
        <f t="shared" si="132"/>
        <v>0</v>
      </c>
    </row>
    <row r="671" spans="4:10" x14ac:dyDescent="0.35">
      <c r="D671" s="26" t="s">
        <v>255</v>
      </c>
      <c r="E671" s="14">
        <f t="shared" si="127"/>
        <v>3641.2960800000001</v>
      </c>
      <c r="F671" s="14">
        <f t="shared" si="128"/>
        <v>0</v>
      </c>
      <c r="G671" s="14">
        <f t="shared" si="129"/>
        <v>7576.9592065919996</v>
      </c>
      <c r="H671" s="215">
        <f t="shared" si="130"/>
        <v>-367.34719000000001</v>
      </c>
      <c r="I671" s="14">
        <f t="shared" si="131"/>
        <v>0</v>
      </c>
      <c r="J671" s="14">
        <f>SUM(E671,F671,G671,H671,I671)</f>
        <v>10850.908096592</v>
      </c>
    </row>
    <row r="672" spans="4:10" x14ac:dyDescent="0.35">
      <c r="D672" s="26"/>
      <c r="E672" s="202"/>
      <c r="F672" s="209"/>
      <c r="G672" s="209"/>
      <c r="H672" s="209"/>
      <c r="I672" s="209"/>
      <c r="J672" s="209"/>
    </row>
    <row r="673" spans="4:10" x14ac:dyDescent="0.35">
      <c r="D673" s="26" t="s">
        <v>256</v>
      </c>
      <c r="E673" s="197"/>
      <c r="F673" s="30"/>
      <c r="G673" s="30"/>
      <c r="H673" s="30"/>
      <c r="I673" s="30"/>
      <c r="J673" s="30"/>
    </row>
    <row r="674" spans="4:10" x14ac:dyDescent="0.35">
      <c r="D674" s="1" t="s">
        <v>204</v>
      </c>
      <c r="E674" s="11">
        <f>K170</f>
        <v>0</v>
      </c>
      <c r="F674" s="8">
        <f t="shared" ref="F674:F685" si="133">I266*TC_MES</f>
        <v>0</v>
      </c>
      <c r="G674" s="8">
        <f t="shared" ref="G674:G685" si="134">J363*TC_MES</f>
        <v>0</v>
      </c>
      <c r="H674" s="194">
        <f t="shared" ref="H674:H690" si="135">J463</f>
        <v>0</v>
      </c>
      <c r="I674" s="8">
        <f t="shared" ref="I674:I683" si="136">$G574</f>
        <v>0</v>
      </c>
      <c r="J674" s="8">
        <f t="shared" ref="J674:J688" si="137">SUM(E674:I674)</f>
        <v>0</v>
      </c>
    </row>
    <row r="675" spans="4:10" x14ac:dyDescent="0.35">
      <c r="D675" s="1" t="s">
        <v>208</v>
      </c>
      <c r="E675" s="11">
        <f t="shared" ref="E675:E685" si="138">K171</f>
        <v>-25.584629999999997</v>
      </c>
      <c r="F675" s="11">
        <f t="shared" si="133"/>
        <v>-184.19655700799998</v>
      </c>
      <c r="G675" s="11">
        <f t="shared" si="134"/>
        <v>0</v>
      </c>
      <c r="H675" s="198">
        <f t="shared" si="135"/>
        <v>-867.02954999999997</v>
      </c>
      <c r="I675" s="11">
        <f t="shared" si="136"/>
        <v>0</v>
      </c>
      <c r="J675" s="11">
        <f t="shared" si="137"/>
        <v>-1076.8107370079999</v>
      </c>
    </row>
    <row r="676" spans="4:10" x14ac:dyDescent="0.35">
      <c r="D676" s="1" t="s">
        <v>207</v>
      </c>
      <c r="E676" s="11">
        <f t="shared" si="138"/>
        <v>-85.965509999999995</v>
      </c>
      <c r="F676" s="11">
        <f t="shared" si="133"/>
        <v>0</v>
      </c>
      <c r="G676" s="11">
        <f t="shared" si="134"/>
        <v>0</v>
      </c>
      <c r="H676" s="198">
        <f t="shared" si="135"/>
        <v>332.61872</v>
      </c>
      <c r="I676" s="11">
        <f t="shared" si="136"/>
        <v>0</v>
      </c>
      <c r="J676" s="11">
        <f t="shared" si="137"/>
        <v>246.65321</v>
      </c>
    </row>
    <row r="677" spans="4:10" x14ac:dyDescent="0.35">
      <c r="D677" s="1" t="s">
        <v>206</v>
      </c>
      <c r="E677" s="11">
        <f t="shared" si="138"/>
        <v>0</v>
      </c>
      <c r="F677" s="11">
        <f t="shared" si="133"/>
        <v>0</v>
      </c>
      <c r="G677" s="11">
        <f t="shared" si="134"/>
        <v>0</v>
      </c>
      <c r="H677" s="198">
        <f t="shared" si="135"/>
        <v>0</v>
      </c>
      <c r="I677" s="11">
        <f t="shared" si="136"/>
        <v>0</v>
      </c>
      <c r="J677" s="11">
        <f t="shared" si="137"/>
        <v>0</v>
      </c>
    </row>
    <row r="678" spans="4:10" x14ac:dyDescent="0.35">
      <c r="D678" s="1" t="s">
        <v>257</v>
      </c>
      <c r="E678" s="11">
        <f t="shared" si="138"/>
        <v>0</v>
      </c>
      <c r="F678" s="11">
        <f t="shared" si="133"/>
        <v>0</v>
      </c>
      <c r="G678" s="11">
        <f t="shared" si="134"/>
        <v>0</v>
      </c>
      <c r="H678" s="198">
        <f t="shared" si="135"/>
        <v>-9.98475</v>
      </c>
      <c r="I678" s="11">
        <f t="shared" si="136"/>
        <v>0</v>
      </c>
      <c r="J678" s="11">
        <f t="shared" si="137"/>
        <v>-9.98475</v>
      </c>
    </row>
    <row r="679" spans="4:10" x14ac:dyDescent="0.35">
      <c r="D679" s="1" t="s">
        <v>272</v>
      </c>
      <c r="E679" s="11">
        <f t="shared" si="138"/>
        <v>0</v>
      </c>
      <c r="F679" s="11">
        <f t="shared" si="133"/>
        <v>0</v>
      </c>
      <c r="G679" s="11">
        <f t="shared" si="134"/>
        <v>0</v>
      </c>
      <c r="H679" s="198">
        <f t="shared" si="135"/>
        <v>0</v>
      </c>
      <c r="I679" s="11">
        <f t="shared" si="136"/>
        <v>0</v>
      </c>
      <c r="J679" s="11">
        <f t="shared" si="137"/>
        <v>0</v>
      </c>
    </row>
    <row r="680" spans="4:10" x14ac:dyDescent="0.35">
      <c r="D680" s="1" t="s">
        <v>273</v>
      </c>
      <c r="E680" s="11">
        <f t="shared" si="138"/>
        <v>0</v>
      </c>
      <c r="F680" s="11">
        <f t="shared" si="133"/>
        <v>0</v>
      </c>
      <c r="G680" s="11">
        <f t="shared" si="134"/>
        <v>0</v>
      </c>
      <c r="H680" s="198">
        <f t="shared" si="135"/>
        <v>0</v>
      </c>
      <c r="I680" s="11">
        <f t="shared" si="136"/>
        <v>0</v>
      </c>
      <c r="J680" s="11">
        <f t="shared" si="137"/>
        <v>0</v>
      </c>
    </row>
    <row r="681" spans="4:10" x14ac:dyDescent="0.35">
      <c r="D681" s="1" t="s">
        <v>274</v>
      </c>
      <c r="E681" s="11">
        <f t="shared" si="138"/>
        <v>26.271349999999998</v>
      </c>
      <c r="F681" s="11">
        <f t="shared" si="133"/>
        <v>-10.112399999999999</v>
      </c>
      <c r="G681" s="11">
        <f t="shared" si="134"/>
        <v>0</v>
      </c>
      <c r="H681" s="198">
        <f t="shared" si="135"/>
        <v>0</v>
      </c>
      <c r="I681" s="11">
        <f t="shared" si="136"/>
        <v>0</v>
      </c>
      <c r="J681" s="11">
        <f t="shared" si="137"/>
        <v>16.158949999999997</v>
      </c>
    </row>
    <row r="682" spans="4:10" hidden="1" x14ac:dyDescent="0.35">
      <c r="D682" s="1" t="s">
        <v>258</v>
      </c>
      <c r="E682" s="11">
        <f t="shared" si="138"/>
        <v>0</v>
      </c>
      <c r="F682" s="11">
        <f t="shared" si="133"/>
        <v>0</v>
      </c>
      <c r="G682" s="11">
        <f t="shared" si="134"/>
        <v>0</v>
      </c>
      <c r="H682" s="198">
        <f t="shared" si="135"/>
        <v>0</v>
      </c>
      <c r="I682" s="11">
        <f t="shared" si="136"/>
        <v>0</v>
      </c>
      <c r="J682" s="11">
        <f t="shared" si="137"/>
        <v>0</v>
      </c>
    </row>
    <row r="683" spans="4:10" x14ac:dyDescent="0.35">
      <c r="D683" s="1" t="s">
        <v>259</v>
      </c>
      <c r="E683" s="11">
        <f t="shared" si="138"/>
        <v>-570.53611999999998</v>
      </c>
      <c r="F683" s="11">
        <f t="shared" si="133"/>
        <v>-717.62929747199996</v>
      </c>
      <c r="G683" s="11">
        <f t="shared" si="134"/>
        <v>0</v>
      </c>
      <c r="H683" s="198">
        <f t="shared" si="135"/>
        <v>0</v>
      </c>
      <c r="I683" s="11">
        <f t="shared" si="136"/>
        <v>0</v>
      </c>
      <c r="J683" s="11">
        <f t="shared" si="137"/>
        <v>-1288.1654174719999</v>
      </c>
    </row>
    <row r="684" spans="4:10" hidden="1" x14ac:dyDescent="0.35">
      <c r="D684" s="1" t="s">
        <v>260</v>
      </c>
      <c r="E684" s="11">
        <f>K180</f>
        <v>0</v>
      </c>
      <c r="F684" s="11">
        <f t="shared" si="133"/>
        <v>0</v>
      </c>
      <c r="G684" s="11">
        <f t="shared" si="134"/>
        <v>0</v>
      </c>
      <c r="H684" s="198">
        <f t="shared" si="135"/>
        <v>0</v>
      </c>
      <c r="I684" s="11">
        <f t="shared" ref="I684:I685" si="139">$G584</f>
        <v>0</v>
      </c>
      <c r="J684" s="11">
        <f t="shared" si="137"/>
        <v>0</v>
      </c>
    </row>
    <row r="685" spans="4:10" x14ac:dyDescent="0.35">
      <c r="D685" s="1" t="s">
        <v>261</v>
      </c>
      <c r="E685" s="11">
        <f t="shared" si="138"/>
        <v>0</v>
      </c>
      <c r="F685" s="11">
        <f t="shared" si="133"/>
        <v>0</v>
      </c>
      <c r="G685" s="11">
        <f t="shared" si="134"/>
        <v>0</v>
      </c>
      <c r="H685" s="198">
        <f t="shared" si="135"/>
        <v>0</v>
      </c>
      <c r="I685" s="11">
        <f t="shared" si="139"/>
        <v>0</v>
      </c>
      <c r="J685" s="11">
        <f t="shared" si="137"/>
        <v>0</v>
      </c>
    </row>
    <row r="686" spans="4:10" x14ac:dyDescent="0.35">
      <c r="D686" s="1" t="s">
        <v>293</v>
      </c>
      <c r="E686" s="11">
        <v>0</v>
      </c>
      <c r="F686" s="11">
        <v>0</v>
      </c>
      <c r="G686" s="11">
        <v>0</v>
      </c>
      <c r="H686" s="198">
        <f t="shared" si="135"/>
        <v>0</v>
      </c>
      <c r="I686" s="11">
        <f>$G586</f>
        <v>0</v>
      </c>
      <c r="J686" s="11">
        <f t="shared" si="137"/>
        <v>0</v>
      </c>
    </row>
    <row r="687" spans="4:10" hidden="1" x14ac:dyDescent="0.35">
      <c r="D687" s="1" t="s">
        <v>294</v>
      </c>
      <c r="E687" s="11"/>
      <c r="F687" s="11"/>
      <c r="G687" s="11"/>
      <c r="H687" s="198">
        <f t="shared" si="135"/>
        <v>0</v>
      </c>
      <c r="I687" s="11"/>
      <c r="J687" s="11">
        <f t="shared" si="137"/>
        <v>0</v>
      </c>
    </row>
    <row r="688" spans="4:10" x14ac:dyDescent="0.35">
      <c r="D688" s="1" t="s">
        <v>10</v>
      </c>
      <c r="E688" s="11">
        <f t="shared" ref="E688:E689" si="140">K182</f>
        <v>-1.1641532182693482E-13</v>
      </c>
      <c r="F688" s="34">
        <f>I278*TC_MES</f>
        <v>0</v>
      </c>
      <c r="G688" s="34">
        <f>J375*TC_MES</f>
        <v>0</v>
      </c>
      <c r="H688" s="198">
        <f t="shared" si="135"/>
        <v>-255.3931</v>
      </c>
      <c r="I688" s="34">
        <f>G587</f>
        <v>0</v>
      </c>
      <c r="J688" s="34">
        <f t="shared" si="137"/>
        <v>-255.39310000000012</v>
      </c>
    </row>
    <row r="689" spans="4:10" x14ac:dyDescent="0.35">
      <c r="D689" s="26" t="s">
        <v>262</v>
      </c>
      <c r="E689" s="14">
        <f t="shared" si="140"/>
        <v>-655.81491000000005</v>
      </c>
      <c r="F689" s="20">
        <f>I279*TC_MES</f>
        <v>-911.93825448000007</v>
      </c>
      <c r="G689" s="20">
        <f>J376*TC_MES</f>
        <v>0</v>
      </c>
      <c r="H689" s="215">
        <f t="shared" si="135"/>
        <v>-799.78868</v>
      </c>
      <c r="I689" s="20">
        <f>G588</f>
        <v>0</v>
      </c>
      <c r="J689" s="20">
        <f>SUM(E689,F689,G689,H689,I689)</f>
        <v>-2367.5418444800002</v>
      </c>
    </row>
    <row r="690" spans="4:10" x14ac:dyDescent="0.35">
      <c r="D690" s="26" t="s">
        <v>291</v>
      </c>
      <c r="E690" s="20"/>
      <c r="F690" s="231"/>
      <c r="G690" s="14"/>
      <c r="H690" s="191">
        <f t="shared" si="135"/>
        <v>0</v>
      </c>
      <c r="I690" s="231"/>
      <c r="J690" s="20">
        <f>SUM(E690,F690,G690,H690,I690)</f>
        <v>0</v>
      </c>
    </row>
    <row r="691" spans="4:10" x14ac:dyDescent="0.35">
      <c r="D691" s="272"/>
      <c r="E691" s="25"/>
      <c r="F691" s="25"/>
      <c r="G691" s="40"/>
      <c r="H691" s="40"/>
      <c r="I691" s="25"/>
      <c r="J691" s="25"/>
    </row>
    <row r="692" spans="4:10" x14ac:dyDescent="0.35">
      <c r="D692" s="26" t="s">
        <v>263</v>
      </c>
      <c r="E692" s="14">
        <f t="shared" ref="E692:E694" si="141">K185</f>
        <v>1864.3548100000016</v>
      </c>
      <c r="F692" s="14">
        <f>I281*TC_MES</f>
        <v>-25128.476895528001</v>
      </c>
      <c r="G692" s="14">
        <f>J378*TC_MES</f>
        <v>-14737.495241879999</v>
      </c>
      <c r="H692" s="14">
        <f>J481</f>
        <v>5941.2300399999995</v>
      </c>
      <c r="I692" s="14">
        <f t="shared" ref="I692:I694" si="142">G590</f>
        <v>-1498.1109200000001</v>
      </c>
      <c r="J692" s="14">
        <f>SUM(E692,F692,G692,H692,I692)</f>
        <v>-33558.498207408004</v>
      </c>
    </row>
    <row r="693" spans="4:10" x14ac:dyDescent="0.35">
      <c r="D693" s="26" t="s">
        <v>275</v>
      </c>
      <c r="E693" s="20">
        <f t="shared" si="141"/>
        <v>17416.152710000002</v>
      </c>
      <c r="F693" s="14">
        <f>I282*TC_MES</f>
        <v>35637.264166463996</v>
      </c>
      <c r="G693" s="14">
        <f>J379*TC_MES</f>
        <v>16821.65481444</v>
      </c>
      <c r="H693" s="14">
        <f>J482</f>
        <v>49091.557459999989</v>
      </c>
      <c r="I693" s="14">
        <f t="shared" si="142"/>
        <v>12447.044980000001</v>
      </c>
      <c r="J693" s="14">
        <f>SUM(E693:I693)</f>
        <v>131413.67413090399</v>
      </c>
    </row>
    <row r="694" spans="4:10" x14ac:dyDescent="0.35">
      <c r="D694" s="26" t="s">
        <v>276</v>
      </c>
      <c r="E694" s="14">
        <f t="shared" si="141"/>
        <v>19280.507520000003</v>
      </c>
      <c r="F694" s="14">
        <f>I283*TC_MES</f>
        <v>10508.787270935998</v>
      </c>
      <c r="G694" s="14">
        <f>J380*TC_MES</f>
        <v>2084.1595725600005</v>
      </c>
      <c r="H694" s="14">
        <f>J483</f>
        <v>55032.787499999991</v>
      </c>
      <c r="I694" s="14">
        <f t="shared" si="142"/>
        <v>10948.93406</v>
      </c>
      <c r="J694" s="14">
        <f>J692+J693</f>
        <v>97855.17592349599</v>
      </c>
    </row>
  </sheetData>
  <pageMargins left="0.7" right="0.7" top="0.75" bottom="0.75" header="0.3" footer="0.3"/>
  <pageSetup scale="73" orientation="portrait" r:id="rId1"/>
  <rowBreaks count="1" manualBreakCount="1">
    <brk id="47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g"/>
  <dimension ref="B2:L57"/>
  <sheetViews>
    <sheetView showGridLines="0" zoomScale="80" zoomScaleNormal="80" workbookViewId="0">
      <selection activeCell="K8" sqref="K8"/>
    </sheetView>
  </sheetViews>
  <sheetFormatPr baseColWidth="10" defaultRowHeight="14.5" x14ac:dyDescent="0.35"/>
  <cols>
    <col min="2" max="2" width="30.81640625" customWidth="1"/>
    <col min="3" max="3" width="13.81640625" hidden="1" customWidth="1"/>
    <col min="4" max="4" width="14.54296875" customWidth="1"/>
    <col min="5" max="5" width="13.81640625" customWidth="1"/>
    <col min="6" max="6" width="12.54296875" customWidth="1"/>
    <col min="7" max="7" width="14" customWidth="1"/>
    <col min="8" max="8" width="12.54296875" customWidth="1"/>
    <col min="9" max="9" width="14.453125" customWidth="1"/>
  </cols>
  <sheetData>
    <row r="2" spans="2:9" x14ac:dyDescent="0.35">
      <c r="C2" s="234" t="s">
        <v>25</v>
      </c>
      <c r="D2" s="234" t="s">
        <v>26</v>
      </c>
      <c r="E2" s="234" t="s">
        <v>27</v>
      </c>
      <c r="F2" s="234" t="s">
        <v>28</v>
      </c>
      <c r="G2" s="234" t="s">
        <v>29</v>
      </c>
      <c r="H2" s="234" t="s">
        <v>30</v>
      </c>
      <c r="I2" s="234" t="s">
        <v>31</v>
      </c>
    </row>
    <row r="3" spans="2:9" x14ac:dyDescent="0.35">
      <c r="B3" s="222" t="s">
        <v>193</v>
      </c>
      <c r="C3" s="223"/>
      <c r="D3" s="223">
        <f>(BDBG!C2+BDBG!C56+BDBG!C110+BDBG!C164+BDBG!C218+BDBG!C272)/1000</f>
        <v>0</v>
      </c>
      <c r="E3" s="223">
        <f>(BDBG!C1137+BDBG!C1191+BDBG!C1353+BDBG!C1461)/1000</f>
        <v>0</v>
      </c>
      <c r="F3" s="223">
        <f>(BDBG!C1245+BDBG!C1299+BDBG!C1407+BDBG!C1515+BDBG!C1569)/1000</f>
        <v>0</v>
      </c>
      <c r="G3" s="223">
        <f>(BDBG!C704+BDBG!C758+BDBG!C813+BDBG!C867+BDBG!C921+BDBG!C975)/1000</f>
        <v>0</v>
      </c>
      <c r="H3" s="223">
        <f>(BDBG!C1029+BDBG!C1083)/1000</f>
        <v>0</v>
      </c>
      <c r="I3" s="223"/>
    </row>
    <row r="4" spans="2:9" x14ac:dyDescent="0.35">
      <c r="B4" s="224" t="s">
        <v>194</v>
      </c>
      <c r="C4" s="225"/>
      <c r="D4" s="225">
        <f>(BDBG!C3+BDBG!C57+BDBG!C111+BDBG!C165+BDBG!C219+BDBG!C273)/1000</f>
        <v>9963.7992099999992</v>
      </c>
      <c r="E4" s="225">
        <f>(BDBG!C1138+BDBG!C1192+BDBG!C1354+BDBG!C1462)*TC_MES/1000+BDBG!C1624*TC_MES/1000</f>
        <v>10617.347525400002</v>
      </c>
      <c r="F4" s="225">
        <f>(BDBG!C1246+BDBG!C1300+BDBG!C1408+BDBG!C1516+BDBG!C1570)*TC_MES/1000</f>
        <v>2084.1595725599996</v>
      </c>
      <c r="G4" s="225">
        <f>(BDBG!C705+BDBG!C759+BDBG!C814+BDBG!C868+BDBG!C922)/1000</f>
        <v>25026.435740000001</v>
      </c>
      <c r="H4" s="225">
        <f>(BDBG!C1030+BDBG!C1084)/1000</f>
        <v>10948.934059999998</v>
      </c>
      <c r="I4" s="225">
        <f>SUM(C4,D4,E4,F4,G4,H4)</f>
        <v>58640.676107959996</v>
      </c>
    </row>
    <row r="5" spans="2:9" x14ac:dyDescent="0.35">
      <c r="B5" s="224" t="s">
        <v>195</v>
      </c>
      <c r="C5" s="225"/>
      <c r="D5" s="225">
        <f>(BDBG!C4+BDBG!C58+BDBG!C112+BDBG!C166+BDBG!C220+BDBG!C274)/1000</f>
        <v>9316.70831</v>
      </c>
      <c r="E5" s="225">
        <f>(BDBG!C1139+BDBG!C1193+BDBG!C1355+BDBG!C1463)*TC_MES/1000+BDBG!C1625*TC_MES/1000</f>
        <v>0</v>
      </c>
      <c r="F5" s="225">
        <f>(BDBG!C1247+BDBG!C1301+BDBG!C1409+BDBG!C1517+BDBG!C1571)*TC_MES/1000</f>
        <v>0</v>
      </c>
      <c r="G5" s="225">
        <f>(BDBG!C706+BDBG!C760+BDBG!C815+BDBG!C869+BDBG!C923)/1000</f>
        <v>30006.351759999998</v>
      </c>
      <c r="H5" s="225">
        <f>(BDBG!C1031+BDBG!C1085)/1000</f>
        <v>0</v>
      </c>
      <c r="I5" s="225">
        <f t="shared" ref="I5:I28" si="0">SUM(C5,D5,E5,F5,G5,H5)</f>
        <v>39323.06007</v>
      </c>
    </row>
    <row r="6" spans="2:9" x14ac:dyDescent="0.35">
      <c r="B6" s="224" t="s">
        <v>196</v>
      </c>
      <c r="C6" s="225"/>
      <c r="D6" s="225">
        <f>(BDBG!C5+BDBG!C59+BDBG!C113+BDBG!C167+BDBG!C221+BDBG!C275)/1000</f>
        <v>28331.7984</v>
      </c>
      <c r="E6" s="225">
        <f>(BDBG!C1140+BDBG!C1194+BDBG!C1356+BDBG!C1464)*TC_MES/1000+BDBG!C1626*TC_MES/1000</f>
        <v>11072.582896896</v>
      </c>
      <c r="F6" s="225">
        <f>(BDBG!C1248+BDBG!C1302+BDBG!C1410+BDBG!C1518+BDBG!C1572)*TC_MES/1000</f>
        <v>795.84587999999985</v>
      </c>
      <c r="G6" s="225">
        <f>(BDBG!C707+BDBG!C761+BDBG!C816+BDBG!C870+BDBG!C924)/1000</f>
        <v>67003.26615000001</v>
      </c>
      <c r="H6" s="225">
        <f>(BDBG!C1032+BDBG!C1086)/1000</f>
        <v>196962.72443999999</v>
      </c>
      <c r="I6" s="225">
        <f t="shared" si="0"/>
        <v>304166.21776689601</v>
      </c>
    </row>
    <row r="7" spans="2:9" x14ac:dyDescent="0.35">
      <c r="B7" s="224" t="s">
        <v>197</v>
      </c>
      <c r="C7" s="225"/>
      <c r="D7" s="225">
        <f>(BDBG!C6+BDBG!C60+BDBG!C114+BDBG!C168+BDBG!C222+BDBG!C276)/1000</f>
        <v>100298.93304999998</v>
      </c>
      <c r="E7" s="225">
        <f>(BDBG!C1141+BDBG!C1195+BDBG!C1357+BDBG!C1465)*TC_MES/1000+BDBG!C1627*TC_MES/1000</f>
        <v>0</v>
      </c>
      <c r="F7" s="225">
        <f>(BDBG!C1249+BDBG!C1303+BDBG!C1411+BDBG!C1519+BDBG!C1573)*TC_MES/1000</f>
        <v>109670.63542235999</v>
      </c>
      <c r="G7" s="225">
        <f>(BDBG!C708+BDBG!C762+BDBG!C817+BDBG!C871+BDBG!C925)/1000</f>
        <v>91209.473809999996</v>
      </c>
      <c r="H7" s="225">
        <f>(BDBG!C1033+BDBG!C1087)/1000</f>
        <v>23901.587979999997</v>
      </c>
      <c r="I7" s="225">
        <f t="shared" si="0"/>
        <v>325080.63026235998</v>
      </c>
    </row>
    <row r="8" spans="2:9" x14ac:dyDescent="0.35">
      <c r="B8" s="224" t="s">
        <v>198</v>
      </c>
      <c r="C8" s="225"/>
      <c r="D8" s="225">
        <f>(BDBG!C7+BDBG!C61+BDBG!C115+BDBG!C169+BDBG!C223+BDBG!C277)/1000</f>
        <v>16868.210769999998</v>
      </c>
      <c r="E8" s="225">
        <f>(BDBG!C1142+BDBG!C1196+BDBG!C1358+BDBG!C1466)*TC_MES/1000+BDBG!C1628*TC_MES/1000</f>
        <v>2738.6108420400001</v>
      </c>
      <c r="F8" s="225">
        <f>(BDBG!C1250+BDBG!C1304+BDBG!C1412+BDBG!C1520+BDBG!C1574)*TC_MES/1000</f>
        <v>0</v>
      </c>
      <c r="G8" s="225">
        <f>(BDBG!C709+BDBG!C763+BDBG!C818+BDBG!C872+BDBG!C926)/1000</f>
        <v>33907.175280000003</v>
      </c>
      <c r="H8" s="225">
        <f>(BDBG!C1034+BDBG!C1088)/1000</f>
        <v>123423.02654000001</v>
      </c>
      <c r="I8" s="225">
        <f t="shared" si="0"/>
        <v>176937.02343204</v>
      </c>
    </row>
    <row r="9" spans="2:9" x14ac:dyDescent="0.35">
      <c r="B9" s="224" t="s">
        <v>199</v>
      </c>
      <c r="C9" s="225"/>
      <c r="D9" s="225">
        <f>(BDBG!C8+BDBG!C62+BDBG!C116+BDBG!C170+BDBG!C224+BDBG!C278)/1000</f>
        <v>17842.194159999999</v>
      </c>
      <c r="E9" s="225">
        <f>(BDBG!C1143+BDBG!C1197+BDBG!C1359+BDBG!C1467)*TC_MES/1000+BDBG!C1629*TC_MES/1000</f>
        <v>3709.3272192719992</v>
      </c>
      <c r="F9" s="225">
        <f>(BDBG!C1251+BDBG!C1305+BDBG!C1413+BDBG!C1521+BDBG!C1575)*TC_MES/1000</f>
        <v>1427.5553731199996</v>
      </c>
      <c r="G9" s="225">
        <f>(BDBG!C710+BDBG!C764+BDBG!C819+BDBG!C873+BDBG!C927)/1000</f>
        <v>6803.2797300000002</v>
      </c>
      <c r="H9" s="225">
        <f>(BDBG!C1035+BDBG!C1089)/1000</f>
        <v>4954.1363499999998</v>
      </c>
      <c r="I9" s="225">
        <f t="shared" si="0"/>
        <v>34736.492832391996</v>
      </c>
    </row>
    <row r="10" spans="2:9" x14ac:dyDescent="0.35">
      <c r="B10" s="224" t="s">
        <v>200</v>
      </c>
      <c r="C10" s="225"/>
      <c r="D10" s="225">
        <f>(BDBG!C9+BDBG!C63+BDBG!C117+BDBG!C171+BDBG!C225+BDBG!C279)/1000</f>
        <v>56703.854899999998</v>
      </c>
      <c r="E10" s="225">
        <f>(BDBG!C1144+BDBG!C1198+BDBG!C1360+BDBG!C1468)*TC_MES/1000+BDBG!C1630*TC_MES/1000</f>
        <v>2727.3011338800002</v>
      </c>
      <c r="F10" s="225">
        <f>(BDBG!C1252+BDBG!C1306+BDBG!C1414+BDBG!C1522+BDBG!C1576)*TC_MES/1000</f>
        <v>66679.013074535993</v>
      </c>
      <c r="G10" s="225">
        <f>(BDBG!C711+BDBG!C765+BDBG!C820+BDBG!C874+BDBG!C928)/1000</f>
        <v>26590.551479999998</v>
      </c>
      <c r="H10" s="225">
        <f>(BDBG!C1036+BDBG!C1090)/1000</f>
        <v>737.23463000000004</v>
      </c>
      <c r="I10" s="225">
        <f t="shared" si="0"/>
        <v>153437.95521841597</v>
      </c>
    </row>
    <row r="11" spans="2:9" x14ac:dyDescent="0.35">
      <c r="B11" s="226" t="s">
        <v>201</v>
      </c>
      <c r="C11" s="227"/>
      <c r="D11" s="227">
        <f t="shared" ref="D11" si="1">SUM(D4,D5,D6,D7,D8,D9,D10)</f>
        <v>239325.49879999997</v>
      </c>
      <c r="E11" s="227">
        <f>SUM(E4,E5,E6,E7,E8,E9,E10)</f>
        <v>30865.169617488002</v>
      </c>
      <c r="F11" s="227">
        <f t="shared" ref="F11:H11" si="2">SUM(F4,F5,F6,F7,F8,F9,F10)</f>
        <v>180657.209322576</v>
      </c>
      <c r="G11" s="227">
        <f t="shared" si="2"/>
        <v>280546.53395000001</v>
      </c>
      <c r="H11" s="227">
        <f t="shared" si="2"/>
        <v>360927.64399999997</v>
      </c>
      <c r="I11" s="227">
        <f>SUM(I4,I5,I6,I7,I8,I9,I10)</f>
        <v>1092322.0556900641</v>
      </c>
    </row>
    <row r="12" spans="2:9" x14ac:dyDescent="0.35">
      <c r="B12" s="226" t="s">
        <v>202</v>
      </c>
      <c r="C12" s="225"/>
      <c r="D12" s="225"/>
      <c r="E12" s="225"/>
      <c r="F12" s="225"/>
      <c r="G12" s="225"/>
      <c r="H12" s="225"/>
      <c r="I12" s="225"/>
    </row>
    <row r="13" spans="2:9" x14ac:dyDescent="0.35">
      <c r="B13" s="224" t="s">
        <v>203</v>
      </c>
      <c r="C13" s="225"/>
      <c r="D13" s="225">
        <f>(BDBG!C12+BDBG!C66+BDBG!C120+BDBG!C174+BDBG!C228+BDBG!C282)/1000</f>
        <v>36825.534530000004</v>
      </c>
      <c r="E13" s="225">
        <f>(BDBG!C1147+BDBG!C1201+BDBG!C1363+BDBG!C1471)*TC_MES/1000+BDBG!C1633*TC_MES/1000</f>
        <v>0</v>
      </c>
      <c r="F13" s="225">
        <f>(BDBG!C1255+BDBG!C1309+BDBG!C1417+BDBG!C1525+BDBG!C1579)*TC_MES/1000</f>
        <v>110504.88051213599</v>
      </c>
      <c r="G13" s="225">
        <f>(BDBG!C714+BDBG!C768+BDBG!C823+BDBG!C877+BDBG!C931)/1000</f>
        <v>19354.253649999999</v>
      </c>
      <c r="H13" s="225">
        <f>(BDBG!C1039+BDBG!C1093)/1000</f>
        <v>9566.747949999999</v>
      </c>
      <c r="I13" s="225">
        <f t="shared" si="0"/>
        <v>176251.41664213597</v>
      </c>
    </row>
    <row r="14" spans="2:9" x14ac:dyDescent="0.35">
      <c r="B14" s="224" t="s">
        <v>204</v>
      </c>
      <c r="C14" s="225"/>
      <c r="D14" s="225">
        <f>(BDBG!C13+BDBG!C67+BDBG!C121+BDBG!C175+BDBG!C229+BDBG!C283)/1000</f>
        <v>57166.355669999997</v>
      </c>
      <c r="E14" s="225">
        <f>(BDBG!C1148+BDBG!C1202+BDBG!C1364+BDBG!C1472)*TC_MES/1000+BDBG!C1634*TC_MES/1000</f>
        <v>12178.7880408</v>
      </c>
      <c r="F14" s="225">
        <f>(BDBG!C1256+BDBG!C1310+BDBG!C1418+BDBG!C1526+BDBG!C1580)*TC_MES/1000</f>
        <v>164745.80844127198</v>
      </c>
      <c r="G14" s="225">
        <f>(BDBG!C715+BDBG!C769+BDBG!C824+BDBG!C878+BDBG!C932)/1000</f>
        <v>84166.26341</v>
      </c>
      <c r="H14" s="225">
        <f>(BDBG!C1040+BDBG!C1094)/1000</f>
        <v>5283.6811100000004</v>
      </c>
      <c r="I14" s="225">
        <f t="shared" si="0"/>
        <v>323540.89667207201</v>
      </c>
    </row>
    <row r="15" spans="2:9" x14ac:dyDescent="0.35">
      <c r="B15" s="224" t="s">
        <v>205</v>
      </c>
      <c r="C15" s="225"/>
      <c r="D15" s="225">
        <f>(BDBG!C14+BDBG!C68+BDBG!C122+BDBG!C176+BDBG!C230+BDBG!C284)/1000</f>
        <v>7536.98308</v>
      </c>
      <c r="E15" s="225">
        <f>(BDBG!C1149+BDBG!C1203+BDBG!C1365+BDBG!C1473)*TC_MES/1000+BDBG!C1635*TC_MES/1000</f>
        <v>0</v>
      </c>
      <c r="F15" s="225">
        <f>(BDBG!C1257+BDBG!C1311+BDBG!C1419+BDBG!C1527+BDBG!C1581)*TC_MES/1000</f>
        <v>0</v>
      </c>
      <c r="G15" s="225">
        <f>(BDBG!C716+BDBG!C770+BDBG!C825+BDBG!C879+BDBG!C933)/1000</f>
        <v>7451.8496299999997</v>
      </c>
      <c r="H15" s="225">
        <f>(BDBG!C1041+BDBG!C1095)/1000</f>
        <v>278.74202000000002</v>
      </c>
      <c r="I15" s="225">
        <f t="shared" si="0"/>
        <v>15267.574729999998</v>
      </c>
    </row>
    <row r="16" spans="2:9" x14ac:dyDescent="0.35">
      <c r="B16" s="224" t="s">
        <v>206</v>
      </c>
      <c r="C16" s="225"/>
      <c r="D16" s="225">
        <f>(BDBG!C15+BDBG!C69+BDBG!C123+BDBG!C177+BDBG!C231+BDBG!C285)/1000</f>
        <v>30258.73936</v>
      </c>
      <c r="E16" s="225">
        <f>(BDBG!C1150+BDBG!C1204+BDBG!C1366+BDBG!C1474)*TC_MES/1000+BDBG!C1636*TC_MES/1000</f>
        <v>0</v>
      </c>
      <c r="F16" s="225">
        <f>(BDBG!C1258+BDBG!C1312+BDBG!C1420+BDBG!C1528+BDBG!C1582)*TC_MES/1000</f>
        <v>0</v>
      </c>
      <c r="G16" s="225">
        <f>(BDBG!C717+BDBG!C771+BDBG!C826+BDBG!C880+BDBG!C934)/1000</f>
        <v>24843.827819999999</v>
      </c>
      <c r="H16" s="225">
        <f>(BDBG!C1042+BDBG!C1096)/1000</f>
        <v>364.21827000000002</v>
      </c>
      <c r="I16" s="225">
        <f t="shared" si="0"/>
        <v>55466.785449999996</v>
      </c>
    </row>
    <row r="17" spans="2:12" x14ac:dyDescent="0.35">
      <c r="B17" s="224" t="s">
        <v>207</v>
      </c>
      <c r="C17" s="225"/>
      <c r="D17" s="225">
        <f>(BDBG!C16+BDBG!C70+BDBG!C124+BDBG!C178+BDBG!C232+BDBG!C286)/1000</f>
        <v>42157.572999999997</v>
      </c>
      <c r="E17" s="225">
        <f>(BDBG!C1151+BDBG!C1205+BDBG!C1367+BDBG!C1475)*TC_MES/1000+BDBG!C1637*TC_MES/1000</f>
        <v>0</v>
      </c>
      <c r="F17" s="225">
        <f>(BDBG!C1259+BDBG!C1313+BDBG!C1421+BDBG!C1529+BDBG!C1583)*TC_MES/1000</f>
        <v>0</v>
      </c>
      <c r="G17" s="225">
        <f>(BDBG!C718+BDBG!C772+BDBG!C827+BDBG!C881+BDBG!C935)/1000</f>
        <v>194631.06665000002</v>
      </c>
      <c r="H17" s="225">
        <f>(BDBG!C1043+BDBG!C1097)/1000</f>
        <v>2018.6876000000002</v>
      </c>
      <c r="I17" s="225">
        <f t="shared" si="0"/>
        <v>238807.32725000003</v>
      </c>
    </row>
    <row r="18" spans="2:12" x14ac:dyDescent="0.35">
      <c r="B18" s="224" t="s">
        <v>208</v>
      </c>
      <c r="C18" s="225"/>
      <c r="D18" s="225">
        <f>(BDBG!C17+BDBG!C71+BDBG!C125+BDBG!C179+BDBG!C233+BDBG!C287)/1000</f>
        <v>150667.24335000003</v>
      </c>
      <c r="E18" s="225">
        <f>(BDBG!C1152+BDBG!C1206+BDBG!C1368+BDBG!C1476)*TC_MES/1000+BDBG!C1638*TC_MES/1000</f>
        <v>54624.253821983999</v>
      </c>
      <c r="F18" s="225">
        <f>(BDBG!C1260+BDBG!C1314+BDBG!C1422+BDBG!C1530+BDBG!C1584)*TC_MES/1000</f>
        <v>17033.366200607998</v>
      </c>
      <c r="G18" s="225">
        <f>(BDBG!C719+BDBG!C773+BDBG!C828+BDBG!C882+BDBG!C936)/1000</f>
        <v>147018.29045</v>
      </c>
      <c r="H18" s="225">
        <f>(BDBG!C1044+BDBG!C1098)/1000</f>
        <v>2198.09564</v>
      </c>
      <c r="I18" s="225">
        <f t="shared" si="0"/>
        <v>371541.24946259201</v>
      </c>
      <c r="K18" t="s">
        <v>246</v>
      </c>
    </row>
    <row r="19" spans="2:12" x14ac:dyDescent="0.35">
      <c r="B19" s="224" t="s">
        <v>209</v>
      </c>
      <c r="C19" s="225"/>
      <c r="D19" s="225">
        <f>(BDBG!C18+BDBG!C72+BDBG!C126+BDBG!C180+BDBG!C234+BDBG!C288)/1000</f>
        <v>0</v>
      </c>
      <c r="E19" s="225">
        <f>(BDBG!C1153+BDBG!C1207+BDBG!C1369+BDBG!C1477)*TC_MES/1000+BDBG!C1639*TC_MES/1000</f>
        <v>27219.551933951996</v>
      </c>
      <c r="F19" s="225">
        <f>(BDBG!C1261+BDBG!C1315+BDBG!C1423+BDBG!C1531+BDBG!C1585)*TC_MES/1000</f>
        <v>1160.5599006479999</v>
      </c>
      <c r="G19" s="225">
        <f>(BDBG!C720+BDBG!C775+BDBG!C774+BDBG!C829+BDBG!C883+BDBG!C937)/1000</f>
        <v>15845.41272</v>
      </c>
      <c r="H19" s="225">
        <f>(BDBG!C1045+BDBG!C1099)/1000</f>
        <v>0</v>
      </c>
      <c r="I19" s="225">
        <f t="shared" si="0"/>
        <v>44225.524554599993</v>
      </c>
      <c r="K19" t="str">
        <f>BDBG!B774</f>
        <v xml:space="preserve">Tanques Estacionarios                   </v>
      </c>
      <c r="L19">
        <f>BDBG!A774</f>
        <v>175</v>
      </c>
    </row>
    <row r="20" spans="2:12" x14ac:dyDescent="0.35">
      <c r="B20" s="224" t="s">
        <v>210</v>
      </c>
      <c r="C20" s="225"/>
      <c r="D20" s="225">
        <f>(BDBG!C19+BDBG!C73+BDBG!C127+BDBG!C181+BDBG!C235+BDBG!C289)/1000</f>
        <v>-178355.99335</v>
      </c>
      <c r="E20" s="225">
        <f>(BDBG!C1154+BDBG!C1208+BDBG!C1370+BDBG!C1478)*TC_MES/1000+BDBG!C1640*TC_MES/1000</f>
        <v>-74495.004540623981</v>
      </c>
      <c r="F20" s="225">
        <f>(BDBG!C1262+BDBG!C1316+BDBG!C1424+BDBG!C1532+BDBG!C1586)*TC_MES/1000</f>
        <v>-60363.266732999997</v>
      </c>
      <c r="G20" s="225">
        <f>(BDBG!C721+BDBG!C776+BDBG!C830+BDBG!C884+BDBG!C938)/1000</f>
        <v>-228826.00309999997</v>
      </c>
      <c r="H20" s="225">
        <f>(BDBG!C1046+BDBG!C1100)/1000</f>
        <v>-3240.5734000000002</v>
      </c>
      <c r="I20" s="225">
        <f t="shared" si="0"/>
        <v>-545280.84112362389</v>
      </c>
    </row>
    <row r="21" spans="2:12" hidden="1" x14ac:dyDescent="0.35">
      <c r="B21" s="226" t="s">
        <v>211</v>
      </c>
      <c r="C21" s="227"/>
      <c r="D21" s="227">
        <f>(BDBG!C20+BDBG!C74+BDBG!C128+BDBG!C182+BDBG!C236+BDBG!C290)/1000</f>
        <v>146256.43563999998</v>
      </c>
      <c r="E21" s="227">
        <f>(BDBG!C1155+BDBG!C1209+BDBG!C1371+BDBG!C1479)*TC_MES/1000+BDBG!C1641*TC_MES/1000</f>
        <v>19527.589256112005</v>
      </c>
      <c r="F21" s="227">
        <f>(BDBG!C1263+BDBG!C1317+BDBG!C1425+BDBG!C1533+BDBG!C1587)*TC_MES/1000</f>
        <v>233081.34832166397</v>
      </c>
      <c r="G21" s="227">
        <f>(BDBG!C722+BDBG!C777+BDBG!C831+BDBG!C885+BDBG!C939+BDBG!C993)/1000</f>
        <v>298484.89705999999</v>
      </c>
      <c r="H21" s="227">
        <f>(BDBG!C1047+BDBG!C1101)/1000</f>
        <v>16469.599190000001</v>
      </c>
      <c r="I21" s="227">
        <f t="shared" si="0"/>
        <v>713819.86946777592</v>
      </c>
    </row>
    <row r="22" spans="2:12" hidden="1" x14ac:dyDescent="0.35">
      <c r="B22" s="226" t="s">
        <v>212</v>
      </c>
      <c r="C22" s="225"/>
      <c r="D22" s="225">
        <f>(BDBG!C21+BDBG!C75+BDBG!C129+BDBG!C183+BDBG!C237+BDBG!C291)/1000</f>
        <v>0</v>
      </c>
      <c r="E22" s="225">
        <f>(BDBG!C1156+BDBG!C1210+BDBG!C1372+BDBG!C1480)*TC_MES/1000</f>
        <v>0</v>
      </c>
      <c r="F22" s="225">
        <f>(BDBG!C1264+BDBG!C1318+BDBG!C1426+BDBG!C1534+BDBG!C1588)*TC_MES/1000</f>
        <v>0</v>
      </c>
      <c r="G22" s="225">
        <f>(BDBG!C723+BDBG!C778+BDBG!C832+BDBG!C886+BDBG!C940+BDBG!C994)/1000</f>
        <v>0</v>
      </c>
      <c r="H22" s="225">
        <f>(BDBG!C1048+BDBG!C1102)/1000</f>
        <v>0</v>
      </c>
      <c r="I22" s="225">
        <f t="shared" si="0"/>
        <v>0</v>
      </c>
    </row>
    <row r="23" spans="2:12" x14ac:dyDescent="0.35">
      <c r="B23" s="224" t="s">
        <v>213</v>
      </c>
      <c r="C23" s="225"/>
      <c r="D23" s="225">
        <f>(BDBG!C22+BDBG!C76+BDBG!C130+BDBG!C184+BDBG!C238+BDBG!C292)/1000</f>
        <v>31953.402159999998</v>
      </c>
      <c r="E23" s="225">
        <f>(BDBG!C1157+BDBG!C1211+BDBG!C1373+BDBG!C1481)*TC_MES/1000+BDBG!C1643*TC_MES/1000+(BDBG!C1158+BDBG!C1212+BDBG!C1374+BDBG!C1482)*TC_MES/1000+BDBG!C1644*TC_MES/1000</f>
        <v>97390.644302592002</v>
      </c>
      <c r="F23" s="225">
        <f>(BDBG!C1265+BDBG!C1319+BDBG!C1427+BDBG!C1535+BDBG!C1589)*TC_MES/1000+(BDBG!C1266+BDBG!C1320+BDBG!C1428+BDBG!C1536+BDBG!C1590)*TC_MES/1000</f>
        <v>-76582.074866399998</v>
      </c>
      <c r="G23" s="225">
        <f>(BDBG!C724+BDBG!C779+BDBG!C833+BDBG!C887+BDBG!C941)/1000</f>
        <v>818.08855000000005</v>
      </c>
      <c r="H23" s="225">
        <f>(BDBG!C1049+BDBG!C1103)/1000</f>
        <v>29.84384</v>
      </c>
      <c r="I23" s="225">
        <f t="shared" si="0"/>
        <v>53609.903986192003</v>
      </c>
    </row>
    <row r="24" spans="2:12" x14ac:dyDescent="0.35">
      <c r="B24" s="224" t="s">
        <v>214</v>
      </c>
      <c r="C24" s="225"/>
      <c r="D24" s="225">
        <f>(BDBG!C23+BDBG!C77+BDBG!C131+BDBG!C185+BDBG!C239+BDBG!C293)/1000</f>
        <v>65408.028559999999</v>
      </c>
      <c r="E24" s="225">
        <v>0</v>
      </c>
      <c r="F24" s="225">
        <v>0</v>
      </c>
      <c r="G24" s="225">
        <f>(BDBG!C725+BDBG!C780+BDBG!C834+BDBG!C888+BDBG!C942+BDBG!C996)/1000</f>
        <v>10518.70815</v>
      </c>
      <c r="H24" s="225">
        <f>(BDBG!C1050+BDBG!C1104)/1000</f>
        <v>35297.829619999997</v>
      </c>
      <c r="I24" s="225">
        <f t="shared" si="0"/>
        <v>111224.56633</v>
      </c>
    </row>
    <row r="25" spans="2:12" x14ac:dyDescent="0.35">
      <c r="B25" s="224" t="s">
        <v>215</v>
      </c>
      <c r="C25" s="225"/>
      <c r="D25" s="225">
        <f>(BDBG!C24+BDBG!C78+BDBG!C132+BDBG!C186+BDBG!C240+BDBG!C294)/1000</f>
        <v>-27687.358559999997</v>
      </c>
      <c r="E25" s="225">
        <f>(BDBG!C1159+BDBG!C1213+BDBG!C1375+BDBG!C1483)*TC_MES/1000+BDBG!C1645*TC_MES/1000</f>
        <v>-28964.670442488001</v>
      </c>
      <c r="F25" s="225">
        <f>(BDBG!C1267+BDBG!C1321+BDBG!C1429+BDBG!C1537+BDBG!C1591)*TC_MES/1000</f>
        <v>-1107.7891502399998</v>
      </c>
      <c r="G25" s="225">
        <f>(BDBG!C726+BDBG!C781+BDBG!C835+BDBG!C889+BDBG!C943)/1000</f>
        <v>0</v>
      </c>
      <c r="H25" s="225">
        <f>(BDBG!C1051+BDBG!C1105)/1000</f>
        <v>0</v>
      </c>
      <c r="I25" s="225">
        <f t="shared" si="0"/>
        <v>-57759.818152727996</v>
      </c>
    </row>
    <row r="26" spans="2:12" x14ac:dyDescent="0.35">
      <c r="B26" s="226" t="s">
        <v>216</v>
      </c>
      <c r="C26" s="228"/>
      <c r="D26" s="228">
        <f>(BDBG!C25+BDBG!C79+BDBG!C133+BDBG!C187+BDBG!C241+BDBG!C295)/1000</f>
        <v>69674.072160000011</v>
      </c>
      <c r="E26" s="228">
        <f>(BDBG!C1160+BDBG!C1214+BDBG!C1376+BDBG!C1484)*TC_MES/1000+BDBG!C1646*TC_MES/1000</f>
        <v>68425.973860104001</v>
      </c>
      <c r="F26" s="228">
        <f>(BDBG!C1268+BDBG!C1322+BDBG!C1430+BDBG!C1538+BDBG!C1592)*TC_MES/1000</f>
        <v>-77689.864016639985</v>
      </c>
      <c r="G26" s="228">
        <f>(BDBG!C727+BDBG!C782+BDBG!C836+BDBG!C890+BDBG!C944)/1000</f>
        <v>11336.796699999999</v>
      </c>
      <c r="H26" s="228">
        <f>(BDBG!C1052+BDBG!C1106)/1000</f>
        <v>35327.673459999998</v>
      </c>
      <c r="I26" s="228">
        <f t="shared" si="0"/>
        <v>107074.65216346402</v>
      </c>
    </row>
    <row r="27" spans="2:12" x14ac:dyDescent="0.35">
      <c r="B27" s="226" t="s">
        <v>217</v>
      </c>
      <c r="C27" s="225"/>
      <c r="D27" s="225"/>
      <c r="E27" s="225"/>
      <c r="F27" s="225"/>
      <c r="G27" s="225"/>
      <c r="H27" s="225"/>
      <c r="I27" s="225"/>
    </row>
    <row r="28" spans="2:12" x14ac:dyDescent="0.35">
      <c r="B28" s="224" t="s">
        <v>218</v>
      </c>
      <c r="C28" s="229"/>
      <c r="D28" s="229">
        <f>(BDBG!C27+BDBG!C81+BDBG!C135+BDBG!C189+BDBG!C243+BDBG!C297)/1000</f>
        <v>0</v>
      </c>
      <c r="E28" s="229">
        <f>(BDBG!C1162+BDBG!C1216+BDBG!C1378+BDBG!C1486)*TC_MES/1000+BDBG!C1648*TC_MES/1000</f>
        <v>8176.4524135439988</v>
      </c>
      <c r="F28" s="229">
        <f>(BDBG!C1270+BDBG!C1324+BDBG!C1432+BDBG!C1540+BDBG!C1594)*TC_MES/1000</f>
        <v>9919.5160823999995</v>
      </c>
      <c r="G28" s="229">
        <f>(BDBG!C729+BDBG!C784+BDBG!C838+BDBG!C892+BDBG!C946)/1000</f>
        <v>1182.1371900000001</v>
      </c>
      <c r="H28" s="229">
        <f>(BDBG!C1054+BDBG!C1108)/1000</f>
        <v>0</v>
      </c>
      <c r="I28" s="229">
        <f t="shared" si="0"/>
        <v>19278.105685944</v>
      </c>
    </row>
    <row r="29" spans="2:12" x14ac:dyDescent="0.35">
      <c r="B29" s="230" t="s">
        <v>219</v>
      </c>
      <c r="C29" s="227"/>
      <c r="D29" s="227">
        <f t="shared" ref="D29:H29" si="3">SUM(D13,D14,D15,D16,D17,D18,D19,D20,D23,D24,D25,D28)</f>
        <v>215930.50780000005</v>
      </c>
      <c r="E29" s="227">
        <f t="shared" si="3"/>
        <v>96130.015529760014</v>
      </c>
      <c r="F29" s="227">
        <f t="shared" si="3"/>
        <v>165311.00038742405</v>
      </c>
      <c r="G29" s="227">
        <f t="shared" si="3"/>
        <v>277003.89512</v>
      </c>
      <c r="H29" s="227">
        <f t="shared" si="3"/>
        <v>51797.272649999999</v>
      </c>
      <c r="I29" s="227">
        <f>SUM(I13,I14,I15,I16,I17,I18,I19,I20,I23,I24,I25,I28)</f>
        <v>806172.69148718403</v>
      </c>
    </row>
    <row r="30" spans="2:12" x14ac:dyDescent="0.35">
      <c r="B30" s="231" t="s">
        <v>220</v>
      </c>
      <c r="C30" s="232"/>
      <c r="D30" s="232">
        <f t="shared" ref="D30:I30" si="4">D11+D29</f>
        <v>455256.00660000002</v>
      </c>
      <c r="E30" s="232">
        <f t="shared" si="4"/>
        <v>126995.18514724802</v>
      </c>
      <c r="F30" s="232">
        <f t="shared" si="4"/>
        <v>345968.20971000008</v>
      </c>
      <c r="G30" s="232">
        <f t="shared" si="4"/>
        <v>557550.42907000007</v>
      </c>
      <c r="H30" s="232">
        <f t="shared" si="4"/>
        <v>412724.91664999997</v>
      </c>
      <c r="I30" s="232">
        <f t="shared" si="4"/>
        <v>1898494.7471772481</v>
      </c>
    </row>
    <row r="31" spans="2:12" ht="9.65" customHeight="1" x14ac:dyDescent="0.35">
      <c r="B31" s="26"/>
      <c r="C31" s="233"/>
      <c r="D31" s="233"/>
      <c r="E31" s="233"/>
      <c r="F31" s="233"/>
      <c r="G31" s="233"/>
      <c r="H31" s="233"/>
      <c r="I31" s="233"/>
    </row>
    <row r="32" spans="2:12" x14ac:dyDescent="0.35">
      <c r="B32" s="26"/>
      <c r="C32" s="234" t="s">
        <v>25</v>
      </c>
      <c r="D32" s="234" t="s">
        <v>26</v>
      </c>
      <c r="E32" s="234" t="s">
        <v>27</v>
      </c>
      <c r="F32" s="234" t="s">
        <v>28</v>
      </c>
      <c r="G32" s="234" t="s">
        <v>29</v>
      </c>
      <c r="H32" s="234" t="s">
        <v>30</v>
      </c>
      <c r="I32" s="234" t="s">
        <v>31</v>
      </c>
    </row>
    <row r="33" spans="2:9" x14ac:dyDescent="0.35">
      <c r="B33" s="222" t="s">
        <v>221</v>
      </c>
      <c r="C33" s="223"/>
      <c r="D33" s="223"/>
      <c r="E33" s="223"/>
      <c r="F33" s="223"/>
      <c r="G33" s="223"/>
      <c r="H33" s="223"/>
      <c r="I33" s="223"/>
    </row>
    <row r="34" spans="2:9" x14ac:dyDescent="0.35">
      <c r="B34" s="224" t="s">
        <v>222</v>
      </c>
      <c r="C34" s="225"/>
      <c r="D34" s="225">
        <f>(BDBG!C31+BDBG!C85+BDBG!C139+BDBG!C193+BDBG!C247+BDBG!C301)/1000</f>
        <v>-2574.6801299999997</v>
      </c>
      <c r="E34" s="225">
        <f>(BDBG!C1166+BDBG!C1220+BDBG!C1382+BDBG!C1490)*TC_MES/1000+BDBG!C1652*TC_MES/1000</f>
        <v>1874.282778</v>
      </c>
      <c r="F34" s="225">
        <f>(BDBG!C1274+BDBG!C1328+BDBG!C1436+BDBG!C1544+BDBG!C1598)*TC_MES/1000</f>
        <v>214.51494794399997</v>
      </c>
      <c r="G34" s="225">
        <f>(BDBG!C733+BDBG!C788+BDBG!C842+BDBG!C896+BDBG!C950)/1000</f>
        <v>69827.647810000009</v>
      </c>
      <c r="H34" s="225">
        <f>(BDBG!C1058+BDBG!C1112)/1000</f>
        <v>1400</v>
      </c>
      <c r="I34" s="225">
        <f t="shared" ref="I34:I57" si="5">SUM(C34,D34,E34,F34,G34,H34)</f>
        <v>70741.76540594401</v>
      </c>
    </row>
    <row r="35" spans="2:9" x14ac:dyDescent="0.35">
      <c r="B35" s="224" t="s">
        <v>223</v>
      </c>
      <c r="C35" s="225"/>
      <c r="D35" s="225">
        <f>(BDBG!C32+BDBG!C86+BDBG!C140+BDBG!C194+BDBG!C248+BDBG!C302)/1000</f>
        <v>165794.61246999996</v>
      </c>
      <c r="E35" s="225">
        <f>(BDBG!C1167+BDBG!C1221+BDBG!C1383+BDBG!C1491)*TC_MES/1000+BDBG!C1653*TC_MES/1000</f>
        <v>2202.9313285439998</v>
      </c>
      <c r="F35" s="225">
        <f>(BDBG!C1275+BDBG!C1329+BDBG!C1437+BDBG!C1545+BDBG!C1599)*TC_MES/1000</f>
        <v>24629.062066415994</v>
      </c>
      <c r="G35" s="225">
        <f>(BDBG!C734+BDBG!C789+BDBG!C843+BDBG!C897+BDBG!C951)/1000</f>
        <v>42704.158340000002</v>
      </c>
      <c r="H35" s="225">
        <f>(BDBG!C1059+BDBG!C1113)/1000</f>
        <v>10973.43175</v>
      </c>
      <c r="I35" s="225">
        <f t="shared" si="5"/>
        <v>246304.19595495993</v>
      </c>
    </row>
    <row r="36" spans="2:9" x14ac:dyDescent="0.35">
      <c r="B36" s="224" t="s">
        <v>224</v>
      </c>
      <c r="C36" s="225"/>
      <c r="D36" s="225">
        <f>(BDBG!C33+BDBG!C87+BDBG!C141+BDBG!C195+BDBG!C249+BDBG!C303)/1000</f>
        <v>0</v>
      </c>
      <c r="E36" s="225">
        <f>(BDBG!C1168+BDBG!C1222+BDBG!C1384+BDBG!C1492)*TC_MES/1000+BDBG!C1654*TC_MES/1000</f>
        <v>0</v>
      </c>
      <c r="F36" s="225">
        <f>(BDBG!C1276+BDBG!C1330+BDBG!C1438+BDBG!C1546+BDBG!C1600)*TC_MES/1000</f>
        <v>0</v>
      </c>
      <c r="G36" s="225">
        <f>(BDBG!C735+BDBG!C790+BDBG!C844+BDBG!C898+BDBG!C952)/1000</f>
        <v>4046.19686</v>
      </c>
      <c r="H36" s="225">
        <f>(BDBG!C1060+BDBG!C1114)/1000</f>
        <v>0</v>
      </c>
      <c r="I36" s="225">
        <f t="shared" si="5"/>
        <v>4046.19686</v>
      </c>
    </row>
    <row r="37" spans="2:9" x14ac:dyDescent="0.35">
      <c r="B37" s="224" t="s">
        <v>225</v>
      </c>
      <c r="C37" s="225"/>
      <c r="D37" s="225">
        <f>(BDBG!C34+BDBG!C88+BDBG!C142+BDBG!C196+BDBG!C250+BDBG!C304)/1000</f>
        <v>47863.198269999993</v>
      </c>
      <c r="E37" s="225">
        <f>(BDBG!C1169+BDBG!C1223+BDBG!C1385+BDBG!C1493)*TC_MES/1000+BDBG!C1655*TC_MES/1000</f>
        <v>5624.797397976</v>
      </c>
      <c r="F37" s="225">
        <f>(BDBG!C1277+BDBG!C1331+BDBG!C1439+BDBG!C1547+BDBG!C1601)*TC_MES/1000</f>
        <v>76842.032512967999</v>
      </c>
      <c r="G37" s="225">
        <f>(BDBG!C736+BDBG!C791+BDBG!C845+BDBG!C899+BDBG!C953)/1000</f>
        <v>29270.229039999998</v>
      </c>
      <c r="H37" s="225">
        <f>(BDBG!C1061+BDBG!C1115)/1000</f>
        <v>3599.0131799999999</v>
      </c>
      <c r="I37" s="225">
        <f t="shared" si="5"/>
        <v>163199.27040094399</v>
      </c>
    </row>
    <row r="38" spans="2:9" x14ac:dyDescent="0.35">
      <c r="B38" s="224" t="s">
        <v>226</v>
      </c>
      <c r="C38" s="225"/>
      <c r="D38" s="225">
        <f>(BDBG!C35+BDBG!C89+BDBG!C143+BDBG!C197+BDBG!C251+BDBG!C305)/1000</f>
        <v>0</v>
      </c>
      <c r="E38" s="225">
        <f>(BDBG!C1170+BDBG!C1224+BDBG!C1386+BDBG!C1494)*TC_MES/1000+BDBG!C1656*TC_MES/1000</f>
        <v>0</v>
      </c>
      <c r="F38" s="225">
        <f>(BDBG!C1278+BDBG!C1332+BDBG!C1440+BDBG!C1548+BDBG!C1602)*TC_MES/1000</f>
        <v>0</v>
      </c>
      <c r="G38" s="225">
        <f>(BDBG!C737+BDBG!C792+BDBG!C846+BDBG!C900+BDBG!C954)/1000</f>
        <v>0</v>
      </c>
      <c r="H38" s="225">
        <f>(BDBG!C1062+BDBG!C1116)/1000</f>
        <v>0</v>
      </c>
      <c r="I38" s="225">
        <f t="shared" si="5"/>
        <v>0</v>
      </c>
    </row>
    <row r="39" spans="2:9" x14ac:dyDescent="0.35">
      <c r="B39" s="226" t="s">
        <v>227</v>
      </c>
      <c r="C39" s="227"/>
      <c r="D39" s="227">
        <f t="shared" ref="D39:I39" si="6">SUM(D34,D35,D36,D37,D38)</f>
        <v>211083.13060999996</v>
      </c>
      <c r="E39" s="227">
        <f t="shared" si="6"/>
        <v>9702.01150452</v>
      </c>
      <c r="F39" s="227">
        <f t="shared" si="6"/>
        <v>101685.60952732799</v>
      </c>
      <c r="G39" s="227">
        <f t="shared" si="6"/>
        <v>145848.23205000002</v>
      </c>
      <c r="H39" s="227">
        <f t="shared" si="6"/>
        <v>15972.44493</v>
      </c>
      <c r="I39" s="227">
        <f t="shared" si="6"/>
        <v>484291.42862184794</v>
      </c>
    </row>
    <row r="40" spans="2:9" x14ac:dyDescent="0.35">
      <c r="B40" s="226" t="s">
        <v>228</v>
      </c>
      <c r="C40" s="225"/>
      <c r="D40" s="225">
        <f>(BDBG!C37+BDBG!C91+BDBG!C145+BDBG!C199+BDBG!C253+BDBG!C307)/1000</f>
        <v>0</v>
      </c>
      <c r="E40" s="225">
        <f>(BDBG!C1172+BDBG!C1226+BDBG!C1388+BDBG!C1496)*TC_MES/1000</f>
        <v>0</v>
      </c>
      <c r="F40" s="225">
        <f>(BDBG!C1280+BDBG!C1334+BDBG!C1442+BDBG!C1550+BDBG!C1604)*TC_MES/1000</f>
        <v>0</v>
      </c>
      <c r="G40" s="225">
        <f>(BDBG!C739+BDBG!C794+BDBG!C848+BDBG!C902+BDBG!C956)/1000</f>
        <v>0</v>
      </c>
      <c r="H40" s="225">
        <f>(BDBG!C1064+BDBG!C1118)/1000</f>
        <v>0</v>
      </c>
      <c r="I40" s="225">
        <f t="shared" si="5"/>
        <v>0</v>
      </c>
    </row>
    <row r="41" spans="2:9" x14ac:dyDescent="0.35">
      <c r="B41" s="224" t="s">
        <v>229</v>
      </c>
      <c r="C41" s="225"/>
      <c r="D41" s="225">
        <f>(BDBG!C38+BDBG!C92+BDBG!C146+BDBG!C200+BDBG!C254+BDBG!C308)/1000</f>
        <v>0</v>
      </c>
      <c r="E41" s="225"/>
      <c r="F41" s="225">
        <f>(BDBG!C1281+BDBG!C1335+BDBG!C1443+BDBG!C1551+BDBG!C1605)*TC_MES/1000</f>
        <v>26245.200553415994</v>
      </c>
      <c r="G41" s="225">
        <f>(BDBG!C740+BDBG!C795+BDBG!C849+BDBG!C903+BDBG!C957)/1000</f>
        <v>46.417919999999995</v>
      </c>
      <c r="H41" s="225">
        <f>(BDBG!C1065+BDBG!C1119)/1000</f>
        <v>0</v>
      </c>
      <c r="I41" s="225">
        <f t="shared" si="5"/>
        <v>26291.618473415994</v>
      </c>
    </row>
    <row r="42" spans="2:9" x14ac:dyDescent="0.35">
      <c r="B42" s="224" t="s">
        <v>230</v>
      </c>
      <c r="C42" s="225"/>
      <c r="D42" s="225">
        <f>(BDBG!C39+BDBG!C93+BDBG!C147+BDBG!C201+BDBG!C255+BDBG!C309)/1000</f>
        <v>22972.752960000002</v>
      </c>
      <c r="E42" s="225">
        <f>(BDBG!C1174+BDBG!C1228+BDBG!C1390+BDBG!C1498)*TC_MES/1000+BDBG!C1660*TC_MES/1000</f>
        <v>9758.4660000000003</v>
      </c>
      <c r="F42" s="225">
        <f>(BDBG!C1282+BDBG!C1336+BDBG!C1444+BDBG!C1552+BDBG!C1606)*TC_MES/1000</f>
        <v>99073.242089136009</v>
      </c>
      <c r="G42" s="225">
        <f>(BDBG!C741+BDBG!C796+BDBG!C850+BDBG!C904+BDBG!C958)/1000</f>
        <v>53975.556039999996</v>
      </c>
      <c r="H42" s="225">
        <f>(BDBG!C1066+BDBG!C1120)/1000</f>
        <v>0</v>
      </c>
      <c r="I42" s="225">
        <f t="shared" si="5"/>
        <v>185780.017089136</v>
      </c>
    </row>
    <row r="43" spans="2:9" x14ac:dyDescent="0.35">
      <c r="B43" s="224" t="s">
        <v>231</v>
      </c>
      <c r="C43" s="225"/>
      <c r="D43" s="225">
        <f>(BDBG!C40+BDBG!C94+BDBG!C148+BDBG!C202+BDBG!C256+BDBG!C310)/1000</f>
        <v>199.64112999999998</v>
      </c>
      <c r="E43" s="225">
        <f>(BDBG!C1175+ BDBG!C1173+BDBG!C1229+ BDBG!C1227+BDBG!C1391+ BDBG!C1389+BDBG!C1499+ BDBG!C1497)*TC_MES/1000+(BDBG!C1659+BDBG!C1661)*TC_MES/1000</f>
        <v>311546.77072142396</v>
      </c>
      <c r="F43" s="225">
        <f>(BDBG!C1283+BDBG!C1281+BDBG!C1337+BDBG!C1335+BDBG!C1445+BDBG!C1443+BDBG!C1553+BDBG!C1551+BDBG!C1607+BDBG!C1605)*TC_MES/1000</f>
        <v>26245.200553415994</v>
      </c>
      <c r="G43" s="225">
        <f>(BDBG!C742+BDBG!C797+BDBG!C851+BDBG!C905+BDBG!C959)/1000</f>
        <v>246.57281</v>
      </c>
      <c r="H43" s="225">
        <f>(BDBG!C1067+BDBG!C1121)/1000</f>
        <v>0</v>
      </c>
      <c r="I43" s="225">
        <f t="shared" si="5"/>
        <v>338238.18521483993</v>
      </c>
    </row>
    <row r="44" spans="2:9" hidden="1" x14ac:dyDescent="0.35">
      <c r="B44" s="226" t="s">
        <v>232</v>
      </c>
      <c r="C44" s="227"/>
      <c r="D44" s="227">
        <f>(BDBG!C41+BDBG!C95+BDBG!C149+BDBG!C203+BDBG!C257+BDBG!C311)/1000</f>
        <v>23172.394090000002</v>
      </c>
      <c r="E44" s="227">
        <f>(BDBG!C1176+BDBG!C1230+BDBG!C1392+BDBG!C1500)*TC_MES/1000+BDBG!C1662*TC_MES/1000</f>
        <v>321305.23672142392</v>
      </c>
      <c r="F44" s="227">
        <f>(BDBG!C1284+BDBG!C1338+BDBG!C1446+BDBG!C1554+BDBG!C1608)*TC_MES/1000</f>
        <v>125318.44264255199</v>
      </c>
      <c r="G44" s="227">
        <f>BDBG!C743+BDBG!C798+BDBG!C852+BDBG!C906+BDBG!C960+BDBG!C1014</f>
        <v>54268546.770000003</v>
      </c>
      <c r="H44" s="227">
        <f>(BDBG!C1068+BDBG!C1122)/1000</f>
        <v>0</v>
      </c>
      <c r="I44" s="227">
        <f t="shared" si="5"/>
        <v>54738342.843453981</v>
      </c>
    </row>
    <row r="45" spans="2:9" hidden="1" x14ac:dyDescent="0.35">
      <c r="B45" s="226" t="s">
        <v>233</v>
      </c>
      <c r="C45" s="225"/>
      <c r="D45" s="225">
        <f>(BDBG!C42+BDBG!C96+BDBG!C150+BDBG!C204+BDBG!C258+BDBG!C312)/1000</f>
        <v>0</v>
      </c>
      <c r="E45" s="225">
        <f>(BDBG!C1177+BDBG!C1231+BDBG!C1393+BDBG!C1501)*TC_MES/1000+BDBG!C1663*TC_MES/1000</f>
        <v>0</v>
      </c>
      <c r="F45" s="225">
        <f>(BDBG!C1285+BDBG!C1339+BDBG!C1447+BDBG!C1555+BDBG!C1609)*TC_MES/1000</f>
        <v>0</v>
      </c>
      <c r="G45" s="225">
        <f>BDBG!C744+BDBG!C799+BDBG!C853+BDBG!C907+BDBG!C961+BDBG!C1015</f>
        <v>0</v>
      </c>
      <c r="H45" s="225">
        <f>(BDBG!C1069+BDBG!C1123)/1000</f>
        <v>0</v>
      </c>
      <c r="I45" s="225">
        <f t="shared" si="5"/>
        <v>0</v>
      </c>
    </row>
    <row r="46" spans="2:9" x14ac:dyDescent="0.35">
      <c r="B46" s="224" t="s">
        <v>234</v>
      </c>
      <c r="C46" s="225"/>
      <c r="D46" s="225">
        <f>(BDBG!C43+BDBG!C97+BDBG!C151+BDBG!C205+BDBG!C259+BDBG!C313)/1000</f>
        <v>0</v>
      </c>
      <c r="E46" s="225">
        <f>(BDBG!C1178+BDBG!C1232+BDBG!C1394+BDBG!C1502)*TC_MES/1000+BDBG!C1664*TC_MES/1000</f>
        <v>0</v>
      </c>
      <c r="F46" s="225">
        <f>(BDBG!C1286+BDBG!C1340+BDBG!C1448+BDBG!C1556+BDBG!C1610)*TC_MES/1000</f>
        <v>0</v>
      </c>
      <c r="G46" s="225">
        <f>(BDBG!C745+BDBG!C800+BDBG!C854+BDBG!C908+BDBG!C962)/1000</f>
        <v>0</v>
      </c>
      <c r="H46" s="225">
        <f>(BDBG!C1070+BDBG!C1124)/1000</f>
        <v>61671.976849999999</v>
      </c>
      <c r="I46" s="225">
        <f t="shared" si="5"/>
        <v>61671.976849999999</v>
      </c>
    </row>
    <row r="47" spans="2:9" x14ac:dyDescent="0.35">
      <c r="B47" s="226" t="s">
        <v>235</v>
      </c>
      <c r="C47" s="227"/>
      <c r="D47" s="227">
        <f t="shared" ref="D47:I47" si="7">SUM(D41,D42,D43,D46)</f>
        <v>23172.394090000002</v>
      </c>
      <c r="E47" s="227">
        <f t="shared" si="7"/>
        <v>321305.23672142398</v>
      </c>
      <c r="F47" s="227">
        <f t="shared" si="7"/>
        <v>151563.643195968</v>
      </c>
      <c r="G47" s="227">
        <f t="shared" si="7"/>
        <v>54268.546769999994</v>
      </c>
      <c r="H47" s="227">
        <f t="shared" si="7"/>
        <v>61671.976849999999</v>
      </c>
      <c r="I47" s="227">
        <f t="shared" si="7"/>
        <v>611981.79762739188</v>
      </c>
    </row>
    <row r="48" spans="2:9" x14ac:dyDescent="0.35">
      <c r="B48" s="226" t="s">
        <v>236</v>
      </c>
      <c r="C48" s="225"/>
      <c r="D48" s="225"/>
      <c r="E48" s="225"/>
      <c r="F48" s="225"/>
      <c r="G48" s="225"/>
      <c r="H48" s="225"/>
      <c r="I48" s="225"/>
    </row>
    <row r="49" spans="2:9" x14ac:dyDescent="0.35">
      <c r="B49" s="224" t="s">
        <v>237</v>
      </c>
      <c r="C49" s="225"/>
      <c r="D49" s="225">
        <f>(BDBG!C46+BDBG!C100+BDBG!C154+BDBG!C208+BDBG!C262+BDBG!C316)/1000</f>
        <v>93696.804669999998</v>
      </c>
      <c r="E49" s="225">
        <f>(BDBG!C1181+BDBG!C1235+BDBG!C1397+BDBG!C1505)*TC_MES/1000+BDBG!C1667*TC_MES/1000</f>
        <v>121.34879999999998</v>
      </c>
      <c r="F49" s="225">
        <f>(BDBG!C1289+BDBG!C1343+BDBG!C1451+BDBG!C1559+BDBG!C1613)*TC_MES/1000</f>
        <v>43237.528814591999</v>
      </c>
      <c r="G49" s="225">
        <f>(BDBG!C748+BDBG!C803+BDBG!C857+BDBG!C911+BDBG!C965)/1000</f>
        <v>139723.71555000002</v>
      </c>
      <c r="H49" s="225">
        <f>(BDBG!C1073+BDBG!C1127)/1000</f>
        <v>52378.383580000002</v>
      </c>
      <c r="I49" s="225">
        <f t="shared" si="5"/>
        <v>329157.78141459206</v>
      </c>
    </row>
    <row r="50" spans="2:9" x14ac:dyDescent="0.35">
      <c r="B50" s="224" t="s">
        <v>238</v>
      </c>
      <c r="C50" s="225"/>
      <c r="D50" s="225">
        <f>(BDBG!C47+BDBG!C101+BDBG!C155+BDBG!C209+BDBG!C263+BDBG!C317)/1000</f>
        <v>1677.8700699999999</v>
      </c>
      <c r="E50" s="225">
        <f>(BDBG!C1182+BDBG!C1236+BDBG!C1398+BDBG!C1506)*TC_MES/1000+BDBG!C1668*TC_MES/1000</f>
        <v>0</v>
      </c>
      <c r="F50" s="225">
        <f>(BDBG!C1290+BDBG!C1344+BDBG!C1452+BDBG!C1560+BDBG!C1614)*TC_MES/1000</f>
        <v>0</v>
      </c>
      <c r="G50" s="225">
        <f>(BDBG!C749+BDBG!C804+BDBG!C858+BDBG!C912+BDBG!C966)/1000</f>
        <v>9050.2777099999985</v>
      </c>
      <c r="H50" s="225">
        <f>(BDBG!C1074+BDBG!C1128)/1000</f>
        <v>1426.49575</v>
      </c>
      <c r="I50" s="225">
        <f t="shared" si="5"/>
        <v>12154.643529999999</v>
      </c>
    </row>
    <row r="51" spans="2:9" x14ac:dyDescent="0.35">
      <c r="B51" s="224" t="s">
        <v>239</v>
      </c>
      <c r="C51" s="225"/>
      <c r="D51" s="225">
        <f>(BDBG!C48+BDBG!C102+BDBG!C156+BDBG!C210+BDBG!C264+BDBG!C318)/1000</f>
        <v>138403.66785</v>
      </c>
      <c r="E51" s="225">
        <f>(BDBG!C1183+BDBG!C1237+BDBG!C1399+BDBG!C1507)*TC_MES/1000+BDBG!C1669*TC_MES/1000</f>
        <v>-287003.93223585596</v>
      </c>
      <c r="F51" s="225">
        <f>(BDBG!C1291+BDBG!C1345+BDBG!C1453+BDBG!C1561+BDBG!C1615)*TC_MES/1000</f>
        <v>71750.952013896007</v>
      </c>
      <c r="G51" s="225">
        <f>(BDBG!C750+BDBG!C805+BDBG!C859+BDBG!C913+BDBG!C967)/1000</f>
        <v>188550.44254000002</v>
      </c>
      <c r="H51" s="225">
        <f>(BDBG!C1075+BDBG!C1129)/1000</f>
        <v>278779.00586999999</v>
      </c>
      <c r="I51" s="225">
        <f t="shared" si="5"/>
        <v>390480.13603804004</v>
      </c>
    </row>
    <row r="52" spans="2:9" x14ac:dyDescent="0.35">
      <c r="B52" s="224" t="s">
        <v>240</v>
      </c>
      <c r="C52" s="225"/>
      <c r="D52" s="225">
        <f>(BDBG!C49+BDBG!C103+BDBG!C157+BDBG!C211+BDBG!C265+BDBG!C319)/1000</f>
        <v>4029.7208099999998</v>
      </c>
      <c r="E52" s="225">
        <f>(BDBG!C1184+BDBG!C1238+BDBG!C1400+BDBG!C1508)*TC_MES/1000+BDBG!C1670*TC_MES/1000</f>
        <v>2006.7637124159999</v>
      </c>
      <c r="F52" s="225">
        <f>(BDBG!C1292+BDBG!C1346+BDBG!C1454+BDBG!C1562+BDBG!C1616)*TC_MES/1000</f>
        <v>798.22027151999998</v>
      </c>
      <c r="G52" s="225">
        <f>(BDBG!C751+BDBG!C806+BDBG!C860+BDBG!C914+BDBG!C968)/1000</f>
        <v>6741.6054399999994</v>
      </c>
      <c r="H52" s="225">
        <f>(BDBG!C1076+BDBG!C1130)/1000</f>
        <v>2537.70181</v>
      </c>
      <c r="I52" s="225">
        <f t="shared" si="5"/>
        <v>16114.012043936</v>
      </c>
    </row>
    <row r="53" spans="2:9" x14ac:dyDescent="0.35">
      <c r="B53" s="224" t="s">
        <v>241</v>
      </c>
      <c r="C53" s="225"/>
      <c r="D53" s="225">
        <f>(BDBG!C50+BDBG!C104+BDBG!C158+BDBG!C212+BDBG!C266+BDBG!C320)/1000</f>
        <v>-16628.71142</v>
      </c>
      <c r="E53" s="225">
        <f>(BDBG!C1185+BDBG!C1239+BDBG!C1401+BDBG!C1509)*TC_MES/1000+BDBG!C1671*TC_MES/1000</f>
        <v>80863.756644744004</v>
      </c>
      <c r="F53" s="225">
        <f>(BDBG!C1293+BDBG!C1347+BDBG!C1455+BDBG!C1563+BDBG!C1617)*TC_MES/1000</f>
        <v>3177.4564401120024</v>
      </c>
      <c r="G53" s="225">
        <f>(BDBG!C752+BDBG!C807+BDBG!C861+BDBG!C915+BDBG!C969)/1000</f>
        <v>13367.60901</v>
      </c>
      <c r="H53" s="225">
        <f>(BDBG!C1077+BDBG!C1131)/1000</f>
        <v>-41.092140000000001</v>
      </c>
      <c r="I53" s="225">
        <f t="shared" si="5"/>
        <v>80739.018534856019</v>
      </c>
    </row>
    <row r="54" spans="2:9" x14ac:dyDescent="0.35">
      <c r="B54" s="224" t="s">
        <v>242</v>
      </c>
      <c r="C54" s="225"/>
      <c r="D54" s="225">
        <f>(BDBG!C51+BDBG!C105+BDBG!C159+BDBG!C213+BDBG!C267+BDBG!C321)/1000</f>
        <v>-178.87007999999997</v>
      </c>
      <c r="E54" s="225">
        <f>(BDBG!C1186+BDBG!C1240+BDBG!C1402+BDBG!C1510)*TC_MES/1000+BDBG!C1672*TC_MES/1000</f>
        <v>0</v>
      </c>
      <c r="F54" s="225">
        <f>(BDBG!C1294+BDBG!C1348+BDBG!C1456+BDBG!C1564+BDBG!C1618)*TC_MES/1000</f>
        <v>0</v>
      </c>
      <c r="G54" s="225">
        <f>(BDBG!C753+BDBG!C808+BDBG!C862+BDBG!C916+BDBG!C970)/1000</f>
        <v>0</v>
      </c>
      <c r="H54" s="225">
        <f>(BDBG!C1078+BDBG!C1132)/1000</f>
        <v>0</v>
      </c>
      <c r="I54" s="225">
        <f t="shared" si="5"/>
        <v>-178.87007999999997</v>
      </c>
    </row>
    <row r="55" spans="2:9" x14ac:dyDescent="0.35">
      <c r="B55" s="230" t="s">
        <v>243</v>
      </c>
      <c r="C55" s="232"/>
      <c r="D55" s="232">
        <f t="shared" ref="D55:I55" si="8">SUM(D49,D50,D51,D52,D53,D54)</f>
        <v>221000.48190000001</v>
      </c>
      <c r="E55" s="232">
        <f t="shared" si="8"/>
        <v>-204012.06307869597</v>
      </c>
      <c r="F55" s="232">
        <f t="shared" si="8"/>
        <v>118964.15754012001</v>
      </c>
      <c r="G55" s="232">
        <f t="shared" si="8"/>
        <v>357433.65025000006</v>
      </c>
      <c r="H55" s="232">
        <f t="shared" si="8"/>
        <v>335080.49486999999</v>
      </c>
      <c r="I55" s="232">
        <f t="shared" si="8"/>
        <v>828466.72148142406</v>
      </c>
    </row>
    <row r="56" spans="2:9" x14ac:dyDescent="0.35">
      <c r="B56" s="26" t="s">
        <v>244</v>
      </c>
      <c r="C56" s="233"/>
      <c r="D56" s="233">
        <f t="shared" ref="D56:I56" si="9">D39+D47+D55</f>
        <v>455256.00659999996</v>
      </c>
      <c r="E56" s="233">
        <f t="shared" si="9"/>
        <v>126995.18514724803</v>
      </c>
      <c r="F56" s="233">
        <f t="shared" si="9"/>
        <v>372213.41026341601</v>
      </c>
      <c r="G56" s="233">
        <f t="shared" si="9"/>
        <v>557550.42907000007</v>
      </c>
      <c r="H56" s="233">
        <f t="shared" si="9"/>
        <v>412724.91665000003</v>
      </c>
      <c r="I56" s="233">
        <f t="shared" si="9"/>
        <v>1924739.9477306639</v>
      </c>
    </row>
    <row r="57" spans="2:9" x14ac:dyDescent="0.35">
      <c r="B57" s="1" t="s">
        <v>245</v>
      </c>
      <c r="D57">
        <f>(BDBG!C54+BDBG!C108+BDBG!C162+BDBG!C216+BDBG!C270+BDBG!C324)/1000</f>
        <v>0</v>
      </c>
      <c r="E57">
        <f>(BDBG!C1189+BDBG!C1243+BDBG!C1405+BDBG!C1513)*TC_MES/1000</f>
        <v>0</v>
      </c>
      <c r="F57">
        <f>(BDBG!C1297+BDBG!C1351+BDBG!C1459+BDBG!C1567+BDBG!C1621)*TC_MES/1000</f>
        <v>0</v>
      </c>
      <c r="G57">
        <f>BDBG!C756+BDBG!C811+BDBG!C865+BDBG!C919+BDBG!C973+BDBG!C1027</f>
        <v>0</v>
      </c>
      <c r="H57">
        <f>(BDBG!C1081+BDBG!C1135)/1000</f>
        <v>0</v>
      </c>
      <c r="I57">
        <f t="shared" si="5"/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DER_sig"/>
  <dimension ref="A1:AS688"/>
  <sheetViews>
    <sheetView topLeftCell="A4" workbookViewId="0">
      <selection sqref="A1:E688"/>
    </sheetView>
  </sheetViews>
  <sheetFormatPr baseColWidth="10" defaultColWidth="8.7265625" defaultRowHeight="14.5" x14ac:dyDescent="0.35"/>
  <cols>
    <col min="1" max="1" width="16.81640625" style="295" bestFit="1" customWidth="1"/>
    <col min="2" max="16384" width="8.7265625" style="295"/>
  </cols>
  <sheetData>
    <row r="1" spans="1:45" x14ac:dyDescent="0.35">
      <c r="A1" t="s">
        <v>415</v>
      </c>
      <c r="B1" t="s">
        <v>416</v>
      </c>
      <c r="C1" t="s">
        <v>419</v>
      </c>
      <c r="D1" t="s">
        <v>425</v>
      </c>
      <c r="E1" t="s">
        <v>121</v>
      </c>
    </row>
    <row r="2" spans="1:45" x14ac:dyDescent="0.35">
      <c r="A2">
        <v>30</v>
      </c>
      <c r="B2" t="s">
        <v>427</v>
      </c>
      <c r="C2">
        <v>25567297.98</v>
      </c>
      <c r="D2">
        <v>0</v>
      </c>
      <c r="E2" t="s">
        <v>725</v>
      </c>
    </row>
    <row r="3" spans="1:45" x14ac:dyDescent="0.35">
      <c r="A3">
        <v>40</v>
      </c>
      <c r="B3" t="s">
        <v>429</v>
      </c>
      <c r="C3">
        <v>0</v>
      </c>
      <c r="D3">
        <v>0</v>
      </c>
      <c r="E3" t="s">
        <v>725</v>
      </c>
    </row>
    <row r="4" spans="1:45" x14ac:dyDescent="0.35">
      <c r="A4">
        <v>50</v>
      </c>
      <c r="B4" t="s">
        <v>430</v>
      </c>
      <c r="C4">
        <v>25567297.98</v>
      </c>
      <c r="D4">
        <v>0</v>
      </c>
      <c r="E4" t="s">
        <v>725</v>
      </c>
      <c r="AS4" s="295" t="e">
        <f>BDER_sig!D</f>
        <v>#NAME?</v>
      </c>
    </row>
    <row r="5" spans="1:45" x14ac:dyDescent="0.35">
      <c r="A5">
        <v>60</v>
      </c>
      <c r="B5" t="s">
        <v>431</v>
      </c>
      <c r="C5">
        <v>9164790.3699999992</v>
      </c>
      <c r="D5">
        <v>0</v>
      </c>
      <c r="E5" t="s">
        <v>725</v>
      </c>
    </row>
    <row r="6" spans="1:45" x14ac:dyDescent="0.35">
      <c r="A6">
        <v>70</v>
      </c>
      <c r="B6" t="s">
        <v>432</v>
      </c>
      <c r="C6">
        <v>16402507.609999999</v>
      </c>
      <c r="D6">
        <v>0</v>
      </c>
      <c r="E6" t="s">
        <v>725</v>
      </c>
    </row>
    <row r="7" spans="1:45" x14ac:dyDescent="0.35">
      <c r="A7">
        <v>80</v>
      </c>
      <c r="B7" t="s">
        <v>433</v>
      </c>
      <c r="C7">
        <v>11019285.810000001</v>
      </c>
      <c r="D7">
        <v>0</v>
      </c>
      <c r="E7" t="s">
        <v>725</v>
      </c>
    </row>
    <row r="8" spans="1:45" x14ac:dyDescent="0.35">
      <c r="A8">
        <v>90</v>
      </c>
      <c r="B8" t="s">
        <v>434</v>
      </c>
      <c r="C8">
        <v>2825774.7</v>
      </c>
      <c r="D8">
        <v>0</v>
      </c>
      <c r="E8" t="s">
        <v>725</v>
      </c>
    </row>
    <row r="9" spans="1:45" x14ac:dyDescent="0.35">
      <c r="A9">
        <v>100</v>
      </c>
      <c r="B9" t="s">
        <v>435</v>
      </c>
      <c r="C9">
        <v>679514.94</v>
      </c>
      <c r="D9">
        <v>0</v>
      </c>
      <c r="E9" t="s">
        <v>725</v>
      </c>
    </row>
    <row r="10" spans="1:45" x14ac:dyDescent="0.35">
      <c r="A10">
        <v>110</v>
      </c>
      <c r="B10" t="s">
        <v>436</v>
      </c>
      <c r="C10">
        <v>14524575.449999999</v>
      </c>
      <c r="D10">
        <v>0</v>
      </c>
      <c r="E10" t="s">
        <v>725</v>
      </c>
    </row>
    <row r="11" spans="1:45" x14ac:dyDescent="0.35">
      <c r="A11">
        <v>120</v>
      </c>
      <c r="B11" t="s">
        <v>437</v>
      </c>
      <c r="C11">
        <v>1877932.16</v>
      </c>
      <c r="D11">
        <v>0</v>
      </c>
      <c r="E11" t="s">
        <v>725</v>
      </c>
    </row>
    <row r="12" spans="1:45" x14ac:dyDescent="0.35">
      <c r="A12">
        <v>130</v>
      </c>
      <c r="B12" t="s">
        <v>438</v>
      </c>
      <c r="C12">
        <v>270635.8</v>
      </c>
      <c r="D12">
        <v>0</v>
      </c>
      <c r="E12" t="s">
        <v>725</v>
      </c>
    </row>
    <row r="13" spans="1:45" x14ac:dyDescent="0.35">
      <c r="A13">
        <v>135</v>
      </c>
      <c r="B13" t="s">
        <v>439</v>
      </c>
      <c r="C13">
        <v>-142745.88</v>
      </c>
      <c r="D13">
        <v>0</v>
      </c>
      <c r="E13" t="s">
        <v>725</v>
      </c>
    </row>
    <row r="14" spans="1:45" x14ac:dyDescent="0.35">
      <c r="A14">
        <v>140</v>
      </c>
      <c r="B14" t="s">
        <v>440</v>
      </c>
      <c r="C14">
        <v>375635.54</v>
      </c>
      <c r="D14">
        <v>0</v>
      </c>
      <c r="E14" t="s">
        <v>725</v>
      </c>
    </row>
    <row r="15" spans="1:45" x14ac:dyDescent="0.35">
      <c r="A15">
        <v>150</v>
      </c>
      <c r="B15" t="s">
        <v>441</v>
      </c>
      <c r="C15">
        <v>39099.93</v>
      </c>
      <c r="D15">
        <v>0</v>
      </c>
      <c r="E15" t="s">
        <v>725</v>
      </c>
    </row>
    <row r="16" spans="1:45" x14ac:dyDescent="0.35">
      <c r="A16">
        <v>155</v>
      </c>
      <c r="B16" t="s">
        <v>442</v>
      </c>
      <c r="C16">
        <v>0</v>
      </c>
      <c r="D16">
        <v>0</v>
      </c>
      <c r="E16" t="s">
        <v>725</v>
      </c>
    </row>
    <row r="17" spans="1:5" x14ac:dyDescent="0.35">
      <c r="A17">
        <v>160</v>
      </c>
      <c r="B17" t="s">
        <v>443</v>
      </c>
      <c r="C17">
        <v>464425.53</v>
      </c>
      <c r="D17">
        <v>0</v>
      </c>
      <c r="E17" t="s">
        <v>725</v>
      </c>
    </row>
    <row r="18" spans="1:5" x14ac:dyDescent="0.35">
      <c r="A18">
        <v>170</v>
      </c>
      <c r="B18" t="s">
        <v>444</v>
      </c>
      <c r="C18">
        <v>1413506.63</v>
      </c>
      <c r="D18">
        <v>0</v>
      </c>
      <c r="E18" t="s">
        <v>725</v>
      </c>
    </row>
    <row r="19" spans="1:5" x14ac:dyDescent="0.35">
      <c r="A19">
        <v>180</v>
      </c>
      <c r="B19" t="s">
        <v>445</v>
      </c>
      <c r="C19">
        <v>635520.81000000006</v>
      </c>
      <c r="D19">
        <v>0</v>
      </c>
      <c r="E19" t="s">
        <v>725</v>
      </c>
    </row>
    <row r="20" spans="1:5" x14ac:dyDescent="0.35">
      <c r="A20">
        <v>190</v>
      </c>
      <c r="B20" t="s">
        <v>446</v>
      </c>
      <c r="C20">
        <v>0</v>
      </c>
      <c r="D20">
        <v>0</v>
      </c>
      <c r="E20" t="s">
        <v>725</v>
      </c>
    </row>
    <row r="21" spans="1:5" x14ac:dyDescent="0.35">
      <c r="A21">
        <v>200</v>
      </c>
      <c r="B21" t="s">
        <v>447</v>
      </c>
      <c r="C21">
        <v>777985.82</v>
      </c>
      <c r="D21">
        <v>0</v>
      </c>
      <c r="E21" t="s">
        <v>725</v>
      </c>
    </row>
    <row r="22" spans="1:5" x14ac:dyDescent="0.35">
      <c r="A22">
        <v>210</v>
      </c>
      <c r="B22" t="s">
        <v>448</v>
      </c>
      <c r="C22">
        <v>2557447.1</v>
      </c>
      <c r="D22">
        <v>0</v>
      </c>
      <c r="E22" t="s">
        <v>725</v>
      </c>
    </row>
    <row r="23" spans="1:5" x14ac:dyDescent="0.35">
      <c r="A23" t="s">
        <v>449</v>
      </c>
      <c r="B23" t="s">
        <v>416</v>
      </c>
      <c r="C23" t="s">
        <v>419</v>
      </c>
      <c r="D23" t="s">
        <v>454</v>
      </c>
      <c r="E23" t="s">
        <v>121</v>
      </c>
    </row>
    <row r="24" spans="1:5" x14ac:dyDescent="0.35">
      <c r="A24">
        <v>30</v>
      </c>
      <c r="B24" t="s">
        <v>427</v>
      </c>
      <c r="C24">
        <v>4070686.63</v>
      </c>
      <c r="D24">
        <v>0</v>
      </c>
      <c r="E24" t="s">
        <v>725</v>
      </c>
    </row>
    <row r="25" spans="1:5" x14ac:dyDescent="0.35">
      <c r="A25">
        <v>40</v>
      </c>
      <c r="B25" t="s">
        <v>429</v>
      </c>
      <c r="C25">
        <v>0</v>
      </c>
      <c r="D25">
        <v>0</v>
      </c>
      <c r="E25" t="s">
        <v>725</v>
      </c>
    </row>
    <row r="26" spans="1:5" x14ac:dyDescent="0.35">
      <c r="A26">
        <v>50</v>
      </c>
      <c r="B26" t="s">
        <v>430</v>
      </c>
      <c r="C26">
        <v>4070686.63</v>
      </c>
      <c r="D26">
        <v>0</v>
      </c>
      <c r="E26" t="s">
        <v>725</v>
      </c>
    </row>
    <row r="27" spans="1:5" x14ac:dyDescent="0.35">
      <c r="A27">
        <v>60</v>
      </c>
      <c r="B27" t="s">
        <v>431</v>
      </c>
      <c r="C27">
        <v>2500102.37</v>
      </c>
      <c r="D27">
        <v>0</v>
      </c>
      <c r="E27" t="s">
        <v>725</v>
      </c>
    </row>
    <row r="28" spans="1:5" x14ac:dyDescent="0.35">
      <c r="A28">
        <v>70</v>
      </c>
      <c r="B28" t="s">
        <v>432</v>
      </c>
      <c r="C28">
        <v>1570584.26</v>
      </c>
      <c r="D28">
        <v>0</v>
      </c>
      <c r="E28" t="s">
        <v>725</v>
      </c>
    </row>
    <row r="29" spans="1:5" x14ac:dyDescent="0.35">
      <c r="A29">
        <v>80</v>
      </c>
      <c r="B29" t="s">
        <v>433</v>
      </c>
      <c r="C29">
        <v>0</v>
      </c>
      <c r="D29">
        <v>0</v>
      </c>
      <c r="E29" t="s">
        <v>725</v>
      </c>
    </row>
    <row r="30" spans="1:5" x14ac:dyDescent="0.35">
      <c r="A30">
        <v>90</v>
      </c>
      <c r="B30" t="s">
        <v>434</v>
      </c>
      <c r="C30">
        <v>1312739.67</v>
      </c>
      <c r="D30">
        <v>0</v>
      </c>
      <c r="E30" t="s">
        <v>725</v>
      </c>
    </row>
    <row r="31" spans="1:5" x14ac:dyDescent="0.35">
      <c r="A31">
        <v>100</v>
      </c>
      <c r="B31" t="s">
        <v>435</v>
      </c>
      <c r="C31">
        <v>0</v>
      </c>
      <c r="D31">
        <v>0</v>
      </c>
      <c r="E31" t="s">
        <v>725</v>
      </c>
    </row>
    <row r="32" spans="1:5" x14ac:dyDescent="0.35">
      <c r="A32">
        <v>110</v>
      </c>
      <c r="B32" t="s">
        <v>436</v>
      </c>
      <c r="C32">
        <v>1312739.67</v>
      </c>
      <c r="D32">
        <v>0</v>
      </c>
      <c r="E32" t="s">
        <v>725</v>
      </c>
    </row>
    <row r="33" spans="1:5" x14ac:dyDescent="0.35">
      <c r="A33">
        <v>120</v>
      </c>
      <c r="B33" t="s">
        <v>437</v>
      </c>
      <c r="C33">
        <v>257844.59</v>
      </c>
      <c r="D33">
        <v>0</v>
      </c>
      <c r="E33" t="s">
        <v>725</v>
      </c>
    </row>
    <row r="34" spans="1:5" x14ac:dyDescent="0.35">
      <c r="A34">
        <v>130</v>
      </c>
      <c r="B34" t="s">
        <v>438</v>
      </c>
      <c r="C34">
        <v>164225.38</v>
      </c>
      <c r="D34">
        <v>0</v>
      </c>
      <c r="E34" t="s">
        <v>725</v>
      </c>
    </row>
    <row r="35" spans="1:5" x14ac:dyDescent="0.35">
      <c r="A35">
        <v>135</v>
      </c>
      <c r="B35" t="s">
        <v>439</v>
      </c>
      <c r="C35">
        <v>-19802.060000000001</v>
      </c>
      <c r="D35">
        <v>0</v>
      </c>
      <c r="E35" t="s">
        <v>725</v>
      </c>
    </row>
    <row r="36" spans="1:5" x14ac:dyDescent="0.35">
      <c r="A36">
        <v>140</v>
      </c>
      <c r="B36" t="s">
        <v>440</v>
      </c>
      <c r="C36">
        <v>1955.16</v>
      </c>
      <c r="D36">
        <v>0</v>
      </c>
      <c r="E36" t="s">
        <v>725</v>
      </c>
    </row>
    <row r="37" spans="1:5" x14ac:dyDescent="0.35">
      <c r="A37">
        <v>150</v>
      </c>
      <c r="B37" t="s">
        <v>441</v>
      </c>
      <c r="C37">
        <v>24317.63</v>
      </c>
      <c r="D37">
        <v>0</v>
      </c>
      <c r="E37" t="s">
        <v>725</v>
      </c>
    </row>
    <row r="38" spans="1:5" x14ac:dyDescent="0.35">
      <c r="A38">
        <v>155</v>
      </c>
      <c r="B38" t="s">
        <v>442</v>
      </c>
      <c r="C38">
        <v>0</v>
      </c>
      <c r="D38">
        <v>0</v>
      </c>
      <c r="E38" t="s">
        <v>725</v>
      </c>
    </row>
    <row r="39" spans="1:5" x14ac:dyDescent="0.35">
      <c r="A39">
        <v>160</v>
      </c>
      <c r="B39" t="s">
        <v>443</v>
      </c>
      <c r="C39">
        <v>122060.85</v>
      </c>
      <c r="D39">
        <v>0</v>
      </c>
      <c r="E39" t="s">
        <v>725</v>
      </c>
    </row>
    <row r="40" spans="1:5" x14ac:dyDescent="0.35">
      <c r="A40">
        <v>170</v>
      </c>
      <c r="B40" t="s">
        <v>444</v>
      </c>
      <c r="C40">
        <v>135783.74</v>
      </c>
      <c r="D40">
        <v>0</v>
      </c>
      <c r="E40" t="s">
        <v>725</v>
      </c>
    </row>
    <row r="41" spans="1:5" x14ac:dyDescent="0.35">
      <c r="A41">
        <v>180</v>
      </c>
      <c r="B41" t="s">
        <v>445</v>
      </c>
      <c r="C41">
        <v>134337</v>
      </c>
      <c r="D41">
        <v>0</v>
      </c>
      <c r="E41" t="s">
        <v>725</v>
      </c>
    </row>
    <row r="42" spans="1:5" x14ac:dyDescent="0.35">
      <c r="A42">
        <v>190</v>
      </c>
      <c r="B42" t="s">
        <v>446</v>
      </c>
      <c r="C42">
        <v>0</v>
      </c>
      <c r="D42">
        <v>0</v>
      </c>
      <c r="E42" t="s">
        <v>725</v>
      </c>
    </row>
    <row r="43" spans="1:5" x14ac:dyDescent="0.35">
      <c r="A43">
        <v>200</v>
      </c>
      <c r="B43" t="s">
        <v>447</v>
      </c>
      <c r="C43">
        <v>1446.74</v>
      </c>
      <c r="D43">
        <v>0</v>
      </c>
      <c r="E43" t="s">
        <v>725</v>
      </c>
    </row>
    <row r="44" spans="1:5" x14ac:dyDescent="0.35">
      <c r="A44">
        <v>210</v>
      </c>
      <c r="B44" t="s">
        <v>448</v>
      </c>
      <c r="C44">
        <v>257844.59</v>
      </c>
      <c r="D44">
        <v>0</v>
      </c>
      <c r="E44" t="s">
        <v>725</v>
      </c>
    </row>
    <row r="45" spans="1:5" x14ac:dyDescent="0.35">
      <c r="A45" t="s">
        <v>456</v>
      </c>
      <c r="B45" t="s">
        <v>416</v>
      </c>
      <c r="C45" t="s">
        <v>419</v>
      </c>
      <c r="D45" t="s">
        <v>461</v>
      </c>
      <c r="E45" t="s">
        <v>121</v>
      </c>
    </row>
    <row r="46" spans="1:5" x14ac:dyDescent="0.35">
      <c r="A46">
        <v>30</v>
      </c>
      <c r="B46" t="s">
        <v>427</v>
      </c>
      <c r="C46">
        <v>26815360.940000001</v>
      </c>
      <c r="D46">
        <v>0</v>
      </c>
      <c r="E46" t="s">
        <v>725</v>
      </c>
    </row>
    <row r="47" spans="1:5" x14ac:dyDescent="0.35">
      <c r="A47">
        <v>40</v>
      </c>
      <c r="B47" t="s">
        <v>429</v>
      </c>
      <c r="C47">
        <v>148562.07999999999</v>
      </c>
      <c r="D47">
        <v>0</v>
      </c>
      <c r="E47" t="s">
        <v>725</v>
      </c>
    </row>
    <row r="48" spans="1:5" x14ac:dyDescent="0.35">
      <c r="A48">
        <v>50</v>
      </c>
      <c r="B48" t="s">
        <v>430</v>
      </c>
      <c r="C48">
        <v>26666798.859999999</v>
      </c>
      <c r="D48">
        <v>0</v>
      </c>
      <c r="E48" t="s">
        <v>725</v>
      </c>
    </row>
    <row r="49" spans="1:5" x14ac:dyDescent="0.35">
      <c r="A49">
        <v>60</v>
      </c>
      <c r="B49" t="s">
        <v>431</v>
      </c>
      <c r="C49">
        <v>21622563.18</v>
      </c>
      <c r="D49">
        <v>0</v>
      </c>
      <c r="E49" t="s">
        <v>725</v>
      </c>
    </row>
    <row r="50" spans="1:5" x14ac:dyDescent="0.35">
      <c r="A50">
        <v>70</v>
      </c>
      <c r="B50" t="s">
        <v>432</v>
      </c>
      <c r="C50">
        <v>5044235.68</v>
      </c>
      <c r="D50">
        <v>0</v>
      </c>
      <c r="E50" t="s">
        <v>725</v>
      </c>
    </row>
    <row r="51" spans="1:5" x14ac:dyDescent="0.35">
      <c r="A51">
        <v>80</v>
      </c>
      <c r="B51" t="s">
        <v>433</v>
      </c>
      <c r="C51">
        <v>2604393.71</v>
      </c>
      <c r="D51">
        <v>0</v>
      </c>
      <c r="E51" t="s">
        <v>725</v>
      </c>
    </row>
    <row r="52" spans="1:5" x14ac:dyDescent="0.35">
      <c r="A52">
        <v>90</v>
      </c>
      <c r="B52" t="s">
        <v>434</v>
      </c>
      <c r="C52">
        <v>1063302.46</v>
      </c>
      <c r="D52">
        <v>0</v>
      </c>
      <c r="E52" t="s">
        <v>725</v>
      </c>
    </row>
    <row r="53" spans="1:5" x14ac:dyDescent="0.35">
      <c r="A53">
        <v>100</v>
      </c>
      <c r="B53" t="s">
        <v>435</v>
      </c>
      <c r="C53">
        <v>110029.08</v>
      </c>
      <c r="D53">
        <v>0</v>
      </c>
      <c r="E53" t="s">
        <v>725</v>
      </c>
    </row>
    <row r="54" spans="1:5" x14ac:dyDescent="0.35">
      <c r="A54">
        <v>110</v>
      </c>
      <c r="B54" t="s">
        <v>436</v>
      </c>
      <c r="C54">
        <v>3777725.25</v>
      </c>
      <c r="D54">
        <v>0</v>
      </c>
      <c r="E54" t="s">
        <v>725</v>
      </c>
    </row>
    <row r="55" spans="1:5" x14ac:dyDescent="0.35">
      <c r="A55">
        <v>120</v>
      </c>
      <c r="B55" t="s">
        <v>437</v>
      </c>
      <c r="C55">
        <v>1266510.43</v>
      </c>
      <c r="D55">
        <v>0</v>
      </c>
      <c r="E55" t="s">
        <v>725</v>
      </c>
    </row>
    <row r="56" spans="1:5" x14ac:dyDescent="0.35">
      <c r="A56">
        <v>130</v>
      </c>
      <c r="B56" t="s">
        <v>438</v>
      </c>
      <c r="C56">
        <v>12607.02</v>
      </c>
      <c r="D56">
        <v>0</v>
      </c>
      <c r="E56" t="s">
        <v>725</v>
      </c>
    </row>
    <row r="57" spans="1:5" x14ac:dyDescent="0.35">
      <c r="A57">
        <v>135</v>
      </c>
      <c r="B57" t="s">
        <v>439</v>
      </c>
      <c r="C57">
        <v>0</v>
      </c>
      <c r="D57">
        <v>0</v>
      </c>
      <c r="E57" t="s">
        <v>725</v>
      </c>
    </row>
    <row r="58" spans="1:5" x14ac:dyDescent="0.35">
      <c r="A58">
        <v>140</v>
      </c>
      <c r="B58" t="s">
        <v>440</v>
      </c>
      <c r="C58">
        <v>79403.460000000006</v>
      </c>
      <c r="D58">
        <v>0</v>
      </c>
      <c r="E58" t="s">
        <v>725</v>
      </c>
    </row>
    <row r="59" spans="1:5" x14ac:dyDescent="0.35">
      <c r="A59">
        <v>150</v>
      </c>
      <c r="B59" t="s">
        <v>441</v>
      </c>
      <c r="C59">
        <v>1360.15</v>
      </c>
      <c r="D59">
        <v>0</v>
      </c>
      <c r="E59" t="s">
        <v>725</v>
      </c>
    </row>
    <row r="60" spans="1:5" x14ac:dyDescent="0.35">
      <c r="A60">
        <v>155</v>
      </c>
      <c r="B60" t="s">
        <v>442</v>
      </c>
      <c r="C60">
        <v>0</v>
      </c>
      <c r="D60">
        <v>0</v>
      </c>
      <c r="E60" t="s">
        <v>725</v>
      </c>
    </row>
    <row r="61" spans="1:5" x14ac:dyDescent="0.35">
      <c r="A61">
        <v>160</v>
      </c>
      <c r="B61" t="s">
        <v>443</v>
      </c>
      <c r="C61">
        <v>90650.33</v>
      </c>
      <c r="D61">
        <v>0</v>
      </c>
      <c r="E61" t="s">
        <v>725</v>
      </c>
    </row>
    <row r="62" spans="1:5" x14ac:dyDescent="0.35">
      <c r="A62">
        <v>170</v>
      </c>
      <c r="B62" t="s">
        <v>444</v>
      </c>
      <c r="C62">
        <v>1175860.1000000001</v>
      </c>
      <c r="D62">
        <v>0</v>
      </c>
      <c r="E62" t="s">
        <v>725</v>
      </c>
    </row>
    <row r="63" spans="1:5" x14ac:dyDescent="0.35">
      <c r="A63">
        <v>180</v>
      </c>
      <c r="B63" t="s">
        <v>445</v>
      </c>
      <c r="C63">
        <v>388000</v>
      </c>
      <c r="D63">
        <v>0</v>
      </c>
      <c r="E63" t="s">
        <v>725</v>
      </c>
    </row>
    <row r="64" spans="1:5" x14ac:dyDescent="0.35">
      <c r="A64">
        <v>190</v>
      </c>
      <c r="B64" t="s">
        <v>446</v>
      </c>
      <c r="C64">
        <v>0</v>
      </c>
      <c r="D64">
        <v>0</v>
      </c>
      <c r="E64" t="s">
        <v>725</v>
      </c>
    </row>
    <row r="65" spans="1:5" x14ac:dyDescent="0.35">
      <c r="A65">
        <v>200</v>
      </c>
      <c r="B65" t="s">
        <v>447</v>
      </c>
      <c r="C65">
        <v>787860.1</v>
      </c>
      <c r="D65">
        <v>0</v>
      </c>
      <c r="E65" t="s">
        <v>725</v>
      </c>
    </row>
    <row r="66" spans="1:5" x14ac:dyDescent="0.35">
      <c r="A66">
        <v>210</v>
      </c>
      <c r="B66" t="s">
        <v>448</v>
      </c>
      <c r="C66">
        <v>1376539.51</v>
      </c>
      <c r="D66">
        <v>0</v>
      </c>
      <c r="E66" t="s">
        <v>725</v>
      </c>
    </row>
    <row r="67" spans="1:5" x14ac:dyDescent="0.35">
      <c r="A67" t="s">
        <v>463</v>
      </c>
      <c r="B67" t="s">
        <v>416</v>
      </c>
      <c r="C67" t="s">
        <v>464</v>
      </c>
      <c r="D67" t="s">
        <v>466</v>
      </c>
      <c r="E67" t="s">
        <v>121</v>
      </c>
    </row>
    <row r="68" spans="1:5" x14ac:dyDescent="0.35">
      <c r="A68">
        <v>30</v>
      </c>
      <c r="B68" t="s">
        <v>427</v>
      </c>
      <c r="C68">
        <v>3298210</v>
      </c>
      <c r="D68">
        <v>0</v>
      </c>
      <c r="E68" t="s">
        <v>725</v>
      </c>
    </row>
    <row r="69" spans="1:5" x14ac:dyDescent="0.35">
      <c r="A69">
        <v>40</v>
      </c>
      <c r="B69" t="s">
        <v>429</v>
      </c>
      <c r="C69">
        <v>0</v>
      </c>
      <c r="D69">
        <v>0</v>
      </c>
      <c r="E69" t="s">
        <v>725</v>
      </c>
    </row>
    <row r="70" spans="1:5" x14ac:dyDescent="0.35">
      <c r="A70">
        <v>50</v>
      </c>
      <c r="B70" t="s">
        <v>430</v>
      </c>
      <c r="C70">
        <v>3298210</v>
      </c>
      <c r="D70">
        <v>0</v>
      </c>
      <c r="E70" t="s">
        <v>725</v>
      </c>
    </row>
    <row r="71" spans="1:5" x14ac:dyDescent="0.35">
      <c r="A71">
        <v>60</v>
      </c>
      <c r="B71" t="s">
        <v>431</v>
      </c>
      <c r="C71">
        <v>0</v>
      </c>
      <c r="D71">
        <v>0</v>
      </c>
      <c r="E71" t="s">
        <v>725</v>
      </c>
    </row>
    <row r="72" spans="1:5" x14ac:dyDescent="0.35">
      <c r="A72">
        <v>70</v>
      </c>
      <c r="B72" t="s">
        <v>432</v>
      </c>
      <c r="C72">
        <v>3298210</v>
      </c>
      <c r="D72">
        <v>0</v>
      </c>
      <c r="E72" t="s">
        <v>725</v>
      </c>
    </row>
    <row r="73" spans="1:5" x14ac:dyDescent="0.35">
      <c r="A73">
        <v>80</v>
      </c>
      <c r="B73" t="s">
        <v>433</v>
      </c>
      <c r="C73">
        <v>0</v>
      </c>
      <c r="D73">
        <v>0</v>
      </c>
      <c r="E73" t="s">
        <v>725</v>
      </c>
    </row>
    <row r="74" spans="1:5" x14ac:dyDescent="0.35">
      <c r="A74">
        <v>90</v>
      </c>
      <c r="B74" t="s">
        <v>434</v>
      </c>
      <c r="C74">
        <v>3030640.49</v>
      </c>
      <c r="D74">
        <v>0</v>
      </c>
      <c r="E74" t="s">
        <v>725</v>
      </c>
    </row>
    <row r="75" spans="1:5" x14ac:dyDescent="0.35">
      <c r="A75">
        <v>100</v>
      </c>
      <c r="B75" t="s">
        <v>435</v>
      </c>
      <c r="C75">
        <v>45176.32</v>
      </c>
      <c r="D75">
        <v>0</v>
      </c>
      <c r="E75" t="s">
        <v>725</v>
      </c>
    </row>
    <row r="76" spans="1:5" x14ac:dyDescent="0.35">
      <c r="A76">
        <v>110</v>
      </c>
      <c r="B76" t="s">
        <v>436</v>
      </c>
      <c r="C76">
        <v>3075816.81</v>
      </c>
      <c r="D76">
        <v>0</v>
      </c>
      <c r="E76" t="s">
        <v>725</v>
      </c>
    </row>
    <row r="77" spans="1:5" x14ac:dyDescent="0.35">
      <c r="A77">
        <v>120</v>
      </c>
      <c r="B77" t="s">
        <v>437</v>
      </c>
      <c r="C77">
        <v>222393.19</v>
      </c>
      <c r="D77">
        <v>0</v>
      </c>
      <c r="E77" t="s">
        <v>725</v>
      </c>
    </row>
    <row r="78" spans="1:5" x14ac:dyDescent="0.35">
      <c r="A78">
        <v>130</v>
      </c>
      <c r="B78" t="s">
        <v>438</v>
      </c>
      <c r="C78">
        <v>613.47</v>
      </c>
      <c r="D78">
        <v>0</v>
      </c>
      <c r="E78" t="s">
        <v>725</v>
      </c>
    </row>
    <row r="79" spans="1:5" x14ac:dyDescent="0.35">
      <c r="A79">
        <v>135</v>
      </c>
      <c r="B79" t="s">
        <v>439</v>
      </c>
      <c r="C79">
        <v>-70600.69</v>
      </c>
      <c r="D79">
        <v>0</v>
      </c>
      <c r="E79" t="s">
        <v>725</v>
      </c>
    </row>
    <row r="80" spans="1:5" x14ac:dyDescent="0.35">
      <c r="A80">
        <v>140</v>
      </c>
      <c r="B80" t="s">
        <v>440</v>
      </c>
      <c r="C80">
        <v>6066.33</v>
      </c>
      <c r="D80">
        <v>0</v>
      </c>
      <c r="E80" t="s">
        <v>725</v>
      </c>
    </row>
    <row r="81" spans="1:5" x14ac:dyDescent="0.35">
      <c r="A81">
        <v>150</v>
      </c>
      <c r="B81" t="s">
        <v>441</v>
      </c>
      <c r="C81">
        <v>0</v>
      </c>
      <c r="D81">
        <v>0</v>
      </c>
      <c r="E81" t="s">
        <v>725</v>
      </c>
    </row>
    <row r="82" spans="1:5" x14ac:dyDescent="0.35">
      <c r="A82">
        <v>155</v>
      </c>
      <c r="B82" t="s">
        <v>442</v>
      </c>
      <c r="C82">
        <v>0</v>
      </c>
      <c r="D82">
        <v>0</v>
      </c>
      <c r="E82" t="s">
        <v>725</v>
      </c>
    </row>
    <row r="83" spans="1:5" x14ac:dyDescent="0.35">
      <c r="A83">
        <v>160</v>
      </c>
      <c r="B83" t="s">
        <v>443</v>
      </c>
      <c r="C83">
        <v>-63920.89</v>
      </c>
      <c r="D83">
        <v>0</v>
      </c>
      <c r="E83" t="s">
        <v>725</v>
      </c>
    </row>
    <row r="84" spans="1:5" x14ac:dyDescent="0.35">
      <c r="A84">
        <v>170</v>
      </c>
      <c r="B84" t="s">
        <v>444</v>
      </c>
      <c r="C84">
        <v>286314.08</v>
      </c>
      <c r="D84">
        <v>0</v>
      </c>
      <c r="E84" t="s">
        <v>725</v>
      </c>
    </row>
    <row r="85" spans="1:5" x14ac:dyDescent="0.35">
      <c r="A85">
        <v>180</v>
      </c>
      <c r="B85" t="s">
        <v>445</v>
      </c>
      <c r="C85">
        <v>72931</v>
      </c>
      <c r="D85">
        <v>0</v>
      </c>
      <c r="E85" t="s">
        <v>725</v>
      </c>
    </row>
    <row r="86" spans="1:5" x14ac:dyDescent="0.35">
      <c r="A86">
        <v>190</v>
      </c>
      <c r="B86" t="s">
        <v>446</v>
      </c>
      <c r="C86">
        <v>0</v>
      </c>
      <c r="D86">
        <v>0</v>
      </c>
      <c r="E86" t="s">
        <v>725</v>
      </c>
    </row>
    <row r="87" spans="1:5" x14ac:dyDescent="0.35">
      <c r="A87">
        <v>200</v>
      </c>
      <c r="B87" t="s">
        <v>447</v>
      </c>
      <c r="C87">
        <v>213383.08</v>
      </c>
      <c r="D87">
        <v>0</v>
      </c>
      <c r="E87" t="s">
        <v>725</v>
      </c>
    </row>
    <row r="88" spans="1:5" x14ac:dyDescent="0.35">
      <c r="A88">
        <v>210</v>
      </c>
      <c r="B88" t="s">
        <v>448</v>
      </c>
      <c r="C88">
        <v>267569.51</v>
      </c>
      <c r="D88">
        <v>0</v>
      </c>
      <c r="E88" t="s">
        <v>725</v>
      </c>
    </row>
    <row r="89" spans="1:5" x14ac:dyDescent="0.35">
      <c r="A89" t="s">
        <v>467</v>
      </c>
      <c r="B89" t="s">
        <v>416</v>
      </c>
      <c r="C89" t="s">
        <v>419</v>
      </c>
      <c r="D89" t="s">
        <v>425</v>
      </c>
      <c r="E89" t="s">
        <v>121</v>
      </c>
    </row>
    <row r="90" spans="1:5" x14ac:dyDescent="0.35">
      <c r="A90">
        <v>30</v>
      </c>
      <c r="B90" t="s">
        <v>427</v>
      </c>
      <c r="C90">
        <v>428610.85</v>
      </c>
      <c r="D90">
        <v>0</v>
      </c>
      <c r="E90" t="s">
        <v>725</v>
      </c>
    </row>
    <row r="91" spans="1:5" x14ac:dyDescent="0.35">
      <c r="A91">
        <v>40</v>
      </c>
      <c r="B91" t="s">
        <v>429</v>
      </c>
      <c r="C91">
        <v>0</v>
      </c>
      <c r="D91">
        <v>0</v>
      </c>
      <c r="E91" t="s">
        <v>725</v>
      </c>
    </row>
    <row r="92" spans="1:5" x14ac:dyDescent="0.35">
      <c r="A92">
        <v>50</v>
      </c>
      <c r="B92" t="s">
        <v>430</v>
      </c>
      <c r="C92">
        <v>428610.85</v>
      </c>
      <c r="D92">
        <v>0</v>
      </c>
      <c r="E92" t="s">
        <v>725</v>
      </c>
    </row>
    <row r="93" spans="1:5" x14ac:dyDescent="0.35">
      <c r="A93">
        <v>60</v>
      </c>
      <c r="B93" t="s">
        <v>431</v>
      </c>
      <c r="C93">
        <v>272752.44</v>
      </c>
      <c r="D93">
        <v>0</v>
      </c>
      <c r="E93" t="s">
        <v>725</v>
      </c>
    </row>
    <row r="94" spans="1:5" x14ac:dyDescent="0.35">
      <c r="A94">
        <v>70</v>
      </c>
      <c r="B94" t="s">
        <v>432</v>
      </c>
      <c r="C94">
        <v>155858.41</v>
      </c>
      <c r="D94">
        <v>0</v>
      </c>
      <c r="E94" t="s">
        <v>725</v>
      </c>
    </row>
    <row r="95" spans="1:5" x14ac:dyDescent="0.35">
      <c r="A95">
        <v>80</v>
      </c>
      <c r="B95" t="s">
        <v>433</v>
      </c>
      <c r="C95">
        <v>0</v>
      </c>
      <c r="D95">
        <v>0</v>
      </c>
      <c r="E95" t="s">
        <v>725</v>
      </c>
    </row>
    <row r="96" spans="1:5" x14ac:dyDescent="0.35">
      <c r="A96">
        <v>90</v>
      </c>
      <c r="B96" t="s">
        <v>434</v>
      </c>
      <c r="C96">
        <v>219513.07</v>
      </c>
      <c r="D96">
        <v>0</v>
      </c>
      <c r="E96" t="s">
        <v>725</v>
      </c>
    </row>
    <row r="97" spans="1:5" x14ac:dyDescent="0.35">
      <c r="A97">
        <v>100</v>
      </c>
      <c r="B97" t="s">
        <v>435</v>
      </c>
      <c r="C97">
        <v>441.15</v>
      </c>
      <c r="D97">
        <v>0</v>
      </c>
      <c r="E97" t="s">
        <v>725</v>
      </c>
    </row>
    <row r="98" spans="1:5" x14ac:dyDescent="0.35">
      <c r="A98">
        <v>110</v>
      </c>
      <c r="B98" t="s">
        <v>436</v>
      </c>
      <c r="C98">
        <v>219954.22</v>
      </c>
      <c r="D98">
        <v>0</v>
      </c>
      <c r="E98" t="s">
        <v>725</v>
      </c>
    </row>
    <row r="99" spans="1:5" x14ac:dyDescent="0.35">
      <c r="A99">
        <v>120</v>
      </c>
      <c r="B99" t="s">
        <v>437</v>
      </c>
      <c r="C99">
        <v>-64095.81</v>
      </c>
      <c r="D99">
        <v>0</v>
      </c>
      <c r="E99" t="s">
        <v>725</v>
      </c>
    </row>
    <row r="100" spans="1:5" x14ac:dyDescent="0.35">
      <c r="A100">
        <v>130</v>
      </c>
      <c r="B100" t="s">
        <v>438</v>
      </c>
      <c r="C100">
        <v>-460.05</v>
      </c>
      <c r="D100">
        <v>0</v>
      </c>
      <c r="E100" t="s">
        <v>725</v>
      </c>
    </row>
    <row r="101" spans="1:5" x14ac:dyDescent="0.35">
      <c r="A101">
        <v>135</v>
      </c>
      <c r="B101" t="s">
        <v>439</v>
      </c>
      <c r="C101">
        <v>-4.03</v>
      </c>
      <c r="D101">
        <v>0</v>
      </c>
      <c r="E101" t="s">
        <v>725</v>
      </c>
    </row>
    <row r="102" spans="1:5" x14ac:dyDescent="0.35">
      <c r="A102">
        <v>140</v>
      </c>
      <c r="B102" t="s">
        <v>440</v>
      </c>
      <c r="C102">
        <v>908.77</v>
      </c>
      <c r="D102">
        <v>0</v>
      </c>
      <c r="E102" t="s">
        <v>725</v>
      </c>
    </row>
    <row r="103" spans="1:5" x14ac:dyDescent="0.35">
      <c r="A103">
        <v>150</v>
      </c>
      <c r="B103" t="s">
        <v>441</v>
      </c>
      <c r="C103">
        <v>0</v>
      </c>
      <c r="D103">
        <v>0</v>
      </c>
      <c r="E103" t="s">
        <v>725</v>
      </c>
    </row>
    <row r="104" spans="1:5" x14ac:dyDescent="0.35">
      <c r="A104">
        <v>155</v>
      </c>
      <c r="B104" t="s">
        <v>442</v>
      </c>
      <c r="C104">
        <v>0</v>
      </c>
      <c r="D104">
        <v>0</v>
      </c>
      <c r="E104" t="s">
        <v>725</v>
      </c>
    </row>
    <row r="105" spans="1:5" x14ac:dyDescent="0.35">
      <c r="A105">
        <v>160</v>
      </c>
      <c r="B105" t="s">
        <v>443</v>
      </c>
      <c r="C105">
        <v>444.69</v>
      </c>
      <c r="D105">
        <v>0</v>
      </c>
      <c r="E105" t="s">
        <v>725</v>
      </c>
    </row>
    <row r="106" spans="1:5" x14ac:dyDescent="0.35">
      <c r="A106">
        <v>170</v>
      </c>
      <c r="B106" t="s">
        <v>444</v>
      </c>
      <c r="C106">
        <v>-64540.5</v>
      </c>
      <c r="D106">
        <v>0</v>
      </c>
      <c r="E106" t="s">
        <v>725</v>
      </c>
    </row>
    <row r="107" spans="1:5" x14ac:dyDescent="0.35">
      <c r="A107">
        <v>180</v>
      </c>
      <c r="B107" t="s">
        <v>445</v>
      </c>
      <c r="C107">
        <v>6146</v>
      </c>
      <c r="D107">
        <v>0</v>
      </c>
      <c r="E107" t="s">
        <v>725</v>
      </c>
    </row>
    <row r="108" spans="1:5" x14ac:dyDescent="0.35">
      <c r="A108">
        <v>190</v>
      </c>
      <c r="B108" t="s">
        <v>446</v>
      </c>
      <c r="C108">
        <v>0</v>
      </c>
      <c r="D108">
        <v>0</v>
      </c>
      <c r="E108" t="s">
        <v>725</v>
      </c>
    </row>
    <row r="109" spans="1:5" x14ac:dyDescent="0.35">
      <c r="A109">
        <v>200</v>
      </c>
      <c r="B109" t="s">
        <v>447</v>
      </c>
      <c r="C109">
        <v>-70686.5</v>
      </c>
      <c r="D109">
        <v>0</v>
      </c>
      <c r="E109" t="s">
        <v>725</v>
      </c>
    </row>
    <row r="110" spans="1:5" x14ac:dyDescent="0.35">
      <c r="A110">
        <v>210</v>
      </c>
      <c r="B110" t="s">
        <v>448</v>
      </c>
      <c r="C110">
        <v>-63654.66</v>
      </c>
      <c r="D110">
        <v>0</v>
      </c>
      <c r="E110" t="s">
        <v>725</v>
      </c>
    </row>
    <row r="111" spans="1:5" x14ac:dyDescent="0.35">
      <c r="A111" t="s">
        <v>468</v>
      </c>
      <c r="B111" t="s">
        <v>416</v>
      </c>
      <c r="C111" t="s">
        <v>419</v>
      </c>
      <c r="D111" t="s">
        <v>476</v>
      </c>
      <c r="E111" t="s">
        <v>121</v>
      </c>
    </row>
    <row r="112" spans="1:5" x14ac:dyDescent="0.35">
      <c r="A112">
        <v>30</v>
      </c>
      <c r="B112" t="s">
        <v>427</v>
      </c>
      <c r="C112">
        <v>254662</v>
      </c>
      <c r="D112">
        <v>0</v>
      </c>
      <c r="E112" t="s">
        <v>725</v>
      </c>
    </row>
    <row r="113" spans="1:5" x14ac:dyDescent="0.35">
      <c r="A113">
        <v>40</v>
      </c>
      <c r="B113" t="s">
        <v>429</v>
      </c>
      <c r="C113">
        <v>0</v>
      </c>
      <c r="D113">
        <v>0</v>
      </c>
      <c r="E113" t="s">
        <v>725</v>
      </c>
    </row>
    <row r="114" spans="1:5" x14ac:dyDescent="0.35">
      <c r="A114">
        <v>50</v>
      </c>
      <c r="B114" t="s">
        <v>430</v>
      </c>
      <c r="C114">
        <v>254662</v>
      </c>
      <c r="D114">
        <v>0</v>
      </c>
      <c r="E114" t="s">
        <v>725</v>
      </c>
    </row>
    <row r="115" spans="1:5" x14ac:dyDescent="0.35">
      <c r="A115">
        <v>60</v>
      </c>
      <c r="B115" t="s">
        <v>431</v>
      </c>
      <c r="C115">
        <v>0</v>
      </c>
      <c r="D115">
        <v>0</v>
      </c>
      <c r="E115" t="s">
        <v>725</v>
      </c>
    </row>
    <row r="116" spans="1:5" x14ac:dyDescent="0.35">
      <c r="A116">
        <v>70</v>
      </c>
      <c r="B116" t="s">
        <v>432</v>
      </c>
      <c r="C116">
        <v>254662</v>
      </c>
      <c r="D116">
        <v>0</v>
      </c>
      <c r="E116" t="s">
        <v>725</v>
      </c>
    </row>
    <row r="117" spans="1:5" x14ac:dyDescent="0.35">
      <c r="A117">
        <v>80</v>
      </c>
      <c r="B117" t="s">
        <v>433</v>
      </c>
      <c r="C117">
        <v>0</v>
      </c>
      <c r="D117">
        <v>0</v>
      </c>
      <c r="E117" t="s">
        <v>725</v>
      </c>
    </row>
    <row r="118" spans="1:5" x14ac:dyDescent="0.35">
      <c r="A118">
        <v>90</v>
      </c>
      <c r="B118" t="s">
        <v>434</v>
      </c>
      <c r="C118">
        <v>168345.38</v>
      </c>
      <c r="D118">
        <v>0</v>
      </c>
      <c r="E118" t="s">
        <v>725</v>
      </c>
    </row>
    <row r="119" spans="1:5" x14ac:dyDescent="0.35">
      <c r="A119">
        <v>100</v>
      </c>
      <c r="B119" t="s">
        <v>435</v>
      </c>
      <c r="C119">
        <v>38163.120000000003</v>
      </c>
      <c r="D119">
        <v>0</v>
      </c>
      <c r="E119" t="s">
        <v>725</v>
      </c>
    </row>
    <row r="120" spans="1:5" x14ac:dyDescent="0.35">
      <c r="A120">
        <v>110</v>
      </c>
      <c r="B120" t="s">
        <v>436</v>
      </c>
      <c r="C120">
        <v>206508.5</v>
      </c>
      <c r="D120">
        <v>0</v>
      </c>
      <c r="E120" t="s">
        <v>725</v>
      </c>
    </row>
    <row r="121" spans="1:5" x14ac:dyDescent="0.35">
      <c r="A121">
        <v>120</v>
      </c>
      <c r="B121" t="s">
        <v>437</v>
      </c>
      <c r="C121">
        <v>48153.5</v>
      </c>
      <c r="D121">
        <v>0</v>
      </c>
      <c r="E121" t="s">
        <v>725</v>
      </c>
    </row>
    <row r="122" spans="1:5" x14ac:dyDescent="0.35">
      <c r="A122">
        <v>130</v>
      </c>
      <c r="B122" t="s">
        <v>438</v>
      </c>
      <c r="C122">
        <v>-1045.6099999999999</v>
      </c>
      <c r="D122">
        <v>0</v>
      </c>
      <c r="E122" t="s">
        <v>725</v>
      </c>
    </row>
    <row r="123" spans="1:5" x14ac:dyDescent="0.35">
      <c r="A123">
        <v>135</v>
      </c>
      <c r="B123" t="s">
        <v>439</v>
      </c>
      <c r="C123">
        <v>0</v>
      </c>
      <c r="D123">
        <v>0</v>
      </c>
      <c r="E123" t="s">
        <v>725</v>
      </c>
    </row>
    <row r="124" spans="1:5" x14ac:dyDescent="0.35">
      <c r="A124">
        <v>140</v>
      </c>
      <c r="B124" t="s">
        <v>440</v>
      </c>
      <c r="C124">
        <v>1534.25</v>
      </c>
      <c r="D124">
        <v>0</v>
      </c>
      <c r="E124" t="s">
        <v>725</v>
      </c>
    </row>
    <row r="125" spans="1:5" x14ac:dyDescent="0.35">
      <c r="A125">
        <v>150</v>
      </c>
      <c r="B125" t="s">
        <v>441</v>
      </c>
      <c r="C125">
        <v>0.03</v>
      </c>
      <c r="D125">
        <v>0</v>
      </c>
      <c r="E125" t="s">
        <v>725</v>
      </c>
    </row>
    <row r="126" spans="1:5" x14ac:dyDescent="0.35">
      <c r="A126">
        <v>155</v>
      </c>
      <c r="B126" t="s">
        <v>442</v>
      </c>
      <c r="C126">
        <v>0</v>
      </c>
      <c r="D126">
        <v>0</v>
      </c>
      <c r="E126" t="s">
        <v>725</v>
      </c>
    </row>
    <row r="127" spans="1:5" x14ac:dyDescent="0.35">
      <c r="A127">
        <v>160</v>
      </c>
      <c r="B127" t="s">
        <v>443</v>
      </c>
      <c r="C127">
        <v>488.61</v>
      </c>
      <c r="D127">
        <v>0</v>
      </c>
      <c r="E127" t="s">
        <v>725</v>
      </c>
    </row>
    <row r="128" spans="1:5" x14ac:dyDescent="0.35">
      <c r="A128">
        <v>170</v>
      </c>
      <c r="B128" t="s">
        <v>444</v>
      </c>
      <c r="C128">
        <v>47664.89</v>
      </c>
      <c r="D128">
        <v>0</v>
      </c>
      <c r="E128" t="s">
        <v>725</v>
      </c>
    </row>
    <row r="129" spans="1:5" x14ac:dyDescent="0.35">
      <c r="A129">
        <v>180</v>
      </c>
      <c r="B129" t="s">
        <v>445</v>
      </c>
      <c r="C129">
        <v>30776</v>
      </c>
      <c r="D129">
        <v>0</v>
      </c>
      <c r="E129" t="s">
        <v>725</v>
      </c>
    </row>
    <row r="130" spans="1:5" x14ac:dyDescent="0.35">
      <c r="A130">
        <v>190</v>
      </c>
      <c r="B130" t="s">
        <v>446</v>
      </c>
      <c r="C130">
        <v>0</v>
      </c>
      <c r="D130">
        <v>0</v>
      </c>
      <c r="E130" t="s">
        <v>725</v>
      </c>
    </row>
    <row r="131" spans="1:5" x14ac:dyDescent="0.35">
      <c r="A131">
        <v>200</v>
      </c>
      <c r="B131" t="s">
        <v>447</v>
      </c>
      <c r="C131">
        <v>16888.89</v>
      </c>
      <c r="D131">
        <v>0</v>
      </c>
      <c r="E131" t="s">
        <v>725</v>
      </c>
    </row>
    <row r="132" spans="1:5" x14ac:dyDescent="0.35">
      <c r="A132">
        <v>210</v>
      </c>
      <c r="B132" t="s">
        <v>448</v>
      </c>
      <c r="C132">
        <v>86316.62</v>
      </c>
      <c r="D132">
        <v>0</v>
      </c>
      <c r="E132" t="s">
        <v>725</v>
      </c>
    </row>
    <row r="133" spans="1:5" x14ac:dyDescent="0.35">
      <c r="A133" t="s">
        <v>478</v>
      </c>
      <c r="B133" t="s">
        <v>416</v>
      </c>
      <c r="C133" t="s">
        <v>419</v>
      </c>
      <c r="D133" t="s">
        <v>483</v>
      </c>
      <c r="E133" t="s">
        <v>121</v>
      </c>
    </row>
    <row r="134" spans="1:5" x14ac:dyDescent="0.35">
      <c r="A134">
        <v>30</v>
      </c>
      <c r="B134" t="s">
        <v>427</v>
      </c>
      <c r="C134">
        <v>76482.81</v>
      </c>
      <c r="D134">
        <v>0</v>
      </c>
      <c r="E134" t="s">
        <v>725</v>
      </c>
    </row>
    <row r="135" spans="1:5" x14ac:dyDescent="0.35">
      <c r="A135">
        <v>40</v>
      </c>
      <c r="B135" t="s">
        <v>429</v>
      </c>
      <c r="C135">
        <v>0</v>
      </c>
      <c r="D135">
        <v>0</v>
      </c>
      <c r="E135" t="s">
        <v>725</v>
      </c>
    </row>
    <row r="136" spans="1:5" x14ac:dyDescent="0.35">
      <c r="A136">
        <v>50</v>
      </c>
      <c r="B136" t="s">
        <v>430</v>
      </c>
      <c r="C136">
        <v>76482.81</v>
      </c>
      <c r="D136">
        <v>0</v>
      </c>
      <c r="E136" t="s">
        <v>725</v>
      </c>
    </row>
    <row r="137" spans="1:5" x14ac:dyDescent="0.35">
      <c r="A137">
        <v>60</v>
      </c>
      <c r="B137" t="s">
        <v>431</v>
      </c>
      <c r="C137">
        <v>56831.199999999997</v>
      </c>
      <c r="D137">
        <v>0</v>
      </c>
      <c r="E137" t="s">
        <v>725</v>
      </c>
    </row>
    <row r="138" spans="1:5" x14ac:dyDescent="0.35">
      <c r="A138">
        <v>70</v>
      </c>
      <c r="B138" t="s">
        <v>432</v>
      </c>
      <c r="C138">
        <v>19651.61</v>
      </c>
      <c r="D138">
        <v>0</v>
      </c>
      <c r="E138" t="s">
        <v>725</v>
      </c>
    </row>
    <row r="139" spans="1:5" x14ac:dyDescent="0.35">
      <c r="A139">
        <v>80</v>
      </c>
      <c r="B139" t="s">
        <v>433</v>
      </c>
      <c r="C139">
        <v>44454.3</v>
      </c>
      <c r="D139">
        <v>0</v>
      </c>
      <c r="E139" t="s">
        <v>725</v>
      </c>
    </row>
    <row r="140" spans="1:5" x14ac:dyDescent="0.35">
      <c r="A140">
        <v>90</v>
      </c>
      <c r="B140" t="s">
        <v>434</v>
      </c>
      <c r="C140">
        <v>89480.42</v>
      </c>
      <c r="D140">
        <v>0</v>
      </c>
      <c r="E140" t="s">
        <v>725</v>
      </c>
    </row>
    <row r="141" spans="1:5" x14ac:dyDescent="0.35">
      <c r="A141">
        <v>100</v>
      </c>
      <c r="B141" t="s">
        <v>435</v>
      </c>
      <c r="C141">
        <v>29133.18</v>
      </c>
      <c r="D141">
        <v>0</v>
      </c>
      <c r="E141" t="s">
        <v>725</v>
      </c>
    </row>
    <row r="142" spans="1:5" x14ac:dyDescent="0.35">
      <c r="A142">
        <v>110</v>
      </c>
      <c r="B142" t="s">
        <v>436</v>
      </c>
      <c r="C142">
        <v>163067.9</v>
      </c>
      <c r="D142">
        <v>0</v>
      </c>
      <c r="E142" t="s">
        <v>725</v>
      </c>
    </row>
    <row r="143" spans="1:5" x14ac:dyDescent="0.35">
      <c r="A143">
        <v>120</v>
      </c>
      <c r="B143" t="s">
        <v>437</v>
      </c>
      <c r="C143">
        <v>-143416.29</v>
      </c>
      <c r="D143">
        <v>0</v>
      </c>
      <c r="E143" t="s">
        <v>725</v>
      </c>
    </row>
    <row r="144" spans="1:5" x14ac:dyDescent="0.35">
      <c r="A144">
        <v>130</v>
      </c>
      <c r="B144" t="s">
        <v>438</v>
      </c>
      <c r="C144">
        <v>0</v>
      </c>
      <c r="D144">
        <v>0</v>
      </c>
      <c r="E144" t="s">
        <v>725</v>
      </c>
    </row>
    <row r="145" spans="1:5" x14ac:dyDescent="0.35">
      <c r="A145">
        <v>135</v>
      </c>
      <c r="B145" t="s">
        <v>439</v>
      </c>
      <c r="C145">
        <v>-34419.910000000003</v>
      </c>
      <c r="D145">
        <v>0</v>
      </c>
      <c r="E145" t="s">
        <v>725</v>
      </c>
    </row>
    <row r="146" spans="1:5" x14ac:dyDescent="0.35">
      <c r="A146">
        <v>140</v>
      </c>
      <c r="B146" t="s">
        <v>440</v>
      </c>
      <c r="C146">
        <v>0</v>
      </c>
      <c r="D146">
        <v>0</v>
      </c>
      <c r="E146" t="s">
        <v>725</v>
      </c>
    </row>
    <row r="147" spans="1:5" x14ac:dyDescent="0.35">
      <c r="A147">
        <v>150</v>
      </c>
      <c r="B147" t="s">
        <v>441</v>
      </c>
      <c r="C147">
        <v>0.41</v>
      </c>
      <c r="D147">
        <v>0</v>
      </c>
      <c r="E147" t="s">
        <v>725</v>
      </c>
    </row>
    <row r="148" spans="1:5" x14ac:dyDescent="0.35">
      <c r="A148">
        <v>155</v>
      </c>
      <c r="B148" t="s">
        <v>442</v>
      </c>
      <c r="C148">
        <v>0</v>
      </c>
      <c r="D148">
        <v>0</v>
      </c>
      <c r="E148" t="s">
        <v>725</v>
      </c>
    </row>
    <row r="149" spans="1:5" x14ac:dyDescent="0.35">
      <c r="A149">
        <v>160</v>
      </c>
      <c r="B149" t="s">
        <v>443</v>
      </c>
      <c r="C149">
        <v>-34420.32</v>
      </c>
      <c r="D149">
        <v>0</v>
      </c>
      <c r="E149" t="s">
        <v>725</v>
      </c>
    </row>
    <row r="150" spans="1:5" x14ac:dyDescent="0.35">
      <c r="A150">
        <v>170</v>
      </c>
      <c r="B150" t="s">
        <v>444</v>
      </c>
      <c r="C150">
        <v>-108995.97</v>
      </c>
      <c r="D150">
        <v>0</v>
      </c>
      <c r="E150" t="s">
        <v>725</v>
      </c>
    </row>
    <row r="151" spans="1:5" x14ac:dyDescent="0.35">
      <c r="A151">
        <v>180</v>
      </c>
      <c r="B151" t="s">
        <v>445</v>
      </c>
      <c r="C151">
        <v>0</v>
      </c>
      <c r="D151">
        <v>0</v>
      </c>
      <c r="E151" t="s">
        <v>725</v>
      </c>
    </row>
    <row r="152" spans="1:5" x14ac:dyDescent="0.35">
      <c r="A152">
        <v>190</v>
      </c>
      <c r="B152" t="s">
        <v>446</v>
      </c>
      <c r="C152">
        <v>0</v>
      </c>
      <c r="D152">
        <v>0</v>
      </c>
      <c r="E152" t="s">
        <v>725</v>
      </c>
    </row>
    <row r="153" spans="1:5" x14ac:dyDescent="0.35">
      <c r="A153">
        <v>200</v>
      </c>
      <c r="B153" t="s">
        <v>447</v>
      </c>
      <c r="C153">
        <v>-108995.97</v>
      </c>
      <c r="D153">
        <v>0</v>
      </c>
      <c r="E153" t="s">
        <v>725</v>
      </c>
    </row>
    <row r="154" spans="1:5" x14ac:dyDescent="0.35">
      <c r="A154">
        <v>210</v>
      </c>
      <c r="B154" t="s">
        <v>448</v>
      </c>
      <c r="C154">
        <v>-114283.11</v>
      </c>
      <c r="D154">
        <v>0</v>
      </c>
      <c r="E154" t="s">
        <v>725</v>
      </c>
    </row>
    <row r="155" spans="1:5" x14ac:dyDescent="0.35">
      <c r="A155" t="s">
        <v>486</v>
      </c>
      <c r="B155" t="s">
        <v>416</v>
      </c>
      <c r="C155" t="s">
        <v>419</v>
      </c>
      <c r="D155" t="s">
        <v>483</v>
      </c>
      <c r="E155" t="s">
        <v>121</v>
      </c>
    </row>
    <row r="156" spans="1:5" x14ac:dyDescent="0.35">
      <c r="A156">
        <v>30</v>
      </c>
      <c r="B156" t="s">
        <v>427</v>
      </c>
      <c r="C156">
        <v>132213.26</v>
      </c>
      <c r="D156">
        <v>0</v>
      </c>
      <c r="E156" t="s">
        <v>725</v>
      </c>
    </row>
    <row r="157" spans="1:5" x14ac:dyDescent="0.35">
      <c r="A157">
        <v>40</v>
      </c>
      <c r="B157" t="s">
        <v>429</v>
      </c>
      <c r="C157">
        <v>0</v>
      </c>
      <c r="D157">
        <v>0</v>
      </c>
      <c r="E157" t="s">
        <v>725</v>
      </c>
    </row>
    <row r="158" spans="1:5" x14ac:dyDescent="0.35">
      <c r="A158">
        <v>50</v>
      </c>
      <c r="B158" t="s">
        <v>430</v>
      </c>
      <c r="C158">
        <v>132213.26</v>
      </c>
      <c r="D158">
        <v>0</v>
      </c>
      <c r="E158" t="s">
        <v>725</v>
      </c>
    </row>
    <row r="159" spans="1:5" x14ac:dyDescent="0.35">
      <c r="A159">
        <v>60</v>
      </c>
      <c r="B159" t="s">
        <v>431</v>
      </c>
      <c r="C159">
        <v>251094.73</v>
      </c>
      <c r="D159">
        <v>0</v>
      </c>
      <c r="E159" t="s">
        <v>725</v>
      </c>
    </row>
    <row r="160" spans="1:5" x14ac:dyDescent="0.35">
      <c r="A160">
        <v>70</v>
      </c>
      <c r="B160" t="s">
        <v>432</v>
      </c>
      <c r="C160">
        <v>-118881.47</v>
      </c>
      <c r="D160">
        <v>0</v>
      </c>
      <c r="E160" t="s">
        <v>725</v>
      </c>
    </row>
    <row r="161" spans="1:5" x14ac:dyDescent="0.35">
      <c r="A161">
        <v>80</v>
      </c>
      <c r="B161" t="s">
        <v>433</v>
      </c>
      <c r="C161">
        <v>10089.27</v>
      </c>
      <c r="D161">
        <v>0</v>
      </c>
      <c r="E161" t="s">
        <v>725</v>
      </c>
    </row>
    <row r="162" spans="1:5" x14ac:dyDescent="0.35">
      <c r="A162">
        <v>90</v>
      </c>
      <c r="B162" t="s">
        <v>434</v>
      </c>
      <c r="C162">
        <v>620774.59</v>
      </c>
      <c r="D162">
        <v>0</v>
      </c>
      <c r="E162" t="s">
        <v>725</v>
      </c>
    </row>
    <row r="163" spans="1:5" x14ac:dyDescent="0.35">
      <c r="A163">
        <v>100</v>
      </c>
      <c r="B163" t="s">
        <v>435</v>
      </c>
      <c r="C163">
        <v>0</v>
      </c>
      <c r="D163">
        <v>0</v>
      </c>
      <c r="E163" t="s">
        <v>725</v>
      </c>
    </row>
    <row r="164" spans="1:5" x14ac:dyDescent="0.35">
      <c r="A164">
        <v>110</v>
      </c>
      <c r="B164" t="s">
        <v>436</v>
      </c>
      <c r="C164">
        <v>630863.86</v>
      </c>
      <c r="D164">
        <v>0</v>
      </c>
      <c r="E164" t="s">
        <v>725</v>
      </c>
    </row>
    <row r="165" spans="1:5" x14ac:dyDescent="0.35">
      <c r="A165">
        <v>120</v>
      </c>
      <c r="B165" t="s">
        <v>437</v>
      </c>
      <c r="C165">
        <v>-749745.33</v>
      </c>
      <c r="D165">
        <v>0</v>
      </c>
      <c r="E165" t="s">
        <v>725</v>
      </c>
    </row>
    <row r="166" spans="1:5" x14ac:dyDescent="0.35">
      <c r="A166">
        <v>130</v>
      </c>
      <c r="B166" t="s">
        <v>438</v>
      </c>
      <c r="C166">
        <v>0</v>
      </c>
      <c r="D166">
        <v>0</v>
      </c>
      <c r="E166" t="s">
        <v>725</v>
      </c>
    </row>
    <row r="167" spans="1:5" x14ac:dyDescent="0.35">
      <c r="A167">
        <v>135</v>
      </c>
      <c r="B167" t="s">
        <v>439</v>
      </c>
      <c r="C167">
        <v>0</v>
      </c>
      <c r="D167">
        <v>0</v>
      </c>
      <c r="E167" t="s">
        <v>725</v>
      </c>
    </row>
    <row r="168" spans="1:5" x14ac:dyDescent="0.35">
      <c r="A168">
        <v>140</v>
      </c>
      <c r="B168" t="s">
        <v>440</v>
      </c>
      <c r="C168">
        <v>18703.11</v>
      </c>
      <c r="D168">
        <v>0</v>
      </c>
      <c r="E168" t="s">
        <v>725</v>
      </c>
    </row>
    <row r="169" spans="1:5" x14ac:dyDescent="0.35">
      <c r="A169">
        <v>150</v>
      </c>
      <c r="B169" t="s">
        <v>441</v>
      </c>
      <c r="C169">
        <v>528231.14</v>
      </c>
      <c r="D169">
        <v>0</v>
      </c>
      <c r="E169" t="s">
        <v>725</v>
      </c>
    </row>
    <row r="170" spans="1:5" x14ac:dyDescent="0.35">
      <c r="A170">
        <v>155</v>
      </c>
      <c r="B170" t="s">
        <v>442</v>
      </c>
      <c r="C170">
        <v>0</v>
      </c>
      <c r="D170">
        <v>0</v>
      </c>
      <c r="E170" t="s">
        <v>725</v>
      </c>
    </row>
    <row r="171" spans="1:5" x14ac:dyDescent="0.35">
      <c r="A171">
        <v>160</v>
      </c>
      <c r="B171" t="s">
        <v>443</v>
      </c>
      <c r="C171">
        <v>-509528.03</v>
      </c>
      <c r="D171">
        <v>0</v>
      </c>
      <c r="E171" t="s">
        <v>725</v>
      </c>
    </row>
    <row r="172" spans="1:5" x14ac:dyDescent="0.35">
      <c r="A172">
        <v>170</v>
      </c>
      <c r="B172" t="s">
        <v>444</v>
      </c>
      <c r="C172">
        <v>-240217.3</v>
      </c>
      <c r="D172">
        <v>0</v>
      </c>
      <c r="E172" t="s">
        <v>725</v>
      </c>
    </row>
    <row r="173" spans="1:5" x14ac:dyDescent="0.35">
      <c r="A173">
        <v>180</v>
      </c>
      <c r="B173" t="s">
        <v>445</v>
      </c>
      <c r="C173">
        <v>0</v>
      </c>
      <c r="D173">
        <v>0</v>
      </c>
      <c r="E173" t="s">
        <v>725</v>
      </c>
    </row>
    <row r="174" spans="1:5" x14ac:dyDescent="0.35">
      <c r="A174">
        <v>190</v>
      </c>
      <c r="B174" t="s">
        <v>446</v>
      </c>
      <c r="C174">
        <v>0</v>
      </c>
      <c r="D174">
        <v>0</v>
      </c>
      <c r="E174" t="s">
        <v>725</v>
      </c>
    </row>
    <row r="175" spans="1:5" x14ac:dyDescent="0.35">
      <c r="A175">
        <v>200</v>
      </c>
      <c r="B175" t="s">
        <v>447</v>
      </c>
      <c r="C175">
        <v>-240217.3</v>
      </c>
      <c r="D175">
        <v>0</v>
      </c>
      <c r="E175" t="s">
        <v>725</v>
      </c>
    </row>
    <row r="176" spans="1:5" x14ac:dyDescent="0.35">
      <c r="A176">
        <v>210</v>
      </c>
      <c r="B176" t="s">
        <v>448</v>
      </c>
      <c r="C176">
        <v>-749745.33</v>
      </c>
      <c r="D176">
        <v>0</v>
      </c>
      <c r="E176" t="s">
        <v>725</v>
      </c>
    </row>
    <row r="177" spans="1:5" x14ac:dyDescent="0.35">
      <c r="A177" t="s">
        <v>487</v>
      </c>
      <c r="B177" t="s">
        <v>416</v>
      </c>
      <c r="C177" t="s">
        <v>419</v>
      </c>
      <c r="D177" t="s">
        <v>425</v>
      </c>
      <c r="E177" t="s">
        <v>121</v>
      </c>
    </row>
    <row r="178" spans="1:5" x14ac:dyDescent="0.35">
      <c r="A178">
        <v>30</v>
      </c>
      <c r="B178" t="s">
        <v>427</v>
      </c>
      <c r="C178">
        <v>608784.26</v>
      </c>
      <c r="D178">
        <v>0</v>
      </c>
      <c r="E178" t="s">
        <v>725</v>
      </c>
    </row>
    <row r="179" spans="1:5" x14ac:dyDescent="0.35">
      <c r="A179">
        <v>40</v>
      </c>
      <c r="B179" t="s">
        <v>429</v>
      </c>
      <c r="C179">
        <v>0</v>
      </c>
      <c r="D179">
        <v>0</v>
      </c>
      <c r="E179" t="s">
        <v>725</v>
      </c>
    </row>
    <row r="180" spans="1:5" x14ac:dyDescent="0.35">
      <c r="A180">
        <v>50</v>
      </c>
      <c r="B180" t="s">
        <v>430</v>
      </c>
      <c r="C180">
        <v>608784.26</v>
      </c>
      <c r="D180">
        <v>0</v>
      </c>
      <c r="E180" t="s">
        <v>725</v>
      </c>
    </row>
    <row r="181" spans="1:5" x14ac:dyDescent="0.35">
      <c r="A181">
        <v>60</v>
      </c>
      <c r="B181" t="s">
        <v>431</v>
      </c>
      <c r="C181">
        <v>626576.77</v>
      </c>
      <c r="D181">
        <v>0</v>
      </c>
      <c r="E181" t="s">
        <v>725</v>
      </c>
    </row>
    <row r="182" spans="1:5" x14ac:dyDescent="0.35">
      <c r="A182">
        <v>70</v>
      </c>
      <c r="B182" t="s">
        <v>432</v>
      </c>
      <c r="C182">
        <v>-17792.509999999998</v>
      </c>
      <c r="D182">
        <v>0</v>
      </c>
      <c r="E182" t="s">
        <v>725</v>
      </c>
    </row>
    <row r="183" spans="1:5" x14ac:dyDescent="0.35">
      <c r="A183">
        <v>80</v>
      </c>
      <c r="B183" t="s">
        <v>433</v>
      </c>
      <c r="C183">
        <v>52869.56</v>
      </c>
      <c r="D183">
        <v>0</v>
      </c>
      <c r="E183" t="s">
        <v>725</v>
      </c>
    </row>
    <row r="184" spans="1:5" x14ac:dyDescent="0.35">
      <c r="A184">
        <v>90</v>
      </c>
      <c r="B184" t="s">
        <v>434</v>
      </c>
      <c r="C184">
        <v>376560.13</v>
      </c>
      <c r="D184">
        <v>0</v>
      </c>
      <c r="E184" t="s">
        <v>725</v>
      </c>
    </row>
    <row r="185" spans="1:5" x14ac:dyDescent="0.35">
      <c r="A185">
        <v>100</v>
      </c>
      <c r="B185" t="s">
        <v>435</v>
      </c>
      <c r="C185">
        <v>936.71</v>
      </c>
      <c r="D185">
        <v>0</v>
      </c>
      <c r="E185" t="s">
        <v>725</v>
      </c>
    </row>
    <row r="186" spans="1:5" x14ac:dyDescent="0.35">
      <c r="A186">
        <v>110</v>
      </c>
      <c r="B186" t="s">
        <v>436</v>
      </c>
      <c r="C186">
        <v>430366.4</v>
      </c>
      <c r="D186">
        <v>0</v>
      </c>
      <c r="E186" t="s">
        <v>725</v>
      </c>
    </row>
    <row r="187" spans="1:5" x14ac:dyDescent="0.35">
      <c r="A187">
        <v>120</v>
      </c>
      <c r="B187" t="s">
        <v>437</v>
      </c>
      <c r="C187">
        <v>-448158.91</v>
      </c>
      <c r="D187">
        <v>0</v>
      </c>
      <c r="E187" t="s">
        <v>725</v>
      </c>
    </row>
    <row r="188" spans="1:5" x14ac:dyDescent="0.35">
      <c r="A188">
        <v>130</v>
      </c>
      <c r="B188" t="s">
        <v>438</v>
      </c>
      <c r="C188">
        <v>0</v>
      </c>
      <c r="D188">
        <v>0</v>
      </c>
      <c r="E188" t="s">
        <v>725</v>
      </c>
    </row>
    <row r="189" spans="1:5" x14ac:dyDescent="0.35">
      <c r="A189">
        <v>135</v>
      </c>
      <c r="B189" t="s">
        <v>439</v>
      </c>
      <c r="C189">
        <v>0</v>
      </c>
      <c r="D189">
        <v>0</v>
      </c>
      <c r="E189" t="s">
        <v>725</v>
      </c>
    </row>
    <row r="190" spans="1:5" x14ac:dyDescent="0.35">
      <c r="A190">
        <v>140</v>
      </c>
      <c r="B190" t="s">
        <v>440</v>
      </c>
      <c r="C190">
        <v>0</v>
      </c>
      <c r="D190">
        <v>0</v>
      </c>
      <c r="E190" t="s">
        <v>725</v>
      </c>
    </row>
    <row r="191" spans="1:5" x14ac:dyDescent="0.35">
      <c r="A191">
        <v>150</v>
      </c>
      <c r="B191" t="s">
        <v>441</v>
      </c>
      <c r="C191">
        <v>0</v>
      </c>
      <c r="D191">
        <v>0</v>
      </c>
      <c r="E191" t="s">
        <v>725</v>
      </c>
    </row>
    <row r="192" spans="1:5" x14ac:dyDescent="0.35">
      <c r="A192">
        <v>155</v>
      </c>
      <c r="B192" t="s">
        <v>442</v>
      </c>
      <c r="C192">
        <v>0</v>
      </c>
      <c r="D192">
        <v>0</v>
      </c>
      <c r="E192" t="s">
        <v>725</v>
      </c>
    </row>
    <row r="193" spans="1:5" x14ac:dyDescent="0.35">
      <c r="A193">
        <v>160</v>
      </c>
      <c r="B193" t="s">
        <v>443</v>
      </c>
      <c r="C193">
        <v>0</v>
      </c>
      <c r="D193">
        <v>0</v>
      </c>
      <c r="E193" t="s">
        <v>725</v>
      </c>
    </row>
    <row r="194" spans="1:5" x14ac:dyDescent="0.35">
      <c r="A194">
        <v>170</v>
      </c>
      <c r="B194" t="s">
        <v>444</v>
      </c>
      <c r="C194">
        <v>-448158.91</v>
      </c>
      <c r="D194">
        <v>0</v>
      </c>
      <c r="E194" t="s">
        <v>725</v>
      </c>
    </row>
    <row r="195" spans="1:5" x14ac:dyDescent="0.35">
      <c r="A195">
        <v>180</v>
      </c>
      <c r="B195" t="s">
        <v>445</v>
      </c>
      <c r="C195">
        <v>0</v>
      </c>
      <c r="D195">
        <v>0</v>
      </c>
      <c r="E195" t="s">
        <v>725</v>
      </c>
    </row>
    <row r="196" spans="1:5" x14ac:dyDescent="0.35">
      <c r="A196">
        <v>190</v>
      </c>
      <c r="B196" t="s">
        <v>446</v>
      </c>
      <c r="C196">
        <v>0</v>
      </c>
      <c r="D196">
        <v>0</v>
      </c>
      <c r="E196" t="s">
        <v>725</v>
      </c>
    </row>
    <row r="197" spans="1:5" x14ac:dyDescent="0.35">
      <c r="A197">
        <v>200</v>
      </c>
      <c r="B197" t="s">
        <v>447</v>
      </c>
      <c r="C197">
        <v>-448158.91</v>
      </c>
      <c r="D197">
        <v>0</v>
      </c>
      <c r="E197" t="s">
        <v>725</v>
      </c>
    </row>
    <row r="198" spans="1:5" x14ac:dyDescent="0.35">
      <c r="A198">
        <v>210</v>
      </c>
      <c r="B198" t="s">
        <v>448</v>
      </c>
      <c r="C198">
        <v>-447222.2</v>
      </c>
      <c r="D198">
        <v>0</v>
      </c>
      <c r="E198" t="s">
        <v>725</v>
      </c>
    </row>
    <row r="199" spans="1:5" x14ac:dyDescent="0.35">
      <c r="A199" t="s">
        <v>488</v>
      </c>
      <c r="B199" t="s">
        <v>416</v>
      </c>
      <c r="C199" t="s">
        <v>419</v>
      </c>
      <c r="D199" t="s">
        <v>483</v>
      </c>
      <c r="E199" t="s">
        <v>121</v>
      </c>
    </row>
    <row r="200" spans="1:5" x14ac:dyDescent="0.35">
      <c r="A200">
        <v>30</v>
      </c>
      <c r="B200" t="s">
        <v>427</v>
      </c>
      <c r="C200">
        <v>27902.57</v>
      </c>
      <c r="D200">
        <v>0</v>
      </c>
      <c r="E200" t="s">
        <v>725</v>
      </c>
    </row>
    <row r="201" spans="1:5" x14ac:dyDescent="0.35">
      <c r="A201">
        <v>40</v>
      </c>
      <c r="B201" t="s">
        <v>429</v>
      </c>
      <c r="C201">
        <v>0</v>
      </c>
      <c r="D201">
        <v>0</v>
      </c>
      <c r="E201" t="s">
        <v>725</v>
      </c>
    </row>
    <row r="202" spans="1:5" x14ac:dyDescent="0.35">
      <c r="A202">
        <v>50</v>
      </c>
      <c r="B202" t="s">
        <v>430</v>
      </c>
      <c r="C202">
        <v>27902.57</v>
      </c>
      <c r="D202">
        <v>0</v>
      </c>
      <c r="E202" t="s">
        <v>725</v>
      </c>
    </row>
    <row r="203" spans="1:5" x14ac:dyDescent="0.35">
      <c r="A203">
        <v>60</v>
      </c>
      <c r="B203" t="s">
        <v>431</v>
      </c>
      <c r="C203">
        <v>24263.34</v>
      </c>
      <c r="D203">
        <v>0</v>
      </c>
      <c r="E203" t="s">
        <v>725</v>
      </c>
    </row>
    <row r="204" spans="1:5" x14ac:dyDescent="0.35">
      <c r="A204">
        <v>70</v>
      </c>
      <c r="B204" t="s">
        <v>432</v>
      </c>
      <c r="C204">
        <v>3639.23</v>
      </c>
      <c r="D204">
        <v>0</v>
      </c>
      <c r="E204" t="s">
        <v>725</v>
      </c>
    </row>
    <row r="205" spans="1:5" x14ac:dyDescent="0.35">
      <c r="A205">
        <v>80</v>
      </c>
      <c r="B205" t="s">
        <v>433</v>
      </c>
      <c r="C205">
        <v>-4873.0200000000004</v>
      </c>
      <c r="D205">
        <v>0</v>
      </c>
      <c r="E205" t="s">
        <v>725</v>
      </c>
    </row>
    <row r="206" spans="1:5" x14ac:dyDescent="0.35">
      <c r="A206">
        <v>90</v>
      </c>
      <c r="B206" t="s">
        <v>434</v>
      </c>
      <c r="C206">
        <v>124682.21</v>
      </c>
      <c r="D206">
        <v>0</v>
      </c>
      <c r="E206" t="s">
        <v>725</v>
      </c>
    </row>
    <row r="207" spans="1:5" x14ac:dyDescent="0.35">
      <c r="A207">
        <v>100</v>
      </c>
      <c r="B207" t="s">
        <v>435</v>
      </c>
      <c r="C207">
        <v>151289.01999999999</v>
      </c>
      <c r="D207">
        <v>0</v>
      </c>
      <c r="E207" t="s">
        <v>725</v>
      </c>
    </row>
    <row r="208" spans="1:5" x14ac:dyDescent="0.35">
      <c r="A208">
        <v>110</v>
      </c>
      <c r="B208" t="s">
        <v>436</v>
      </c>
      <c r="C208">
        <v>271098.21000000002</v>
      </c>
      <c r="D208">
        <v>0</v>
      </c>
      <c r="E208" t="s">
        <v>725</v>
      </c>
    </row>
    <row r="209" spans="1:5" x14ac:dyDescent="0.35">
      <c r="A209">
        <v>120</v>
      </c>
      <c r="B209" t="s">
        <v>437</v>
      </c>
      <c r="C209">
        <v>-267458.98</v>
      </c>
      <c r="D209">
        <v>0</v>
      </c>
      <c r="E209" t="s">
        <v>725</v>
      </c>
    </row>
    <row r="210" spans="1:5" x14ac:dyDescent="0.35">
      <c r="A210">
        <v>130</v>
      </c>
      <c r="B210" t="s">
        <v>438</v>
      </c>
      <c r="C210">
        <v>0</v>
      </c>
      <c r="D210">
        <v>0</v>
      </c>
      <c r="E210" t="s">
        <v>725</v>
      </c>
    </row>
    <row r="211" spans="1:5" x14ac:dyDescent="0.35">
      <c r="A211">
        <v>135</v>
      </c>
      <c r="B211" t="s">
        <v>439</v>
      </c>
      <c r="C211">
        <v>0</v>
      </c>
      <c r="D211">
        <v>0</v>
      </c>
      <c r="E211" t="s">
        <v>725</v>
      </c>
    </row>
    <row r="212" spans="1:5" x14ac:dyDescent="0.35">
      <c r="A212">
        <v>140</v>
      </c>
      <c r="B212" t="s">
        <v>440</v>
      </c>
      <c r="C212">
        <v>7186.53</v>
      </c>
      <c r="D212">
        <v>0</v>
      </c>
      <c r="E212" t="s">
        <v>725</v>
      </c>
    </row>
    <row r="213" spans="1:5" x14ac:dyDescent="0.35">
      <c r="A213">
        <v>150</v>
      </c>
      <c r="B213" t="s">
        <v>441</v>
      </c>
      <c r="C213">
        <v>4.43</v>
      </c>
      <c r="D213">
        <v>0</v>
      </c>
      <c r="E213" t="s">
        <v>725</v>
      </c>
    </row>
    <row r="214" spans="1:5" x14ac:dyDescent="0.35">
      <c r="A214">
        <v>155</v>
      </c>
      <c r="B214" t="s">
        <v>442</v>
      </c>
      <c r="C214">
        <v>0</v>
      </c>
      <c r="D214">
        <v>0</v>
      </c>
      <c r="E214" t="s">
        <v>725</v>
      </c>
    </row>
    <row r="215" spans="1:5" x14ac:dyDescent="0.35">
      <c r="A215">
        <v>160</v>
      </c>
      <c r="B215" t="s">
        <v>443</v>
      </c>
      <c r="C215">
        <v>7182.1</v>
      </c>
      <c r="D215">
        <v>0</v>
      </c>
      <c r="E215" t="s">
        <v>725</v>
      </c>
    </row>
    <row r="216" spans="1:5" x14ac:dyDescent="0.35">
      <c r="A216">
        <v>170</v>
      </c>
      <c r="B216" t="s">
        <v>444</v>
      </c>
      <c r="C216">
        <v>-274641.08</v>
      </c>
      <c r="D216">
        <v>0</v>
      </c>
      <c r="E216" t="s">
        <v>725</v>
      </c>
    </row>
    <row r="217" spans="1:5" x14ac:dyDescent="0.35">
      <c r="A217">
        <v>180</v>
      </c>
      <c r="B217" t="s">
        <v>445</v>
      </c>
      <c r="C217">
        <v>0</v>
      </c>
      <c r="D217">
        <v>0</v>
      </c>
      <c r="E217" t="s">
        <v>725</v>
      </c>
    </row>
    <row r="218" spans="1:5" x14ac:dyDescent="0.35">
      <c r="A218">
        <v>190</v>
      </c>
      <c r="B218" t="s">
        <v>446</v>
      </c>
      <c r="C218">
        <v>0</v>
      </c>
      <c r="D218">
        <v>0</v>
      </c>
      <c r="E218" t="s">
        <v>725</v>
      </c>
    </row>
    <row r="219" spans="1:5" x14ac:dyDescent="0.35">
      <c r="A219">
        <v>200</v>
      </c>
      <c r="B219" t="s">
        <v>447</v>
      </c>
      <c r="C219">
        <v>-274641.08</v>
      </c>
      <c r="D219">
        <v>0</v>
      </c>
      <c r="E219" t="s">
        <v>725</v>
      </c>
    </row>
    <row r="220" spans="1:5" x14ac:dyDescent="0.35">
      <c r="A220">
        <v>210</v>
      </c>
      <c r="B220" t="s">
        <v>448</v>
      </c>
      <c r="C220">
        <v>-116169.96</v>
      </c>
      <c r="D220">
        <v>0</v>
      </c>
      <c r="E220" t="s">
        <v>725</v>
      </c>
    </row>
    <row r="221" spans="1:5" x14ac:dyDescent="0.35">
      <c r="A221" t="s">
        <v>489</v>
      </c>
      <c r="B221" t="s">
        <v>416</v>
      </c>
      <c r="C221" t="s">
        <v>419</v>
      </c>
      <c r="D221" t="s">
        <v>476</v>
      </c>
      <c r="E221" t="s">
        <v>121</v>
      </c>
    </row>
    <row r="222" spans="1:5" x14ac:dyDescent="0.35">
      <c r="A222">
        <v>30</v>
      </c>
      <c r="B222" t="s">
        <v>427</v>
      </c>
      <c r="C222">
        <v>3288000</v>
      </c>
      <c r="D222">
        <v>0</v>
      </c>
      <c r="E222" t="s">
        <v>725</v>
      </c>
    </row>
    <row r="223" spans="1:5" x14ac:dyDescent="0.35">
      <c r="A223">
        <v>40</v>
      </c>
      <c r="B223" t="s">
        <v>429</v>
      </c>
      <c r="C223">
        <v>0</v>
      </c>
      <c r="D223">
        <v>0</v>
      </c>
      <c r="E223" t="s">
        <v>725</v>
      </c>
    </row>
    <row r="224" spans="1:5" x14ac:dyDescent="0.35">
      <c r="A224">
        <v>50</v>
      </c>
      <c r="B224" t="s">
        <v>430</v>
      </c>
      <c r="C224">
        <v>3288000</v>
      </c>
      <c r="D224">
        <v>0</v>
      </c>
      <c r="E224" t="s">
        <v>725</v>
      </c>
    </row>
    <row r="225" spans="1:5" x14ac:dyDescent="0.35">
      <c r="A225">
        <v>60</v>
      </c>
      <c r="B225" t="s">
        <v>431</v>
      </c>
      <c r="C225">
        <v>0</v>
      </c>
      <c r="D225">
        <v>0</v>
      </c>
      <c r="E225" t="s">
        <v>725</v>
      </c>
    </row>
    <row r="226" spans="1:5" x14ac:dyDescent="0.35">
      <c r="A226">
        <v>70</v>
      </c>
      <c r="B226" t="s">
        <v>432</v>
      </c>
      <c r="C226">
        <v>3288000</v>
      </c>
      <c r="D226">
        <v>0</v>
      </c>
      <c r="E226" t="s">
        <v>725</v>
      </c>
    </row>
    <row r="227" spans="1:5" x14ac:dyDescent="0.35">
      <c r="A227">
        <v>80</v>
      </c>
      <c r="B227" t="s">
        <v>433</v>
      </c>
      <c r="C227">
        <v>0</v>
      </c>
      <c r="D227">
        <v>0</v>
      </c>
      <c r="E227" t="s">
        <v>725</v>
      </c>
    </row>
    <row r="228" spans="1:5" x14ac:dyDescent="0.35">
      <c r="A228">
        <v>90</v>
      </c>
      <c r="B228" t="s">
        <v>434</v>
      </c>
      <c r="C228">
        <v>117835.35</v>
      </c>
      <c r="D228">
        <v>0</v>
      </c>
      <c r="E228" t="s">
        <v>725</v>
      </c>
    </row>
    <row r="229" spans="1:5" x14ac:dyDescent="0.35">
      <c r="A229">
        <v>100</v>
      </c>
      <c r="B229" t="s">
        <v>435</v>
      </c>
      <c r="C229">
        <v>0</v>
      </c>
      <c r="D229">
        <v>0</v>
      </c>
      <c r="E229" t="s">
        <v>725</v>
      </c>
    </row>
    <row r="230" spans="1:5" x14ac:dyDescent="0.35">
      <c r="A230">
        <v>110</v>
      </c>
      <c r="B230" t="s">
        <v>436</v>
      </c>
      <c r="C230">
        <v>117835.35</v>
      </c>
      <c r="D230">
        <v>0</v>
      </c>
      <c r="E230" t="s">
        <v>725</v>
      </c>
    </row>
    <row r="231" spans="1:5" x14ac:dyDescent="0.35">
      <c r="A231">
        <v>120</v>
      </c>
      <c r="B231" t="s">
        <v>437</v>
      </c>
      <c r="C231">
        <v>3170164.65</v>
      </c>
      <c r="D231">
        <v>0</v>
      </c>
      <c r="E231" t="s">
        <v>725</v>
      </c>
    </row>
    <row r="232" spans="1:5" x14ac:dyDescent="0.35">
      <c r="A232">
        <v>130</v>
      </c>
      <c r="B232" t="s">
        <v>438</v>
      </c>
      <c r="C232">
        <v>2881873.6</v>
      </c>
      <c r="D232">
        <v>0</v>
      </c>
      <c r="E232" t="s">
        <v>725</v>
      </c>
    </row>
    <row r="233" spans="1:5" x14ac:dyDescent="0.35">
      <c r="A233">
        <v>135</v>
      </c>
      <c r="B233" t="s">
        <v>439</v>
      </c>
      <c r="C233">
        <v>0</v>
      </c>
      <c r="D233">
        <v>0</v>
      </c>
      <c r="E233" t="s">
        <v>725</v>
      </c>
    </row>
    <row r="234" spans="1:5" x14ac:dyDescent="0.35">
      <c r="A234">
        <v>140</v>
      </c>
      <c r="B234" t="s">
        <v>440</v>
      </c>
      <c r="C234">
        <v>380282.13</v>
      </c>
      <c r="D234">
        <v>0</v>
      </c>
      <c r="E234" t="s">
        <v>725</v>
      </c>
    </row>
    <row r="235" spans="1:5" x14ac:dyDescent="0.35">
      <c r="A235">
        <v>150</v>
      </c>
      <c r="B235" t="s">
        <v>441</v>
      </c>
      <c r="C235">
        <v>40.42</v>
      </c>
      <c r="D235">
        <v>0</v>
      </c>
      <c r="E235" t="s">
        <v>725</v>
      </c>
    </row>
    <row r="236" spans="1:5" x14ac:dyDescent="0.35">
      <c r="A236">
        <v>155</v>
      </c>
      <c r="B236" t="s">
        <v>442</v>
      </c>
      <c r="C236">
        <v>0</v>
      </c>
      <c r="D236">
        <v>0</v>
      </c>
      <c r="E236" t="s">
        <v>725</v>
      </c>
    </row>
    <row r="237" spans="1:5" x14ac:dyDescent="0.35">
      <c r="A237">
        <v>160</v>
      </c>
      <c r="B237" t="s">
        <v>443</v>
      </c>
      <c r="C237">
        <v>3262115.31</v>
      </c>
      <c r="D237">
        <v>0</v>
      </c>
      <c r="E237" t="s">
        <v>725</v>
      </c>
    </row>
    <row r="238" spans="1:5" x14ac:dyDescent="0.35">
      <c r="A238">
        <v>170</v>
      </c>
      <c r="B238" t="s">
        <v>444</v>
      </c>
      <c r="C238">
        <v>-91950.66</v>
      </c>
      <c r="D238">
        <v>0</v>
      </c>
      <c r="E238" t="s">
        <v>725</v>
      </c>
    </row>
    <row r="239" spans="1:5" x14ac:dyDescent="0.35">
      <c r="A239">
        <v>180</v>
      </c>
      <c r="B239" t="s">
        <v>445</v>
      </c>
      <c r="C239">
        <v>19523.439999999999</v>
      </c>
      <c r="D239">
        <v>0</v>
      </c>
      <c r="E239" t="s">
        <v>725</v>
      </c>
    </row>
    <row r="240" spans="1:5" x14ac:dyDescent="0.35">
      <c r="A240">
        <v>190</v>
      </c>
      <c r="B240" t="s">
        <v>446</v>
      </c>
      <c r="C240">
        <v>0</v>
      </c>
      <c r="D240">
        <v>0</v>
      </c>
      <c r="E240" t="s">
        <v>725</v>
      </c>
    </row>
    <row r="241" spans="1:5" x14ac:dyDescent="0.35">
      <c r="A241">
        <v>200</v>
      </c>
      <c r="B241" t="s">
        <v>447</v>
      </c>
      <c r="C241">
        <v>-111474.1</v>
      </c>
      <c r="D241">
        <v>0</v>
      </c>
      <c r="E241" t="s">
        <v>725</v>
      </c>
    </row>
    <row r="242" spans="1:5" x14ac:dyDescent="0.35">
      <c r="A242">
        <v>210</v>
      </c>
      <c r="B242" t="s">
        <v>448</v>
      </c>
      <c r="C242">
        <v>3170164.65</v>
      </c>
      <c r="D242">
        <v>0</v>
      </c>
      <c r="E242" t="s">
        <v>725</v>
      </c>
    </row>
    <row r="243" spans="1:5" x14ac:dyDescent="0.35">
      <c r="A243" t="s">
        <v>490</v>
      </c>
      <c r="B243" t="s">
        <v>416</v>
      </c>
      <c r="C243" t="s">
        <v>419</v>
      </c>
      <c r="D243" t="s">
        <v>476</v>
      </c>
      <c r="E243" t="s">
        <v>121</v>
      </c>
    </row>
    <row r="244" spans="1:5" x14ac:dyDescent="0.35">
      <c r="A244">
        <v>30</v>
      </c>
      <c r="B244" t="s">
        <v>427</v>
      </c>
      <c r="C244">
        <v>3388156.17</v>
      </c>
      <c r="D244">
        <v>0</v>
      </c>
      <c r="E244" t="s">
        <v>725</v>
      </c>
    </row>
    <row r="245" spans="1:5" x14ac:dyDescent="0.35">
      <c r="A245">
        <v>40</v>
      </c>
      <c r="B245" t="s">
        <v>429</v>
      </c>
      <c r="C245">
        <v>0</v>
      </c>
      <c r="D245">
        <v>0</v>
      </c>
      <c r="E245" t="s">
        <v>725</v>
      </c>
    </row>
    <row r="246" spans="1:5" x14ac:dyDescent="0.35">
      <c r="A246">
        <v>50</v>
      </c>
      <c r="B246" t="s">
        <v>430</v>
      </c>
      <c r="C246">
        <v>3388156.17</v>
      </c>
      <c r="D246">
        <v>0</v>
      </c>
      <c r="E246" t="s">
        <v>725</v>
      </c>
    </row>
    <row r="247" spans="1:5" x14ac:dyDescent="0.35">
      <c r="A247">
        <v>60</v>
      </c>
      <c r="B247" t="s">
        <v>431</v>
      </c>
      <c r="C247">
        <v>0</v>
      </c>
      <c r="D247">
        <v>0</v>
      </c>
      <c r="E247" t="s">
        <v>725</v>
      </c>
    </row>
    <row r="248" spans="1:5" x14ac:dyDescent="0.35">
      <c r="A248">
        <v>70</v>
      </c>
      <c r="B248" t="s">
        <v>432</v>
      </c>
      <c r="C248">
        <v>3388156.17</v>
      </c>
      <c r="D248">
        <v>0</v>
      </c>
      <c r="E248" t="s">
        <v>725</v>
      </c>
    </row>
    <row r="249" spans="1:5" x14ac:dyDescent="0.35">
      <c r="A249">
        <v>80</v>
      </c>
      <c r="B249" t="s">
        <v>433</v>
      </c>
      <c r="C249">
        <v>0</v>
      </c>
      <c r="D249">
        <v>0</v>
      </c>
      <c r="E249" t="s">
        <v>725</v>
      </c>
    </row>
    <row r="250" spans="1:5" x14ac:dyDescent="0.35">
      <c r="A250">
        <v>90</v>
      </c>
      <c r="B250" t="s">
        <v>434</v>
      </c>
      <c r="C250">
        <v>3996586.39</v>
      </c>
      <c r="D250">
        <v>0</v>
      </c>
      <c r="E250" t="s">
        <v>725</v>
      </c>
    </row>
    <row r="251" spans="1:5" x14ac:dyDescent="0.35">
      <c r="A251">
        <v>100</v>
      </c>
      <c r="B251" t="s">
        <v>435</v>
      </c>
      <c r="C251">
        <v>19594.25</v>
      </c>
      <c r="D251">
        <v>0</v>
      </c>
      <c r="E251" t="s">
        <v>725</v>
      </c>
    </row>
    <row r="252" spans="1:5" x14ac:dyDescent="0.35">
      <c r="A252">
        <v>110</v>
      </c>
      <c r="B252" t="s">
        <v>436</v>
      </c>
      <c r="C252">
        <v>4016180.64</v>
      </c>
      <c r="D252">
        <v>0</v>
      </c>
      <c r="E252" t="s">
        <v>725</v>
      </c>
    </row>
    <row r="253" spans="1:5" x14ac:dyDescent="0.35">
      <c r="A253">
        <v>120</v>
      </c>
      <c r="B253" t="s">
        <v>437</v>
      </c>
      <c r="C253">
        <v>-628024.47</v>
      </c>
      <c r="D253">
        <v>0</v>
      </c>
      <c r="E253" t="s">
        <v>725</v>
      </c>
    </row>
    <row r="254" spans="1:5" x14ac:dyDescent="0.35">
      <c r="A254">
        <v>130</v>
      </c>
      <c r="B254" t="s">
        <v>438</v>
      </c>
      <c r="C254">
        <v>0</v>
      </c>
      <c r="D254">
        <v>0</v>
      </c>
      <c r="E254" t="s">
        <v>725</v>
      </c>
    </row>
    <row r="255" spans="1:5" x14ac:dyDescent="0.35">
      <c r="A255">
        <v>135</v>
      </c>
      <c r="B255" t="s">
        <v>439</v>
      </c>
      <c r="C255">
        <v>0</v>
      </c>
      <c r="D255">
        <v>0</v>
      </c>
      <c r="E255" t="s">
        <v>725</v>
      </c>
    </row>
    <row r="256" spans="1:5" x14ac:dyDescent="0.35">
      <c r="A256">
        <v>140</v>
      </c>
      <c r="B256" t="s">
        <v>440</v>
      </c>
      <c r="C256">
        <v>6741.97</v>
      </c>
      <c r="D256">
        <v>0</v>
      </c>
      <c r="E256" t="s">
        <v>725</v>
      </c>
    </row>
    <row r="257" spans="1:5" x14ac:dyDescent="0.35">
      <c r="A257">
        <v>150</v>
      </c>
      <c r="B257" t="s">
        <v>441</v>
      </c>
      <c r="C257">
        <v>0</v>
      </c>
      <c r="D257">
        <v>0</v>
      </c>
      <c r="E257" t="s">
        <v>725</v>
      </c>
    </row>
    <row r="258" spans="1:5" x14ac:dyDescent="0.35">
      <c r="A258">
        <v>155</v>
      </c>
      <c r="B258" t="s">
        <v>442</v>
      </c>
      <c r="C258">
        <v>0</v>
      </c>
      <c r="D258">
        <v>0</v>
      </c>
      <c r="E258" t="s">
        <v>725</v>
      </c>
    </row>
    <row r="259" spans="1:5" x14ac:dyDescent="0.35">
      <c r="A259">
        <v>160</v>
      </c>
      <c r="B259" t="s">
        <v>443</v>
      </c>
      <c r="C259">
        <v>6741.97</v>
      </c>
      <c r="D259">
        <v>0</v>
      </c>
      <c r="E259" t="s">
        <v>725</v>
      </c>
    </row>
    <row r="260" spans="1:5" x14ac:dyDescent="0.35">
      <c r="A260">
        <v>170</v>
      </c>
      <c r="B260" t="s">
        <v>444</v>
      </c>
      <c r="C260">
        <v>-634766.43999999994</v>
      </c>
      <c r="D260">
        <v>0</v>
      </c>
      <c r="E260" t="s">
        <v>725</v>
      </c>
    </row>
    <row r="261" spans="1:5" x14ac:dyDescent="0.35">
      <c r="A261">
        <v>180</v>
      </c>
      <c r="B261" t="s">
        <v>445</v>
      </c>
      <c r="C261">
        <v>0</v>
      </c>
      <c r="D261">
        <v>0</v>
      </c>
      <c r="E261" t="s">
        <v>725</v>
      </c>
    </row>
    <row r="262" spans="1:5" x14ac:dyDescent="0.35">
      <c r="A262">
        <v>190</v>
      </c>
      <c r="B262" t="s">
        <v>446</v>
      </c>
      <c r="C262">
        <v>0</v>
      </c>
      <c r="D262">
        <v>0</v>
      </c>
      <c r="E262" t="s">
        <v>725</v>
      </c>
    </row>
    <row r="263" spans="1:5" x14ac:dyDescent="0.35">
      <c r="A263">
        <v>200</v>
      </c>
      <c r="B263" t="s">
        <v>447</v>
      </c>
      <c r="C263">
        <v>-634766.43999999994</v>
      </c>
      <c r="D263">
        <v>0</v>
      </c>
      <c r="E263" t="s">
        <v>725</v>
      </c>
    </row>
    <row r="264" spans="1:5" x14ac:dyDescent="0.35">
      <c r="A264">
        <v>210</v>
      </c>
      <c r="B264" t="s">
        <v>448</v>
      </c>
      <c r="C264">
        <v>-608430.22</v>
      </c>
      <c r="D264">
        <v>0</v>
      </c>
      <c r="E264" t="s">
        <v>725</v>
      </c>
    </row>
    <row r="265" spans="1:5" x14ac:dyDescent="0.35">
      <c r="A265" t="s">
        <v>491</v>
      </c>
      <c r="B265" t="s">
        <v>416</v>
      </c>
      <c r="C265" t="s">
        <v>419</v>
      </c>
      <c r="D265" t="s">
        <v>476</v>
      </c>
      <c r="E265" t="s">
        <v>121</v>
      </c>
    </row>
    <row r="266" spans="1:5" x14ac:dyDescent="0.35">
      <c r="A266">
        <v>30</v>
      </c>
      <c r="B266" t="s">
        <v>427</v>
      </c>
      <c r="C266">
        <v>0</v>
      </c>
      <c r="D266">
        <v>0</v>
      </c>
      <c r="E266" t="s">
        <v>725</v>
      </c>
    </row>
    <row r="267" spans="1:5" x14ac:dyDescent="0.35">
      <c r="A267">
        <v>40</v>
      </c>
      <c r="B267" t="s">
        <v>429</v>
      </c>
      <c r="C267">
        <v>0</v>
      </c>
      <c r="D267">
        <v>0</v>
      </c>
      <c r="E267" t="s">
        <v>725</v>
      </c>
    </row>
    <row r="268" spans="1:5" x14ac:dyDescent="0.35">
      <c r="A268">
        <v>50</v>
      </c>
      <c r="B268" t="s">
        <v>430</v>
      </c>
      <c r="C268">
        <v>0</v>
      </c>
      <c r="D268">
        <v>0</v>
      </c>
      <c r="E268" t="s">
        <v>725</v>
      </c>
    </row>
    <row r="269" spans="1:5" x14ac:dyDescent="0.35">
      <c r="A269">
        <v>60</v>
      </c>
      <c r="B269" t="s">
        <v>431</v>
      </c>
      <c r="C269">
        <v>0</v>
      </c>
      <c r="D269">
        <v>0</v>
      </c>
      <c r="E269" t="s">
        <v>725</v>
      </c>
    </row>
    <row r="270" spans="1:5" x14ac:dyDescent="0.35">
      <c r="A270">
        <v>70</v>
      </c>
      <c r="B270" t="s">
        <v>432</v>
      </c>
      <c r="C270">
        <v>0</v>
      </c>
      <c r="D270">
        <v>0</v>
      </c>
      <c r="E270" t="s">
        <v>725</v>
      </c>
    </row>
    <row r="271" spans="1:5" x14ac:dyDescent="0.35">
      <c r="A271">
        <v>80</v>
      </c>
      <c r="B271" t="s">
        <v>433</v>
      </c>
      <c r="C271">
        <v>0</v>
      </c>
      <c r="D271">
        <v>0</v>
      </c>
      <c r="E271" t="s">
        <v>725</v>
      </c>
    </row>
    <row r="272" spans="1:5" x14ac:dyDescent="0.35">
      <c r="A272">
        <v>90</v>
      </c>
      <c r="B272" t="s">
        <v>434</v>
      </c>
      <c r="C272">
        <v>0</v>
      </c>
      <c r="D272">
        <v>0</v>
      </c>
      <c r="E272" t="s">
        <v>725</v>
      </c>
    </row>
    <row r="273" spans="1:5" x14ac:dyDescent="0.35">
      <c r="A273">
        <v>100</v>
      </c>
      <c r="B273" t="s">
        <v>435</v>
      </c>
      <c r="C273">
        <v>0</v>
      </c>
      <c r="D273">
        <v>0</v>
      </c>
      <c r="E273" t="s">
        <v>725</v>
      </c>
    </row>
    <row r="274" spans="1:5" x14ac:dyDescent="0.35">
      <c r="A274">
        <v>110</v>
      </c>
      <c r="B274" t="s">
        <v>436</v>
      </c>
      <c r="C274">
        <v>0</v>
      </c>
      <c r="D274">
        <v>0</v>
      </c>
      <c r="E274" t="s">
        <v>725</v>
      </c>
    </row>
    <row r="275" spans="1:5" x14ac:dyDescent="0.35">
      <c r="A275">
        <v>120</v>
      </c>
      <c r="B275" t="s">
        <v>437</v>
      </c>
      <c r="C275">
        <v>0</v>
      </c>
      <c r="D275">
        <v>0</v>
      </c>
      <c r="E275" t="s">
        <v>725</v>
      </c>
    </row>
    <row r="276" spans="1:5" x14ac:dyDescent="0.35">
      <c r="A276">
        <v>130</v>
      </c>
      <c r="B276" t="s">
        <v>438</v>
      </c>
      <c r="C276">
        <v>745480.79</v>
      </c>
      <c r="D276">
        <v>0</v>
      </c>
      <c r="E276" t="s">
        <v>725</v>
      </c>
    </row>
    <row r="277" spans="1:5" x14ac:dyDescent="0.35">
      <c r="A277">
        <v>135</v>
      </c>
      <c r="B277" t="s">
        <v>439</v>
      </c>
      <c r="C277">
        <v>0</v>
      </c>
      <c r="D277">
        <v>0</v>
      </c>
      <c r="E277" t="s">
        <v>725</v>
      </c>
    </row>
    <row r="278" spans="1:5" x14ac:dyDescent="0.35">
      <c r="A278">
        <v>140</v>
      </c>
      <c r="B278" t="s">
        <v>440</v>
      </c>
      <c r="C278">
        <v>114846.59</v>
      </c>
      <c r="D278">
        <v>0</v>
      </c>
      <c r="E278" t="s">
        <v>725</v>
      </c>
    </row>
    <row r="279" spans="1:5" x14ac:dyDescent="0.35">
      <c r="A279">
        <v>150</v>
      </c>
      <c r="B279" t="s">
        <v>441</v>
      </c>
      <c r="C279">
        <v>0</v>
      </c>
      <c r="D279">
        <v>0</v>
      </c>
      <c r="E279" t="s">
        <v>725</v>
      </c>
    </row>
    <row r="280" spans="1:5" x14ac:dyDescent="0.35">
      <c r="A280">
        <v>155</v>
      </c>
      <c r="B280" t="s">
        <v>442</v>
      </c>
      <c r="C280">
        <v>0</v>
      </c>
      <c r="D280">
        <v>0</v>
      </c>
      <c r="E280" t="s">
        <v>725</v>
      </c>
    </row>
    <row r="281" spans="1:5" x14ac:dyDescent="0.35">
      <c r="A281">
        <v>160</v>
      </c>
      <c r="B281" t="s">
        <v>443</v>
      </c>
      <c r="C281">
        <v>860327.38</v>
      </c>
      <c r="D281">
        <v>0</v>
      </c>
      <c r="E281" t="s">
        <v>725</v>
      </c>
    </row>
    <row r="282" spans="1:5" x14ac:dyDescent="0.35">
      <c r="A282">
        <v>170</v>
      </c>
      <c r="B282" t="s">
        <v>444</v>
      </c>
      <c r="C282">
        <v>-860327.38</v>
      </c>
      <c r="D282">
        <v>0</v>
      </c>
      <c r="E282" t="s">
        <v>725</v>
      </c>
    </row>
    <row r="283" spans="1:5" x14ac:dyDescent="0.35">
      <c r="A283">
        <v>180</v>
      </c>
      <c r="B283" t="s">
        <v>445</v>
      </c>
      <c r="C283">
        <v>5917.44</v>
      </c>
      <c r="D283">
        <v>0</v>
      </c>
      <c r="E283" t="s">
        <v>725</v>
      </c>
    </row>
    <row r="284" spans="1:5" x14ac:dyDescent="0.35">
      <c r="A284">
        <v>190</v>
      </c>
      <c r="B284" t="s">
        <v>446</v>
      </c>
      <c r="C284">
        <v>0</v>
      </c>
      <c r="D284">
        <v>0</v>
      </c>
      <c r="E284" t="s">
        <v>725</v>
      </c>
    </row>
    <row r="285" spans="1:5" x14ac:dyDescent="0.35">
      <c r="A285">
        <v>200</v>
      </c>
      <c r="B285" t="s">
        <v>447</v>
      </c>
      <c r="C285">
        <v>-866244.82</v>
      </c>
      <c r="D285">
        <v>0</v>
      </c>
      <c r="E285" t="s">
        <v>725</v>
      </c>
    </row>
    <row r="286" spans="1:5" x14ac:dyDescent="0.35">
      <c r="A286">
        <v>210</v>
      </c>
      <c r="B286" t="s">
        <v>448</v>
      </c>
      <c r="C286">
        <v>0</v>
      </c>
      <c r="D286">
        <v>0</v>
      </c>
      <c r="E286" t="s">
        <v>725</v>
      </c>
    </row>
    <row r="287" spans="1:5" x14ac:dyDescent="0.35">
      <c r="A287" t="s">
        <v>492</v>
      </c>
      <c r="B287" t="s">
        <v>416</v>
      </c>
      <c r="C287" t="s">
        <v>419</v>
      </c>
      <c r="D287" t="s">
        <v>476</v>
      </c>
      <c r="E287" t="s">
        <v>121</v>
      </c>
    </row>
    <row r="288" spans="1:5" x14ac:dyDescent="0.35">
      <c r="A288">
        <v>30</v>
      </c>
      <c r="B288" t="s">
        <v>427</v>
      </c>
      <c r="C288">
        <v>36672162.82</v>
      </c>
      <c r="D288">
        <v>20512736</v>
      </c>
      <c r="E288" t="s">
        <v>725</v>
      </c>
    </row>
    <row r="289" spans="1:5" x14ac:dyDescent="0.35">
      <c r="A289">
        <v>40</v>
      </c>
      <c r="B289" t="s">
        <v>429</v>
      </c>
      <c r="C289">
        <v>100623.42</v>
      </c>
      <c r="D289">
        <v>0</v>
      </c>
      <c r="E289" t="s">
        <v>725</v>
      </c>
    </row>
    <row r="290" spans="1:5" x14ac:dyDescent="0.35">
      <c r="A290">
        <v>50</v>
      </c>
      <c r="B290" t="s">
        <v>430</v>
      </c>
      <c r="C290">
        <v>36571539.399999999</v>
      </c>
      <c r="D290">
        <v>20512736</v>
      </c>
      <c r="E290" t="s">
        <v>725</v>
      </c>
    </row>
    <row r="291" spans="1:5" x14ac:dyDescent="0.35">
      <c r="A291">
        <v>60</v>
      </c>
      <c r="B291" t="s">
        <v>431</v>
      </c>
      <c r="C291">
        <v>26999320.440000001</v>
      </c>
      <c r="D291">
        <v>10056136</v>
      </c>
      <c r="E291" t="s">
        <v>725</v>
      </c>
    </row>
    <row r="292" spans="1:5" x14ac:dyDescent="0.35">
      <c r="A292">
        <v>70</v>
      </c>
      <c r="B292" t="s">
        <v>432</v>
      </c>
      <c r="C292">
        <v>9572218.9600000009</v>
      </c>
      <c r="D292">
        <v>10456600</v>
      </c>
      <c r="E292" t="s">
        <v>725</v>
      </c>
    </row>
    <row r="293" spans="1:5" x14ac:dyDescent="0.35">
      <c r="A293">
        <v>80</v>
      </c>
      <c r="B293" t="s">
        <v>433</v>
      </c>
      <c r="C293">
        <v>3629833.53</v>
      </c>
      <c r="D293">
        <v>4011296</v>
      </c>
      <c r="E293" t="s">
        <v>725</v>
      </c>
    </row>
    <row r="294" spans="1:5" x14ac:dyDescent="0.35">
      <c r="A294">
        <v>90</v>
      </c>
      <c r="B294" t="s">
        <v>434</v>
      </c>
      <c r="C294">
        <v>2651426.9900000002</v>
      </c>
      <c r="D294">
        <v>2571954</v>
      </c>
      <c r="E294" t="s">
        <v>725</v>
      </c>
    </row>
    <row r="295" spans="1:5" x14ac:dyDescent="0.35">
      <c r="A295">
        <v>100</v>
      </c>
      <c r="B295" t="s">
        <v>435</v>
      </c>
      <c r="C295">
        <v>402822.15</v>
      </c>
      <c r="D295">
        <v>389594</v>
      </c>
      <c r="E295" t="s">
        <v>725</v>
      </c>
    </row>
    <row r="296" spans="1:5" x14ac:dyDescent="0.35">
      <c r="A296">
        <v>110</v>
      </c>
      <c r="B296" t="s">
        <v>436</v>
      </c>
      <c r="C296">
        <v>6684082.6699999999</v>
      </c>
      <c r="D296">
        <v>6972844</v>
      </c>
      <c r="E296" t="s">
        <v>725</v>
      </c>
    </row>
    <row r="297" spans="1:5" x14ac:dyDescent="0.35">
      <c r="A297">
        <v>120</v>
      </c>
      <c r="B297" t="s">
        <v>437</v>
      </c>
      <c r="C297">
        <v>2888136.29</v>
      </c>
      <c r="D297">
        <v>3483756</v>
      </c>
      <c r="E297" t="s">
        <v>725</v>
      </c>
    </row>
    <row r="298" spans="1:5" x14ac:dyDescent="0.35">
      <c r="A298">
        <v>130</v>
      </c>
      <c r="B298" t="s">
        <v>438</v>
      </c>
      <c r="C298">
        <v>-803.8</v>
      </c>
      <c r="D298">
        <v>0</v>
      </c>
      <c r="E298" t="s">
        <v>725</v>
      </c>
    </row>
    <row r="299" spans="1:5" x14ac:dyDescent="0.35">
      <c r="A299">
        <v>135</v>
      </c>
      <c r="B299" t="s">
        <v>439</v>
      </c>
      <c r="C299">
        <v>-253237.74</v>
      </c>
      <c r="D299">
        <v>0</v>
      </c>
      <c r="E299" t="s">
        <v>725</v>
      </c>
    </row>
    <row r="300" spans="1:5" x14ac:dyDescent="0.35">
      <c r="A300">
        <v>140</v>
      </c>
      <c r="B300" t="s">
        <v>440</v>
      </c>
      <c r="C300">
        <v>119044.16</v>
      </c>
      <c r="D300">
        <v>52263</v>
      </c>
      <c r="E300" t="s">
        <v>725</v>
      </c>
    </row>
    <row r="301" spans="1:5" x14ac:dyDescent="0.35">
      <c r="A301">
        <v>150</v>
      </c>
      <c r="B301" t="s">
        <v>441</v>
      </c>
      <c r="C301">
        <v>0.12</v>
      </c>
      <c r="D301">
        <v>0</v>
      </c>
      <c r="E301" t="s">
        <v>725</v>
      </c>
    </row>
    <row r="302" spans="1:5" x14ac:dyDescent="0.35">
      <c r="A302">
        <v>155</v>
      </c>
      <c r="B302" t="s">
        <v>442</v>
      </c>
      <c r="C302">
        <v>0</v>
      </c>
      <c r="D302">
        <v>0</v>
      </c>
      <c r="E302" t="s">
        <v>725</v>
      </c>
    </row>
    <row r="303" spans="1:5" x14ac:dyDescent="0.35">
      <c r="A303">
        <v>160</v>
      </c>
      <c r="B303" t="s">
        <v>443</v>
      </c>
      <c r="C303">
        <v>-134997.5</v>
      </c>
      <c r="D303">
        <v>52263</v>
      </c>
      <c r="E303" t="s">
        <v>725</v>
      </c>
    </row>
    <row r="304" spans="1:5" x14ac:dyDescent="0.35">
      <c r="A304">
        <v>170</v>
      </c>
      <c r="B304" t="s">
        <v>444</v>
      </c>
      <c r="C304">
        <v>3023133.79</v>
      </c>
      <c r="D304">
        <v>3431493</v>
      </c>
      <c r="E304" t="s">
        <v>725</v>
      </c>
    </row>
    <row r="305" spans="1:5" x14ac:dyDescent="0.35">
      <c r="A305">
        <v>180</v>
      </c>
      <c r="B305" t="s">
        <v>445</v>
      </c>
      <c r="C305">
        <v>551995</v>
      </c>
      <c r="D305">
        <v>577615</v>
      </c>
      <c r="E305" t="s">
        <v>725</v>
      </c>
    </row>
    <row r="306" spans="1:5" x14ac:dyDescent="0.35">
      <c r="A306">
        <v>190</v>
      </c>
      <c r="B306" t="s">
        <v>446</v>
      </c>
      <c r="C306">
        <v>0</v>
      </c>
      <c r="D306">
        <v>0</v>
      </c>
      <c r="E306" t="s">
        <v>725</v>
      </c>
    </row>
    <row r="307" spans="1:5" x14ac:dyDescent="0.35">
      <c r="A307">
        <v>200</v>
      </c>
      <c r="B307" t="s">
        <v>447</v>
      </c>
      <c r="C307">
        <v>2471138.79</v>
      </c>
      <c r="D307">
        <v>2853878</v>
      </c>
      <c r="E307" t="s">
        <v>725</v>
      </c>
    </row>
    <row r="308" spans="1:5" x14ac:dyDescent="0.35">
      <c r="A308">
        <v>210</v>
      </c>
      <c r="B308" t="s">
        <v>448</v>
      </c>
      <c r="C308">
        <v>3290958.44</v>
      </c>
      <c r="D308">
        <v>3873350</v>
      </c>
      <c r="E308" t="s">
        <v>725</v>
      </c>
    </row>
    <row r="309" spans="1:5" x14ac:dyDescent="0.35">
      <c r="A309" t="s">
        <v>493</v>
      </c>
      <c r="B309" t="s">
        <v>416</v>
      </c>
      <c r="C309" t="s">
        <v>419</v>
      </c>
      <c r="D309" t="s">
        <v>476</v>
      </c>
      <c r="E309" t="s">
        <v>121</v>
      </c>
    </row>
    <row r="310" spans="1:5" x14ac:dyDescent="0.35">
      <c r="A310">
        <v>30</v>
      </c>
      <c r="B310" t="s">
        <v>427</v>
      </c>
      <c r="C310">
        <v>27307051.239999998</v>
      </c>
      <c r="D310">
        <v>27437825</v>
      </c>
      <c r="E310" t="s">
        <v>725</v>
      </c>
    </row>
    <row r="311" spans="1:5" x14ac:dyDescent="0.35">
      <c r="A311">
        <v>40</v>
      </c>
      <c r="B311" t="s">
        <v>429</v>
      </c>
      <c r="C311">
        <v>-452338.28</v>
      </c>
      <c r="D311">
        <v>0</v>
      </c>
      <c r="E311" t="s">
        <v>725</v>
      </c>
    </row>
    <row r="312" spans="1:5" x14ac:dyDescent="0.35">
      <c r="A312">
        <v>50</v>
      </c>
      <c r="B312" t="s">
        <v>430</v>
      </c>
      <c r="C312">
        <v>26854712.960000001</v>
      </c>
      <c r="D312">
        <v>27437825</v>
      </c>
      <c r="E312" t="s">
        <v>725</v>
      </c>
    </row>
    <row r="313" spans="1:5" x14ac:dyDescent="0.35">
      <c r="A313">
        <v>60</v>
      </c>
      <c r="B313" t="s">
        <v>431</v>
      </c>
      <c r="C313">
        <v>14627117.48</v>
      </c>
      <c r="D313">
        <v>15381461</v>
      </c>
      <c r="E313" t="s">
        <v>725</v>
      </c>
    </row>
    <row r="314" spans="1:5" x14ac:dyDescent="0.35">
      <c r="A314">
        <v>70</v>
      </c>
      <c r="B314" t="s">
        <v>432</v>
      </c>
      <c r="C314">
        <v>12227595.48</v>
      </c>
      <c r="D314">
        <v>12056364</v>
      </c>
      <c r="E314" t="s">
        <v>725</v>
      </c>
    </row>
    <row r="315" spans="1:5" x14ac:dyDescent="0.35">
      <c r="A315">
        <v>80</v>
      </c>
      <c r="B315" t="s">
        <v>433</v>
      </c>
      <c r="C315">
        <v>6622852.4000000004</v>
      </c>
      <c r="D315">
        <v>6336974</v>
      </c>
      <c r="E315" t="s">
        <v>725</v>
      </c>
    </row>
    <row r="316" spans="1:5" x14ac:dyDescent="0.35">
      <c r="A316">
        <v>90</v>
      </c>
      <c r="B316" t="s">
        <v>434</v>
      </c>
      <c r="C316">
        <v>1683870.51</v>
      </c>
      <c r="D316">
        <v>1864238</v>
      </c>
      <c r="E316" t="s">
        <v>725</v>
      </c>
    </row>
    <row r="317" spans="1:5" x14ac:dyDescent="0.35">
      <c r="A317">
        <v>100</v>
      </c>
      <c r="B317" t="s">
        <v>435</v>
      </c>
      <c r="C317">
        <v>678871.73</v>
      </c>
      <c r="D317">
        <v>665903</v>
      </c>
      <c r="E317" t="s">
        <v>725</v>
      </c>
    </row>
    <row r="318" spans="1:5" x14ac:dyDescent="0.35">
      <c r="A318">
        <v>110</v>
      </c>
      <c r="B318" t="s">
        <v>436</v>
      </c>
      <c r="C318">
        <v>8985594.6400000006</v>
      </c>
      <c r="D318">
        <v>8867115</v>
      </c>
      <c r="E318" t="s">
        <v>725</v>
      </c>
    </row>
    <row r="319" spans="1:5" x14ac:dyDescent="0.35">
      <c r="A319">
        <v>120</v>
      </c>
      <c r="B319" t="s">
        <v>437</v>
      </c>
      <c r="C319">
        <v>3242000.84</v>
      </c>
      <c r="D319">
        <v>3189249</v>
      </c>
      <c r="E319" t="s">
        <v>725</v>
      </c>
    </row>
    <row r="320" spans="1:5" x14ac:dyDescent="0.35">
      <c r="A320">
        <v>130</v>
      </c>
      <c r="B320" t="s">
        <v>438</v>
      </c>
      <c r="C320">
        <v>0</v>
      </c>
      <c r="D320">
        <v>0</v>
      </c>
      <c r="E320" t="s">
        <v>725</v>
      </c>
    </row>
    <row r="321" spans="1:5" x14ac:dyDescent="0.35">
      <c r="A321">
        <v>135</v>
      </c>
      <c r="B321" t="s">
        <v>439</v>
      </c>
      <c r="C321">
        <v>-386984</v>
      </c>
      <c r="D321">
        <v>0</v>
      </c>
      <c r="E321" t="s">
        <v>725</v>
      </c>
    </row>
    <row r="322" spans="1:5" x14ac:dyDescent="0.35">
      <c r="A322">
        <v>140</v>
      </c>
      <c r="B322" t="s">
        <v>440</v>
      </c>
      <c r="C322">
        <v>11102.73</v>
      </c>
      <c r="D322">
        <v>13498</v>
      </c>
      <c r="E322" t="s">
        <v>725</v>
      </c>
    </row>
    <row r="323" spans="1:5" x14ac:dyDescent="0.35">
      <c r="A323">
        <v>150</v>
      </c>
      <c r="B323" t="s">
        <v>441</v>
      </c>
      <c r="C323">
        <v>7.87</v>
      </c>
      <c r="D323">
        <v>22474</v>
      </c>
      <c r="E323" t="s">
        <v>725</v>
      </c>
    </row>
    <row r="324" spans="1:5" x14ac:dyDescent="0.35">
      <c r="A324">
        <v>155</v>
      </c>
      <c r="B324" t="s">
        <v>442</v>
      </c>
      <c r="C324">
        <v>0</v>
      </c>
      <c r="D324">
        <v>0</v>
      </c>
      <c r="E324" t="s">
        <v>725</v>
      </c>
    </row>
    <row r="325" spans="1:5" x14ac:dyDescent="0.35">
      <c r="A325">
        <v>160</v>
      </c>
      <c r="B325" t="s">
        <v>443</v>
      </c>
      <c r="C325">
        <v>-375889.14</v>
      </c>
      <c r="D325">
        <v>-8976</v>
      </c>
      <c r="E325" t="s">
        <v>725</v>
      </c>
    </row>
    <row r="326" spans="1:5" x14ac:dyDescent="0.35">
      <c r="A326">
        <v>170</v>
      </c>
      <c r="B326" t="s">
        <v>444</v>
      </c>
      <c r="C326">
        <v>3617889.98</v>
      </c>
      <c r="D326">
        <v>3198225</v>
      </c>
      <c r="E326" t="s">
        <v>725</v>
      </c>
    </row>
    <row r="327" spans="1:5" x14ac:dyDescent="0.35">
      <c r="A327">
        <v>180</v>
      </c>
      <c r="B327" t="s">
        <v>445</v>
      </c>
      <c r="C327">
        <v>695641.29</v>
      </c>
      <c r="D327">
        <v>810708</v>
      </c>
      <c r="E327" t="s">
        <v>725</v>
      </c>
    </row>
    <row r="328" spans="1:5" x14ac:dyDescent="0.35">
      <c r="A328">
        <v>190</v>
      </c>
      <c r="B328" t="s">
        <v>446</v>
      </c>
      <c r="C328">
        <v>0</v>
      </c>
      <c r="D328">
        <v>0</v>
      </c>
      <c r="E328" t="s">
        <v>725</v>
      </c>
    </row>
    <row r="329" spans="1:5" x14ac:dyDescent="0.35">
      <c r="A329">
        <v>200</v>
      </c>
      <c r="B329" t="s">
        <v>447</v>
      </c>
      <c r="C329">
        <v>2922248.69</v>
      </c>
      <c r="D329">
        <v>2387517</v>
      </c>
      <c r="E329" t="s">
        <v>725</v>
      </c>
    </row>
    <row r="330" spans="1:5" x14ac:dyDescent="0.35">
      <c r="A330">
        <v>210</v>
      </c>
      <c r="B330" t="s">
        <v>448</v>
      </c>
      <c r="C330">
        <v>3920872.57</v>
      </c>
      <c r="D330">
        <v>3855152</v>
      </c>
      <c r="E330" t="s">
        <v>725</v>
      </c>
    </row>
    <row r="331" spans="1:5" x14ac:dyDescent="0.35">
      <c r="A331" t="s">
        <v>494</v>
      </c>
      <c r="B331" t="s">
        <v>416</v>
      </c>
      <c r="C331" t="s">
        <v>464</v>
      </c>
      <c r="D331" t="s">
        <v>496</v>
      </c>
      <c r="E331" t="s">
        <v>121</v>
      </c>
    </row>
    <row r="332" spans="1:5" x14ac:dyDescent="0.35">
      <c r="A332">
        <v>30</v>
      </c>
      <c r="B332" t="s">
        <v>427</v>
      </c>
      <c r="C332">
        <v>16241604.27</v>
      </c>
      <c r="D332">
        <v>9200281</v>
      </c>
      <c r="E332" t="s">
        <v>725</v>
      </c>
    </row>
    <row r="333" spans="1:5" x14ac:dyDescent="0.35">
      <c r="A333">
        <v>40</v>
      </c>
      <c r="B333" t="s">
        <v>429</v>
      </c>
      <c r="C333">
        <v>383631.75</v>
      </c>
      <c r="D333">
        <v>0</v>
      </c>
      <c r="E333" t="s">
        <v>725</v>
      </c>
    </row>
    <row r="334" spans="1:5" x14ac:dyDescent="0.35">
      <c r="A334">
        <v>50</v>
      </c>
      <c r="B334" t="s">
        <v>430</v>
      </c>
      <c r="C334">
        <v>15857972.52</v>
      </c>
      <c r="D334">
        <v>9200281</v>
      </c>
      <c r="E334" t="s">
        <v>725</v>
      </c>
    </row>
    <row r="335" spans="1:5" x14ac:dyDescent="0.35">
      <c r="A335">
        <v>60</v>
      </c>
      <c r="B335" t="s">
        <v>431</v>
      </c>
      <c r="C335">
        <v>8070427</v>
      </c>
      <c r="D335">
        <v>4609571</v>
      </c>
      <c r="E335" t="s">
        <v>725</v>
      </c>
    </row>
    <row r="336" spans="1:5" x14ac:dyDescent="0.35">
      <c r="A336">
        <v>70</v>
      </c>
      <c r="B336" t="s">
        <v>432</v>
      </c>
      <c r="C336">
        <v>7787545.5199999996</v>
      </c>
      <c r="D336">
        <v>4590710</v>
      </c>
      <c r="E336" t="s">
        <v>725</v>
      </c>
    </row>
    <row r="337" spans="1:5" x14ac:dyDescent="0.35">
      <c r="A337">
        <v>80</v>
      </c>
      <c r="B337" t="s">
        <v>433</v>
      </c>
      <c r="C337">
        <v>3546781.31</v>
      </c>
      <c r="D337">
        <v>1789790</v>
      </c>
      <c r="E337" t="s">
        <v>725</v>
      </c>
    </row>
    <row r="338" spans="1:5" x14ac:dyDescent="0.35">
      <c r="A338">
        <v>90</v>
      </c>
      <c r="B338" t="s">
        <v>434</v>
      </c>
      <c r="C338">
        <v>361168.95</v>
      </c>
      <c r="D338">
        <v>184570</v>
      </c>
      <c r="E338" t="s">
        <v>725</v>
      </c>
    </row>
    <row r="339" spans="1:5" x14ac:dyDescent="0.35">
      <c r="A339">
        <v>100</v>
      </c>
      <c r="B339" t="s">
        <v>435</v>
      </c>
      <c r="C339">
        <v>355089</v>
      </c>
      <c r="D339">
        <v>182209</v>
      </c>
      <c r="E339" t="s">
        <v>725</v>
      </c>
    </row>
    <row r="340" spans="1:5" x14ac:dyDescent="0.35">
      <c r="A340">
        <v>110</v>
      </c>
      <c r="B340" t="s">
        <v>436</v>
      </c>
      <c r="C340">
        <v>4263039.26</v>
      </c>
      <c r="D340">
        <v>2156569</v>
      </c>
      <c r="E340" t="s">
        <v>725</v>
      </c>
    </row>
    <row r="341" spans="1:5" x14ac:dyDescent="0.35">
      <c r="A341">
        <v>120</v>
      </c>
      <c r="B341" t="s">
        <v>437</v>
      </c>
      <c r="C341">
        <v>3524506.26</v>
      </c>
      <c r="D341">
        <v>2434141</v>
      </c>
      <c r="E341" t="s">
        <v>725</v>
      </c>
    </row>
    <row r="342" spans="1:5" x14ac:dyDescent="0.35">
      <c r="A342">
        <v>130</v>
      </c>
      <c r="B342" t="s">
        <v>438</v>
      </c>
      <c r="C342">
        <v>0</v>
      </c>
      <c r="D342">
        <v>0</v>
      </c>
      <c r="E342" t="s">
        <v>725</v>
      </c>
    </row>
    <row r="343" spans="1:5" x14ac:dyDescent="0.35">
      <c r="A343">
        <v>135</v>
      </c>
      <c r="B343" t="s">
        <v>439</v>
      </c>
      <c r="C343">
        <v>-2163.7199999999998</v>
      </c>
      <c r="D343">
        <v>0</v>
      </c>
      <c r="E343" t="s">
        <v>725</v>
      </c>
    </row>
    <row r="344" spans="1:5" x14ac:dyDescent="0.35">
      <c r="A344">
        <v>140</v>
      </c>
      <c r="B344" t="s">
        <v>440</v>
      </c>
      <c r="C344">
        <v>29364.71</v>
      </c>
      <c r="D344">
        <v>26099</v>
      </c>
      <c r="E344" t="s">
        <v>725</v>
      </c>
    </row>
    <row r="345" spans="1:5" x14ac:dyDescent="0.35">
      <c r="A345">
        <v>150</v>
      </c>
      <c r="B345" t="s">
        <v>441</v>
      </c>
      <c r="C345">
        <v>0</v>
      </c>
      <c r="D345">
        <v>0</v>
      </c>
      <c r="E345" t="s">
        <v>725</v>
      </c>
    </row>
    <row r="346" spans="1:5" x14ac:dyDescent="0.35">
      <c r="A346">
        <v>155</v>
      </c>
      <c r="B346" t="s">
        <v>442</v>
      </c>
      <c r="C346">
        <v>0</v>
      </c>
      <c r="D346">
        <v>0</v>
      </c>
      <c r="E346" t="s">
        <v>725</v>
      </c>
    </row>
    <row r="347" spans="1:5" x14ac:dyDescent="0.35">
      <c r="A347">
        <v>160</v>
      </c>
      <c r="B347" t="s">
        <v>443</v>
      </c>
      <c r="C347">
        <v>27200.99</v>
      </c>
      <c r="D347">
        <v>26099</v>
      </c>
      <c r="E347" t="s">
        <v>725</v>
      </c>
    </row>
    <row r="348" spans="1:5" x14ac:dyDescent="0.35">
      <c r="A348">
        <v>170</v>
      </c>
      <c r="B348" t="s">
        <v>444</v>
      </c>
      <c r="C348">
        <v>3497305.27</v>
      </c>
      <c r="D348">
        <v>2408042</v>
      </c>
      <c r="E348" t="s">
        <v>725</v>
      </c>
    </row>
    <row r="349" spans="1:5" x14ac:dyDescent="0.35">
      <c r="A349">
        <v>180</v>
      </c>
      <c r="B349" t="s">
        <v>445</v>
      </c>
      <c r="C349">
        <v>258763</v>
      </c>
      <c r="D349">
        <v>265491</v>
      </c>
      <c r="E349" t="s">
        <v>725</v>
      </c>
    </row>
    <row r="350" spans="1:5" x14ac:dyDescent="0.35">
      <c r="A350">
        <v>190</v>
      </c>
      <c r="B350" t="s">
        <v>446</v>
      </c>
      <c r="C350">
        <v>0</v>
      </c>
      <c r="D350">
        <v>0</v>
      </c>
      <c r="E350" t="s">
        <v>725</v>
      </c>
    </row>
    <row r="351" spans="1:5" x14ac:dyDescent="0.35">
      <c r="A351">
        <v>200</v>
      </c>
      <c r="B351" t="s">
        <v>447</v>
      </c>
      <c r="C351">
        <v>3238542.27</v>
      </c>
      <c r="D351">
        <v>2142551</v>
      </c>
      <c r="E351" t="s">
        <v>725</v>
      </c>
    </row>
    <row r="352" spans="1:5" x14ac:dyDescent="0.35">
      <c r="A352">
        <v>210</v>
      </c>
      <c r="B352" t="s">
        <v>448</v>
      </c>
      <c r="C352">
        <v>3879595.26</v>
      </c>
      <c r="D352">
        <v>2616350</v>
      </c>
      <c r="E352" t="s">
        <v>725</v>
      </c>
    </row>
    <row r="353" spans="1:5" x14ac:dyDescent="0.35">
      <c r="A353" t="s">
        <v>498</v>
      </c>
      <c r="B353" t="s">
        <v>416</v>
      </c>
      <c r="C353" t="s">
        <v>419</v>
      </c>
      <c r="D353" t="s">
        <v>476</v>
      </c>
      <c r="E353" t="s">
        <v>121</v>
      </c>
    </row>
    <row r="354" spans="1:5" x14ac:dyDescent="0.35">
      <c r="A354">
        <v>30</v>
      </c>
      <c r="B354" t="s">
        <v>427</v>
      </c>
      <c r="C354">
        <v>5459195.3399999999</v>
      </c>
      <c r="D354">
        <v>11219846</v>
      </c>
      <c r="E354" t="s">
        <v>725</v>
      </c>
    </row>
    <row r="355" spans="1:5" x14ac:dyDescent="0.35">
      <c r="A355">
        <v>40</v>
      </c>
      <c r="B355" t="s">
        <v>429</v>
      </c>
      <c r="C355">
        <v>-127847.94</v>
      </c>
      <c r="D355">
        <v>0</v>
      </c>
      <c r="E355" t="s">
        <v>725</v>
      </c>
    </row>
    <row r="356" spans="1:5" x14ac:dyDescent="0.35">
      <c r="A356">
        <v>50</v>
      </c>
      <c r="B356" t="s">
        <v>430</v>
      </c>
      <c r="C356">
        <v>5331347.4000000004</v>
      </c>
      <c r="D356">
        <v>11219846</v>
      </c>
      <c r="E356" t="s">
        <v>725</v>
      </c>
    </row>
    <row r="357" spans="1:5" x14ac:dyDescent="0.35">
      <c r="A357">
        <v>60</v>
      </c>
      <c r="B357" t="s">
        <v>431</v>
      </c>
      <c r="C357">
        <v>2755911.35</v>
      </c>
      <c r="D357">
        <v>6063795</v>
      </c>
      <c r="E357" t="s">
        <v>725</v>
      </c>
    </row>
    <row r="358" spans="1:5" x14ac:dyDescent="0.35">
      <c r="A358">
        <v>70</v>
      </c>
      <c r="B358" t="s">
        <v>432</v>
      </c>
      <c r="C358">
        <v>2575436.0499999998</v>
      </c>
      <c r="D358">
        <v>5156051</v>
      </c>
      <c r="E358" t="s">
        <v>725</v>
      </c>
    </row>
    <row r="359" spans="1:5" x14ac:dyDescent="0.35">
      <c r="A359">
        <v>80</v>
      </c>
      <c r="B359" t="s">
        <v>433</v>
      </c>
      <c r="C359">
        <v>4776621.28</v>
      </c>
      <c r="D359">
        <v>2849566</v>
      </c>
      <c r="E359" t="s">
        <v>725</v>
      </c>
    </row>
    <row r="360" spans="1:5" x14ac:dyDescent="0.35">
      <c r="A360">
        <v>90</v>
      </c>
      <c r="B360" t="s">
        <v>434</v>
      </c>
      <c r="C360">
        <v>570176.78</v>
      </c>
      <c r="D360">
        <v>671037</v>
      </c>
      <c r="E360" t="s">
        <v>725</v>
      </c>
    </row>
    <row r="361" spans="1:5" x14ac:dyDescent="0.35">
      <c r="A361">
        <v>100</v>
      </c>
      <c r="B361" t="s">
        <v>435</v>
      </c>
      <c r="C361">
        <v>457157.41</v>
      </c>
      <c r="D361">
        <v>457162</v>
      </c>
      <c r="E361" t="s">
        <v>725</v>
      </c>
    </row>
    <row r="362" spans="1:5" x14ac:dyDescent="0.35">
      <c r="A362">
        <v>110</v>
      </c>
      <c r="B362" t="s">
        <v>436</v>
      </c>
      <c r="C362">
        <v>5803955.4699999997</v>
      </c>
      <c r="D362">
        <v>3977765</v>
      </c>
      <c r="E362" t="s">
        <v>725</v>
      </c>
    </row>
    <row r="363" spans="1:5" x14ac:dyDescent="0.35">
      <c r="A363">
        <v>120</v>
      </c>
      <c r="B363" t="s">
        <v>437</v>
      </c>
      <c r="C363">
        <v>-3228519.42</v>
      </c>
      <c r="D363">
        <v>1178286</v>
      </c>
      <c r="E363" t="s">
        <v>725</v>
      </c>
    </row>
    <row r="364" spans="1:5" x14ac:dyDescent="0.35">
      <c r="A364">
        <v>130</v>
      </c>
      <c r="B364" t="s">
        <v>438</v>
      </c>
      <c r="C364">
        <v>0</v>
      </c>
      <c r="D364">
        <v>0</v>
      </c>
      <c r="E364" t="s">
        <v>725</v>
      </c>
    </row>
    <row r="365" spans="1:5" x14ac:dyDescent="0.35">
      <c r="A365">
        <v>135</v>
      </c>
      <c r="B365" t="s">
        <v>439</v>
      </c>
      <c r="C365">
        <v>-3469990.99</v>
      </c>
      <c r="D365">
        <v>0</v>
      </c>
      <c r="E365" t="s">
        <v>725</v>
      </c>
    </row>
    <row r="366" spans="1:5" x14ac:dyDescent="0.35">
      <c r="A366">
        <v>140</v>
      </c>
      <c r="B366" t="s">
        <v>440</v>
      </c>
      <c r="C366">
        <v>0</v>
      </c>
      <c r="D366">
        <v>33330</v>
      </c>
      <c r="E366" t="s">
        <v>725</v>
      </c>
    </row>
    <row r="367" spans="1:5" x14ac:dyDescent="0.35">
      <c r="A367">
        <v>150</v>
      </c>
      <c r="B367" t="s">
        <v>441</v>
      </c>
      <c r="C367">
        <v>0</v>
      </c>
      <c r="D367">
        <v>5737</v>
      </c>
      <c r="E367" t="s">
        <v>725</v>
      </c>
    </row>
    <row r="368" spans="1:5" x14ac:dyDescent="0.35">
      <c r="A368">
        <v>155</v>
      </c>
      <c r="B368" t="s">
        <v>442</v>
      </c>
      <c r="C368">
        <v>0</v>
      </c>
      <c r="D368">
        <v>0</v>
      </c>
      <c r="E368" t="s">
        <v>725</v>
      </c>
    </row>
    <row r="369" spans="1:5" x14ac:dyDescent="0.35">
      <c r="A369">
        <v>160</v>
      </c>
      <c r="B369" t="s">
        <v>443</v>
      </c>
      <c r="C369">
        <v>-3469990.99</v>
      </c>
      <c r="D369">
        <v>27593</v>
      </c>
      <c r="E369" t="s">
        <v>725</v>
      </c>
    </row>
    <row r="370" spans="1:5" x14ac:dyDescent="0.35">
      <c r="A370">
        <v>170</v>
      </c>
      <c r="B370" t="s">
        <v>444</v>
      </c>
      <c r="C370">
        <v>241471.57</v>
      </c>
      <c r="D370">
        <v>1150693</v>
      </c>
      <c r="E370" t="s">
        <v>725</v>
      </c>
    </row>
    <row r="371" spans="1:5" x14ac:dyDescent="0.35">
      <c r="A371">
        <v>180</v>
      </c>
      <c r="B371" t="s">
        <v>445</v>
      </c>
      <c r="C371">
        <v>263250</v>
      </c>
      <c r="D371">
        <v>323769</v>
      </c>
      <c r="E371" t="s">
        <v>725</v>
      </c>
    </row>
    <row r="372" spans="1:5" x14ac:dyDescent="0.35">
      <c r="A372">
        <v>190</v>
      </c>
      <c r="B372" t="s">
        <v>446</v>
      </c>
      <c r="C372">
        <v>0</v>
      </c>
      <c r="D372">
        <v>0</v>
      </c>
      <c r="E372" t="s">
        <v>725</v>
      </c>
    </row>
    <row r="373" spans="1:5" x14ac:dyDescent="0.35">
      <c r="A373">
        <v>200</v>
      </c>
      <c r="B373" t="s">
        <v>447</v>
      </c>
      <c r="C373">
        <v>-21778.43</v>
      </c>
      <c r="D373">
        <v>826924</v>
      </c>
      <c r="E373" t="s">
        <v>725</v>
      </c>
    </row>
    <row r="374" spans="1:5" x14ac:dyDescent="0.35">
      <c r="A374">
        <v>210</v>
      </c>
      <c r="B374" t="s">
        <v>448</v>
      </c>
      <c r="C374">
        <v>-2771362.01</v>
      </c>
      <c r="D374">
        <v>1635448</v>
      </c>
      <c r="E374" t="s">
        <v>725</v>
      </c>
    </row>
    <row r="375" spans="1:5" x14ac:dyDescent="0.35">
      <c r="A375" t="s">
        <v>499</v>
      </c>
      <c r="B375" t="s">
        <v>416</v>
      </c>
      <c r="C375" t="s">
        <v>419</v>
      </c>
      <c r="D375" t="s">
        <v>476</v>
      </c>
      <c r="E375" t="s">
        <v>121</v>
      </c>
    </row>
    <row r="376" spans="1:5" x14ac:dyDescent="0.35">
      <c r="A376">
        <v>30</v>
      </c>
      <c r="B376" t="s">
        <v>427</v>
      </c>
      <c r="C376">
        <v>69500286.819999993</v>
      </c>
      <c r="D376">
        <v>61214156</v>
      </c>
      <c r="E376" t="s">
        <v>725</v>
      </c>
    </row>
    <row r="377" spans="1:5" x14ac:dyDescent="0.35">
      <c r="A377">
        <v>40</v>
      </c>
      <c r="B377" t="s">
        <v>429</v>
      </c>
      <c r="C377">
        <v>0</v>
      </c>
      <c r="D377">
        <v>0</v>
      </c>
      <c r="E377" t="s">
        <v>725</v>
      </c>
    </row>
    <row r="378" spans="1:5" x14ac:dyDescent="0.35">
      <c r="A378">
        <v>50</v>
      </c>
      <c r="B378" t="s">
        <v>430</v>
      </c>
      <c r="C378">
        <v>69500286.819999993</v>
      </c>
      <c r="D378">
        <v>61214156</v>
      </c>
      <c r="E378" t="s">
        <v>725</v>
      </c>
    </row>
    <row r="379" spans="1:5" x14ac:dyDescent="0.35">
      <c r="A379">
        <v>60</v>
      </c>
      <c r="B379" t="s">
        <v>431</v>
      </c>
      <c r="C379">
        <v>60021964.619999997</v>
      </c>
      <c r="D379">
        <v>51012955</v>
      </c>
      <c r="E379" t="s">
        <v>725</v>
      </c>
    </row>
    <row r="380" spans="1:5" x14ac:dyDescent="0.35">
      <c r="A380">
        <v>70</v>
      </c>
      <c r="B380" t="s">
        <v>432</v>
      </c>
      <c r="C380">
        <v>9478322.1999999993</v>
      </c>
      <c r="D380">
        <v>10201201</v>
      </c>
      <c r="E380" t="s">
        <v>725</v>
      </c>
    </row>
    <row r="381" spans="1:5" x14ac:dyDescent="0.35">
      <c r="A381">
        <v>80</v>
      </c>
      <c r="B381" t="s">
        <v>433</v>
      </c>
      <c r="C381">
        <v>2656632.16</v>
      </c>
      <c r="D381">
        <v>3241750</v>
      </c>
      <c r="E381" t="s">
        <v>725</v>
      </c>
    </row>
    <row r="382" spans="1:5" x14ac:dyDescent="0.35">
      <c r="A382">
        <v>90</v>
      </c>
      <c r="B382" t="s">
        <v>434</v>
      </c>
      <c r="C382">
        <v>1503931.2</v>
      </c>
      <c r="D382">
        <v>1179764</v>
      </c>
      <c r="E382" t="s">
        <v>725</v>
      </c>
    </row>
    <row r="383" spans="1:5" x14ac:dyDescent="0.35">
      <c r="A383">
        <v>100</v>
      </c>
      <c r="B383" t="s">
        <v>435</v>
      </c>
      <c r="C383">
        <v>475475.21</v>
      </c>
      <c r="D383">
        <v>320128</v>
      </c>
      <c r="E383" t="s">
        <v>725</v>
      </c>
    </row>
    <row r="384" spans="1:5" x14ac:dyDescent="0.35">
      <c r="A384">
        <v>110</v>
      </c>
      <c r="B384" t="s">
        <v>436</v>
      </c>
      <c r="C384">
        <v>4636038.57</v>
      </c>
      <c r="D384">
        <v>4741642</v>
      </c>
      <c r="E384" t="s">
        <v>725</v>
      </c>
    </row>
    <row r="385" spans="1:5" x14ac:dyDescent="0.35">
      <c r="A385">
        <v>120</v>
      </c>
      <c r="B385" t="s">
        <v>437</v>
      </c>
      <c r="C385">
        <v>4842283.63</v>
      </c>
      <c r="D385">
        <v>5459559</v>
      </c>
      <c r="E385" t="s">
        <v>725</v>
      </c>
    </row>
    <row r="386" spans="1:5" x14ac:dyDescent="0.35">
      <c r="A386">
        <v>130</v>
      </c>
      <c r="B386" t="s">
        <v>438</v>
      </c>
      <c r="C386">
        <v>1864833.59</v>
      </c>
      <c r="D386">
        <v>89192</v>
      </c>
      <c r="E386" t="s">
        <v>725</v>
      </c>
    </row>
    <row r="387" spans="1:5" x14ac:dyDescent="0.35">
      <c r="A387">
        <v>135</v>
      </c>
      <c r="B387" t="s">
        <v>439</v>
      </c>
      <c r="C387">
        <v>-651186.16</v>
      </c>
      <c r="D387">
        <v>0</v>
      </c>
      <c r="E387" t="s">
        <v>725</v>
      </c>
    </row>
    <row r="388" spans="1:5" x14ac:dyDescent="0.35">
      <c r="A388">
        <v>140</v>
      </c>
      <c r="B388" t="s">
        <v>440</v>
      </c>
      <c r="C388">
        <v>297478.89</v>
      </c>
      <c r="D388">
        <v>169618</v>
      </c>
      <c r="E388" t="s">
        <v>725</v>
      </c>
    </row>
    <row r="389" spans="1:5" x14ac:dyDescent="0.35">
      <c r="A389">
        <v>150</v>
      </c>
      <c r="B389" t="s">
        <v>441</v>
      </c>
      <c r="C389">
        <v>0</v>
      </c>
      <c r="D389">
        <v>188258</v>
      </c>
      <c r="E389" t="s">
        <v>725</v>
      </c>
    </row>
    <row r="390" spans="1:5" x14ac:dyDescent="0.35">
      <c r="A390">
        <v>155</v>
      </c>
      <c r="B390" t="s">
        <v>442</v>
      </c>
      <c r="C390">
        <v>0</v>
      </c>
      <c r="D390">
        <v>0</v>
      </c>
      <c r="E390" t="s">
        <v>725</v>
      </c>
    </row>
    <row r="391" spans="1:5" x14ac:dyDescent="0.35">
      <c r="A391">
        <v>160</v>
      </c>
      <c r="B391" t="s">
        <v>443</v>
      </c>
      <c r="C391">
        <v>1511126.32</v>
      </c>
      <c r="D391">
        <v>70552</v>
      </c>
      <c r="E391" t="s">
        <v>725</v>
      </c>
    </row>
    <row r="392" spans="1:5" x14ac:dyDescent="0.35">
      <c r="A392">
        <v>170</v>
      </c>
      <c r="B392" t="s">
        <v>444</v>
      </c>
      <c r="C392">
        <v>3331157.31</v>
      </c>
      <c r="D392">
        <v>5389007</v>
      </c>
      <c r="E392" t="s">
        <v>725</v>
      </c>
    </row>
    <row r="393" spans="1:5" x14ac:dyDescent="0.35">
      <c r="A393">
        <v>180</v>
      </c>
      <c r="B393" t="s">
        <v>445</v>
      </c>
      <c r="C393">
        <v>768878</v>
      </c>
      <c r="D393">
        <v>748554</v>
      </c>
      <c r="E393" t="s">
        <v>725</v>
      </c>
    </row>
    <row r="394" spans="1:5" x14ac:dyDescent="0.35">
      <c r="A394">
        <v>190</v>
      </c>
      <c r="B394" t="s">
        <v>446</v>
      </c>
      <c r="C394">
        <v>0</v>
      </c>
      <c r="D394">
        <v>0</v>
      </c>
      <c r="E394" t="s">
        <v>725</v>
      </c>
    </row>
    <row r="395" spans="1:5" x14ac:dyDescent="0.35">
      <c r="A395">
        <v>200</v>
      </c>
      <c r="B395" t="s">
        <v>447</v>
      </c>
      <c r="C395">
        <v>2562279.31</v>
      </c>
      <c r="D395">
        <v>4640453</v>
      </c>
      <c r="E395" t="s">
        <v>725</v>
      </c>
    </row>
    <row r="396" spans="1:5" x14ac:dyDescent="0.35">
      <c r="A396">
        <v>210</v>
      </c>
      <c r="B396" t="s">
        <v>448</v>
      </c>
      <c r="C396">
        <v>5317758.84</v>
      </c>
      <c r="D396">
        <v>5779687</v>
      </c>
      <c r="E396" t="s">
        <v>725</v>
      </c>
    </row>
    <row r="397" spans="1:5" x14ac:dyDescent="0.35">
      <c r="A397" t="s">
        <v>500</v>
      </c>
      <c r="B397" t="s">
        <v>416</v>
      </c>
      <c r="C397" t="s">
        <v>419</v>
      </c>
      <c r="D397" t="s">
        <v>476</v>
      </c>
      <c r="E397" t="s">
        <v>121</v>
      </c>
    </row>
    <row r="398" spans="1:5" x14ac:dyDescent="0.35">
      <c r="A398">
        <v>30</v>
      </c>
      <c r="B398" t="s">
        <v>427</v>
      </c>
      <c r="C398">
        <v>3727314.02</v>
      </c>
      <c r="D398">
        <v>6151872</v>
      </c>
      <c r="E398" t="s">
        <v>725</v>
      </c>
    </row>
    <row r="399" spans="1:5" x14ac:dyDescent="0.35">
      <c r="A399">
        <v>40</v>
      </c>
      <c r="B399" t="s">
        <v>429</v>
      </c>
      <c r="C399">
        <v>-73964.740000000005</v>
      </c>
      <c r="D399">
        <v>0</v>
      </c>
      <c r="E399" t="s">
        <v>725</v>
      </c>
    </row>
    <row r="400" spans="1:5" x14ac:dyDescent="0.35">
      <c r="A400">
        <v>50</v>
      </c>
      <c r="B400" t="s">
        <v>430</v>
      </c>
      <c r="C400">
        <v>3653349.28</v>
      </c>
      <c r="D400">
        <v>6151872</v>
      </c>
      <c r="E400" t="s">
        <v>725</v>
      </c>
    </row>
    <row r="401" spans="1:5" x14ac:dyDescent="0.35">
      <c r="A401">
        <v>60</v>
      </c>
      <c r="B401" t="s">
        <v>431</v>
      </c>
      <c r="C401">
        <v>1804308.78</v>
      </c>
      <c r="D401">
        <v>3404805</v>
      </c>
      <c r="E401" t="s">
        <v>725</v>
      </c>
    </row>
    <row r="402" spans="1:5" x14ac:dyDescent="0.35">
      <c r="A402">
        <v>70</v>
      </c>
      <c r="B402" t="s">
        <v>432</v>
      </c>
      <c r="C402">
        <v>1849040.5</v>
      </c>
      <c r="D402">
        <v>2747067</v>
      </c>
      <c r="E402" t="s">
        <v>725</v>
      </c>
    </row>
    <row r="403" spans="1:5" x14ac:dyDescent="0.35">
      <c r="A403">
        <v>80</v>
      </c>
      <c r="B403" t="s">
        <v>433</v>
      </c>
      <c r="C403">
        <v>1125998.4099999999</v>
      </c>
      <c r="D403">
        <v>1207585</v>
      </c>
      <c r="E403" t="s">
        <v>725</v>
      </c>
    </row>
    <row r="404" spans="1:5" x14ac:dyDescent="0.35">
      <c r="A404">
        <v>90</v>
      </c>
      <c r="B404" t="s">
        <v>434</v>
      </c>
      <c r="C404">
        <v>1580.34</v>
      </c>
      <c r="D404">
        <v>3333</v>
      </c>
      <c r="E404" t="s">
        <v>725</v>
      </c>
    </row>
    <row r="405" spans="1:5" x14ac:dyDescent="0.35">
      <c r="A405">
        <v>100</v>
      </c>
      <c r="B405" t="s">
        <v>435</v>
      </c>
      <c r="C405">
        <v>278712.63</v>
      </c>
      <c r="D405">
        <v>287254</v>
      </c>
      <c r="E405" t="s">
        <v>725</v>
      </c>
    </row>
    <row r="406" spans="1:5" x14ac:dyDescent="0.35">
      <c r="A406">
        <v>110</v>
      </c>
      <c r="B406" t="s">
        <v>436</v>
      </c>
      <c r="C406">
        <v>1406291.38</v>
      </c>
      <c r="D406">
        <v>1498172</v>
      </c>
      <c r="E406" t="s">
        <v>725</v>
      </c>
    </row>
    <row r="407" spans="1:5" x14ac:dyDescent="0.35">
      <c r="A407">
        <v>120</v>
      </c>
      <c r="B407" t="s">
        <v>437</v>
      </c>
      <c r="C407">
        <v>442749.12</v>
      </c>
      <c r="D407">
        <v>1248895</v>
      </c>
      <c r="E407" t="s">
        <v>725</v>
      </c>
    </row>
    <row r="408" spans="1:5" x14ac:dyDescent="0.35">
      <c r="A408">
        <v>130</v>
      </c>
      <c r="B408" t="s">
        <v>438</v>
      </c>
      <c r="C408">
        <v>0</v>
      </c>
      <c r="D408">
        <v>0</v>
      </c>
      <c r="E408" t="s">
        <v>725</v>
      </c>
    </row>
    <row r="409" spans="1:5" x14ac:dyDescent="0.35">
      <c r="A409">
        <v>135</v>
      </c>
      <c r="B409" t="s">
        <v>439</v>
      </c>
      <c r="C409">
        <v>-3.4</v>
      </c>
      <c r="D409">
        <v>0</v>
      </c>
      <c r="E409" t="s">
        <v>725</v>
      </c>
    </row>
    <row r="410" spans="1:5" x14ac:dyDescent="0.35">
      <c r="A410">
        <v>140</v>
      </c>
      <c r="B410" t="s">
        <v>440</v>
      </c>
      <c r="C410">
        <v>0</v>
      </c>
      <c r="D410">
        <v>0</v>
      </c>
      <c r="E410" t="s">
        <v>725</v>
      </c>
    </row>
    <row r="411" spans="1:5" x14ac:dyDescent="0.35">
      <c r="A411">
        <v>150</v>
      </c>
      <c r="B411" t="s">
        <v>441</v>
      </c>
      <c r="C411">
        <v>4.49</v>
      </c>
      <c r="D411">
        <v>0</v>
      </c>
      <c r="E411" t="s">
        <v>725</v>
      </c>
    </row>
    <row r="412" spans="1:5" x14ac:dyDescent="0.35">
      <c r="A412">
        <v>155</v>
      </c>
      <c r="B412" t="s">
        <v>442</v>
      </c>
      <c r="C412">
        <v>0</v>
      </c>
      <c r="D412">
        <v>0</v>
      </c>
      <c r="E412" t="s">
        <v>725</v>
      </c>
    </row>
    <row r="413" spans="1:5" x14ac:dyDescent="0.35">
      <c r="A413">
        <v>160</v>
      </c>
      <c r="B413" t="s">
        <v>443</v>
      </c>
      <c r="C413">
        <v>-7.89</v>
      </c>
      <c r="D413">
        <v>0</v>
      </c>
      <c r="E413" t="s">
        <v>725</v>
      </c>
    </row>
    <row r="414" spans="1:5" x14ac:dyDescent="0.35">
      <c r="A414">
        <v>170</v>
      </c>
      <c r="B414" t="s">
        <v>444</v>
      </c>
      <c r="C414">
        <v>442757.01</v>
      </c>
      <c r="D414">
        <v>1248895</v>
      </c>
      <c r="E414" t="s">
        <v>725</v>
      </c>
    </row>
    <row r="415" spans="1:5" x14ac:dyDescent="0.35">
      <c r="A415">
        <v>180</v>
      </c>
      <c r="B415" t="s">
        <v>445</v>
      </c>
      <c r="C415">
        <v>67204</v>
      </c>
      <c r="D415">
        <v>175639</v>
      </c>
      <c r="E415" t="s">
        <v>725</v>
      </c>
    </row>
    <row r="416" spans="1:5" x14ac:dyDescent="0.35">
      <c r="A416">
        <v>190</v>
      </c>
      <c r="B416" t="s">
        <v>446</v>
      </c>
      <c r="C416">
        <v>0</v>
      </c>
      <c r="D416">
        <v>0</v>
      </c>
      <c r="E416" t="s">
        <v>725</v>
      </c>
    </row>
    <row r="417" spans="1:5" x14ac:dyDescent="0.35">
      <c r="A417">
        <v>200</v>
      </c>
      <c r="B417" t="s">
        <v>447</v>
      </c>
      <c r="C417">
        <v>375553.01</v>
      </c>
      <c r="D417">
        <v>1073256</v>
      </c>
      <c r="E417" t="s">
        <v>725</v>
      </c>
    </row>
    <row r="418" spans="1:5" x14ac:dyDescent="0.35">
      <c r="A418">
        <v>210</v>
      </c>
      <c r="B418" t="s">
        <v>448</v>
      </c>
      <c r="C418">
        <v>721461.75</v>
      </c>
      <c r="D418">
        <v>1536149</v>
      </c>
      <c r="E418" t="s">
        <v>725</v>
      </c>
    </row>
    <row r="419" spans="1:5" x14ac:dyDescent="0.35">
      <c r="A419" t="s">
        <v>501</v>
      </c>
      <c r="B419" t="s">
        <v>416</v>
      </c>
      <c r="C419" t="s">
        <v>419</v>
      </c>
      <c r="D419" t="s">
        <v>476</v>
      </c>
      <c r="E419" t="s">
        <v>121</v>
      </c>
    </row>
    <row r="420" spans="1:5" x14ac:dyDescent="0.35">
      <c r="A420">
        <v>30</v>
      </c>
      <c r="B420" t="s">
        <v>427</v>
      </c>
      <c r="C420">
        <v>1675915.15</v>
      </c>
      <c r="D420">
        <v>5011767</v>
      </c>
      <c r="E420" t="s">
        <v>725</v>
      </c>
    </row>
    <row r="421" spans="1:5" x14ac:dyDescent="0.35">
      <c r="A421">
        <v>40</v>
      </c>
      <c r="B421" t="s">
        <v>429</v>
      </c>
      <c r="C421">
        <v>0</v>
      </c>
      <c r="D421">
        <v>0</v>
      </c>
      <c r="E421" t="s">
        <v>725</v>
      </c>
    </row>
    <row r="422" spans="1:5" x14ac:dyDescent="0.35">
      <c r="A422">
        <v>50</v>
      </c>
      <c r="B422" t="s">
        <v>430</v>
      </c>
      <c r="C422">
        <v>1675915.15</v>
      </c>
      <c r="D422">
        <v>5011767</v>
      </c>
      <c r="E422" t="s">
        <v>725</v>
      </c>
    </row>
    <row r="423" spans="1:5" x14ac:dyDescent="0.35">
      <c r="A423">
        <v>60</v>
      </c>
      <c r="B423" t="s">
        <v>431</v>
      </c>
      <c r="C423">
        <v>1405553.74</v>
      </c>
      <c r="D423">
        <v>4537833</v>
      </c>
      <c r="E423" t="s">
        <v>725</v>
      </c>
    </row>
    <row r="424" spans="1:5" x14ac:dyDescent="0.35">
      <c r="A424">
        <v>70</v>
      </c>
      <c r="B424" t="s">
        <v>432</v>
      </c>
      <c r="C424">
        <v>270361.40999999997</v>
      </c>
      <c r="D424">
        <v>473934</v>
      </c>
      <c r="E424" t="s">
        <v>725</v>
      </c>
    </row>
    <row r="425" spans="1:5" x14ac:dyDescent="0.35">
      <c r="A425">
        <v>80</v>
      </c>
      <c r="B425" t="s">
        <v>433</v>
      </c>
      <c r="C425">
        <v>0</v>
      </c>
      <c r="D425">
        <v>0</v>
      </c>
      <c r="E425" t="s">
        <v>725</v>
      </c>
    </row>
    <row r="426" spans="1:5" x14ac:dyDescent="0.35">
      <c r="A426">
        <v>90</v>
      </c>
      <c r="B426" t="s">
        <v>434</v>
      </c>
      <c r="C426">
        <v>142400.19</v>
      </c>
      <c r="D426">
        <v>138610</v>
      </c>
      <c r="E426" t="s">
        <v>725</v>
      </c>
    </row>
    <row r="427" spans="1:5" x14ac:dyDescent="0.35">
      <c r="A427">
        <v>100</v>
      </c>
      <c r="B427" t="s">
        <v>435</v>
      </c>
      <c r="C427">
        <v>24823.91</v>
      </c>
      <c r="D427">
        <v>27284</v>
      </c>
      <c r="E427" t="s">
        <v>725</v>
      </c>
    </row>
    <row r="428" spans="1:5" x14ac:dyDescent="0.35">
      <c r="A428">
        <v>110</v>
      </c>
      <c r="B428" t="s">
        <v>436</v>
      </c>
      <c r="C428">
        <v>167224.1</v>
      </c>
      <c r="D428">
        <v>165894</v>
      </c>
      <c r="E428" t="s">
        <v>725</v>
      </c>
    </row>
    <row r="429" spans="1:5" x14ac:dyDescent="0.35">
      <c r="A429">
        <v>120</v>
      </c>
      <c r="B429" t="s">
        <v>437</v>
      </c>
      <c r="C429">
        <v>103137.31</v>
      </c>
      <c r="D429">
        <v>308040</v>
      </c>
      <c r="E429" t="s">
        <v>725</v>
      </c>
    </row>
    <row r="430" spans="1:5" x14ac:dyDescent="0.35">
      <c r="A430">
        <v>130</v>
      </c>
      <c r="B430" t="s">
        <v>438</v>
      </c>
      <c r="C430">
        <v>0</v>
      </c>
      <c r="D430">
        <v>0</v>
      </c>
      <c r="E430" t="s">
        <v>725</v>
      </c>
    </row>
    <row r="431" spans="1:5" x14ac:dyDescent="0.35">
      <c r="A431">
        <v>135</v>
      </c>
      <c r="B431" t="s">
        <v>439</v>
      </c>
      <c r="C431">
        <v>-18501</v>
      </c>
      <c r="D431">
        <v>0</v>
      </c>
      <c r="E431" t="s">
        <v>725</v>
      </c>
    </row>
    <row r="432" spans="1:5" x14ac:dyDescent="0.35">
      <c r="A432">
        <v>140</v>
      </c>
      <c r="B432" t="s">
        <v>440</v>
      </c>
      <c r="C432">
        <v>2024.7</v>
      </c>
      <c r="D432">
        <v>3168</v>
      </c>
      <c r="E432" t="s">
        <v>725</v>
      </c>
    </row>
    <row r="433" spans="1:5" x14ac:dyDescent="0.35">
      <c r="A433">
        <v>150</v>
      </c>
      <c r="B433" t="s">
        <v>441</v>
      </c>
      <c r="C433">
        <v>0</v>
      </c>
      <c r="D433">
        <v>0</v>
      </c>
      <c r="E433" t="s">
        <v>725</v>
      </c>
    </row>
    <row r="434" spans="1:5" x14ac:dyDescent="0.35">
      <c r="A434">
        <v>155</v>
      </c>
      <c r="B434" t="s">
        <v>442</v>
      </c>
      <c r="C434">
        <v>0</v>
      </c>
      <c r="D434">
        <v>0</v>
      </c>
      <c r="E434" t="s">
        <v>725</v>
      </c>
    </row>
    <row r="435" spans="1:5" x14ac:dyDescent="0.35">
      <c r="A435">
        <v>160</v>
      </c>
      <c r="B435" t="s">
        <v>443</v>
      </c>
      <c r="C435">
        <v>-16476.3</v>
      </c>
      <c r="D435">
        <v>3168</v>
      </c>
      <c r="E435" t="s">
        <v>725</v>
      </c>
    </row>
    <row r="436" spans="1:5" x14ac:dyDescent="0.35">
      <c r="A436">
        <v>170</v>
      </c>
      <c r="B436" t="s">
        <v>444</v>
      </c>
      <c r="C436">
        <v>119613.61</v>
      </c>
      <c r="D436">
        <v>304872</v>
      </c>
      <c r="E436" t="s">
        <v>725</v>
      </c>
    </row>
    <row r="437" spans="1:5" x14ac:dyDescent="0.35">
      <c r="A437">
        <v>180</v>
      </c>
      <c r="B437" t="s">
        <v>445</v>
      </c>
      <c r="C437">
        <v>0</v>
      </c>
      <c r="D437">
        <v>180424</v>
      </c>
      <c r="E437" t="s">
        <v>725</v>
      </c>
    </row>
    <row r="438" spans="1:5" x14ac:dyDescent="0.35">
      <c r="A438">
        <v>190</v>
      </c>
      <c r="B438" t="s">
        <v>446</v>
      </c>
      <c r="C438">
        <v>0</v>
      </c>
      <c r="D438">
        <v>0</v>
      </c>
      <c r="E438" t="s">
        <v>725</v>
      </c>
    </row>
    <row r="439" spans="1:5" x14ac:dyDescent="0.35">
      <c r="A439">
        <v>200</v>
      </c>
      <c r="B439" t="s">
        <v>447</v>
      </c>
      <c r="C439">
        <v>119613.61</v>
      </c>
      <c r="D439">
        <v>124448</v>
      </c>
      <c r="E439" t="s">
        <v>725</v>
      </c>
    </row>
    <row r="440" spans="1:5" x14ac:dyDescent="0.35">
      <c r="A440">
        <v>210</v>
      </c>
      <c r="B440" t="s">
        <v>448</v>
      </c>
      <c r="C440">
        <v>127961.22</v>
      </c>
      <c r="D440">
        <v>335324</v>
      </c>
      <c r="E440" t="s">
        <v>725</v>
      </c>
    </row>
    <row r="441" spans="1:5" x14ac:dyDescent="0.35">
      <c r="A441" t="s">
        <v>502</v>
      </c>
      <c r="B441" t="s">
        <v>416</v>
      </c>
      <c r="C441" t="s">
        <v>419</v>
      </c>
      <c r="D441" t="s">
        <v>476</v>
      </c>
      <c r="E441" t="s">
        <v>121</v>
      </c>
    </row>
    <row r="442" spans="1:5" x14ac:dyDescent="0.35">
      <c r="A442">
        <v>30</v>
      </c>
      <c r="B442" t="s">
        <v>427</v>
      </c>
      <c r="C442">
        <v>3842182.04</v>
      </c>
      <c r="D442">
        <v>10082000</v>
      </c>
      <c r="E442" t="s">
        <v>725</v>
      </c>
    </row>
    <row r="443" spans="1:5" x14ac:dyDescent="0.35">
      <c r="A443">
        <v>40</v>
      </c>
      <c r="B443" t="s">
        <v>429</v>
      </c>
      <c r="C443">
        <v>0</v>
      </c>
      <c r="D443">
        <v>0</v>
      </c>
      <c r="E443" t="s">
        <v>725</v>
      </c>
    </row>
    <row r="444" spans="1:5" x14ac:dyDescent="0.35">
      <c r="A444">
        <v>50</v>
      </c>
      <c r="B444" t="s">
        <v>430</v>
      </c>
      <c r="C444">
        <v>3842182.04</v>
      </c>
      <c r="D444">
        <v>10082000</v>
      </c>
      <c r="E444" t="s">
        <v>725</v>
      </c>
    </row>
    <row r="445" spans="1:5" x14ac:dyDescent="0.35">
      <c r="A445">
        <v>60</v>
      </c>
      <c r="B445" t="s">
        <v>431</v>
      </c>
      <c r="C445">
        <v>2018277.94</v>
      </c>
      <c r="D445">
        <v>4935000</v>
      </c>
      <c r="E445" t="s">
        <v>725</v>
      </c>
    </row>
    <row r="446" spans="1:5" x14ac:dyDescent="0.35">
      <c r="A446">
        <v>70</v>
      </c>
      <c r="B446" t="s">
        <v>432</v>
      </c>
      <c r="C446">
        <v>1823904.1</v>
      </c>
      <c r="D446">
        <v>5147000</v>
      </c>
      <c r="E446" t="s">
        <v>725</v>
      </c>
    </row>
    <row r="447" spans="1:5" x14ac:dyDescent="0.35">
      <c r="A447">
        <v>80</v>
      </c>
      <c r="B447" t="s">
        <v>433</v>
      </c>
      <c r="C447">
        <v>184901.03</v>
      </c>
      <c r="D447">
        <v>441809</v>
      </c>
      <c r="E447" t="s">
        <v>725</v>
      </c>
    </row>
    <row r="448" spans="1:5" x14ac:dyDescent="0.35">
      <c r="A448">
        <v>90</v>
      </c>
      <c r="B448" t="s">
        <v>434</v>
      </c>
      <c r="C448">
        <v>384581.22</v>
      </c>
      <c r="D448">
        <v>401000</v>
      </c>
      <c r="E448" t="s">
        <v>725</v>
      </c>
    </row>
    <row r="449" spans="1:5" x14ac:dyDescent="0.35">
      <c r="A449">
        <v>100</v>
      </c>
      <c r="B449" t="s">
        <v>435</v>
      </c>
      <c r="C449">
        <v>6229.67</v>
      </c>
      <c r="D449">
        <v>6472</v>
      </c>
      <c r="E449" t="s">
        <v>725</v>
      </c>
    </row>
    <row r="450" spans="1:5" x14ac:dyDescent="0.35">
      <c r="A450">
        <v>110</v>
      </c>
      <c r="B450" t="s">
        <v>436</v>
      </c>
      <c r="C450">
        <v>575711.92000000004</v>
      </c>
      <c r="D450">
        <v>849281</v>
      </c>
      <c r="E450" t="s">
        <v>725</v>
      </c>
    </row>
    <row r="451" spans="1:5" x14ac:dyDescent="0.35">
      <c r="A451">
        <v>120</v>
      </c>
      <c r="B451" t="s">
        <v>437</v>
      </c>
      <c r="C451">
        <v>1248192.18</v>
      </c>
      <c r="D451">
        <v>4297719</v>
      </c>
      <c r="E451" t="s">
        <v>725</v>
      </c>
    </row>
    <row r="452" spans="1:5" x14ac:dyDescent="0.35">
      <c r="A452">
        <v>130</v>
      </c>
      <c r="B452" t="s">
        <v>438</v>
      </c>
      <c r="C452">
        <v>118971.97</v>
      </c>
      <c r="D452">
        <v>-87000</v>
      </c>
      <c r="E452" t="s">
        <v>725</v>
      </c>
    </row>
    <row r="453" spans="1:5" x14ac:dyDescent="0.35">
      <c r="A453">
        <v>135</v>
      </c>
      <c r="B453" t="s">
        <v>439</v>
      </c>
      <c r="C453">
        <v>0</v>
      </c>
      <c r="D453">
        <v>0</v>
      </c>
      <c r="E453" t="s">
        <v>725</v>
      </c>
    </row>
    <row r="454" spans="1:5" x14ac:dyDescent="0.35">
      <c r="A454">
        <v>140</v>
      </c>
      <c r="B454" t="s">
        <v>440</v>
      </c>
      <c r="C454">
        <v>2841.58</v>
      </c>
      <c r="D454">
        <v>3000</v>
      </c>
      <c r="E454" t="s">
        <v>725</v>
      </c>
    </row>
    <row r="455" spans="1:5" x14ac:dyDescent="0.35">
      <c r="A455">
        <v>150</v>
      </c>
      <c r="B455" t="s">
        <v>441</v>
      </c>
      <c r="C455">
        <v>343024.18</v>
      </c>
      <c r="D455">
        <v>495000</v>
      </c>
      <c r="E455" t="s">
        <v>725</v>
      </c>
    </row>
    <row r="456" spans="1:5" x14ac:dyDescent="0.35">
      <c r="A456">
        <v>155</v>
      </c>
      <c r="B456" t="s">
        <v>442</v>
      </c>
      <c r="C456">
        <v>0</v>
      </c>
      <c r="D456">
        <v>0</v>
      </c>
      <c r="E456" t="s">
        <v>725</v>
      </c>
    </row>
    <row r="457" spans="1:5" x14ac:dyDescent="0.35">
      <c r="A457">
        <v>160</v>
      </c>
      <c r="B457" t="s">
        <v>443</v>
      </c>
      <c r="C457">
        <v>-221210.63</v>
      </c>
      <c r="D457">
        <v>-579000</v>
      </c>
      <c r="E457" t="s">
        <v>725</v>
      </c>
    </row>
    <row r="458" spans="1:5" x14ac:dyDescent="0.35">
      <c r="A458">
        <v>170</v>
      </c>
      <c r="B458" t="s">
        <v>444</v>
      </c>
      <c r="C458">
        <v>1469402.81</v>
      </c>
      <c r="D458">
        <v>4876719</v>
      </c>
      <c r="E458" t="s">
        <v>725</v>
      </c>
    </row>
    <row r="459" spans="1:5" x14ac:dyDescent="0.35">
      <c r="A459">
        <v>180</v>
      </c>
      <c r="B459" t="s">
        <v>445</v>
      </c>
      <c r="C459">
        <v>0</v>
      </c>
      <c r="D459">
        <v>965150</v>
      </c>
      <c r="E459" t="s">
        <v>725</v>
      </c>
    </row>
    <row r="460" spans="1:5" x14ac:dyDescent="0.35">
      <c r="A460">
        <v>190</v>
      </c>
      <c r="B460" t="s">
        <v>446</v>
      </c>
      <c r="C460">
        <v>0</v>
      </c>
      <c r="D460">
        <v>0</v>
      </c>
      <c r="E460" t="s">
        <v>725</v>
      </c>
    </row>
    <row r="461" spans="1:5" x14ac:dyDescent="0.35">
      <c r="A461">
        <v>200</v>
      </c>
      <c r="B461" t="s">
        <v>447</v>
      </c>
      <c r="C461">
        <v>1469402.81</v>
      </c>
      <c r="D461">
        <v>3911569</v>
      </c>
      <c r="E461" t="s">
        <v>725</v>
      </c>
    </row>
    <row r="462" spans="1:5" x14ac:dyDescent="0.35">
      <c r="A462">
        <v>210</v>
      </c>
      <c r="B462" t="s">
        <v>448</v>
      </c>
      <c r="C462">
        <v>1254421.8500000001</v>
      </c>
      <c r="D462">
        <v>4304191</v>
      </c>
      <c r="E462" t="s">
        <v>725</v>
      </c>
    </row>
    <row r="463" spans="1:5" x14ac:dyDescent="0.35">
      <c r="A463" t="s">
        <v>503</v>
      </c>
      <c r="B463" t="s">
        <v>416</v>
      </c>
      <c r="C463" t="s">
        <v>419</v>
      </c>
      <c r="D463" t="s">
        <v>476</v>
      </c>
      <c r="E463" t="s">
        <v>121</v>
      </c>
    </row>
    <row r="464" spans="1:5" x14ac:dyDescent="0.35">
      <c r="A464">
        <v>30</v>
      </c>
      <c r="B464" t="s">
        <v>504</v>
      </c>
      <c r="C464">
        <v>271367.95</v>
      </c>
      <c r="D464">
        <v>275842</v>
      </c>
      <c r="E464" t="s">
        <v>725</v>
      </c>
    </row>
    <row r="465" spans="1:5" x14ac:dyDescent="0.35">
      <c r="A465">
        <v>40</v>
      </c>
      <c r="B465" t="s">
        <v>505</v>
      </c>
      <c r="C465">
        <v>535.32000000000005</v>
      </c>
      <c r="D465">
        <v>0</v>
      </c>
      <c r="E465" t="s">
        <v>725</v>
      </c>
    </row>
    <row r="466" spans="1:5" x14ac:dyDescent="0.35">
      <c r="A466">
        <v>50</v>
      </c>
      <c r="B466" t="s">
        <v>506</v>
      </c>
      <c r="C466">
        <v>270832.63</v>
      </c>
      <c r="D466">
        <v>275842</v>
      </c>
      <c r="E466" t="s">
        <v>725</v>
      </c>
    </row>
    <row r="467" spans="1:5" x14ac:dyDescent="0.35">
      <c r="A467">
        <v>60</v>
      </c>
      <c r="B467" t="s">
        <v>507</v>
      </c>
      <c r="C467">
        <v>88214.78</v>
      </c>
      <c r="D467">
        <v>91028</v>
      </c>
      <c r="E467" t="s">
        <v>725</v>
      </c>
    </row>
    <row r="468" spans="1:5" x14ac:dyDescent="0.35">
      <c r="A468">
        <v>65</v>
      </c>
      <c r="B468" t="s">
        <v>508</v>
      </c>
      <c r="C468">
        <v>0</v>
      </c>
      <c r="D468">
        <v>0</v>
      </c>
      <c r="E468" t="s">
        <v>725</v>
      </c>
    </row>
    <row r="469" spans="1:5" x14ac:dyDescent="0.35">
      <c r="A469">
        <v>70</v>
      </c>
      <c r="B469" t="s">
        <v>509</v>
      </c>
      <c r="C469">
        <v>182617.85</v>
      </c>
      <c r="D469">
        <v>184814</v>
      </c>
      <c r="E469" t="s">
        <v>725</v>
      </c>
    </row>
    <row r="470" spans="1:5" x14ac:dyDescent="0.35">
      <c r="A470">
        <v>80</v>
      </c>
      <c r="B470" t="s">
        <v>510</v>
      </c>
      <c r="C470">
        <v>170823.27</v>
      </c>
      <c r="D470">
        <v>175359</v>
      </c>
      <c r="E470" t="s">
        <v>725</v>
      </c>
    </row>
    <row r="471" spans="1:5" x14ac:dyDescent="0.35">
      <c r="A471">
        <v>90</v>
      </c>
      <c r="B471" t="s">
        <v>511</v>
      </c>
      <c r="C471">
        <v>10533.8</v>
      </c>
      <c r="D471">
        <v>12025</v>
      </c>
      <c r="E471" t="s">
        <v>725</v>
      </c>
    </row>
    <row r="472" spans="1:5" x14ac:dyDescent="0.35">
      <c r="A472">
        <v>100</v>
      </c>
      <c r="B472" t="s">
        <v>512</v>
      </c>
      <c r="C472">
        <v>1107.04</v>
      </c>
      <c r="D472">
        <v>1107</v>
      </c>
      <c r="E472" t="s">
        <v>725</v>
      </c>
    </row>
    <row r="473" spans="1:5" x14ac:dyDescent="0.35">
      <c r="A473">
        <v>110</v>
      </c>
      <c r="B473" t="s">
        <v>513</v>
      </c>
      <c r="C473">
        <v>182464.11</v>
      </c>
      <c r="D473">
        <v>188491</v>
      </c>
      <c r="E473" t="s">
        <v>725</v>
      </c>
    </row>
    <row r="474" spans="1:5" x14ac:dyDescent="0.35">
      <c r="A474">
        <v>120</v>
      </c>
      <c r="B474" t="s">
        <v>514</v>
      </c>
      <c r="C474">
        <v>153.74</v>
      </c>
      <c r="D474">
        <v>-3677</v>
      </c>
      <c r="E474" t="s">
        <v>725</v>
      </c>
    </row>
    <row r="475" spans="1:5" x14ac:dyDescent="0.35">
      <c r="A475">
        <v>130</v>
      </c>
      <c r="B475"/>
      <c r="C475">
        <v>0</v>
      </c>
      <c r="D475">
        <v>0</v>
      </c>
      <c r="E475" t="s">
        <v>725</v>
      </c>
    </row>
    <row r="476" spans="1:5" x14ac:dyDescent="0.35">
      <c r="A476">
        <v>135</v>
      </c>
      <c r="B476" t="s">
        <v>515</v>
      </c>
      <c r="C476">
        <v>-1865.01</v>
      </c>
      <c r="D476">
        <v>-2786</v>
      </c>
      <c r="E476" t="s">
        <v>725</v>
      </c>
    </row>
    <row r="477" spans="1:5" x14ac:dyDescent="0.35">
      <c r="A477">
        <v>140</v>
      </c>
      <c r="B477" t="s">
        <v>516</v>
      </c>
      <c r="C477">
        <v>0</v>
      </c>
      <c r="D477">
        <v>45</v>
      </c>
      <c r="E477" t="s">
        <v>725</v>
      </c>
    </row>
    <row r="478" spans="1:5" x14ac:dyDescent="0.35">
      <c r="A478">
        <v>150</v>
      </c>
      <c r="B478" t="s">
        <v>517</v>
      </c>
      <c r="C478">
        <v>0</v>
      </c>
      <c r="D478">
        <v>0</v>
      </c>
      <c r="E478" t="s">
        <v>725</v>
      </c>
    </row>
    <row r="479" spans="1:5" x14ac:dyDescent="0.35">
      <c r="A479">
        <v>155</v>
      </c>
      <c r="B479"/>
      <c r="C479">
        <v>0</v>
      </c>
      <c r="D479">
        <v>0</v>
      </c>
      <c r="E479" t="s">
        <v>725</v>
      </c>
    </row>
    <row r="480" spans="1:5" x14ac:dyDescent="0.35">
      <c r="A480">
        <v>160</v>
      </c>
      <c r="B480" t="s">
        <v>518</v>
      </c>
      <c r="C480">
        <v>-1865.01</v>
      </c>
      <c r="D480">
        <v>-2741</v>
      </c>
      <c r="E480" t="s">
        <v>725</v>
      </c>
    </row>
    <row r="481" spans="1:5" x14ac:dyDescent="0.35">
      <c r="A481">
        <v>170</v>
      </c>
      <c r="B481" t="s">
        <v>519</v>
      </c>
      <c r="C481">
        <v>2018.75</v>
      </c>
      <c r="D481">
        <v>-936</v>
      </c>
      <c r="E481" t="s">
        <v>725</v>
      </c>
    </row>
    <row r="482" spans="1:5" x14ac:dyDescent="0.35">
      <c r="A482">
        <v>180</v>
      </c>
      <c r="B482" t="s">
        <v>520</v>
      </c>
      <c r="C482">
        <v>0</v>
      </c>
      <c r="D482">
        <v>0</v>
      </c>
      <c r="E482" t="s">
        <v>725</v>
      </c>
    </row>
    <row r="483" spans="1:5" x14ac:dyDescent="0.35">
      <c r="A483">
        <v>190</v>
      </c>
      <c r="B483" t="s">
        <v>521</v>
      </c>
      <c r="C483">
        <v>0</v>
      </c>
      <c r="D483">
        <v>0</v>
      </c>
      <c r="E483" t="s">
        <v>725</v>
      </c>
    </row>
    <row r="484" spans="1:5" x14ac:dyDescent="0.35">
      <c r="A484">
        <v>200</v>
      </c>
      <c r="B484" t="s">
        <v>522</v>
      </c>
      <c r="C484">
        <v>2018.75</v>
      </c>
      <c r="D484">
        <v>-936</v>
      </c>
      <c r="E484" t="s">
        <v>725</v>
      </c>
    </row>
    <row r="485" spans="1:5" x14ac:dyDescent="0.35">
      <c r="A485">
        <v>210</v>
      </c>
      <c r="B485" t="s">
        <v>523</v>
      </c>
      <c r="C485">
        <v>1260.78</v>
      </c>
      <c r="D485">
        <v>-2570</v>
      </c>
      <c r="E485" t="s">
        <v>725</v>
      </c>
    </row>
    <row r="486" spans="1:5" x14ac:dyDescent="0.35">
      <c r="A486" t="s">
        <v>524</v>
      </c>
      <c r="B486" t="s">
        <v>416</v>
      </c>
      <c r="C486" t="s">
        <v>419</v>
      </c>
      <c r="D486" t="s">
        <v>476</v>
      </c>
      <c r="E486" t="s">
        <v>121</v>
      </c>
    </row>
    <row r="487" spans="1:5" x14ac:dyDescent="0.35">
      <c r="A487">
        <v>30</v>
      </c>
      <c r="B487" t="s">
        <v>504</v>
      </c>
      <c r="C487">
        <v>566292.16</v>
      </c>
      <c r="D487">
        <v>670162</v>
      </c>
      <c r="E487" t="s">
        <v>725</v>
      </c>
    </row>
    <row r="488" spans="1:5" x14ac:dyDescent="0.35">
      <c r="A488">
        <v>40</v>
      </c>
      <c r="B488" t="s">
        <v>505</v>
      </c>
      <c r="C488">
        <v>1214.6600000000001</v>
      </c>
      <c r="D488">
        <v>0</v>
      </c>
      <c r="E488" t="s">
        <v>725</v>
      </c>
    </row>
    <row r="489" spans="1:5" x14ac:dyDescent="0.35">
      <c r="A489">
        <v>50</v>
      </c>
      <c r="B489" t="s">
        <v>506</v>
      </c>
      <c r="C489">
        <v>565077.5</v>
      </c>
      <c r="D489">
        <v>670162</v>
      </c>
      <c r="E489" t="s">
        <v>725</v>
      </c>
    </row>
    <row r="490" spans="1:5" x14ac:dyDescent="0.35">
      <c r="A490">
        <v>60</v>
      </c>
      <c r="B490" t="s">
        <v>507</v>
      </c>
      <c r="C490">
        <v>175811.14</v>
      </c>
      <c r="D490">
        <v>204399</v>
      </c>
      <c r="E490" t="s">
        <v>725</v>
      </c>
    </row>
    <row r="491" spans="1:5" x14ac:dyDescent="0.35">
      <c r="A491">
        <v>65</v>
      </c>
      <c r="B491" t="s">
        <v>508</v>
      </c>
      <c r="C491">
        <v>0</v>
      </c>
      <c r="D491">
        <v>0</v>
      </c>
      <c r="E491" t="s">
        <v>725</v>
      </c>
    </row>
    <row r="492" spans="1:5" x14ac:dyDescent="0.35">
      <c r="A492">
        <v>70</v>
      </c>
      <c r="B492" t="s">
        <v>509</v>
      </c>
      <c r="C492">
        <v>389266.36</v>
      </c>
      <c r="D492">
        <v>465763</v>
      </c>
      <c r="E492" t="s">
        <v>725</v>
      </c>
    </row>
    <row r="493" spans="1:5" x14ac:dyDescent="0.35">
      <c r="A493">
        <v>80</v>
      </c>
      <c r="B493" t="s">
        <v>510</v>
      </c>
      <c r="C493">
        <v>383270.56</v>
      </c>
      <c r="D493">
        <v>416742</v>
      </c>
      <c r="E493" t="s">
        <v>725</v>
      </c>
    </row>
    <row r="494" spans="1:5" x14ac:dyDescent="0.35">
      <c r="A494">
        <v>90</v>
      </c>
      <c r="B494" t="s">
        <v>511</v>
      </c>
      <c r="C494">
        <v>16430.62</v>
      </c>
      <c r="D494">
        <v>18809</v>
      </c>
      <c r="E494" t="s">
        <v>725</v>
      </c>
    </row>
    <row r="495" spans="1:5" x14ac:dyDescent="0.35">
      <c r="A495">
        <v>100</v>
      </c>
      <c r="B495" t="s">
        <v>512</v>
      </c>
      <c r="C495">
        <v>4079.95</v>
      </c>
      <c r="D495">
        <v>4080</v>
      </c>
      <c r="E495" t="s">
        <v>725</v>
      </c>
    </row>
    <row r="496" spans="1:5" x14ac:dyDescent="0.35">
      <c r="A496">
        <v>110</v>
      </c>
      <c r="B496" t="s">
        <v>513</v>
      </c>
      <c r="C496">
        <v>403781.13</v>
      </c>
      <c r="D496">
        <v>439631</v>
      </c>
      <c r="E496" t="s">
        <v>725</v>
      </c>
    </row>
    <row r="497" spans="1:5" x14ac:dyDescent="0.35">
      <c r="A497">
        <v>120</v>
      </c>
      <c r="B497" t="s">
        <v>514</v>
      </c>
      <c r="C497">
        <v>-14514.77</v>
      </c>
      <c r="D497">
        <v>26132</v>
      </c>
      <c r="E497" t="s">
        <v>725</v>
      </c>
    </row>
    <row r="498" spans="1:5" x14ac:dyDescent="0.35">
      <c r="A498">
        <v>130</v>
      </c>
      <c r="B498"/>
      <c r="C498">
        <v>0</v>
      </c>
      <c r="D498">
        <v>0</v>
      </c>
      <c r="E498" t="s">
        <v>725</v>
      </c>
    </row>
    <row r="499" spans="1:5" x14ac:dyDescent="0.35">
      <c r="A499">
        <v>135</v>
      </c>
      <c r="B499" t="s">
        <v>515</v>
      </c>
      <c r="C499">
        <v>-4127.16</v>
      </c>
      <c r="D499">
        <v>-4464</v>
      </c>
      <c r="E499" t="s">
        <v>725</v>
      </c>
    </row>
    <row r="500" spans="1:5" x14ac:dyDescent="0.35">
      <c r="A500">
        <v>140</v>
      </c>
      <c r="B500" t="s">
        <v>516</v>
      </c>
      <c r="C500">
        <v>3697.25</v>
      </c>
      <c r="D500">
        <v>172</v>
      </c>
      <c r="E500" t="s">
        <v>725</v>
      </c>
    </row>
    <row r="501" spans="1:5" x14ac:dyDescent="0.35">
      <c r="A501">
        <v>150</v>
      </c>
      <c r="B501" t="s">
        <v>517</v>
      </c>
      <c r="C501">
        <v>0</v>
      </c>
      <c r="D501">
        <v>0</v>
      </c>
      <c r="E501" t="s">
        <v>725</v>
      </c>
    </row>
    <row r="502" spans="1:5" x14ac:dyDescent="0.35">
      <c r="A502">
        <v>155</v>
      </c>
      <c r="B502"/>
      <c r="C502">
        <v>0</v>
      </c>
      <c r="D502">
        <v>0</v>
      </c>
      <c r="E502" t="s">
        <v>725</v>
      </c>
    </row>
    <row r="503" spans="1:5" x14ac:dyDescent="0.35">
      <c r="A503">
        <v>160</v>
      </c>
      <c r="B503" t="s">
        <v>518</v>
      </c>
      <c r="C503">
        <v>-429.91</v>
      </c>
      <c r="D503">
        <v>-4292</v>
      </c>
      <c r="E503" t="s">
        <v>725</v>
      </c>
    </row>
    <row r="504" spans="1:5" x14ac:dyDescent="0.35">
      <c r="A504">
        <v>170</v>
      </c>
      <c r="B504" t="s">
        <v>525</v>
      </c>
      <c r="C504">
        <v>-14084.86</v>
      </c>
      <c r="D504">
        <v>30424</v>
      </c>
      <c r="E504" t="s">
        <v>725</v>
      </c>
    </row>
    <row r="505" spans="1:5" x14ac:dyDescent="0.35">
      <c r="A505">
        <v>180</v>
      </c>
      <c r="B505" t="s">
        <v>520</v>
      </c>
      <c r="C505">
        <v>0</v>
      </c>
      <c r="D505">
        <v>0</v>
      </c>
      <c r="E505" t="s">
        <v>725</v>
      </c>
    </row>
    <row r="506" spans="1:5" x14ac:dyDescent="0.35">
      <c r="A506">
        <v>190</v>
      </c>
      <c r="B506" t="s">
        <v>521</v>
      </c>
      <c r="C506">
        <v>0</v>
      </c>
      <c r="D506">
        <v>0</v>
      </c>
      <c r="E506" t="s">
        <v>725</v>
      </c>
    </row>
    <row r="507" spans="1:5" x14ac:dyDescent="0.35">
      <c r="A507">
        <v>200</v>
      </c>
      <c r="B507" t="s">
        <v>522</v>
      </c>
      <c r="C507">
        <v>-14084.86</v>
      </c>
      <c r="D507">
        <v>30424</v>
      </c>
      <c r="E507" t="s">
        <v>725</v>
      </c>
    </row>
    <row r="508" spans="1:5" x14ac:dyDescent="0.35">
      <c r="A508">
        <v>210</v>
      </c>
      <c r="B508" t="s">
        <v>523</v>
      </c>
      <c r="C508">
        <v>-10434.82</v>
      </c>
      <c r="D508">
        <v>30212</v>
      </c>
      <c r="E508" t="s">
        <v>725</v>
      </c>
    </row>
    <row r="509" spans="1:5" x14ac:dyDescent="0.35">
      <c r="A509" t="s">
        <v>526</v>
      </c>
      <c r="B509" t="s">
        <v>416</v>
      </c>
      <c r="C509" t="s">
        <v>419</v>
      </c>
      <c r="D509" t="s">
        <v>476</v>
      </c>
      <c r="E509" t="s">
        <v>121</v>
      </c>
    </row>
    <row r="510" spans="1:5" x14ac:dyDescent="0.35">
      <c r="A510">
        <v>30</v>
      </c>
      <c r="B510" t="s">
        <v>504</v>
      </c>
      <c r="C510">
        <v>52662.11</v>
      </c>
      <c r="D510">
        <v>103315</v>
      </c>
      <c r="E510" t="s">
        <v>725</v>
      </c>
    </row>
    <row r="511" spans="1:5" x14ac:dyDescent="0.35">
      <c r="A511">
        <v>40</v>
      </c>
      <c r="B511" t="s">
        <v>505</v>
      </c>
      <c r="C511">
        <v>0</v>
      </c>
      <c r="D511">
        <v>0</v>
      </c>
      <c r="E511" t="s">
        <v>725</v>
      </c>
    </row>
    <row r="512" spans="1:5" x14ac:dyDescent="0.35">
      <c r="A512">
        <v>50</v>
      </c>
      <c r="B512" t="s">
        <v>506</v>
      </c>
      <c r="C512">
        <v>52662.11</v>
      </c>
      <c r="D512">
        <v>103315</v>
      </c>
      <c r="E512" t="s">
        <v>725</v>
      </c>
    </row>
    <row r="513" spans="1:5" x14ac:dyDescent="0.35">
      <c r="A513">
        <v>60</v>
      </c>
      <c r="B513" t="s">
        <v>507</v>
      </c>
      <c r="C513">
        <v>0</v>
      </c>
      <c r="D513">
        <v>0</v>
      </c>
      <c r="E513" t="s">
        <v>725</v>
      </c>
    </row>
    <row r="514" spans="1:5" x14ac:dyDescent="0.35">
      <c r="A514">
        <v>70</v>
      </c>
      <c r="B514" t="s">
        <v>509</v>
      </c>
      <c r="C514">
        <v>52662.11</v>
      </c>
      <c r="D514">
        <v>103315</v>
      </c>
      <c r="E514" t="s">
        <v>725</v>
      </c>
    </row>
    <row r="515" spans="1:5" x14ac:dyDescent="0.35">
      <c r="A515">
        <v>80</v>
      </c>
      <c r="B515" t="s">
        <v>510</v>
      </c>
      <c r="C515">
        <v>10895.21</v>
      </c>
      <c r="D515">
        <v>33200</v>
      </c>
      <c r="E515" t="s">
        <v>725</v>
      </c>
    </row>
    <row r="516" spans="1:5" x14ac:dyDescent="0.35">
      <c r="A516">
        <v>90</v>
      </c>
      <c r="B516" t="s">
        <v>511</v>
      </c>
      <c r="C516">
        <v>0</v>
      </c>
      <c r="D516">
        <v>0</v>
      </c>
      <c r="E516" t="s">
        <v>725</v>
      </c>
    </row>
    <row r="517" spans="1:5" x14ac:dyDescent="0.35">
      <c r="A517">
        <v>100</v>
      </c>
      <c r="B517" t="s">
        <v>512</v>
      </c>
      <c r="C517">
        <v>11894.08</v>
      </c>
      <c r="D517">
        <v>13698</v>
      </c>
      <c r="E517" t="s">
        <v>725</v>
      </c>
    </row>
    <row r="518" spans="1:5" x14ac:dyDescent="0.35">
      <c r="A518">
        <v>110</v>
      </c>
      <c r="B518" t="s">
        <v>513</v>
      </c>
      <c r="C518">
        <v>22789.29</v>
      </c>
      <c r="D518">
        <v>46898</v>
      </c>
      <c r="E518" t="s">
        <v>725</v>
      </c>
    </row>
    <row r="519" spans="1:5" x14ac:dyDescent="0.35">
      <c r="A519">
        <v>120</v>
      </c>
      <c r="B519" t="s">
        <v>514</v>
      </c>
      <c r="C519">
        <v>29872.82</v>
      </c>
      <c r="D519">
        <v>56417</v>
      </c>
      <c r="E519" t="s">
        <v>725</v>
      </c>
    </row>
    <row r="520" spans="1:5" x14ac:dyDescent="0.35">
      <c r="A520">
        <v>130</v>
      </c>
      <c r="B520"/>
      <c r="C520">
        <v>0</v>
      </c>
      <c r="D520">
        <v>0</v>
      </c>
      <c r="E520" t="s">
        <v>725</v>
      </c>
    </row>
    <row r="521" spans="1:5" x14ac:dyDescent="0.35">
      <c r="A521">
        <v>135</v>
      </c>
      <c r="B521" t="s">
        <v>515</v>
      </c>
      <c r="C521">
        <v>0</v>
      </c>
      <c r="D521">
        <v>0</v>
      </c>
      <c r="E521" t="s">
        <v>725</v>
      </c>
    </row>
    <row r="522" spans="1:5" x14ac:dyDescent="0.35">
      <c r="A522">
        <v>140</v>
      </c>
      <c r="B522" t="s">
        <v>516</v>
      </c>
      <c r="C522">
        <v>18369.62</v>
      </c>
      <c r="D522">
        <v>8700</v>
      </c>
      <c r="E522" t="s">
        <v>725</v>
      </c>
    </row>
    <row r="523" spans="1:5" x14ac:dyDescent="0.35">
      <c r="A523">
        <v>150</v>
      </c>
      <c r="B523" t="s">
        <v>517</v>
      </c>
      <c r="C523">
        <v>0</v>
      </c>
      <c r="D523">
        <v>0</v>
      </c>
      <c r="E523" t="s">
        <v>725</v>
      </c>
    </row>
    <row r="524" spans="1:5" x14ac:dyDescent="0.35">
      <c r="A524">
        <v>155</v>
      </c>
      <c r="B524"/>
      <c r="C524">
        <v>0</v>
      </c>
      <c r="D524">
        <v>0</v>
      </c>
      <c r="E524" t="s">
        <v>725</v>
      </c>
    </row>
    <row r="525" spans="1:5" x14ac:dyDescent="0.35">
      <c r="A525">
        <v>160</v>
      </c>
      <c r="B525" t="s">
        <v>518</v>
      </c>
      <c r="C525">
        <v>18369.62</v>
      </c>
      <c r="D525">
        <v>8700</v>
      </c>
      <c r="E525" t="s">
        <v>725</v>
      </c>
    </row>
    <row r="526" spans="1:5" x14ac:dyDescent="0.35">
      <c r="A526">
        <v>170</v>
      </c>
      <c r="B526" t="s">
        <v>527</v>
      </c>
      <c r="C526">
        <v>11503.2</v>
      </c>
      <c r="D526">
        <v>47717</v>
      </c>
      <c r="E526" t="s">
        <v>725</v>
      </c>
    </row>
    <row r="527" spans="1:5" x14ac:dyDescent="0.35">
      <c r="A527">
        <v>180</v>
      </c>
      <c r="B527" t="s">
        <v>520</v>
      </c>
      <c r="C527">
        <v>0</v>
      </c>
      <c r="D527">
        <v>0</v>
      </c>
      <c r="E527" t="s">
        <v>725</v>
      </c>
    </row>
    <row r="528" spans="1:5" x14ac:dyDescent="0.35">
      <c r="A528">
        <v>190</v>
      </c>
      <c r="B528" t="s">
        <v>521</v>
      </c>
      <c r="C528">
        <v>0</v>
      </c>
      <c r="D528">
        <v>0</v>
      </c>
      <c r="E528" t="s">
        <v>725</v>
      </c>
    </row>
    <row r="529" spans="1:5" x14ac:dyDescent="0.35">
      <c r="A529">
        <v>200</v>
      </c>
      <c r="B529" t="s">
        <v>522</v>
      </c>
      <c r="C529">
        <v>11503.2</v>
      </c>
      <c r="D529">
        <v>47717</v>
      </c>
      <c r="E529" t="s">
        <v>725</v>
      </c>
    </row>
    <row r="530" spans="1:5" x14ac:dyDescent="0.35">
      <c r="A530">
        <v>210</v>
      </c>
      <c r="B530" t="s">
        <v>523</v>
      </c>
      <c r="C530">
        <v>41766.9</v>
      </c>
      <c r="D530">
        <v>70115</v>
      </c>
      <c r="E530" t="s">
        <v>725</v>
      </c>
    </row>
    <row r="531" spans="1:5" x14ac:dyDescent="0.35">
      <c r="A531" t="s">
        <v>528</v>
      </c>
      <c r="B531" t="s">
        <v>416</v>
      </c>
      <c r="C531" t="s">
        <v>419</v>
      </c>
      <c r="D531" t="s">
        <v>476</v>
      </c>
      <c r="E531" t="s">
        <v>121</v>
      </c>
    </row>
    <row r="532" spans="1:5" x14ac:dyDescent="0.35">
      <c r="A532">
        <v>30</v>
      </c>
      <c r="B532" t="s">
        <v>504</v>
      </c>
      <c r="C532">
        <v>3648</v>
      </c>
      <c r="D532">
        <v>0</v>
      </c>
      <c r="E532" t="s">
        <v>725</v>
      </c>
    </row>
    <row r="533" spans="1:5" x14ac:dyDescent="0.35">
      <c r="A533">
        <v>40</v>
      </c>
      <c r="B533" t="s">
        <v>505</v>
      </c>
      <c r="C533">
        <v>0</v>
      </c>
      <c r="D533">
        <v>0</v>
      </c>
      <c r="E533" t="s">
        <v>725</v>
      </c>
    </row>
    <row r="534" spans="1:5" x14ac:dyDescent="0.35">
      <c r="A534">
        <v>50</v>
      </c>
      <c r="B534" t="s">
        <v>506</v>
      </c>
      <c r="C534">
        <v>3648</v>
      </c>
      <c r="D534">
        <v>0</v>
      </c>
      <c r="E534" t="s">
        <v>725</v>
      </c>
    </row>
    <row r="535" spans="1:5" x14ac:dyDescent="0.35">
      <c r="A535">
        <v>60</v>
      </c>
      <c r="B535" t="s">
        <v>507</v>
      </c>
      <c r="C535">
        <v>0</v>
      </c>
      <c r="D535">
        <v>0</v>
      </c>
      <c r="E535" t="s">
        <v>725</v>
      </c>
    </row>
    <row r="536" spans="1:5" x14ac:dyDescent="0.35">
      <c r="A536">
        <v>70</v>
      </c>
      <c r="B536" t="s">
        <v>509</v>
      </c>
      <c r="C536">
        <v>3648</v>
      </c>
      <c r="D536">
        <v>0</v>
      </c>
      <c r="E536" t="s">
        <v>725</v>
      </c>
    </row>
    <row r="537" spans="1:5" x14ac:dyDescent="0.35">
      <c r="A537">
        <v>80</v>
      </c>
      <c r="B537" t="s">
        <v>510</v>
      </c>
      <c r="C537">
        <v>12.79</v>
      </c>
      <c r="D537">
        <v>0</v>
      </c>
      <c r="E537" t="s">
        <v>725</v>
      </c>
    </row>
    <row r="538" spans="1:5" x14ac:dyDescent="0.35">
      <c r="A538">
        <v>90</v>
      </c>
      <c r="B538" t="s">
        <v>511</v>
      </c>
      <c r="C538">
        <v>0</v>
      </c>
      <c r="D538">
        <v>0</v>
      </c>
      <c r="E538" t="s">
        <v>725</v>
      </c>
    </row>
    <row r="539" spans="1:5" x14ac:dyDescent="0.35">
      <c r="A539">
        <v>100</v>
      </c>
      <c r="B539" t="s">
        <v>512</v>
      </c>
      <c r="C539">
        <v>3786.04</v>
      </c>
      <c r="D539">
        <v>0</v>
      </c>
      <c r="E539" t="s">
        <v>725</v>
      </c>
    </row>
    <row r="540" spans="1:5" x14ac:dyDescent="0.35">
      <c r="A540">
        <v>110</v>
      </c>
      <c r="B540" t="s">
        <v>513</v>
      </c>
      <c r="C540">
        <v>3798.83</v>
      </c>
      <c r="D540">
        <v>0</v>
      </c>
      <c r="E540" t="s">
        <v>725</v>
      </c>
    </row>
    <row r="541" spans="1:5" x14ac:dyDescent="0.35">
      <c r="A541">
        <v>120</v>
      </c>
      <c r="B541" t="s">
        <v>513</v>
      </c>
      <c r="C541">
        <v>-150.83000000000001</v>
      </c>
      <c r="D541">
        <v>0</v>
      </c>
      <c r="E541" t="s">
        <v>725</v>
      </c>
    </row>
    <row r="542" spans="1:5" x14ac:dyDescent="0.35">
      <c r="A542">
        <v>130</v>
      </c>
      <c r="B542" t="s">
        <v>438</v>
      </c>
      <c r="C542">
        <v>0</v>
      </c>
      <c r="D542">
        <v>0</v>
      </c>
      <c r="E542" t="s">
        <v>725</v>
      </c>
    </row>
    <row r="543" spans="1:5" x14ac:dyDescent="0.35">
      <c r="A543">
        <v>135</v>
      </c>
      <c r="B543" t="s">
        <v>515</v>
      </c>
      <c r="C543">
        <v>0</v>
      </c>
      <c r="D543">
        <v>0</v>
      </c>
      <c r="E543" t="s">
        <v>725</v>
      </c>
    </row>
    <row r="544" spans="1:5" x14ac:dyDescent="0.35">
      <c r="A544">
        <v>140</v>
      </c>
      <c r="B544" t="s">
        <v>516</v>
      </c>
      <c r="C544">
        <v>0</v>
      </c>
      <c r="D544">
        <v>0</v>
      </c>
      <c r="E544" t="s">
        <v>725</v>
      </c>
    </row>
    <row r="545" spans="1:5" x14ac:dyDescent="0.35">
      <c r="A545">
        <v>150</v>
      </c>
      <c r="B545" t="s">
        <v>517</v>
      </c>
      <c r="C545">
        <v>0</v>
      </c>
      <c r="D545">
        <v>0</v>
      </c>
      <c r="E545" t="s">
        <v>725</v>
      </c>
    </row>
    <row r="546" spans="1:5" x14ac:dyDescent="0.35">
      <c r="A546">
        <v>155</v>
      </c>
      <c r="B546" t="s">
        <v>442</v>
      </c>
      <c r="C546">
        <v>0</v>
      </c>
      <c r="D546">
        <v>0</v>
      </c>
      <c r="E546" t="s">
        <v>725</v>
      </c>
    </row>
    <row r="547" spans="1:5" x14ac:dyDescent="0.35">
      <c r="A547">
        <v>160</v>
      </c>
      <c r="B547" t="s">
        <v>518</v>
      </c>
      <c r="C547">
        <v>0</v>
      </c>
      <c r="D547">
        <v>0</v>
      </c>
      <c r="E547" t="s">
        <v>725</v>
      </c>
    </row>
    <row r="548" spans="1:5" x14ac:dyDescent="0.35">
      <c r="A548">
        <v>170</v>
      </c>
      <c r="B548" t="s">
        <v>529</v>
      </c>
      <c r="C548">
        <v>-150.83000000000001</v>
      </c>
      <c r="D548">
        <v>0</v>
      </c>
      <c r="E548" t="s">
        <v>725</v>
      </c>
    </row>
    <row r="549" spans="1:5" x14ac:dyDescent="0.35">
      <c r="A549">
        <v>180</v>
      </c>
      <c r="B549" t="s">
        <v>530</v>
      </c>
      <c r="C549">
        <v>0</v>
      </c>
      <c r="D549">
        <v>0</v>
      </c>
      <c r="E549" t="s">
        <v>725</v>
      </c>
    </row>
    <row r="550" spans="1:5" x14ac:dyDescent="0.35">
      <c r="A550">
        <v>190</v>
      </c>
      <c r="B550" t="s">
        <v>520</v>
      </c>
      <c r="C550">
        <v>0</v>
      </c>
      <c r="D550">
        <v>0</v>
      </c>
      <c r="E550" t="s">
        <v>725</v>
      </c>
    </row>
    <row r="551" spans="1:5" x14ac:dyDescent="0.35">
      <c r="A551">
        <v>200</v>
      </c>
      <c r="B551" t="s">
        <v>522</v>
      </c>
      <c r="C551">
        <v>-150.83000000000001</v>
      </c>
      <c r="D551">
        <v>0</v>
      </c>
      <c r="E551" t="s">
        <v>725</v>
      </c>
    </row>
    <row r="552" spans="1:5" x14ac:dyDescent="0.35">
      <c r="A552">
        <v>210</v>
      </c>
      <c r="B552" t="s">
        <v>523</v>
      </c>
      <c r="C552">
        <v>3635.21</v>
      </c>
      <c r="D552">
        <v>0</v>
      </c>
      <c r="E552" t="s">
        <v>725</v>
      </c>
    </row>
    <row r="553" spans="1:5" x14ac:dyDescent="0.35">
      <c r="A553" t="s">
        <v>531</v>
      </c>
      <c r="B553" t="s">
        <v>416</v>
      </c>
      <c r="C553" t="s">
        <v>419</v>
      </c>
      <c r="D553" t="s">
        <v>476</v>
      </c>
      <c r="E553" t="s">
        <v>121</v>
      </c>
    </row>
    <row r="554" spans="1:5" x14ac:dyDescent="0.35">
      <c r="A554">
        <v>30</v>
      </c>
      <c r="B554" t="s">
        <v>504</v>
      </c>
      <c r="C554">
        <v>366013.79</v>
      </c>
      <c r="D554">
        <v>255579</v>
      </c>
      <c r="E554" t="s">
        <v>725</v>
      </c>
    </row>
    <row r="555" spans="1:5" x14ac:dyDescent="0.35">
      <c r="A555">
        <v>40</v>
      </c>
      <c r="B555" t="s">
        <v>505</v>
      </c>
      <c r="C555">
        <v>112212.19</v>
      </c>
      <c r="D555">
        <v>0</v>
      </c>
      <c r="E555" t="s">
        <v>725</v>
      </c>
    </row>
    <row r="556" spans="1:5" x14ac:dyDescent="0.35">
      <c r="A556">
        <v>50</v>
      </c>
      <c r="B556" t="s">
        <v>506</v>
      </c>
      <c r="C556">
        <v>253801.60000000001</v>
      </c>
      <c r="D556">
        <v>255579</v>
      </c>
      <c r="E556" t="s">
        <v>725</v>
      </c>
    </row>
    <row r="557" spans="1:5" x14ac:dyDescent="0.35">
      <c r="A557">
        <v>60</v>
      </c>
      <c r="B557" t="s">
        <v>507</v>
      </c>
      <c r="C557">
        <v>80402.89</v>
      </c>
      <c r="D557">
        <v>79485</v>
      </c>
      <c r="E557" t="s">
        <v>725</v>
      </c>
    </row>
    <row r="558" spans="1:5" x14ac:dyDescent="0.35">
      <c r="A558">
        <v>65</v>
      </c>
      <c r="B558" t="s">
        <v>508</v>
      </c>
      <c r="C558">
        <v>0</v>
      </c>
      <c r="D558">
        <v>0</v>
      </c>
      <c r="E558" t="s">
        <v>725</v>
      </c>
    </row>
    <row r="559" spans="1:5" x14ac:dyDescent="0.35">
      <c r="A559">
        <v>70</v>
      </c>
      <c r="B559" t="s">
        <v>509</v>
      </c>
      <c r="C559">
        <v>173398.71</v>
      </c>
      <c r="D559">
        <v>176094</v>
      </c>
      <c r="E559" t="s">
        <v>725</v>
      </c>
    </row>
    <row r="560" spans="1:5" x14ac:dyDescent="0.35">
      <c r="A560">
        <v>80</v>
      </c>
      <c r="B560" t="s">
        <v>510</v>
      </c>
      <c r="C560">
        <v>156723.12</v>
      </c>
      <c r="D560">
        <v>136595</v>
      </c>
      <c r="E560" t="s">
        <v>725</v>
      </c>
    </row>
    <row r="561" spans="1:5" x14ac:dyDescent="0.35">
      <c r="A561">
        <v>90</v>
      </c>
      <c r="B561" t="s">
        <v>511</v>
      </c>
      <c r="C561">
        <v>9922.19</v>
      </c>
      <c r="D561">
        <v>9122</v>
      </c>
      <c r="E561" t="s">
        <v>725</v>
      </c>
    </row>
    <row r="562" spans="1:5" x14ac:dyDescent="0.35">
      <c r="A562">
        <v>100</v>
      </c>
      <c r="B562" t="s">
        <v>512</v>
      </c>
      <c r="C562">
        <v>4774.0600000000004</v>
      </c>
      <c r="D562">
        <v>2988</v>
      </c>
      <c r="E562" t="s">
        <v>725</v>
      </c>
    </row>
    <row r="563" spans="1:5" x14ac:dyDescent="0.35">
      <c r="A563">
        <v>110</v>
      </c>
      <c r="B563" t="s">
        <v>513</v>
      </c>
      <c r="C563">
        <v>171419.37</v>
      </c>
      <c r="D563">
        <v>148705</v>
      </c>
      <c r="E563" t="s">
        <v>725</v>
      </c>
    </row>
    <row r="564" spans="1:5" x14ac:dyDescent="0.35">
      <c r="A564">
        <v>120</v>
      </c>
      <c r="B564" t="s">
        <v>514</v>
      </c>
      <c r="C564">
        <v>1979.34</v>
      </c>
      <c r="D564">
        <v>27389</v>
      </c>
      <c r="E564" t="s">
        <v>725</v>
      </c>
    </row>
    <row r="565" spans="1:5" x14ac:dyDescent="0.35">
      <c r="A565">
        <v>130</v>
      </c>
      <c r="B565"/>
      <c r="C565">
        <v>0</v>
      </c>
      <c r="D565">
        <v>0</v>
      </c>
      <c r="E565" t="s">
        <v>725</v>
      </c>
    </row>
    <row r="566" spans="1:5" x14ac:dyDescent="0.35">
      <c r="A566">
        <v>135</v>
      </c>
      <c r="B566" t="s">
        <v>515</v>
      </c>
      <c r="C566">
        <v>-414.32</v>
      </c>
      <c r="D566">
        <v>-1882</v>
      </c>
      <c r="E566" t="s">
        <v>725</v>
      </c>
    </row>
    <row r="567" spans="1:5" x14ac:dyDescent="0.35">
      <c r="A567">
        <v>140</v>
      </c>
      <c r="B567" t="s">
        <v>516</v>
      </c>
      <c r="C567">
        <v>0</v>
      </c>
      <c r="D567">
        <v>25</v>
      </c>
      <c r="E567" t="s">
        <v>725</v>
      </c>
    </row>
    <row r="568" spans="1:5" x14ac:dyDescent="0.35">
      <c r="A568">
        <v>150</v>
      </c>
      <c r="B568" t="s">
        <v>517</v>
      </c>
      <c r="C568">
        <v>0</v>
      </c>
      <c r="D568">
        <v>0</v>
      </c>
      <c r="E568" t="s">
        <v>725</v>
      </c>
    </row>
    <row r="569" spans="1:5" x14ac:dyDescent="0.35">
      <c r="A569">
        <v>155</v>
      </c>
      <c r="B569"/>
      <c r="C569">
        <v>0</v>
      </c>
      <c r="D569">
        <v>0</v>
      </c>
      <c r="E569" t="s">
        <v>725</v>
      </c>
    </row>
    <row r="570" spans="1:5" x14ac:dyDescent="0.35">
      <c r="A570">
        <v>160</v>
      </c>
      <c r="B570" t="s">
        <v>518</v>
      </c>
      <c r="C570">
        <v>-414.32</v>
      </c>
      <c r="D570">
        <v>-1857</v>
      </c>
      <c r="E570" t="s">
        <v>725</v>
      </c>
    </row>
    <row r="571" spans="1:5" x14ac:dyDescent="0.35">
      <c r="A571">
        <v>170</v>
      </c>
      <c r="B571" t="s">
        <v>525</v>
      </c>
      <c r="C571">
        <v>2393.66</v>
      </c>
      <c r="D571">
        <v>29246</v>
      </c>
      <c r="E571" t="s">
        <v>725</v>
      </c>
    </row>
    <row r="572" spans="1:5" x14ac:dyDescent="0.35">
      <c r="A572">
        <v>180</v>
      </c>
      <c r="B572" t="s">
        <v>520</v>
      </c>
      <c r="C572">
        <v>0</v>
      </c>
      <c r="D572">
        <v>0</v>
      </c>
      <c r="E572" t="s">
        <v>725</v>
      </c>
    </row>
    <row r="573" spans="1:5" x14ac:dyDescent="0.35">
      <c r="A573">
        <v>190</v>
      </c>
      <c r="B573" t="s">
        <v>521</v>
      </c>
      <c r="C573">
        <v>0</v>
      </c>
      <c r="D573">
        <v>0</v>
      </c>
      <c r="E573" t="s">
        <v>725</v>
      </c>
    </row>
    <row r="574" spans="1:5" x14ac:dyDescent="0.35">
      <c r="A574">
        <v>200</v>
      </c>
      <c r="B574" t="s">
        <v>522</v>
      </c>
      <c r="C574">
        <v>2393.66</v>
      </c>
      <c r="D574">
        <v>29246</v>
      </c>
      <c r="E574" t="s">
        <v>725</v>
      </c>
    </row>
    <row r="575" spans="1:5" x14ac:dyDescent="0.35">
      <c r="A575">
        <v>210</v>
      </c>
      <c r="B575" t="s">
        <v>523</v>
      </c>
      <c r="C575">
        <v>6753.4</v>
      </c>
      <c r="D575">
        <v>30377</v>
      </c>
      <c r="E575" t="s">
        <v>725</v>
      </c>
    </row>
    <row r="576" spans="1:5" x14ac:dyDescent="0.35">
      <c r="A576" t="s">
        <v>532</v>
      </c>
      <c r="B576" t="s">
        <v>416</v>
      </c>
      <c r="C576" t="s">
        <v>419</v>
      </c>
      <c r="D576" t="s">
        <v>476</v>
      </c>
      <c r="E576" t="s">
        <v>121</v>
      </c>
    </row>
    <row r="577" spans="1:5" x14ac:dyDescent="0.35">
      <c r="A577">
        <v>30</v>
      </c>
      <c r="B577" t="s">
        <v>504</v>
      </c>
      <c r="C577">
        <v>43908.36</v>
      </c>
      <c r="D577">
        <v>0</v>
      </c>
      <c r="E577" t="s">
        <v>725</v>
      </c>
    </row>
    <row r="578" spans="1:5" x14ac:dyDescent="0.35">
      <c r="A578">
        <v>40</v>
      </c>
      <c r="B578" t="s">
        <v>505</v>
      </c>
      <c r="C578">
        <v>0</v>
      </c>
      <c r="D578">
        <v>0</v>
      </c>
      <c r="E578" t="s">
        <v>725</v>
      </c>
    </row>
    <row r="579" spans="1:5" x14ac:dyDescent="0.35">
      <c r="A579">
        <v>50</v>
      </c>
      <c r="B579" t="s">
        <v>506</v>
      </c>
      <c r="C579">
        <v>43908.36</v>
      </c>
      <c r="D579">
        <v>0</v>
      </c>
      <c r="E579" t="s">
        <v>725</v>
      </c>
    </row>
    <row r="580" spans="1:5" x14ac:dyDescent="0.35">
      <c r="A580">
        <v>60</v>
      </c>
      <c r="B580" t="s">
        <v>507</v>
      </c>
      <c r="C580">
        <v>0</v>
      </c>
      <c r="D580">
        <v>0</v>
      </c>
      <c r="E580" t="s">
        <v>725</v>
      </c>
    </row>
    <row r="581" spans="1:5" x14ac:dyDescent="0.35">
      <c r="A581">
        <v>70</v>
      </c>
      <c r="B581" t="s">
        <v>509</v>
      </c>
      <c r="C581">
        <v>43908.36</v>
      </c>
      <c r="D581">
        <v>0</v>
      </c>
      <c r="E581" t="s">
        <v>725</v>
      </c>
    </row>
    <row r="582" spans="1:5" x14ac:dyDescent="0.35">
      <c r="A582">
        <v>80</v>
      </c>
      <c r="B582" t="s">
        <v>510</v>
      </c>
      <c r="C582">
        <v>12603.3</v>
      </c>
      <c r="D582">
        <v>0</v>
      </c>
      <c r="E582" t="s">
        <v>725</v>
      </c>
    </row>
    <row r="583" spans="1:5" x14ac:dyDescent="0.35">
      <c r="A583">
        <v>90</v>
      </c>
      <c r="B583" t="s">
        <v>511</v>
      </c>
      <c r="C583">
        <v>0</v>
      </c>
      <c r="D583">
        <v>0</v>
      </c>
      <c r="E583" t="s">
        <v>725</v>
      </c>
    </row>
    <row r="584" spans="1:5" x14ac:dyDescent="0.35">
      <c r="A584">
        <v>100</v>
      </c>
      <c r="B584" t="s">
        <v>512</v>
      </c>
      <c r="C584">
        <v>2513.17</v>
      </c>
      <c r="D584">
        <v>0</v>
      </c>
      <c r="E584" t="s">
        <v>725</v>
      </c>
    </row>
    <row r="585" spans="1:5" x14ac:dyDescent="0.35">
      <c r="A585">
        <v>110</v>
      </c>
      <c r="B585" t="s">
        <v>513</v>
      </c>
      <c r="C585">
        <v>15116.47</v>
      </c>
      <c r="D585">
        <v>0</v>
      </c>
      <c r="E585" t="s">
        <v>725</v>
      </c>
    </row>
    <row r="586" spans="1:5" x14ac:dyDescent="0.35">
      <c r="A586">
        <v>120</v>
      </c>
      <c r="B586" t="s">
        <v>514</v>
      </c>
      <c r="C586">
        <v>28791.89</v>
      </c>
      <c r="D586">
        <v>0</v>
      </c>
      <c r="E586" t="s">
        <v>725</v>
      </c>
    </row>
    <row r="587" spans="1:5" x14ac:dyDescent="0.35">
      <c r="A587">
        <v>130</v>
      </c>
      <c r="B587" t="s">
        <v>438</v>
      </c>
      <c r="C587">
        <v>0</v>
      </c>
      <c r="D587">
        <v>0</v>
      </c>
      <c r="E587" t="s">
        <v>725</v>
      </c>
    </row>
    <row r="588" spans="1:5" x14ac:dyDescent="0.35">
      <c r="A588">
        <v>135</v>
      </c>
      <c r="B588" t="s">
        <v>515</v>
      </c>
      <c r="C588">
        <v>0</v>
      </c>
      <c r="D588">
        <v>0</v>
      </c>
      <c r="E588" t="s">
        <v>725</v>
      </c>
    </row>
    <row r="589" spans="1:5" x14ac:dyDescent="0.35">
      <c r="A589">
        <v>140</v>
      </c>
      <c r="B589" t="s">
        <v>516</v>
      </c>
      <c r="C589">
        <v>3506.79</v>
      </c>
      <c r="D589">
        <v>0</v>
      </c>
      <c r="E589" t="s">
        <v>725</v>
      </c>
    </row>
    <row r="590" spans="1:5" x14ac:dyDescent="0.35">
      <c r="A590">
        <v>150</v>
      </c>
      <c r="B590" t="s">
        <v>517</v>
      </c>
      <c r="C590">
        <v>0</v>
      </c>
      <c r="D590">
        <v>0</v>
      </c>
      <c r="E590" t="s">
        <v>725</v>
      </c>
    </row>
    <row r="591" spans="1:5" x14ac:dyDescent="0.35">
      <c r="A591">
        <v>155</v>
      </c>
      <c r="B591" t="s">
        <v>442</v>
      </c>
      <c r="C591">
        <v>0</v>
      </c>
      <c r="D591">
        <v>0</v>
      </c>
      <c r="E591" t="s">
        <v>725</v>
      </c>
    </row>
    <row r="592" spans="1:5" x14ac:dyDescent="0.35">
      <c r="A592">
        <v>160</v>
      </c>
      <c r="B592" t="s">
        <v>518</v>
      </c>
      <c r="C592">
        <v>3506.79</v>
      </c>
      <c r="D592">
        <v>0</v>
      </c>
      <c r="E592" t="s">
        <v>725</v>
      </c>
    </row>
    <row r="593" spans="1:5" x14ac:dyDescent="0.35">
      <c r="A593">
        <v>170</v>
      </c>
      <c r="B593" t="s">
        <v>529</v>
      </c>
      <c r="C593">
        <v>25285.1</v>
      </c>
      <c r="D593">
        <v>0</v>
      </c>
      <c r="E593" t="s">
        <v>725</v>
      </c>
    </row>
    <row r="594" spans="1:5" x14ac:dyDescent="0.35">
      <c r="A594">
        <v>180</v>
      </c>
      <c r="B594" t="s">
        <v>530</v>
      </c>
      <c r="C594">
        <v>0</v>
      </c>
      <c r="D594">
        <v>0</v>
      </c>
      <c r="E594" t="s">
        <v>725</v>
      </c>
    </row>
    <row r="595" spans="1:5" x14ac:dyDescent="0.35">
      <c r="A595">
        <v>190</v>
      </c>
      <c r="B595" t="s">
        <v>520</v>
      </c>
      <c r="C595">
        <v>0</v>
      </c>
      <c r="D595">
        <v>0</v>
      </c>
      <c r="E595" t="s">
        <v>725</v>
      </c>
    </row>
    <row r="596" spans="1:5" x14ac:dyDescent="0.35">
      <c r="A596">
        <v>200</v>
      </c>
      <c r="B596" t="s">
        <v>522</v>
      </c>
      <c r="C596">
        <v>25285.1</v>
      </c>
      <c r="D596">
        <v>0</v>
      </c>
      <c r="E596" t="s">
        <v>725</v>
      </c>
    </row>
    <row r="597" spans="1:5" x14ac:dyDescent="0.35">
      <c r="A597">
        <v>210</v>
      </c>
      <c r="B597" t="s">
        <v>523</v>
      </c>
      <c r="C597">
        <v>31305.06</v>
      </c>
      <c r="D597">
        <v>0</v>
      </c>
      <c r="E597" t="s">
        <v>725</v>
      </c>
    </row>
    <row r="598" spans="1:5" x14ac:dyDescent="0.35">
      <c r="A598" t="s">
        <v>533</v>
      </c>
      <c r="B598" t="s">
        <v>416</v>
      </c>
      <c r="C598" t="s">
        <v>419</v>
      </c>
      <c r="D598" t="s">
        <v>476</v>
      </c>
      <c r="E598" t="s">
        <v>121</v>
      </c>
    </row>
    <row r="599" spans="1:5" x14ac:dyDescent="0.35">
      <c r="A599">
        <v>30</v>
      </c>
      <c r="B599" t="s">
        <v>504</v>
      </c>
      <c r="C599">
        <v>411796.28</v>
      </c>
      <c r="D599">
        <v>349440</v>
      </c>
      <c r="E599" t="s">
        <v>725</v>
      </c>
    </row>
    <row r="600" spans="1:5" x14ac:dyDescent="0.35">
      <c r="A600">
        <v>40</v>
      </c>
      <c r="B600" t="s">
        <v>505</v>
      </c>
      <c r="C600">
        <v>93857.47</v>
      </c>
      <c r="D600">
        <v>0</v>
      </c>
      <c r="E600" t="s">
        <v>725</v>
      </c>
    </row>
    <row r="601" spans="1:5" x14ac:dyDescent="0.35">
      <c r="A601">
        <v>50</v>
      </c>
      <c r="B601" t="s">
        <v>506</v>
      </c>
      <c r="C601">
        <v>317938.81</v>
      </c>
      <c r="D601">
        <v>349440</v>
      </c>
      <c r="E601" t="s">
        <v>725</v>
      </c>
    </row>
    <row r="602" spans="1:5" x14ac:dyDescent="0.35">
      <c r="A602">
        <v>60</v>
      </c>
      <c r="B602" t="s">
        <v>507</v>
      </c>
      <c r="C602">
        <v>92470.75</v>
      </c>
      <c r="D602">
        <v>110074</v>
      </c>
      <c r="E602" t="s">
        <v>725</v>
      </c>
    </row>
    <row r="603" spans="1:5" x14ac:dyDescent="0.35">
      <c r="A603">
        <v>65</v>
      </c>
      <c r="B603" t="s">
        <v>508</v>
      </c>
      <c r="C603">
        <v>0</v>
      </c>
      <c r="D603">
        <v>0</v>
      </c>
      <c r="E603" t="s">
        <v>725</v>
      </c>
    </row>
    <row r="604" spans="1:5" x14ac:dyDescent="0.35">
      <c r="A604">
        <v>70</v>
      </c>
      <c r="B604" t="s">
        <v>509</v>
      </c>
      <c r="C604">
        <v>225468.06</v>
      </c>
      <c r="D604">
        <v>239366</v>
      </c>
      <c r="E604" t="s">
        <v>725</v>
      </c>
    </row>
    <row r="605" spans="1:5" x14ac:dyDescent="0.35">
      <c r="A605">
        <v>80</v>
      </c>
      <c r="B605" t="s">
        <v>510</v>
      </c>
      <c r="C605">
        <v>187089.73</v>
      </c>
      <c r="D605">
        <v>195219</v>
      </c>
      <c r="E605" t="s">
        <v>725</v>
      </c>
    </row>
    <row r="606" spans="1:5" x14ac:dyDescent="0.35">
      <c r="A606">
        <v>90</v>
      </c>
      <c r="B606" t="s">
        <v>511</v>
      </c>
      <c r="C606">
        <v>11840.63</v>
      </c>
      <c r="D606">
        <v>13357</v>
      </c>
      <c r="E606" t="s">
        <v>725</v>
      </c>
    </row>
    <row r="607" spans="1:5" x14ac:dyDescent="0.35">
      <c r="A607">
        <v>100</v>
      </c>
      <c r="B607" t="s">
        <v>512</v>
      </c>
      <c r="C607">
        <v>5566.67</v>
      </c>
      <c r="D607">
        <v>5119</v>
      </c>
      <c r="E607" t="s">
        <v>725</v>
      </c>
    </row>
    <row r="608" spans="1:5" x14ac:dyDescent="0.35">
      <c r="A608">
        <v>110</v>
      </c>
      <c r="B608" t="s">
        <v>513</v>
      </c>
      <c r="C608">
        <v>204497.03</v>
      </c>
      <c r="D608">
        <v>213695</v>
      </c>
      <c r="E608" t="s">
        <v>725</v>
      </c>
    </row>
    <row r="609" spans="1:5" x14ac:dyDescent="0.35">
      <c r="A609">
        <v>120</v>
      </c>
      <c r="B609" t="s">
        <v>514</v>
      </c>
      <c r="C609">
        <v>20971.03</v>
      </c>
      <c r="D609">
        <v>25671</v>
      </c>
      <c r="E609" t="s">
        <v>725</v>
      </c>
    </row>
    <row r="610" spans="1:5" x14ac:dyDescent="0.35">
      <c r="A610">
        <v>130</v>
      </c>
      <c r="B610"/>
      <c r="C610">
        <v>0</v>
      </c>
      <c r="D610">
        <v>0</v>
      </c>
      <c r="E610" t="s">
        <v>725</v>
      </c>
    </row>
    <row r="611" spans="1:5" x14ac:dyDescent="0.35">
      <c r="A611">
        <v>135</v>
      </c>
      <c r="B611" t="s">
        <v>515</v>
      </c>
      <c r="C611">
        <v>12.95</v>
      </c>
      <c r="D611">
        <v>-1308</v>
      </c>
      <c r="E611" t="s">
        <v>725</v>
      </c>
    </row>
    <row r="612" spans="1:5" x14ac:dyDescent="0.35">
      <c r="A612">
        <v>140</v>
      </c>
      <c r="B612" t="s">
        <v>516</v>
      </c>
      <c r="C612">
        <v>0</v>
      </c>
      <c r="D612">
        <v>5</v>
      </c>
      <c r="E612" t="s">
        <v>725</v>
      </c>
    </row>
    <row r="613" spans="1:5" x14ac:dyDescent="0.35">
      <c r="A613">
        <v>150</v>
      </c>
      <c r="B613" t="s">
        <v>517</v>
      </c>
      <c r="C613">
        <v>0</v>
      </c>
      <c r="D613">
        <v>0</v>
      </c>
      <c r="E613" t="s">
        <v>725</v>
      </c>
    </row>
    <row r="614" spans="1:5" x14ac:dyDescent="0.35">
      <c r="A614">
        <v>155</v>
      </c>
      <c r="B614"/>
      <c r="C614">
        <v>0</v>
      </c>
      <c r="D614">
        <v>0</v>
      </c>
      <c r="E614" t="s">
        <v>725</v>
      </c>
    </row>
    <row r="615" spans="1:5" x14ac:dyDescent="0.35">
      <c r="A615">
        <v>160</v>
      </c>
      <c r="B615" t="s">
        <v>518</v>
      </c>
      <c r="C615">
        <v>12.95</v>
      </c>
      <c r="D615">
        <v>-1303</v>
      </c>
      <c r="E615" t="s">
        <v>725</v>
      </c>
    </row>
    <row r="616" spans="1:5" x14ac:dyDescent="0.35">
      <c r="A616">
        <v>170</v>
      </c>
      <c r="B616" t="s">
        <v>525</v>
      </c>
      <c r="C616">
        <v>20958.080000000002</v>
      </c>
      <c r="D616">
        <v>26974</v>
      </c>
      <c r="E616" t="s">
        <v>725</v>
      </c>
    </row>
    <row r="617" spans="1:5" x14ac:dyDescent="0.35">
      <c r="A617">
        <v>180</v>
      </c>
      <c r="B617" t="s">
        <v>520</v>
      </c>
      <c r="C617">
        <v>0</v>
      </c>
      <c r="D617">
        <v>0</v>
      </c>
      <c r="E617" t="s">
        <v>725</v>
      </c>
    </row>
    <row r="618" spans="1:5" x14ac:dyDescent="0.35">
      <c r="A618">
        <v>190</v>
      </c>
      <c r="B618" t="s">
        <v>521</v>
      </c>
      <c r="C618">
        <v>0</v>
      </c>
      <c r="D618">
        <v>0</v>
      </c>
      <c r="E618" t="s">
        <v>725</v>
      </c>
    </row>
    <row r="619" spans="1:5" x14ac:dyDescent="0.35">
      <c r="A619">
        <v>200</v>
      </c>
      <c r="B619" t="s">
        <v>522</v>
      </c>
      <c r="C619">
        <v>20958.080000000002</v>
      </c>
      <c r="D619">
        <v>26974</v>
      </c>
      <c r="E619" t="s">
        <v>725</v>
      </c>
    </row>
    <row r="620" spans="1:5" x14ac:dyDescent="0.35">
      <c r="A620">
        <v>210</v>
      </c>
      <c r="B620" t="s">
        <v>523</v>
      </c>
      <c r="C620">
        <v>26537.7</v>
      </c>
      <c r="D620">
        <v>30790</v>
      </c>
      <c r="E620" t="s">
        <v>725</v>
      </c>
    </row>
    <row r="621" spans="1:5" x14ac:dyDescent="0.35">
      <c r="A621" t="s">
        <v>534</v>
      </c>
      <c r="B621" t="s">
        <v>416</v>
      </c>
      <c r="C621" t="s">
        <v>419</v>
      </c>
      <c r="D621" t="s">
        <v>476</v>
      </c>
      <c r="E621" t="s">
        <v>121</v>
      </c>
    </row>
    <row r="622" spans="1:5" x14ac:dyDescent="0.35">
      <c r="A622">
        <v>30</v>
      </c>
      <c r="B622" t="s">
        <v>504</v>
      </c>
      <c r="C622">
        <v>18192.18</v>
      </c>
      <c r="D622">
        <v>0</v>
      </c>
      <c r="E622" t="s">
        <v>725</v>
      </c>
    </row>
    <row r="623" spans="1:5" x14ac:dyDescent="0.35">
      <c r="A623">
        <v>40</v>
      </c>
      <c r="B623" t="s">
        <v>505</v>
      </c>
      <c r="C623">
        <v>0</v>
      </c>
      <c r="D623">
        <v>0</v>
      </c>
      <c r="E623" t="s">
        <v>725</v>
      </c>
    </row>
    <row r="624" spans="1:5" x14ac:dyDescent="0.35">
      <c r="A624">
        <v>50</v>
      </c>
      <c r="B624" t="s">
        <v>506</v>
      </c>
      <c r="C624">
        <v>18192.18</v>
      </c>
      <c r="D624">
        <v>0</v>
      </c>
      <c r="E624" t="s">
        <v>725</v>
      </c>
    </row>
    <row r="625" spans="1:5" x14ac:dyDescent="0.35">
      <c r="A625">
        <v>60</v>
      </c>
      <c r="B625" t="s">
        <v>507</v>
      </c>
      <c r="C625">
        <v>0</v>
      </c>
      <c r="D625">
        <v>0</v>
      </c>
      <c r="E625" t="s">
        <v>725</v>
      </c>
    </row>
    <row r="626" spans="1:5" x14ac:dyDescent="0.35">
      <c r="A626">
        <v>70</v>
      </c>
      <c r="B626" t="s">
        <v>509</v>
      </c>
      <c r="C626">
        <v>18192.18</v>
      </c>
      <c r="D626">
        <v>0</v>
      </c>
      <c r="E626" t="s">
        <v>725</v>
      </c>
    </row>
    <row r="627" spans="1:5" x14ac:dyDescent="0.35">
      <c r="A627">
        <v>80</v>
      </c>
      <c r="B627" t="s">
        <v>510</v>
      </c>
      <c r="C627">
        <v>4639.3100000000004</v>
      </c>
      <c r="D627">
        <v>0</v>
      </c>
      <c r="E627" t="s">
        <v>725</v>
      </c>
    </row>
    <row r="628" spans="1:5" x14ac:dyDescent="0.35">
      <c r="A628">
        <v>90</v>
      </c>
      <c r="B628" t="s">
        <v>511</v>
      </c>
      <c r="C628">
        <v>0</v>
      </c>
      <c r="D628">
        <v>0</v>
      </c>
      <c r="E628" t="s">
        <v>725</v>
      </c>
    </row>
    <row r="629" spans="1:5" x14ac:dyDescent="0.35">
      <c r="A629">
        <v>100</v>
      </c>
      <c r="B629" t="s">
        <v>512</v>
      </c>
      <c r="C629">
        <v>2809.12</v>
      </c>
      <c r="D629">
        <v>0</v>
      </c>
      <c r="E629" t="s">
        <v>725</v>
      </c>
    </row>
    <row r="630" spans="1:5" x14ac:dyDescent="0.35">
      <c r="A630">
        <v>110</v>
      </c>
      <c r="B630" t="s">
        <v>513</v>
      </c>
      <c r="C630">
        <v>7448.43</v>
      </c>
      <c r="D630">
        <v>0</v>
      </c>
      <c r="E630" t="s">
        <v>725</v>
      </c>
    </row>
    <row r="631" spans="1:5" x14ac:dyDescent="0.35">
      <c r="A631">
        <v>120</v>
      </c>
      <c r="B631" t="s">
        <v>514</v>
      </c>
      <c r="C631">
        <v>10743.75</v>
      </c>
      <c r="D631">
        <v>0</v>
      </c>
      <c r="E631" t="s">
        <v>725</v>
      </c>
    </row>
    <row r="632" spans="1:5" x14ac:dyDescent="0.35">
      <c r="A632">
        <v>130</v>
      </c>
      <c r="B632" t="s">
        <v>438</v>
      </c>
      <c r="C632">
        <v>0</v>
      </c>
      <c r="D632">
        <v>0</v>
      </c>
      <c r="E632" t="s">
        <v>725</v>
      </c>
    </row>
    <row r="633" spans="1:5" x14ac:dyDescent="0.35">
      <c r="A633">
        <v>135</v>
      </c>
      <c r="B633" t="s">
        <v>515</v>
      </c>
      <c r="C633">
        <v>119.8</v>
      </c>
      <c r="D633">
        <v>0</v>
      </c>
      <c r="E633" t="s">
        <v>725</v>
      </c>
    </row>
    <row r="634" spans="1:5" x14ac:dyDescent="0.35">
      <c r="A634">
        <v>140</v>
      </c>
      <c r="B634" t="s">
        <v>516</v>
      </c>
      <c r="C634">
        <v>1905.28</v>
      </c>
      <c r="D634">
        <v>0</v>
      </c>
      <c r="E634" t="s">
        <v>725</v>
      </c>
    </row>
    <row r="635" spans="1:5" x14ac:dyDescent="0.35">
      <c r="A635">
        <v>150</v>
      </c>
      <c r="B635" t="s">
        <v>517</v>
      </c>
      <c r="C635">
        <v>0</v>
      </c>
      <c r="D635">
        <v>0</v>
      </c>
      <c r="E635" t="s">
        <v>725</v>
      </c>
    </row>
    <row r="636" spans="1:5" x14ac:dyDescent="0.35">
      <c r="A636">
        <v>155</v>
      </c>
      <c r="B636" t="s">
        <v>442</v>
      </c>
      <c r="C636">
        <v>0</v>
      </c>
      <c r="D636">
        <v>0</v>
      </c>
      <c r="E636" t="s">
        <v>725</v>
      </c>
    </row>
    <row r="637" spans="1:5" x14ac:dyDescent="0.35">
      <c r="A637">
        <v>160</v>
      </c>
      <c r="B637" t="s">
        <v>518</v>
      </c>
      <c r="C637">
        <v>2025.08</v>
      </c>
      <c r="D637">
        <v>0</v>
      </c>
      <c r="E637" t="s">
        <v>725</v>
      </c>
    </row>
    <row r="638" spans="1:5" x14ac:dyDescent="0.35">
      <c r="A638">
        <v>170</v>
      </c>
      <c r="B638" t="s">
        <v>529</v>
      </c>
      <c r="C638">
        <v>8718.67</v>
      </c>
      <c r="D638">
        <v>0</v>
      </c>
      <c r="E638" t="s">
        <v>725</v>
      </c>
    </row>
    <row r="639" spans="1:5" x14ac:dyDescent="0.35">
      <c r="A639">
        <v>180</v>
      </c>
      <c r="B639" t="s">
        <v>530</v>
      </c>
      <c r="C639">
        <v>0</v>
      </c>
      <c r="D639">
        <v>0</v>
      </c>
      <c r="E639" t="s">
        <v>725</v>
      </c>
    </row>
    <row r="640" spans="1:5" x14ac:dyDescent="0.35">
      <c r="A640">
        <v>190</v>
      </c>
      <c r="B640" t="s">
        <v>520</v>
      </c>
      <c r="C640">
        <v>0</v>
      </c>
      <c r="D640">
        <v>0</v>
      </c>
      <c r="E640" t="s">
        <v>725</v>
      </c>
    </row>
    <row r="641" spans="1:5" x14ac:dyDescent="0.35">
      <c r="A641">
        <v>200</v>
      </c>
      <c r="B641" t="s">
        <v>522</v>
      </c>
      <c r="C641">
        <v>8718.67</v>
      </c>
      <c r="D641">
        <v>0</v>
      </c>
      <c r="E641" t="s">
        <v>725</v>
      </c>
    </row>
    <row r="642" spans="1:5" x14ac:dyDescent="0.35">
      <c r="A642">
        <v>210</v>
      </c>
      <c r="B642" t="s">
        <v>523</v>
      </c>
      <c r="C642">
        <v>13552.87</v>
      </c>
      <c r="D642">
        <v>0</v>
      </c>
      <c r="E642" t="s">
        <v>725</v>
      </c>
    </row>
    <row r="643" spans="1:5" x14ac:dyDescent="0.35">
      <c r="A643" t="s">
        <v>535</v>
      </c>
      <c r="B643" t="s">
        <v>416</v>
      </c>
      <c r="C643" t="s">
        <v>419</v>
      </c>
      <c r="D643" t="s">
        <v>476</v>
      </c>
      <c r="E643" t="s">
        <v>121</v>
      </c>
    </row>
    <row r="644" spans="1:5" x14ac:dyDescent="0.35">
      <c r="A644">
        <v>30</v>
      </c>
      <c r="B644" t="s">
        <v>504</v>
      </c>
      <c r="C644">
        <v>4723</v>
      </c>
      <c r="D644">
        <v>0</v>
      </c>
      <c r="E644" t="s">
        <v>725</v>
      </c>
    </row>
    <row r="645" spans="1:5" x14ac:dyDescent="0.35">
      <c r="A645">
        <v>40</v>
      </c>
      <c r="B645" t="s">
        <v>505</v>
      </c>
      <c r="C645">
        <v>0</v>
      </c>
      <c r="D645">
        <v>0</v>
      </c>
      <c r="E645" t="s">
        <v>725</v>
      </c>
    </row>
    <row r="646" spans="1:5" x14ac:dyDescent="0.35">
      <c r="A646">
        <v>50</v>
      </c>
      <c r="B646" t="s">
        <v>506</v>
      </c>
      <c r="C646">
        <v>4723</v>
      </c>
      <c r="D646">
        <v>0</v>
      </c>
      <c r="E646" t="s">
        <v>725</v>
      </c>
    </row>
    <row r="647" spans="1:5" x14ac:dyDescent="0.35">
      <c r="A647">
        <v>60</v>
      </c>
      <c r="B647" t="s">
        <v>507</v>
      </c>
      <c r="C647">
        <v>0</v>
      </c>
      <c r="D647">
        <v>0</v>
      </c>
      <c r="E647" t="s">
        <v>725</v>
      </c>
    </row>
    <row r="648" spans="1:5" x14ac:dyDescent="0.35">
      <c r="A648">
        <v>70</v>
      </c>
      <c r="B648" t="s">
        <v>509</v>
      </c>
      <c r="C648">
        <v>4723</v>
      </c>
      <c r="D648">
        <v>0</v>
      </c>
      <c r="E648" t="s">
        <v>725</v>
      </c>
    </row>
    <row r="649" spans="1:5" x14ac:dyDescent="0.35">
      <c r="A649">
        <v>80</v>
      </c>
      <c r="B649" t="s">
        <v>510</v>
      </c>
      <c r="C649">
        <v>0</v>
      </c>
      <c r="D649">
        <v>0</v>
      </c>
      <c r="E649" t="s">
        <v>725</v>
      </c>
    </row>
    <row r="650" spans="1:5" x14ac:dyDescent="0.35">
      <c r="A650">
        <v>90</v>
      </c>
      <c r="B650" t="s">
        <v>511</v>
      </c>
      <c r="C650">
        <v>23.35</v>
      </c>
      <c r="D650">
        <v>0</v>
      </c>
      <c r="E650" t="s">
        <v>725</v>
      </c>
    </row>
    <row r="651" spans="1:5" x14ac:dyDescent="0.35">
      <c r="A651">
        <v>100</v>
      </c>
      <c r="B651" t="s">
        <v>512</v>
      </c>
      <c r="C651">
        <v>0</v>
      </c>
      <c r="D651">
        <v>0</v>
      </c>
      <c r="E651" t="s">
        <v>725</v>
      </c>
    </row>
    <row r="652" spans="1:5" x14ac:dyDescent="0.35">
      <c r="A652">
        <v>110</v>
      </c>
      <c r="B652" t="s">
        <v>513</v>
      </c>
      <c r="C652">
        <v>23.35</v>
      </c>
      <c r="D652">
        <v>0</v>
      </c>
      <c r="E652" t="s">
        <v>725</v>
      </c>
    </row>
    <row r="653" spans="1:5" x14ac:dyDescent="0.35">
      <c r="A653">
        <v>120</v>
      </c>
      <c r="B653" t="s">
        <v>514</v>
      </c>
      <c r="C653">
        <v>4699.6499999999996</v>
      </c>
      <c r="D653">
        <v>0</v>
      </c>
      <c r="E653" t="s">
        <v>725</v>
      </c>
    </row>
    <row r="654" spans="1:5" x14ac:dyDescent="0.35">
      <c r="A654">
        <v>130</v>
      </c>
      <c r="B654" t="s">
        <v>438</v>
      </c>
      <c r="C654">
        <v>0</v>
      </c>
      <c r="D654">
        <v>0</v>
      </c>
      <c r="E654" t="s">
        <v>725</v>
      </c>
    </row>
    <row r="655" spans="1:5" x14ac:dyDescent="0.35">
      <c r="A655">
        <v>135</v>
      </c>
      <c r="B655" t="s">
        <v>515</v>
      </c>
      <c r="C655">
        <v>0</v>
      </c>
      <c r="D655">
        <v>0</v>
      </c>
      <c r="E655" t="s">
        <v>725</v>
      </c>
    </row>
    <row r="656" spans="1:5" x14ac:dyDescent="0.35">
      <c r="A656">
        <v>140</v>
      </c>
      <c r="B656" t="s">
        <v>516</v>
      </c>
      <c r="C656">
        <v>3878.86</v>
      </c>
      <c r="D656">
        <v>0</v>
      </c>
      <c r="E656" t="s">
        <v>725</v>
      </c>
    </row>
    <row r="657" spans="1:5" x14ac:dyDescent="0.35">
      <c r="A657">
        <v>150</v>
      </c>
      <c r="B657" t="s">
        <v>517</v>
      </c>
      <c r="C657">
        <v>0</v>
      </c>
      <c r="D657">
        <v>0</v>
      </c>
      <c r="E657" t="s">
        <v>725</v>
      </c>
    </row>
    <row r="658" spans="1:5" x14ac:dyDescent="0.35">
      <c r="A658">
        <v>155</v>
      </c>
      <c r="B658" t="s">
        <v>442</v>
      </c>
      <c r="C658">
        <v>0</v>
      </c>
      <c r="D658">
        <v>0</v>
      </c>
      <c r="E658" t="s">
        <v>725</v>
      </c>
    </row>
    <row r="659" spans="1:5" x14ac:dyDescent="0.35">
      <c r="A659">
        <v>160</v>
      </c>
      <c r="B659" t="s">
        <v>518</v>
      </c>
      <c r="C659">
        <v>3878.86</v>
      </c>
      <c r="D659">
        <v>0</v>
      </c>
      <c r="E659" t="s">
        <v>725</v>
      </c>
    </row>
    <row r="660" spans="1:5" x14ac:dyDescent="0.35">
      <c r="A660">
        <v>170</v>
      </c>
      <c r="B660" t="s">
        <v>529</v>
      </c>
      <c r="C660">
        <v>820.79</v>
      </c>
      <c r="D660">
        <v>0</v>
      </c>
      <c r="E660" t="s">
        <v>725</v>
      </c>
    </row>
    <row r="661" spans="1:5" x14ac:dyDescent="0.35">
      <c r="A661">
        <v>180</v>
      </c>
      <c r="B661" t="s">
        <v>530</v>
      </c>
      <c r="C661">
        <v>0</v>
      </c>
      <c r="D661">
        <v>0</v>
      </c>
      <c r="E661" t="s">
        <v>725</v>
      </c>
    </row>
    <row r="662" spans="1:5" x14ac:dyDescent="0.35">
      <c r="A662">
        <v>190</v>
      </c>
      <c r="B662" t="s">
        <v>520</v>
      </c>
      <c r="C662">
        <v>0</v>
      </c>
      <c r="D662">
        <v>0</v>
      </c>
      <c r="E662" t="s">
        <v>725</v>
      </c>
    </row>
    <row r="663" spans="1:5" x14ac:dyDescent="0.35">
      <c r="A663">
        <v>200</v>
      </c>
      <c r="B663" t="s">
        <v>522</v>
      </c>
      <c r="C663">
        <v>820.79</v>
      </c>
      <c r="D663">
        <v>0</v>
      </c>
      <c r="E663" t="s">
        <v>725</v>
      </c>
    </row>
    <row r="664" spans="1:5" x14ac:dyDescent="0.35">
      <c r="A664">
        <v>210</v>
      </c>
      <c r="B664" t="s">
        <v>523</v>
      </c>
      <c r="C664">
        <v>4699.6499999999996</v>
      </c>
      <c r="D664">
        <v>0</v>
      </c>
      <c r="E664" t="s">
        <v>725</v>
      </c>
    </row>
    <row r="665" spans="1:5" x14ac:dyDescent="0.35">
      <c r="A665" t="s">
        <v>536</v>
      </c>
      <c r="B665" t="s">
        <v>416</v>
      </c>
      <c r="C665" t="s">
        <v>419</v>
      </c>
      <c r="D665" t="s">
        <v>476</v>
      </c>
      <c r="E665" t="s">
        <v>121</v>
      </c>
    </row>
    <row r="666" spans="1:5" x14ac:dyDescent="0.35">
      <c r="A666">
        <v>30</v>
      </c>
      <c r="B666" t="s">
        <v>504</v>
      </c>
      <c r="C666">
        <v>0</v>
      </c>
      <c r="D666">
        <v>0</v>
      </c>
      <c r="E666" t="s">
        <v>725</v>
      </c>
    </row>
    <row r="667" spans="1:5" x14ac:dyDescent="0.35">
      <c r="A667">
        <v>40</v>
      </c>
      <c r="B667" t="s">
        <v>505</v>
      </c>
      <c r="C667">
        <v>0</v>
      </c>
      <c r="D667">
        <v>0</v>
      </c>
      <c r="E667" t="s">
        <v>725</v>
      </c>
    </row>
    <row r="668" spans="1:5" x14ac:dyDescent="0.35">
      <c r="A668">
        <v>50</v>
      </c>
      <c r="B668" t="s">
        <v>506</v>
      </c>
      <c r="C668">
        <v>0</v>
      </c>
      <c r="D668">
        <v>0</v>
      </c>
      <c r="E668" t="s">
        <v>725</v>
      </c>
    </row>
    <row r="669" spans="1:5" x14ac:dyDescent="0.35">
      <c r="A669">
        <v>60</v>
      </c>
      <c r="B669" t="s">
        <v>507</v>
      </c>
      <c r="C669">
        <v>0</v>
      </c>
      <c r="D669">
        <v>0</v>
      </c>
      <c r="E669" t="s">
        <v>725</v>
      </c>
    </row>
    <row r="670" spans="1:5" x14ac:dyDescent="0.35">
      <c r="A670">
        <v>65</v>
      </c>
      <c r="B670" t="s">
        <v>508</v>
      </c>
      <c r="C670">
        <v>0</v>
      </c>
      <c r="D670">
        <v>0</v>
      </c>
      <c r="E670" t="s">
        <v>725</v>
      </c>
    </row>
    <row r="671" spans="1:5" x14ac:dyDescent="0.35">
      <c r="A671">
        <v>70</v>
      </c>
      <c r="B671" t="s">
        <v>509</v>
      </c>
      <c r="C671">
        <v>0</v>
      </c>
      <c r="D671">
        <v>0</v>
      </c>
      <c r="E671" t="s">
        <v>725</v>
      </c>
    </row>
    <row r="672" spans="1:5" x14ac:dyDescent="0.35">
      <c r="A672">
        <v>80</v>
      </c>
      <c r="B672" t="s">
        <v>510</v>
      </c>
      <c r="C672">
        <v>0</v>
      </c>
      <c r="D672">
        <v>0</v>
      </c>
      <c r="E672" t="s">
        <v>725</v>
      </c>
    </row>
    <row r="673" spans="1:5" x14ac:dyDescent="0.35">
      <c r="A673">
        <v>90</v>
      </c>
      <c r="B673" t="s">
        <v>511</v>
      </c>
      <c r="C673">
        <v>3892.9</v>
      </c>
      <c r="D673">
        <v>0</v>
      </c>
      <c r="E673" t="s">
        <v>725</v>
      </c>
    </row>
    <row r="674" spans="1:5" x14ac:dyDescent="0.35">
      <c r="A674">
        <v>100</v>
      </c>
      <c r="B674" t="s">
        <v>512</v>
      </c>
      <c r="C674">
        <v>0</v>
      </c>
      <c r="D674">
        <v>0</v>
      </c>
      <c r="E674" t="s">
        <v>725</v>
      </c>
    </row>
    <row r="675" spans="1:5" x14ac:dyDescent="0.35">
      <c r="A675">
        <v>110</v>
      </c>
      <c r="B675" t="s">
        <v>513</v>
      </c>
      <c r="C675">
        <v>3892.9</v>
      </c>
      <c r="D675">
        <v>0</v>
      </c>
      <c r="E675" t="s">
        <v>725</v>
      </c>
    </row>
    <row r="676" spans="1:5" x14ac:dyDescent="0.35">
      <c r="A676">
        <v>120</v>
      </c>
      <c r="B676" t="s">
        <v>514</v>
      </c>
      <c r="C676">
        <v>-3892.9</v>
      </c>
      <c r="D676">
        <v>0</v>
      </c>
      <c r="E676" t="s">
        <v>725</v>
      </c>
    </row>
    <row r="677" spans="1:5" x14ac:dyDescent="0.35">
      <c r="A677">
        <v>130</v>
      </c>
      <c r="B677"/>
      <c r="C677">
        <v>0</v>
      </c>
      <c r="D677">
        <v>0</v>
      </c>
      <c r="E677" t="s">
        <v>725</v>
      </c>
    </row>
    <row r="678" spans="1:5" x14ac:dyDescent="0.35">
      <c r="A678">
        <v>135</v>
      </c>
      <c r="B678" t="s">
        <v>515</v>
      </c>
      <c r="C678">
        <v>-3480.92</v>
      </c>
      <c r="D678">
        <v>0</v>
      </c>
      <c r="E678" t="s">
        <v>725</v>
      </c>
    </row>
    <row r="679" spans="1:5" x14ac:dyDescent="0.35">
      <c r="A679">
        <v>140</v>
      </c>
      <c r="B679" t="s">
        <v>516</v>
      </c>
      <c r="C679">
        <v>0</v>
      </c>
      <c r="D679">
        <v>0</v>
      </c>
      <c r="E679" t="s">
        <v>725</v>
      </c>
    </row>
    <row r="680" spans="1:5" x14ac:dyDescent="0.35">
      <c r="A680">
        <v>150</v>
      </c>
      <c r="B680" t="s">
        <v>517</v>
      </c>
      <c r="C680">
        <v>0</v>
      </c>
      <c r="D680">
        <v>0</v>
      </c>
      <c r="E680" t="s">
        <v>725</v>
      </c>
    </row>
    <row r="681" spans="1:5" x14ac:dyDescent="0.35">
      <c r="A681">
        <v>155</v>
      </c>
      <c r="B681"/>
      <c r="C681">
        <v>0</v>
      </c>
      <c r="D681">
        <v>0</v>
      </c>
      <c r="E681" t="s">
        <v>725</v>
      </c>
    </row>
    <row r="682" spans="1:5" x14ac:dyDescent="0.35">
      <c r="A682">
        <v>160</v>
      </c>
      <c r="B682" t="s">
        <v>518</v>
      </c>
      <c r="C682">
        <v>-3480.92</v>
      </c>
      <c r="D682">
        <v>0</v>
      </c>
      <c r="E682" t="s">
        <v>725</v>
      </c>
    </row>
    <row r="683" spans="1:5" x14ac:dyDescent="0.35">
      <c r="A683">
        <v>170</v>
      </c>
      <c r="B683" t="s">
        <v>529</v>
      </c>
      <c r="C683">
        <v>-411.98</v>
      </c>
      <c r="D683">
        <v>0</v>
      </c>
      <c r="E683" t="s">
        <v>725</v>
      </c>
    </row>
    <row r="684" spans="1:5" x14ac:dyDescent="0.35">
      <c r="A684">
        <v>180</v>
      </c>
      <c r="B684" t="s">
        <v>530</v>
      </c>
      <c r="C684">
        <v>0</v>
      </c>
      <c r="D684">
        <v>0</v>
      </c>
      <c r="E684" t="s">
        <v>725</v>
      </c>
    </row>
    <row r="685" spans="1:5" x14ac:dyDescent="0.35">
      <c r="A685">
        <v>190</v>
      </c>
      <c r="B685" t="s">
        <v>520</v>
      </c>
      <c r="C685">
        <v>0</v>
      </c>
      <c r="D685">
        <v>0</v>
      </c>
      <c r="E685" t="s">
        <v>725</v>
      </c>
    </row>
    <row r="686" spans="1:5" x14ac:dyDescent="0.35">
      <c r="A686">
        <v>200</v>
      </c>
      <c r="B686" t="s">
        <v>522</v>
      </c>
      <c r="C686">
        <v>-411.98</v>
      </c>
      <c r="D686">
        <v>0</v>
      </c>
      <c r="E686" t="s">
        <v>725</v>
      </c>
    </row>
    <row r="687" spans="1:5" x14ac:dyDescent="0.35">
      <c r="A687">
        <v>210</v>
      </c>
      <c r="B687" t="s">
        <v>523</v>
      </c>
      <c r="C687">
        <v>-3892.9</v>
      </c>
      <c r="D687">
        <v>0</v>
      </c>
      <c r="E687" t="s">
        <v>725</v>
      </c>
    </row>
    <row r="688" spans="1:5" x14ac:dyDescent="0.35">
      <c r="A688"/>
      <c r="B688"/>
      <c r="C688"/>
      <c r="D688"/>
      <c r="E688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DER"/>
  <dimension ref="A1:T688"/>
  <sheetViews>
    <sheetView zoomScale="80" zoomScaleNormal="80" workbookViewId="0">
      <selection sqref="A1:T688"/>
    </sheetView>
  </sheetViews>
  <sheetFormatPr baseColWidth="10" defaultColWidth="8.7265625" defaultRowHeight="14.5" x14ac:dyDescent="0.35"/>
  <cols>
    <col min="1" max="1" width="17" style="178" bestFit="1" customWidth="1"/>
    <col min="2" max="2" width="32.453125" style="178" bestFit="1" customWidth="1"/>
    <col min="3" max="16384" width="8.7265625" style="178"/>
  </cols>
  <sheetData>
    <row r="1" spans="1:20" x14ac:dyDescent="0.35">
      <c r="A1" t="s">
        <v>415</v>
      </c>
      <c r="B1" t="s">
        <v>416</v>
      </c>
      <c r="C1" t="s">
        <v>417</v>
      </c>
      <c r="D1" t="s">
        <v>418</v>
      </c>
      <c r="E1" t="s">
        <v>419</v>
      </c>
      <c r="F1" t="s">
        <v>420</v>
      </c>
      <c r="G1" t="s">
        <v>421</v>
      </c>
      <c r="H1" t="s">
        <v>422</v>
      </c>
      <c r="I1" t="s">
        <v>423</v>
      </c>
      <c r="J1" t="s">
        <v>424</v>
      </c>
      <c r="K1" t="s">
        <v>425</v>
      </c>
      <c r="L1" t="s">
        <v>426</v>
      </c>
      <c r="M1" t="s">
        <v>121</v>
      </c>
      <c r="N1"/>
      <c r="O1"/>
      <c r="P1"/>
      <c r="Q1"/>
      <c r="R1"/>
      <c r="S1"/>
      <c r="T1"/>
    </row>
    <row r="2" spans="1:20" ht="14.5" customHeight="1" x14ac:dyDescent="0.35">
      <c r="A2">
        <v>30</v>
      </c>
      <c r="B2" t="s">
        <v>427</v>
      </c>
      <c r="C2">
        <v>29520115.260000002</v>
      </c>
      <c r="D2">
        <v>29520115.260000002</v>
      </c>
      <c r="E2">
        <v>25358236.039999999</v>
      </c>
      <c r="F2">
        <v>1</v>
      </c>
      <c r="G2">
        <v>25358236.039999999</v>
      </c>
      <c r="H2">
        <v>25358236.039999999</v>
      </c>
      <c r="I2">
        <v>1</v>
      </c>
      <c r="J2">
        <v>25358236.039999999</v>
      </c>
      <c r="K2">
        <v>0</v>
      </c>
      <c r="L2">
        <v>0</v>
      </c>
      <c r="M2" t="s">
        <v>428</v>
      </c>
      <c r="N2"/>
      <c r="O2"/>
      <c r="P2"/>
      <c r="Q2"/>
      <c r="R2"/>
      <c r="S2"/>
      <c r="T2"/>
    </row>
    <row r="3" spans="1:20" ht="14.5" customHeight="1" x14ac:dyDescent="0.35">
      <c r="A3">
        <v>40</v>
      </c>
      <c r="B3" t="s">
        <v>429</v>
      </c>
      <c r="C3">
        <v>0</v>
      </c>
      <c r="D3">
        <v>0</v>
      </c>
      <c r="E3">
        <v>0</v>
      </c>
      <c r="F3">
        <v>1</v>
      </c>
      <c r="G3">
        <v>0</v>
      </c>
      <c r="H3">
        <v>0</v>
      </c>
      <c r="I3">
        <v>1</v>
      </c>
      <c r="J3">
        <v>0</v>
      </c>
      <c r="K3">
        <v>0</v>
      </c>
      <c r="L3">
        <v>0</v>
      </c>
      <c r="M3" t="s">
        <v>428</v>
      </c>
      <c r="N3"/>
      <c r="O3"/>
      <c r="P3"/>
      <c r="Q3"/>
      <c r="R3"/>
      <c r="S3"/>
      <c r="T3"/>
    </row>
    <row r="4" spans="1:20" x14ac:dyDescent="0.35">
      <c r="A4">
        <v>50</v>
      </c>
      <c r="B4" t="s">
        <v>430</v>
      </c>
      <c r="C4">
        <v>29520115.260000002</v>
      </c>
      <c r="D4">
        <v>29520115.260000002</v>
      </c>
      <c r="E4">
        <v>25358236.039999999</v>
      </c>
      <c r="F4">
        <v>1</v>
      </c>
      <c r="G4">
        <v>25358236.039999999</v>
      </c>
      <c r="H4">
        <v>25358236.039999999</v>
      </c>
      <c r="I4">
        <v>1</v>
      </c>
      <c r="J4">
        <v>25358236.039999999</v>
      </c>
      <c r="K4">
        <v>0</v>
      </c>
      <c r="L4">
        <v>0</v>
      </c>
      <c r="M4" t="s">
        <v>428</v>
      </c>
      <c r="N4"/>
      <c r="O4"/>
      <c r="P4"/>
      <c r="Q4"/>
      <c r="R4"/>
      <c r="S4"/>
      <c r="T4"/>
    </row>
    <row r="5" spans="1:20" x14ac:dyDescent="0.35">
      <c r="A5">
        <v>60</v>
      </c>
      <c r="B5" t="s">
        <v>431</v>
      </c>
      <c r="C5">
        <v>10010619.52</v>
      </c>
      <c r="D5">
        <v>10010619.52</v>
      </c>
      <c r="E5">
        <v>9067281.5800000001</v>
      </c>
      <c r="F5">
        <v>1</v>
      </c>
      <c r="G5">
        <v>9067281.5800000001</v>
      </c>
      <c r="H5">
        <v>9067281.5800000001</v>
      </c>
      <c r="I5">
        <v>1</v>
      </c>
      <c r="J5">
        <v>9067281.5800000001</v>
      </c>
      <c r="K5">
        <v>0</v>
      </c>
      <c r="L5">
        <v>0</v>
      </c>
      <c r="M5" t="s">
        <v>428</v>
      </c>
      <c r="N5"/>
      <c r="O5"/>
      <c r="P5"/>
      <c r="Q5"/>
      <c r="R5"/>
      <c r="S5"/>
      <c r="T5"/>
    </row>
    <row r="6" spans="1:20" x14ac:dyDescent="0.35">
      <c r="A6">
        <v>70</v>
      </c>
      <c r="B6" t="s">
        <v>432</v>
      </c>
      <c r="C6">
        <v>19509495.739999998</v>
      </c>
      <c r="D6">
        <v>19509495.739999998</v>
      </c>
      <c r="E6">
        <v>16290954.460000001</v>
      </c>
      <c r="F6">
        <v>1</v>
      </c>
      <c r="G6">
        <v>16290954.460000001</v>
      </c>
      <c r="H6">
        <v>16290954.460000001</v>
      </c>
      <c r="I6">
        <v>1</v>
      </c>
      <c r="J6">
        <v>16290954.460000001</v>
      </c>
      <c r="K6">
        <v>0</v>
      </c>
      <c r="L6">
        <v>0</v>
      </c>
      <c r="M6" t="s">
        <v>428</v>
      </c>
      <c r="N6"/>
      <c r="O6"/>
      <c r="P6"/>
      <c r="Q6"/>
      <c r="R6"/>
      <c r="S6"/>
      <c r="T6"/>
    </row>
    <row r="7" spans="1:20" ht="14.5" customHeight="1" x14ac:dyDescent="0.35">
      <c r="A7">
        <v>80</v>
      </c>
      <c r="B7" t="s">
        <v>433</v>
      </c>
      <c r="C7">
        <v>11909221.09</v>
      </c>
      <c r="D7">
        <v>11909221.09</v>
      </c>
      <c r="E7">
        <v>11880754.619999999</v>
      </c>
      <c r="F7">
        <v>1</v>
      </c>
      <c r="G7">
        <v>11880754.619999999</v>
      </c>
      <c r="H7">
        <v>11880754.619999999</v>
      </c>
      <c r="I7">
        <v>1</v>
      </c>
      <c r="J7">
        <v>11880754.619999999</v>
      </c>
      <c r="K7">
        <v>0</v>
      </c>
      <c r="L7">
        <v>0</v>
      </c>
      <c r="M7" t="s">
        <v>428</v>
      </c>
      <c r="N7"/>
      <c r="O7"/>
      <c r="P7"/>
      <c r="Q7"/>
      <c r="R7"/>
      <c r="S7"/>
      <c r="T7"/>
    </row>
    <row r="8" spans="1:20" ht="14.5" customHeight="1" x14ac:dyDescent="0.35">
      <c r="A8">
        <v>90</v>
      </c>
      <c r="B8" t="s">
        <v>434</v>
      </c>
      <c r="C8">
        <v>3264716.18</v>
      </c>
      <c r="D8">
        <v>3264716.18</v>
      </c>
      <c r="E8">
        <v>2832444.64</v>
      </c>
      <c r="F8">
        <v>1</v>
      </c>
      <c r="G8">
        <v>2832444.64</v>
      </c>
      <c r="H8">
        <v>2832444.64</v>
      </c>
      <c r="I8">
        <v>1</v>
      </c>
      <c r="J8">
        <v>2832444.64</v>
      </c>
      <c r="K8">
        <v>0</v>
      </c>
      <c r="L8">
        <v>0</v>
      </c>
      <c r="M8" t="s">
        <v>428</v>
      </c>
      <c r="N8"/>
      <c r="O8"/>
      <c r="P8"/>
      <c r="Q8"/>
      <c r="R8"/>
      <c r="S8"/>
      <c r="T8"/>
    </row>
    <row r="9" spans="1:20" ht="14.5" customHeight="1" x14ac:dyDescent="0.35">
      <c r="A9">
        <v>100</v>
      </c>
      <c r="B9" t="s">
        <v>435</v>
      </c>
      <c r="C9">
        <v>708436.15</v>
      </c>
      <c r="D9">
        <v>708436.15</v>
      </c>
      <c r="E9">
        <v>679514.94</v>
      </c>
      <c r="F9">
        <v>1</v>
      </c>
      <c r="G9">
        <v>679514.94</v>
      </c>
      <c r="H9">
        <v>679514.94</v>
      </c>
      <c r="I9">
        <v>1</v>
      </c>
      <c r="J9">
        <v>679514.94</v>
      </c>
      <c r="K9">
        <v>0</v>
      </c>
      <c r="L9">
        <v>0</v>
      </c>
      <c r="M9" t="s">
        <v>428</v>
      </c>
      <c r="N9"/>
      <c r="O9"/>
      <c r="P9"/>
      <c r="Q9"/>
      <c r="R9"/>
      <c r="S9"/>
      <c r="T9"/>
    </row>
    <row r="10" spans="1:20" ht="14.5" customHeight="1" x14ac:dyDescent="0.35">
      <c r="A10">
        <v>110</v>
      </c>
      <c r="B10" t="s">
        <v>436</v>
      </c>
      <c r="C10">
        <v>15882373.42</v>
      </c>
      <c r="D10">
        <v>15882373.42</v>
      </c>
      <c r="E10">
        <v>15392714.199999999</v>
      </c>
      <c r="F10">
        <v>1</v>
      </c>
      <c r="G10">
        <v>15392714.199999999</v>
      </c>
      <c r="H10">
        <v>15392714.199999999</v>
      </c>
      <c r="I10">
        <v>1</v>
      </c>
      <c r="J10">
        <v>15392714.199999999</v>
      </c>
      <c r="K10">
        <v>0</v>
      </c>
      <c r="L10">
        <v>0</v>
      </c>
      <c r="M10" t="s">
        <v>428</v>
      </c>
      <c r="N10"/>
      <c r="O10"/>
      <c r="P10"/>
      <c r="Q10"/>
      <c r="R10"/>
      <c r="S10"/>
      <c r="T10"/>
    </row>
    <row r="11" spans="1:20" ht="14.5" customHeight="1" x14ac:dyDescent="0.35">
      <c r="A11">
        <v>120</v>
      </c>
      <c r="B11" t="s">
        <v>437</v>
      </c>
      <c r="C11">
        <v>3627122.32</v>
      </c>
      <c r="D11">
        <v>3627122.32</v>
      </c>
      <c r="E11">
        <v>898240.26</v>
      </c>
      <c r="F11">
        <v>1</v>
      </c>
      <c r="G11">
        <v>898240.26</v>
      </c>
      <c r="H11">
        <v>898240.26</v>
      </c>
      <c r="I11">
        <v>1</v>
      </c>
      <c r="J11">
        <v>898240.26</v>
      </c>
      <c r="K11">
        <v>0</v>
      </c>
      <c r="L11">
        <v>0</v>
      </c>
      <c r="M11" t="s">
        <v>428</v>
      </c>
      <c r="N11"/>
      <c r="O11"/>
      <c r="P11"/>
      <c r="Q11"/>
      <c r="R11"/>
      <c r="S11"/>
      <c r="T11"/>
    </row>
    <row r="12" spans="1:20" ht="14.5" customHeight="1" x14ac:dyDescent="0.35">
      <c r="A12">
        <v>130</v>
      </c>
      <c r="B12" t="s">
        <v>438</v>
      </c>
      <c r="C12">
        <v>26300.68</v>
      </c>
      <c r="D12">
        <v>26300.68</v>
      </c>
      <c r="E12">
        <v>6165.29</v>
      </c>
      <c r="F12">
        <v>1</v>
      </c>
      <c r="G12">
        <v>6165.29</v>
      </c>
      <c r="H12">
        <v>6165.29</v>
      </c>
      <c r="I12">
        <v>1</v>
      </c>
      <c r="J12">
        <v>6165.29</v>
      </c>
      <c r="K12">
        <v>0</v>
      </c>
      <c r="L12">
        <v>0</v>
      </c>
      <c r="M12" t="s">
        <v>428</v>
      </c>
      <c r="N12"/>
      <c r="O12"/>
      <c r="P12"/>
      <c r="Q12"/>
      <c r="R12"/>
      <c r="S12"/>
      <c r="T12"/>
    </row>
    <row r="13" spans="1:20" ht="14.5" customHeight="1" x14ac:dyDescent="0.35">
      <c r="A13">
        <v>135</v>
      </c>
      <c r="B13" t="s">
        <v>439</v>
      </c>
      <c r="C13">
        <v>-263649.8</v>
      </c>
      <c r="D13">
        <v>-263649.8</v>
      </c>
      <c r="E13">
        <v>-150949.64000000001</v>
      </c>
      <c r="F13">
        <v>1</v>
      </c>
      <c r="G13">
        <v>-150949.64000000001</v>
      </c>
      <c r="H13">
        <v>-150949.64000000001</v>
      </c>
      <c r="I13">
        <v>1</v>
      </c>
      <c r="J13">
        <v>-150949.64000000001</v>
      </c>
      <c r="K13">
        <v>0</v>
      </c>
      <c r="L13">
        <v>0</v>
      </c>
      <c r="M13" t="s">
        <v>428</v>
      </c>
      <c r="N13"/>
      <c r="O13"/>
      <c r="P13"/>
      <c r="Q13"/>
      <c r="R13"/>
      <c r="S13"/>
      <c r="T13"/>
    </row>
    <row r="14" spans="1:20" ht="14.5" customHeight="1" x14ac:dyDescent="0.35">
      <c r="A14">
        <v>140</v>
      </c>
      <c r="B14" t="s">
        <v>440</v>
      </c>
      <c r="C14">
        <v>713413.55</v>
      </c>
      <c r="D14">
        <v>713413.55</v>
      </c>
      <c r="E14">
        <v>403046.76</v>
      </c>
      <c r="F14">
        <v>1</v>
      </c>
      <c r="G14">
        <v>403046.76</v>
      </c>
      <c r="H14">
        <v>403046.76</v>
      </c>
      <c r="I14">
        <v>1</v>
      </c>
      <c r="J14">
        <v>403046.76</v>
      </c>
      <c r="K14">
        <v>0</v>
      </c>
      <c r="L14">
        <v>0</v>
      </c>
      <c r="M14" t="s">
        <v>428</v>
      </c>
      <c r="N14"/>
      <c r="O14"/>
      <c r="P14"/>
      <c r="Q14"/>
      <c r="R14"/>
      <c r="S14"/>
      <c r="T14"/>
    </row>
    <row r="15" spans="1:20" ht="14.5" customHeight="1" x14ac:dyDescent="0.35">
      <c r="A15">
        <v>150</v>
      </c>
      <c r="B15" t="s">
        <v>441</v>
      </c>
      <c r="C15">
        <v>18106.25</v>
      </c>
      <c r="D15">
        <v>18106.25</v>
      </c>
      <c r="E15">
        <v>12363.73</v>
      </c>
      <c r="F15">
        <v>1</v>
      </c>
      <c r="G15">
        <v>12363.73</v>
      </c>
      <c r="H15">
        <v>12363.73</v>
      </c>
      <c r="I15">
        <v>1</v>
      </c>
      <c r="J15">
        <v>12363.73</v>
      </c>
      <c r="K15">
        <v>0</v>
      </c>
      <c r="L15">
        <v>0</v>
      </c>
      <c r="M15" t="s">
        <v>428</v>
      </c>
      <c r="N15"/>
      <c r="O15"/>
      <c r="P15"/>
      <c r="Q15"/>
      <c r="R15"/>
      <c r="S15"/>
      <c r="T15"/>
    </row>
    <row r="16" spans="1:20" ht="14.5" customHeight="1" x14ac:dyDescent="0.35">
      <c r="A16">
        <v>155</v>
      </c>
      <c r="B16" t="s">
        <v>442</v>
      </c>
      <c r="C16">
        <v>0</v>
      </c>
      <c r="D16">
        <v>0</v>
      </c>
      <c r="E16">
        <v>0</v>
      </c>
      <c r="F16">
        <v>1</v>
      </c>
      <c r="G16">
        <v>0</v>
      </c>
      <c r="H16">
        <v>0</v>
      </c>
      <c r="I16">
        <v>1</v>
      </c>
      <c r="J16">
        <v>0</v>
      </c>
      <c r="K16">
        <v>0</v>
      </c>
      <c r="L16">
        <v>0</v>
      </c>
      <c r="M16" t="s">
        <v>428</v>
      </c>
      <c r="N16"/>
      <c r="O16"/>
      <c r="P16"/>
      <c r="Q16"/>
      <c r="R16"/>
      <c r="S16"/>
      <c r="T16"/>
    </row>
    <row r="17" spans="1:20" ht="14.5" customHeight="1" x14ac:dyDescent="0.35">
      <c r="A17">
        <v>160</v>
      </c>
      <c r="B17" t="s">
        <v>443</v>
      </c>
      <c r="C17">
        <v>457958.18</v>
      </c>
      <c r="D17">
        <v>457958.18</v>
      </c>
      <c r="E17">
        <v>245898.68</v>
      </c>
      <c r="F17">
        <v>1</v>
      </c>
      <c r="G17">
        <v>245898.68</v>
      </c>
      <c r="H17">
        <v>245898.68</v>
      </c>
      <c r="I17">
        <v>1</v>
      </c>
      <c r="J17">
        <v>245898.68</v>
      </c>
      <c r="K17">
        <v>0</v>
      </c>
      <c r="L17">
        <v>0</v>
      </c>
      <c r="M17" t="s">
        <v>428</v>
      </c>
      <c r="N17"/>
      <c r="O17"/>
      <c r="P17"/>
      <c r="Q17"/>
      <c r="R17"/>
      <c r="S17"/>
      <c r="T17"/>
    </row>
    <row r="18" spans="1:20" ht="14.5" customHeight="1" x14ac:dyDescent="0.35">
      <c r="A18">
        <v>170</v>
      </c>
      <c r="B18" t="s">
        <v>444</v>
      </c>
      <c r="C18">
        <v>3169164.14</v>
      </c>
      <c r="D18">
        <v>3169164.14</v>
      </c>
      <c r="E18">
        <v>652341.57999999996</v>
      </c>
      <c r="F18">
        <v>1</v>
      </c>
      <c r="G18">
        <v>652341.57999999996</v>
      </c>
      <c r="H18">
        <v>652341.57999999996</v>
      </c>
      <c r="I18">
        <v>1</v>
      </c>
      <c r="J18">
        <v>652341.57999999996</v>
      </c>
      <c r="K18">
        <v>0</v>
      </c>
      <c r="L18">
        <v>0</v>
      </c>
      <c r="M18" t="s">
        <v>428</v>
      </c>
      <c r="N18"/>
      <c r="O18"/>
      <c r="P18"/>
      <c r="Q18"/>
      <c r="R18"/>
      <c r="S18"/>
      <c r="T18"/>
    </row>
    <row r="19" spans="1:20" x14ac:dyDescent="0.35">
      <c r="A19">
        <v>180</v>
      </c>
      <c r="B19" t="s">
        <v>445</v>
      </c>
      <c r="C19">
        <v>697855.26</v>
      </c>
      <c r="D19">
        <v>697855.26</v>
      </c>
      <c r="E19">
        <v>630530.23</v>
      </c>
      <c r="F19">
        <v>1</v>
      </c>
      <c r="G19">
        <v>630530.23</v>
      </c>
      <c r="H19">
        <v>630530.23</v>
      </c>
      <c r="I19">
        <v>1</v>
      </c>
      <c r="J19">
        <v>630530.23</v>
      </c>
      <c r="K19">
        <v>0</v>
      </c>
      <c r="L19">
        <v>0</v>
      </c>
      <c r="M19" t="s">
        <v>428</v>
      </c>
      <c r="N19"/>
      <c r="O19"/>
      <c r="P19"/>
      <c r="Q19"/>
      <c r="R19"/>
      <c r="S19"/>
      <c r="T19"/>
    </row>
    <row r="20" spans="1:20" x14ac:dyDescent="0.35">
      <c r="A20">
        <v>190</v>
      </c>
      <c r="B20" t="s">
        <v>446</v>
      </c>
      <c r="C20">
        <v>0</v>
      </c>
      <c r="D20">
        <v>0</v>
      </c>
      <c r="E20">
        <v>0</v>
      </c>
      <c r="F20">
        <v>1</v>
      </c>
      <c r="G20">
        <v>0</v>
      </c>
      <c r="H20">
        <v>0</v>
      </c>
      <c r="I20">
        <v>1</v>
      </c>
      <c r="J20">
        <v>0</v>
      </c>
      <c r="K20">
        <v>0</v>
      </c>
      <c r="L20">
        <v>0</v>
      </c>
      <c r="M20" t="s">
        <v>428</v>
      </c>
      <c r="N20"/>
      <c r="O20"/>
      <c r="P20"/>
      <c r="Q20"/>
      <c r="R20"/>
      <c r="S20"/>
      <c r="T20"/>
    </row>
    <row r="21" spans="1:20" ht="14.5" customHeight="1" x14ac:dyDescent="0.35">
      <c r="A21">
        <v>200</v>
      </c>
      <c r="B21" t="s">
        <v>447</v>
      </c>
      <c r="C21">
        <v>2471308.88</v>
      </c>
      <c r="D21">
        <v>2471308.88</v>
      </c>
      <c r="E21">
        <v>21811.35</v>
      </c>
      <c r="F21">
        <v>1</v>
      </c>
      <c r="G21">
        <v>21811.35</v>
      </c>
      <c r="H21">
        <v>21811.35</v>
      </c>
      <c r="I21">
        <v>1</v>
      </c>
      <c r="J21">
        <v>21811.35</v>
      </c>
      <c r="K21">
        <v>0</v>
      </c>
      <c r="L21">
        <v>0</v>
      </c>
      <c r="M21" t="s">
        <v>428</v>
      </c>
      <c r="N21"/>
      <c r="O21"/>
      <c r="P21"/>
      <c r="Q21"/>
      <c r="R21"/>
      <c r="S21"/>
      <c r="T21"/>
    </row>
    <row r="22" spans="1:20" ht="14.5" customHeight="1" x14ac:dyDescent="0.35">
      <c r="A22">
        <v>210</v>
      </c>
      <c r="B22" t="s">
        <v>448</v>
      </c>
      <c r="C22">
        <v>4335558.47</v>
      </c>
      <c r="D22">
        <v>4335558.47</v>
      </c>
      <c r="E22">
        <v>1577755.2</v>
      </c>
      <c r="F22">
        <v>1</v>
      </c>
      <c r="G22">
        <v>1577755.2</v>
      </c>
      <c r="H22">
        <v>1577755.2</v>
      </c>
      <c r="I22">
        <v>1</v>
      </c>
      <c r="J22">
        <v>1577755.2</v>
      </c>
      <c r="K22">
        <v>0</v>
      </c>
      <c r="L22">
        <v>0</v>
      </c>
      <c r="M22" t="s">
        <v>428</v>
      </c>
      <c r="N22"/>
      <c r="O22"/>
      <c r="P22"/>
      <c r="Q22"/>
      <c r="R22"/>
      <c r="S22"/>
      <c r="T22"/>
    </row>
    <row r="23" spans="1:20" x14ac:dyDescent="0.35">
      <c r="A23" t="s">
        <v>449</v>
      </c>
      <c r="B23" t="s">
        <v>416</v>
      </c>
      <c r="C23" t="s">
        <v>417</v>
      </c>
      <c r="D23" t="s">
        <v>418</v>
      </c>
      <c r="E23" t="s">
        <v>419</v>
      </c>
      <c r="F23" t="s">
        <v>450</v>
      </c>
      <c r="G23" t="s">
        <v>421</v>
      </c>
      <c r="H23" t="s">
        <v>451</v>
      </c>
      <c r="I23" t="s">
        <v>452</v>
      </c>
      <c r="J23" t="s">
        <v>453</v>
      </c>
      <c r="K23" t="s">
        <v>454</v>
      </c>
      <c r="L23" t="s">
        <v>455</v>
      </c>
      <c r="M23" t="s">
        <v>121</v>
      </c>
      <c r="N23"/>
      <c r="O23"/>
      <c r="P23"/>
      <c r="Q23"/>
      <c r="R23"/>
      <c r="S23"/>
      <c r="T23"/>
    </row>
    <row r="24" spans="1:20" ht="14.5" customHeight="1" x14ac:dyDescent="0.35">
      <c r="A24">
        <v>30</v>
      </c>
      <c r="B24" t="s">
        <v>427</v>
      </c>
      <c r="C24">
        <v>6267746.3200000003</v>
      </c>
      <c r="D24">
        <v>6267746.3200000003</v>
      </c>
      <c r="E24">
        <v>4549246.33</v>
      </c>
      <c r="F24">
        <v>1</v>
      </c>
      <c r="G24">
        <v>4549246.33</v>
      </c>
      <c r="H24">
        <v>4549246.33</v>
      </c>
      <c r="I24">
        <v>1</v>
      </c>
      <c r="J24">
        <v>4549246.33</v>
      </c>
      <c r="K24">
        <v>0</v>
      </c>
      <c r="L24">
        <v>0</v>
      </c>
      <c r="M24" t="s">
        <v>428</v>
      </c>
      <c r="N24"/>
      <c r="O24"/>
      <c r="P24"/>
      <c r="Q24"/>
      <c r="R24"/>
      <c r="S24"/>
      <c r="T24"/>
    </row>
    <row r="25" spans="1:20" ht="14.5" customHeight="1" x14ac:dyDescent="0.35">
      <c r="A25">
        <v>40</v>
      </c>
      <c r="B25" t="s">
        <v>429</v>
      </c>
      <c r="C25">
        <v>2080</v>
      </c>
      <c r="D25">
        <v>2080</v>
      </c>
      <c r="E25">
        <v>2345.09</v>
      </c>
      <c r="F25">
        <v>1</v>
      </c>
      <c r="G25">
        <v>2345.09</v>
      </c>
      <c r="H25">
        <v>2345.09</v>
      </c>
      <c r="I25">
        <v>1</v>
      </c>
      <c r="J25">
        <v>2345.09</v>
      </c>
      <c r="K25">
        <v>0</v>
      </c>
      <c r="L25">
        <v>0</v>
      </c>
      <c r="M25" t="s">
        <v>428</v>
      </c>
      <c r="N25"/>
      <c r="O25"/>
      <c r="P25"/>
      <c r="Q25"/>
      <c r="R25"/>
      <c r="S25"/>
      <c r="T25"/>
    </row>
    <row r="26" spans="1:20" x14ac:dyDescent="0.35">
      <c r="A26">
        <v>50</v>
      </c>
      <c r="B26" t="s">
        <v>430</v>
      </c>
      <c r="C26">
        <v>6265666.3200000003</v>
      </c>
      <c r="D26">
        <v>6265666.3200000003</v>
      </c>
      <c r="E26">
        <v>4546901.24</v>
      </c>
      <c r="F26">
        <v>1</v>
      </c>
      <c r="G26">
        <v>4546901.24</v>
      </c>
      <c r="H26">
        <v>4546901.24</v>
      </c>
      <c r="I26">
        <v>1</v>
      </c>
      <c r="J26">
        <v>4546901.24</v>
      </c>
      <c r="K26">
        <v>0</v>
      </c>
      <c r="L26">
        <v>0</v>
      </c>
      <c r="M26" t="s">
        <v>428</v>
      </c>
      <c r="N26"/>
      <c r="O26"/>
      <c r="P26"/>
      <c r="Q26"/>
      <c r="R26"/>
      <c r="S26"/>
      <c r="T26"/>
    </row>
    <row r="27" spans="1:20" x14ac:dyDescent="0.35">
      <c r="A27">
        <v>60</v>
      </c>
      <c r="B27" t="s">
        <v>431</v>
      </c>
      <c r="C27">
        <v>3392028.75</v>
      </c>
      <c r="D27">
        <v>3392028.75</v>
      </c>
      <c r="E27">
        <v>2792296.18</v>
      </c>
      <c r="F27">
        <v>1</v>
      </c>
      <c r="G27">
        <v>2792296.18</v>
      </c>
      <c r="H27">
        <v>2792296.18</v>
      </c>
      <c r="I27">
        <v>1</v>
      </c>
      <c r="J27">
        <v>2792296.18</v>
      </c>
      <c r="K27">
        <v>0</v>
      </c>
      <c r="L27">
        <v>0</v>
      </c>
      <c r="M27" t="s">
        <v>428</v>
      </c>
      <c r="N27"/>
      <c r="O27"/>
      <c r="P27"/>
      <c r="Q27"/>
      <c r="R27"/>
      <c r="S27"/>
      <c r="T27"/>
    </row>
    <row r="28" spans="1:20" x14ac:dyDescent="0.35">
      <c r="A28">
        <v>70</v>
      </c>
      <c r="B28" t="s">
        <v>432</v>
      </c>
      <c r="C28">
        <v>2873637.57</v>
      </c>
      <c r="D28">
        <v>2873637.57</v>
      </c>
      <c r="E28">
        <v>1754605.06</v>
      </c>
      <c r="F28">
        <v>1</v>
      </c>
      <c r="G28">
        <v>1754605.06</v>
      </c>
      <c r="H28">
        <v>1754605.06</v>
      </c>
      <c r="I28">
        <v>1</v>
      </c>
      <c r="J28">
        <v>1754605.06</v>
      </c>
      <c r="K28">
        <v>0</v>
      </c>
      <c r="L28">
        <v>0</v>
      </c>
      <c r="M28" t="s">
        <v>428</v>
      </c>
      <c r="N28"/>
      <c r="O28"/>
      <c r="P28"/>
      <c r="Q28"/>
      <c r="R28"/>
      <c r="S28"/>
      <c r="T28"/>
    </row>
    <row r="29" spans="1:20" ht="14.5" customHeight="1" x14ac:dyDescent="0.35">
      <c r="A29">
        <v>80</v>
      </c>
      <c r="B29" t="s">
        <v>433</v>
      </c>
      <c r="C29">
        <v>0</v>
      </c>
      <c r="D29">
        <v>0</v>
      </c>
      <c r="E29">
        <v>0</v>
      </c>
      <c r="F29">
        <v>1</v>
      </c>
      <c r="G29">
        <v>0</v>
      </c>
      <c r="H29">
        <v>0</v>
      </c>
      <c r="I29">
        <v>1</v>
      </c>
      <c r="J29">
        <v>0</v>
      </c>
      <c r="K29">
        <v>0</v>
      </c>
      <c r="L29">
        <v>0</v>
      </c>
      <c r="M29" t="s">
        <v>428</v>
      </c>
      <c r="N29"/>
      <c r="O29"/>
      <c r="P29"/>
      <c r="Q29"/>
      <c r="R29"/>
      <c r="S29"/>
      <c r="T29"/>
    </row>
    <row r="30" spans="1:20" ht="14.5" customHeight="1" x14ac:dyDescent="0.35">
      <c r="A30">
        <v>90</v>
      </c>
      <c r="B30" t="s">
        <v>434</v>
      </c>
      <c r="C30">
        <v>1410237.4</v>
      </c>
      <c r="D30">
        <v>1410237.4</v>
      </c>
      <c r="E30">
        <v>1316513.42</v>
      </c>
      <c r="F30">
        <v>1</v>
      </c>
      <c r="G30">
        <v>1316513.42</v>
      </c>
      <c r="H30">
        <v>1316513.42</v>
      </c>
      <c r="I30">
        <v>1</v>
      </c>
      <c r="J30">
        <v>1316513.42</v>
      </c>
      <c r="K30">
        <v>0</v>
      </c>
      <c r="L30">
        <v>0</v>
      </c>
      <c r="M30" t="s">
        <v>428</v>
      </c>
      <c r="N30"/>
      <c r="O30"/>
      <c r="P30"/>
      <c r="Q30"/>
      <c r="R30"/>
      <c r="S30"/>
      <c r="T30"/>
    </row>
    <row r="31" spans="1:20" ht="14.5" customHeight="1" x14ac:dyDescent="0.35">
      <c r="A31">
        <v>100</v>
      </c>
      <c r="B31" t="s">
        <v>435</v>
      </c>
      <c r="C31">
        <v>0</v>
      </c>
      <c r="D31">
        <v>0</v>
      </c>
      <c r="E31">
        <v>0</v>
      </c>
      <c r="F31">
        <v>1</v>
      </c>
      <c r="G31">
        <v>0</v>
      </c>
      <c r="H31">
        <v>0</v>
      </c>
      <c r="I31">
        <v>1</v>
      </c>
      <c r="J31">
        <v>0</v>
      </c>
      <c r="K31">
        <v>0</v>
      </c>
      <c r="L31">
        <v>0</v>
      </c>
      <c r="M31" t="s">
        <v>428</v>
      </c>
      <c r="N31"/>
      <c r="O31"/>
      <c r="P31"/>
      <c r="Q31"/>
      <c r="R31"/>
      <c r="S31"/>
      <c r="T31"/>
    </row>
    <row r="32" spans="1:20" ht="14.5" customHeight="1" x14ac:dyDescent="0.35">
      <c r="A32">
        <v>110</v>
      </c>
      <c r="B32" t="s">
        <v>436</v>
      </c>
      <c r="C32">
        <v>1410237.4</v>
      </c>
      <c r="D32">
        <v>1410237.4</v>
      </c>
      <c r="E32">
        <v>1316513.42</v>
      </c>
      <c r="F32">
        <v>1</v>
      </c>
      <c r="G32">
        <v>1316513.42</v>
      </c>
      <c r="H32">
        <v>1316513.42</v>
      </c>
      <c r="I32">
        <v>1</v>
      </c>
      <c r="J32">
        <v>1316513.42</v>
      </c>
      <c r="K32">
        <v>0</v>
      </c>
      <c r="L32">
        <v>0</v>
      </c>
      <c r="M32" t="s">
        <v>428</v>
      </c>
      <c r="N32"/>
      <c r="O32"/>
      <c r="P32"/>
      <c r="Q32"/>
      <c r="R32"/>
      <c r="S32"/>
      <c r="T32"/>
    </row>
    <row r="33" spans="1:20" ht="14.5" customHeight="1" x14ac:dyDescent="0.35">
      <c r="A33">
        <v>120</v>
      </c>
      <c r="B33" t="s">
        <v>437</v>
      </c>
      <c r="C33">
        <v>1463400.17</v>
      </c>
      <c r="D33">
        <v>1463400.17</v>
      </c>
      <c r="E33">
        <v>438091.64</v>
      </c>
      <c r="F33">
        <v>1</v>
      </c>
      <c r="G33">
        <v>438091.64</v>
      </c>
      <c r="H33">
        <v>438091.64</v>
      </c>
      <c r="I33">
        <v>1</v>
      </c>
      <c r="J33">
        <v>438091.64</v>
      </c>
      <c r="K33">
        <v>0</v>
      </c>
      <c r="L33">
        <v>0</v>
      </c>
      <c r="M33" t="s">
        <v>428</v>
      </c>
      <c r="N33"/>
      <c r="O33"/>
      <c r="P33"/>
      <c r="Q33"/>
      <c r="R33"/>
      <c r="S33"/>
      <c r="T33"/>
    </row>
    <row r="34" spans="1:20" ht="14.5" customHeight="1" x14ac:dyDescent="0.35">
      <c r="A34">
        <v>130</v>
      </c>
      <c r="B34" t="s">
        <v>438</v>
      </c>
      <c r="C34">
        <v>140814.06</v>
      </c>
      <c r="D34">
        <v>140814.06</v>
      </c>
      <c r="E34">
        <v>-8441.32</v>
      </c>
      <c r="F34">
        <v>1</v>
      </c>
      <c r="G34">
        <v>-8441.32</v>
      </c>
      <c r="H34">
        <v>-8441.32</v>
      </c>
      <c r="I34">
        <v>1</v>
      </c>
      <c r="J34">
        <v>-8441.32</v>
      </c>
      <c r="K34">
        <v>0</v>
      </c>
      <c r="L34">
        <v>0</v>
      </c>
      <c r="M34" t="s">
        <v>428</v>
      </c>
      <c r="N34"/>
      <c r="O34"/>
      <c r="P34"/>
      <c r="Q34"/>
      <c r="R34"/>
      <c r="S34"/>
      <c r="T34"/>
    </row>
    <row r="35" spans="1:20" ht="14.5" customHeight="1" x14ac:dyDescent="0.35">
      <c r="A35">
        <v>135</v>
      </c>
      <c r="B35" t="s">
        <v>439</v>
      </c>
      <c r="C35">
        <v>16521.96</v>
      </c>
      <c r="D35">
        <v>16521.96</v>
      </c>
      <c r="E35">
        <v>0</v>
      </c>
      <c r="F35">
        <v>1</v>
      </c>
      <c r="G35">
        <v>0</v>
      </c>
      <c r="H35">
        <v>0</v>
      </c>
      <c r="I35">
        <v>1</v>
      </c>
      <c r="J35">
        <v>0</v>
      </c>
      <c r="K35">
        <v>0</v>
      </c>
      <c r="L35">
        <v>0</v>
      </c>
      <c r="M35" t="s">
        <v>428</v>
      </c>
      <c r="N35"/>
      <c r="O35"/>
      <c r="P35"/>
      <c r="Q35"/>
      <c r="R35"/>
      <c r="S35"/>
      <c r="T35"/>
    </row>
    <row r="36" spans="1:20" ht="14.5" customHeight="1" x14ac:dyDescent="0.35">
      <c r="A36">
        <v>140</v>
      </c>
      <c r="B36" t="s">
        <v>440</v>
      </c>
      <c r="C36">
        <v>1076.8</v>
      </c>
      <c r="D36">
        <v>1076.8</v>
      </c>
      <c r="E36">
        <v>1881.16</v>
      </c>
      <c r="F36">
        <v>1</v>
      </c>
      <c r="G36">
        <v>1881.16</v>
      </c>
      <c r="H36">
        <v>1881.16</v>
      </c>
      <c r="I36">
        <v>1</v>
      </c>
      <c r="J36">
        <v>1881.16</v>
      </c>
      <c r="K36">
        <v>0</v>
      </c>
      <c r="L36">
        <v>0</v>
      </c>
      <c r="M36" t="s">
        <v>428</v>
      </c>
      <c r="N36"/>
      <c r="O36"/>
      <c r="P36"/>
      <c r="Q36"/>
      <c r="R36"/>
      <c r="S36"/>
      <c r="T36"/>
    </row>
    <row r="37" spans="1:20" ht="14.5" customHeight="1" x14ac:dyDescent="0.35">
      <c r="A37">
        <v>150</v>
      </c>
      <c r="B37" t="s">
        <v>441</v>
      </c>
      <c r="C37">
        <v>8283.99</v>
      </c>
      <c r="D37">
        <v>8283.99</v>
      </c>
      <c r="E37">
        <v>28945.41</v>
      </c>
      <c r="F37">
        <v>1</v>
      </c>
      <c r="G37">
        <v>28945.41</v>
      </c>
      <c r="H37">
        <v>28945.41</v>
      </c>
      <c r="I37">
        <v>1</v>
      </c>
      <c r="J37">
        <v>28945.41</v>
      </c>
      <c r="K37">
        <v>0</v>
      </c>
      <c r="L37">
        <v>0</v>
      </c>
      <c r="M37" t="s">
        <v>428</v>
      </c>
      <c r="N37"/>
      <c r="O37"/>
      <c r="P37"/>
      <c r="Q37"/>
      <c r="R37"/>
      <c r="S37"/>
      <c r="T37"/>
    </row>
    <row r="38" spans="1:20" ht="14.5" customHeight="1" x14ac:dyDescent="0.35">
      <c r="A38">
        <v>155</v>
      </c>
      <c r="B38" t="s">
        <v>442</v>
      </c>
      <c r="C38">
        <v>0</v>
      </c>
      <c r="D38">
        <v>0</v>
      </c>
      <c r="E38">
        <v>0</v>
      </c>
      <c r="F38">
        <v>1</v>
      </c>
      <c r="G38">
        <v>0</v>
      </c>
      <c r="H38">
        <v>0</v>
      </c>
      <c r="I38">
        <v>1</v>
      </c>
      <c r="J38">
        <v>0</v>
      </c>
      <c r="K38">
        <v>0</v>
      </c>
      <c r="L38">
        <v>0</v>
      </c>
      <c r="M38" t="s">
        <v>428</v>
      </c>
      <c r="N38"/>
      <c r="O38"/>
      <c r="P38"/>
      <c r="Q38"/>
      <c r="R38"/>
      <c r="S38"/>
      <c r="T38"/>
    </row>
    <row r="39" spans="1:20" ht="14.5" customHeight="1" x14ac:dyDescent="0.35">
      <c r="A39">
        <v>160</v>
      </c>
      <c r="B39" t="s">
        <v>443</v>
      </c>
      <c r="C39">
        <v>150128.82999999999</v>
      </c>
      <c r="D39">
        <v>150128.82999999999</v>
      </c>
      <c r="E39">
        <v>-35505.57</v>
      </c>
      <c r="F39">
        <v>1</v>
      </c>
      <c r="G39">
        <v>-35505.57</v>
      </c>
      <c r="H39">
        <v>-35505.57</v>
      </c>
      <c r="I39">
        <v>1</v>
      </c>
      <c r="J39">
        <v>-35505.57</v>
      </c>
      <c r="K39">
        <v>0</v>
      </c>
      <c r="L39">
        <v>0</v>
      </c>
      <c r="M39" t="s">
        <v>428</v>
      </c>
      <c r="N39"/>
      <c r="O39"/>
      <c r="P39"/>
      <c r="Q39"/>
      <c r="R39"/>
      <c r="S39"/>
      <c r="T39"/>
    </row>
    <row r="40" spans="1:20" ht="14.5" customHeight="1" x14ac:dyDescent="0.35">
      <c r="A40">
        <v>170</v>
      </c>
      <c r="B40" t="s">
        <v>444</v>
      </c>
      <c r="C40">
        <v>1313271.3400000001</v>
      </c>
      <c r="D40">
        <v>1313271.3400000001</v>
      </c>
      <c r="E40">
        <v>473597.21</v>
      </c>
      <c r="F40">
        <v>1</v>
      </c>
      <c r="G40">
        <v>473597.21</v>
      </c>
      <c r="H40">
        <v>473597.21</v>
      </c>
      <c r="I40">
        <v>1</v>
      </c>
      <c r="J40">
        <v>473597.21</v>
      </c>
      <c r="K40">
        <v>0</v>
      </c>
      <c r="L40">
        <v>0</v>
      </c>
      <c r="M40" t="s">
        <v>428</v>
      </c>
      <c r="N40"/>
      <c r="O40"/>
      <c r="P40"/>
      <c r="Q40"/>
      <c r="R40"/>
      <c r="S40"/>
      <c r="T40"/>
    </row>
    <row r="41" spans="1:20" x14ac:dyDescent="0.35">
      <c r="A41">
        <v>180</v>
      </c>
      <c r="B41" t="s">
        <v>445</v>
      </c>
      <c r="C41">
        <v>183954</v>
      </c>
      <c r="D41">
        <v>183954</v>
      </c>
      <c r="E41">
        <v>151472</v>
      </c>
      <c r="F41">
        <v>1</v>
      </c>
      <c r="G41">
        <v>151472</v>
      </c>
      <c r="H41">
        <v>151472</v>
      </c>
      <c r="I41">
        <v>1</v>
      </c>
      <c r="J41">
        <v>151472</v>
      </c>
      <c r="K41">
        <v>0</v>
      </c>
      <c r="L41">
        <v>0</v>
      </c>
      <c r="M41" t="s">
        <v>428</v>
      </c>
      <c r="N41"/>
      <c r="O41"/>
      <c r="P41"/>
      <c r="Q41"/>
      <c r="R41"/>
      <c r="S41"/>
      <c r="T41"/>
    </row>
    <row r="42" spans="1:20" x14ac:dyDescent="0.35">
      <c r="A42">
        <v>190</v>
      </c>
      <c r="B42" t="s">
        <v>446</v>
      </c>
      <c r="C42">
        <v>0</v>
      </c>
      <c r="D42">
        <v>0</v>
      </c>
      <c r="E42">
        <v>0</v>
      </c>
      <c r="F42">
        <v>1</v>
      </c>
      <c r="G42">
        <v>0</v>
      </c>
      <c r="H42">
        <v>0</v>
      </c>
      <c r="I42">
        <v>1</v>
      </c>
      <c r="J42">
        <v>0</v>
      </c>
      <c r="K42">
        <v>0</v>
      </c>
      <c r="L42">
        <v>0</v>
      </c>
      <c r="M42" t="s">
        <v>428</v>
      </c>
      <c r="N42"/>
      <c r="O42"/>
      <c r="P42"/>
      <c r="Q42"/>
      <c r="R42"/>
      <c r="S42"/>
      <c r="T42"/>
    </row>
    <row r="43" spans="1:20" ht="14.5" customHeight="1" x14ac:dyDescent="0.35">
      <c r="A43">
        <v>200</v>
      </c>
      <c r="B43" t="s">
        <v>447</v>
      </c>
      <c r="C43">
        <v>1129317.3400000001</v>
      </c>
      <c r="D43">
        <v>1129317.3400000001</v>
      </c>
      <c r="E43">
        <v>322125.21000000002</v>
      </c>
      <c r="F43">
        <v>1</v>
      </c>
      <c r="G43">
        <v>322125.21000000002</v>
      </c>
      <c r="H43">
        <v>322125.21000000002</v>
      </c>
      <c r="I43">
        <v>1</v>
      </c>
      <c r="J43">
        <v>322125.21000000002</v>
      </c>
      <c r="K43">
        <v>0</v>
      </c>
      <c r="L43">
        <v>0</v>
      </c>
      <c r="M43" t="s">
        <v>428</v>
      </c>
      <c r="N43"/>
      <c r="O43"/>
      <c r="P43"/>
      <c r="Q43"/>
      <c r="R43"/>
      <c r="S43"/>
      <c r="T43"/>
    </row>
    <row r="44" spans="1:20" ht="14.5" customHeight="1" x14ac:dyDescent="0.35">
      <c r="A44">
        <v>210</v>
      </c>
      <c r="B44" t="s">
        <v>448</v>
      </c>
      <c r="C44">
        <v>1463400.17</v>
      </c>
      <c r="D44">
        <v>1463400.17</v>
      </c>
      <c r="E44">
        <v>438091.64</v>
      </c>
      <c r="F44">
        <v>1</v>
      </c>
      <c r="G44">
        <v>438091.64</v>
      </c>
      <c r="H44">
        <v>438091.64</v>
      </c>
      <c r="I44">
        <v>1</v>
      </c>
      <c r="J44">
        <v>438091.64</v>
      </c>
      <c r="K44">
        <v>0</v>
      </c>
      <c r="L44">
        <v>0</v>
      </c>
      <c r="M44" t="s">
        <v>428</v>
      </c>
      <c r="N44"/>
      <c r="O44"/>
      <c r="P44"/>
      <c r="Q44"/>
      <c r="R44"/>
      <c r="S44"/>
      <c r="T44"/>
    </row>
    <row r="45" spans="1:20" x14ac:dyDescent="0.35">
      <c r="A45" t="s">
        <v>456</v>
      </c>
      <c r="B45" t="s">
        <v>416</v>
      </c>
      <c r="C45" t="s">
        <v>417</v>
      </c>
      <c r="D45" t="s">
        <v>418</v>
      </c>
      <c r="E45" t="s">
        <v>419</v>
      </c>
      <c r="F45" t="s">
        <v>457</v>
      </c>
      <c r="G45" t="s">
        <v>421</v>
      </c>
      <c r="H45" t="s">
        <v>458</v>
      </c>
      <c r="I45" t="s">
        <v>459</v>
      </c>
      <c r="J45" t="s">
        <v>460</v>
      </c>
      <c r="K45" t="s">
        <v>461</v>
      </c>
      <c r="L45" t="s">
        <v>462</v>
      </c>
      <c r="M45" t="s">
        <v>121</v>
      </c>
      <c r="N45"/>
      <c r="O45"/>
      <c r="P45"/>
      <c r="Q45"/>
      <c r="R45"/>
      <c r="S45"/>
      <c r="T45"/>
    </row>
    <row r="46" spans="1:20" ht="14.5" customHeight="1" x14ac:dyDescent="0.35">
      <c r="A46">
        <v>30</v>
      </c>
      <c r="B46" t="s">
        <v>427</v>
      </c>
      <c r="C46">
        <v>28088569.600000001</v>
      </c>
      <c r="D46">
        <v>28088569.600000001</v>
      </c>
      <c r="E46">
        <v>25408319.050000001</v>
      </c>
      <c r="F46">
        <v>1</v>
      </c>
      <c r="G46">
        <v>25408319.050000001</v>
      </c>
      <c r="H46">
        <v>25408319.050000001</v>
      </c>
      <c r="I46">
        <v>1</v>
      </c>
      <c r="J46">
        <v>25408319.050000001</v>
      </c>
      <c r="K46">
        <v>0</v>
      </c>
      <c r="L46">
        <v>0</v>
      </c>
      <c r="M46" t="s">
        <v>428</v>
      </c>
      <c r="N46"/>
      <c r="O46"/>
      <c r="P46"/>
      <c r="Q46"/>
      <c r="R46"/>
      <c r="S46"/>
      <c r="T46"/>
    </row>
    <row r="47" spans="1:20" ht="14.5" customHeight="1" x14ac:dyDescent="0.35">
      <c r="A47">
        <v>40</v>
      </c>
      <c r="B47" t="s">
        <v>429</v>
      </c>
      <c r="C47">
        <v>218538.83</v>
      </c>
      <c r="D47">
        <v>218538.83</v>
      </c>
      <c r="E47">
        <v>261148.99</v>
      </c>
      <c r="F47">
        <v>1</v>
      </c>
      <c r="G47">
        <v>261148.99</v>
      </c>
      <c r="H47">
        <v>261148.99</v>
      </c>
      <c r="I47">
        <v>1</v>
      </c>
      <c r="J47">
        <v>261148.99</v>
      </c>
      <c r="K47">
        <v>0</v>
      </c>
      <c r="L47">
        <v>0</v>
      </c>
      <c r="M47" t="s">
        <v>428</v>
      </c>
      <c r="N47"/>
      <c r="O47"/>
      <c r="P47"/>
      <c r="Q47"/>
      <c r="R47"/>
      <c r="S47"/>
      <c r="T47"/>
    </row>
    <row r="48" spans="1:20" x14ac:dyDescent="0.35">
      <c r="A48">
        <v>50</v>
      </c>
      <c r="B48" t="s">
        <v>430</v>
      </c>
      <c r="C48">
        <v>27870030.77</v>
      </c>
      <c r="D48">
        <v>27870030.77</v>
      </c>
      <c r="E48">
        <v>25147170.059999999</v>
      </c>
      <c r="F48">
        <v>1</v>
      </c>
      <c r="G48">
        <v>25147170.059999999</v>
      </c>
      <c r="H48">
        <v>25147170.059999999</v>
      </c>
      <c r="I48">
        <v>1</v>
      </c>
      <c r="J48">
        <v>25147170.059999999</v>
      </c>
      <c r="K48">
        <v>0</v>
      </c>
      <c r="L48">
        <v>0</v>
      </c>
      <c r="M48" t="s">
        <v>428</v>
      </c>
      <c r="N48"/>
      <c r="O48"/>
      <c r="P48"/>
      <c r="Q48"/>
      <c r="R48"/>
      <c r="S48"/>
      <c r="T48"/>
    </row>
    <row r="49" spans="1:20" x14ac:dyDescent="0.35">
      <c r="A49">
        <v>60</v>
      </c>
      <c r="B49" t="s">
        <v>431</v>
      </c>
      <c r="C49">
        <v>22942538.609999999</v>
      </c>
      <c r="D49">
        <v>22942538.609999999</v>
      </c>
      <c r="E49">
        <v>20386123.879999999</v>
      </c>
      <c r="F49">
        <v>1</v>
      </c>
      <c r="G49">
        <v>20386123.879999999</v>
      </c>
      <c r="H49">
        <v>20386123.879999999</v>
      </c>
      <c r="I49">
        <v>1</v>
      </c>
      <c r="J49">
        <v>20386123.879999999</v>
      </c>
      <c r="K49">
        <v>0</v>
      </c>
      <c r="L49">
        <v>0</v>
      </c>
      <c r="M49" t="s">
        <v>428</v>
      </c>
      <c r="N49"/>
      <c r="O49"/>
      <c r="P49"/>
      <c r="Q49"/>
      <c r="R49"/>
      <c r="S49"/>
      <c r="T49"/>
    </row>
    <row r="50" spans="1:20" x14ac:dyDescent="0.35">
      <c r="A50">
        <v>70</v>
      </c>
      <c r="B50" t="s">
        <v>432</v>
      </c>
      <c r="C50">
        <v>4927492.16</v>
      </c>
      <c r="D50">
        <v>4927492.16</v>
      </c>
      <c r="E50">
        <v>4761046.18</v>
      </c>
      <c r="F50">
        <v>1</v>
      </c>
      <c r="G50">
        <v>4761046.18</v>
      </c>
      <c r="H50">
        <v>4761046.18</v>
      </c>
      <c r="I50">
        <v>1</v>
      </c>
      <c r="J50">
        <v>4761046.18</v>
      </c>
      <c r="K50">
        <v>0</v>
      </c>
      <c r="L50">
        <v>0</v>
      </c>
      <c r="M50" t="s">
        <v>428</v>
      </c>
      <c r="N50"/>
      <c r="O50"/>
      <c r="P50"/>
      <c r="Q50"/>
      <c r="R50"/>
      <c r="S50"/>
      <c r="T50"/>
    </row>
    <row r="51" spans="1:20" ht="14.5" customHeight="1" x14ac:dyDescent="0.35">
      <c r="A51">
        <v>80</v>
      </c>
      <c r="B51" t="s">
        <v>433</v>
      </c>
      <c r="C51">
        <v>2705382.64</v>
      </c>
      <c r="D51">
        <v>2705382.64</v>
      </c>
      <c r="E51">
        <v>2572868.0499999998</v>
      </c>
      <c r="F51">
        <v>1</v>
      </c>
      <c r="G51">
        <v>2572868.0499999998</v>
      </c>
      <c r="H51">
        <v>2572868.0499999998</v>
      </c>
      <c r="I51">
        <v>1</v>
      </c>
      <c r="J51">
        <v>2572868.0499999998</v>
      </c>
      <c r="K51">
        <v>0</v>
      </c>
      <c r="L51">
        <v>0</v>
      </c>
      <c r="M51" t="s">
        <v>428</v>
      </c>
      <c r="N51"/>
      <c r="O51"/>
      <c r="P51"/>
      <c r="Q51"/>
      <c r="R51"/>
      <c r="S51"/>
      <c r="T51"/>
    </row>
    <row r="52" spans="1:20" ht="14.5" customHeight="1" x14ac:dyDescent="0.35">
      <c r="A52">
        <v>90</v>
      </c>
      <c r="B52" t="s">
        <v>434</v>
      </c>
      <c r="C52">
        <v>1099526.8899999999</v>
      </c>
      <c r="D52">
        <v>1099526.8899999999</v>
      </c>
      <c r="E52">
        <v>1052679.8500000001</v>
      </c>
      <c r="F52">
        <v>1</v>
      </c>
      <c r="G52">
        <v>1052679.8500000001</v>
      </c>
      <c r="H52">
        <v>1052679.8500000001</v>
      </c>
      <c r="I52">
        <v>1</v>
      </c>
      <c r="J52">
        <v>1052679.8500000001</v>
      </c>
      <c r="K52">
        <v>0</v>
      </c>
      <c r="L52">
        <v>0</v>
      </c>
      <c r="M52" t="s">
        <v>428</v>
      </c>
      <c r="N52"/>
      <c r="O52"/>
      <c r="P52"/>
      <c r="Q52"/>
      <c r="R52"/>
      <c r="S52"/>
      <c r="T52"/>
    </row>
    <row r="53" spans="1:20" ht="14.5" customHeight="1" x14ac:dyDescent="0.35">
      <c r="A53">
        <v>100</v>
      </c>
      <c r="B53" t="s">
        <v>435</v>
      </c>
      <c r="C53">
        <v>110029.08</v>
      </c>
      <c r="D53">
        <v>110029.08</v>
      </c>
      <c r="E53">
        <v>110029.08</v>
      </c>
      <c r="F53">
        <v>1</v>
      </c>
      <c r="G53">
        <v>110029.08</v>
      </c>
      <c r="H53">
        <v>110029.08</v>
      </c>
      <c r="I53">
        <v>1</v>
      </c>
      <c r="J53">
        <v>110029.08</v>
      </c>
      <c r="K53">
        <v>0</v>
      </c>
      <c r="L53">
        <v>0</v>
      </c>
      <c r="M53" t="s">
        <v>428</v>
      </c>
      <c r="N53"/>
      <c r="O53"/>
      <c r="P53"/>
      <c r="Q53"/>
      <c r="R53"/>
      <c r="S53"/>
      <c r="T53"/>
    </row>
    <row r="54" spans="1:20" ht="14.5" customHeight="1" x14ac:dyDescent="0.35">
      <c r="A54">
        <v>110</v>
      </c>
      <c r="B54" t="s">
        <v>436</v>
      </c>
      <c r="C54">
        <v>3914938.61</v>
      </c>
      <c r="D54">
        <v>3914938.61</v>
      </c>
      <c r="E54">
        <v>3735576.98</v>
      </c>
      <c r="F54">
        <v>1</v>
      </c>
      <c r="G54">
        <v>3735576.98</v>
      </c>
      <c r="H54">
        <v>3735576.98</v>
      </c>
      <c r="I54">
        <v>1</v>
      </c>
      <c r="J54">
        <v>3735576.98</v>
      </c>
      <c r="K54">
        <v>0</v>
      </c>
      <c r="L54">
        <v>0</v>
      </c>
      <c r="M54" t="s">
        <v>428</v>
      </c>
      <c r="N54"/>
      <c r="O54"/>
      <c r="P54"/>
      <c r="Q54"/>
      <c r="R54"/>
      <c r="S54"/>
      <c r="T54"/>
    </row>
    <row r="55" spans="1:20" ht="14.5" customHeight="1" x14ac:dyDescent="0.35">
      <c r="A55">
        <v>120</v>
      </c>
      <c r="B55" t="s">
        <v>437</v>
      </c>
      <c r="C55">
        <v>1012553.55</v>
      </c>
      <c r="D55">
        <v>1012553.55</v>
      </c>
      <c r="E55">
        <v>1025469.2</v>
      </c>
      <c r="F55">
        <v>1</v>
      </c>
      <c r="G55">
        <v>1025469.2</v>
      </c>
      <c r="H55">
        <v>1025469.2</v>
      </c>
      <c r="I55">
        <v>1</v>
      </c>
      <c r="J55">
        <v>1025469.2</v>
      </c>
      <c r="K55">
        <v>0</v>
      </c>
      <c r="L55">
        <v>0</v>
      </c>
      <c r="M55" t="s">
        <v>428</v>
      </c>
      <c r="N55"/>
      <c r="O55"/>
      <c r="P55"/>
      <c r="Q55"/>
      <c r="R55"/>
      <c r="S55"/>
      <c r="T55"/>
    </row>
    <row r="56" spans="1:20" ht="14.5" customHeight="1" x14ac:dyDescent="0.35">
      <c r="A56">
        <v>130</v>
      </c>
      <c r="B56" t="s">
        <v>438</v>
      </c>
      <c r="C56">
        <v>1519.42</v>
      </c>
      <c r="D56">
        <v>1519.42</v>
      </c>
      <c r="E56">
        <v>-92354.57</v>
      </c>
      <c r="F56">
        <v>1</v>
      </c>
      <c r="G56">
        <v>-92354.57</v>
      </c>
      <c r="H56">
        <v>-92354.57</v>
      </c>
      <c r="I56">
        <v>1</v>
      </c>
      <c r="J56">
        <v>-92354.57</v>
      </c>
      <c r="K56">
        <v>0</v>
      </c>
      <c r="L56">
        <v>0</v>
      </c>
      <c r="M56" t="s">
        <v>428</v>
      </c>
      <c r="N56"/>
      <c r="O56"/>
      <c r="P56"/>
      <c r="Q56"/>
      <c r="R56"/>
      <c r="S56"/>
      <c r="T56"/>
    </row>
    <row r="57" spans="1:20" ht="14.5" customHeight="1" x14ac:dyDescent="0.35">
      <c r="A57">
        <v>135</v>
      </c>
      <c r="B57" t="s">
        <v>439</v>
      </c>
      <c r="C57">
        <v>2000</v>
      </c>
      <c r="D57">
        <v>2000</v>
      </c>
      <c r="E57">
        <v>3000</v>
      </c>
      <c r="F57">
        <v>1</v>
      </c>
      <c r="G57">
        <v>3000</v>
      </c>
      <c r="H57">
        <v>3000</v>
      </c>
      <c r="I57">
        <v>1</v>
      </c>
      <c r="J57">
        <v>3000</v>
      </c>
      <c r="K57">
        <v>0</v>
      </c>
      <c r="L57">
        <v>0</v>
      </c>
      <c r="M57" t="s">
        <v>428</v>
      </c>
      <c r="N57"/>
      <c r="O57"/>
      <c r="P57"/>
      <c r="Q57"/>
      <c r="R57"/>
      <c r="S57"/>
      <c r="T57"/>
    </row>
    <row r="58" spans="1:20" ht="14.5" customHeight="1" x14ac:dyDescent="0.35">
      <c r="A58">
        <v>140</v>
      </c>
      <c r="B58" t="s">
        <v>440</v>
      </c>
      <c r="C58">
        <v>187720.45</v>
      </c>
      <c r="D58">
        <v>187720.45</v>
      </c>
      <c r="E58">
        <v>83780.399999999994</v>
      </c>
      <c r="F58">
        <v>1</v>
      </c>
      <c r="G58">
        <v>83780.399999999994</v>
      </c>
      <c r="H58">
        <v>83780.399999999994</v>
      </c>
      <c r="I58">
        <v>1</v>
      </c>
      <c r="J58">
        <v>83780.399999999994</v>
      </c>
      <c r="K58">
        <v>0</v>
      </c>
      <c r="L58">
        <v>0</v>
      </c>
      <c r="M58" t="s">
        <v>428</v>
      </c>
      <c r="N58"/>
      <c r="O58"/>
      <c r="P58"/>
      <c r="Q58"/>
      <c r="R58"/>
      <c r="S58"/>
      <c r="T58"/>
    </row>
    <row r="59" spans="1:20" ht="14.5" customHeight="1" x14ac:dyDescent="0.35">
      <c r="A59">
        <v>150</v>
      </c>
      <c r="B59" t="s">
        <v>441</v>
      </c>
      <c r="C59">
        <v>5332.4</v>
      </c>
      <c r="D59">
        <v>5332.4</v>
      </c>
      <c r="E59">
        <v>1476.68</v>
      </c>
      <c r="F59">
        <v>1</v>
      </c>
      <c r="G59">
        <v>1476.68</v>
      </c>
      <c r="H59">
        <v>1476.68</v>
      </c>
      <c r="I59">
        <v>1</v>
      </c>
      <c r="J59">
        <v>1476.68</v>
      </c>
      <c r="K59">
        <v>0</v>
      </c>
      <c r="L59">
        <v>0</v>
      </c>
      <c r="M59" t="s">
        <v>428</v>
      </c>
      <c r="N59"/>
      <c r="O59"/>
      <c r="P59"/>
      <c r="Q59"/>
      <c r="R59"/>
      <c r="S59"/>
      <c r="T59"/>
    </row>
    <row r="60" spans="1:20" ht="14.5" customHeight="1" x14ac:dyDescent="0.35">
      <c r="A60">
        <v>155</v>
      </c>
      <c r="B60" t="s">
        <v>442</v>
      </c>
      <c r="C60">
        <v>0</v>
      </c>
      <c r="D60">
        <v>0</v>
      </c>
      <c r="E60">
        <v>0</v>
      </c>
      <c r="F60">
        <v>1</v>
      </c>
      <c r="G60">
        <v>0</v>
      </c>
      <c r="H60">
        <v>0</v>
      </c>
      <c r="I60">
        <v>1</v>
      </c>
      <c r="J60">
        <v>0</v>
      </c>
      <c r="K60">
        <v>0</v>
      </c>
      <c r="L60">
        <v>0</v>
      </c>
      <c r="M60" t="s">
        <v>428</v>
      </c>
      <c r="N60"/>
      <c r="O60"/>
      <c r="P60"/>
      <c r="Q60"/>
      <c r="R60"/>
      <c r="S60"/>
      <c r="T60"/>
    </row>
    <row r="61" spans="1:20" ht="14.5" customHeight="1" x14ac:dyDescent="0.35">
      <c r="A61">
        <v>160</v>
      </c>
      <c r="B61" t="s">
        <v>443</v>
      </c>
      <c r="C61">
        <v>185907.47</v>
      </c>
      <c r="D61">
        <v>185907.47</v>
      </c>
      <c r="E61">
        <v>-7050.85</v>
      </c>
      <c r="F61">
        <v>1</v>
      </c>
      <c r="G61">
        <v>-7050.85</v>
      </c>
      <c r="H61">
        <v>-7050.85</v>
      </c>
      <c r="I61">
        <v>1</v>
      </c>
      <c r="J61">
        <v>-7050.85</v>
      </c>
      <c r="K61">
        <v>0</v>
      </c>
      <c r="L61">
        <v>0</v>
      </c>
      <c r="M61" t="s">
        <v>428</v>
      </c>
      <c r="N61"/>
      <c r="O61"/>
      <c r="P61"/>
      <c r="Q61"/>
      <c r="R61"/>
      <c r="S61"/>
      <c r="T61"/>
    </row>
    <row r="62" spans="1:20" ht="14.5" customHeight="1" x14ac:dyDescent="0.35">
      <c r="A62">
        <v>170</v>
      </c>
      <c r="B62" t="s">
        <v>444</v>
      </c>
      <c r="C62">
        <v>826646.08</v>
      </c>
      <c r="D62">
        <v>826646.08</v>
      </c>
      <c r="E62">
        <v>1032520.05</v>
      </c>
      <c r="F62">
        <v>1</v>
      </c>
      <c r="G62">
        <v>1032520.05</v>
      </c>
      <c r="H62">
        <v>1032520.05</v>
      </c>
      <c r="I62">
        <v>1</v>
      </c>
      <c r="J62">
        <v>1032520.05</v>
      </c>
      <c r="K62">
        <v>0</v>
      </c>
      <c r="L62">
        <v>0</v>
      </c>
      <c r="M62" t="s">
        <v>428</v>
      </c>
      <c r="N62"/>
      <c r="O62"/>
      <c r="P62"/>
      <c r="Q62"/>
      <c r="R62"/>
      <c r="S62"/>
      <c r="T62"/>
    </row>
    <row r="63" spans="1:20" x14ac:dyDescent="0.35">
      <c r="A63">
        <v>180</v>
      </c>
      <c r="B63" t="s">
        <v>445</v>
      </c>
      <c r="C63">
        <v>541000</v>
      </c>
      <c r="D63">
        <v>541000</v>
      </c>
      <c r="E63">
        <v>388000</v>
      </c>
      <c r="F63">
        <v>1</v>
      </c>
      <c r="G63">
        <v>388000</v>
      </c>
      <c r="H63">
        <v>388000</v>
      </c>
      <c r="I63">
        <v>1</v>
      </c>
      <c r="J63">
        <v>388000</v>
      </c>
      <c r="K63">
        <v>0</v>
      </c>
      <c r="L63">
        <v>0</v>
      </c>
      <c r="M63" t="s">
        <v>428</v>
      </c>
      <c r="N63"/>
      <c r="O63"/>
      <c r="P63"/>
      <c r="Q63"/>
      <c r="R63"/>
      <c r="S63"/>
      <c r="T63"/>
    </row>
    <row r="64" spans="1:20" x14ac:dyDescent="0.35">
      <c r="A64">
        <v>190</v>
      </c>
      <c r="B64" t="s">
        <v>446</v>
      </c>
      <c r="C64">
        <v>0</v>
      </c>
      <c r="D64">
        <v>0</v>
      </c>
      <c r="E64">
        <v>0</v>
      </c>
      <c r="F64">
        <v>1</v>
      </c>
      <c r="G64">
        <v>0</v>
      </c>
      <c r="H64">
        <v>0</v>
      </c>
      <c r="I64">
        <v>1</v>
      </c>
      <c r="J64">
        <v>0</v>
      </c>
      <c r="K64">
        <v>0</v>
      </c>
      <c r="L64">
        <v>0</v>
      </c>
      <c r="M64" t="s">
        <v>428</v>
      </c>
      <c r="N64"/>
      <c r="O64"/>
      <c r="P64"/>
      <c r="Q64"/>
      <c r="R64"/>
      <c r="S64"/>
      <c r="T64"/>
    </row>
    <row r="65" spans="1:20" ht="14.5" customHeight="1" x14ac:dyDescent="0.35">
      <c r="A65">
        <v>200</v>
      </c>
      <c r="B65" t="s">
        <v>447</v>
      </c>
      <c r="C65">
        <v>285646.08000000002</v>
      </c>
      <c r="D65">
        <v>285646.08000000002</v>
      </c>
      <c r="E65">
        <v>644520.05000000005</v>
      </c>
      <c r="F65">
        <v>1</v>
      </c>
      <c r="G65">
        <v>644520.05000000005</v>
      </c>
      <c r="H65">
        <v>644520.05000000005</v>
      </c>
      <c r="I65">
        <v>1</v>
      </c>
      <c r="J65">
        <v>644520.05000000005</v>
      </c>
      <c r="K65">
        <v>0</v>
      </c>
      <c r="L65">
        <v>0</v>
      </c>
      <c r="M65" t="s">
        <v>428</v>
      </c>
      <c r="N65"/>
      <c r="O65"/>
      <c r="P65"/>
      <c r="Q65"/>
      <c r="R65"/>
      <c r="S65"/>
      <c r="T65"/>
    </row>
    <row r="66" spans="1:20" ht="14.5" customHeight="1" x14ac:dyDescent="0.35">
      <c r="A66">
        <v>210</v>
      </c>
      <c r="B66" t="s">
        <v>448</v>
      </c>
      <c r="C66">
        <v>1122582.6299999999</v>
      </c>
      <c r="D66">
        <v>1122582.6299999999</v>
      </c>
      <c r="E66">
        <v>1135498.28</v>
      </c>
      <c r="F66">
        <v>1</v>
      </c>
      <c r="G66">
        <v>1135498.28</v>
      </c>
      <c r="H66">
        <v>1135498.28</v>
      </c>
      <c r="I66">
        <v>1</v>
      </c>
      <c r="J66">
        <v>1135498.28</v>
      </c>
      <c r="K66">
        <v>0</v>
      </c>
      <c r="L66">
        <v>0</v>
      </c>
      <c r="M66" t="s">
        <v>428</v>
      </c>
      <c r="N66"/>
      <c r="O66"/>
      <c r="P66"/>
      <c r="Q66"/>
      <c r="R66"/>
      <c r="S66"/>
      <c r="T66"/>
    </row>
    <row r="67" spans="1:20" x14ac:dyDescent="0.35">
      <c r="A67" t="s">
        <v>463</v>
      </c>
      <c r="B67" t="s">
        <v>416</v>
      </c>
      <c r="C67" t="s">
        <v>417</v>
      </c>
      <c r="D67" t="s">
        <v>418</v>
      </c>
      <c r="E67" t="s">
        <v>464</v>
      </c>
      <c r="F67" t="s">
        <v>465</v>
      </c>
      <c r="G67" t="s">
        <v>421</v>
      </c>
      <c r="H67" t="s">
        <v>458</v>
      </c>
      <c r="I67" t="s">
        <v>459</v>
      </c>
      <c r="J67" t="s">
        <v>460</v>
      </c>
      <c r="K67" t="s">
        <v>466</v>
      </c>
      <c r="L67" t="s">
        <v>462</v>
      </c>
      <c r="M67" t="s">
        <v>121</v>
      </c>
      <c r="N67"/>
      <c r="O67"/>
      <c r="P67"/>
      <c r="Q67"/>
      <c r="R67"/>
      <c r="S67"/>
      <c r="T67"/>
    </row>
    <row r="68" spans="1:20" ht="14.5" customHeight="1" x14ac:dyDescent="0.35">
      <c r="A68">
        <v>30</v>
      </c>
      <c r="B68" t="s">
        <v>427</v>
      </c>
      <c r="C68">
        <v>3454255.34</v>
      </c>
      <c r="D68">
        <v>3454255.34</v>
      </c>
      <c r="E68">
        <v>3298210</v>
      </c>
      <c r="F68">
        <v>1</v>
      </c>
      <c r="G68">
        <v>3298210</v>
      </c>
      <c r="H68">
        <v>3298210</v>
      </c>
      <c r="I68">
        <v>1</v>
      </c>
      <c r="J68">
        <v>3298210</v>
      </c>
      <c r="K68">
        <v>0</v>
      </c>
      <c r="L68">
        <v>0</v>
      </c>
      <c r="M68" t="s">
        <v>428</v>
      </c>
      <c r="N68"/>
      <c r="O68"/>
      <c r="P68"/>
      <c r="Q68"/>
      <c r="R68"/>
      <c r="S68"/>
      <c r="T68"/>
    </row>
    <row r="69" spans="1:20" ht="14.5" customHeight="1" x14ac:dyDescent="0.35">
      <c r="A69">
        <v>40</v>
      </c>
      <c r="B69" t="s">
        <v>429</v>
      </c>
      <c r="C69">
        <v>0</v>
      </c>
      <c r="D69">
        <v>0</v>
      </c>
      <c r="E69">
        <v>0</v>
      </c>
      <c r="F69">
        <v>1</v>
      </c>
      <c r="G69">
        <v>0</v>
      </c>
      <c r="H69">
        <v>0</v>
      </c>
      <c r="I69">
        <v>1</v>
      </c>
      <c r="J69">
        <v>0</v>
      </c>
      <c r="K69">
        <v>0</v>
      </c>
      <c r="L69">
        <v>0</v>
      </c>
      <c r="M69" t="s">
        <v>428</v>
      </c>
      <c r="N69"/>
      <c r="O69"/>
      <c r="P69"/>
      <c r="Q69"/>
      <c r="R69"/>
      <c r="S69"/>
      <c r="T69"/>
    </row>
    <row r="70" spans="1:20" x14ac:dyDescent="0.35">
      <c r="A70">
        <v>50</v>
      </c>
      <c r="B70" t="s">
        <v>430</v>
      </c>
      <c r="C70">
        <v>3454255.34</v>
      </c>
      <c r="D70">
        <v>3454255.34</v>
      </c>
      <c r="E70">
        <v>3298210</v>
      </c>
      <c r="F70">
        <v>1</v>
      </c>
      <c r="G70">
        <v>3298210</v>
      </c>
      <c r="H70">
        <v>3298210</v>
      </c>
      <c r="I70">
        <v>1</v>
      </c>
      <c r="J70">
        <v>3298210</v>
      </c>
      <c r="K70">
        <v>0</v>
      </c>
      <c r="L70">
        <v>0</v>
      </c>
      <c r="M70" t="s">
        <v>428</v>
      </c>
      <c r="N70"/>
      <c r="O70"/>
      <c r="P70"/>
      <c r="Q70"/>
      <c r="R70"/>
      <c r="S70"/>
      <c r="T70"/>
    </row>
    <row r="71" spans="1:20" x14ac:dyDescent="0.35">
      <c r="A71">
        <v>60</v>
      </c>
      <c r="B71" t="s">
        <v>431</v>
      </c>
      <c r="C71">
        <v>0</v>
      </c>
      <c r="D71">
        <v>0</v>
      </c>
      <c r="E71">
        <v>0</v>
      </c>
      <c r="F71">
        <v>1</v>
      </c>
      <c r="G71">
        <v>0</v>
      </c>
      <c r="H71">
        <v>0</v>
      </c>
      <c r="I71">
        <v>1</v>
      </c>
      <c r="J71">
        <v>0</v>
      </c>
      <c r="K71">
        <v>0</v>
      </c>
      <c r="L71">
        <v>0</v>
      </c>
      <c r="M71" t="s">
        <v>428</v>
      </c>
      <c r="N71"/>
      <c r="O71"/>
      <c r="P71"/>
      <c r="Q71"/>
      <c r="R71"/>
      <c r="S71"/>
      <c r="T71"/>
    </row>
    <row r="72" spans="1:20" x14ac:dyDescent="0.35">
      <c r="A72">
        <v>70</v>
      </c>
      <c r="B72" t="s">
        <v>432</v>
      </c>
      <c r="C72">
        <v>3454255.34</v>
      </c>
      <c r="D72">
        <v>3454255.34</v>
      </c>
      <c r="E72">
        <v>3298210</v>
      </c>
      <c r="F72">
        <v>1</v>
      </c>
      <c r="G72">
        <v>3298210</v>
      </c>
      <c r="H72">
        <v>3298210</v>
      </c>
      <c r="I72">
        <v>1</v>
      </c>
      <c r="J72">
        <v>3298210</v>
      </c>
      <c r="K72">
        <v>0</v>
      </c>
      <c r="L72">
        <v>0</v>
      </c>
      <c r="M72" t="s">
        <v>428</v>
      </c>
      <c r="N72"/>
      <c r="O72"/>
      <c r="P72"/>
      <c r="Q72"/>
      <c r="R72"/>
      <c r="S72"/>
      <c r="T72"/>
    </row>
    <row r="73" spans="1:20" ht="14.5" customHeight="1" x14ac:dyDescent="0.35">
      <c r="A73">
        <v>80</v>
      </c>
      <c r="B73" t="s">
        <v>433</v>
      </c>
      <c r="C73">
        <v>0</v>
      </c>
      <c r="D73">
        <v>0</v>
      </c>
      <c r="E73">
        <v>0</v>
      </c>
      <c r="F73">
        <v>1</v>
      </c>
      <c r="G73">
        <v>0</v>
      </c>
      <c r="H73">
        <v>0</v>
      </c>
      <c r="I73">
        <v>1</v>
      </c>
      <c r="J73">
        <v>0</v>
      </c>
      <c r="K73">
        <v>0</v>
      </c>
      <c r="L73">
        <v>0</v>
      </c>
      <c r="M73" t="s">
        <v>428</v>
      </c>
      <c r="N73"/>
      <c r="O73"/>
      <c r="P73"/>
      <c r="Q73"/>
      <c r="R73"/>
      <c r="S73"/>
      <c r="T73"/>
    </row>
    <row r="74" spans="1:20" ht="14.5" customHeight="1" x14ac:dyDescent="0.35">
      <c r="A74">
        <v>90</v>
      </c>
      <c r="B74" t="s">
        <v>434</v>
      </c>
      <c r="C74">
        <v>3161437.66</v>
      </c>
      <c r="D74">
        <v>3161437.66</v>
      </c>
      <c r="E74">
        <v>2988173.84</v>
      </c>
      <c r="F74">
        <v>1</v>
      </c>
      <c r="G74">
        <v>2988173.84</v>
      </c>
      <c r="H74">
        <v>2988173.84</v>
      </c>
      <c r="I74">
        <v>1</v>
      </c>
      <c r="J74">
        <v>2988173.84</v>
      </c>
      <c r="K74">
        <v>0</v>
      </c>
      <c r="L74">
        <v>0</v>
      </c>
      <c r="M74" t="s">
        <v>428</v>
      </c>
      <c r="N74"/>
      <c r="O74"/>
      <c r="P74"/>
      <c r="Q74"/>
      <c r="R74"/>
      <c r="S74"/>
      <c r="T74"/>
    </row>
    <row r="75" spans="1:20" ht="14.5" customHeight="1" x14ac:dyDescent="0.35">
      <c r="A75">
        <v>100</v>
      </c>
      <c r="B75" t="s">
        <v>435</v>
      </c>
      <c r="C75">
        <v>45176.32</v>
      </c>
      <c r="D75">
        <v>45176.32</v>
      </c>
      <c r="E75">
        <v>45176.32</v>
      </c>
      <c r="F75">
        <v>1</v>
      </c>
      <c r="G75">
        <v>45176.32</v>
      </c>
      <c r="H75">
        <v>45176.32</v>
      </c>
      <c r="I75">
        <v>1</v>
      </c>
      <c r="J75">
        <v>45176.32</v>
      </c>
      <c r="K75">
        <v>0</v>
      </c>
      <c r="L75">
        <v>0</v>
      </c>
      <c r="M75" t="s">
        <v>428</v>
      </c>
      <c r="N75"/>
      <c r="O75"/>
      <c r="P75"/>
      <c r="Q75"/>
      <c r="R75"/>
      <c r="S75"/>
      <c r="T75"/>
    </row>
    <row r="76" spans="1:20" ht="14.5" customHeight="1" x14ac:dyDescent="0.35">
      <c r="A76">
        <v>110</v>
      </c>
      <c r="B76" t="s">
        <v>436</v>
      </c>
      <c r="C76">
        <v>3206613.98</v>
      </c>
      <c r="D76">
        <v>3206613.98</v>
      </c>
      <c r="E76">
        <v>3033350.16</v>
      </c>
      <c r="F76">
        <v>1</v>
      </c>
      <c r="G76">
        <v>3033350.16</v>
      </c>
      <c r="H76">
        <v>3033350.16</v>
      </c>
      <c r="I76">
        <v>1</v>
      </c>
      <c r="J76">
        <v>3033350.16</v>
      </c>
      <c r="K76">
        <v>0</v>
      </c>
      <c r="L76">
        <v>0</v>
      </c>
      <c r="M76" t="s">
        <v>428</v>
      </c>
      <c r="N76"/>
      <c r="O76"/>
      <c r="P76"/>
      <c r="Q76"/>
      <c r="R76"/>
      <c r="S76"/>
      <c r="T76"/>
    </row>
    <row r="77" spans="1:20" ht="14.5" customHeight="1" x14ac:dyDescent="0.35">
      <c r="A77">
        <v>120</v>
      </c>
      <c r="B77" t="s">
        <v>437</v>
      </c>
      <c r="C77">
        <v>247641.36</v>
      </c>
      <c r="D77">
        <v>247641.36</v>
      </c>
      <c r="E77">
        <v>264859.84000000003</v>
      </c>
      <c r="F77">
        <v>1</v>
      </c>
      <c r="G77">
        <v>264859.84000000003</v>
      </c>
      <c r="H77">
        <v>264859.84000000003</v>
      </c>
      <c r="I77">
        <v>1</v>
      </c>
      <c r="J77">
        <v>264859.84000000003</v>
      </c>
      <c r="K77">
        <v>0</v>
      </c>
      <c r="L77">
        <v>0</v>
      </c>
      <c r="M77" t="s">
        <v>428</v>
      </c>
      <c r="N77"/>
      <c r="O77"/>
      <c r="P77"/>
      <c r="Q77"/>
      <c r="R77"/>
      <c r="S77"/>
      <c r="T77"/>
    </row>
    <row r="78" spans="1:20" ht="14.5" customHeight="1" x14ac:dyDescent="0.35">
      <c r="A78">
        <v>130</v>
      </c>
      <c r="B78" t="s">
        <v>438</v>
      </c>
      <c r="C78">
        <v>-2191.96</v>
      </c>
      <c r="D78">
        <v>-2191.96</v>
      </c>
      <c r="E78">
        <v>-236.58</v>
      </c>
      <c r="F78">
        <v>1</v>
      </c>
      <c r="G78">
        <v>-236.58</v>
      </c>
      <c r="H78">
        <v>-236.58</v>
      </c>
      <c r="I78">
        <v>1</v>
      </c>
      <c r="J78">
        <v>-236.58</v>
      </c>
      <c r="K78">
        <v>0</v>
      </c>
      <c r="L78">
        <v>0</v>
      </c>
      <c r="M78" t="s">
        <v>428</v>
      </c>
      <c r="N78"/>
      <c r="O78"/>
      <c r="P78"/>
      <c r="Q78"/>
      <c r="R78"/>
      <c r="S78"/>
      <c r="T78"/>
    </row>
    <row r="79" spans="1:20" ht="14.5" customHeight="1" x14ac:dyDescent="0.35">
      <c r="A79">
        <v>135</v>
      </c>
      <c r="B79" t="s">
        <v>439</v>
      </c>
      <c r="C79">
        <v>0</v>
      </c>
      <c r="D79">
        <v>0</v>
      </c>
      <c r="E79">
        <v>4802</v>
      </c>
      <c r="F79">
        <v>1</v>
      </c>
      <c r="G79">
        <v>4802</v>
      </c>
      <c r="H79">
        <v>4802</v>
      </c>
      <c r="I79">
        <v>1</v>
      </c>
      <c r="J79">
        <v>4802</v>
      </c>
      <c r="K79">
        <v>0</v>
      </c>
      <c r="L79">
        <v>0</v>
      </c>
      <c r="M79" t="s">
        <v>428</v>
      </c>
      <c r="N79"/>
      <c r="O79"/>
      <c r="P79"/>
      <c r="Q79"/>
      <c r="R79"/>
      <c r="S79"/>
      <c r="T79"/>
    </row>
    <row r="80" spans="1:20" ht="14.5" customHeight="1" x14ac:dyDescent="0.35">
      <c r="A80">
        <v>140</v>
      </c>
      <c r="B80" t="s">
        <v>440</v>
      </c>
      <c r="C80">
        <v>4559.41</v>
      </c>
      <c r="D80">
        <v>4559.41</v>
      </c>
      <c r="E80">
        <v>6185.01</v>
      </c>
      <c r="F80">
        <v>1</v>
      </c>
      <c r="G80">
        <v>6185.01</v>
      </c>
      <c r="H80">
        <v>6185.01</v>
      </c>
      <c r="I80">
        <v>1</v>
      </c>
      <c r="J80">
        <v>6185.01</v>
      </c>
      <c r="K80">
        <v>0</v>
      </c>
      <c r="L80">
        <v>0</v>
      </c>
      <c r="M80" t="s">
        <v>428</v>
      </c>
      <c r="N80"/>
      <c r="O80"/>
      <c r="P80"/>
      <c r="Q80"/>
      <c r="R80"/>
      <c r="S80"/>
      <c r="T80"/>
    </row>
    <row r="81" spans="1:20" ht="14.5" customHeight="1" x14ac:dyDescent="0.35">
      <c r="A81">
        <v>150</v>
      </c>
      <c r="B81" t="s">
        <v>441</v>
      </c>
      <c r="C81">
        <v>0</v>
      </c>
      <c r="D81">
        <v>0</v>
      </c>
      <c r="E81">
        <v>12.57</v>
      </c>
      <c r="F81">
        <v>1</v>
      </c>
      <c r="G81">
        <v>12.57</v>
      </c>
      <c r="H81">
        <v>12.57</v>
      </c>
      <c r="I81">
        <v>1</v>
      </c>
      <c r="J81">
        <v>12.57</v>
      </c>
      <c r="K81">
        <v>0</v>
      </c>
      <c r="L81">
        <v>0</v>
      </c>
      <c r="M81" t="s">
        <v>428</v>
      </c>
      <c r="N81"/>
      <c r="O81"/>
      <c r="P81"/>
      <c r="Q81"/>
      <c r="R81"/>
      <c r="S81"/>
      <c r="T81"/>
    </row>
    <row r="82" spans="1:20" ht="14.5" customHeight="1" x14ac:dyDescent="0.35">
      <c r="A82">
        <v>155</v>
      </c>
      <c r="B82" t="s">
        <v>442</v>
      </c>
      <c r="C82">
        <v>0</v>
      </c>
      <c r="D82">
        <v>0</v>
      </c>
      <c r="E82">
        <v>0</v>
      </c>
      <c r="F82">
        <v>1</v>
      </c>
      <c r="G82">
        <v>0</v>
      </c>
      <c r="H82">
        <v>0</v>
      </c>
      <c r="I82">
        <v>1</v>
      </c>
      <c r="J82">
        <v>0</v>
      </c>
      <c r="K82">
        <v>0</v>
      </c>
      <c r="L82">
        <v>0</v>
      </c>
      <c r="M82" t="s">
        <v>428</v>
      </c>
      <c r="N82"/>
      <c r="O82"/>
      <c r="P82"/>
      <c r="Q82"/>
      <c r="R82"/>
      <c r="S82"/>
      <c r="T82"/>
    </row>
    <row r="83" spans="1:20" ht="14.5" customHeight="1" x14ac:dyDescent="0.35">
      <c r="A83">
        <v>160</v>
      </c>
      <c r="B83" t="s">
        <v>443</v>
      </c>
      <c r="C83">
        <v>2367.4499999999998</v>
      </c>
      <c r="D83">
        <v>2367.4499999999998</v>
      </c>
      <c r="E83">
        <v>10737.86</v>
      </c>
      <c r="F83">
        <v>1</v>
      </c>
      <c r="G83">
        <v>10737.86</v>
      </c>
      <c r="H83">
        <v>10737.86</v>
      </c>
      <c r="I83">
        <v>1</v>
      </c>
      <c r="J83">
        <v>10737.86</v>
      </c>
      <c r="K83">
        <v>0</v>
      </c>
      <c r="L83">
        <v>0</v>
      </c>
      <c r="M83" t="s">
        <v>428</v>
      </c>
      <c r="N83"/>
      <c r="O83"/>
      <c r="P83"/>
      <c r="Q83"/>
      <c r="R83"/>
      <c r="S83"/>
      <c r="T83"/>
    </row>
    <row r="84" spans="1:20" ht="14.5" customHeight="1" x14ac:dyDescent="0.35">
      <c r="A84">
        <v>170</v>
      </c>
      <c r="B84" t="s">
        <v>444</v>
      </c>
      <c r="C84">
        <v>245273.91</v>
      </c>
      <c r="D84">
        <v>245273.91</v>
      </c>
      <c r="E84">
        <v>254121.98</v>
      </c>
      <c r="F84">
        <v>1</v>
      </c>
      <c r="G84">
        <v>254121.98</v>
      </c>
      <c r="H84">
        <v>254121.98</v>
      </c>
      <c r="I84">
        <v>1</v>
      </c>
      <c r="J84">
        <v>254121.98</v>
      </c>
      <c r="K84">
        <v>0</v>
      </c>
      <c r="L84">
        <v>0</v>
      </c>
      <c r="M84" t="s">
        <v>428</v>
      </c>
      <c r="N84"/>
      <c r="O84"/>
      <c r="P84"/>
      <c r="Q84"/>
      <c r="R84"/>
      <c r="S84"/>
      <c r="T84"/>
    </row>
    <row r="85" spans="1:20" x14ac:dyDescent="0.35">
      <c r="A85">
        <v>180</v>
      </c>
      <c r="B85" t="s">
        <v>445</v>
      </c>
      <c r="C85">
        <v>74197.399999999994</v>
      </c>
      <c r="D85">
        <v>74197.399999999994</v>
      </c>
      <c r="E85">
        <v>72931</v>
      </c>
      <c r="F85">
        <v>1</v>
      </c>
      <c r="G85">
        <v>72931</v>
      </c>
      <c r="H85">
        <v>72931</v>
      </c>
      <c r="I85">
        <v>1</v>
      </c>
      <c r="J85">
        <v>72931</v>
      </c>
      <c r="K85">
        <v>0</v>
      </c>
      <c r="L85">
        <v>0</v>
      </c>
      <c r="M85" t="s">
        <v>428</v>
      </c>
      <c r="N85"/>
      <c r="O85"/>
      <c r="P85"/>
      <c r="Q85"/>
      <c r="R85"/>
      <c r="S85"/>
      <c r="T85"/>
    </row>
    <row r="86" spans="1:20" x14ac:dyDescent="0.35">
      <c r="A86">
        <v>190</v>
      </c>
      <c r="B86" t="s">
        <v>446</v>
      </c>
      <c r="C86">
        <v>0</v>
      </c>
      <c r="D86">
        <v>0</v>
      </c>
      <c r="E86">
        <v>0</v>
      </c>
      <c r="F86">
        <v>1</v>
      </c>
      <c r="G86">
        <v>0</v>
      </c>
      <c r="H86">
        <v>0</v>
      </c>
      <c r="I86">
        <v>1</v>
      </c>
      <c r="J86">
        <v>0</v>
      </c>
      <c r="K86">
        <v>0</v>
      </c>
      <c r="L86">
        <v>0</v>
      </c>
      <c r="M86" t="s">
        <v>428</v>
      </c>
      <c r="N86"/>
      <c r="O86"/>
      <c r="P86"/>
      <c r="Q86"/>
      <c r="R86"/>
      <c r="S86"/>
      <c r="T86"/>
    </row>
    <row r="87" spans="1:20" ht="14.5" customHeight="1" x14ac:dyDescent="0.35">
      <c r="A87">
        <v>200</v>
      </c>
      <c r="B87" t="s">
        <v>447</v>
      </c>
      <c r="C87">
        <v>171076.51</v>
      </c>
      <c r="D87">
        <v>171076.51</v>
      </c>
      <c r="E87">
        <v>181190.98</v>
      </c>
      <c r="F87">
        <v>1</v>
      </c>
      <c r="G87">
        <v>181190.98</v>
      </c>
      <c r="H87">
        <v>181190.98</v>
      </c>
      <c r="I87">
        <v>1</v>
      </c>
      <c r="J87">
        <v>181190.98</v>
      </c>
      <c r="K87">
        <v>0</v>
      </c>
      <c r="L87">
        <v>0</v>
      </c>
      <c r="M87" t="s">
        <v>428</v>
      </c>
      <c r="N87"/>
      <c r="O87"/>
      <c r="P87"/>
      <c r="Q87"/>
      <c r="R87"/>
      <c r="S87"/>
      <c r="T87"/>
    </row>
    <row r="88" spans="1:20" ht="14.5" customHeight="1" x14ac:dyDescent="0.35">
      <c r="A88">
        <v>210</v>
      </c>
      <c r="B88" t="s">
        <v>448</v>
      </c>
      <c r="C88">
        <v>292817.68</v>
      </c>
      <c r="D88">
        <v>292817.68</v>
      </c>
      <c r="E88">
        <v>310036.15999999997</v>
      </c>
      <c r="F88">
        <v>1</v>
      </c>
      <c r="G88">
        <v>310036.15999999997</v>
      </c>
      <c r="H88">
        <v>310036.15999999997</v>
      </c>
      <c r="I88">
        <v>1</v>
      </c>
      <c r="J88">
        <v>310036.15999999997</v>
      </c>
      <c r="K88">
        <v>0</v>
      </c>
      <c r="L88">
        <v>0</v>
      </c>
      <c r="M88" t="s">
        <v>428</v>
      </c>
      <c r="N88"/>
      <c r="O88"/>
      <c r="P88"/>
      <c r="Q88"/>
      <c r="R88"/>
      <c r="S88"/>
      <c r="T88"/>
    </row>
    <row r="89" spans="1:20" x14ac:dyDescent="0.35">
      <c r="A89" t="s">
        <v>467</v>
      </c>
      <c r="B89" t="s">
        <v>416</v>
      </c>
      <c r="C89" t="s">
        <v>417</v>
      </c>
      <c r="D89" t="s">
        <v>418</v>
      </c>
      <c r="E89" t="s">
        <v>419</v>
      </c>
      <c r="F89" t="s">
        <v>420</v>
      </c>
      <c r="G89" t="s">
        <v>421</v>
      </c>
      <c r="H89" t="s">
        <v>422</v>
      </c>
      <c r="I89" t="s">
        <v>423</v>
      </c>
      <c r="J89" t="s">
        <v>424</v>
      </c>
      <c r="K89" t="s">
        <v>425</v>
      </c>
      <c r="L89" t="s">
        <v>426</v>
      </c>
      <c r="M89" t="s">
        <v>121</v>
      </c>
      <c r="N89"/>
      <c r="O89"/>
      <c r="P89"/>
      <c r="Q89"/>
      <c r="R89"/>
      <c r="S89"/>
      <c r="T89"/>
    </row>
    <row r="90" spans="1:20" ht="14.5" customHeight="1" x14ac:dyDescent="0.35">
      <c r="A90">
        <v>30</v>
      </c>
      <c r="B90" t="s">
        <v>427</v>
      </c>
      <c r="C90">
        <v>325869.59999999998</v>
      </c>
      <c r="D90">
        <v>325869.59999999998</v>
      </c>
      <c r="E90">
        <v>446283.29</v>
      </c>
      <c r="F90">
        <v>1</v>
      </c>
      <c r="G90">
        <v>446283.29</v>
      </c>
      <c r="H90">
        <v>446283.29</v>
      </c>
      <c r="I90">
        <v>1</v>
      </c>
      <c r="J90">
        <v>446283.29</v>
      </c>
      <c r="K90">
        <v>0</v>
      </c>
      <c r="L90">
        <v>0</v>
      </c>
      <c r="M90" t="s">
        <v>428</v>
      </c>
      <c r="N90"/>
      <c r="O90"/>
      <c r="P90"/>
      <c r="Q90"/>
      <c r="R90"/>
      <c r="S90"/>
      <c r="T90"/>
    </row>
    <row r="91" spans="1:20" ht="14.5" customHeight="1" x14ac:dyDescent="0.35">
      <c r="A91">
        <v>40</v>
      </c>
      <c r="B91" t="s">
        <v>429</v>
      </c>
      <c r="C91">
        <v>0</v>
      </c>
      <c r="D91">
        <v>0</v>
      </c>
      <c r="E91">
        <v>0</v>
      </c>
      <c r="F91">
        <v>1</v>
      </c>
      <c r="G91">
        <v>0</v>
      </c>
      <c r="H91">
        <v>0</v>
      </c>
      <c r="I91">
        <v>1</v>
      </c>
      <c r="J91">
        <v>0</v>
      </c>
      <c r="K91">
        <v>0</v>
      </c>
      <c r="L91">
        <v>0</v>
      </c>
      <c r="M91" t="s">
        <v>428</v>
      </c>
      <c r="N91"/>
      <c r="O91"/>
      <c r="P91"/>
      <c r="Q91"/>
      <c r="R91"/>
      <c r="S91"/>
      <c r="T91"/>
    </row>
    <row r="92" spans="1:20" x14ac:dyDescent="0.35">
      <c r="A92">
        <v>50</v>
      </c>
      <c r="B92" t="s">
        <v>430</v>
      </c>
      <c r="C92">
        <v>325869.59999999998</v>
      </c>
      <c r="D92">
        <v>325869.59999999998</v>
      </c>
      <c r="E92">
        <v>446283.29</v>
      </c>
      <c r="F92">
        <v>1</v>
      </c>
      <c r="G92">
        <v>446283.29</v>
      </c>
      <c r="H92">
        <v>446283.29</v>
      </c>
      <c r="I92">
        <v>1</v>
      </c>
      <c r="J92">
        <v>446283.29</v>
      </c>
      <c r="K92">
        <v>0</v>
      </c>
      <c r="L92">
        <v>0</v>
      </c>
      <c r="M92" t="s">
        <v>428</v>
      </c>
      <c r="N92"/>
      <c r="O92"/>
      <c r="P92"/>
      <c r="Q92"/>
      <c r="R92"/>
      <c r="S92"/>
      <c r="T92"/>
    </row>
    <row r="93" spans="1:20" x14ac:dyDescent="0.35">
      <c r="A93">
        <v>60</v>
      </c>
      <c r="B93" t="s">
        <v>431</v>
      </c>
      <c r="C93">
        <v>210039.06</v>
      </c>
      <c r="D93">
        <v>210039.06</v>
      </c>
      <c r="E93">
        <v>283998.45</v>
      </c>
      <c r="F93">
        <v>1</v>
      </c>
      <c r="G93">
        <v>283998.45</v>
      </c>
      <c r="H93">
        <v>283998.45</v>
      </c>
      <c r="I93">
        <v>1</v>
      </c>
      <c r="J93">
        <v>283998.45</v>
      </c>
      <c r="K93">
        <v>0</v>
      </c>
      <c r="L93">
        <v>0</v>
      </c>
      <c r="M93" t="s">
        <v>428</v>
      </c>
      <c r="N93"/>
      <c r="O93"/>
      <c r="P93"/>
      <c r="Q93"/>
      <c r="R93"/>
      <c r="S93"/>
      <c r="T93"/>
    </row>
    <row r="94" spans="1:20" x14ac:dyDescent="0.35">
      <c r="A94">
        <v>70</v>
      </c>
      <c r="B94" t="s">
        <v>432</v>
      </c>
      <c r="C94">
        <v>115830.54</v>
      </c>
      <c r="D94">
        <v>115830.54</v>
      </c>
      <c r="E94">
        <v>162284.84</v>
      </c>
      <c r="F94">
        <v>1</v>
      </c>
      <c r="G94">
        <v>162284.84</v>
      </c>
      <c r="H94">
        <v>162284.84</v>
      </c>
      <c r="I94">
        <v>1</v>
      </c>
      <c r="J94">
        <v>162284.84</v>
      </c>
      <c r="K94">
        <v>0</v>
      </c>
      <c r="L94">
        <v>0</v>
      </c>
      <c r="M94" t="s">
        <v>428</v>
      </c>
      <c r="N94"/>
      <c r="O94"/>
      <c r="P94"/>
      <c r="Q94"/>
      <c r="R94"/>
      <c r="S94"/>
      <c r="T94"/>
    </row>
    <row r="95" spans="1:20" ht="14.5" customHeight="1" x14ac:dyDescent="0.35">
      <c r="A95">
        <v>80</v>
      </c>
      <c r="B95" t="s">
        <v>433</v>
      </c>
      <c r="C95">
        <v>0</v>
      </c>
      <c r="D95">
        <v>0</v>
      </c>
      <c r="E95">
        <v>0</v>
      </c>
      <c r="F95">
        <v>1</v>
      </c>
      <c r="G95">
        <v>0</v>
      </c>
      <c r="H95">
        <v>0</v>
      </c>
      <c r="I95">
        <v>1</v>
      </c>
      <c r="J95">
        <v>0</v>
      </c>
      <c r="K95">
        <v>0</v>
      </c>
      <c r="L95">
        <v>0</v>
      </c>
      <c r="M95" t="s">
        <v>428</v>
      </c>
      <c r="N95"/>
      <c r="O95"/>
      <c r="P95"/>
      <c r="Q95"/>
      <c r="R95"/>
      <c r="S95"/>
      <c r="T95"/>
    </row>
    <row r="96" spans="1:20" ht="14.5" customHeight="1" x14ac:dyDescent="0.35">
      <c r="A96">
        <v>90</v>
      </c>
      <c r="B96" t="s">
        <v>434</v>
      </c>
      <c r="C96">
        <v>155484.88</v>
      </c>
      <c r="D96">
        <v>155484.88</v>
      </c>
      <c r="E96">
        <v>251635.25</v>
      </c>
      <c r="F96">
        <v>1</v>
      </c>
      <c r="G96">
        <v>251635.25</v>
      </c>
      <c r="H96">
        <v>251635.25</v>
      </c>
      <c r="I96">
        <v>1</v>
      </c>
      <c r="J96">
        <v>251635.25</v>
      </c>
      <c r="K96">
        <v>0</v>
      </c>
      <c r="L96">
        <v>0</v>
      </c>
      <c r="M96" t="s">
        <v>428</v>
      </c>
      <c r="N96"/>
      <c r="O96"/>
      <c r="P96"/>
      <c r="Q96"/>
      <c r="R96"/>
      <c r="S96"/>
      <c r="T96"/>
    </row>
    <row r="97" spans="1:20" ht="14.5" customHeight="1" x14ac:dyDescent="0.35">
      <c r="A97">
        <v>100</v>
      </c>
      <c r="B97" t="s">
        <v>435</v>
      </c>
      <c r="C97">
        <v>0</v>
      </c>
      <c r="D97">
        <v>0</v>
      </c>
      <c r="E97">
        <v>441.15</v>
      </c>
      <c r="F97">
        <v>1</v>
      </c>
      <c r="G97">
        <v>441.15</v>
      </c>
      <c r="H97">
        <v>441.15</v>
      </c>
      <c r="I97">
        <v>1</v>
      </c>
      <c r="J97">
        <v>441.15</v>
      </c>
      <c r="K97">
        <v>0</v>
      </c>
      <c r="L97">
        <v>0</v>
      </c>
      <c r="M97" t="s">
        <v>428</v>
      </c>
      <c r="N97"/>
      <c r="O97"/>
      <c r="P97"/>
      <c r="Q97"/>
      <c r="R97"/>
      <c r="S97"/>
      <c r="T97"/>
    </row>
    <row r="98" spans="1:20" ht="14.5" customHeight="1" x14ac:dyDescent="0.35">
      <c r="A98">
        <v>110</v>
      </c>
      <c r="B98" t="s">
        <v>436</v>
      </c>
      <c r="C98">
        <v>155484.88</v>
      </c>
      <c r="D98">
        <v>155484.88</v>
      </c>
      <c r="E98">
        <v>252076.4</v>
      </c>
      <c r="F98">
        <v>1</v>
      </c>
      <c r="G98">
        <v>252076.4</v>
      </c>
      <c r="H98">
        <v>252076.4</v>
      </c>
      <c r="I98">
        <v>1</v>
      </c>
      <c r="J98">
        <v>252076.4</v>
      </c>
      <c r="K98">
        <v>0</v>
      </c>
      <c r="L98">
        <v>0</v>
      </c>
      <c r="M98" t="s">
        <v>428</v>
      </c>
      <c r="N98"/>
      <c r="O98"/>
      <c r="P98"/>
      <c r="Q98"/>
      <c r="R98"/>
      <c r="S98"/>
      <c r="T98"/>
    </row>
    <row r="99" spans="1:20" ht="14.5" customHeight="1" x14ac:dyDescent="0.35">
      <c r="A99">
        <v>120</v>
      </c>
      <c r="B99" t="s">
        <v>437</v>
      </c>
      <c r="C99">
        <v>-39654.339999999997</v>
      </c>
      <c r="D99">
        <v>-39654.339999999997</v>
      </c>
      <c r="E99">
        <v>-89791.56</v>
      </c>
      <c r="F99">
        <v>1</v>
      </c>
      <c r="G99">
        <v>-89791.56</v>
      </c>
      <c r="H99">
        <v>-89791.56</v>
      </c>
      <c r="I99">
        <v>1</v>
      </c>
      <c r="J99">
        <v>-89791.56</v>
      </c>
      <c r="K99">
        <v>0</v>
      </c>
      <c r="L99">
        <v>0</v>
      </c>
      <c r="M99" t="s">
        <v>428</v>
      </c>
      <c r="N99"/>
      <c r="O99"/>
      <c r="P99"/>
      <c r="Q99"/>
      <c r="R99"/>
      <c r="S99"/>
      <c r="T99"/>
    </row>
    <row r="100" spans="1:20" ht="14.5" customHeight="1" x14ac:dyDescent="0.35">
      <c r="A100">
        <v>130</v>
      </c>
      <c r="B100" t="s">
        <v>438</v>
      </c>
      <c r="C100">
        <v>12.02</v>
      </c>
      <c r="D100">
        <v>12.02</v>
      </c>
      <c r="E100">
        <v>-2644.48</v>
      </c>
      <c r="F100">
        <v>1</v>
      </c>
      <c r="G100">
        <v>-2644.48</v>
      </c>
      <c r="H100">
        <v>-2644.48</v>
      </c>
      <c r="I100">
        <v>1</v>
      </c>
      <c r="J100">
        <v>-2644.48</v>
      </c>
      <c r="K100">
        <v>0</v>
      </c>
      <c r="L100">
        <v>0</v>
      </c>
      <c r="M100" t="s">
        <v>428</v>
      </c>
      <c r="N100"/>
      <c r="O100"/>
      <c r="P100"/>
      <c r="Q100"/>
      <c r="R100"/>
      <c r="S100"/>
      <c r="T100"/>
    </row>
    <row r="101" spans="1:20" ht="14.5" customHeight="1" x14ac:dyDescent="0.35">
      <c r="A101">
        <v>135</v>
      </c>
      <c r="B101" t="s">
        <v>439</v>
      </c>
      <c r="C101">
        <v>-5595.84</v>
      </c>
      <c r="D101">
        <v>-5595.84</v>
      </c>
      <c r="E101">
        <v>0</v>
      </c>
      <c r="F101">
        <v>1</v>
      </c>
      <c r="G101">
        <v>0</v>
      </c>
      <c r="H101">
        <v>0</v>
      </c>
      <c r="I101">
        <v>1</v>
      </c>
      <c r="J101">
        <v>0</v>
      </c>
      <c r="K101">
        <v>0</v>
      </c>
      <c r="L101">
        <v>0</v>
      </c>
      <c r="M101" t="s">
        <v>428</v>
      </c>
      <c r="N101"/>
      <c r="O101"/>
      <c r="P101"/>
      <c r="Q101"/>
      <c r="R101"/>
      <c r="S101"/>
      <c r="T101"/>
    </row>
    <row r="102" spans="1:20" ht="14.5" customHeight="1" x14ac:dyDescent="0.35">
      <c r="A102">
        <v>140</v>
      </c>
      <c r="B102" t="s">
        <v>440</v>
      </c>
      <c r="C102">
        <v>867.77</v>
      </c>
      <c r="D102">
        <v>867.77</v>
      </c>
      <c r="E102">
        <v>857.77</v>
      </c>
      <c r="F102">
        <v>1</v>
      </c>
      <c r="G102">
        <v>857.77</v>
      </c>
      <c r="H102">
        <v>857.77</v>
      </c>
      <c r="I102">
        <v>1</v>
      </c>
      <c r="J102">
        <v>857.77</v>
      </c>
      <c r="K102">
        <v>0</v>
      </c>
      <c r="L102">
        <v>0</v>
      </c>
      <c r="M102" t="s">
        <v>428</v>
      </c>
      <c r="N102"/>
      <c r="O102"/>
      <c r="P102"/>
      <c r="Q102"/>
      <c r="R102"/>
      <c r="S102"/>
      <c r="T102"/>
    </row>
    <row r="103" spans="1:20" ht="14.5" customHeight="1" x14ac:dyDescent="0.35">
      <c r="A103">
        <v>150</v>
      </c>
      <c r="B103" t="s">
        <v>441</v>
      </c>
      <c r="C103">
        <v>0</v>
      </c>
      <c r="D103">
        <v>0</v>
      </c>
      <c r="E103">
        <v>3.9</v>
      </c>
      <c r="F103">
        <v>1</v>
      </c>
      <c r="G103">
        <v>3.9</v>
      </c>
      <c r="H103">
        <v>3.9</v>
      </c>
      <c r="I103">
        <v>1</v>
      </c>
      <c r="J103">
        <v>3.9</v>
      </c>
      <c r="K103">
        <v>0</v>
      </c>
      <c r="L103">
        <v>0</v>
      </c>
      <c r="M103" t="s">
        <v>428</v>
      </c>
      <c r="N103"/>
      <c r="O103"/>
      <c r="P103"/>
      <c r="Q103"/>
      <c r="R103"/>
      <c r="S103"/>
      <c r="T103"/>
    </row>
    <row r="104" spans="1:20" ht="14.5" customHeight="1" x14ac:dyDescent="0.35">
      <c r="A104">
        <v>155</v>
      </c>
      <c r="B104" t="s">
        <v>442</v>
      </c>
      <c r="C104">
        <v>0</v>
      </c>
      <c r="D104">
        <v>0</v>
      </c>
      <c r="E104">
        <v>0</v>
      </c>
      <c r="F104">
        <v>1</v>
      </c>
      <c r="G104">
        <v>0</v>
      </c>
      <c r="H104">
        <v>0</v>
      </c>
      <c r="I104">
        <v>1</v>
      </c>
      <c r="J104">
        <v>0</v>
      </c>
      <c r="K104">
        <v>0</v>
      </c>
      <c r="L104">
        <v>0</v>
      </c>
      <c r="M104" t="s">
        <v>428</v>
      </c>
      <c r="N104"/>
      <c r="O104"/>
      <c r="P104"/>
      <c r="Q104"/>
      <c r="R104"/>
      <c r="S104"/>
      <c r="T104"/>
    </row>
    <row r="105" spans="1:20" ht="14.5" customHeight="1" x14ac:dyDescent="0.35">
      <c r="A105">
        <v>160</v>
      </c>
      <c r="B105" t="s">
        <v>443</v>
      </c>
      <c r="C105">
        <v>-4716.05</v>
      </c>
      <c r="D105">
        <v>-4716.05</v>
      </c>
      <c r="E105">
        <v>-1790.61</v>
      </c>
      <c r="F105">
        <v>1</v>
      </c>
      <c r="G105">
        <v>-1790.61</v>
      </c>
      <c r="H105">
        <v>-1790.61</v>
      </c>
      <c r="I105">
        <v>1</v>
      </c>
      <c r="J105">
        <v>-1790.61</v>
      </c>
      <c r="K105">
        <v>0</v>
      </c>
      <c r="L105">
        <v>0</v>
      </c>
      <c r="M105" t="s">
        <v>428</v>
      </c>
      <c r="N105"/>
      <c r="O105"/>
      <c r="P105"/>
      <c r="Q105"/>
      <c r="R105"/>
      <c r="S105"/>
      <c r="T105"/>
    </row>
    <row r="106" spans="1:20" ht="14.5" customHeight="1" x14ac:dyDescent="0.35">
      <c r="A106">
        <v>170</v>
      </c>
      <c r="B106" t="s">
        <v>444</v>
      </c>
      <c r="C106">
        <v>-34938.29</v>
      </c>
      <c r="D106">
        <v>-34938.29</v>
      </c>
      <c r="E106">
        <v>-88000.95</v>
      </c>
      <c r="F106">
        <v>1</v>
      </c>
      <c r="G106">
        <v>-88000.95</v>
      </c>
      <c r="H106">
        <v>-88000.95</v>
      </c>
      <c r="I106">
        <v>1</v>
      </c>
      <c r="J106">
        <v>-88000.95</v>
      </c>
      <c r="K106">
        <v>0</v>
      </c>
      <c r="L106">
        <v>0</v>
      </c>
      <c r="M106" t="s">
        <v>428</v>
      </c>
      <c r="N106"/>
      <c r="O106"/>
      <c r="P106"/>
      <c r="Q106"/>
      <c r="R106"/>
      <c r="S106"/>
      <c r="T106"/>
    </row>
    <row r="107" spans="1:20" x14ac:dyDescent="0.35">
      <c r="A107">
        <v>180</v>
      </c>
      <c r="B107" t="s">
        <v>445</v>
      </c>
      <c r="C107">
        <v>9463</v>
      </c>
      <c r="D107">
        <v>9463</v>
      </c>
      <c r="E107">
        <v>9562.9699999999993</v>
      </c>
      <c r="F107">
        <v>1</v>
      </c>
      <c r="G107">
        <v>9562.9699999999993</v>
      </c>
      <c r="H107">
        <v>9562.9699999999993</v>
      </c>
      <c r="I107">
        <v>1</v>
      </c>
      <c r="J107">
        <v>9562.9699999999993</v>
      </c>
      <c r="K107">
        <v>0</v>
      </c>
      <c r="L107">
        <v>0</v>
      </c>
      <c r="M107" t="s">
        <v>428</v>
      </c>
      <c r="N107"/>
      <c r="O107"/>
      <c r="P107"/>
      <c r="Q107"/>
      <c r="R107"/>
      <c r="S107"/>
      <c r="T107"/>
    </row>
    <row r="108" spans="1:20" x14ac:dyDescent="0.35">
      <c r="A108">
        <v>190</v>
      </c>
      <c r="B108" t="s">
        <v>446</v>
      </c>
      <c r="C108">
        <v>0</v>
      </c>
      <c r="D108">
        <v>0</v>
      </c>
      <c r="E108">
        <v>0</v>
      </c>
      <c r="F108">
        <v>1</v>
      </c>
      <c r="G108">
        <v>0</v>
      </c>
      <c r="H108">
        <v>0</v>
      </c>
      <c r="I108">
        <v>1</v>
      </c>
      <c r="J108">
        <v>0</v>
      </c>
      <c r="K108">
        <v>0</v>
      </c>
      <c r="L108">
        <v>0</v>
      </c>
      <c r="M108" t="s">
        <v>428</v>
      </c>
      <c r="N108"/>
      <c r="O108"/>
      <c r="P108"/>
      <c r="Q108"/>
      <c r="R108"/>
      <c r="S108"/>
      <c r="T108"/>
    </row>
    <row r="109" spans="1:20" ht="14.5" customHeight="1" x14ac:dyDescent="0.35">
      <c r="A109">
        <v>200</v>
      </c>
      <c r="B109" t="s">
        <v>447</v>
      </c>
      <c r="C109">
        <v>-44401.29</v>
      </c>
      <c r="D109">
        <v>-44401.29</v>
      </c>
      <c r="E109">
        <v>-97563.92</v>
      </c>
      <c r="F109">
        <v>1</v>
      </c>
      <c r="G109">
        <v>-97563.92</v>
      </c>
      <c r="H109">
        <v>-97563.92</v>
      </c>
      <c r="I109">
        <v>1</v>
      </c>
      <c r="J109">
        <v>-97563.92</v>
      </c>
      <c r="K109">
        <v>0</v>
      </c>
      <c r="L109">
        <v>0</v>
      </c>
      <c r="M109" t="s">
        <v>428</v>
      </c>
      <c r="N109"/>
      <c r="O109"/>
      <c r="P109"/>
      <c r="Q109"/>
      <c r="R109"/>
      <c r="S109"/>
      <c r="T109"/>
    </row>
    <row r="110" spans="1:20" ht="14.5" customHeight="1" x14ac:dyDescent="0.35">
      <c r="A110">
        <v>210</v>
      </c>
      <c r="B110" t="s">
        <v>448</v>
      </c>
      <c r="C110">
        <v>-39654.339999999997</v>
      </c>
      <c r="D110">
        <v>-39654.339999999997</v>
      </c>
      <c r="E110">
        <v>-89350.41</v>
      </c>
      <c r="F110">
        <v>1</v>
      </c>
      <c r="G110">
        <v>-89350.41</v>
      </c>
      <c r="H110">
        <v>-89350.41</v>
      </c>
      <c r="I110">
        <v>1</v>
      </c>
      <c r="J110">
        <v>-89350.41</v>
      </c>
      <c r="K110">
        <v>0</v>
      </c>
      <c r="L110">
        <v>0</v>
      </c>
      <c r="M110" t="s">
        <v>428</v>
      </c>
      <c r="N110"/>
      <c r="O110"/>
      <c r="P110"/>
      <c r="Q110"/>
      <c r="R110"/>
      <c r="S110"/>
      <c r="T110"/>
    </row>
    <row r="111" spans="1:20" x14ac:dyDescent="0.35">
      <c r="A111" t="s">
        <v>468</v>
      </c>
      <c r="B111" t="s">
        <v>416</v>
      </c>
      <c r="C111" t="s">
        <v>469</v>
      </c>
      <c r="D111" t="s">
        <v>470</v>
      </c>
      <c r="E111" t="s">
        <v>419</v>
      </c>
      <c r="F111" t="s">
        <v>471</v>
      </c>
      <c r="G111" t="s">
        <v>472</v>
      </c>
      <c r="H111" t="s">
        <v>473</v>
      </c>
      <c r="I111" t="s">
        <v>474</v>
      </c>
      <c r="J111" t="s">
        <v>475</v>
      </c>
      <c r="K111" t="s">
        <v>476</v>
      </c>
      <c r="L111" t="s">
        <v>477</v>
      </c>
      <c r="M111" t="s">
        <v>121</v>
      </c>
      <c r="N111"/>
      <c r="O111"/>
      <c r="P111"/>
      <c r="Q111"/>
      <c r="R111"/>
      <c r="S111"/>
      <c r="T111"/>
    </row>
    <row r="112" spans="1:20" ht="14.5" customHeight="1" x14ac:dyDescent="0.35">
      <c r="A112">
        <v>30</v>
      </c>
      <c r="B112" t="s">
        <v>427</v>
      </c>
      <c r="C112">
        <v>264060</v>
      </c>
      <c r="D112">
        <v>264060</v>
      </c>
      <c r="E112">
        <v>254662</v>
      </c>
      <c r="F112">
        <v>1</v>
      </c>
      <c r="G112">
        <v>254662</v>
      </c>
      <c r="H112">
        <v>254662</v>
      </c>
      <c r="I112">
        <v>1</v>
      </c>
      <c r="J112">
        <v>254662</v>
      </c>
      <c r="K112">
        <v>0</v>
      </c>
      <c r="L112">
        <v>0</v>
      </c>
      <c r="M112" t="s">
        <v>428</v>
      </c>
      <c r="N112"/>
      <c r="O112"/>
      <c r="P112"/>
      <c r="Q112"/>
      <c r="R112"/>
      <c r="S112"/>
      <c r="T112"/>
    </row>
    <row r="113" spans="1:20" ht="14.5" customHeight="1" x14ac:dyDescent="0.35">
      <c r="A113">
        <v>40</v>
      </c>
      <c r="B113" t="s">
        <v>429</v>
      </c>
      <c r="C113">
        <v>0</v>
      </c>
      <c r="D113">
        <v>0</v>
      </c>
      <c r="E113">
        <v>0</v>
      </c>
      <c r="F113">
        <v>1</v>
      </c>
      <c r="G113">
        <v>0</v>
      </c>
      <c r="H113">
        <v>0</v>
      </c>
      <c r="I113">
        <v>1</v>
      </c>
      <c r="J113">
        <v>0</v>
      </c>
      <c r="K113">
        <v>0</v>
      </c>
      <c r="L113">
        <v>0</v>
      </c>
      <c r="M113" t="s">
        <v>428</v>
      </c>
      <c r="N113"/>
      <c r="O113"/>
      <c r="P113"/>
      <c r="Q113"/>
      <c r="R113"/>
      <c r="S113"/>
      <c r="T113"/>
    </row>
    <row r="114" spans="1:20" x14ac:dyDescent="0.35">
      <c r="A114">
        <v>50</v>
      </c>
      <c r="B114" t="s">
        <v>430</v>
      </c>
      <c r="C114">
        <v>264060</v>
      </c>
      <c r="D114">
        <v>264060</v>
      </c>
      <c r="E114">
        <v>254662</v>
      </c>
      <c r="F114">
        <v>1</v>
      </c>
      <c r="G114">
        <v>254662</v>
      </c>
      <c r="H114">
        <v>254662</v>
      </c>
      <c r="I114">
        <v>1</v>
      </c>
      <c r="J114">
        <v>254662</v>
      </c>
      <c r="K114">
        <v>0</v>
      </c>
      <c r="L114">
        <v>0</v>
      </c>
      <c r="M114" t="s">
        <v>428</v>
      </c>
      <c r="N114"/>
      <c r="O114"/>
      <c r="P114"/>
      <c r="Q114"/>
      <c r="R114"/>
      <c r="S114"/>
      <c r="T114"/>
    </row>
    <row r="115" spans="1:20" x14ac:dyDescent="0.35">
      <c r="A115">
        <v>60</v>
      </c>
      <c r="B115" t="s">
        <v>431</v>
      </c>
      <c r="C115">
        <v>0</v>
      </c>
      <c r="D115">
        <v>0</v>
      </c>
      <c r="E115">
        <v>0</v>
      </c>
      <c r="F115">
        <v>1</v>
      </c>
      <c r="G115">
        <v>0</v>
      </c>
      <c r="H115">
        <v>0</v>
      </c>
      <c r="I115">
        <v>1</v>
      </c>
      <c r="J115">
        <v>0</v>
      </c>
      <c r="K115">
        <v>0</v>
      </c>
      <c r="L115">
        <v>0</v>
      </c>
      <c r="M115" t="s">
        <v>428</v>
      </c>
      <c r="N115"/>
      <c r="O115"/>
      <c r="P115"/>
      <c r="Q115"/>
      <c r="R115"/>
      <c r="S115"/>
      <c r="T115"/>
    </row>
    <row r="116" spans="1:20" x14ac:dyDescent="0.35">
      <c r="A116">
        <v>70</v>
      </c>
      <c r="B116" t="s">
        <v>432</v>
      </c>
      <c r="C116">
        <v>264060</v>
      </c>
      <c r="D116">
        <v>264060</v>
      </c>
      <c r="E116">
        <v>254662</v>
      </c>
      <c r="F116">
        <v>1</v>
      </c>
      <c r="G116">
        <v>254662</v>
      </c>
      <c r="H116">
        <v>254662</v>
      </c>
      <c r="I116">
        <v>1</v>
      </c>
      <c r="J116">
        <v>254662</v>
      </c>
      <c r="K116">
        <v>0</v>
      </c>
      <c r="L116">
        <v>0</v>
      </c>
      <c r="M116" t="s">
        <v>428</v>
      </c>
      <c r="N116"/>
      <c r="O116"/>
      <c r="P116"/>
      <c r="Q116"/>
      <c r="R116"/>
      <c r="S116"/>
      <c r="T116"/>
    </row>
    <row r="117" spans="1:20" ht="14.5" customHeight="1" x14ac:dyDescent="0.35">
      <c r="A117">
        <v>80</v>
      </c>
      <c r="B117" t="s">
        <v>433</v>
      </c>
      <c r="C117">
        <v>0</v>
      </c>
      <c r="D117">
        <v>0</v>
      </c>
      <c r="E117">
        <v>0</v>
      </c>
      <c r="F117">
        <v>1</v>
      </c>
      <c r="G117">
        <v>0</v>
      </c>
      <c r="H117">
        <v>0</v>
      </c>
      <c r="I117">
        <v>1</v>
      </c>
      <c r="J117">
        <v>0</v>
      </c>
      <c r="K117">
        <v>0</v>
      </c>
      <c r="L117">
        <v>0</v>
      </c>
      <c r="M117" t="s">
        <v>428</v>
      </c>
      <c r="N117"/>
      <c r="O117"/>
      <c r="P117"/>
      <c r="Q117"/>
      <c r="R117"/>
      <c r="S117"/>
      <c r="T117"/>
    </row>
    <row r="118" spans="1:20" ht="14.5" customHeight="1" x14ac:dyDescent="0.35">
      <c r="A118">
        <v>90</v>
      </c>
      <c r="B118" t="s">
        <v>434</v>
      </c>
      <c r="C118">
        <v>168234.55</v>
      </c>
      <c r="D118">
        <v>168234.55</v>
      </c>
      <c r="E118">
        <v>184353.38</v>
      </c>
      <c r="F118">
        <v>1</v>
      </c>
      <c r="G118">
        <v>184353.38</v>
      </c>
      <c r="H118">
        <v>184353.38</v>
      </c>
      <c r="I118">
        <v>1</v>
      </c>
      <c r="J118">
        <v>184353.38</v>
      </c>
      <c r="K118">
        <v>0</v>
      </c>
      <c r="L118">
        <v>0</v>
      </c>
      <c r="M118" t="s">
        <v>428</v>
      </c>
      <c r="N118"/>
      <c r="O118"/>
      <c r="P118"/>
      <c r="Q118"/>
      <c r="R118"/>
      <c r="S118"/>
      <c r="T118"/>
    </row>
    <row r="119" spans="1:20" ht="14.5" customHeight="1" x14ac:dyDescent="0.35">
      <c r="A119">
        <v>100</v>
      </c>
      <c r="B119" t="s">
        <v>435</v>
      </c>
      <c r="C119">
        <v>46872.08</v>
      </c>
      <c r="D119">
        <v>46872.08</v>
      </c>
      <c r="E119">
        <v>38163.120000000003</v>
      </c>
      <c r="F119">
        <v>1</v>
      </c>
      <c r="G119">
        <v>38163.120000000003</v>
      </c>
      <c r="H119">
        <v>38163.120000000003</v>
      </c>
      <c r="I119">
        <v>1</v>
      </c>
      <c r="J119">
        <v>38163.120000000003</v>
      </c>
      <c r="K119">
        <v>0</v>
      </c>
      <c r="L119">
        <v>0</v>
      </c>
      <c r="M119" t="s">
        <v>428</v>
      </c>
      <c r="N119"/>
      <c r="O119"/>
      <c r="P119"/>
      <c r="Q119"/>
      <c r="R119"/>
      <c r="S119"/>
      <c r="T119"/>
    </row>
    <row r="120" spans="1:20" ht="14.5" customHeight="1" x14ac:dyDescent="0.35">
      <c r="A120">
        <v>110</v>
      </c>
      <c r="B120" t="s">
        <v>436</v>
      </c>
      <c r="C120">
        <v>215106.63</v>
      </c>
      <c r="D120">
        <v>215106.63</v>
      </c>
      <c r="E120">
        <v>222516.5</v>
      </c>
      <c r="F120">
        <v>1</v>
      </c>
      <c r="G120">
        <v>222516.5</v>
      </c>
      <c r="H120">
        <v>222516.5</v>
      </c>
      <c r="I120">
        <v>1</v>
      </c>
      <c r="J120">
        <v>222516.5</v>
      </c>
      <c r="K120">
        <v>0</v>
      </c>
      <c r="L120">
        <v>0</v>
      </c>
      <c r="M120" t="s">
        <v>428</v>
      </c>
      <c r="N120"/>
      <c r="O120"/>
      <c r="P120"/>
      <c r="Q120"/>
      <c r="R120"/>
      <c r="S120"/>
      <c r="T120"/>
    </row>
    <row r="121" spans="1:20" ht="14.5" customHeight="1" x14ac:dyDescent="0.35">
      <c r="A121">
        <v>120</v>
      </c>
      <c r="B121" t="s">
        <v>437</v>
      </c>
      <c r="C121">
        <v>48953.37</v>
      </c>
      <c r="D121">
        <v>48953.37</v>
      </c>
      <c r="E121">
        <v>32145.5</v>
      </c>
      <c r="F121">
        <v>1</v>
      </c>
      <c r="G121">
        <v>32145.5</v>
      </c>
      <c r="H121">
        <v>32145.5</v>
      </c>
      <c r="I121">
        <v>1</v>
      </c>
      <c r="J121">
        <v>32145.5</v>
      </c>
      <c r="K121">
        <v>0</v>
      </c>
      <c r="L121">
        <v>0</v>
      </c>
      <c r="M121" t="s">
        <v>428</v>
      </c>
      <c r="N121"/>
      <c r="O121"/>
      <c r="P121"/>
      <c r="Q121"/>
      <c r="R121"/>
      <c r="S121"/>
      <c r="T121"/>
    </row>
    <row r="122" spans="1:20" ht="14.5" customHeight="1" x14ac:dyDescent="0.35">
      <c r="A122">
        <v>130</v>
      </c>
      <c r="B122" t="s">
        <v>438</v>
      </c>
      <c r="C122">
        <v>-130.09</v>
      </c>
      <c r="D122">
        <v>-130.09</v>
      </c>
      <c r="E122">
        <v>-39.9</v>
      </c>
      <c r="F122">
        <v>1</v>
      </c>
      <c r="G122">
        <v>-39.9</v>
      </c>
      <c r="H122">
        <v>-39.9</v>
      </c>
      <c r="I122">
        <v>1</v>
      </c>
      <c r="J122">
        <v>-39.9</v>
      </c>
      <c r="K122">
        <v>0</v>
      </c>
      <c r="L122">
        <v>0</v>
      </c>
      <c r="M122" t="s">
        <v>428</v>
      </c>
      <c r="N122"/>
      <c r="O122"/>
      <c r="P122"/>
      <c r="Q122"/>
      <c r="R122"/>
      <c r="S122"/>
      <c r="T122"/>
    </row>
    <row r="123" spans="1:20" ht="14.5" customHeight="1" x14ac:dyDescent="0.35">
      <c r="A123">
        <v>135</v>
      </c>
      <c r="B123" t="s">
        <v>439</v>
      </c>
      <c r="C123">
        <v>0</v>
      </c>
      <c r="D123">
        <v>0</v>
      </c>
      <c r="E123">
        <v>0</v>
      </c>
      <c r="F123">
        <v>1</v>
      </c>
      <c r="G123">
        <v>0</v>
      </c>
      <c r="H123">
        <v>0</v>
      </c>
      <c r="I123">
        <v>1</v>
      </c>
      <c r="J123">
        <v>0</v>
      </c>
      <c r="K123">
        <v>0</v>
      </c>
      <c r="L123">
        <v>0</v>
      </c>
      <c r="M123" t="s">
        <v>428</v>
      </c>
      <c r="N123"/>
      <c r="O123"/>
      <c r="P123"/>
      <c r="Q123"/>
      <c r="R123"/>
      <c r="S123"/>
      <c r="T123"/>
    </row>
    <row r="124" spans="1:20" ht="14.5" customHeight="1" x14ac:dyDescent="0.35">
      <c r="A124">
        <v>140</v>
      </c>
      <c r="B124" t="s">
        <v>440</v>
      </c>
      <c r="C124">
        <v>1534.25</v>
      </c>
      <c r="D124">
        <v>1534.25</v>
      </c>
      <c r="E124">
        <v>1534.25</v>
      </c>
      <c r="F124">
        <v>1</v>
      </c>
      <c r="G124">
        <v>1534.25</v>
      </c>
      <c r="H124">
        <v>1534.25</v>
      </c>
      <c r="I124">
        <v>1</v>
      </c>
      <c r="J124">
        <v>1534.25</v>
      </c>
      <c r="K124">
        <v>0</v>
      </c>
      <c r="L124">
        <v>0</v>
      </c>
      <c r="M124" t="s">
        <v>428</v>
      </c>
      <c r="N124"/>
      <c r="O124"/>
      <c r="P124"/>
      <c r="Q124"/>
      <c r="R124"/>
      <c r="S124"/>
      <c r="T124"/>
    </row>
    <row r="125" spans="1:20" ht="14.5" customHeight="1" x14ac:dyDescent="0.35">
      <c r="A125">
        <v>150</v>
      </c>
      <c r="B125" t="s">
        <v>441</v>
      </c>
      <c r="C125">
        <v>0.08</v>
      </c>
      <c r="D125">
        <v>0.08</v>
      </c>
      <c r="E125">
        <v>0.04</v>
      </c>
      <c r="F125">
        <v>1</v>
      </c>
      <c r="G125">
        <v>0.04</v>
      </c>
      <c r="H125">
        <v>0.04</v>
      </c>
      <c r="I125">
        <v>1</v>
      </c>
      <c r="J125">
        <v>0.04</v>
      </c>
      <c r="K125">
        <v>0</v>
      </c>
      <c r="L125">
        <v>0</v>
      </c>
      <c r="M125" t="s">
        <v>428</v>
      </c>
      <c r="N125"/>
      <c r="O125"/>
      <c r="P125"/>
      <c r="Q125"/>
      <c r="R125"/>
      <c r="S125"/>
      <c r="T125"/>
    </row>
    <row r="126" spans="1:20" ht="14.5" customHeight="1" x14ac:dyDescent="0.35">
      <c r="A126">
        <v>155</v>
      </c>
      <c r="B126" t="s">
        <v>442</v>
      </c>
      <c r="C126">
        <v>0</v>
      </c>
      <c r="D126">
        <v>0</v>
      </c>
      <c r="E126">
        <v>0</v>
      </c>
      <c r="F126">
        <v>1</v>
      </c>
      <c r="G126">
        <v>0</v>
      </c>
      <c r="H126">
        <v>0</v>
      </c>
      <c r="I126">
        <v>1</v>
      </c>
      <c r="J126">
        <v>0</v>
      </c>
      <c r="K126">
        <v>0</v>
      </c>
      <c r="L126">
        <v>0</v>
      </c>
      <c r="M126" t="s">
        <v>428</v>
      </c>
      <c r="N126"/>
      <c r="O126"/>
      <c r="P126"/>
      <c r="Q126"/>
      <c r="R126"/>
      <c r="S126"/>
      <c r="T126"/>
    </row>
    <row r="127" spans="1:20" ht="14.5" customHeight="1" x14ac:dyDescent="0.35">
      <c r="A127">
        <v>160</v>
      </c>
      <c r="B127" t="s">
        <v>443</v>
      </c>
      <c r="C127">
        <v>1404.08</v>
      </c>
      <c r="D127">
        <v>1404.08</v>
      </c>
      <c r="E127">
        <v>1494.31</v>
      </c>
      <c r="F127">
        <v>1</v>
      </c>
      <c r="G127">
        <v>1494.31</v>
      </c>
      <c r="H127">
        <v>1494.31</v>
      </c>
      <c r="I127">
        <v>1</v>
      </c>
      <c r="J127">
        <v>1494.31</v>
      </c>
      <c r="K127">
        <v>0</v>
      </c>
      <c r="L127">
        <v>0</v>
      </c>
      <c r="M127" t="s">
        <v>428</v>
      </c>
      <c r="N127"/>
      <c r="O127"/>
      <c r="P127"/>
      <c r="Q127"/>
      <c r="R127"/>
      <c r="S127"/>
      <c r="T127"/>
    </row>
    <row r="128" spans="1:20" ht="14.5" customHeight="1" x14ac:dyDescent="0.35">
      <c r="A128">
        <v>170</v>
      </c>
      <c r="B128" t="s">
        <v>444</v>
      </c>
      <c r="C128">
        <v>47549.29</v>
      </c>
      <c r="D128">
        <v>47549.29</v>
      </c>
      <c r="E128">
        <v>30651.19</v>
      </c>
      <c r="F128">
        <v>1</v>
      </c>
      <c r="G128">
        <v>30651.19</v>
      </c>
      <c r="H128">
        <v>30651.19</v>
      </c>
      <c r="I128">
        <v>1</v>
      </c>
      <c r="J128">
        <v>30651.19</v>
      </c>
      <c r="K128">
        <v>0</v>
      </c>
      <c r="L128">
        <v>0</v>
      </c>
      <c r="M128" t="s">
        <v>428</v>
      </c>
      <c r="N128"/>
      <c r="O128"/>
      <c r="P128"/>
      <c r="Q128"/>
      <c r="R128"/>
      <c r="S128"/>
      <c r="T128"/>
    </row>
    <row r="129" spans="1:20" x14ac:dyDescent="0.35">
      <c r="A129">
        <v>180</v>
      </c>
      <c r="B129" t="s">
        <v>445</v>
      </c>
      <c r="C129">
        <v>30776</v>
      </c>
      <c r="D129">
        <v>30776</v>
      </c>
      <c r="E129">
        <v>30776</v>
      </c>
      <c r="F129">
        <v>1</v>
      </c>
      <c r="G129">
        <v>30776</v>
      </c>
      <c r="H129">
        <v>30776</v>
      </c>
      <c r="I129">
        <v>1</v>
      </c>
      <c r="J129">
        <v>30776</v>
      </c>
      <c r="K129">
        <v>0</v>
      </c>
      <c r="L129">
        <v>0</v>
      </c>
      <c r="M129" t="s">
        <v>428</v>
      </c>
      <c r="N129"/>
      <c r="O129"/>
      <c r="P129"/>
      <c r="Q129"/>
      <c r="R129"/>
      <c r="S129"/>
      <c r="T129"/>
    </row>
    <row r="130" spans="1:20" x14ac:dyDescent="0.35">
      <c r="A130">
        <v>190</v>
      </c>
      <c r="B130" t="s">
        <v>446</v>
      </c>
      <c r="C130">
        <v>0</v>
      </c>
      <c r="D130">
        <v>0</v>
      </c>
      <c r="E130">
        <v>0</v>
      </c>
      <c r="F130">
        <v>1</v>
      </c>
      <c r="G130">
        <v>0</v>
      </c>
      <c r="H130">
        <v>0</v>
      </c>
      <c r="I130">
        <v>1</v>
      </c>
      <c r="J130">
        <v>0</v>
      </c>
      <c r="K130">
        <v>0</v>
      </c>
      <c r="L130">
        <v>0</v>
      </c>
      <c r="M130" t="s">
        <v>428</v>
      </c>
      <c r="N130"/>
      <c r="O130"/>
      <c r="P130"/>
      <c r="Q130"/>
      <c r="R130"/>
      <c r="S130"/>
      <c r="T130"/>
    </row>
    <row r="131" spans="1:20" ht="14.5" customHeight="1" x14ac:dyDescent="0.35">
      <c r="A131">
        <v>200</v>
      </c>
      <c r="B131" t="s">
        <v>447</v>
      </c>
      <c r="C131">
        <v>16773.29</v>
      </c>
      <c r="D131">
        <v>16773.29</v>
      </c>
      <c r="E131">
        <v>-124.81</v>
      </c>
      <c r="F131">
        <v>1</v>
      </c>
      <c r="G131">
        <v>-124.81</v>
      </c>
      <c r="H131">
        <v>-124.81</v>
      </c>
      <c r="I131">
        <v>1</v>
      </c>
      <c r="J131">
        <v>-124.81</v>
      </c>
      <c r="K131">
        <v>0</v>
      </c>
      <c r="L131">
        <v>0</v>
      </c>
      <c r="M131" t="s">
        <v>428</v>
      </c>
      <c r="N131"/>
      <c r="O131"/>
      <c r="P131"/>
      <c r="Q131"/>
      <c r="R131"/>
      <c r="S131"/>
      <c r="T131"/>
    </row>
    <row r="132" spans="1:20" ht="14.5" customHeight="1" x14ac:dyDescent="0.35">
      <c r="A132">
        <v>210</v>
      </c>
      <c r="B132" t="s">
        <v>448</v>
      </c>
      <c r="C132">
        <v>95825.45</v>
      </c>
      <c r="D132">
        <v>95825.45</v>
      </c>
      <c r="E132">
        <v>70308.62</v>
      </c>
      <c r="F132">
        <v>1</v>
      </c>
      <c r="G132">
        <v>70308.62</v>
      </c>
      <c r="H132">
        <v>70308.62</v>
      </c>
      <c r="I132">
        <v>1</v>
      </c>
      <c r="J132">
        <v>70308.62</v>
      </c>
      <c r="K132">
        <v>0</v>
      </c>
      <c r="L132">
        <v>0</v>
      </c>
      <c r="M132" t="s">
        <v>428</v>
      </c>
      <c r="N132"/>
      <c r="O132"/>
      <c r="P132"/>
      <c r="Q132"/>
      <c r="R132"/>
      <c r="S132"/>
      <c r="T132"/>
    </row>
    <row r="133" spans="1:20" s="205" customFormat="1" x14ac:dyDescent="0.35">
      <c r="A133" t="s">
        <v>478</v>
      </c>
      <c r="B133" t="s">
        <v>416</v>
      </c>
      <c r="C133" t="s">
        <v>417</v>
      </c>
      <c r="D133" t="s">
        <v>418</v>
      </c>
      <c r="E133" t="s">
        <v>419</v>
      </c>
      <c r="F133" t="s">
        <v>450</v>
      </c>
      <c r="G133" t="s">
        <v>479</v>
      </c>
      <c r="H133" t="s">
        <v>480</v>
      </c>
      <c r="I133" t="s">
        <v>481</v>
      </c>
      <c r="J133" t="s">
        <v>482</v>
      </c>
      <c r="K133" t="s">
        <v>483</v>
      </c>
      <c r="L133" t="s">
        <v>484</v>
      </c>
      <c r="M133" t="s">
        <v>485</v>
      </c>
      <c r="N133" t="s">
        <v>122</v>
      </c>
      <c r="O133" t="s">
        <v>123</v>
      </c>
      <c r="P133" t="s">
        <v>124</v>
      </c>
      <c r="Q133" t="s">
        <v>125</v>
      </c>
      <c r="R133" t="s">
        <v>126</v>
      </c>
      <c r="S133" t="s">
        <v>127</v>
      </c>
      <c r="T133" t="s">
        <v>121</v>
      </c>
    </row>
    <row r="134" spans="1:20" ht="14.5" customHeight="1" x14ac:dyDescent="0.35">
      <c r="A134">
        <v>30</v>
      </c>
      <c r="B134" t="s">
        <v>427</v>
      </c>
      <c r="C134">
        <v>0</v>
      </c>
      <c r="D134">
        <v>0</v>
      </c>
      <c r="E134">
        <v>184970.22</v>
      </c>
      <c r="F134">
        <v>1</v>
      </c>
      <c r="G134">
        <v>184970.22</v>
      </c>
      <c r="H134">
        <v>184970.22</v>
      </c>
      <c r="I134">
        <v>1</v>
      </c>
      <c r="J134">
        <v>184970.22</v>
      </c>
      <c r="K134">
        <v>0</v>
      </c>
      <c r="L134">
        <v>0</v>
      </c>
      <c r="M134">
        <v>0</v>
      </c>
      <c r="N134">
        <v>0</v>
      </c>
      <c r="O134">
        <v>-184970.22</v>
      </c>
      <c r="P134">
        <v>-184970.22</v>
      </c>
      <c r="Q134">
        <v>0</v>
      </c>
      <c r="R134">
        <v>76482.81</v>
      </c>
      <c r="S134">
        <v>0</v>
      </c>
      <c r="T134" t="s">
        <v>428</v>
      </c>
    </row>
    <row r="135" spans="1:20" ht="14.5" customHeight="1" x14ac:dyDescent="0.35">
      <c r="A135">
        <v>40</v>
      </c>
      <c r="B135" t="s">
        <v>429</v>
      </c>
      <c r="C135">
        <v>0</v>
      </c>
      <c r="D135">
        <v>0</v>
      </c>
      <c r="E135">
        <v>0</v>
      </c>
      <c r="F135">
        <v>1</v>
      </c>
      <c r="G135">
        <v>0</v>
      </c>
      <c r="H135">
        <v>0</v>
      </c>
      <c r="I135">
        <v>1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 t="s">
        <v>428</v>
      </c>
    </row>
    <row r="136" spans="1:20" x14ac:dyDescent="0.35">
      <c r="A136">
        <v>50</v>
      </c>
      <c r="B136" t="s">
        <v>430</v>
      </c>
      <c r="C136">
        <v>0</v>
      </c>
      <c r="D136">
        <v>0</v>
      </c>
      <c r="E136">
        <v>184970.22</v>
      </c>
      <c r="F136">
        <v>1</v>
      </c>
      <c r="G136">
        <v>184970.22</v>
      </c>
      <c r="H136">
        <v>184970.22</v>
      </c>
      <c r="I136">
        <v>1</v>
      </c>
      <c r="J136">
        <v>184970.22</v>
      </c>
      <c r="K136">
        <v>0</v>
      </c>
      <c r="L136">
        <v>0</v>
      </c>
      <c r="M136">
        <v>0</v>
      </c>
      <c r="N136">
        <v>0</v>
      </c>
      <c r="O136">
        <v>-184970.22</v>
      </c>
      <c r="P136">
        <v>-184970.22</v>
      </c>
      <c r="Q136">
        <v>0</v>
      </c>
      <c r="R136">
        <v>76482.81</v>
      </c>
      <c r="S136">
        <v>0</v>
      </c>
      <c r="T136" t="s">
        <v>428</v>
      </c>
    </row>
    <row r="137" spans="1:20" x14ac:dyDescent="0.35">
      <c r="A137">
        <v>60</v>
      </c>
      <c r="B137" t="s">
        <v>431</v>
      </c>
      <c r="C137">
        <v>0</v>
      </c>
      <c r="D137">
        <v>0</v>
      </c>
      <c r="E137">
        <v>171995.14</v>
      </c>
      <c r="F137">
        <v>1</v>
      </c>
      <c r="G137">
        <v>171995.14</v>
      </c>
      <c r="H137">
        <v>171995.14</v>
      </c>
      <c r="I137">
        <v>1</v>
      </c>
      <c r="J137">
        <v>171995.14</v>
      </c>
      <c r="K137">
        <v>0</v>
      </c>
      <c r="L137">
        <v>0</v>
      </c>
      <c r="M137">
        <v>0</v>
      </c>
      <c r="N137">
        <v>0</v>
      </c>
      <c r="O137">
        <v>-171995.14</v>
      </c>
      <c r="P137">
        <v>-171995.14</v>
      </c>
      <c r="Q137">
        <v>0</v>
      </c>
      <c r="R137">
        <v>56831.199999999997</v>
      </c>
      <c r="S137">
        <v>0</v>
      </c>
      <c r="T137" t="s">
        <v>428</v>
      </c>
    </row>
    <row r="138" spans="1:20" x14ac:dyDescent="0.35">
      <c r="A138">
        <v>70</v>
      </c>
      <c r="B138" t="s">
        <v>432</v>
      </c>
      <c r="C138">
        <v>0</v>
      </c>
      <c r="D138">
        <v>0</v>
      </c>
      <c r="E138">
        <v>12975.08</v>
      </c>
      <c r="F138">
        <v>1</v>
      </c>
      <c r="G138">
        <v>12975.08</v>
      </c>
      <c r="H138">
        <v>12975.08</v>
      </c>
      <c r="I138">
        <v>1</v>
      </c>
      <c r="J138">
        <v>12975.08</v>
      </c>
      <c r="K138">
        <v>0</v>
      </c>
      <c r="L138">
        <v>0</v>
      </c>
      <c r="M138">
        <v>0</v>
      </c>
      <c r="N138">
        <v>0</v>
      </c>
      <c r="O138">
        <v>-12975.08</v>
      </c>
      <c r="P138">
        <v>-12975.08</v>
      </c>
      <c r="Q138">
        <v>0</v>
      </c>
      <c r="R138">
        <v>19651.61</v>
      </c>
      <c r="S138">
        <v>0</v>
      </c>
      <c r="T138" t="s">
        <v>428</v>
      </c>
    </row>
    <row r="139" spans="1:20" ht="14.5" customHeight="1" x14ac:dyDescent="0.35">
      <c r="A139">
        <v>80</v>
      </c>
      <c r="B139" t="s">
        <v>433</v>
      </c>
      <c r="C139">
        <v>675</v>
      </c>
      <c r="D139">
        <v>675</v>
      </c>
      <c r="E139">
        <v>45443.76</v>
      </c>
      <c r="F139">
        <v>1</v>
      </c>
      <c r="G139">
        <v>45443.76</v>
      </c>
      <c r="H139">
        <v>45443.76</v>
      </c>
      <c r="I139">
        <v>1</v>
      </c>
      <c r="J139">
        <v>45443.76</v>
      </c>
      <c r="K139">
        <v>0</v>
      </c>
      <c r="L139">
        <v>0</v>
      </c>
      <c r="M139">
        <v>675</v>
      </c>
      <c r="N139">
        <v>675</v>
      </c>
      <c r="O139">
        <v>-44768.76</v>
      </c>
      <c r="P139">
        <v>-44768.76</v>
      </c>
      <c r="Q139">
        <v>0</v>
      </c>
      <c r="R139">
        <v>44454.3</v>
      </c>
      <c r="S139">
        <v>0</v>
      </c>
      <c r="T139" t="s">
        <v>428</v>
      </c>
    </row>
    <row r="140" spans="1:20" ht="14.5" customHeight="1" x14ac:dyDescent="0.35">
      <c r="A140">
        <v>90</v>
      </c>
      <c r="B140" t="s">
        <v>434</v>
      </c>
      <c r="C140">
        <v>20104.099999999999</v>
      </c>
      <c r="D140">
        <v>20104.099999999999</v>
      </c>
      <c r="E140">
        <v>84821.49</v>
      </c>
      <c r="F140">
        <v>1</v>
      </c>
      <c r="G140">
        <v>84821.49</v>
      </c>
      <c r="H140">
        <v>84821.49</v>
      </c>
      <c r="I140">
        <v>1</v>
      </c>
      <c r="J140">
        <v>84821.49</v>
      </c>
      <c r="K140">
        <v>0</v>
      </c>
      <c r="L140">
        <v>0</v>
      </c>
      <c r="M140">
        <v>20104.099999999999</v>
      </c>
      <c r="N140">
        <v>20104.099999999999</v>
      </c>
      <c r="O140">
        <v>-64717.39</v>
      </c>
      <c r="P140">
        <v>-64717.39</v>
      </c>
      <c r="Q140">
        <v>0</v>
      </c>
      <c r="R140">
        <v>89480.42</v>
      </c>
      <c r="S140">
        <v>0</v>
      </c>
      <c r="T140" t="s">
        <v>428</v>
      </c>
    </row>
    <row r="141" spans="1:20" ht="14.5" customHeight="1" x14ac:dyDescent="0.35">
      <c r="A141">
        <v>100</v>
      </c>
      <c r="B141" t="s">
        <v>435</v>
      </c>
      <c r="C141">
        <v>0</v>
      </c>
      <c r="D141">
        <v>0</v>
      </c>
      <c r="E141">
        <v>29133.18</v>
      </c>
      <c r="F141">
        <v>1</v>
      </c>
      <c r="G141">
        <v>29133.18</v>
      </c>
      <c r="H141">
        <v>29133.18</v>
      </c>
      <c r="I141">
        <v>1</v>
      </c>
      <c r="J141">
        <v>29133.18</v>
      </c>
      <c r="K141">
        <v>0</v>
      </c>
      <c r="L141">
        <v>0</v>
      </c>
      <c r="M141">
        <v>0</v>
      </c>
      <c r="N141">
        <v>0</v>
      </c>
      <c r="O141">
        <v>-29133.18</v>
      </c>
      <c r="P141">
        <v>-29133.18</v>
      </c>
      <c r="Q141">
        <v>0</v>
      </c>
      <c r="R141">
        <v>29133.18</v>
      </c>
      <c r="S141">
        <v>0</v>
      </c>
      <c r="T141" t="s">
        <v>428</v>
      </c>
    </row>
    <row r="142" spans="1:20" ht="14.5" customHeight="1" x14ac:dyDescent="0.35">
      <c r="A142">
        <v>110</v>
      </c>
      <c r="B142" t="s">
        <v>436</v>
      </c>
      <c r="C142">
        <v>20779.099999999999</v>
      </c>
      <c r="D142">
        <v>20779.099999999999</v>
      </c>
      <c r="E142">
        <v>159398.43</v>
      </c>
      <c r="F142">
        <v>1</v>
      </c>
      <c r="G142">
        <v>159398.43</v>
      </c>
      <c r="H142">
        <v>159398.43</v>
      </c>
      <c r="I142">
        <v>1</v>
      </c>
      <c r="J142">
        <v>159398.43</v>
      </c>
      <c r="K142">
        <v>0</v>
      </c>
      <c r="L142">
        <v>0</v>
      </c>
      <c r="M142">
        <v>20779.099999999999</v>
      </c>
      <c r="N142">
        <v>20779.099999999999</v>
      </c>
      <c r="O142">
        <v>-138619.32999999999</v>
      </c>
      <c r="P142">
        <v>-138619.32999999999</v>
      </c>
      <c r="Q142">
        <v>0</v>
      </c>
      <c r="R142">
        <v>163067.9</v>
      </c>
      <c r="S142">
        <v>0</v>
      </c>
      <c r="T142" t="s">
        <v>428</v>
      </c>
    </row>
    <row r="143" spans="1:20" ht="14.5" customHeight="1" x14ac:dyDescent="0.35">
      <c r="A143">
        <v>120</v>
      </c>
      <c r="B143" t="s">
        <v>437</v>
      </c>
      <c r="C143">
        <v>-20779.099999999999</v>
      </c>
      <c r="D143">
        <v>-20779.099999999999</v>
      </c>
      <c r="E143">
        <v>-146423.35</v>
      </c>
      <c r="F143">
        <v>1</v>
      </c>
      <c r="G143">
        <v>-146423.35</v>
      </c>
      <c r="H143">
        <v>-146423.35</v>
      </c>
      <c r="I143">
        <v>1</v>
      </c>
      <c r="J143">
        <v>-146423.35</v>
      </c>
      <c r="K143">
        <v>0</v>
      </c>
      <c r="L143">
        <v>0</v>
      </c>
      <c r="M143">
        <v>-20779.099999999999</v>
      </c>
      <c r="N143">
        <v>-20779.099999999999</v>
      </c>
      <c r="O143">
        <v>125644.25</v>
      </c>
      <c r="P143">
        <v>125644.25</v>
      </c>
      <c r="Q143">
        <v>0</v>
      </c>
      <c r="R143">
        <v>-143416.29</v>
      </c>
      <c r="S143">
        <v>0</v>
      </c>
      <c r="T143" t="s">
        <v>428</v>
      </c>
    </row>
    <row r="144" spans="1:20" ht="14.5" customHeight="1" x14ac:dyDescent="0.35">
      <c r="A144">
        <v>130</v>
      </c>
      <c r="B144" t="s">
        <v>438</v>
      </c>
      <c r="C144">
        <v>0</v>
      </c>
      <c r="D144">
        <v>0</v>
      </c>
      <c r="E144">
        <v>0</v>
      </c>
      <c r="F144">
        <v>1</v>
      </c>
      <c r="G144">
        <v>0</v>
      </c>
      <c r="H144">
        <v>0</v>
      </c>
      <c r="I144">
        <v>1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 t="s">
        <v>428</v>
      </c>
    </row>
    <row r="145" spans="1:20" ht="14.5" customHeight="1" x14ac:dyDescent="0.35">
      <c r="A145">
        <v>135</v>
      </c>
      <c r="B145" t="s">
        <v>439</v>
      </c>
      <c r="C145">
        <v>0</v>
      </c>
      <c r="D145">
        <v>0</v>
      </c>
      <c r="E145">
        <v>-125584.13</v>
      </c>
      <c r="F145">
        <v>1</v>
      </c>
      <c r="G145">
        <v>-125584.13</v>
      </c>
      <c r="H145">
        <v>-125584.13</v>
      </c>
      <c r="I145">
        <v>1</v>
      </c>
      <c r="J145">
        <v>-125584.13</v>
      </c>
      <c r="K145">
        <v>0</v>
      </c>
      <c r="L145">
        <v>0</v>
      </c>
      <c r="M145">
        <v>0</v>
      </c>
      <c r="N145">
        <v>0</v>
      </c>
      <c r="O145">
        <v>125584.13</v>
      </c>
      <c r="P145">
        <v>125584.13</v>
      </c>
      <c r="Q145">
        <v>0</v>
      </c>
      <c r="R145">
        <v>-34419.910000000003</v>
      </c>
      <c r="S145">
        <v>0</v>
      </c>
      <c r="T145" t="s">
        <v>428</v>
      </c>
    </row>
    <row r="146" spans="1:20" ht="14.5" customHeight="1" x14ac:dyDescent="0.35">
      <c r="A146">
        <v>140</v>
      </c>
      <c r="B146" t="s">
        <v>440</v>
      </c>
      <c r="C146">
        <v>0</v>
      </c>
      <c r="D146">
        <v>0</v>
      </c>
      <c r="E146">
        <v>0</v>
      </c>
      <c r="F146">
        <v>1</v>
      </c>
      <c r="G146">
        <v>0</v>
      </c>
      <c r="H146">
        <v>0</v>
      </c>
      <c r="I146">
        <v>1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 t="s">
        <v>428</v>
      </c>
    </row>
    <row r="147" spans="1:20" ht="14.5" customHeight="1" x14ac:dyDescent="0.35">
      <c r="A147">
        <v>150</v>
      </c>
      <c r="B147" t="s">
        <v>441</v>
      </c>
      <c r="C147">
        <v>0</v>
      </c>
      <c r="D147">
        <v>0</v>
      </c>
      <c r="E147">
        <v>3.26</v>
      </c>
      <c r="F147">
        <v>1</v>
      </c>
      <c r="G147">
        <v>3.26</v>
      </c>
      <c r="H147">
        <v>3.26</v>
      </c>
      <c r="I147">
        <v>1</v>
      </c>
      <c r="J147">
        <v>3.26</v>
      </c>
      <c r="K147">
        <v>0</v>
      </c>
      <c r="L147">
        <v>0</v>
      </c>
      <c r="M147">
        <v>0</v>
      </c>
      <c r="N147">
        <v>0</v>
      </c>
      <c r="O147">
        <v>-3.26</v>
      </c>
      <c r="P147">
        <v>-3.26</v>
      </c>
      <c r="Q147">
        <v>0</v>
      </c>
      <c r="R147">
        <v>0.41</v>
      </c>
      <c r="S147">
        <v>0</v>
      </c>
      <c r="T147" t="s">
        <v>428</v>
      </c>
    </row>
    <row r="148" spans="1:20" ht="14.5" customHeight="1" x14ac:dyDescent="0.35">
      <c r="A148">
        <v>155</v>
      </c>
      <c r="B148" t="s">
        <v>442</v>
      </c>
      <c r="C148">
        <v>0</v>
      </c>
      <c r="D148">
        <v>0</v>
      </c>
      <c r="E148">
        <v>0</v>
      </c>
      <c r="F148">
        <v>1</v>
      </c>
      <c r="G148">
        <v>0</v>
      </c>
      <c r="H148">
        <v>0</v>
      </c>
      <c r="I148">
        <v>1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 t="s">
        <v>428</v>
      </c>
    </row>
    <row r="149" spans="1:20" ht="14.5" customHeight="1" x14ac:dyDescent="0.35">
      <c r="A149">
        <v>160</v>
      </c>
      <c r="B149" t="s">
        <v>443</v>
      </c>
      <c r="C149">
        <v>0</v>
      </c>
      <c r="D149">
        <v>0</v>
      </c>
      <c r="E149">
        <v>-125587.39</v>
      </c>
      <c r="F149">
        <v>1</v>
      </c>
      <c r="G149">
        <v>-125587.39</v>
      </c>
      <c r="H149">
        <v>-125587.39</v>
      </c>
      <c r="I149">
        <v>1</v>
      </c>
      <c r="J149">
        <v>-125587.39</v>
      </c>
      <c r="K149">
        <v>0</v>
      </c>
      <c r="L149">
        <v>0</v>
      </c>
      <c r="M149">
        <v>0</v>
      </c>
      <c r="N149">
        <v>0</v>
      </c>
      <c r="O149">
        <v>125587.39</v>
      </c>
      <c r="P149">
        <v>125587.39</v>
      </c>
      <c r="Q149">
        <v>0</v>
      </c>
      <c r="R149">
        <v>-34420.32</v>
      </c>
      <c r="S149">
        <v>0</v>
      </c>
      <c r="T149" t="s">
        <v>428</v>
      </c>
    </row>
    <row r="150" spans="1:20" ht="14.5" customHeight="1" x14ac:dyDescent="0.35">
      <c r="A150">
        <v>170</v>
      </c>
      <c r="B150" t="s">
        <v>444</v>
      </c>
      <c r="C150">
        <v>-20779.099999999999</v>
      </c>
      <c r="D150">
        <v>-20779.099999999999</v>
      </c>
      <c r="E150">
        <v>-20835.96</v>
      </c>
      <c r="F150">
        <v>1</v>
      </c>
      <c r="G150">
        <v>-20835.96</v>
      </c>
      <c r="H150">
        <v>-20835.96</v>
      </c>
      <c r="I150">
        <v>1</v>
      </c>
      <c r="J150">
        <v>-20835.96</v>
      </c>
      <c r="K150">
        <v>0</v>
      </c>
      <c r="L150">
        <v>0</v>
      </c>
      <c r="M150">
        <v>-20779.099999999999</v>
      </c>
      <c r="N150">
        <v>-20779.099999999999</v>
      </c>
      <c r="O150">
        <v>56.86</v>
      </c>
      <c r="P150">
        <v>56.86</v>
      </c>
      <c r="Q150">
        <v>0</v>
      </c>
      <c r="R150">
        <v>-108995.97</v>
      </c>
      <c r="S150">
        <v>0</v>
      </c>
      <c r="T150" t="s">
        <v>428</v>
      </c>
    </row>
    <row r="151" spans="1:20" x14ac:dyDescent="0.35">
      <c r="A151">
        <v>180</v>
      </c>
      <c r="B151" t="s">
        <v>445</v>
      </c>
      <c r="C151">
        <v>0</v>
      </c>
      <c r="D151">
        <v>0</v>
      </c>
      <c r="E151">
        <v>0</v>
      </c>
      <c r="F151">
        <v>1</v>
      </c>
      <c r="G151">
        <v>0</v>
      </c>
      <c r="H151">
        <v>0</v>
      </c>
      <c r="I151">
        <v>1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 t="s">
        <v>428</v>
      </c>
    </row>
    <row r="152" spans="1:20" x14ac:dyDescent="0.35">
      <c r="A152">
        <v>190</v>
      </c>
      <c r="B152" t="s">
        <v>446</v>
      </c>
      <c r="C152">
        <v>0</v>
      </c>
      <c r="D152">
        <v>0</v>
      </c>
      <c r="E152">
        <v>0</v>
      </c>
      <c r="F152">
        <v>1</v>
      </c>
      <c r="G152">
        <v>0</v>
      </c>
      <c r="H152">
        <v>0</v>
      </c>
      <c r="I152">
        <v>1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 t="s">
        <v>428</v>
      </c>
    </row>
    <row r="153" spans="1:20" ht="14.5" customHeight="1" x14ac:dyDescent="0.35">
      <c r="A153">
        <v>200</v>
      </c>
      <c r="B153" t="s">
        <v>447</v>
      </c>
      <c r="C153">
        <v>-20779.099999999999</v>
      </c>
      <c r="D153">
        <v>-20779.099999999999</v>
      </c>
      <c r="E153">
        <v>-20835.96</v>
      </c>
      <c r="F153">
        <v>1</v>
      </c>
      <c r="G153">
        <v>-20835.96</v>
      </c>
      <c r="H153">
        <v>-20835.96</v>
      </c>
      <c r="I153">
        <v>1</v>
      </c>
      <c r="J153">
        <v>-20835.96</v>
      </c>
      <c r="K153">
        <v>0</v>
      </c>
      <c r="L153">
        <v>0</v>
      </c>
      <c r="M153">
        <v>-20779.099999999999</v>
      </c>
      <c r="N153">
        <v>-20779.099999999999</v>
      </c>
      <c r="O153">
        <v>56.86</v>
      </c>
      <c r="P153">
        <v>56.86</v>
      </c>
      <c r="Q153">
        <v>0</v>
      </c>
      <c r="R153">
        <v>-108995.97</v>
      </c>
      <c r="S153">
        <v>0</v>
      </c>
      <c r="T153" t="s">
        <v>428</v>
      </c>
    </row>
    <row r="154" spans="1:20" ht="14.5" customHeight="1" x14ac:dyDescent="0.35">
      <c r="A154">
        <v>210</v>
      </c>
      <c r="B154" t="s">
        <v>448</v>
      </c>
      <c r="C154">
        <v>-20779.099999999999</v>
      </c>
      <c r="D154">
        <v>-20779.099999999999</v>
      </c>
      <c r="E154">
        <v>-117290.17</v>
      </c>
      <c r="F154">
        <v>1</v>
      </c>
      <c r="G154">
        <v>-117290.17</v>
      </c>
      <c r="H154">
        <v>-117290.17</v>
      </c>
      <c r="I154">
        <v>1</v>
      </c>
      <c r="J154">
        <v>-117290.17</v>
      </c>
      <c r="K154">
        <v>0</v>
      </c>
      <c r="L154">
        <v>0</v>
      </c>
      <c r="M154">
        <v>-20779.099999999999</v>
      </c>
      <c r="N154">
        <v>-20779.099999999999</v>
      </c>
      <c r="O154">
        <v>96511.07</v>
      </c>
      <c r="P154">
        <v>96511.07</v>
      </c>
      <c r="Q154">
        <v>0</v>
      </c>
      <c r="R154">
        <v>-114283.11</v>
      </c>
      <c r="S154">
        <v>0</v>
      </c>
      <c r="T154" t="s">
        <v>428</v>
      </c>
    </row>
    <row r="155" spans="1:20" s="205" customFormat="1" x14ac:dyDescent="0.35">
      <c r="A155" t="s">
        <v>486</v>
      </c>
      <c r="B155" t="s">
        <v>416</v>
      </c>
      <c r="C155" t="s">
        <v>417</v>
      </c>
      <c r="D155" t="s">
        <v>418</v>
      </c>
      <c r="E155" t="s">
        <v>419</v>
      </c>
      <c r="F155" t="s">
        <v>450</v>
      </c>
      <c r="G155" t="s">
        <v>479</v>
      </c>
      <c r="H155" t="s">
        <v>480</v>
      </c>
      <c r="I155" t="s">
        <v>481</v>
      </c>
      <c r="J155" t="s">
        <v>482</v>
      </c>
      <c r="K155" t="s">
        <v>483</v>
      </c>
      <c r="L155" t="s">
        <v>484</v>
      </c>
      <c r="M155" t="s">
        <v>485</v>
      </c>
      <c r="N155" t="s">
        <v>122</v>
      </c>
      <c r="O155" t="s">
        <v>123</v>
      </c>
      <c r="P155" t="s">
        <v>124</v>
      </c>
      <c r="Q155" t="s">
        <v>125</v>
      </c>
      <c r="R155" t="s">
        <v>126</v>
      </c>
      <c r="S155" t="s">
        <v>127</v>
      </c>
      <c r="T155" t="s">
        <v>121</v>
      </c>
    </row>
    <row r="156" spans="1:20" ht="14.5" customHeight="1" x14ac:dyDescent="0.35">
      <c r="A156">
        <v>30</v>
      </c>
      <c r="B156" t="s">
        <v>427</v>
      </c>
      <c r="C156">
        <v>0</v>
      </c>
      <c r="D156">
        <v>0</v>
      </c>
      <c r="E156">
        <v>5632976.4800000004</v>
      </c>
      <c r="F156">
        <v>1</v>
      </c>
      <c r="G156">
        <v>5632976.4800000004</v>
      </c>
      <c r="H156">
        <v>5632976.4800000004</v>
      </c>
      <c r="I156">
        <v>1</v>
      </c>
      <c r="J156">
        <v>5632976.4800000004</v>
      </c>
      <c r="K156">
        <v>0</v>
      </c>
      <c r="L156">
        <v>0</v>
      </c>
      <c r="M156">
        <v>0</v>
      </c>
      <c r="N156">
        <v>0</v>
      </c>
      <c r="O156">
        <v>-5632976.4800000004</v>
      </c>
      <c r="P156">
        <v>-5632976.4800000004</v>
      </c>
      <c r="Q156">
        <v>0</v>
      </c>
      <c r="R156">
        <v>132213.26</v>
      </c>
      <c r="S156">
        <v>0</v>
      </c>
      <c r="T156" t="s">
        <v>428</v>
      </c>
    </row>
    <row r="157" spans="1:20" ht="14.5" customHeight="1" x14ac:dyDescent="0.35">
      <c r="A157">
        <v>40</v>
      </c>
      <c r="B157" t="s">
        <v>429</v>
      </c>
      <c r="C157">
        <v>0</v>
      </c>
      <c r="D157">
        <v>0</v>
      </c>
      <c r="E157">
        <v>0</v>
      </c>
      <c r="F157">
        <v>1</v>
      </c>
      <c r="G157">
        <v>0</v>
      </c>
      <c r="H157">
        <v>0</v>
      </c>
      <c r="I157">
        <v>1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 t="s">
        <v>428</v>
      </c>
    </row>
    <row r="158" spans="1:20" x14ac:dyDescent="0.35">
      <c r="A158">
        <v>50</v>
      </c>
      <c r="B158" t="s">
        <v>430</v>
      </c>
      <c r="C158">
        <v>0</v>
      </c>
      <c r="D158">
        <v>0</v>
      </c>
      <c r="E158">
        <v>5632976.4800000004</v>
      </c>
      <c r="F158">
        <v>1</v>
      </c>
      <c r="G158">
        <v>5632976.4800000004</v>
      </c>
      <c r="H158">
        <v>5632976.4800000004</v>
      </c>
      <c r="I158">
        <v>1</v>
      </c>
      <c r="J158">
        <v>5632976.4800000004</v>
      </c>
      <c r="K158">
        <v>0</v>
      </c>
      <c r="L158">
        <v>0</v>
      </c>
      <c r="M158">
        <v>0</v>
      </c>
      <c r="N158">
        <v>0</v>
      </c>
      <c r="O158">
        <v>-5632976.4800000004</v>
      </c>
      <c r="P158">
        <v>-5632976.4800000004</v>
      </c>
      <c r="Q158">
        <v>0</v>
      </c>
      <c r="R158">
        <v>132213.26</v>
      </c>
      <c r="S158">
        <v>0</v>
      </c>
      <c r="T158" t="s">
        <v>428</v>
      </c>
    </row>
    <row r="159" spans="1:20" x14ac:dyDescent="0.35">
      <c r="A159">
        <v>60</v>
      </c>
      <c r="B159" t="s">
        <v>431</v>
      </c>
      <c r="C159">
        <v>0</v>
      </c>
      <c r="D159">
        <v>0</v>
      </c>
      <c r="E159">
        <v>6083635.5199999996</v>
      </c>
      <c r="F159">
        <v>1</v>
      </c>
      <c r="G159">
        <v>6083635.5199999996</v>
      </c>
      <c r="H159">
        <v>6083635.5199999996</v>
      </c>
      <c r="I159">
        <v>1</v>
      </c>
      <c r="J159">
        <v>6083635.5199999996</v>
      </c>
      <c r="K159">
        <v>0</v>
      </c>
      <c r="L159">
        <v>0</v>
      </c>
      <c r="M159">
        <v>0</v>
      </c>
      <c r="N159">
        <v>0</v>
      </c>
      <c r="O159">
        <v>-6083635.5199999996</v>
      </c>
      <c r="P159">
        <v>-6083635.5199999996</v>
      </c>
      <c r="Q159">
        <v>0</v>
      </c>
      <c r="R159">
        <v>251094.73</v>
      </c>
      <c r="S159">
        <v>0</v>
      </c>
      <c r="T159" t="s">
        <v>428</v>
      </c>
    </row>
    <row r="160" spans="1:20" x14ac:dyDescent="0.35">
      <c r="A160">
        <v>70</v>
      </c>
      <c r="B160" t="s">
        <v>432</v>
      </c>
      <c r="C160">
        <v>0</v>
      </c>
      <c r="D160">
        <v>0</v>
      </c>
      <c r="E160">
        <v>-450659.04</v>
      </c>
      <c r="F160">
        <v>1</v>
      </c>
      <c r="G160">
        <v>-450659.04</v>
      </c>
      <c r="H160">
        <v>-450659.04</v>
      </c>
      <c r="I160">
        <v>1</v>
      </c>
      <c r="J160">
        <v>-450659.04</v>
      </c>
      <c r="K160">
        <v>0</v>
      </c>
      <c r="L160">
        <v>0</v>
      </c>
      <c r="M160">
        <v>0</v>
      </c>
      <c r="N160">
        <v>0</v>
      </c>
      <c r="O160">
        <v>450659.04</v>
      </c>
      <c r="P160">
        <v>450659.04</v>
      </c>
      <c r="Q160">
        <v>0</v>
      </c>
      <c r="R160">
        <v>-118881.47</v>
      </c>
      <c r="S160">
        <v>0</v>
      </c>
      <c r="T160" t="s">
        <v>428</v>
      </c>
    </row>
    <row r="161" spans="1:20" ht="14.5" customHeight="1" x14ac:dyDescent="0.35">
      <c r="A161">
        <v>80</v>
      </c>
      <c r="B161" t="s">
        <v>433</v>
      </c>
      <c r="C161">
        <v>0</v>
      </c>
      <c r="D161">
        <v>0</v>
      </c>
      <c r="E161">
        <v>95234.91</v>
      </c>
      <c r="F161">
        <v>1</v>
      </c>
      <c r="G161">
        <v>95234.91</v>
      </c>
      <c r="H161">
        <v>95234.91</v>
      </c>
      <c r="I161">
        <v>1</v>
      </c>
      <c r="J161">
        <v>95234.91</v>
      </c>
      <c r="K161">
        <v>0</v>
      </c>
      <c r="L161">
        <v>0</v>
      </c>
      <c r="M161">
        <v>0</v>
      </c>
      <c r="N161">
        <v>0</v>
      </c>
      <c r="O161">
        <v>-95234.91</v>
      </c>
      <c r="P161">
        <v>-95234.91</v>
      </c>
      <c r="Q161">
        <v>0</v>
      </c>
      <c r="R161">
        <v>10089.27</v>
      </c>
      <c r="S161">
        <v>0</v>
      </c>
      <c r="T161" t="s">
        <v>428</v>
      </c>
    </row>
    <row r="162" spans="1:20" ht="14.5" customHeight="1" x14ac:dyDescent="0.35">
      <c r="A162">
        <v>90</v>
      </c>
      <c r="B162" t="s">
        <v>434</v>
      </c>
      <c r="C162">
        <v>53631.16</v>
      </c>
      <c r="D162">
        <v>53631.16</v>
      </c>
      <c r="E162">
        <v>1708314.16</v>
      </c>
      <c r="F162">
        <v>1</v>
      </c>
      <c r="G162">
        <v>1708314.16</v>
      </c>
      <c r="H162">
        <v>1708314.16</v>
      </c>
      <c r="I162">
        <v>1</v>
      </c>
      <c r="J162">
        <v>1708314.16</v>
      </c>
      <c r="K162">
        <v>0</v>
      </c>
      <c r="L162">
        <v>0</v>
      </c>
      <c r="M162">
        <v>53631.16</v>
      </c>
      <c r="N162">
        <v>53631.16</v>
      </c>
      <c r="O162">
        <v>-1654683</v>
      </c>
      <c r="P162">
        <v>-1654683</v>
      </c>
      <c r="Q162">
        <v>0</v>
      </c>
      <c r="R162">
        <v>620774.59</v>
      </c>
      <c r="S162">
        <v>0</v>
      </c>
      <c r="T162" t="s">
        <v>428</v>
      </c>
    </row>
    <row r="163" spans="1:20" ht="14.5" customHeight="1" x14ac:dyDescent="0.35">
      <c r="A163">
        <v>100</v>
      </c>
      <c r="B163" t="s">
        <v>435</v>
      </c>
      <c r="C163">
        <v>0</v>
      </c>
      <c r="D163">
        <v>0</v>
      </c>
      <c r="E163">
        <v>74781.009999999995</v>
      </c>
      <c r="F163">
        <v>1</v>
      </c>
      <c r="G163">
        <v>74781.009999999995</v>
      </c>
      <c r="H163">
        <v>74781.009999999995</v>
      </c>
      <c r="I163">
        <v>1</v>
      </c>
      <c r="J163">
        <v>74781.009999999995</v>
      </c>
      <c r="K163">
        <v>0</v>
      </c>
      <c r="L163">
        <v>0</v>
      </c>
      <c r="M163">
        <v>0</v>
      </c>
      <c r="N163">
        <v>0</v>
      </c>
      <c r="O163">
        <v>-74781.009999999995</v>
      </c>
      <c r="P163">
        <v>-74781.009999999995</v>
      </c>
      <c r="Q163">
        <v>0</v>
      </c>
      <c r="R163">
        <v>0</v>
      </c>
      <c r="S163">
        <v>0</v>
      </c>
      <c r="T163" t="s">
        <v>428</v>
      </c>
    </row>
    <row r="164" spans="1:20" ht="14.5" customHeight="1" x14ac:dyDescent="0.35">
      <c r="A164">
        <v>110</v>
      </c>
      <c r="B164" t="s">
        <v>436</v>
      </c>
      <c r="C164">
        <v>53631.16</v>
      </c>
      <c r="D164">
        <v>53631.16</v>
      </c>
      <c r="E164">
        <v>1878330.08</v>
      </c>
      <c r="F164">
        <v>1</v>
      </c>
      <c r="G164">
        <v>1878330.08</v>
      </c>
      <c r="H164">
        <v>1878330.08</v>
      </c>
      <c r="I164">
        <v>1</v>
      </c>
      <c r="J164">
        <v>1878330.08</v>
      </c>
      <c r="K164">
        <v>0</v>
      </c>
      <c r="L164">
        <v>0</v>
      </c>
      <c r="M164">
        <v>53631.16</v>
      </c>
      <c r="N164">
        <v>53631.16</v>
      </c>
      <c r="O164">
        <v>-1824698.92</v>
      </c>
      <c r="P164">
        <v>-1824698.92</v>
      </c>
      <c r="Q164">
        <v>0</v>
      </c>
      <c r="R164">
        <v>630863.86</v>
      </c>
      <c r="S164">
        <v>0</v>
      </c>
      <c r="T164" t="s">
        <v>428</v>
      </c>
    </row>
    <row r="165" spans="1:20" ht="14.5" customHeight="1" x14ac:dyDescent="0.35">
      <c r="A165">
        <v>120</v>
      </c>
      <c r="B165" t="s">
        <v>437</v>
      </c>
      <c r="C165">
        <v>-53631.16</v>
      </c>
      <c r="D165">
        <v>-53631.16</v>
      </c>
      <c r="E165">
        <v>-2328989.12</v>
      </c>
      <c r="F165">
        <v>1</v>
      </c>
      <c r="G165">
        <v>-2328989.12</v>
      </c>
      <c r="H165">
        <v>-2328989.12</v>
      </c>
      <c r="I165">
        <v>1</v>
      </c>
      <c r="J165">
        <v>-2328989.12</v>
      </c>
      <c r="K165">
        <v>0</v>
      </c>
      <c r="L165">
        <v>0</v>
      </c>
      <c r="M165">
        <v>-53631.16</v>
      </c>
      <c r="N165">
        <v>-53631.16</v>
      </c>
      <c r="O165">
        <v>2275357.96</v>
      </c>
      <c r="P165">
        <v>2275357.96</v>
      </c>
      <c r="Q165">
        <v>0</v>
      </c>
      <c r="R165">
        <v>-749745.33</v>
      </c>
      <c r="S165">
        <v>0</v>
      </c>
      <c r="T165" t="s">
        <v>428</v>
      </c>
    </row>
    <row r="166" spans="1:20" ht="14.5" customHeight="1" x14ac:dyDescent="0.35">
      <c r="A166">
        <v>130</v>
      </c>
      <c r="B166" t="s">
        <v>438</v>
      </c>
      <c r="C166">
        <v>0</v>
      </c>
      <c r="D166">
        <v>0</v>
      </c>
      <c r="E166">
        <v>0</v>
      </c>
      <c r="F166">
        <v>1</v>
      </c>
      <c r="G166">
        <v>0</v>
      </c>
      <c r="H166">
        <v>0</v>
      </c>
      <c r="I166">
        <v>1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 t="s">
        <v>428</v>
      </c>
    </row>
    <row r="167" spans="1:20" ht="14.5" customHeight="1" x14ac:dyDescent="0.35">
      <c r="A167">
        <v>135</v>
      </c>
      <c r="B167" t="s">
        <v>439</v>
      </c>
      <c r="C167">
        <v>0</v>
      </c>
      <c r="D167">
        <v>0</v>
      </c>
      <c r="E167">
        <v>0</v>
      </c>
      <c r="F167">
        <v>1</v>
      </c>
      <c r="G167">
        <v>0</v>
      </c>
      <c r="H167">
        <v>0</v>
      </c>
      <c r="I167">
        <v>1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 t="s">
        <v>428</v>
      </c>
    </row>
    <row r="168" spans="1:20" ht="14.5" customHeight="1" x14ac:dyDescent="0.35">
      <c r="A168">
        <v>140</v>
      </c>
      <c r="B168" t="s">
        <v>440</v>
      </c>
      <c r="C168">
        <v>0</v>
      </c>
      <c r="D168">
        <v>0</v>
      </c>
      <c r="E168">
        <v>35288.15</v>
      </c>
      <c r="F168">
        <v>1</v>
      </c>
      <c r="G168">
        <v>35288.15</v>
      </c>
      <c r="H168">
        <v>35288.15</v>
      </c>
      <c r="I168">
        <v>1</v>
      </c>
      <c r="J168">
        <v>35288.15</v>
      </c>
      <c r="K168">
        <v>0</v>
      </c>
      <c r="L168">
        <v>0</v>
      </c>
      <c r="M168">
        <v>0</v>
      </c>
      <c r="N168">
        <v>0</v>
      </c>
      <c r="O168">
        <v>-35288.15</v>
      </c>
      <c r="P168">
        <v>-35288.15</v>
      </c>
      <c r="Q168">
        <v>0</v>
      </c>
      <c r="R168">
        <v>18703.11</v>
      </c>
      <c r="S168">
        <v>0</v>
      </c>
      <c r="T168" t="s">
        <v>428</v>
      </c>
    </row>
    <row r="169" spans="1:20" ht="14.5" customHeight="1" x14ac:dyDescent="0.35">
      <c r="A169">
        <v>150</v>
      </c>
      <c r="B169" t="s">
        <v>441</v>
      </c>
      <c r="C169">
        <v>0</v>
      </c>
      <c r="D169">
        <v>0</v>
      </c>
      <c r="E169">
        <v>-65760.28</v>
      </c>
      <c r="F169">
        <v>1</v>
      </c>
      <c r="G169">
        <v>-65760.28</v>
      </c>
      <c r="H169">
        <v>-65760.28</v>
      </c>
      <c r="I169">
        <v>1</v>
      </c>
      <c r="J169">
        <v>-65760.28</v>
      </c>
      <c r="K169">
        <v>0</v>
      </c>
      <c r="L169">
        <v>0</v>
      </c>
      <c r="M169">
        <v>0</v>
      </c>
      <c r="N169">
        <v>0</v>
      </c>
      <c r="O169">
        <v>65760.28</v>
      </c>
      <c r="P169">
        <v>65760.28</v>
      </c>
      <c r="Q169">
        <v>0</v>
      </c>
      <c r="R169">
        <v>528231.14</v>
      </c>
      <c r="S169">
        <v>0</v>
      </c>
      <c r="T169" t="s">
        <v>428</v>
      </c>
    </row>
    <row r="170" spans="1:20" ht="14.5" customHeight="1" x14ac:dyDescent="0.35">
      <c r="A170">
        <v>155</v>
      </c>
      <c r="B170" t="s">
        <v>442</v>
      </c>
      <c r="C170">
        <v>0</v>
      </c>
      <c r="D170">
        <v>0</v>
      </c>
      <c r="E170">
        <v>0</v>
      </c>
      <c r="F170">
        <v>1</v>
      </c>
      <c r="G170">
        <v>0</v>
      </c>
      <c r="H170">
        <v>0</v>
      </c>
      <c r="I170">
        <v>1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 t="s">
        <v>428</v>
      </c>
    </row>
    <row r="171" spans="1:20" ht="14.5" customHeight="1" x14ac:dyDescent="0.35">
      <c r="A171">
        <v>160</v>
      </c>
      <c r="B171" t="s">
        <v>443</v>
      </c>
      <c r="C171">
        <v>0</v>
      </c>
      <c r="D171">
        <v>0</v>
      </c>
      <c r="E171">
        <v>101048.43</v>
      </c>
      <c r="F171">
        <v>1</v>
      </c>
      <c r="G171">
        <v>101048.43</v>
      </c>
      <c r="H171">
        <v>101048.43</v>
      </c>
      <c r="I171">
        <v>1</v>
      </c>
      <c r="J171">
        <v>101048.43</v>
      </c>
      <c r="K171">
        <v>0</v>
      </c>
      <c r="L171">
        <v>0</v>
      </c>
      <c r="M171">
        <v>0</v>
      </c>
      <c r="N171">
        <v>0</v>
      </c>
      <c r="O171">
        <v>-101048.43</v>
      </c>
      <c r="P171">
        <v>-101048.43</v>
      </c>
      <c r="Q171">
        <v>0</v>
      </c>
      <c r="R171">
        <v>-509528.03</v>
      </c>
      <c r="S171">
        <v>0</v>
      </c>
      <c r="T171" t="s">
        <v>428</v>
      </c>
    </row>
    <row r="172" spans="1:20" ht="14.5" customHeight="1" x14ac:dyDescent="0.35">
      <c r="A172">
        <v>170</v>
      </c>
      <c r="B172" t="s">
        <v>444</v>
      </c>
      <c r="C172">
        <v>-53631.16</v>
      </c>
      <c r="D172">
        <v>-53631.16</v>
      </c>
      <c r="E172">
        <v>-2430037.5499999998</v>
      </c>
      <c r="F172">
        <v>1</v>
      </c>
      <c r="G172">
        <v>-2430037.5499999998</v>
      </c>
      <c r="H172">
        <v>-2430037.5499999998</v>
      </c>
      <c r="I172">
        <v>1</v>
      </c>
      <c r="J172">
        <v>-2430037.5499999998</v>
      </c>
      <c r="K172">
        <v>0</v>
      </c>
      <c r="L172">
        <v>0</v>
      </c>
      <c r="M172">
        <v>-53631.16</v>
      </c>
      <c r="N172">
        <v>-53631.16</v>
      </c>
      <c r="O172">
        <v>2376406.39</v>
      </c>
      <c r="P172">
        <v>2376406.39</v>
      </c>
      <c r="Q172">
        <v>0</v>
      </c>
      <c r="R172">
        <v>-240217.3</v>
      </c>
      <c r="S172">
        <v>0</v>
      </c>
      <c r="T172" t="s">
        <v>428</v>
      </c>
    </row>
    <row r="173" spans="1:20" x14ac:dyDescent="0.35">
      <c r="A173">
        <v>180</v>
      </c>
      <c r="B173" t="s">
        <v>445</v>
      </c>
      <c r="C173">
        <v>0</v>
      </c>
      <c r="D173">
        <v>0</v>
      </c>
      <c r="E173">
        <v>0</v>
      </c>
      <c r="F173">
        <v>1</v>
      </c>
      <c r="G173">
        <v>0</v>
      </c>
      <c r="H173">
        <v>0</v>
      </c>
      <c r="I173">
        <v>1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 t="s">
        <v>428</v>
      </c>
    </row>
    <row r="174" spans="1:20" x14ac:dyDescent="0.35">
      <c r="A174">
        <v>190</v>
      </c>
      <c r="B174" t="s">
        <v>446</v>
      </c>
      <c r="C174">
        <v>0</v>
      </c>
      <c r="D174">
        <v>0</v>
      </c>
      <c r="E174">
        <v>0</v>
      </c>
      <c r="F174">
        <v>1</v>
      </c>
      <c r="G174">
        <v>0</v>
      </c>
      <c r="H174">
        <v>0</v>
      </c>
      <c r="I174">
        <v>1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 t="s">
        <v>428</v>
      </c>
    </row>
    <row r="175" spans="1:20" ht="14.5" customHeight="1" x14ac:dyDescent="0.35">
      <c r="A175">
        <v>200</v>
      </c>
      <c r="B175" t="s">
        <v>447</v>
      </c>
      <c r="C175">
        <v>-53631.16</v>
      </c>
      <c r="D175">
        <v>-53631.16</v>
      </c>
      <c r="E175">
        <v>-2430037.5499999998</v>
      </c>
      <c r="F175">
        <v>1</v>
      </c>
      <c r="G175">
        <v>-2430037.5499999998</v>
      </c>
      <c r="H175">
        <v>-2430037.5499999998</v>
      </c>
      <c r="I175">
        <v>1</v>
      </c>
      <c r="J175">
        <v>-2430037.5499999998</v>
      </c>
      <c r="K175">
        <v>0</v>
      </c>
      <c r="L175">
        <v>0</v>
      </c>
      <c r="M175">
        <v>-53631.16</v>
      </c>
      <c r="N175">
        <v>-53631.16</v>
      </c>
      <c r="O175">
        <v>2376406.39</v>
      </c>
      <c r="P175">
        <v>2376406.39</v>
      </c>
      <c r="Q175">
        <v>0</v>
      </c>
      <c r="R175">
        <v>-240217.3</v>
      </c>
      <c r="S175">
        <v>0</v>
      </c>
      <c r="T175" t="s">
        <v>428</v>
      </c>
    </row>
    <row r="176" spans="1:20" ht="14.5" customHeight="1" x14ac:dyDescent="0.35">
      <c r="A176">
        <v>210</v>
      </c>
      <c r="B176" t="s">
        <v>448</v>
      </c>
      <c r="C176">
        <v>-53631.16</v>
      </c>
      <c r="D176">
        <v>-53631.16</v>
      </c>
      <c r="E176">
        <v>-2254208.11</v>
      </c>
      <c r="F176">
        <v>1</v>
      </c>
      <c r="G176">
        <v>-2254208.11</v>
      </c>
      <c r="H176">
        <v>-2254208.11</v>
      </c>
      <c r="I176">
        <v>1</v>
      </c>
      <c r="J176">
        <v>-2254208.11</v>
      </c>
      <c r="K176">
        <v>0</v>
      </c>
      <c r="L176">
        <v>0</v>
      </c>
      <c r="M176">
        <v>-53631.16</v>
      </c>
      <c r="N176">
        <v>-53631.16</v>
      </c>
      <c r="O176">
        <v>2200576.9500000002</v>
      </c>
      <c r="P176">
        <v>2200576.9500000002</v>
      </c>
      <c r="Q176">
        <v>0</v>
      </c>
      <c r="R176">
        <v>-749745.33</v>
      </c>
      <c r="S176">
        <v>0</v>
      </c>
      <c r="T176" t="s">
        <v>428</v>
      </c>
    </row>
    <row r="177" spans="1:20" s="205" customFormat="1" x14ac:dyDescent="0.35">
      <c r="A177" t="s">
        <v>487</v>
      </c>
      <c r="B177" t="s">
        <v>416</v>
      </c>
      <c r="C177" t="s">
        <v>417</v>
      </c>
      <c r="D177" t="s">
        <v>418</v>
      </c>
      <c r="E177" t="s">
        <v>419</v>
      </c>
      <c r="F177" t="s">
        <v>420</v>
      </c>
      <c r="G177" t="s">
        <v>421</v>
      </c>
      <c r="H177" t="s">
        <v>422</v>
      </c>
      <c r="I177" t="s">
        <v>423</v>
      </c>
      <c r="J177" t="s">
        <v>424</v>
      </c>
      <c r="K177" t="s">
        <v>425</v>
      </c>
      <c r="L177" t="s">
        <v>426</v>
      </c>
      <c r="M177" t="s">
        <v>485</v>
      </c>
      <c r="N177" t="s">
        <v>128</v>
      </c>
      <c r="O177" t="s">
        <v>129</v>
      </c>
      <c r="P177" t="s">
        <v>130</v>
      </c>
      <c r="Q177" t="s">
        <v>125</v>
      </c>
      <c r="R177" t="s">
        <v>126</v>
      </c>
      <c r="S177" t="s">
        <v>127</v>
      </c>
      <c r="T177" t="s">
        <v>121</v>
      </c>
    </row>
    <row r="178" spans="1:20" ht="14.5" customHeight="1" x14ac:dyDescent="0.35">
      <c r="A178">
        <v>30</v>
      </c>
      <c r="B178" t="s">
        <v>427</v>
      </c>
      <c r="C178">
        <v>0</v>
      </c>
      <c r="D178">
        <v>0</v>
      </c>
      <c r="E178">
        <v>795704.86</v>
      </c>
      <c r="F178">
        <v>1</v>
      </c>
      <c r="G178">
        <v>795704.86</v>
      </c>
      <c r="H178">
        <v>795704.86</v>
      </c>
      <c r="I178">
        <v>1</v>
      </c>
      <c r="J178">
        <v>795704.86</v>
      </c>
      <c r="K178">
        <v>0</v>
      </c>
      <c r="L178">
        <v>0</v>
      </c>
      <c r="M178">
        <v>0</v>
      </c>
      <c r="N178">
        <v>0</v>
      </c>
      <c r="O178">
        <v>-795704.86</v>
      </c>
      <c r="P178">
        <v>-795704.86</v>
      </c>
      <c r="Q178">
        <v>0</v>
      </c>
      <c r="R178">
        <v>608784.26</v>
      </c>
      <c r="S178">
        <v>0</v>
      </c>
      <c r="T178" t="s">
        <v>428</v>
      </c>
    </row>
    <row r="179" spans="1:20" ht="14.5" customHeight="1" x14ac:dyDescent="0.35">
      <c r="A179">
        <v>40</v>
      </c>
      <c r="B179" t="s">
        <v>429</v>
      </c>
      <c r="C179">
        <v>0</v>
      </c>
      <c r="D179">
        <v>0</v>
      </c>
      <c r="E179">
        <v>0</v>
      </c>
      <c r="F179">
        <v>1</v>
      </c>
      <c r="G179">
        <v>0</v>
      </c>
      <c r="H179">
        <v>0</v>
      </c>
      <c r="I179">
        <v>1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 t="s">
        <v>428</v>
      </c>
    </row>
    <row r="180" spans="1:20" x14ac:dyDescent="0.35">
      <c r="A180">
        <v>50</v>
      </c>
      <c r="B180" t="s">
        <v>430</v>
      </c>
      <c r="C180">
        <v>0</v>
      </c>
      <c r="D180">
        <v>0</v>
      </c>
      <c r="E180">
        <v>795704.86</v>
      </c>
      <c r="F180">
        <v>1</v>
      </c>
      <c r="G180">
        <v>795704.86</v>
      </c>
      <c r="H180">
        <v>795704.86</v>
      </c>
      <c r="I180">
        <v>1</v>
      </c>
      <c r="J180">
        <v>795704.86</v>
      </c>
      <c r="K180">
        <v>0</v>
      </c>
      <c r="L180">
        <v>0</v>
      </c>
      <c r="M180">
        <v>0</v>
      </c>
      <c r="N180">
        <v>0</v>
      </c>
      <c r="O180">
        <v>-795704.86</v>
      </c>
      <c r="P180">
        <v>-795704.86</v>
      </c>
      <c r="Q180">
        <v>0</v>
      </c>
      <c r="R180">
        <v>608784.26</v>
      </c>
      <c r="S180">
        <v>0</v>
      </c>
      <c r="T180" t="s">
        <v>428</v>
      </c>
    </row>
    <row r="181" spans="1:20" x14ac:dyDescent="0.35">
      <c r="A181">
        <v>60</v>
      </c>
      <c r="B181" t="s">
        <v>431</v>
      </c>
      <c r="C181">
        <v>0</v>
      </c>
      <c r="D181">
        <v>0</v>
      </c>
      <c r="E181">
        <v>794957.39</v>
      </c>
      <c r="F181">
        <v>1</v>
      </c>
      <c r="G181">
        <v>794957.39</v>
      </c>
      <c r="H181">
        <v>794957.39</v>
      </c>
      <c r="I181">
        <v>1</v>
      </c>
      <c r="J181">
        <v>794957.39</v>
      </c>
      <c r="K181">
        <v>0</v>
      </c>
      <c r="L181">
        <v>0</v>
      </c>
      <c r="M181">
        <v>0</v>
      </c>
      <c r="N181">
        <v>0</v>
      </c>
      <c r="O181">
        <v>-794957.39</v>
      </c>
      <c r="P181">
        <v>-794957.39</v>
      </c>
      <c r="Q181">
        <v>0</v>
      </c>
      <c r="R181">
        <v>626576.77</v>
      </c>
      <c r="S181">
        <v>0</v>
      </c>
      <c r="T181" t="s">
        <v>428</v>
      </c>
    </row>
    <row r="182" spans="1:20" x14ac:dyDescent="0.35">
      <c r="A182">
        <v>70</v>
      </c>
      <c r="B182" t="s">
        <v>432</v>
      </c>
      <c r="C182">
        <v>0</v>
      </c>
      <c r="D182">
        <v>0</v>
      </c>
      <c r="E182">
        <v>747.47</v>
      </c>
      <c r="F182">
        <v>1</v>
      </c>
      <c r="G182">
        <v>747.47</v>
      </c>
      <c r="H182">
        <v>747.47</v>
      </c>
      <c r="I182">
        <v>1</v>
      </c>
      <c r="J182">
        <v>747.47</v>
      </c>
      <c r="K182">
        <v>0</v>
      </c>
      <c r="L182">
        <v>0</v>
      </c>
      <c r="M182">
        <v>0</v>
      </c>
      <c r="N182">
        <v>0</v>
      </c>
      <c r="O182">
        <v>-747.47</v>
      </c>
      <c r="P182">
        <v>-747.47</v>
      </c>
      <c r="Q182">
        <v>0</v>
      </c>
      <c r="R182">
        <v>-17792.509999999998</v>
      </c>
      <c r="S182">
        <v>0</v>
      </c>
      <c r="T182" t="s">
        <v>428</v>
      </c>
    </row>
    <row r="183" spans="1:20" ht="14.5" customHeight="1" x14ac:dyDescent="0.35">
      <c r="A183">
        <v>80</v>
      </c>
      <c r="B183" t="s">
        <v>433</v>
      </c>
      <c r="C183">
        <v>0</v>
      </c>
      <c r="D183">
        <v>0</v>
      </c>
      <c r="E183">
        <v>54360.73</v>
      </c>
      <c r="F183">
        <v>1</v>
      </c>
      <c r="G183">
        <v>54360.73</v>
      </c>
      <c r="H183">
        <v>54360.73</v>
      </c>
      <c r="I183">
        <v>1</v>
      </c>
      <c r="J183">
        <v>54360.73</v>
      </c>
      <c r="K183">
        <v>0</v>
      </c>
      <c r="L183">
        <v>0</v>
      </c>
      <c r="M183">
        <v>0</v>
      </c>
      <c r="N183">
        <v>0</v>
      </c>
      <c r="O183">
        <v>-54360.73</v>
      </c>
      <c r="P183">
        <v>-54360.73</v>
      </c>
      <c r="Q183">
        <v>0</v>
      </c>
      <c r="R183">
        <v>52869.56</v>
      </c>
      <c r="S183">
        <v>0</v>
      </c>
      <c r="T183" t="s">
        <v>428</v>
      </c>
    </row>
    <row r="184" spans="1:20" ht="14.5" customHeight="1" x14ac:dyDescent="0.35">
      <c r="A184">
        <v>90</v>
      </c>
      <c r="B184" t="s">
        <v>434</v>
      </c>
      <c r="C184">
        <v>975</v>
      </c>
      <c r="D184">
        <v>975</v>
      </c>
      <c r="E184">
        <v>75046.73</v>
      </c>
      <c r="F184">
        <v>1</v>
      </c>
      <c r="G184">
        <v>75046.73</v>
      </c>
      <c r="H184">
        <v>75046.73</v>
      </c>
      <c r="I184">
        <v>1</v>
      </c>
      <c r="J184">
        <v>75046.73</v>
      </c>
      <c r="K184">
        <v>0</v>
      </c>
      <c r="L184">
        <v>0</v>
      </c>
      <c r="M184">
        <v>975</v>
      </c>
      <c r="N184">
        <v>975</v>
      </c>
      <c r="O184">
        <v>-74071.73</v>
      </c>
      <c r="P184">
        <v>-74071.73</v>
      </c>
      <c r="Q184">
        <v>0</v>
      </c>
      <c r="R184">
        <v>376560.13</v>
      </c>
      <c r="S184">
        <v>0</v>
      </c>
      <c r="T184" t="s">
        <v>428</v>
      </c>
    </row>
    <row r="185" spans="1:20" ht="14.5" customHeight="1" x14ac:dyDescent="0.35">
      <c r="A185">
        <v>100</v>
      </c>
      <c r="B185" t="s">
        <v>435</v>
      </c>
      <c r="C185">
        <v>0</v>
      </c>
      <c r="D185">
        <v>0</v>
      </c>
      <c r="E185">
        <v>936.71</v>
      </c>
      <c r="F185">
        <v>1</v>
      </c>
      <c r="G185">
        <v>936.71</v>
      </c>
      <c r="H185">
        <v>936.71</v>
      </c>
      <c r="I185">
        <v>1</v>
      </c>
      <c r="J185">
        <v>936.71</v>
      </c>
      <c r="K185">
        <v>0</v>
      </c>
      <c r="L185">
        <v>0</v>
      </c>
      <c r="M185">
        <v>0</v>
      </c>
      <c r="N185">
        <v>0</v>
      </c>
      <c r="O185">
        <v>-936.71</v>
      </c>
      <c r="P185">
        <v>-936.71</v>
      </c>
      <c r="Q185">
        <v>0</v>
      </c>
      <c r="R185">
        <v>936.71</v>
      </c>
      <c r="S185">
        <v>0</v>
      </c>
      <c r="T185" t="s">
        <v>428</v>
      </c>
    </row>
    <row r="186" spans="1:20" ht="14.5" customHeight="1" x14ac:dyDescent="0.35">
      <c r="A186">
        <v>110</v>
      </c>
      <c r="B186" t="s">
        <v>436</v>
      </c>
      <c r="C186">
        <v>975</v>
      </c>
      <c r="D186">
        <v>975</v>
      </c>
      <c r="E186">
        <v>130344.17</v>
      </c>
      <c r="F186">
        <v>1</v>
      </c>
      <c r="G186">
        <v>130344.17</v>
      </c>
      <c r="H186">
        <v>130344.17</v>
      </c>
      <c r="I186">
        <v>1</v>
      </c>
      <c r="J186">
        <v>130344.17</v>
      </c>
      <c r="K186">
        <v>0</v>
      </c>
      <c r="L186">
        <v>0</v>
      </c>
      <c r="M186">
        <v>975</v>
      </c>
      <c r="N186">
        <v>975</v>
      </c>
      <c r="O186">
        <v>-129369.17</v>
      </c>
      <c r="P186">
        <v>-129369.17</v>
      </c>
      <c r="Q186">
        <v>0</v>
      </c>
      <c r="R186">
        <v>430366.4</v>
      </c>
      <c r="S186">
        <v>0</v>
      </c>
      <c r="T186" t="s">
        <v>428</v>
      </c>
    </row>
    <row r="187" spans="1:20" ht="14.5" customHeight="1" x14ac:dyDescent="0.35">
      <c r="A187">
        <v>120</v>
      </c>
      <c r="B187" t="s">
        <v>437</v>
      </c>
      <c r="C187">
        <v>-975</v>
      </c>
      <c r="D187">
        <v>-975</v>
      </c>
      <c r="E187">
        <v>-129596.7</v>
      </c>
      <c r="F187">
        <v>1</v>
      </c>
      <c r="G187">
        <v>-129596.7</v>
      </c>
      <c r="H187">
        <v>-129596.7</v>
      </c>
      <c r="I187">
        <v>1</v>
      </c>
      <c r="J187">
        <v>-129596.7</v>
      </c>
      <c r="K187">
        <v>0</v>
      </c>
      <c r="L187">
        <v>0</v>
      </c>
      <c r="M187">
        <v>-975</v>
      </c>
      <c r="N187">
        <v>-975</v>
      </c>
      <c r="O187">
        <v>128621.7</v>
      </c>
      <c r="P187">
        <v>128621.7</v>
      </c>
      <c r="Q187">
        <v>0</v>
      </c>
      <c r="R187">
        <v>-448158.91</v>
      </c>
      <c r="S187">
        <v>0</v>
      </c>
      <c r="T187" t="s">
        <v>428</v>
      </c>
    </row>
    <row r="188" spans="1:20" ht="14.5" customHeight="1" x14ac:dyDescent="0.35">
      <c r="A188">
        <v>130</v>
      </c>
      <c r="B188" t="s">
        <v>438</v>
      </c>
      <c r="C188">
        <v>0</v>
      </c>
      <c r="D188">
        <v>0</v>
      </c>
      <c r="E188">
        <v>0</v>
      </c>
      <c r="F188">
        <v>1</v>
      </c>
      <c r="G188">
        <v>0</v>
      </c>
      <c r="H188">
        <v>0</v>
      </c>
      <c r="I188">
        <v>1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 t="s">
        <v>428</v>
      </c>
    </row>
    <row r="189" spans="1:20" ht="14.5" customHeight="1" x14ac:dyDescent="0.35">
      <c r="A189">
        <v>135</v>
      </c>
      <c r="B189" t="s">
        <v>439</v>
      </c>
      <c r="C189">
        <v>0</v>
      </c>
      <c r="D189">
        <v>0</v>
      </c>
      <c r="E189">
        <v>0</v>
      </c>
      <c r="F189">
        <v>1</v>
      </c>
      <c r="G189">
        <v>0</v>
      </c>
      <c r="H189">
        <v>0</v>
      </c>
      <c r="I189">
        <v>1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 t="s">
        <v>428</v>
      </c>
    </row>
    <row r="190" spans="1:20" ht="14.5" customHeight="1" x14ac:dyDescent="0.35">
      <c r="A190">
        <v>140</v>
      </c>
      <c r="B190" t="s">
        <v>440</v>
      </c>
      <c r="C190">
        <v>0</v>
      </c>
      <c r="D190">
        <v>0</v>
      </c>
      <c r="E190">
        <v>0</v>
      </c>
      <c r="F190">
        <v>1</v>
      </c>
      <c r="G190">
        <v>0</v>
      </c>
      <c r="H190">
        <v>0</v>
      </c>
      <c r="I190">
        <v>1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 t="s">
        <v>428</v>
      </c>
    </row>
    <row r="191" spans="1:20" ht="14.5" customHeight="1" x14ac:dyDescent="0.35">
      <c r="A191">
        <v>150</v>
      </c>
      <c r="B191" t="s">
        <v>441</v>
      </c>
      <c r="C191">
        <v>0</v>
      </c>
      <c r="D191">
        <v>0</v>
      </c>
      <c r="E191">
        <v>0</v>
      </c>
      <c r="F191">
        <v>1</v>
      </c>
      <c r="G191">
        <v>0</v>
      </c>
      <c r="H191">
        <v>0</v>
      </c>
      <c r="I191">
        <v>1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 t="s">
        <v>428</v>
      </c>
    </row>
    <row r="192" spans="1:20" ht="14.5" customHeight="1" x14ac:dyDescent="0.35">
      <c r="A192">
        <v>155</v>
      </c>
      <c r="B192" t="s">
        <v>442</v>
      </c>
      <c r="C192">
        <v>0</v>
      </c>
      <c r="D192">
        <v>0</v>
      </c>
      <c r="E192">
        <v>0</v>
      </c>
      <c r="F192">
        <v>1</v>
      </c>
      <c r="G192">
        <v>0</v>
      </c>
      <c r="H192">
        <v>0</v>
      </c>
      <c r="I192">
        <v>1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 t="s">
        <v>428</v>
      </c>
    </row>
    <row r="193" spans="1:20" ht="14.5" customHeight="1" x14ac:dyDescent="0.35">
      <c r="A193">
        <v>160</v>
      </c>
      <c r="B193" t="s">
        <v>443</v>
      </c>
      <c r="C193">
        <v>0</v>
      </c>
      <c r="D193">
        <v>0</v>
      </c>
      <c r="E193">
        <v>0</v>
      </c>
      <c r="F193">
        <v>1</v>
      </c>
      <c r="G193">
        <v>0</v>
      </c>
      <c r="H193">
        <v>0</v>
      </c>
      <c r="I193">
        <v>1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 t="s">
        <v>428</v>
      </c>
    </row>
    <row r="194" spans="1:20" ht="14.5" customHeight="1" x14ac:dyDescent="0.35">
      <c r="A194">
        <v>170</v>
      </c>
      <c r="B194" t="s">
        <v>444</v>
      </c>
      <c r="C194">
        <v>-975</v>
      </c>
      <c r="D194">
        <v>-975</v>
      </c>
      <c r="E194">
        <v>-129596.7</v>
      </c>
      <c r="F194">
        <v>1</v>
      </c>
      <c r="G194">
        <v>-129596.7</v>
      </c>
      <c r="H194">
        <v>-129596.7</v>
      </c>
      <c r="I194">
        <v>1</v>
      </c>
      <c r="J194">
        <v>-129596.7</v>
      </c>
      <c r="K194">
        <v>0</v>
      </c>
      <c r="L194">
        <v>0</v>
      </c>
      <c r="M194">
        <v>-975</v>
      </c>
      <c r="N194">
        <v>-975</v>
      </c>
      <c r="O194">
        <v>128621.7</v>
      </c>
      <c r="P194">
        <v>128621.7</v>
      </c>
      <c r="Q194">
        <v>0</v>
      </c>
      <c r="R194">
        <v>-448158.91</v>
      </c>
      <c r="S194">
        <v>0</v>
      </c>
      <c r="T194" t="s">
        <v>428</v>
      </c>
    </row>
    <row r="195" spans="1:20" x14ac:dyDescent="0.35">
      <c r="A195">
        <v>180</v>
      </c>
      <c r="B195" t="s">
        <v>445</v>
      </c>
      <c r="C195">
        <v>0</v>
      </c>
      <c r="D195">
        <v>0</v>
      </c>
      <c r="E195">
        <v>0</v>
      </c>
      <c r="F195">
        <v>1</v>
      </c>
      <c r="G195">
        <v>0</v>
      </c>
      <c r="H195">
        <v>0</v>
      </c>
      <c r="I195">
        <v>1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 t="s">
        <v>428</v>
      </c>
    </row>
    <row r="196" spans="1:20" x14ac:dyDescent="0.35">
      <c r="A196">
        <v>190</v>
      </c>
      <c r="B196" t="s">
        <v>446</v>
      </c>
      <c r="C196">
        <v>0</v>
      </c>
      <c r="D196">
        <v>0</v>
      </c>
      <c r="E196">
        <v>0</v>
      </c>
      <c r="F196">
        <v>1</v>
      </c>
      <c r="G196">
        <v>0</v>
      </c>
      <c r="H196">
        <v>0</v>
      </c>
      <c r="I196">
        <v>1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 t="s">
        <v>428</v>
      </c>
    </row>
    <row r="197" spans="1:20" ht="14.5" customHeight="1" x14ac:dyDescent="0.35">
      <c r="A197">
        <v>200</v>
      </c>
      <c r="B197" t="s">
        <v>447</v>
      </c>
      <c r="C197">
        <v>-975</v>
      </c>
      <c r="D197">
        <v>-975</v>
      </c>
      <c r="E197">
        <v>-129596.7</v>
      </c>
      <c r="F197">
        <v>1</v>
      </c>
      <c r="G197">
        <v>-129596.7</v>
      </c>
      <c r="H197">
        <v>-129596.7</v>
      </c>
      <c r="I197">
        <v>1</v>
      </c>
      <c r="J197">
        <v>-129596.7</v>
      </c>
      <c r="K197">
        <v>0</v>
      </c>
      <c r="L197">
        <v>0</v>
      </c>
      <c r="M197">
        <v>-975</v>
      </c>
      <c r="N197">
        <v>-975</v>
      </c>
      <c r="O197">
        <v>128621.7</v>
      </c>
      <c r="P197">
        <v>128621.7</v>
      </c>
      <c r="Q197">
        <v>0</v>
      </c>
      <c r="R197">
        <v>-448158.91</v>
      </c>
      <c r="S197">
        <v>0</v>
      </c>
      <c r="T197" t="s">
        <v>428</v>
      </c>
    </row>
    <row r="198" spans="1:20" ht="14.5" customHeight="1" x14ac:dyDescent="0.35">
      <c r="A198">
        <v>210</v>
      </c>
      <c r="B198" t="s">
        <v>448</v>
      </c>
      <c r="C198">
        <v>-975</v>
      </c>
      <c r="D198">
        <v>-975</v>
      </c>
      <c r="E198">
        <v>-128659.99</v>
      </c>
      <c r="F198">
        <v>1</v>
      </c>
      <c r="G198">
        <v>-128659.99</v>
      </c>
      <c r="H198">
        <v>-128659.99</v>
      </c>
      <c r="I198">
        <v>1</v>
      </c>
      <c r="J198">
        <v>-128659.99</v>
      </c>
      <c r="K198">
        <v>0</v>
      </c>
      <c r="L198">
        <v>0</v>
      </c>
      <c r="M198">
        <v>-975</v>
      </c>
      <c r="N198">
        <v>-975</v>
      </c>
      <c r="O198">
        <v>127684.99</v>
      </c>
      <c r="P198">
        <v>127684.99</v>
      </c>
      <c r="Q198">
        <v>0</v>
      </c>
      <c r="R198">
        <v>-447222.2</v>
      </c>
      <c r="S198">
        <v>0</v>
      </c>
      <c r="T198" t="s">
        <v>428</v>
      </c>
    </row>
    <row r="199" spans="1:20" s="205" customFormat="1" x14ac:dyDescent="0.35">
      <c r="A199" t="s">
        <v>488</v>
      </c>
      <c r="B199" t="s">
        <v>416</v>
      </c>
      <c r="C199" t="s">
        <v>417</v>
      </c>
      <c r="D199" t="s">
        <v>418</v>
      </c>
      <c r="E199" t="s">
        <v>419</v>
      </c>
      <c r="F199" t="s">
        <v>450</v>
      </c>
      <c r="G199" t="s">
        <v>479</v>
      </c>
      <c r="H199" t="s">
        <v>480</v>
      </c>
      <c r="I199" t="s">
        <v>481</v>
      </c>
      <c r="J199" t="s">
        <v>482</v>
      </c>
      <c r="K199" t="s">
        <v>483</v>
      </c>
      <c r="L199" t="s">
        <v>484</v>
      </c>
      <c r="M199" t="s">
        <v>485</v>
      </c>
      <c r="N199" t="s">
        <v>122</v>
      </c>
      <c r="O199" t="s">
        <v>123</v>
      </c>
      <c r="P199" t="s">
        <v>124</v>
      </c>
      <c r="Q199" t="s">
        <v>125</v>
      </c>
      <c r="R199" t="s">
        <v>126</v>
      </c>
      <c r="S199" t="s">
        <v>127</v>
      </c>
      <c r="T199" t="s">
        <v>121</v>
      </c>
    </row>
    <row r="200" spans="1:20" ht="14.5" customHeight="1" x14ac:dyDescent="0.35">
      <c r="A200">
        <v>30</v>
      </c>
      <c r="B200" t="s">
        <v>427</v>
      </c>
      <c r="C200">
        <v>0</v>
      </c>
      <c r="D200">
        <v>0</v>
      </c>
      <c r="E200">
        <v>359220.19</v>
      </c>
      <c r="F200">
        <v>1</v>
      </c>
      <c r="G200">
        <v>359220.19</v>
      </c>
      <c r="H200">
        <v>359220.19</v>
      </c>
      <c r="I200">
        <v>1</v>
      </c>
      <c r="J200">
        <v>359220.19</v>
      </c>
      <c r="K200">
        <v>0</v>
      </c>
      <c r="L200">
        <v>0</v>
      </c>
      <c r="M200">
        <v>0</v>
      </c>
      <c r="N200">
        <v>0</v>
      </c>
      <c r="O200">
        <v>-359220.19</v>
      </c>
      <c r="P200">
        <v>-359220.19</v>
      </c>
      <c r="Q200">
        <v>0</v>
      </c>
      <c r="R200">
        <v>27902.57</v>
      </c>
      <c r="S200">
        <v>0</v>
      </c>
      <c r="T200" t="s">
        <v>428</v>
      </c>
    </row>
    <row r="201" spans="1:20" ht="14.5" customHeight="1" x14ac:dyDescent="0.35">
      <c r="A201">
        <v>40</v>
      </c>
      <c r="B201" t="s">
        <v>429</v>
      </c>
      <c r="C201">
        <v>0</v>
      </c>
      <c r="D201">
        <v>0</v>
      </c>
      <c r="E201">
        <v>0</v>
      </c>
      <c r="F201">
        <v>1</v>
      </c>
      <c r="G201">
        <v>0</v>
      </c>
      <c r="H201">
        <v>0</v>
      </c>
      <c r="I201">
        <v>1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 t="s">
        <v>428</v>
      </c>
    </row>
    <row r="202" spans="1:20" x14ac:dyDescent="0.35">
      <c r="A202">
        <v>50</v>
      </c>
      <c r="B202" t="s">
        <v>430</v>
      </c>
      <c r="C202">
        <v>0</v>
      </c>
      <c r="D202">
        <v>0</v>
      </c>
      <c r="E202">
        <v>359220.19</v>
      </c>
      <c r="F202">
        <v>1</v>
      </c>
      <c r="G202">
        <v>359220.19</v>
      </c>
      <c r="H202">
        <v>359220.19</v>
      </c>
      <c r="I202">
        <v>1</v>
      </c>
      <c r="J202">
        <v>359220.19</v>
      </c>
      <c r="K202">
        <v>0</v>
      </c>
      <c r="L202">
        <v>0</v>
      </c>
      <c r="M202">
        <v>0</v>
      </c>
      <c r="N202">
        <v>0</v>
      </c>
      <c r="O202">
        <v>-359220.19</v>
      </c>
      <c r="P202">
        <v>-359220.19</v>
      </c>
      <c r="Q202">
        <v>0</v>
      </c>
      <c r="R202">
        <v>27902.57</v>
      </c>
      <c r="S202">
        <v>0</v>
      </c>
      <c r="T202" t="s">
        <v>428</v>
      </c>
    </row>
    <row r="203" spans="1:20" x14ac:dyDescent="0.35">
      <c r="A203">
        <v>60</v>
      </c>
      <c r="B203" t="s">
        <v>431</v>
      </c>
      <c r="C203">
        <v>0</v>
      </c>
      <c r="D203">
        <v>0</v>
      </c>
      <c r="E203">
        <v>346919.35</v>
      </c>
      <c r="F203">
        <v>1</v>
      </c>
      <c r="G203">
        <v>346919.35</v>
      </c>
      <c r="H203">
        <v>346919.35</v>
      </c>
      <c r="I203">
        <v>1</v>
      </c>
      <c r="J203">
        <v>346919.35</v>
      </c>
      <c r="K203">
        <v>0</v>
      </c>
      <c r="L203">
        <v>0</v>
      </c>
      <c r="M203">
        <v>0</v>
      </c>
      <c r="N203">
        <v>0</v>
      </c>
      <c r="O203">
        <v>-346919.35</v>
      </c>
      <c r="P203">
        <v>-346919.35</v>
      </c>
      <c r="Q203">
        <v>0</v>
      </c>
      <c r="R203">
        <v>24263.34</v>
      </c>
      <c r="S203">
        <v>0</v>
      </c>
      <c r="T203" t="s">
        <v>428</v>
      </c>
    </row>
    <row r="204" spans="1:20" x14ac:dyDescent="0.35">
      <c r="A204">
        <v>70</v>
      </c>
      <c r="B204" t="s">
        <v>432</v>
      </c>
      <c r="C204">
        <v>0</v>
      </c>
      <c r="D204">
        <v>0</v>
      </c>
      <c r="E204">
        <v>12300.84</v>
      </c>
      <c r="F204">
        <v>1</v>
      </c>
      <c r="G204">
        <v>12300.84</v>
      </c>
      <c r="H204">
        <v>12300.84</v>
      </c>
      <c r="I204">
        <v>1</v>
      </c>
      <c r="J204">
        <v>12300.84</v>
      </c>
      <c r="K204">
        <v>0</v>
      </c>
      <c r="L204">
        <v>0</v>
      </c>
      <c r="M204">
        <v>0</v>
      </c>
      <c r="N204">
        <v>0</v>
      </c>
      <c r="O204">
        <v>-12300.84</v>
      </c>
      <c r="P204">
        <v>-12300.84</v>
      </c>
      <c r="Q204">
        <v>0</v>
      </c>
      <c r="R204">
        <v>3639.23</v>
      </c>
      <c r="S204">
        <v>0</v>
      </c>
      <c r="T204" t="s">
        <v>428</v>
      </c>
    </row>
    <row r="205" spans="1:20" ht="14.5" customHeight="1" x14ac:dyDescent="0.35">
      <c r="A205">
        <v>80</v>
      </c>
      <c r="B205" t="s">
        <v>433</v>
      </c>
      <c r="C205">
        <v>0</v>
      </c>
      <c r="D205">
        <v>0</v>
      </c>
      <c r="E205">
        <v>89530.26</v>
      </c>
      <c r="F205">
        <v>1</v>
      </c>
      <c r="G205">
        <v>89530.26</v>
      </c>
      <c r="H205">
        <v>89530.26</v>
      </c>
      <c r="I205">
        <v>1</v>
      </c>
      <c r="J205">
        <v>89530.26</v>
      </c>
      <c r="K205">
        <v>0</v>
      </c>
      <c r="L205">
        <v>0</v>
      </c>
      <c r="M205">
        <v>0</v>
      </c>
      <c r="N205">
        <v>0</v>
      </c>
      <c r="O205">
        <v>-89530.26</v>
      </c>
      <c r="P205">
        <v>-89530.26</v>
      </c>
      <c r="Q205">
        <v>0</v>
      </c>
      <c r="R205">
        <v>-4873.0200000000004</v>
      </c>
      <c r="S205">
        <v>0</v>
      </c>
      <c r="T205" t="s">
        <v>428</v>
      </c>
    </row>
    <row r="206" spans="1:20" ht="14.5" customHeight="1" x14ac:dyDescent="0.35">
      <c r="A206">
        <v>90</v>
      </c>
      <c r="B206" t="s">
        <v>434</v>
      </c>
      <c r="C206">
        <v>1253</v>
      </c>
      <c r="D206">
        <v>1253</v>
      </c>
      <c r="E206">
        <v>1419181.9</v>
      </c>
      <c r="F206">
        <v>1</v>
      </c>
      <c r="G206">
        <v>1419181.9</v>
      </c>
      <c r="H206">
        <v>1419181.9</v>
      </c>
      <c r="I206">
        <v>1</v>
      </c>
      <c r="J206">
        <v>1419181.9</v>
      </c>
      <c r="K206">
        <v>0</v>
      </c>
      <c r="L206">
        <v>0</v>
      </c>
      <c r="M206">
        <v>1253</v>
      </c>
      <c r="N206">
        <v>1253</v>
      </c>
      <c r="O206">
        <v>-1417928.9</v>
      </c>
      <c r="P206">
        <v>-1417928.9</v>
      </c>
      <c r="Q206">
        <v>0</v>
      </c>
      <c r="R206">
        <v>124682.21</v>
      </c>
      <c r="S206">
        <v>0</v>
      </c>
      <c r="T206" t="s">
        <v>428</v>
      </c>
    </row>
    <row r="207" spans="1:20" ht="14.5" customHeight="1" x14ac:dyDescent="0.35">
      <c r="A207">
        <v>100</v>
      </c>
      <c r="B207" t="s">
        <v>435</v>
      </c>
      <c r="C207">
        <v>0</v>
      </c>
      <c r="D207">
        <v>0</v>
      </c>
      <c r="E207">
        <v>153198.14000000001</v>
      </c>
      <c r="F207">
        <v>1</v>
      </c>
      <c r="G207">
        <v>153198.14000000001</v>
      </c>
      <c r="H207">
        <v>153198.14000000001</v>
      </c>
      <c r="I207">
        <v>1</v>
      </c>
      <c r="J207">
        <v>153198.14000000001</v>
      </c>
      <c r="K207">
        <v>0</v>
      </c>
      <c r="L207">
        <v>0</v>
      </c>
      <c r="M207">
        <v>0</v>
      </c>
      <c r="N207">
        <v>0</v>
      </c>
      <c r="O207">
        <v>-153198.14000000001</v>
      </c>
      <c r="P207">
        <v>-153198.14000000001</v>
      </c>
      <c r="Q207">
        <v>0</v>
      </c>
      <c r="R207">
        <v>151289.01999999999</v>
      </c>
      <c r="S207">
        <v>0</v>
      </c>
      <c r="T207" t="s">
        <v>428</v>
      </c>
    </row>
    <row r="208" spans="1:20" ht="14.5" customHeight="1" x14ac:dyDescent="0.35">
      <c r="A208">
        <v>110</v>
      </c>
      <c r="B208" t="s">
        <v>436</v>
      </c>
      <c r="C208">
        <v>1253</v>
      </c>
      <c r="D208">
        <v>1253</v>
      </c>
      <c r="E208">
        <v>1661910.3</v>
      </c>
      <c r="F208">
        <v>1</v>
      </c>
      <c r="G208">
        <v>1661910.3</v>
      </c>
      <c r="H208">
        <v>1661910.3</v>
      </c>
      <c r="I208">
        <v>1</v>
      </c>
      <c r="J208">
        <v>1661910.3</v>
      </c>
      <c r="K208">
        <v>0</v>
      </c>
      <c r="L208">
        <v>0</v>
      </c>
      <c r="M208">
        <v>1253</v>
      </c>
      <c r="N208">
        <v>1253</v>
      </c>
      <c r="O208">
        <v>-1660657.3</v>
      </c>
      <c r="P208">
        <v>-1660657.3</v>
      </c>
      <c r="Q208">
        <v>0</v>
      </c>
      <c r="R208">
        <v>271098.21000000002</v>
      </c>
      <c r="S208">
        <v>0</v>
      </c>
      <c r="T208" t="s">
        <v>428</v>
      </c>
    </row>
    <row r="209" spans="1:20" ht="14.5" customHeight="1" x14ac:dyDescent="0.35">
      <c r="A209">
        <v>120</v>
      </c>
      <c r="B209" t="s">
        <v>437</v>
      </c>
      <c r="C209">
        <v>-1253</v>
      </c>
      <c r="D209">
        <v>-1253</v>
      </c>
      <c r="E209">
        <v>-1649609.46</v>
      </c>
      <c r="F209">
        <v>1</v>
      </c>
      <c r="G209">
        <v>-1649609.46</v>
      </c>
      <c r="H209">
        <v>-1649609.46</v>
      </c>
      <c r="I209">
        <v>1</v>
      </c>
      <c r="J209">
        <v>-1649609.46</v>
      </c>
      <c r="K209">
        <v>0</v>
      </c>
      <c r="L209">
        <v>0</v>
      </c>
      <c r="M209">
        <v>-1253</v>
      </c>
      <c r="N209">
        <v>-1253</v>
      </c>
      <c r="O209">
        <v>1648356.46</v>
      </c>
      <c r="P209">
        <v>1648356.46</v>
      </c>
      <c r="Q209">
        <v>0</v>
      </c>
      <c r="R209">
        <v>-267458.98</v>
      </c>
      <c r="S209">
        <v>0</v>
      </c>
      <c r="T209" t="s">
        <v>428</v>
      </c>
    </row>
    <row r="210" spans="1:20" ht="14.5" customHeight="1" x14ac:dyDescent="0.35">
      <c r="A210">
        <v>130</v>
      </c>
      <c r="B210" t="s">
        <v>438</v>
      </c>
      <c r="C210">
        <v>0</v>
      </c>
      <c r="D210">
        <v>0</v>
      </c>
      <c r="E210">
        <v>0</v>
      </c>
      <c r="F210">
        <v>1</v>
      </c>
      <c r="G210">
        <v>0</v>
      </c>
      <c r="H210">
        <v>0</v>
      </c>
      <c r="I210">
        <v>1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 t="s">
        <v>428</v>
      </c>
    </row>
    <row r="211" spans="1:20" ht="14.5" customHeight="1" x14ac:dyDescent="0.35">
      <c r="A211">
        <v>135</v>
      </c>
      <c r="B211" t="s">
        <v>439</v>
      </c>
      <c r="C211">
        <v>0</v>
      </c>
      <c r="D211">
        <v>0</v>
      </c>
      <c r="E211">
        <v>0</v>
      </c>
      <c r="F211">
        <v>1</v>
      </c>
      <c r="G211">
        <v>0</v>
      </c>
      <c r="H211">
        <v>0</v>
      </c>
      <c r="I211">
        <v>1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 t="s">
        <v>428</v>
      </c>
    </row>
    <row r="212" spans="1:20" ht="14.5" customHeight="1" x14ac:dyDescent="0.35">
      <c r="A212">
        <v>140</v>
      </c>
      <c r="B212" t="s">
        <v>440</v>
      </c>
      <c r="C212">
        <v>0</v>
      </c>
      <c r="D212">
        <v>0</v>
      </c>
      <c r="E212">
        <v>1023.94</v>
      </c>
      <c r="F212">
        <v>1</v>
      </c>
      <c r="G212">
        <v>1023.94</v>
      </c>
      <c r="H212">
        <v>1023.94</v>
      </c>
      <c r="I212">
        <v>1</v>
      </c>
      <c r="J212">
        <v>1023.94</v>
      </c>
      <c r="K212">
        <v>0</v>
      </c>
      <c r="L212">
        <v>0</v>
      </c>
      <c r="M212">
        <v>0</v>
      </c>
      <c r="N212">
        <v>0</v>
      </c>
      <c r="O212">
        <v>-1023.94</v>
      </c>
      <c r="P212">
        <v>-1023.94</v>
      </c>
      <c r="Q212">
        <v>0</v>
      </c>
      <c r="R212">
        <v>7186.53</v>
      </c>
      <c r="S212">
        <v>0</v>
      </c>
      <c r="T212" t="s">
        <v>428</v>
      </c>
    </row>
    <row r="213" spans="1:20" ht="14.5" customHeight="1" x14ac:dyDescent="0.35">
      <c r="A213">
        <v>150</v>
      </c>
      <c r="B213" t="s">
        <v>441</v>
      </c>
      <c r="C213">
        <v>0</v>
      </c>
      <c r="D213">
        <v>0</v>
      </c>
      <c r="E213">
        <v>5.12</v>
      </c>
      <c r="F213">
        <v>1</v>
      </c>
      <c r="G213">
        <v>5.12</v>
      </c>
      <c r="H213">
        <v>5.12</v>
      </c>
      <c r="I213">
        <v>1</v>
      </c>
      <c r="J213">
        <v>5.12</v>
      </c>
      <c r="K213">
        <v>0</v>
      </c>
      <c r="L213">
        <v>0</v>
      </c>
      <c r="M213">
        <v>0</v>
      </c>
      <c r="N213">
        <v>0</v>
      </c>
      <c r="O213">
        <v>-5.12</v>
      </c>
      <c r="P213">
        <v>-5.12</v>
      </c>
      <c r="Q213">
        <v>0</v>
      </c>
      <c r="R213">
        <v>4.43</v>
      </c>
      <c r="S213">
        <v>0</v>
      </c>
      <c r="T213" t="s">
        <v>428</v>
      </c>
    </row>
    <row r="214" spans="1:20" ht="14.5" customHeight="1" x14ac:dyDescent="0.35">
      <c r="A214">
        <v>155</v>
      </c>
      <c r="B214" t="s">
        <v>442</v>
      </c>
      <c r="C214">
        <v>0</v>
      </c>
      <c r="D214">
        <v>0</v>
      </c>
      <c r="E214">
        <v>0</v>
      </c>
      <c r="F214">
        <v>1</v>
      </c>
      <c r="G214">
        <v>0</v>
      </c>
      <c r="H214">
        <v>0</v>
      </c>
      <c r="I214">
        <v>1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 t="s">
        <v>428</v>
      </c>
    </row>
    <row r="215" spans="1:20" ht="14.5" customHeight="1" x14ac:dyDescent="0.35">
      <c r="A215">
        <v>160</v>
      </c>
      <c r="B215" t="s">
        <v>443</v>
      </c>
      <c r="C215">
        <v>0</v>
      </c>
      <c r="D215">
        <v>0</v>
      </c>
      <c r="E215">
        <v>1018.82</v>
      </c>
      <c r="F215">
        <v>1</v>
      </c>
      <c r="G215">
        <v>1018.82</v>
      </c>
      <c r="H215">
        <v>1018.82</v>
      </c>
      <c r="I215">
        <v>1</v>
      </c>
      <c r="J215">
        <v>1018.82</v>
      </c>
      <c r="K215">
        <v>0</v>
      </c>
      <c r="L215">
        <v>0</v>
      </c>
      <c r="M215">
        <v>0</v>
      </c>
      <c r="N215">
        <v>0</v>
      </c>
      <c r="O215">
        <v>-1018.82</v>
      </c>
      <c r="P215">
        <v>-1018.82</v>
      </c>
      <c r="Q215">
        <v>0</v>
      </c>
      <c r="R215">
        <v>7182.1</v>
      </c>
      <c r="S215">
        <v>0</v>
      </c>
      <c r="T215" t="s">
        <v>428</v>
      </c>
    </row>
    <row r="216" spans="1:20" ht="14.5" customHeight="1" x14ac:dyDescent="0.35">
      <c r="A216">
        <v>170</v>
      </c>
      <c r="B216" t="s">
        <v>444</v>
      </c>
      <c r="C216">
        <v>-1253</v>
      </c>
      <c r="D216">
        <v>-1253</v>
      </c>
      <c r="E216">
        <v>-1650628.28</v>
      </c>
      <c r="F216">
        <v>1</v>
      </c>
      <c r="G216">
        <v>-1650628.28</v>
      </c>
      <c r="H216">
        <v>-1650628.28</v>
      </c>
      <c r="I216">
        <v>1</v>
      </c>
      <c r="J216">
        <v>-1650628.28</v>
      </c>
      <c r="K216">
        <v>0</v>
      </c>
      <c r="L216">
        <v>0</v>
      </c>
      <c r="M216">
        <v>-1253</v>
      </c>
      <c r="N216">
        <v>-1253</v>
      </c>
      <c r="O216">
        <v>1649375.28</v>
      </c>
      <c r="P216">
        <v>1649375.28</v>
      </c>
      <c r="Q216">
        <v>0</v>
      </c>
      <c r="R216">
        <v>-274641.08</v>
      </c>
      <c r="S216">
        <v>0</v>
      </c>
      <c r="T216" t="s">
        <v>428</v>
      </c>
    </row>
    <row r="217" spans="1:20" x14ac:dyDescent="0.35">
      <c r="A217">
        <v>180</v>
      </c>
      <c r="B217" t="s">
        <v>445</v>
      </c>
      <c r="C217">
        <v>0</v>
      </c>
      <c r="D217">
        <v>0</v>
      </c>
      <c r="E217">
        <v>0</v>
      </c>
      <c r="F217">
        <v>1</v>
      </c>
      <c r="G217">
        <v>0</v>
      </c>
      <c r="H217">
        <v>0</v>
      </c>
      <c r="I217">
        <v>1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 t="s">
        <v>428</v>
      </c>
    </row>
    <row r="218" spans="1:20" x14ac:dyDescent="0.35">
      <c r="A218">
        <v>190</v>
      </c>
      <c r="B218" t="s">
        <v>446</v>
      </c>
      <c r="C218">
        <v>0</v>
      </c>
      <c r="D218">
        <v>0</v>
      </c>
      <c r="E218">
        <v>0</v>
      </c>
      <c r="F218">
        <v>1</v>
      </c>
      <c r="G218">
        <v>0</v>
      </c>
      <c r="H218">
        <v>0</v>
      </c>
      <c r="I218">
        <v>1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 t="s">
        <v>428</v>
      </c>
    </row>
    <row r="219" spans="1:20" ht="14.5" customHeight="1" x14ac:dyDescent="0.35">
      <c r="A219">
        <v>200</v>
      </c>
      <c r="B219" t="s">
        <v>447</v>
      </c>
      <c r="C219">
        <v>-1253</v>
      </c>
      <c r="D219">
        <v>-1253</v>
      </c>
      <c r="E219">
        <v>-1650628.28</v>
      </c>
      <c r="F219">
        <v>1</v>
      </c>
      <c r="G219">
        <v>-1650628.28</v>
      </c>
      <c r="H219">
        <v>-1650628.28</v>
      </c>
      <c r="I219">
        <v>1</v>
      </c>
      <c r="J219">
        <v>-1650628.28</v>
      </c>
      <c r="K219">
        <v>0</v>
      </c>
      <c r="L219">
        <v>0</v>
      </c>
      <c r="M219">
        <v>-1253</v>
      </c>
      <c r="N219">
        <v>-1253</v>
      </c>
      <c r="O219">
        <v>1649375.28</v>
      </c>
      <c r="P219">
        <v>1649375.28</v>
      </c>
      <c r="Q219">
        <v>0</v>
      </c>
      <c r="R219">
        <v>-274641.08</v>
      </c>
      <c r="S219">
        <v>0</v>
      </c>
      <c r="T219" t="s">
        <v>428</v>
      </c>
    </row>
    <row r="220" spans="1:20" ht="14.5" customHeight="1" x14ac:dyDescent="0.35">
      <c r="A220">
        <v>210</v>
      </c>
      <c r="B220" t="s">
        <v>448</v>
      </c>
      <c r="C220">
        <v>-1253</v>
      </c>
      <c r="D220">
        <v>-1253</v>
      </c>
      <c r="E220">
        <v>-1496411.32</v>
      </c>
      <c r="F220">
        <v>1</v>
      </c>
      <c r="G220">
        <v>-1496411.32</v>
      </c>
      <c r="H220">
        <v>-1496411.32</v>
      </c>
      <c r="I220">
        <v>1</v>
      </c>
      <c r="J220">
        <v>-1496411.32</v>
      </c>
      <c r="K220">
        <v>0</v>
      </c>
      <c r="L220">
        <v>0</v>
      </c>
      <c r="M220">
        <v>-1253</v>
      </c>
      <c r="N220">
        <v>-1253</v>
      </c>
      <c r="O220">
        <v>1495158.32</v>
      </c>
      <c r="P220">
        <v>1495158.32</v>
      </c>
      <c r="Q220">
        <v>0</v>
      </c>
      <c r="R220">
        <v>-116169.96</v>
      </c>
      <c r="S220">
        <v>0</v>
      </c>
      <c r="T220" t="s">
        <v>428</v>
      </c>
    </row>
    <row r="221" spans="1:20" s="179" customFormat="1" x14ac:dyDescent="0.35">
      <c r="A221" t="s">
        <v>489</v>
      </c>
      <c r="B221" t="s">
        <v>416</v>
      </c>
      <c r="C221" t="s">
        <v>469</v>
      </c>
      <c r="D221" t="s">
        <v>470</v>
      </c>
      <c r="E221" t="s">
        <v>419</v>
      </c>
      <c r="F221" t="s">
        <v>471</v>
      </c>
      <c r="G221" t="s">
        <v>472</v>
      </c>
      <c r="H221" t="s">
        <v>473</v>
      </c>
      <c r="I221" t="s">
        <v>474</v>
      </c>
      <c r="J221" t="s">
        <v>475</v>
      </c>
      <c r="K221" t="s">
        <v>476</v>
      </c>
      <c r="L221" t="s">
        <v>477</v>
      </c>
      <c r="M221" t="s">
        <v>129</v>
      </c>
      <c r="N221" t="s">
        <v>131</v>
      </c>
      <c r="O221" t="s">
        <v>132</v>
      </c>
      <c r="P221" t="s">
        <v>133</v>
      </c>
      <c r="Q221" t="s">
        <v>121</v>
      </c>
      <c r="R221"/>
      <c r="S221"/>
      <c r="T221"/>
    </row>
    <row r="222" spans="1:20" ht="14.5" customHeight="1" x14ac:dyDescent="0.35">
      <c r="A222">
        <v>30</v>
      </c>
      <c r="B222" t="s">
        <v>427</v>
      </c>
      <c r="C222">
        <v>3577525.01</v>
      </c>
      <c r="D222">
        <v>3577525.01</v>
      </c>
      <c r="E222">
        <v>205000</v>
      </c>
      <c r="F222">
        <v>1</v>
      </c>
      <c r="G222">
        <v>205000</v>
      </c>
      <c r="H222">
        <v>205000</v>
      </c>
      <c r="I222">
        <v>1</v>
      </c>
      <c r="J222">
        <v>205000</v>
      </c>
      <c r="K222">
        <v>0</v>
      </c>
      <c r="L222">
        <v>0</v>
      </c>
      <c r="M222">
        <v>3372525.01</v>
      </c>
      <c r="N222">
        <v>3372525.01</v>
      </c>
      <c r="O222">
        <v>3577525.01</v>
      </c>
      <c r="P222">
        <v>3577525.01</v>
      </c>
      <c r="Q222" t="s">
        <v>428</v>
      </c>
      <c r="R222"/>
      <c r="S222"/>
      <c r="T222"/>
    </row>
    <row r="223" spans="1:20" ht="14.5" customHeight="1" x14ac:dyDescent="0.35">
      <c r="A223">
        <v>40</v>
      </c>
      <c r="B223" t="s">
        <v>429</v>
      </c>
      <c r="C223">
        <v>0</v>
      </c>
      <c r="D223">
        <v>0</v>
      </c>
      <c r="E223">
        <v>0</v>
      </c>
      <c r="F223">
        <v>1</v>
      </c>
      <c r="G223">
        <v>0</v>
      </c>
      <c r="H223">
        <v>0</v>
      </c>
      <c r="I223">
        <v>1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 t="s">
        <v>428</v>
      </c>
      <c r="R223"/>
      <c r="S223"/>
      <c r="T223"/>
    </row>
    <row r="224" spans="1:20" x14ac:dyDescent="0.35">
      <c r="A224">
        <v>50</v>
      </c>
      <c r="B224" t="s">
        <v>430</v>
      </c>
      <c r="C224">
        <v>3577525.01</v>
      </c>
      <c r="D224">
        <v>3577525.01</v>
      </c>
      <c r="E224">
        <v>205000</v>
      </c>
      <c r="F224">
        <v>1</v>
      </c>
      <c r="G224">
        <v>205000</v>
      </c>
      <c r="H224">
        <v>205000</v>
      </c>
      <c r="I224">
        <v>1</v>
      </c>
      <c r="J224">
        <v>205000</v>
      </c>
      <c r="K224">
        <v>0</v>
      </c>
      <c r="L224">
        <v>0</v>
      </c>
      <c r="M224">
        <v>3372525.01</v>
      </c>
      <c r="N224">
        <v>3372525.01</v>
      </c>
      <c r="O224">
        <v>3577525.01</v>
      </c>
      <c r="P224">
        <v>3577525.01</v>
      </c>
      <c r="Q224" t="s">
        <v>428</v>
      </c>
      <c r="R224"/>
      <c r="S224"/>
      <c r="T224"/>
    </row>
    <row r="225" spans="1:20" x14ac:dyDescent="0.35">
      <c r="A225">
        <v>60</v>
      </c>
      <c r="B225" t="s">
        <v>431</v>
      </c>
      <c r="C225">
        <v>0</v>
      </c>
      <c r="D225">
        <v>0</v>
      </c>
      <c r="E225">
        <v>0</v>
      </c>
      <c r="F225">
        <v>1</v>
      </c>
      <c r="G225">
        <v>0</v>
      </c>
      <c r="H225">
        <v>0</v>
      </c>
      <c r="I225">
        <v>1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 t="s">
        <v>428</v>
      </c>
      <c r="R225"/>
      <c r="S225"/>
      <c r="T225"/>
    </row>
    <row r="226" spans="1:20" x14ac:dyDescent="0.35">
      <c r="A226">
        <v>70</v>
      </c>
      <c r="B226" t="s">
        <v>432</v>
      </c>
      <c r="C226">
        <v>3577525.01</v>
      </c>
      <c r="D226">
        <v>3577525.01</v>
      </c>
      <c r="E226">
        <v>205000</v>
      </c>
      <c r="F226">
        <v>1</v>
      </c>
      <c r="G226">
        <v>205000</v>
      </c>
      <c r="H226">
        <v>205000</v>
      </c>
      <c r="I226">
        <v>1</v>
      </c>
      <c r="J226">
        <v>205000</v>
      </c>
      <c r="K226">
        <v>0</v>
      </c>
      <c r="L226">
        <v>0</v>
      </c>
      <c r="M226">
        <v>3372525.01</v>
      </c>
      <c r="N226">
        <v>3372525.01</v>
      </c>
      <c r="O226">
        <v>3577525.01</v>
      </c>
      <c r="P226">
        <v>3577525.01</v>
      </c>
      <c r="Q226" t="s">
        <v>428</v>
      </c>
      <c r="R226"/>
      <c r="S226"/>
      <c r="T226"/>
    </row>
    <row r="227" spans="1:20" ht="14.5" customHeight="1" x14ac:dyDescent="0.35">
      <c r="A227">
        <v>80</v>
      </c>
      <c r="B227" t="s">
        <v>433</v>
      </c>
      <c r="C227">
        <v>0</v>
      </c>
      <c r="D227">
        <v>0</v>
      </c>
      <c r="E227">
        <v>0</v>
      </c>
      <c r="F227">
        <v>1</v>
      </c>
      <c r="G227">
        <v>0</v>
      </c>
      <c r="H227">
        <v>0</v>
      </c>
      <c r="I227">
        <v>1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 t="s">
        <v>428</v>
      </c>
      <c r="R227"/>
      <c r="S227"/>
      <c r="T227"/>
    </row>
    <row r="228" spans="1:20" ht="14.5" customHeight="1" x14ac:dyDescent="0.35">
      <c r="A228">
        <v>90</v>
      </c>
      <c r="B228" t="s">
        <v>434</v>
      </c>
      <c r="C228">
        <v>122051.28</v>
      </c>
      <c r="D228">
        <v>122051.28</v>
      </c>
      <c r="E228">
        <v>116965.85</v>
      </c>
      <c r="F228">
        <v>1</v>
      </c>
      <c r="G228">
        <v>116965.85</v>
      </c>
      <c r="H228">
        <v>116965.85</v>
      </c>
      <c r="I228">
        <v>1</v>
      </c>
      <c r="J228">
        <v>116965.85</v>
      </c>
      <c r="K228">
        <v>0</v>
      </c>
      <c r="L228">
        <v>0</v>
      </c>
      <c r="M228">
        <v>5085.43</v>
      </c>
      <c r="N228">
        <v>5085.43</v>
      </c>
      <c r="O228">
        <v>122051.28</v>
      </c>
      <c r="P228">
        <v>122051.28</v>
      </c>
      <c r="Q228" t="s">
        <v>428</v>
      </c>
      <c r="R228"/>
      <c r="S228"/>
      <c r="T228"/>
    </row>
    <row r="229" spans="1:20" ht="14.5" customHeight="1" x14ac:dyDescent="0.35">
      <c r="A229">
        <v>100</v>
      </c>
      <c r="B229" t="s">
        <v>435</v>
      </c>
      <c r="C229">
        <v>0</v>
      </c>
      <c r="D229">
        <v>0</v>
      </c>
      <c r="E229">
        <v>0</v>
      </c>
      <c r="F229">
        <v>1</v>
      </c>
      <c r="G229">
        <v>0</v>
      </c>
      <c r="H229">
        <v>0</v>
      </c>
      <c r="I229">
        <v>1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 t="s">
        <v>428</v>
      </c>
      <c r="R229"/>
      <c r="S229"/>
      <c r="T229"/>
    </row>
    <row r="230" spans="1:20" ht="14.5" customHeight="1" x14ac:dyDescent="0.35">
      <c r="A230">
        <v>110</v>
      </c>
      <c r="B230" t="s">
        <v>436</v>
      </c>
      <c r="C230">
        <v>122051.28</v>
      </c>
      <c r="D230">
        <v>122051.28</v>
      </c>
      <c r="E230">
        <v>116965.85</v>
      </c>
      <c r="F230">
        <v>1</v>
      </c>
      <c r="G230">
        <v>116965.85</v>
      </c>
      <c r="H230">
        <v>116965.85</v>
      </c>
      <c r="I230">
        <v>1</v>
      </c>
      <c r="J230">
        <v>116965.85</v>
      </c>
      <c r="K230">
        <v>0</v>
      </c>
      <c r="L230">
        <v>0</v>
      </c>
      <c r="M230">
        <v>5085.43</v>
      </c>
      <c r="N230">
        <v>5085.43</v>
      </c>
      <c r="O230">
        <v>122051.28</v>
      </c>
      <c r="P230">
        <v>122051.28</v>
      </c>
      <c r="Q230" t="s">
        <v>428</v>
      </c>
      <c r="R230"/>
      <c r="S230"/>
      <c r="T230"/>
    </row>
    <row r="231" spans="1:20" ht="14.5" customHeight="1" x14ac:dyDescent="0.35">
      <c r="A231">
        <v>120</v>
      </c>
      <c r="B231" t="s">
        <v>437</v>
      </c>
      <c r="C231">
        <v>3455473.73</v>
      </c>
      <c r="D231">
        <v>3455473.73</v>
      </c>
      <c r="E231">
        <v>88034.15</v>
      </c>
      <c r="F231">
        <v>1</v>
      </c>
      <c r="G231">
        <v>88034.15</v>
      </c>
      <c r="H231">
        <v>88034.15</v>
      </c>
      <c r="I231">
        <v>1</v>
      </c>
      <c r="J231">
        <v>88034.15</v>
      </c>
      <c r="K231">
        <v>0</v>
      </c>
      <c r="L231">
        <v>0</v>
      </c>
      <c r="M231">
        <v>3367439.58</v>
      </c>
      <c r="N231">
        <v>3367439.58</v>
      </c>
      <c r="O231">
        <v>3455473.73</v>
      </c>
      <c r="P231">
        <v>3455473.73</v>
      </c>
      <c r="Q231" t="s">
        <v>428</v>
      </c>
      <c r="R231"/>
      <c r="S231"/>
      <c r="T231"/>
    </row>
    <row r="232" spans="1:20" ht="14.5" customHeight="1" x14ac:dyDescent="0.35">
      <c r="A232">
        <v>130</v>
      </c>
      <c r="B232" t="s">
        <v>438</v>
      </c>
      <c r="C232">
        <v>1774566.12</v>
      </c>
      <c r="D232">
        <v>1774566.12</v>
      </c>
      <c r="E232">
        <v>-383615.93</v>
      </c>
      <c r="F232">
        <v>1</v>
      </c>
      <c r="G232">
        <v>-383615.93</v>
      </c>
      <c r="H232">
        <v>-383615.93</v>
      </c>
      <c r="I232">
        <v>1</v>
      </c>
      <c r="J232">
        <v>-383615.93</v>
      </c>
      <c r="K232">
        <v>0</v>
      </c>
      <c r="L232">
        <v>0</v>
      </c>
      <c r="M232">
        <v>2158182.0499999998</v>
      </c>
      <c r="N232">
        <v>2158182.0499999998</v>
      </c>
      <c r="O232">
        <v>1774566.12</v>
      </c>
      <c r="P232">
        <v>1774566.12</v>
      </c>
      <c r="Q232" t="s">
        <v>428</v>
      </c>
      <c r="R232"/>
      <c r="S232"/>
      <c r="T232"/>
    </row>
    <row r="233" spans="1:20" ht="14.5" customHeight="1" x14ac:dyDescent="0.35">
      <c r="A233">
        <v>135</v>
      </c>
      <c r="B233" t="s">
        <v>439</v>
      </c>
      <c r="C233">
        <v>0</v>
      </c>
      <c r="D233">
        <v>0</v>
      </c>
      <c r="E233">
        <v>0</v>
      </c>
      <c r="F233">
        <v>1</v>
      </c>
      <c r="G233">
        <v>0</v>
      </c>
      <c r="H233">
        <v>0</v>
      </c>
      <c r="I233">
        <v>1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 t="s">
        <v>428</v>
      </c>
      <c r="R233"/>
      <c r="S233"/>
      <c r="T233"/>
    </row>
    <row r="234" spans="1:20" ht="14.5" customHeight="1" x14ac:dyDescent="0.35">
      <c r="A234">
        <v>140</v>
      </c>
      <c r="B234" t="s">
        <v>440</v>
      </c>
      <c r="C234">
        <v>207398.39999999999</v>
      </c>
      <c r="D234">
        <v>207398.39999999999</v>
      </c>
      <c r="E234">
        <v>388339.5</v>
      </c>
      <c r="F234">
        <v>1</v>
      </c>
      <c r="G234">
        <v>388339.5</v>
      </c>
      <c r="H234">
        <v>388339.5</v>
      </c>
      <c r="I234">
        <v>1</v>
      </c>
      <c r="J234">
        <v>388339.5</v>
      </c>
      <c r="K234">
        <v>0</v>
      </c>
      <c r="L234">
        <v>0</v>
      </c>
      <c r="M234">
        <v>-180941.1</v>
      </c>
      <c r="N234">
        <v>-180941.1</v>
      </c>
      <c r="O234">
        <v>207398.39999999999</v>
      </c>
      <c r="P234">
        <v>207398.39999999999</v>
      </c>
      <c r="Q234" t="s">
        <v>428</v>
      </c>
      <c r="R234"/>
      <c r="S234"/>
      <c r="T234"/>
    </row>
    <row r="235" spans="1:20" ht="14.5" customHeight="1" x14ac:dyDescent="0.35">
      <c r="A235">
        <v>150</v>
      </c>
      <c r="B235" t="s">
        <v>441</v>
      </c>
      <c r="C235">
        <v>58.87</v>
      </c>
      <c r="D235">
        <v>58.87</v>
      </c>
      <c r="E235">
        <v>73.680000000000007</v>
      </c>
      <c r="F235">
        <v>1</v>
      </c>
      <c r="G235">
        <v>73.680000000000007</v>
      </c>
      <c r="H235">
        <v>73.680000000000007</v>
      </c>
      <c r="I235">
        <v>1</v>
      </c>
      <c r="J235">
        <v>73.680000000000007</v>
      </c>
      <c r="K235">
        <v>0</v>
      </c>
      <c r="L235">
        <v>0</v>
      </c>
      <c r="M235">
        <v>-14.81</v>
      </c>
      <c r="N235">
        <v>-14.81</v>
      </c>
      <c r="O235">
        <v>58.87</v>
      </c>
      <c r="P235">
        <v>58.87</v>
      </c>
      <c r="Q235" t="s">
        <v>428</v>
      </c>
      <c r="R235"/>
      <c r="S235"/>
      <c r="T235"/>
    </row>
    <row r="236" spans="1:20" ht="14.5" customHeight="1" x14ac:dyDescent="0.35">
      <c r="A236">
        <v>155</v>
      </c>
      <c r="B236" t="s">
        <v>442</v>
      </c>
      <c r="C236">
        <v>0</v>
      </c>
      <c r="D236">
        <v>0</v>
      </c>
      <c r="E236">
        <v>0</v>
      </c>
      <c r="F236">
        <v>1</v>
      </c>
      <c r="G236">
        <v>0</v>
      </c>
      <c r="H236">
        <v>0</v>
      </c>
      <c r="I236">
        <v>1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 t="s">
        <v>428</v>
      </c>
      <c r="R236"/>
      <c r="S236"/>
      <c r="T236"/>
    </row>
    <row r="237" spans="1:20" ht="14.5" customHeight="1" x14ac:dyDescent="0.35">
      <c r="A237">
        <v>160</v>
      </c>
      <c r="B237" t="s">
        <v>443</v>
      </c>
      <c r="C237">
        <v>1981905.65</v>
      </c>
      <c r="D237">
        <v>1981905.65</v>
      </c>
      <c r="E237">
        <v>4649.8900000000003</v>
      </c>
      <c r="F237">
        <v>1</v>
      </c>
      <c r="G237">
        <v>4649.8900000000003</v>
      </c>
      <c r="H237">
        <v>4649.8900000000003</v>
      </c>
      <c r="I237">
        <v>1</v>
      </c>
      <c r="J237">
        <v>4649.8900000000003</v>
      </c>
      <c r="K237">
        <v>0</v>
      </c>
      <c r="L237">
        <v>0</v>
      </c>
      <c r="M237">
        <v>1977255.76</v>
      </c>
      <c r="N237">
        <v>1977255.76</v>
      </c>
      <c r="O237">
        <v>1981905.65</v>
      </c>
      <c r="P237">
        <v>1981905.65</v>
      </c>
      <c r="Q237" t="s">
        <v>428</v>
      </c>
      <c r="R237"/>
      <c r="S237"/>
      <c r="T237"/>
    </row>
    <row r="238" spans="1:20" ht="14.5" customHeight="1" x14ac:dyDescent="0.35">
      <c r="A238">
        <v>170</v>
      </c>
      <c r="B238" t="s">
        <v>444</v>
      </c>
      <c r="C238">
        <v>1473568.08</v>
      </c>
      <c r="D238">
        <v>1473568.08</v>
      </c>
      <c r="E238">
        <v>83384.259999999995</v>
      </c>
      <c r="F238">
        <v>1</v>
      </c>
      <c r="G238">
        <v>83384.259999999995</v>
      </c>
      <c r="H238">
        <v>83384.259999999995</v>
      </c>
      <c r="I238">
        <v>1</v>
      </c>
      <c r="J238">
        <v>83384.259999999995</v>
      </c>
      <c r="K238">
        <v>0</v>
      </c>
      <c r="L238">
        <v>0</v>
      </c>
      <c r="M238">
        <v>1390183.82</v>
      </c>
      <c r="N238">
        <v>1390183.82</v>
      </c>
      <c r="O238">
        <v>1473568.08</v>
      </c>
      <c r="P238">
        <v>1473568.08</v>
      </c>
      <c r="Q238" t="s">
        <v>428</v>
      </c>
      <c r="R238"/>
      <c r="S238"/>
      <c r="T238"/>
    </row>
    <row r="239" spans="1:20" x14ac:dyDescent="0.35">
      <c r="A239">
        <v>180</v>
      </c>
      <c r="B239" t="s">
        <v>445</v>
      </c>
      <c r="C239">
        <v>10568.61</v>
      </c>
      <c r="D239">
        <v>10568.61</v>
      </c>
      <c r="E239">
        <v>19942.79</v>
      </c>
      <c r="F239">
        <v>1</v>
      </c>
      <c r="G239">
        <v>19942.79</v>
      </c>
      <c r="H239">
        <v>19942.79</v>
      </c>
      <c r="I239">
        <v>1</v>
      </c>
      <c r="J239">
        <v>19942.79</v>
      </c>
      <c r="K239">
        <v>0</v>
      </c>
      <c r="L239">
        <v>0</v>
      </c>
      <c r="M239">
        <v>-9374.18</v>
      </c>
      <c r="N239">
        <v>-9374.18</v>
      </c>
      <c r="O239">
        <v>10568.61</v>
      </c>
      <c r="P239">
        <v>10568.61</v>
      </c>
      <c r="Q239" t="s">
        <v>428</v>
      </c>
      <c r="R239"/>
      <c r="S239"/>
      <c r="T239"/>
    </row>
    <row r="240" spans="1:20" x14ac:dyDescent="0.35">
      <c r="A240">
        <v>190</v>
      </c>
      <c r="B240" t="s">
        <v>446</v>
      </c>
      <c r="C240">
        <v>0</v>
      </c>
      <c r="D240">
        <v>0</v>
      </c>
      <c r="E240">
        <v>0</v>
      </c>
      <c r="F240">
        <v>1</v>
      </c>
      <c r="G240">
        <v>0</v>
      </c>
      <c r="H240">
        <v>0</v>
      </c>
      <c r="I240">
        <v>1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 t="s">
        <v>428</v>
      </c>
      <c r="R240"/>
      <c r="S240"/>
      <c r="T240"/>
    </row>
    <row r="241" spans="1:20" ht="14.5" customHeight="1" x14ac:dyDescent="0.35">
      <c r="A241">
        <v>200</v>
      </c>
      <c r="B241" t="s">
        <v>447</v>
      </c>
      <c r="C241">
        <v>1462999.47</v>
      </c>
      <c r="D241">
        <v>1462999.47</v>
      </c>
      <c r="E241">
        <v>63441.47</v>
      </c>
      <c r="F241">
        <v>1</v>
      </c>
      <c r="G241">
        <v>63441.47</v>
      </c>
      <c r="H241">
        <v>63441.47</v>
      </c>
      <c r="I241">
        <v>1</v>
      </c>
      <c r="J241">
        <v>63441.47</v>
      </c>
      <c r="K241">
        <v>0</v>
      </c>
      <c r="L241">
        <v>0</v>
      </c>
      <c r="M241">
        <v>1399558</v>
      </c>
      <c r="N241">
        <v>1399558</v>
      </c>
      <c r="O241">
        <v>1462999.47</v>
      </c>
      <c r="P241">
        <v>1462999.47</v>
      </c>
      <c r="Q241" t="s">
        <v>428</v>
      </c>
      <c r="R241"/>
      <c r="S241"/>
      <c r="T241"/>
    </row>
    <row r="242" spans="1:20" ht="14.5" customHeight="1" x14ac:dyDescent="0.35">
      <c r="A242">
        <v>210</v>
      </c>
      <c r="B242" t="s">
        <v>448</v>
      </c>
      <c r="C242">
        <v>3455473.73</v>
      </c>
      <c r="D242">
        <v>3455473.73</v>
      </c>
      <c r="E242">
        <v>88034.15</v>
      </c>
      <c r="F242">
        <v>1</v>
      </c>
      <c r="G242">
        <v>88034.15</v>
      </c>
      <c r="H242">
        <v>88034.15</v>
      </c>
      <c r="I242">
        <v>1</v>
      </c>
      <c r="J242">
        <v>88034.15</v>
      </c>
      <c r="K242">
        <v>0</v>
      </c>
      <c r="L242">
        <v>0</v>
      </c>
      <c r="M242">
        <v>3367439.58</v>
      </c>
      <c r="N242">
        <v>3367439.58</v>
      </c>
      <c r="O242">
        <v>3455473.73</v>
      </c>
      <c r="P242">
        <v>3455473.73</v>
      </c>
      <c r="Q242" t="s">
        <v>428</v>
      </c>
      <c r="R242"/>
      <c r="S242"/>
      <c r="T242"/>
    </row>
    <row r="243" spans="1:20" s="179" customFormat="1" x14ac:dyDescent="0.35">
      <c r="A243" t="s">
        <v>490</v>
      </c>
      <c r="B243" t="s">
        <v>416</v>
      </c>
      <c r="C243" t="s">
        <v>469</v>
      </c>
      <c r="D243" t="s">
        <v>470</v>
      </c>
      <c r="E243" t="s">
        <v>419</v>
      </c>
      <c r="F243" t="s">
        <v>471</v>
      </c>
      <c r="G243" t="s">
        <v>472</v>
      </c>
      <c r="H243" t="s">
        <v>473</v>
      </c>
      <c r="I243" t="s">
        <v>474</v>
      </c>
      <c r="J243" t="s">
        <v>475</v>
      </c>
      <c r="K243" t="s">
        <v>476</v>
      </c>
      <c r="L243" t="s">
        <v>477</v>
      </c>
      <c r="M243" t="s">
        <v>129</v>
      </c>
      <c r="N243" t="s">
        <v>131</v>
      </c>
      <c r="O243" t="s">
        <v>132</v>
      </c>
      <c r="P243" t="s">
        <v>133</v>
      </c>
      <c r="Q243" t="s">
        <v>121</v>
      </c>
      <c r="R243"/>
      <c r="S243"/>
      <c r="T243"/>
    </row>
    <row r="244" spans="1:20" ht="14.5" customHeight="1" x14ac:dyDescent="0.35">
      <c r="A244">
        <v>30</v>
      </c>
      <c r="B244" t="s">
        <v>427</v>
      </c>
      <c r="C244">
        <v>3679287.02</v>
      </c>
      <c r="D244">
        <v>3679287.02</v>
      </c>
      <c r="E244">
        <v>3388156.17</v>
      </c>
      <c r="F244">
        <v>1</v>
      </c>
      <c r="G244">
        <v>3388156.17</v>
      </c>
      <c r="H244">
        <v>3388156.17</v>
      </c>
      <c r="I244">
        <v>1</v>
      </c>
      <c r="J244">
        <v>3388156.17</v>
      </c>
      <c r="K244">
        <v>0</v>
      </c>
      <c r="L244">
        <v>0</v>
      </c>
      <c r="M244">
        <v>291130.84999999998</v>
      </c>
      <c r="N244">
        <v>291130.84999999998</v>
      </c>
      <c r="O244">
        <v>3679287.02</v>
      </c>
      <c r="P244">
        <v>3679287.02</v>
      </c>
      <c r="Q244" t="s">
        <v>428</v>
      </c>
      <c r="R244"/>
      <c r="S244"/>
      <c r="T244"/>
    </row>
    <row r="245" spans="1:20" ht="14.5" customHeight="1" x14ac:dyDescent="0.35">
      <c r="A245">
        <v>40</v>
      </c>
      <c r="B245" t="s">
        <v>429</v>
      </c>
      <c r="C245">
        <v>0</v>
      </c>
      <c r="D245">
        <v>0</v>
      </c>
      <c r="E245">
        <v>0</v>
      </c>
      <c r="F245">
        <v>1</v>
      </c>
      <c r="G245">
        <v>0</v>
      </c>
      <c r="H245">
        <v>0</v>
      </c>
      <c r="I245">
        <v>1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 t="s">
        <v>428</v>
      </c>
      <c r="R245"/>
      <c r="S245"/>
      <c r="T245"/>
    </row>
    <row r="246" spans="1:20" x14ac:dyDescent="0.35">
      <c r="A246">
        <v>50</v>
      </c>
      <c r="B246" t="s">
        <v>430</v>
      </c>
      <c r="C246">
        <v>3679287.02</v>
      </c>
      <c r="D246">
        <v>3679287.02</v>
      </c>
      <c r="E246">
        <v>3388156.17</v>
      </c>
      <c r="F246">
        <v>1</v>
      </c>
      <c r="G246">
        <v>3388156.17</v>
      </c>
      <c r="H246">
        <v>3388156.17</v>
      </c>
      <c r="I246">
        <v>1</v>
      </c>
      <c r="J246">
        <v>3388156.17</v>
      </c>
      <c r="K246">
        <v>0</v>
      </c>
      <c r="L246">
        <v>0</v>
      </c>
      <c r="M246">
        <v>291130.84999999998</v>
      </c>
      <c r="N246">
        <v>291130.84999999998</v>
      </c>
      <c r="O246">
        <v>3679287.02</v>
      </c>
      <c r="P246">
        <v>3679287.02</v>
      </c>
      <c r="Q246" t="s">
        <v>428</v>
      </c>
      <c r="R246"/>
      <c r="S246"/>
      <c r="T246"/>
    </row>
    <row r="247" spans="1:20" x14ac:dyDescent="0.35">
      <c r="A247">
        <v>60</v>
      </c>
      <c r="B247" t="s">
        <v>431</v>
      </c>
      <c r="C247">
        <v>0</v>
      </c>
      <c r="D247">
        <v>0</v>
      </c>
      <c r="E247">
        <v>0</v>
      </c>
      <c r="F247">
        <v>1</v>
      </c>
      <c r="G247">
        <v>0</v>
      </c>
      <c r="H247">
        <v>0</v>
      </c>
      <c r="I247">
        <v>1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 t="s">
        <v>428</v>
      </c>
      <c r="R247"/>
      <c r="S247"/>
      <c r="T247"/>
    </row>
    <row r="248" spans="1:20" x14ac:dyDescent="0.35">
      <c r="A248">
        <v>70</v>
      </c>
      <c r="B248" t="s">
        <v>432</v>
      </c>
      <c r="C248">
        <v>3679287.02</v>
      </c>
      <c r="D248">
        <v>3679287.02</v>
      </c>
      <c r="E248">
        <v>3388156.17</v>
      </c>
      <c r="F248">
        <v>1</v>
      </c>
      <c r="G248">
        <v>3388156.17</v>
      </c>
      <c r="H248">
        <v>3388156.17</v>
      </c>
      <c r="I248">
        <v>1</v>
      </c>
      <c r="J248">
        <v>3388156.17</v>
      </c>
      <c r="K248">
        <v>0</v>
      </c>
      <c r="L248">
        <v>0</v>
      </c>
      <c r="M248">
        <v>291130.84999999998</v>
      </c>
      <c r="N248">
        <v>291130.84999999998</v>
      </c>
      <c r="O248">
        <v>3679287.02</v>
      </c>
      <c r="P248">
        <v>3679287.02</v>
      </c>
      <c r="Q248" t="s">
        <v>428</v>
      </c>
      <c r="R248"/>
      <c r="S248"/>
      <c r="T248"/>
    </row>
    <row r="249" spans="1:20" ht="14.5" customHeight="1" x14ac:dyDescent="0.35">
      <c r="A249">
        <v>80</v>
      </c>
      <c r="B249" t="s">
        <v>433</v>
      </c>
      <c r="C249">
        <v>0</v>
      </c>
      <c r="D249">
        <v>0</v>
      </c>
      <c r="E249">
        <v>0</v>
      </c>
      <c r="F249">
        <v>1</v>
      </c>
      <c r="G249">
        <v>0</v>
      </c>
      <c r="H249">
        <v>0</v>
      </c>
      <c r="I249">
        <v>1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 t="s">
        <v>428</v>
      </c>
      <c r="R249"/>
      <c r="S249"/>
      <c r="T249"/>
    </row>
    <row r="250" spans="1:20" ht="14.5" customHeight="1" x14ac:dyDescent="0.35">
      <c r="A250">
        <v>90</v>
      </c>
      <c r="B250" t="s">
        <v>434</v>
      </c>
      <c r="C250">
        <v>2835137.38</v>
      </c>
      <c r="D250">
        <v>2835137.38</v>
      </c>
      <c r="E250">
        <v>2978026.62</v>
      </c>
      <c r="F250">
        <v>1</v>
      </c>
      <c r="G250">
        <v>2978026.62</v>
      </c>
      <c r="H250">
        <v>2978026.62</v>
      </c>
      <c r="I250">
        <v>1</v>
      </c>
      <c r="J250">
        <v>2978026.62</v>
      </c>
      <c r="K250">
        <v>0</v>
      </c>
      <c r="L250">
        <v>0</v>
      </c>
      <c r="M250">
        <v>-142889.24</v>
      </c>
      <c r="N250">
        <v>-142889.24</v>
      </c>
      <c r="O250">
        <v>2835137.38</v>
      </c>
      <c r="P250">
        <v>2835137.38</v>
      </c>
      <c r="Q250" t="s">
        <v>428</v>
      </c>
      <c r="R250"/>
      <c r="S250"/>
      <c r="T250"/>
    </row>
    <row r="251" spans="1:20" ht="14.5" customHeight="1" x14ac:dyDescent="0.35">
      <c r="A251">
        <v>100</v>
      </c>
      <c r="B251" t="s">
        <v>435</v>
      </c>
      <c r="C251">
        <v>19594.25</v>
      </c>
      <c r="D251">
        <v>19594.25</v>
      </c>
      <c r="E251">
        <v>19594.25</v>
      </c>
      <c r="F251">
        <v>1</v>
      </c>
      <c r="G251">
        <v>19594.25</v>
      </c>
      <c r="H251">
        <v>19594.25</v>
      </c>
      <c r="I251">
        <v>1</v>
      </c>
      <c r="J251">
        <v>19594.25</v>
      </c>
      <c r="K251">
        <v>0</v>
      </c>
      <c r="L251">
        <v>0</v>
      </c>
      <c r="M251">
        <v>0</v>
      </c>
      <c r="N251">
        <v>0</v>
      </c>
      <c r="O251">
        <v>19594.25</v>
      </c>
      <c r="P251">
        <v>19594.25</v>
      </c>
      <c r="Q251" t="s">
        <v>428</v>
      </c>
      <c r="R251"/>
      <c r="S251"/>
      <c r="T251"/>
    </row>
    <row r="252" spans="1:20" ht="14.5" customHeight="1" x14ac:dyDescent="0.35">
      <c r="A252">
        <v>110</v>
      </c>
      <c r="B252" t="s">
        <v>436</v>
      </c>
      <c r="C252">
        <v>2854731.63</v>
      </c>
      <c r="D252">
        <v>2854731.63</v>
      </c>
      <c r="E252">
        <v>2997620.87</v>
      </c>
      <c r="F252">
        <v>1</v>
      </c>
      <c r="G252">
        <v>2997620.87</v>
      </c>
      <c r="H252">
        <v>2997620.87</v>
      </c>
      <c r="I252">
        <v>1</v>
      </c>
      <c r="J252">
        <v>2997620.87</v>
      </c>
      <c r="K252">
        <v>0</v>
      </c>
      <c r="L252">
        <v>0</v>
      </c>
      <c r="M252">
        <v>-142889.24</v>
      </c>
      <c r="N252">
        <v>-142889.24</v>
      </c>
      <c r="O252">
        <v>2854731.63</v>
      </c>
      <c r="P252">
        <v>2854731.63</v>
      </c>
      <c r="Q252" t="s">
        <v>428</v>
      </c>
      <c r="R252"/>
      <c r="S252"/>
      <c r="T252"/>
    </row>
    <row r="253" spans="1:20" ht="14.5" customHeight="1" x14ac:dyDescent="0.35">
      <c r="A253">
        <v>120</v>
      </c>
      <c r="B253" t="s">
        <v>437</v>
      </c>
      <c r="C253">
        <v>824555.39</v>
      </c>
      <c r="D253">
        <v>824555.39</v>
      </c>
      <c r="E253">
        <v>390535.3</v>
      </c>
      <c r="F253">
        <v>1</v>
      </c>
      <c r="G253">
        <v>390535.3</v>
      </c>
      <c r="H253">
        <v>390535.3</v>
      </c>
      <c r="I253">
        <v>1</v>
      </c>
      <c r="J253">
        <v>390535.3</v>
      </c>
      <c r="K253">
        <v>0</v>
      </c>
      <c r="L253">
        <v>0</v>
      </c>
      <c r="M253">
        <v>434020.09</v>
      </c>
      <c r="N253">
        <v>434020.09</v>
      </c>
      <c r="O253">
        <v>824555.39</v>
      </c>
      <c r="P253">
        <v>824555.39</v>
      </c>
      <c r="Q253" t="s">
        <v>428</v>
      </c>
      <c r="R253"/>
      <c r="S253"/>
      <c r="T253"/>
    </row>
    <row r="254" spans="1:20" ht="14.5" customHeight="1" x14ac:dyDescent="0.35">
      <c r="A254">
        <v>130</v>
      </c>
      <c r="B254" t="s">
        <v>438</v>
      </c>
      <c r="C254">
        <v>0</v>
      </c>
      <c r="D254">
        <v>0</v>
      </c>
      <c r="E254">
        <v>0</v>
      </c>
      <c r="F254">
        <v>1</v>
      </c>
      <c r="G254">
        <v>0</v>
      </c>
      <c r="H254">
        <v>0</v>
      </c>
      <c r="I254">
        <v>1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 t="s">
        <v>428</v>
      </c>
      <c r="R254"/>
      <c r="S254"/>
      <c r="T254"/>
    </row>
    <row r="255" spans="1:20" ht="14.5" customHeight="1" x14ac:dyDescent="0.35">
      <c r="A255">
        <v>135</v>
      </c>
      <c r="B255" t="s">
        <v>439</v>
      </c>
      <c r="C255">
        <v>0</v>
      </c>
      <c r="D255">
        <v>0</v>
      </c>
      <c r="E255">
        <v>0</v>
      </c>
      <c r="F255">
        <v>1</v>
      </c>
      <c r="G255">
        <v>0</v>
      </c>
      <c r="H255">
        <v>0</v>
      </c>
      <c r="I255">
        <v>1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 t="s">
        <v>428</v>
      </c>
      <c r="R255"/>
      <c r="S255"/>
      <c r="T255"/>
    </row>
    <row r="256" spans="1:20" ht="14.5" customHeight="1" x14ac:dyDescent="0.35">
      <c r="A256">
        <v>140</v>
      </c>
      <c r="B256" t="s">
        <v>440</v>
      </c>
      <c r="C256">
        <v>5358.29</v>
      </c>
      <c r="D256">
        <v>5358.29</v>
      </c>
      <c r="E256">
        <v>6834.72</v>
      </c>
      <c r="F256">
        <v>1</v>
      </c>
      <c r="G256">
        <v>6834.72</v>
      </c>
      <c r="H256">
        <v>6834.72</v>
      </c>
      <c r="I256">
        <v>1</v>
      </c>
      <c r="J256">
        <v>6834.72</v>
      </c>
      <c r="K256">
        <v>0</v>
      </c>
      <c r="L256">
        <v>0</v>
      </c>
      <c r="M256">
        <v>-1476.43</v>
      </c>
      <c r="N256">
        <v>-1476.43</v>
      </c>
      <c r="O256">
        <v>5358.29</v>
      </c>
      <c r="P256">
        <v>5358.29</v>
      </c>
      <c r="Q256" t="s">
        <v>428</v>
      </c>
      <c r="R256"/>
      <c r="S256"/>
      <c r="T256"/>
    </row>
    <row r="257" spans="1:20" ht="14.5" customHeight="1" x14ac:dyDescent="0.35">
      <c r="A257">
        <v>150</v>
      </c>
      <c r="B257" t="s">
        <v>441</v>
      </c>
      <c r="C257">
        <v>0</v>
      </c>
      <c r="D257">
        <v>0</v>
      </c>
      <c r="E257">
        <v>0</v>
      </c>
      <c r="F257">
        <v>1</v>
      </c>
      <c r="G257">
        <v>0</v>
      </c>
      <c r="H257">
        <v>0</v>
      </c>
      <c r="I257">
        <v>1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 t="s">
        <v>428</v>
      </c>
      <c r="R257"/>
      <c r="S257"/>
      <c r="T257"/>
    </row>
    <row r="258" spans="1:20" ht="14.5" customHeight="1" x14ac:dyDescent="0.35">
      <c r="A258">
        <v>155</v>
      </c>
      <c r="B258" t="s">
        <v>442</v>
      </c>
      <c r="C258">
        <v>0</v>
      </c>
      <c r="D258">
        <v>0</v>
      </c>
      <c r="E258">
        <v>0</v>
      </c>
      <c r="F258">
        <v>1</v>
      </c>
      <c r="G258">
        <v>0</v>
      </c>
      <c r="H258">
        <v>0</v>
      </c>
      <c r="I258">
        <v>1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 t="s">
        <v>428</v>
      </c>
      <c r="R258"/>
      <c r="S258"/>
      <c r="T258"/>
    </row>
    <row r="259" spans="1:20" ht="14.5" customHeight="1" x14ac:dyDescent="0.35">
      <c r="A259">
        <v>160</v>
      </c>
      <c r="B259" t="s">
        <v>443</v>
      </c>
      <c r="C259">
        <v>5358.29</v>
      </c>
      <c r="D259">
        <v>5358.29</v>
      </c>
      <c r="E259">
        <v>6834.72</v>
      </c>
      <c r="F259">
        <v>1</v>
      </c>
      <c r="G259">
        <v>6834.72</v>
      </c>
      <c r="H259">
        <v>6834.72</v>
      </c>
      <c r="I259">
        <v>1</v>
      </c>
      <c r="J259">
        <v>6834.72</v>
      </c>
      <c r="K259">
        <v>0</v>
      </c>
      <c r="L259">
        <v>0</v>
      </c>
      <c r="M259">
        <v>-1476.43</v>
      </c>
      <c r="N259">
        <v>-1476.43</v>
      </c>
      <c r="O259">
        <v>5358.29</v>
      </c>
      <c r="P259">
        <v>5358.29</v>
      </c>
      <c r="Q259" t="s">
        <v>428</v>
      </c>
      <c r="R259"/>
      <c r="S259"/>
      <c r="T259"/>
    </row>
    <row r="260" spans="1:20" ht="14.5" customHeight="1" x14ac:dyDescent="0.35">
      <c r="A260">
        <v>170</v>
      </c>
      <c r="B260" t="s">
        <v>444</v>
      </c>
      <c r="C260">
        <v>819197.1</v>
      </c>
      <c r="D260">
        <v>819197.1</v>
      </c>
      <c r="E260">
        <v>383700.58</v>
      </c>
      <c r="F260">
        <v>1</v>
      </c>
      <c r="G260">
        <v>383700.58</v>
      </c>
      <c r="H260">
        <v>383700.58</v>
      </c>
      <c r="I260">
        <v>1</v>
      </c>
      <c r="J260">
        <v>383700.58</v>
      </c>
      <c r="K260">
        <v>0</v>
      </c>
      <c r="L260">
        <v>0</v>
      </c>
      <c r="M260">
        <v>435496.52</v>
      </c>
      <c r="N260">
        <v>435496.52</v>
      </c>
      <c r="O260">
        <v>819197.1</v>
      </c>
      <c r="P260">
        <v>819197.1</v>
      </c>
      <c r="Q260" t="s">
        <v>428</v>
      </c>
      <c r="R260"/>
      <c r="S260"/>
      <c r="T260"/>
    </row>
    <row r="261" spans="1:20" x14ac:dyDescent="0.35">
      <c r="A261">
        <v>180</v>
      </c>
      <c r="B261" t="s">
        <v>445</v>
      </c>
      <c r="C261">
        <v>0</v>
      </c>
      <c r="D261">
        <v>0</v>
      </c>
      <c r="E261">
        <v>0</v>
      </c>
      <c r="F261">
        <v>1</v>
      </c>
      <c r="G261">
        <v>0</v>
      </c>
      <c r="H261">
        <v>0</v>
      </c>
      <c r="I261">
        <v>1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 t="s">
        <v>428</v>
      </c>
      <c r="R261"/>
      <c r="S261"/>
      <c r="T261"/>
    </row>
    <row r="262" spans="1:20" x14ac:dyDescent="0.35">
      <c r="A262">
        <v>190</v>
      </c>
      <c r="B262" t="s">
        <v>446</v>
      </c>
      <c r="C262">
        <v>0</v>
      </c>
      <c r="D262">
        <v>0</v>
      </c>
      <c r="E262">
        <v>0</v>
      </c>
      <c r="F262">
        <v>1</v>
      </c>
      <c r="G262">
        <v>0</v>
      </c>
      <c r="H262">
        <v>0</v>
      </c>
      <c r="I262">
        <v>1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 t="s">
        <v>428</v>
      </c>
      <c r="R262"/>
      <c r="S262"/>
      <c r="T262"/>
    </row>
    <row r="263" spans="1:20" ht="14.5" customHeight="1" x14ac:dyDescent="0.35">
      <c r="A263">
        <v>200</v>
      </c>
      <c r="B263" t="s">
        <v>447</v>
      </c>
      <c r="C263">
        <v>819197.1</v>
      </c>
      <c r="D263">
        <v>819197.1</v>
      </c>
      <c r="E263">
        <v>383700.58</v>
      </c>
      <c r="F263">
        <v>1</v>
      </c>
      <c r="G263">
        <v>383700.58</v>
      </c>
      <c r="H263">
        <v>383700.58</v>
      </c>
      <c r="I263">
        <v>1</v>
      </c>
      <c r="J263">
        <v>383700.58</v>
      </c>
      <c r="K263">
        <v>0</v>
      </c>
      <c r="L263">
        <v>0</v>
      </c>
      <c r="M263">
        <v>435496.52</v>
      </c>
      <c r="N263">
        <v>435496.52</v>
      </c>
      <c r="O263">
        <v>819197.1</v>
      </c>
      <c r="P263">
        <v>819197.1</v>
      </c>
      <c r="Q263" t="s">
        <v>428</v>
      </c>
      <c r="R263"/>
      <c r="S263"/>
      <c r="T263"/>
    </row>
    <row r="264" spans="1:20" ht="14.5" customHeight="1" x14ac:dyDescent="0.35">
      <c r="A264">
        <v>210</v>
      </c>
      <c r="B264" t="s">
        <v>448</v>
      </c>
      <c r="C264">
        <v>844149.64</v>
      </c>
      <c r="D264">
        <v>844149.64</v>
      </c>
      <c r="E264">
        <v>410129.55</v>
      </c>
      <c r="F264">
        <v>1</v>
      </c>
      <c r="G264">
        <v>410129.55</v>
      </c>
      <c r="H264">
        <v>410129.55</v>
      </c>
      <c r="I264">
        <v>1</v>
      </c>
      <c r="J264">
        <v>410129.55</v>
      </c>
      <c r="K264">
        <v>0</v>
      </c>
      <c r="L264">
        <v>0</v>
      </c>
      <c r="M264">
        <v>434020.09</v>
      </c>
      <c r="N264">
        <v>434020.09</v>
      </c>
      <c r="O264">
        <v>844149.64</v>
      </c>
      <c r="P264">
        <v>844149.64</v>
      </c>
      <c r="Q264" t="s">
        <v>428</v>
      </c>
      <c r="R264"/>
      <c r="S264"/>
      <c r="T264"/>
    </row>
    <row r="265" spans="1:20" s="179" customFormat="1" x14ac:dyDescent="0.35">
      <c r="A265" t="s">
        <v>491</v>
      </c>
      <c r="B265" t="s">
        <v>416</v>
      </c>
      <c r="C265" t="s">
        <v>469</v>
      </c>
      <c r="D265" t="s">
        <v>470</v>
      </c>
      <c r="E265" t="s">
        <v>419</v>
      </c>
      <c r="F265" t="s">
        <v>471</v>
      </c>
      <c r="G265" t="s">
        <v>472</v>
      </c>
      <c r="H265" t="s">
        <v>473</v>
      </c>
      <c r="I265" t="s">
        <v>474</v>
      </c>
      <c r="J265" t="s">
        <v>475</v>
      </c>
      <c r="K265" t="s">
        <v>476</v>
      </c>
      <c r="L265" t="s">
        <v>477</v>
      </c>
      <c r="M265" t="s">
        <v>129</v>
      </c>
      <c r="N265" t="s">
        <v>131</v>
      </c>
      <c r="O265" t="s">
        <v>132</v>
      </c>
      <c r="P265" t="s">
        <v>133</v>
      </c>
      <c r="Q265" t="s">
        <v>121</v>
      </c>
      <c r="R265"/>
      <c r="S265"/>
      <c r="T265"/>
    </row>
    <row r="266" spans="1:20" ht="14.5" customHeight="1" x14ac:dyDescent="0.35">
      <c r="A266">
        <v>30</v>
      </c>
      <c r="B266" t="s">
        <v>427</v>
      </c>
      <c r="C266">
        <v>0</v>
      </c>
      <c r="D266">
        <v>0</v>
      </c>
      <c r="E266">
        <v>13000000</v>
      </c>
      <c r="F266">
        <v>1</v>
      </c>
      <c r="G266">
        <v>13000000</v>
      </c>
      <c r="H266">
        <v>13000000</v>
      </c>
      <c r="I266">
        <v>1</v>
      </c>
      <c r="J266">
        <v>13000000</v>
      </c>
      <c r="K266">
        <v>0</v>
      </c>
      <c r="L266">
        <v>0</v>
      </c>
      <c r="M266">
        <v>-13000000</v>
      </c>
      <c r="N266">
        <v>-13000000</v>
      </c>
      <c r="O266">
        <v>0</v>
      </c>
      <c r="P266">
        <v>0</v>
      </c>
      <c r="Q266" t="s">
        <v>428</v>
      </c>
      <c r="R266"/>
      <c r="S266"/>
      <c r="T266"/>
    </row>
    <row r="267" spans="1:20" ht="14.5" customHeight="1" x14ac:dyDescent="0.35">
      <c r="A267">
        <v>40</v>
      </c>
      <c r="B267" t="s">
        <v>429</v>
      </c>
      <c r="C267">
        <v>0</v>
      </c>
      <c r="D267">
        <v>0</v>
      </c>
      <c r="E267">
        <v>0</v>
      </c>
      <c r="F267">
        <v>1</v>
      </c>
      <c r="G267">
        <v>0</v>
      </c>
      <c r="H267">
        <v>0</v>
      </c>
      <c r="I267">
        <v>1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 t="s">
        <v>428</v>
      </c>
      <c r="R267"/>
      <c r="S267"/>
      <c r="T267"/>
    </row>
    <row r="268" spans="1:20" x14ac:dyDescent="0.35">
      <c r="A268">
        <v>50</v>
      </c>
      <c r="B268" t="s">
        <v>430</v>
      </c>
      <c r="C268">
        <v>0</v>
      </c>
      <c r="D268">
        <v>0</v>
      </c>
      <c r="E268">
        <v>13000000</v>
      </c>
      <c r="F268">
        <v>1</v>
      </c>
      <c r="G268">
        <v>13000000</v>
      </c>
      <c r="H268">
        <v>13000000</v>
      </c>
      <c r="I268">
        <v>1</v>
      </c>
      <c r="J268">
        <v>13000000</v>
      </c>
      <c r="K268">
        <v>0</v>
      </c>
      <c r="L268">
        <v>0</v>
      </c>
      <c r="M268">
        <v>-13000000</v>
      </c>
      <c r="N268">
        <v>-13000000</v>
      </c>
      <c r="O268">
        <v>0</v>
      </c>
      <c r="P268">
        <v>0</v>
      </c>
      <c r="Q268" t="s">
        <v>428</v>
      </c>
      <c r="R268"/>
      <c r="S268"/>
      <c r="T268"/>
    </row>
    <row r="269" spans="1:20" x14ac:dyDescent="0.35">
      <c r="A269">
        <v>60</v>
      </c>
      <c r="B269" t="s">
        <v>431</v>
      </c>
      <c r="C269">
        <v>0</v>
      </c>
      <c r="D269">
        <v>0</v>
      </c>
      <c r="E269">
        <v>0</v>
      </c>
      <c r="F269">
        <v>1</v>
      </c>
      <c r="G269">
        <v>0</v>
      </c>
      <c r="H269">
        <v>0</v>
      </c>
      <c r="I269">
        <v>1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 t="s">
        <v>428</v>
      </c>
      <c r="R269"/>
      <c r="S269"/>
      <c r="T269"/>
    </row>
    <row r="270" spans="1:20" x14ac:dyDescent="0.35">
      <c r="A270">
        <v>70</v>
      </c>
      <c r="B270" t="s">
        <v>432</v>
      </c>
      <c r="C270">
        <v>0</v>
      </c>
      <c r="D270">
        <v>0</v>
      </c>
      <c r="E270">
        <v>13000000</v>
      </c>
      <c r="F270">
        <v>1</v>
      </c>
      <c r="G270">
        <v>13000000</v>
      </c>
      <c r="H270">
        <v>13000000</v>
      </c>
      <c r="I270">
        <v>1</v>
      </c>
      <c r="J270">
        <v>13000000</v>
      </c>
      <c r="K270">
        <v>0</v>
      </c>
      <c r="L270">
        <v>0</v>
      </c>
      <c r="M270">
        <v>-13000000</v>
      </c>
      <c r="N270">
        <v>-13000000</v>
      </c>
      <c r="O270">
        <v>0</v>
      </c>
      <c r="P270">
        <v>0</v>
      </c>
      <c r="Q270" t="s">
        <v>428</v>
      </c>
      <c r="R270"/>
      <c r="S270"/>
      <c r="T270"/>
    </row>
    <row r="271" spans="1:20" ht="14.5" customHeight="1" x14ac:dyDescent="0.35">
      <c r="A271">
        <v>80</v>
      </c>
      <c r="B271" t="s">
        <v>433</v>
      </c>
      <c r="C271">
        <v>0</v>
      </c>
      <c r="D271">
        <v>0</v>
      </c>
      <c r="E271">
        <v>0</v>
      </c>
      <c r="F271">
        <v>1</v>
      </c>
      <c r="G271">
        <v>0</v>
      </c>
      <c r="H271">
        <v>0</v>
      </c>
      <c r="I271">
        <v>1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 t="s">
        <v>428</v>
      </c>
      <c r="R271"/>
      <c r="S271"/>
      <c r="T271"/>
    </row>
    <row r="272" spans="1:20" ht="14.5" customHeight="1" x14ac:dyDescent="0.35">
      <c r="A272">
        <v>90</v>
      </c>
      <c r="B272" t="s">
        <v>434</v>
      </c>
      <c r="C272">
        <v>1</v>
      </c>
      <c r="D272">
        <v>1</v>
      </c>
      <c r="E272">
        <v>0</v>
      </c>
      <c r="F272">
        <v>1</v>
      </c>
      <c r="G272">
        <v>0</v>
      </c>
      <c r="H272">
        <v>0</v>
      </c>
      <c r="I272">
        <v>1</v>
      </c>
      <c r="J272">
        <v>0</v>
      </c>
      <c r="K272">
        <v>0</v>
      </c>
      <c r="L272">
        <v>0</v>
      </c>
      <c r="M272">
        <v>1</v>
      </c>
      <c r="N272">
        <v>1</v>
      </c>
      <c r="O272">
        <v>1</v>
      </c>
      <c r="P272">
        <v>1</v>
      </c>
      <c r="Q272" t="s">
        <v>428</v>
      </c>
      <c r="R272"/>
      <c r="S272"/>
      <c r="T272"/>
    </row>
    <row r="273" spans="1:20" ht="14.5" customHeight="1" x14ac:dyDescent="0.35">
      <c r="A273">
        <v>100</v>
      </c>
      <c r="B273" t="s">
        <v>435</v>
      </c>
      <c r="C273">
        <v>0</v>
      </c>
      <c r="D273">
        <v>0</v>
      </c>
      <c r="E273">
        <v>0</v>
      </c>
      <c r="F273">
        <v>1</v>
      </c>
      <c r="G273">
        <v>0</v>
      </c>
      <c r="H273">
        <v>0</v>
      </c>
      <c r="I273">
        <v>1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 t="s">
        <v>428</v>
      </c>
      <c r="R273"/>
      <c r="S273"/>
      <c r="T273"/>
    </row>
    <row r="274" spans="1:20" ht="14.5" customHeight="1" x14ac:dyDescent="0.35">
      <c r="A274">
        <v>110</v>
      </c>
      <c r="B274" t="s">
        <v>436</v>
      </c>
      <c r="C274">
        <v>1</v>
      </c>
      <c r="D274">
        <v>1</v>
      </c>
      <c r="E274">
        <v>0</v>
      </c>
      <c r="F274">
        <v>1</v>
      </c>
      <c r="G274">
        <v>0</v>
      </c>
      <c r="H274">
        <v>0</v>
      </c>
      <c r="I274">
        <v>1</v>
      </c>
      <c r="J274">
        <v>0</v>
      </c>
      <c r="K274">
        <v>0</v>
      </c>
      <c r="L274">
        <v>0</v>
      </c>
      <c r="M274">
        <v>1</v>
      </c>
      <c r="N274">
        <v>1</v>
      </c>
      <c r="O274">
        <v>1</v>
      </c>
      <c r="P274">
        <v>1</v>
      </c>
      <c r="Q274" t="s">
        <v>428</v>
      </c>
      <c r="R274"/>
      <c r="S274"/>
      <c r="T274"/>
    </row>
    <row r="275" spans="1:20" ht="14.5" customHeight="1" x14ac:dyDescent="0.35">
      <c r="A275">
        <v>120</v>
      </c>
      <c r="B275" t="s">
        <v>437</v>
      </c>
      <c r="C275">
        <v>-1</v>
      </c>
      <c r="D275">
        <v>-1</v>
      </c>
      <c r="E275">
        <v>13000000</v>
      </c>
      <c r="F275">
        <v>1</v>
      </c>
      <c r="G275">
        <v>13000000</v>
      </c>
      <c r="H275">
        <v>13000000</v>
      </c>
      <c r="I275">
        <v>1</v>
      </c>
      <c r="J275">
        <v>13000000</v>
      </c>
      <c r="K275">
        <v>0</v>
      </c>
      <c r="L275">
        <v>0</v>
      </c>
      <c r="M275">
        <v>-13000001</v>
      </c>
      <c r="N275">
        <v>-13000001</v>
      </c>
      <c r="O275">
        <v>-1</v>
      </c>
      <c r="P275">
        <v>-1</v>
      </c>
      <c r="Q275" t="s">
        <v>428</v>
      </c>
      <c r="R275"/>
      <c r="S275"/>
      <c r="T275"/>
    </row>
    <row r="276" spans="1:20" ht="14.5" customHeight="1" x14ac:dyDescent="0.35">
      <c r="A276">
        <v>130</v>
      </c>
      <c r="B276" t="s">
        <v>438</v>
      </c>
      <c r="C276">
        <v>343382.11</v>
      </c>
      <c r="D276">
        <v>343382.11</v>
      </c>
      <c r="E276">
        <v>-99856.98</v>
      </c>
      <c r="F276">
        <v>1</v>
      </c>
      <c r="G276">
        <v>-99856.98</v>
      </c>
      <c r="H276">
        <v>-99856.98</v>
      </c>
      <c r="I276">
        <v>1</v>
      </c>
      <c r="J276">
        <v>-99856.98</v>
      </c>
      <c r="K276">
        <v>0</v>
      </c>
      <c r="L276">
        <v>0</v>
      </c>
      <c r="M276">
        <v>443239.09</v>
      </c>
      <c r="N276">
        <v>443239.09</v>
      </c>
      <c r="O276">
        <v>343382.11</v>
      </c>
      <c r="P276">
        <v>343382.11</v>
      </c>
      <c r="Q276" t="s">
        <v>428</v>
      </c>
      <c r="R276"/>
      <c r="S276"/>
      <c r="T276"/>
    </row>
    <row r="277" spans="1:20" ht="14.5" customHeight="1" x14ac:dyDescent="0.35">
      <c r="A277">
        <v>135</v>
      </c>
      <c r="B277" t="s">
        <v>439</v>
      </c>
      <c r="C277">
        <v>0</v>
      </c>
      <c r="D277">
        <v>0</v>
      </c>
      <c r="E277">
        <v>0</v>
      </c>
      <c r="F277">
        <v>1</v>
      </c>
      <c r="G277">
        <v>0</v>
      </c>
      <c r="H277">
        <v>0</v>
      </c>
      <c r="I277">
        <v>1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 t="s">
        <v>428</v>
      </c>
      <c r="R277"/>
      <c r="S277"/>
      <c r="T277"/>
    </row>
    <row r="278" spans="1:20" ht="14.5" customHeight="1" x14ac:dyDescent="0.35">
      <c r="A278">
        <v>140</v>
      </c>
      <c r="B278" t="s">
        <v>440</v>
      </c>
      <c r="C278">
        <v>85039.7</v>
      </c>
      <c r="D278">
        <v>85039.7</v>
      </c>
      <c r="E278">
        <v>113567.25</v>
      </c>
      <c r="F278">
        <v>1</v>
      </c>
      <c r="G278">
        <v>113567.25</v>
      </c>
      <c r="H278">
        <v>113567.25</v>
      </c>
      <c r="I278">
        <v>1</v>
      </c>
      <c r="J278">
        <v>113567.25</v>
      </c>
      <c r="K278">
        <v>0</v>
      </c>
      <c r="L278">
        <v>0</v>
      </c>
      <c r="M278">
        <v>-28527.55</v>
      </c>
      <c r="N278">
        <v>-28527.55</v>
      </c>
      <c r="O278">
        <v>85039.7</v>
      </c>
      <c r="P278">
        <v>85039.7</v>
      </c>
      <c r="Q278" t="s">
        <v>428</v>
      </c>
      <c r="R278"/>
      <c r="S278"/>
      <c r="T278"/>
    </row>
    <row r="279" spans="1:20" ht="14.5" customHeight="1" x14ac:dyDescent="0.35">
      <c r="A279">
        <v>150</v>
      </c>
      <c r="B279" t="s">
        <v>441</v>
      </c>
      <c r="C279">
        <v>0</v>
      </c>
      <c r="D279">
        <v>0</v>
      </c>
      <c r="E279">
        <v>0</v>
      </c>
      <c r="F279">
        <v>1</v>
      </c>
      <c r="G279">
        <v>0</v>
      </c>
      <c r="H279">
        <v>0</v>
      </c>
      <c r="I279">
        <v>1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 t="s">
        <v>428</v>
      </c>
      <c r="R279"/>
      <c r="S279"/>
      <c r="T279"/>
    </row>
    <row r="280" spans="1:20" ht="14.5" customHeight="1" x14ac:dyDescent="0.35">
      <c r="A280">
        <v>155</v>
      </c>
      <c r="B280" t="s">
        <v>442</v>
      </c>
      <c r="C280">
        <v>0</v>
      </c>
      <c r="D280">
        <v>0</v>
      </c>
      <c r="E280">
        <v>0</v>
      </c>
      <c r="F280">
        <v>1</v>
      </c>
      <c r="G280">
        <v>0</v>
      </c>
      <c r="H280">
        <v>0</v>
      </c>
      <c r="I280">
        <v>1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 t="s">
        <v>428</v>
      </c>
      <c r="R280"/>
      <c r="S280"/>
      <c r="T280"/>
    </row>
    <row r="281" spans="1:20" ht="14.5" customHeight="1" x14ac:dyDescent="0.35">
      <c r="A281">
        <v>160</v>
      </c>
      <c r="B281" t="s">
        <v>443</v>
      </c>
      <c r="C281">
        <v>428421.81</v>
      </c>
      <c r="D281">
        <v>428421.81</v>
      </c>
      <c r="E281">
        <v>13710.27</v>
      </c>
      <c r="F281">
        <v>1</v>
      </c>
      <c r="G281">
        <v>13710.27</v>
      </c>
      <c r="H281">
        <v>13710.27</v>
      </c>
      <c r="I281">
        <v>1</v>
      </c>
      <c r="J281">
        <v>13710.27</v>
      </c>
      <c r="K281">
        <v>0</v>
      </c>
      <c r="L281">
        <v>0</v>
      </c>
      <c r="M281">
        <v>414711.54</v>
      </c>
      <c r="N281">
        <v>414711.54</v>
      </c>
      <c r="O281">
        <v>428421.81</v>
      </c>
      <c r="P281">
        <v>428421.81</v>
      </c>
      <c r="Q281" t="s">
        <v>428</v>
      </c>
      <c r="R281"/>
      <c r="S281"/>
      <c r="T281"/>
    </row>
    <row r="282" spans="1:20" ht="14.5" customHeight="1" x14ac:dyDescent="0.35">
      <c r="A282">
        <v>170</v>
      </c>
      <c r="B282" t="s">
        <v>444</v>
      </c>
      <c r="C282">
        <v>-428422.81</v>
      </c>
      <c r="D282">
        <v>-428422.81</v>
      </c>
      <c r="E282">
        <v>12986289.73</v>
      </c>
      <c r="F282">
        <v>1</v>
      </c>
      <c r="G282">
        <v>12986289.73</v>
      </c>
      <c r="H282">
        <v>12986289.73</v>
      </c>
      <c r="I282">
        <v>1</v>
      </c>
      <c r="J282">
        <v>12986289.73</v>
      </c>
      <c r="K282">
        <v>0</v>
      </c>
      <c r="L282">
        <v>0</v>
      </c>
      <c r="M282">
        <v>-13414712.539999999</v>
      </c>
      <c r="N282">
        <v>-13414712.539999999</v>
      </c>
      <c r="O282">
        <v>-428422.81</v>
      </c>
      <c r="P282">
        <v>-428422.81</v>
      </c>
      <c r="Q282" t="s">
        <v>428</v>
      </c>
      <c r="R282"/>
      <c r="S282"/>
      <c r="T282"/>
    </row>
    <row r="283" spans="1:20" x14ac:dyDescent="0.35">
      <c r="A283">
        <v>180</v>
      </c>
      <c r="B283" t="s">
        <v>445</v>
      </c>
      <c r="C283">
        <v>4381.6499999999996</v>
      </c>
      <c r="D283">
        <v>4381.6499999999996</v>
      </c>
      <c r="E283">
        <v>5851.52</v>
      </c>
      <c r="F283">
        <v>1</v>
      </c>
      <c r="G283">
        <v>5851.52</v>
      </c>
      <c r="H283">
        <v>5851.52</v>
      </c>
      <c r="I283">
        <v>1</v>
      </c>
      <c r="J283">
        <v>5851.52</v>
      </c>
      <c r="K283">
        <v>0</v>
      </c>
      <c r="L283">
        <v>0</v>
      </c>
      <c r="M283">
        <v>-1469.87</v>
      </c>
      <c r="N283">
        <v>-1469.87</v>
      </c>
      <c r="O283">
        <v>4381.6499999999996</v>
      </c>
      <c r="P283">
        <v>4381.6499999999996</v>
      </c>
      <c r="Q283" t="s">
        <v>428</v>
      </c>
      <c r="R283"/>
      <c r="S283"/>
      <c r="T283"/>
    </row>
    <row r="284" spans="1:20" x14ac:dyDescent="0.35">
      <c r="A284">
        <v>190</v>
      </c>
      <c r="B284" t="s">
        <v>446</v>
      </c>
      <c r="C284">
        <v>0</v>
      </c>
      <c r="D284">
        <v>0</v>
      </c>
      <c r="E284">
        <v>0</v>
      </c>
      <c r="F284">
        <v>1</v>
      </c>
      <c r="G284">
        <v>0</v>
      </c>
      <c r="H284">
        <v>0</v>
      </c>
      <c r="I284">
        <v>1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 t="s">
        <v>428</v>
      </c>
      <c r="R284"/>
      <c r="S284"/>
      <c r="T284"/>
    </row>
    <row r="285" spans="1:20" ht="14.5" customHeight="1" x14ac:dyDescent="0.35">
      <c r="A285">
        <v>200</v>
      </c>
      <c r="B285" t="s">
        <v>447</v>
      </c>
      <c r="C285">
        <v>-432804.46</v>
      </c>
      <c r="D285">
        <v>-432804.46</v>
      </c>
      <c r="E285">
        <v>12980438.210000001</v>
      </c>
      <c r="F285">
        <v>1</v>
      </c>
      <c r="G285">
        <v>12980438.210000001</v>
      </c>
      <c r="H285">
        <v>12980438.210000001</v>
      </c>
      <c r="I285">
        <v>1</v>
      </c>
      <c r="J285">
        <v>12980438.210000001</v>
      </c>
      <c r="K285">
        <v>0</v>
      </c>
      <c r="L285">
        <v>0</v>
      </c>
      <c r="M285">
        <v>-13413242.67</v>
      </c>
      <c r="N285">
        <v>-13413242.67</v>
      </c>
      <c r="O285">
        <v>-432804.46</v>
      </c>
      <c r="P285">
        <v>-432804.46</v>
      </c>
      <c r="Q285" t="s">
        <v>428</v>
      </c>
      <c r="R285"/>
      <c r="S285"/>
      <c r="T285"/>
    </row>
    <row r="286" spans="1:20" ht="14.5" customHeight="1" x14ac:dyDescent="0.35">
      <c r="A286">
        <v>210</v>
      </c>
      <c r="B286" t="s">
        <v>448</v>
      </c>
      <c r="C286">
        <v>-1</v>
      </c>
      <c r="D286">
        <v>-1</v>
      </c>
      <c r="E286">
        <v>13000000</v>
      </c>
      <c r="F286">
        <v>1</v>
      </c>
      <c r="G286">
        <v>13000000</v>
      </c>
      <c r="H286">
        <v>13000000</v>
      </c>
      <c r="I286">
        <v>1</v>
      </c>
      <c r="J286">
        <v>13000000</v>
      </c>
      <c r="K286">
        <v>0</v>
      </c>
      <c r="L286">
        <v>0</v>
      </c>
      <c r="M286">
        <v>-13000001</v>
      </c>
      <c r="N286">
        <v>-13000001</v>
      </c>
      <c r="O286">
        <v>-1</v>
      </c>
      <c r="P286">
        <v>-1</v>
      </c>
      <c r="Q286" t="s">
        <v>428</v>
      </c>
      <c r="R286"/>
      <c r="S286"/>
      <c r="T286"/>
    </row>
    <row r="287" spans="1:20" s="180" customFormat="1" x14ac:dyDescent="0.35">
      <c r="A287" t="s">
        <v>492</v>
      </c>
      <c r="B287" t="s">
        <v>416</v>
      </c>
      <c r="C287" t="s">
        <v>469</v>
      </c>
      <c r="D287" t="s">
        <v>470</v>
      </c>
      <c r="E287" t="s">
        <v>419</v>
      </c>
      <c r="F287" t="s">
        <v>471</v>
      </c>
      <c r="G287" t="s">
        <v>472</v>
      </c>
      <c r="H287" t="s">
        <v>473</v>
      </c>
      <c r="I287" t="s">
        <v>474</v>
      </c>
      <c r="J287" t="s">
        <v>475</v>
      </c>
      <c r="K287" t="s">
        <v>476</v>
      </c>
      <c r="L287" t="s">
        <v>477</v>
      </c>
      <c r="M287" t="s">
        <v>129</v>
      </c>
      <c r="N287" t="s">
        <v>131</v>
      </c>
      <c r="O287" t="s">
        <v>132</v>
      </c>
      <c r="P287" t="s">
        <v>133</v>
      </c>
      <c r="Q287" t="s">
        <v>125</v>
      </c>
      <c r="R287" t="s">
        <v>121</v>
      </c>
      <c r="S287"/>
      <c r="T287"/>
    </row>
    <row r="288" spans="1:20" ht="14.5" customHeight="1" x14ac:dyDescent="0.35">
      <c r="A288">
        <v>30</v>
      </c>
      <c r="B288" t="s">
        <v>427</v>
      </c>
      <c r="C288">
        <v>52571553.240000002</v>
      </c>
      <c r="D288">
        <v>52571553.240000002</v>
      </c>
      <c r="E288">
        <v>40483004.890000001</v>
      </c>
      <c r="F288">
        <v>1</v>
      </c>
      <c r="G288">
        <v>40483004.890000001</v>
      </c>
      <c r="H288">
        <v>40483004.890000001</v>
      </c>
      <c r="I288">
        <v>1</v>
      </c>
      <c r="J288">
        <v>40483004.890000001</v>
      </c>
      <c r="K288">
        <v>20811906</v>
      </c>
      <c r="L288">
        <v>20811906</v>
      </c>
      <c r="M288">
        <v>12088548.35</v>
      </c>
      <c r="N288">
        <v>12088548.35</v>
      </c>
      <c r="O288">
        <v>31759647.239999998</v>
      </c>
      <c r="P288">
        <v>31759647.239999998</v>
      </c>
      <c r="Q288">
        <v>20512736</v>
      </c>
      <c r="R288" t="s">
        <v>428</v>
      </c>
      <c r="S288"/>
      <c r="T288"/>
    </row>
    <row r="289" spans="1:20" ht="14.5" customHeight="1" x14ac:dyDescent="0.35">
      <c r="A289">
        <v>40</v>
      </c>
      <c r="B289" t="s">
        <v>429</v>
      </c>
      <c r="C289">
        <v>107784.9</v>
      </c>
      <c r="D289">
        <v>107784.9</v>
      </c>
      <c r="E289">
        <v>131000.56</v>
      </c>
      <c r="F289">
        <v>1</v>
      </c>
      <c r="G289">
        <v>131000.56</v>
      </c>
      <c r="H289">
        <v>131000.56</v>
      </c>
      <c r="I289">
        <v>1</v>
      </c>
      <c r="J289">
        <v>131000.56</v>
      </c>
      <c r="K289">
        <v>0</v>
      </c>
      <c r="L289">
        <v>0</v>
      </c>
      <c r="M289">
        <v>-23215.66</v>
      </c>
      <c r="N289">
        <v>-23215.66</v>
      </c>
      <c r="O289">
        <v>107784.9</v>
      </c>
      <c r="P289">
        <v>107784.9</v>
      </c>
      <c r="Q289">
        <v>0</v>
      </c>
      <c r="R289" t="s">
        <v>428</v>
      </c>
      <c r="S289"/>
      <c r="T289"/>
    </row>
    <row r="290" spans="1:20" x14ac:dyDescent="0.35">
      <c r="A290">
        <v>50</v>
      </c>
      <c r="B290" t="s">
        <v>430</v>
      </c>
      <c r="C290">
        <v>52463768.340000004</v>
      </c>
      <c r="D290">
        <v>52463768.340000004</v>
      </c>
      <c r="E290">
        <v>40352004.329999998</v>
      </c>
      <c r="F290">
        <v>1</v>
      </c>
      <c r="G290">
        <v>40352004.329999998</v>
      </c>
      <c r="H290">
        <v>40352004.329999998</v>
      </c>
      <c r="I290">
        <v>1</v>
      </c>
      <c r="J290">
        <v>40352004.329999998</v>
      </c>
      <c r="K290">
        <v>20811906</v>
      </c>
      <c r="L290">
        <v>20811906</v>
      </c>
      <c r="M290">
        <v>12111764.01</v>
      </c>
      <c r="N290">
        <v>12111764.01</v>
      </c>
      <c r="O290">
        <v>31651862.34</v>
      </c>
      <c r="P290">
        <v>31651862.34</v>
      </c>
      <c r="Q290">
        <v>20512736</v>
      </c>
      <c r="R290" t="s">
        <v>428</v>
      </c>
      <c r="S290"/>
      <c r="T290"/>
    </row>
    <row r="291" spans="1:20" x14ac:dyDescent="0.35">
      <c r="A291">
        <v>60</v>
      </c>
      <c r="B291" t="s">
        <v>431</v>
      </c>
      <c r="C291">
        <v>43447640.039999999</v>
      </c>
      <c r="D291">
        <v>43447640.039999999</v>
      </c>
      <c r="E291">
        <v>29770243.329999998</v>
      </c>
      <c r="F291">
        <v>1</v>
      </c>
      <c r="G291">
        <v>29770243.329999998</v>
      </c>
      <c r="H291">
        <v>29770243.329999998</v>
      </c>
      <c r="I291">
        <v>1</v>
      </c>
      <c r="J291">
        <v>29770243.329999998</v>
      </c>
      <c r="K291">
        <v>10192916</v>
      </c>
      <c r="L291">
        <v>10192916</v>
      </c>
      <c r="M291">
        <v>13677396.710000001</v>
      </c>
      <c r="N291">
        <v>13677396.710000001</v>
      </c>
      <c r="O291">
        <v>33254724.039999999</v>
      </c>
      <c r="P291">
        <v>33254724.039999999</v>
      </c>
      <c r="Q291">
        <v>10056136</v>
      </c>
      <c r="R291" t="s">
        <v>428</v>
      </c>
      <c r="S291"/>
      <c r="T291"/>
    </row>
    <row r="292" spans="1:20" x14ac:dyDescent="0.35">
      <c r="A292">
        <v>70</v>
      </c>
      <c r="B292" t="s">
        <v>432</v>
      </c>
      <c r="C292">
        <v>9016128.3000000007</v>
      </c>
      <c r="D292">
        <v>9016128.3000000007</v>
      </c>
      <c r="E292">
        <v>10581761</v>
      </c>
      <c r="F292">
        <v>1</v>
      </c>
      <c r="G292">
        <v>10581761</v>
      </c>
      <c r="H292">
        <v>10581761</v>
      </c>
      <c r="I292">
        <v>1</v>
      </c>
      <c r="J292">
        <v>10581761</v>
      </c>
      <c r="K292">
        <v>10618990</v>
      </c>
      <c r="L292">
        <v>10618990</v>
      </c>
      <c r="M292">
        <v>-1565632.7</v>
      </c>
      <c r="N292">
        <v>-1565632.7</v>
      </c>
      <c r="O292">
        <v>-1602861.7</v>
      </c>
      <c r="P292">
        <v>-1602861.7</v>
      </c>
      <c r="Q292">
        <v>10456600</v>
      </c>
      <c r="R292" t="s">
        <v>428</v>
      </c>
      <c r="S292"/>
      <c r="T292"/>
    </row>
    <row r="293" spans="1:20" ht="14.5" customHeight="1" x14ac:dyDescent="0.35">
      <c r="A293">
        <v>80</v>
      </c>
      <c r="B293" t="s">
        <v>433</v>
      </c>
      <c r="C293">
        <v>4154787.93</v>
      </c>
      <c r="D293">
        <v>4154787.93</v>
      </c>
      <c r="E293">
        <v>3790446.58</v>
      </c>
      <c r="F293">
        <v>1</v>
      </c>
      <c r="G293">
        <v>3790446.58</v>
      </c>
      <c r="H293">
        <v>3790446.58</v>
      </c>
      <c r="I293">
        <v>1</v>
      </c>
      <c r="J293">
        <v>3790446.58</v>
      </c>
      <c r="K293">
        <v>4011296</v>
      </c>
      <c r="L293">
        <v>4011296</v>
      </c>
      <c r="M293">
        <v>364341.35</v>
      </c>
      <c r="N293">
        <v>364341.35</v>
      </c>
      <c r="O293">
        <v>143491.93</v>
      </c>
      <c r="P293">
        <v>143491.93</v>
      </c>
      <c r="Q293">
        <v>4011296</v>
      </c>
      <c r="R293" t="s">
        <v>428</v>
      </c>
      <c r="S293"/>
      <c r="T293"/>
    </row>
    <row r="294" spans="1:20" ht="14.5" customHeight="1" x14ac:dyDescent="0.35">
      <c r="A294">
        <v>90</v>
      </c>
      <c r="B294" t="s">
        <v>434</v>
      </c>
      <c r="C294">
        <v>2684310.41</v>
      </c>
      <c r="D294">
        <v>2684310.41</v>
      </c>
      <c r="E294">
        <v>2616334.5499999998</v>
      </c>
      <c r="F294">
        <v>1</v>
      </c>
      <c r="G294">
        <v>2616334.5499999998</v>
      </c>
      <c r="H294">
        <v>2616334.5499999998</v>
      </c>
      <c r="I294">
        <v>1</v>
      </c>
      <c r="J294">
        <v>2616334.5499999998</v>
      </c>
      <c r="K294">
        <v>2571954</v>
      </c>
      <c r="L294">
        <v>2571954</v>
      </c>
      <c r="M294">
        <v>67975.86</v>
      </c>
      <c r="N294">
        <v>67975.86</v>
      </c>
      <c r="O294">
        <v>112356.41</v>
      </c>
      <c r="P294">
        <v>112356.41</v>
      </c>
      <c r="Q294">
        <v>2571954</v>
      </c>
      <c r="R294" t="s">
        <v>428</v>
      </c>
      <c r="S294"/>
      <c r="T294"/>
    </row>
    <row r="295" spans="1:20" ht="14.5" customHeight="1" x14ac:dyDescent="0.35">
      <c r="A295">
        <v>100</v>
      </c>
      <c r="B295" t="s">
        <v>435</v>
      </c>
      <c r="C295">
        <v>355150.84</v>
      </c>
      <c r="D295">
        <v>355150.84</v>
      </c>
      <c r="E295">
        <v>399901.51</v>
      </c>
      <c r="F295">
        <v>1</v>
      </c>
      <c r="G295">
        <v>399901.51</v>
      </c>
      <c r="H295">
        <v>399901.51</v>
      </c>
      <c r="I295">
        <v>1</v>
      </c>
      <c r="J295">
        <v>399901.51</v>
      </c>
      <c r="K295">
        <v>389594</v>
      </c>
      <c r="L295">
        <v>389594</v>
      </c>
      <c r="M295">
        <v>-44750.67</v>
      </c>
      <c r="N295">
        <v>-44750.67</v>
      </c>
      <c r="O295">
        <v>-34443.160000000003</v>
      </c>
      <c r="P295">
        <v>-34443.160000000003</v>
      </c>
      <c r="Q295">
        <v>389594</v>
      </c>
      <c r="R295" t="s">
        <v>428</v>
      </c>
      <c r="S295"/>
      <c r="T295"/>
    </row>
    <row r="296" spans="1:20" ht="14.5" customHeight="1" x14ac:dyDescent="0.35">
      <c r="A296">
        <v>110</v>
      </c>
      <c r="B296" t="s">
        <v>436</v>
      </c>
      <c r="C296">
        <v>7194249.1799999997</v>
      </c>
      <c r="D296">
        <v>7194249.1799999997</v>
      </c>
      <c r="E296">
        <v>6806682.6399999997</v>
      </c>
      <c r="F296">
        <v>1</v>
      </c>
      <c r="G296">
        <v>6806682.6399999997</v>
      </c>
      <c r="H296">
        <v>6806682.6399999997</v>
      </c>
      <c r="I296">
        <v>1</v>
      </c>
      <c r="J296">
        <v>6806682.6399999997</v>
      </c>
      <c r="K296">
        <v>6972844</v>
      </c>
      <c r="L296">
        <v>6972844</v>
      </c>
      <c r="M296">
        <v>387566.54</v>
      </c>
      <c r="N296">
        <v>387566.54</v>
      </c>
      <c r="O296">
        <v>221405.18</v>
      </c>
      <c r="P296">
        <v>221405.18</v>
      </c>
      <c r="Q296">
        <v>6972844</v>
      </c>
      <c r="R296" t="s">
        <v>428</v>
      </c>
      <c r="S296"/>
      <c r="T296"/>
    </row>
    <row r="297" spans="1:20" ht="14.5" customHeight="1" x14ac:dyDescent="0.35">
      <c r="A297">
        <v>120</v>
      </c>
      <c r="B297" t="s">
        <v>437</v>
      </c>
      <c r="C297">
        <v>1821879.12</v>
      </c>
      <c r="D297">
        <v>1821879.12</v>
      </c>
      <c r="E297">
        <v>3775078.36</v>
      </c>
      <c r="F297">
        <v>1</v>
      </c>
      <c r="G297">
        <v>3775078.36</v>
      </c>
      <c r="H297">
        <v>3775078.36</v>
      </c>
      <c r="I297">
        <v>1</v>
      </c>
      <c r="J297">
        <v>3775078.36</v>
      </c>
      <c r="K297">
        <v>3646146</v>
      </c>
      <c r="L297">
        <v>3646146</v>
      </c>
      <c r="M297">
        <v>-1953199.24</v>
      </c>
      <c r="N297">
        <v>-1953199.24</v>
      </c>
      <c r="O297">
        <v>-1824266.88</v>
      </c>
      <c r="P297">
        <v>-1824266.88</v>
      </c>
      <c r="Q297">
        <v>3483756</v>
      </c>
      <c r="R297" t="s">
        <v>428</v>
      </c>
      <c r="S297"/>
      <c r="T297"/>
    </row>
    <row r="298" spans="1:20" ht="14.5" customHeight="1" x14ac:dyDescent="0.35">
      <c r="A298">
        <v>130</v>
      </c>
      <c r="B298" t="s">
        <v>438</v>
      </c>
      <c r="C298">
        <v>-965.53</v>
      </c>
      <c r="D298">
        <v>-965.53</v>
      </c>
      <c r="E298">
        <v>166.58</v>
      </c>
      <c r="F298">
        <v>1</v>
      </c>
      <c r="G298">
        <v>166.58</v>
      </c>
      <c r="H298">
        <v>166.58</v>
      </c>
      <c r="I298">
        <v>1</v>
      </c>
      <c r="J298">
        <v>166.58</v>
      </c>
      <c r="K298">
        <v>0</v>
      </c>
      <c r="L298">
        <v>0</v>
      </c>
      <c r="M298">
        <v>-1132.1099999999999</v>
      </c>
      <c r="N298">
        <v>-1132.1099999999999</v>
      </c>
      <c r="O298">
        <v>-965.53</v>
      </c>
      <c r="P298">
        <v>-965.53</v>
      </c>
      <c r="Q298">
        <v>0</v>
      </c>
      <c r="R298" t="s">
        <v>428</v>
      </c>
      <c r="S298"/>
      <c r="T298"/>
    </row>
    <row r="299" spans="1:20" ht="14.5" customHeight="1" x14ac:dyDescent="0.35">
      <c r="A299">
        <v>135</v>
      </c>
      <c r="B299" t="s">
        <v>439</v>
      </c>
      <c r="C299">
        <v>-628075.91</v>
      </c>
      <c r="D299">
        <v>-628075.91</v>
      </c>
      <c r="E299">
        <v>-252882.29</v>
      </c>
      <c r="F299">
        <v>1</v>
      </c>
      <c r="G299">
        <v>-252882.29</v>
      </c>
      <c r="H299">
        <v>-252882.29</v>
      </c>
      <c r="I299">
        <v>1</v>
      </c>
      <c r="J299">
        <v>-252882.29</v>
      </c>
      <c r="K299">
        <v>0</v>
      </c>
      <c r="L299">
        <v>0</v>
      </c>
      <c r="M299">
        <v>-375193.62</v>
      </c>
      <c r="N299">
        <v>-375193.62</v>
      </c>
      <c r="O299">
        <v>-628075.91</v>
      </c>
      <c r="P299">
        <v>-628075.91</v>
      </c>
      <c r="Q299">
        <v>0</v>
      </c>
      <c r="R299" t="s">
        <v>428</v>
      </c>
      <c r="S299"/>
      <c r="T299"/>
    </row>
    <row r="300" spans="1:20" ht="14.5" customHeight="1" x14ac:dyDescent="0.35">
      <c r="A300">
        <v>140</v>
      </c>
      <c r="B300" t="s">
        <v>440</v>
      </c>
      <c r="C300">
        <v>22.86</v>
      </c>
      <c r="D300">
        <v>22.86</v>
      </c>
      <c r="E300">
        <v>38266.54</v>
      </c>
      <c r="F300">
        <v>1</v>
      </c>
      <c r="G300">
        <v>38266.54</v>
      </c>
      <c r="H300">
        <v>38266.54</v>
      </c>
      <c r="I300">
        <v>1</v>
      </c>
      <c r="J300">
        <v>38266.54</v>
      </c>
      <c r="K300">
        <v>50000</v>
      </c>
      <c r="L300">
        <v>50000</v>
      </c>
      <c r="M300">
        <v>-38243.68</v>
      </c>
      <c r="N300">
        <v>-38243.68</v>
      </c>
      <c r="O300">
        <v>-49977.14</v>
      </c>
      <c r="P300">
        <v>-49977.14</v>
      </c>
      <c r="Q300">
        <v>52263</v>
      </c>
      <c r="R300" t="s">
        <v>428</v>
      </c>
      <c r="S300"/>
      <c r="T300"/>
    </row>
    <row r="301" spans="1:20" ht="14.5" customHeight="1" x14ac:dyDescent="0.35">
      <c r="A301">
        <v>150</v>
      </c>
      <c r="B301" t="s">
        <v>441</v>
      </c>
      <c r="C301">
        <v>0.22</v>
      </c>
      <c r="D301">
        <v>0.22</v>
      </c>
      <c r="E301">
        <v>0.14000000000000001</v>
      </c>
      <c r="F301">
        <v>1</v>
      </c>
      <c r="G301">
        <v>0.14000000000000001</v>
      </c>
      <c r="H301">
        <v>0.14000000000000001</v>
      </c>
      <c r="I301">
        <v>1</v>
      </c>
      <c r="J301">
        <v>0.14000000000000001</v>
      </c>
      <c r="K301">
        <v>0</v>
      </c>
      <c r="L301">
        <v>0</v>
      </c>
      <c r="M301">
        <v>0.08</v>
      </c>
      <c r="N301">
        <v>0.08</v>
      </c>
      <c r="O301">
        <v>0.22</v>
      </c>
      <c r="P301">
        <v>0.22</v>
      </c>
      <c r="Q301">
        <v>0</v>
      </c>
      <c r="R301" t="s">
        <v>428</v>
      </c>
      <c r="S301"/>
      <c r="T301"/>
    </row>
    <row r="302" spans="1:20" ht="14.5" customHeight="1" x14ac:dyDescent="0.35">
      <c r="A302">
        <v>155</v>
      </c>
      <c r="B302" t="s">
        <v>442</v>
      </c>
      <c r="C302">
        <v>0</v>
      </c>
      <c r="D302">
        <v>0</v>
      </c>
      <c r="E302">
        <v>0</v>
      </c>
      <c r="F302">
        <v>1</v>
      </c>
      <c r="G302">
        <v>0</v>
      </c>
      <c r="H302">
        <v>0</v>
      </c>
      <c r="I302">
        <v>1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 t="s">
        <v>428</v>
      </c>
      <c r="S302"/>
      <c r="T302"/>
    </row>
    <row r="303" spans="1:20" ht="14.5" customHeight="1" x14ac:dyDescent="0.35">
      <c r="A303">
        <v>160</v>
      </c>
      <c r="B303" t="s">
        <v>443</v>
      </c>
      <c r="C303">
        <v>-629018.80000000005</v>
      </c>
      <c r="D303">
        <v>-629018.80000000005</v>
      </c>
      <c r="E303">
        <v>-214449.31</v>
      </c>
      <c r="F303">
        <v>1</v>
      </c>
      <c r="G303">
        <v>-214449.31</v>
      </c>
      <c r="H303">
        <v>-214449.31</v>
      </c>
      <c r="I303">
        <v>1</v>
      </c>
      <c r="J303">
        <v>-214449.31</v>
      </c>
      <c r="K303">
        <v>50000</v>
      </c>
      <c r="L303">
        <v>50000</v>
      </c>
      <c r="M303">
        <v>-414569.49</v>
      </c>
      <c r="N303">
        <v>-414569.49</v>
      </c>
      <c r="O303">
        <v>-679018.8</v>
      </c>
      <c r="P303">
        <v>-679018.8</v>
      </c>
      <c r="Q303">
        <v>52263</v>
      </c>
      <c r="R303" t="s">
        <v>428</v>
      </c>
      <c r="S303"/>
      <c r="T303"/>
    </row>
    <row r="304" spans="1:20" ht="14.5" customHeight="1" x14ac:dyDescent="0.35">
      <c r="A304">
        <v>170</v>
      </c>
      <c r="B304" t="s">
        <v>444</v>
      </c>
      <c r="C304">
        <v>2450897.9199999999</v>
      </c>
      <c r="D304">
        <v>2450897.9199999999</v>
      </c>
      <c r="E304">
        <v>3989527.67</v>
      </c>
      <c r="F304">
        <v>1</v>
      </c>
      <c r="G304">
        <v>3989527.67</v>
      </c>
      <c r="H304">
        <v>3989527.67</v>
      </c>
      <c r="I304">
        <v>1</v>
      </c>
      <c r="J304">
        <v>3989527.67</v>
      </c>
      <c r="K304">
        <v>3596146</v>
      </c>
      <c r="L304">
        <v>3596146</v>
      </c>
      <c r="M304">
        <v>-1538629.75</v>
      </c>
      <c r="N304">
        <v>-1538629.75</v>
      </c>
      <c r="O304">
        <v>-1145248.08</v>
      </c>
      <c r="P304">
        <v>-1145248.08</v>
      </c>
      <c r="Q304">
        <v>3431493</v>
      </c>
      <c r="R304" t="s">
        <v>428</v>
      </c>
      <c r="S304"/>
      <c r="T304"/>
    </row>
    <row r="305" spans="1:20" x14ac:dyDescent="0.35">
      <c r="A305">
        <v>180</v>
      </c>
      <c r="B305" t="s">
        <v>445</v>
      </c>
      <c r="C305">
        <v>1382151.46</v>
      </c>
      <c r="D305">
        <v>1382151.46</v>
      </c>
      <c r="E305">
        <v>628147</v>
      </c>
      <c r="F305">
        <v>1</v>
      </c>
      <c r="G305">
        <v>628147</v>
      </c>
      <c r="H305">
        <v>628147</v>
      </c>
      <c r="I305">
        <v>1</v>
      </c>
      <c r="J305">
        <v>628147</v>
      </c>
      <c r="K305">
        <v>586039</v>
      </c>
      <c r="L305">
        <v>586039</v>
      </c>
      <c r="M305">
        <v>754004.46</v>
      </c>
      <c r="N305">
        <v>754004.46</v>
      </c>
      <c r="O305">
        <v>796112.46</v>
      </c>
      <c r="P305">
        <v>796112.46</v>
      </c>
      <c r="Q305">
        <v>577615</v>
      </c>
      <c r="R305" t="s">
        <v>428</v>
      </c>
      <c r="S305"/>
      <c r="T305"/>
    </row>
    <row r="306" spans="1:20" x14ac:dyDescent="0.35">
      <c r="A306">
        <v>190</v>
      </c>
      <c r="B306" t="s">
        <v>446</v>
      </c>
      <c r="C306">
        <v>0</v>
      </c>
      <c r="D306">
        <v>0</v>
      </c>
      <c r="E306">
        <v>0</v>
      </c>
      <c r="F306">
        <v>1</v>
      </c>
      <c r="G306">
        <v>0</v>
      </c>
      <c r="H306">
        <v>0</v>
      </c>
      <c r="I306">
        <v>1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 t="s">
        <v>428</v>
      </c>
      <c r="S306"/>
      <c r="T306"/>
    </row>
    <row r="307" spans="1:20" ht="14.5" customHeight="1" x14ac:dyDescent="0.35">
      <c r="A307">
        <v>200</v>
      </c>
      <c r="B307" t="s">
        <v>447</v>
      </c>
      <c r="C307">
        <v>1068746.46</v>
      </c>
      <c r="D307">
        <v>1068746.46</v>
      </c>
      <c r="E307">
        <v>3361380.67</v>
      </c>
      <c r="F307">
        <v>1</v>
      </c>
      <c r="G307">
        <v>3361380.67</v>
      </c>
      <c r="H307">
        <v>3361380.67</v>
      </c>
      <c r="I307">
        <v>1</v>
      </c>
      <c r="J307">
        <v>3361380.67</v>
      </c>
      <c r="K307">
        <v>3010107</v>
      </c>
      <c r="L307">
        <v>3010107</v>
      </c>
      <c r="M307">
        <v>-2292634.21</v>
      </c>
      <c r="N307">
        <v>-2292634.21</v>
      </c>
      <c r="O307">
        <v>-1941360.54</v>
      </c>
      <c r="P307">
        <v>-1941360.54</v>
      </c>
      <c r="Q307">
        <v>2853878</v>
      </c>
      <c r="R307" t="s">
        <v>428</v>
      </c>
      <c r="S307"/>
      <c r="T307"/>
    </row>
    <row r="308" spans="1:20" ht="14.5" customHeight="1" x14ac:dyDescent="0.35">
      <c r="A308">
        <v>210</v>
      </c>
      <c r="B308" t="s">
        <v>448</v>
      </c>
      <c r="C308">
        <v>2177029.96</v>
      </c>
      <c r="D308">
        <v>2177029.96</v>
      </c>
      <c r="E308">
        <v>4174979.87</v>
      </c>
      <c r="F308">
        <v>1</v>
      </c>
      <c r="G308">
        <v>4174979.87</v>
      </c>
      <c r="H308">
        <v>4174979.87</v>
      </c>
      <c r="I308">
        <v>1</v>
      </c>
      <c r="J308">
        <v>4174979.87</v>
      </c>
      <c r="K308">
        <v>4035740</v>
      </c>
      <c r="L308">
        <v>4035740</v>
      </c>
      <c r="M308">
        <v>-1997949.91</v>
      </c>
      <c r="N308">
        <v>-1997949.91</v>
      </c>
      <c r="O308">
        <v>-1858710.04</v>
      </c>
      <c r="P308">
        <v>-1858710.04</v>
      </c>
      <c r="Q308">
        <v>3873350</v>
      </c>
      <c r="R308" t="s">
        <v>428</v>
      </c>
      <c r="S308"/>
      <c r="T308"/>
    </row>
    <row r="309" spans="1:20" s="180" customFormat="1" x14ac:dyDescent="0.35">
      <c r="A309" t="s">
        <v>493</v>
      </c>
      <c r="B309" t="s">
        <v>416</v>
      </c>
      <c r="C309" t="s">
        <v>469</v>
      </c>
      <c r="D309" t="s">
        <v>470</v>
      </c>
      <c r="E309" t="s">
        <v>419</v>
      </c>
      <c r="F309" t="s">
        <v>471</v>
      </c>
      <c r="G309" t="s">
        <v>472</v>
      </c>
      <c r="H309" t="s">
        <v>473</v>
      </c>
      <c r="I309" t="s">
        <v>474</v>
      </c>
      <c r="J309" t="s">
        <v>475</v>
      </c>
      <c r="K309" t="s">
        <v>476</v>
      </c>
      <c r="L309" t="s">
        <v>477</v>
      </c>
      <c r="M309" t="s">
        <v>129</v>
      </c>
      <c r="N309" t="s">
        <v>131</v>
      </c>
      <c r="O309" t="s">
        <v>132</v>
      </c>
      <c r="P309" t="s">
        <v>133</v>
      </c>
      <c r="Q309" t="s">
        <v>125</v>
      </c>
      <c r="R309" t="s">
        <v>121</v>
      </c>
      <c r="S309"/>
      <c r="T309"/>
    </row>
    <row r="310" spans="1:20" ht="14.5" customHeight="1" x14ac:dyDescent="0.35">
      <c r="A310">
        <v>30</v>
      </c>
      <c r="B310" t="s">
        <v>427</v>
      </c>
      <c r="C310">
        <v>34577601.049999997</v>
      </c>
      <c r="D310">
        <v>34577601.049999997</v>
      </c>
      <c r="E310">
        <v>26603230.199999999</v>
      </c>
      <c r="F310">
        <v>1</v>
      </c>
      <c r="G310">
        <v>26603230.199999999</v>
      </c>
      <c r="H310">
        <v>26603230.199999999</v>
      </c>
      <c r="I310">
        <v>1</v>
      </c>
      <c r="J310">
        <v>26603230.199999999</v>
      </c>
      <c r="K310">
        <v>28883092</v>
      </c>
      <c r="L310">
        <v>28883092</v>
      </c>
      <c r="M310">
        <v>7974370.8499999996</v>
      </c>
      <c r="N310">
        <v>7974370.8499999996</v>
      </c>
      <c r="O310">
        <v>5694509.0499999998</v>
      </c>
      <c r="P310">
        <v>5694509.0499999998</v>
      </c>
      <c r="Q310">
        <v>27437825</v>
      </c>
      <c r="R310" t="s">
        <v>428</v>
      </c>
      <c r="S310"/>
      <c r="T310"/>
    </row>
    <row r="311" spans="1:20" ht="14.5" customHeight="1" x14ac:dyDescent="0.35">
      <c r="A311">
        <v>40</v>
      </c>
      <c r="B311" t="s">
        <v>429</v>
      </c>
      <c r="C311">
        <v>-557480.82999999996</v>
      </c>
      <c r="D311">
        <v>-557480.82999999996</v>
      </c>
      <c r="E311">
        <v>-433554.08</v>
      </c>
      <c r="F311">
        <v>1</v>
      </c>
      <c r="G311">
        <v>-433554.08</v>
      </c>
      <c r="H311">
        <v>-433554.08</v>
      </c>
      <c r="I311">
        <v>1</v>
      </c>
      <c r="J311">
        <v>-433554.08</v>
      </c>
      <c r="K311">
        <v>0</v>
      </c>
      <c r="L311">
        <v>0</v>
      </c>
      <c r="M311">
        <v>-123926.75</v>
      </c>
      <c r="N311">
        <v>-123926.75</v>
      </c>
      <c r="O311">
        <v>-557480.82999999996</v>
      </c>
      <c r="P311">
        <v>-557480.82999999996</v>
      </c>
      <c r="Q311">
        <v>0</v>
      </c>
      <c r="R311" t="s">
        <v>428</v>
      </c>
      <c r="S311"/>
      <c r="T311"/>
    </row>
    <row r="312" spans="1:20" x14ac:dyDescent="0.35">
      <c r="A312">
        <v>50</v>
      </c>
      <c r="B312" t="s">
        <v>430</v>
      </c>
      <c r="C312">
        <v>34020120.219999999</v>
      </c>
      <c r="D312">
        <v>34020120.219999999</v>
      </c>
      <c r="E312">
        <v>26169676.120000001</v>
      </c>
      <c r="F312">
        <v>1</v>
      </c>
      <c r="G312">
        <v>26169676.120000001</v>
      </c>
      <c r="H312">
        <v>26169676.120000001</v>
      </c>
      <c r="I312">
        <v>1</v>
      </c>
      <c r="J312">
        <v>26169676.120000001</v>
      </c>
      <c r="K312">
        <v>28883092</v>
      </c>
      <c r="L312">
        <v>28883092</v>
      </c>
      <c r="M312">
        <v>7850444.0999999996</v>
      </c>
      <c r="N312">
        <v>7850444.0999999996</v>
      </c>
      <c r="O312">
        <v>5137028.22</v>
      </c>
      <c r="P312">
        <v>5137028.22</v>
      </c>
      <c r="Q312">
        <v>27437825</v>
      </c>
      <c r="R312" t="s">
        <v>428</v>
      </c>
      <c r="S312"/>
      <c r="T312"/>
    </row>
    <row r="313" spans="1:20" x14ac:dyDescent="0.35">
      <c r="A313">
        <v>60</v>
      </c>
      <c r="B313" t="s">
        <v>431</v>
      </c>
      <c r="C313">
        <v>21350560.329999998</v>
      </c>
      <c r="D313">
        <v>21350560.329999998</v>
      </c>
      <c r="E313">
        <v>14427196.25</v>
      </c>
      <c r="F313">
        <v>1</v>
      </c>
      <c r="G313">
        <v>14427196.25</v>
      </c>
      <c r="H313">
        <v>14427196.25</v>
      </c>
      <c r="I313">
        <v>1</v>
      </c>
      <c r="J313">
        <v>14427196.25</v>
      </c>
      <c r="K313">
        <v>16167829</v>
      </c>
      <c r="L313">
        <v>16167829</v>
      </c>
      <c r="M313">
        <v>6923364.0800000001</v>
      </c>
      <c r="N313">
        <v>6923364.0800000001</v>
      </c>
      <c r="O313">
        <v>5182731.33</v>
      </c>
      <c r="P313">
        <v>5182731.33</v>
      </c>
      <c r="Q313">
        <v>15381461</v>
      </c>
      <c r="R313" t="s">
        <v>428</v>
      </c>
      <c r="S313"/>
      <c r="T313"/>
    </row>
    <row r="314" spans="1:20" x14ac:dyDescent="0.35">
      <c r="A314">
        <v>70</v>
      </c>
      <c r="B314" t="s">
        <v>432</v>
      </c>
      <c r="C314">
        <v>12669559.890000001</v>
      </c>
      <c r="D314">
        <v>12669559.890000001</v>
      </c>
      <c r="E314">
        <v>11742479.869999999</v>
      </c>
      <c r="F314">
        <v>1</v>
      </c>
      <c r="G314">
        <v>11742479.869999999</v>
      </c>
      <c r="H314">
        <v>11742479.869999999</v>
      </c>
      <c r="I314">
        <v>1</v>
      </c>
      <c r="J314">
        <v>11742479.869999999</v>
      </c>
      <c r="K314">
        <v>12715263</v>
      </c>
      <c r="L314">
        <v>12715263</v>
      </c>
      <c r="M314">
        <v>927080.02</v>
      </c>
      <c r="N314">
        <v>927080.02</v>
      </c>
      <c r="O314">
        <v>-45703.11</v>
      </c>
      <c r="P314">
        <v>-45703.11</v>
      </c>
      <c r="Q314">
        <v>12056364</v>
      </c>
      <c r="R314" t="s">
        <v>428</v>
      </c>
      <c r="S314"/>
      <c r="T314"/>
    </row>
    <row r="315" spans="1:20" ht="14.5" customHeight="1" x14ac:dyDescent="0.35">
      <c r="A315">
        <v>80</v>
      </c>
      <c r="B315" t="s">
        <v>433</v>
      </c>
      <c r="C315">
        <v>7349696.5999999996</v>
      </c>
      <c r="D315">
        <v>7349696.5999999996</v>
      </c>
      <c r="E315">
        <v>7197969.8399999999</v>
      </c>
      <c r="F315">
        <v>1</v>
      </c>
      <c r="G315">
        <v>7197969.8399999999</v>
      </c>
      <c r="H315">
        <v>7197969.8399999999</v>
      </c>
      <c r="I315">
        <v>1</v>
      </c>
      <c r="J315">
        <v>7197969.8399999999</v>
      </c>
      <c r="K315">
        <v>6662465</v>
      </c>
      <c r="L315">
        <v>6662465</v>
      </c>
      <c r="M315">
        <v>151726.76</v>
      </c>
      <c r="N315">
        <v>151726.76</v>
      </c>
      <c r="O315">
        <v>687231.6</v>
      </c>
      <c r="P315">
        <v>687231.6</v>
      </c>
      <c r="Q315">
        <v>6336974</v>
      </c>
      <c r="R315" t="s">
        <v>428</v>
      </c>
      <c r="S315"/>
      <c r="T315"/>
    </row>
    <row r="316" spans="1:20" ht="14.5" customHeight="1" x14ac:dyDescent="0.35">
      <c r="A316">
        <v>90</v>
      </c>
      <c r="B316" t="s">
        <v>434</v>
      </c>
      <c r="C316">
        <v>1881589.11</v>
      </c>
      <c r="D316">
        <v>1881589.11</v>
      </c>
      <c r="E316">
        <v>1599804.6</v>
      </c>
      <c r="F316">
        <v>1</v>
      </c>
      <c r="G316">
        <v>1599804.6</v>
      </c>
      <c r="H316">
        <v>1599804.6</v>
      </c>
      <c r="I316">
        <v>1</v>
      </c>
      <c r="J316">
        <v>1599804.6</v>
      </c>
      <c r="K316">
        <v>1861747</v>
      </c>
      <c r="L316">
        <v>1861747</v>
      </c>
      <c r="M316">
        <v>281784.51</v>
      </c>
      <c r="N316">
        <v>281784.51</v>
      </c>
      <c r="O316">
        <v>19842.11</v>
      </c>
      <c r="P316">
        <v>19842.11</v>
      </c>
      <c r="Q316">
        <v>1864238</v>
      </c>
      <c r="R316" t="s">
        <v>428</v>
      </c>
      <c r="S316"/>
      <c r="T316"/>
    </row>
    <row r="317" spans="1:20" ht="14.5" customHeight="1" x14ac:dyDescent="0.35">
      <c r="A317">
        <v>100</v>
      </c>
      <c r="B317" t="s">
        <v>435</v>
      </c>
      <c r="C317">
        <v>631871.85</v>
      </c>
      <c r="D317">
        <v>631871.85</v>
      </c>
      <c r="E317">
        <v>668978.24</v>
      </c>
      <c r="F317">
        <v>1</v>
      </c>
      <c r="G317">
        <v>668978.24</v>
      </c>
      <c r="H317">
        <v>668978.24</v>
      </c>
      <c r="I317">
        <v>1</v>
      </c>
      <c r="J317">
        <v>668978.24</v>
      </c>
      <c r="K317">
        <v>665903</v>
      </c>
      <c r="L317">
        <v>665903</v>
      </c>
      <c r="M317">
        <v>-37106.39</v>
      </c>
      <c r="N317">
        <v>-37106.39</v>
      </c>
      <c r="O317">
        <v>-34031.15</v>
      </c>
      <c r="P317">
        <v>-34031.15</v>
      </c>
      <c r="Q317">
        <v>665903</v>
      </c>
      <c r="R317" t="s">
        <v>428</v>
      </c>
      <c r="S317"/>
      <c r="T317"/>
    </row>
    <row r="318" spans="1:20" ht="14.5" customHeight="1" x14ac:dyDescent="0.35">
      <c r="A318">
        <v>110</v>
      </c>
      <c r="B318" t="s">
        <v>436</v>
      </c>
      <c r="C318">
        <v>9863157.5600000005</v>
      </c>
      <c r="D318">
        <v>9863157.5600000005</v>
      </c>
      <c r="E318">
        <v>9466752.6799999997</v>
      </c>
      <c r="F318">
        <v>1</v>
      </c>
      <c r="G318">
        <v>9466752.6799999997</v>
      </c>
      <c r="H318">
        <v>9466752.6799999997</v>
      </c>
      <c r="I318">
        <v>1</v>
      </c>
      <c r="J318">
        <v>9466752.6799999997</v>
      </c>
      <c r="K318">
        <v>9190115</v>
      </c>
      <c r="L318">
        <v>9190115</v>
      </c>
      <c r="M318">
        <v>396404.88</v>
      </c>
      <c r="N318">
        <v>396404.88</v>
      </c>
      <c r="O318">
        <v>673042.56</v>
      </c>
      <c r="P318">
        <v>673042.56</v>
      </c>
      <c r="Q318">
        <v>8867115</v>
      </c>
      <c r="R318" t="s">
        <v>428</v>
      </c>
      <c r="S318"/>
      <c r="T318"/>
    </row>
    <row r="319" spans="1:20" ht="14.5" customHeight="1" x14ac:dyDescent="0.35">
      <c r="A319">
        <v>120</v>
      </c>
      <c r="B319" t="s">
        <v>437</v>
      </c>
      <c r="C319">
        <v>2806402.33</v>
      </c>
      <c r="D319">
        <v>2806402.33</v>
      </c>
      <c r="E319">
        <v>2275727.19</v>
      </c>
      <c r="F319">
        <v>1</v>
      </c>
      <c r="G319">
        <v>2275727.19</v>
      </c>
      <c r="H319">
        <v>2275727.19</v>
      </c>
      <c r="I319">
        <v>1</v>
      </c>
      <c r="J319">
        <v>2275727.19</v>
      </c>
      <c r="K319">
        <v>3525148</v>
      </c>
      <c r="L319">
        <v>3525148</v>
      </c>
      <c r="M319">
        <v>530675.14</v>
      </c>
      <c r="N319">
        <v>530675.14</v>
      </c>
      <c r="O319">
        <v>-718745.67</v>
      </c>
      <c r="P319">
        <v>-718745.67</v>
      </c>
      <c r="Q319">
        <v>3189249</v>
      </c>
      <c r="R319" t="s">
        <v>428</v>
      </c>
      <c r="S319"/>
      <c r="T319"/>
    </row>
    <row r="320" spans="1:20" ht="14.5" customHeight="1" x14ac:dyDescent="0.35">
      <c r="A320">
        <v>130</v>
      </c>
      <c r="B320" t="s">
        <v>438</v>
      </c>
      <c r="C320">
        <v>6130</v>
      </c>
      <c r="D320">
        <v>6130</v>
      </c>
      <c r="E320">
        <v>0</v>
      </c>
      <c r="F320">
        <v>1</v>
      </c>
      <c r="G320">
        <v>0</v>
      </c>
      <c r="H320">
        <v>0</v>
      </c>
      <c r="I320">
        <v>1</v>
      </c>
      <c r="J320">
        <v>0</v>
      </c>
      <c r="K320">
        <v>0</v>
      </c>
      <c r="L320">
        <v>0</v>
      </c>
      <c r="M320">
        <v>6130</v>
      </c>
      <c r="N320">
        <v>6130</v>
      </c>
      <c r="O320">
        <v>6130</v>
      </c>
      <c r="P320">
        <v>6130</v>
      </c>
      <c r="Q320">
        <v>0</v>
      </c>
      <c r="R320" t="s">
        <v>428</v>
      </c>
      <c r="S320"/>
      <c r="T320"/>
    </row>
    <row r="321" spans="1:20" ht="14.5" customHeight="1" x14ac:dyDescent="0.35">
      <c r="A321">
        <v>135</v>
      </c>
      <c r="B321" t="s">
        <v>439</v>
      </c>
      <c r="C321">
        <v>-285526.11</v>
      </c>
      <c r="D321">
        <v>-285526.11</v>
      </c>
      <c r="E321">
        <v>-457036.58</v>
      </c>
      <c r="F321">
        <v>1</v>
      </c>
      <c r="G321">
        <v>-457036.58</v>
      </c>
      <c r="H321">
        <v>-457036.58</v>
      </c>
      <c r="I321">
        <v>1</v>
      </c>
      <c r="J321">
        <v>-457036.58</v>
      </c>
      <c r="K321">
        <v>0</v>
      </c>
      <c r="L321">
        <v>0</v>
      </c>
      <c r="M321">
        <v>171510.47</v>
      </c>
      <c r="N321">
        <v>171510.47</v>
      </c>
      <c r="O321">
        <v>-285526.11</v>
      </c>
      <c r="P321">
        <v>-285526.11</v>
      </c>
      <c r="Q321">
        <v>0</v>
      </c>
      <c r="R321" t="s">
        <v>428</v>
      </c>
      <c r="S321"/>
      <c r="T321"/>
    </row>
    <row r="322" spans="1:20" ht="14.5" customHeight="1" x14ac:dyDescent="0.35">
      <c r="A322">
        <v>140</v>
      </c>
      <c r="B322" t="s">
        <v>440</v>
      </c>
      <c r="C322">
        <v>784.15</v>
      </c>
      <c r="D322">
        <v>784.15</v>
      </c>
      <c r="E322">
        <v>12193.53</v>
      </c>
      <c r="F322">
        <v>1</v>
      </c>
      <c r="G322">
        <v>12193.53</v>
      </c>
      <c r="H322">
        <v>12193.53</v>
      </c>
      <c r="I322">
        <v>1</v>
      </c>
      <c r="J322">
        <v>12193.53</v>
      </c>
      <c r="K322">
        <v>13508</v>
      </c>
      <c r="L322">
        <v>13508</v>
      </c>
      <c r="M322">
        <v>-11409.38</v>
      </c>
      <c r="N322">
        <v>-11409.38</v>
      </c>
      <c r="O322">
        <v>-12723.85</v>
      </c>
      <c r="P322">
        <v>-12723.85</v>
      </c>
      <c r="Q322">
        <v>13498</v>
      </c>
      <c r="R322" t="s">
        <v>428</v>
      </c>
      <c r="S322"/>
      <c r="T322"/>
    </row>
    <row r="323" spans="1:20" ht="14.5" customHeight="1" x14ac:dyDescent="0.35">
      <c r="A323">
        <v>150</v>
      </c>
      <c r="B323" t="s">
        <v>441</v>
      </c>
      <c r="C323">
        <v>56.16</v>
      </c>
      <c r="D323">
        <v>56.16</v>
      </c>
      <c r="E323">
        <v>26.9</v>
      </c>
      <c r="F323">
        <v>1</v>
      </c>
      <c r="G323">
        <v>26.9</v>
      </c>
      <c r="H323">
        <v>26.9</v>
      </c>
      <c r="I323">
        <v>1</v>
      </c>
      <c r="J323">
        <v>26.9</v>
      </c>
      <c r="K323">
        <v>0</v>
      </c>
      <c r="L323">
        <v>0</v>
      </c>
      <c r="M323">
        <v>29.26</v>
      </c>
      <c r="N323">
        <v>29.26</v>
      </c>
      <c r="O323">
        <v>56.16</v>
      </c>
      <c r="P323">
        <v>56.16</v>
      </c>
      <c r="Q323">
        <v>22474</v>
      </c>
      <c r="R323" t="s">
        <v>428</v>
      </c>
      <c r="S323"/>
      <c r="T323"/>
    </row>
    <row r="324" spans="1:20" ht="14.5" customHeight="1" x14ac:dyDescent="0.35">
      <c r="A324">
        <v>155</v>
      </c>
      <c r="B324" t="s">
        <v>442</v>
      </c>
      <c r="C324">
        <v>0</v>
      </c>
      <c r="D324">
        <v>0</v>
      </c>
      <c r="E324">
        <v>0</v>
      </c>
      <c r="F324">
        <v>1</v>
      </c>
      <c r="G324">
        <v>0</v>
      </c>
      <c r="H324">
        <v>0</v>
      </c>
      <c r="I324">
        <v>1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 t="s">
        <v>428</v>
      </c>
      <c r="S324"/>
      <c r="T324"/>
    </row>
    <row r="325" spans="1:20" ht="14.5" customHeight="1" x14ac:dyDescent="0.35">
      <c r="A325">
        <v>160</v>
      </c>
      <c r="B325" t="s">
        <v>443</v>
      </c>
      <c r="C325">
        <v>-278668.12</v>
      </c>
      <c r="D325">
        <v>-278668.12</v>
      </c>
      <c r="E325">
        <v>-444869.95</v>
      </c>
      <c r="F325">
        <v>1</v>
      </c>
      <c r="G325">
        <v>-444869.95</v>
      </c>
      <c r="H325">
        <v>-444869.95</v>
      </c>
      <c r="I325">
        <v>1</v>
      </c>
      <c r="J325">
        <v>-444869.95</v>
      </c>
      <c r="K325">
        <v>13508</v>
      </c>
      <c r="L325">
        <v>13508</v>
      </c>
      <c r="M325">
        <v>166201.82999999999</v>
      </c>
      <c r="N325">
        <v>166201.82999999999</v>
      </c>
      <c r="O325">
        <v>-292176.12</v>
      </c>
      <c r="P325">
        <v>-292176.12</v>
      </c>
      <c r="Q325">
        <v>-8976</v>
      </c>
      <c r="R325" t="s">
        <v>428</v>
      </c>
      <c r="S325"/>
      <c r="T325"/>
    </row>
    <row r="326" spans="1:20" ht="14.5" customHeight="1" x14ac:dyDescent="0.35">
      <c r="A326">
        <v>170</v>
      </c>
      <c r="B326" t="s">
        <v>444</v>
      </c>
      <c r="C326">
        <v>3085070.45</v>
      </c>
      <c r="D326">
        <v>3085070.45</v>
      </c>
      <c r="E326">
        <v>2720597.14</v>
      </c>
      <c r="F326">
        <v>1</v>
      </c>
      <c r="G326">
        <v>2720597.14</v>
      </c>
      <c r="H326">
        <v>2720597.14</v>
      </c>
      <c r="I326">
        <v>1</v>
      </c>
      <c r="J326">
        <v>2720597.14</v>
      </c>
      <c r="K326">
        <v>3511640</v>
      </c>
      <c r="L326">
        <v>3511640</v>
      </c>
      <c r="M326">
        <v>364473.31</v>
      </c>
      <c r="N326">
        <v>364473.31</v>
      </c>
      <c r="O326">
        <v>-426569.55</v>
      </c>
      <c r="P326">
        <v>-426569.55</v>
      </c>
      <c r="Q326">
        <v>3198225</v>
      </c>
      <c r="R326" t="s">
        <v>428</v>
      </c>
      <c r="S326"/>
      <c r="T326"/>
    </row>
    <row r="327" spans="1:20" x14ac:dyDescent="0.35">
      <c r="A327">
        <v>180</v>
      </c>
      <c r="B327" t="s">
        <v>445</v>
      </c>
      <c r="C327">
        <v>546013.16</v>
      </c>
      <c r="D327">
        <v>546013.16</v>
      </c>
      <c r="E327">
        <v>679510.88</v>
      </c>
      <c r="F327">
        <v>1</v>
      </c>
      <c r="G327">
        <v>679510.88</v>
      </c>
      <c r="H327">
        <v>679510.88</v>
      </c>
      <c r="I327">
        <v>1</v>
      </c>
      <c r="J327">
        <v>679510.88</v>
      </c>
      <c r="K327">
        <v>852212</v>
      </c>
      <c r="L327">
        <v>852212</v>
      </c>
      <c r="M327">
        <v>-133497.72</v>
      </c>
      <c r="N327">
        <v>-133497.72</v>
      </c>
      <c r="O327">
        <v>-306198.84000000003</v>
      </c>
      <c r="P327">
        <v>-306198.84000000003</v>
      </c>
      <c r="Q327">
        <v>810708</v>
      </c>
      <c r="R327" t="s">
        <v>428</v>
      </c>
      <c r="S327"/>
      <c r="T327"/>
    </row>
    <row r="328" spans="1:20" x14ac:dyDescent="0.35">
      <c r="A328">
        <v>190</v>
      </c>
      <c r="B328" t="s">
        <v>446</v>
      </c>
      <c r="C328">
        <v>0</v>
      </c>
      <c r="D328">
        <v>0</v>
      </c>
      <c r="E328">
        <v>0</v>
      </c>
      <c r="F328">
        <v>1</v>
      </c>
      <c r="G328">
        <v>0</v>
      </c>
      <c r="H328">
        <v>0</v>
      </c>
      <c r="I328">
        <v>1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 t="s">
        <v>428</v>
      </c>
      <c r="S328"/>
      <c r="T328"/>
    </row>
    <row r="329" spans="1:20" ht="14.5" customHeight="1" x14ac:dyDescent="0.35">
      <c r="A329">
        <v>200</v>
      </c>
      <c r="B329" t="s">
        <v>447</v>
      </c>
      <c r="C329">
        <v>2539057.29</v>
      </c>
      <c r="D329">
        <v>2539057.29</v>
      </c>
      <c r="E329">
        <v>2041086.26</v>
      </c>
      <c r="F329">
        <v>1</v>
      </c>
      <c r="G329">
        <v>2041086.26</v>
      </c>
      <c r="H329">
        <v>2041086.26</v>
      </c>
      <c r="I329">
        <v>1</v>
      </c>
      <c r="J329">
        <v>2041086.26</v>
      </c>
      <c r="K329">
        <v>2659428</v>
      </c>
      <c r="L329">
        <v>2659428</v>
      </c>
      <c r="M329">
        <v>497971.03</v>
      </c>
      <c r="N329">
        <v>497971.03</v>
      </c>
      <c r="O329">
        <v>-120370.71</v>
      </c>
      <c r="P329">
        <v>-120370.71</v>
      </c>
      <c r="Q329">
        <v>2387517</v>
      </c>
      <c r="R329" t="s">
        <v>428</v>
      </c>
      <c r="S329"/>
      <c r="T329"/>
    </row>
    <row r="330" spans="1:20" ht="14.5" customHeight="1" x14ac:dyDescent="0.35">
      <c r="A330">
        <v>210</v>
      </c>
      <c r="B330" t="s">
        <v>448</v>
      </c>
      <c r="C330">
        <v>3438274.18</v>
      </c>
      <c r="D330">
        <v>3438274.18</v>
      </c>
      <c r="E330">
        <v>2944705.43</v>
      </c>
      <c r="F330">
        <v>1</v>
      </c>
      <c r="G330">
        <v>2944705.43</v>
      </c>
      <c r="H330">
        <v>2944705.43</v>
      </c>
      <c r="I330">
        <v>1</v>
      </c>
      <c r="J330">
        <v>2944705.43</v>
      </c>
      <c r="K330">
        <v>4191051</v>
      </c>
      <c r="L330">
        <v>4191051</v>
      </c>
      <c r="M330">
        <v>493568.75</v>
      </c>
      <c r="N330">
        <v>493568.75</v>
      </c>
      <c r="O330">
        <v>-752776.82</v>
      </c>
      <c r="P330">
        <v>-752776.82</v>
      </c>
      <c r="Q330">
        <v>3855152</v>
      </c>
      <c r="R330" t="s">
        <v>428</v>
      </c>
      <c r="S330"/>
      <c r="T330"/>
    </row>
    <row r="331" spans="1:20" s="180" customFormat="1" x14ac:dyDescent="0.35">
      <c r="A331" t="s">
        <v>494</v>
      </c>
      <c r="B331" t="s">
        <v>416</v>
      </c>
      <c r="C331" t="s">
        <v>417</v>
      </c>
      <c r="D331" t="s">
        <v>418</v>
      </c>
      <c r="E331" t="s">
        <v>464</v>
      </c>
      <c r="F331" t="s">
        <v>495</v>
      </c>
      <c r="G331" t="s">
        <v>496</v>
      </c>
      <c r="H331" t="s">
        <v>497</v>
      </c>
      <c r="I331" t="s">
        <v>125</v>
      </c>
      <c r="J331" t="s">
        <v>121</v>
      </c>
      <c r="K331"/>
      <c r="L331"/>
      <c r="M331"/>
      <c r="N331"/>
      <c r="O331"/>
      <c r="P331"/>
      <c r="Q331"/>
      <c r="R331"/>
      <c r="S331"/>
      <c r="T331"/>
    </row>
    <row r="332" spans="1:20" ht="14.5" customHeight="1" x14ac:dyDescent="0.35">
      <c r="A332">
        <v>30</v>
      </c>
      <c r="B332" t="s">
        <v>427</v>
      </c>
      <c r="C332">
        <v>18709977.350000001</v>
      </c>
      <c r="D332">
        <v>18709977.350000001</v>
      </c>
      <c r="E332">
        <v>17477747.309999999</v>
      </c>
      <c r="F332">
        <v>17477747.309999999</v>
      </c>
      <c r="G332">
        <v>9576848</v>
      </c>
      <c r="H332">
        <v>9576848</v>
      </c>
      <c r="I332">
        <v>9200281</v>
      </c>
      <c r="J332" t="s">
        <v>428</v>
      </c>
      <c r="K332"/>
      <c r="L332"/>
      <c r="M332"/>
      <c r="N332"/>
      <c r="O332"/>
      <c r="P332"/>
      <c r="Q332"/>
      <c r="R332"/>
      <c r="S332"/>
      <c r="T332"/>
    </row>
    <row r="333" spans="1:20" ht="14.5" customHeight="1" x14ac:dyDescent="0.35">
      <c r="A333">
        <v>40</v>
      </c>
      <c r="B333" t="s">
        <v>429</v>
      </c>
      <c r="C333">
        <v>448399.85</v>
      </c>
      <c r="D333">
        <v>448399.85</v>
      </c>
      <c r="E333">
        <v>387026.76</v>
      </c>
      <c r="F333">
        <v>387026.76</v>
      </c>
      <c r="G333">
        <v>0</v>
      </c>
      <c r="H333">
        <v>0</v>
      </c>
      <c r="I333">
        <v>0</v>
      </c>
      <c r="J333" t="s">
        <v>428</v>
      </c>
      <c r="K333"/>
      <c r="L333"/>
      <c r="M333"/>
      <c r="N333"/>
      <c r="O333"/>
      <c r="P333"/>
      <c r="Q333"/>
      <c r="R333"/>
      <c r="S333"/>
      <c r="T333"/>
    </row>
    <row r="334" spans="1:20" x14ac:dyDescent="0.35">
      <c r="A334">
        <v>50</v>
      </c>
      <c r="B334" t="s">
        <v>430</v>
      </c>
      <c r="C334">
        <v>18261577.5</v>
      </c>
      <c r="D334">
        <v>18261577.5</v>
      </c>
      <c r="E334">
        <v>17090720.550000001</v>
      </c>
      <c r="F334">
        <v>17090720.550000001</v>
      </c>
      <c r="G334">
        <v>9576848</v>
      </c>
      <c r="H334">
        <v>9576848</v>
      </c>
      <c r="I334">
        <v>9200281</v>
      </c>
      <c r="J334" t="s">
        <v>428</v>
      </c>
      <c r="K334"/>
      <c r="L334"/>
      <c r="M334"/>
      <c r="N334"/>
      <c r="O334"/>
      <c r="P334"/>
      <c r="Q334"/>
      <c r="R334"/>
      <c r="S334"/>
      <c r="T334"/>
    </row>
    <row r="335" spans="1:20" x14ac:dyDescent="0.35">
      <c r="A335">
        <v>60</v>
      </c>
      <c r="B335" t="s">
        <v>431</v>
      </c>
      <c r="C335">
        <v>10487621</v>
      </c>
      <c r="D335">
        <v>10487621</v>
      </c>
      <c r="E335">
        <v>8824817</v>
      </c>
      <c r="F335">
        <v>8824817</v>
      </c>
      <c r="G335">
        <v>4798451</v>
      </c>
      <c r="H335">
        <v>4798451</v>
      </c>
      <c r="I335">
        <v>4609571</v>
      </c>
      <c r="J335" t="s">
        <v>428</v>
      </c>
      <c r="K335"/>
      <c r="L335"/>
      <c r="M335"/>
      <c r="N335"/>
      <c r="O335"/>
      <c r="P335"/>
      <c r="Q335"/>
      <c r="R335"/>
      <c r="S335"/>
      <c r="T335"/>
    </row>
    <row r="336" spans="1:20" x14ac:dyDescent="0.35">
      <c r="A336">
        <v>70</v>
      </c>
      <c r="B336" t="s">
        <v>432</v>
      </c>
      <c r="C336">
        <v>7773956.5</v>
      </c>
      <c r="D336">
        <v>7773956.5</v>
      </c>
      <c r="E336">
        <v>8265903.5499999998</v>
      </c>
      <c r="F336">
        <v>8265903.5499999998</v>
      </c>
      <c r="G336">
        <v>4778397</v>
      </c>
      <c r="H336">
        <v>4778397</v>
      </c>
      <c r="I336">
        <v>4590710</v>
      </c>
      <c r="J336" t="s">
        <v>428</v>
      </c>
      <c r="K336"/>
      <c r="L336"/>
      <c r="M336"/>
      <c r="N336"/>
      <c r="O336"/>
      <c r="P336"/>
      <c r="Q336"/>
      <c r="R336"/>
      <c r="S336"/>
      <c r="T336"/>
    </row>
    <row r="337" spans="1:20" ht="14.5" customHeight="1" x14ac:dyDescent="0.35">
      <c r="A337">
        <v>80</v>
      </c>
      <c r="B337" t="s">
        <v>433</v>
      </c>
      <c r="C337">
        <v>3721745.33</v>
      </c>
      <c r="D337">
        <v>3721745.33</v>
      </c>
      <c r="E337">
        <v>3722852.6</v>
      </c>
      <c r="F337">
        <v>3722852.6</v>
      </c>
      <c r="G337">
        <v>1925504</v>
      </c>
      <c r="H337">
        <v>1925504</v>
      </c>
      <c r="I337">
        <v>1789790</v>
      </c>
      <c r="J337" t="s">
        <v>428</v>
      </c>
      <c r="K337"/>
      <c r="L337"/>
      <c r="M337"/>
      <c r="N337"/>
      <c r="O337"/>
      <c r="P337"/>
      <c r="Q337"/>
      <c r="R337"/>
      <c r="S337"/>
      <c r="T337"/>
    </row>
    <row r="338" spans="1:20" ht="14.5" customHeight="1" x14ac:dyDescent="0.35">
      <c r="A338">
        <v>90</v>
      </c>
      <c r="B338" t="s">
        <v>434</v>
      </c>
      <c r="C338">
        <v>499306.31</v>
      </c>
      <c r="D338">
        <v>499306.31</v>
      </c>
      <c r="E338">
        <v>1203341.77</v>
      </c>
      <c r="F338">
        <v>1203341.77</v>
      </c>
      <c r="G338">
        <v>629145</v>
      </c>
      <c r="H338">
        <v>629145</v>
      </c>
      <c r="I338">
        <v>184570</v>
      </c>
      <c r="J338" t="s">
        <v>428</v>
      </c>
      <c r="K338"/>
      <c r="L338"/>
      <c r="M338"/>
      <c r="N338"/>
      <c r="O338"/>
      <c r="P338"/>
      <c r="Q338"/>
      <c r="R338"/>
      <c r="S338"/>
      <c r="T338"/>
    </row>
    <row r="339" spans="1:20" ht="14.5" customHeight="1" x14ac:dyDescent="0.35">
      <c r="A339">
        <v>100</v>
      </c>
      <c r="B339" t="s">
        <v>435</v>
      </c>
      <c r="C339">
        <v>355089</v>
      </c>
      <c r="D339">
        <v>355089</v>
      </c>
      <c r="E339">
        <v>355089</v>
      </c>
      <c r="F339">
        <v>355089</v>
      </c>
      <c r="G339">
        <v>182209</v>
      </c>
      <c r="H339">
        <v>182209</v>
      </c>
      <c r="I339">
        <v>182209</v>
      </c>
      <c r="J339" t="s">
        <v>428</v>
      </c>
      <c r="K339"/>
      <c r="L339"/>
      <c r="M339"/>
      <c r="N339"/>
      <c r="O339"/>
      <c r="P339"/>
      <c r="Q339"/>
      <c r="R339"/>
      <c r="S339"/>
      <c r="T339"/>
    </row>
    <row r="340" spans="1:20" ht="14.5" customHeight="1" x14ac:dyDescent="0.35">
      <c r="A340">
        <v>110</v>
      </c>
      <c r="B340" t="s">
        <v>436</v>
      </c>
      <c r="C340">
        <v>4576140.6399999997</v>
      </c>
      <c r="D340">
        <v>4576140.6399999997</v>
      </c>
      <c r="E340">
        <v>5281283.37</v>
      </c>
      <c r="F340">
        <v>5281283.37</v>
      </c>
      <c r="G340">
        <v>2736858</v>
      </c>
      <c r="H340">
        <v>2736858</v>
      </c>
      <c r="I340">
        <v>2156569</v>
      </c>
      <c r="J340" t="s">
        <v>428</v>
      </c>
      <c r="K340"/>
      <c r="L340"/>
      <c r="M340"/>
      <c r="N340"/>
      <c r="O340"/>
      <c r="P340"/>
      <c r="Q340"/>
      <c r="R340"/>
      <c r="S340"/>
      <c r="T340"/>
    </row>
    <row r="341" spans="1:20" ht="14.5" customHeight="1" x14ac:dyDescent="0.35">
      <c r="A341">
        <v>120</v>
      </c>
      <c r="B341" t="s">
        <v>437</v>
      </c>
      <c r="C341">
        <v>3197815.86</v>
      </c>
      <c r="D341">
        <v>3197815.86</v>
      </c>
      <c r="E341">
        <v>2984620.18</v>
      </c>
      <c r="F341">
        <v>2984620.18</v>
      </c>
      <c r="G341">
        <v>2041539</v>
      </c>
      <c r="H341">
        <v>2041539</v>
      </c>
      <c r="I341">
        <v>2434141</v>
      </c>
      <c r="J341" t="s">
        <v>428</v>
      </c>
      <c r="K341"/>
      <c r="L341"/>
      <c r="M341"/>
      <c r="N341"/>
      <c r="O341"/>
      <c r="P341"/>
      <c r="Q341"/>
      <c r="R341"/>
      <c r="S341"/>
      <c r="T341"/>
    </row>
    <row r="342" spans="1:20" ht="14.5" customHeight="1" x14ac:dyDescent="0.35">
      <c r="A342">
        <v>130</v>
      </c>
      <c r="B342" t="s">
        <v>438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 t="s">
        <v>428</v>
      </c>
      <c r="K342"/>
      <c r="L342"/>
      <c r="M342"/>
      <c r="N342"/>
      <c r="O342"/>
      <c r="P342"/>
      <c r="Q342"/>
      <c r="R342"/>
      <c r="S342"/>
      <c r="T342"/>
    </row>
    <row r="343" spans="1:20" ht="14.5" customHeight="1" x14ac:dyDescent="0.35">
      <c r="A343">
        <v>135</v>
      </c>
      <c r="B343" t="s">
        <v>439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 t="s">
        <v>428</v>
      </c>
      <c r="K343"/>
      <c r="L343"/>
      <c r="M343"/>
      <c r="N343"/>
      <c r="O343"/>
      <c r="P343"/>
      <c r="Q343"/>
      <c r="R343"/>
      <c r="S343"/>
      <c r="T343"/>
    </row>
    <row r="344" spans="1:20" ht="14.5" customHeight="1" x14ac:dyDescent="0.35">
      <c r="A344">
        <v>140</v>
      </c>
      <c r="B344" t="s">
        <v>440</v>
      </c>
      <c r="C344">
        <v>30735.5</v>
      </c>
      <c r="D344">
        <v>30735.5</v>
      </c>
      <c r="E344">
        <v>31873.05</v>
      </c>
      <c r="F344">
        <v>31873.05</v>
      </c>
      <c r="G344">
        <v>17333</v>
      </c>
      <c r="H344">
        <v>17333</v>
      </c>
      <c r="I344">
        <v>26099</v>
      </c>
      <c r="J344" t="s">
        <v>428</v>
      </c>
      <c r="K344"/>
      <c r="L344"/>
      <c r="M344"/>
      <c r="N344"/>
      <c r="O344"/>
      <c r="P344"/>
      <c r="Q344"/>
      <c r="R344"/>
      <c r="S344"/>
      <c r="T344"/>
    </row>
    <row r="345" spans="1:20" ht="14.5" customHeight="1" x14ac:dyDescent="0.35">
      <c r="A345">
        <v>150</v>
      </c>
      <c r="B345" t="s">
        <v>441</v>
      </c>
      <c r="C345">
        <v>130010.97</v>
      </c>
      <c r="D345">
        <v>130010.97</v>
      </c>
      <c r="E345">
        <v>0</v>
      </c>
      <c r="F345">
        <v>0</v>
      </c>
      <c r="G345">
        <v>0</v>
      </c>
      <c r="H345">
        <v>0</v>
      </c>
      <c r="I345">
        <v>0</v>
      </c>
      <c r="J345" t="s">
        <v>428</v>
      </c>
      <c r="K345"/>
      <c r="L345"/>
      <c r="M345"/>
      <c r="N345"/>
      <c r="O345"/>
      <c r="P345"/>
      <c r="Q345"/>
      <c r="R345"/>
      <c r="S345"/>
      <c r="T345"/>
    </row>
    <row r="346" spans="1:20" ht="14.5" customHeight="1" x14ac:dyDescent="0.35">
      <c r="A346">
        <v>155</v>
      </c>
      <c r="B346" t="s">
        <v>442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 t="s">
        <v>428</v>
      </c>
      <c r="K346"/>
      <c r="L346"/>
      <c r="M346"/>
      <c r="N346"/>
      <c r="O346"/>
      <c r="P346"/>
      <c r="Q346"/>
      <c r="R346"/>
      <c r="S346"/>
      <c r="T346"/>
    </row>
    <row r="347" spans="1:20" ht="14.5" customHeight="1" x14ac:dyDescent="0.35">
      <c r="A347">
        <v>160</v>
      </c>
      <c r="B347" t="s">
        <v>443</v>
      </c>
      <c r="C347">
        <v>-99275.47</v>
      </c>
      <c r="D347">
        <v>-99275.47</v>
      </c>
      <c r="E347">
        <v>31873.05</v>
      </c>
      <c r="F347">
        <v>31873.05</v>
      </c>
      <c r="G347">
        <v>17333</v>
      </c>
      <c r="H347">
        <v>17333</v>
      </c>
      <c r="I347">
        <v>26099</v>
      </c>
      <c r="J347" t="s">
        <v>428</v>
      </c>
      <c r="K347"/>
      <c r="L347"/>
      <c r="M347"/>
      <c r="N347"/>
      <c r="O347"/>
      <c r="P347"/>
      <c r="Q347"/>
      <c r="R347"/>
      <c r="S347"/>
      <c r="T347"/>
    </row>
    <row r="348" spans="1:20" ht="14.5" customHeight="1" x14ac:dyDescent="0.35">
      <c r="A348">
        <v>170</v>
      </c>
      <c r="B348" t="s">
        <v>444</v>
      </c>
      <c r="C348">
        <v>3297091.33</v>
      </c>
      <c r="D348">
        <v>3297091.33</v>
      </c>
      <c r="E348">
        <v>2952747.13</v>
      </c>
      <c r="F348">
        <v>2952747.13</v>
      </c>
      <c r="G348">
        <v>2024206</v>
      </c>
      <c r="H348">
        <v>2024206</v>
      </c>
      <c r="I348">
        <v>2408042</v>
      </c>
      <c r="J348" t="s">
        <v>428</v>
      </c>
      <c r="K348"/>
      <c r="L348"/>
      <c r="M348"/>
      <c r="N348"/>
      <c r="O348"/>
      <c r="P348"/>
      <c r="Q348"/>
      <c r="R348"/>
      <c r="S348"/>
      <c r="T348"/>
    </row>
    <row r="349" spans="1:20" x14ac:dyDescent="0.35">
      <c r="A349">
        <v>180</v>
      </c>
      <c r="B349" t="s">
        <v>445</v>
      </c>
      <c r="C349">
        <v>910537</v>
      </c>
      <c r="D349">
        <v>910537</v>
      </c>
      <c r="E349">
        <v>343599</v>
      </c>
      <c r="F349">
        <v>343599</v>
      </c>
      <c r="G349">
        <v>276357</v>
      </c>
      <c r="H349">
        <v>276357</v>
      </c>
      <c r="I349">
        <v>265491</v>
      </c>
      <c r="J349" t="s">
        <v>428</v>
      </c>
      <c r="K349"/>
      <c r="L349"/>
      <c r="M349"/>
      <c r="N349"/>
      <c r="O349"/>
      <c r="P349"/>
      <c r="Q349"/>
      <c r="R349"/>
      <c r="S349"/>
      <c r="T349"/>
    </row>
    <row r="350" spans="1:20" x14ac:dyDescent="0.35">
      <c r="A350">
        <v>190</v>
      </c>
      <c r="B350" t="s">
        <v>446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 t="s">
        <v>428</v>
      </c>
      <c r="K350"/>
      <c r="L350"/>
      <c r="M350"/>
      <c r="N350"/>
      <c r="O350"/>
      <c r="P350"/>
      <c r="Q350"/>
      <c r="R350"/>
      <c r="S350"/>
      <c r="T350"/>
    </row>
    <row r="351" spans="1:20" ht="14.5" customHeight="1" x14ac:dyDescent="0.35">
      <c r="A351">
        <v>200</v>
      </c>
      <c r="B351" t="s">
        <v>447</v>
      </c>
      <c r="C351">
        <v>2386554.33</v>
      </c>
      <c r="D351">
        <v>2386554.33</v>
      </c>
      <c r="E351">
        <v>2609148.13</v>
      </c>
      <c r="F351">
        <v>2609148.13</v>
      </c>
      <c r="G351">
        <v>1747849</v>
      </c>
      <c r="H351">
        <v>1747849</v>
      </c>
      <c r="I351">
        <v>2142551</v>
      </c>
      <c r="J351" t="s">
        <v>428</v>
      </c>
      <c r="K351"/>
      <c r="L351"/>
      <c r="M351"/>
      <c r="N351"/>
      <c r="O351"/>
      <c r="P351"/>
      <c r="Q351"/>
      <c r="R351"/>
      <c r="S351"/>
      <c r="T351"/>
    </row>
    <row r="352" spans="1:20" ht="14.5" customHeight="1" x14ac:dyDescent="0.35">
      <c r="A352">
        <v>210</v>
      </c>
      <c r="B352" t="s">
        <v>448</v>
      </c>
      <c r="C352">
        <v>3552904.86</v>
      </c>
      <c r="D352">
        <v>3552904.86</v>
      </c>
      <c r="E352">
        <v>3339709.18</v>
      </c>
      <c r="F352">
        <v>3339709.18</v>
      </c>
      <c r="G352">
        <v>2223748</v>
      </c>
      <c r="H352">
        <v>2223748</v>
      </c>
      <c r="I352">
        <v>2616350</v>
      </c>
      <c r="J352" t="s">
        <v>428</v>
      </c>
      <c r="K352"/>
      <c r="L352"/>
      <c r="M352"/>
      <c r="N352"/>
      <c r="O352"/>
      <c r="P352"/>
      <c r="Q352"/>
      <c r="R352"/>
      <c r="S352"/>
      <c r="T352"/>
    </row>
    <row r="353" spans="1:20" s="180" customFormat="1" x14ac:dyDescent="0.35">
      <c r="A353" t="s">
        <v>498</v>
      </c>
      <c r="B353" t="s">
        <v>416</v>
      </c>
      <c r="C353" t="s">
        <v>469</v>
      </c>
      <c r="D353" t="s">
        <v>470</v>
      </c>
      <c r="E353" t="s">
        <v>419</v>
      </c>
      <c r="F353" t="s">
        <v>471</v>
      </c>
      <c r="G353" t="s">
        <v>472</v>
      </c>
      <c r="H353" t="s">
        <v>473</v>
      </c>
      <c r="I353" t="s">
        <v>474</v>
      </c>
      <c r="J353" t="s">
        <v>475</v>
      </c>
      <c r="K353" t="s">
        <v>476</v>
      </c>
      <c r="L353" t="s">
        <v>477</v>
      </c>
      <c r="M353" t="s">
        <v>129</v>
      </c>
      <c r="N353" t="s">
        <v>131</v>
      </c>
      <c r="O353" t="s">
        <v>132</v>
      </c>
      <c r="P353" t="s">
        <v>133</v>
      </c>
      <c r="Q353" t="s">
        <v>125</v>
      </c>
      <c r="R353" t="s">
        <v>121</v>
      </c>
      <c r="S353"/>
      <c r="T353"/>
    </row>
    <row r="354" spans="1:20" ht="14.5" customHeight="1" x14ac:dyDescent="0.35">
      <c r="A354">
        <v>30</v>
      </c>
      <c r="B354" t="s">
        <v>427</v>
      </c>
      <c r="C354">
        <v>7055532.1699999999</v>
      </c>
      <c r="D354">
        <v>7055532.1699999999</v>
      </c>
      <c r="E354">
        <v>4607669.7</v>
      </c>
      <c r="F354">
        <v>1</v>
      </c>
      <c r="G354">
        <v>4607669.7</v>
      </c>
      <c r="H354">
        <v>4607669.7</v>
      </c>
      <c r="I354">
        <v>1</v>
      </c>
      <c r="J354">
        <v>4607669.7</v>
      </c>
      <c r="K354">
        <v>11615470</v>
      </c>
      <c r="L354">
        <v>11615470</v>
      </c>
      <c r="M354">
        <v>2447862.4700000002</v>
      </c>
      <c r="N354">
        <v>2447862.4700000002</v>
      </c>
      <c r="O354">
        <v>-4559937.83</v>
      </c>
      <c r="P354">
        <v>-4559937.83</v>
      </c>
      <c r="Q354">
        <v>11219846</v>
      </c>
      <c r="R354" t="s">
        <v>428</v>
      </c>
      <c r="S354"/>
      <c r="T354"/>
    </row>
    <row r="355" spans="1:20" ht="14.5" customHeight="1" x14ac:dyDescent="0.35">
      <c r="A355">
        <v>40</v>
      </c>
      <c r="B355" t="s">
        <v>429</v>
      </c>
      <c r="C355">
        <v>-162520.10999999999</v>
      </c>
      <c r="D355">
        <v>-162520.10999999999</v>
      </c>
      <c r="E355">
        <v>-122463.06</v>
      </c>
      <c r="F355">
        <v>1</v>
      </c>
      <c r="G355">
        <v>-122463.06</v>
      </c>
      <c r="H355">
        <v>-122463.06</v>
      </c>
      <c r="I355">
        <v>1</v>
      </c>
      <c r="J355">
        <v>-122463.06</v>
      </c>
      <c r="K355">
        <v>0</v>
      </c>
      <c r="L355">
        <v>0</v>
      </c>
      <c r="M355">
        <v>-40057.050000000003</v>
      </c>
      <c r="N355">
        <v>-40057.050000000003</v>
      </c>
      <c r="O355">
        <v>-162520.10999999999</v>
      </c>
      <c r="P355">
        <v>-162520.10999999999</v>
      </c>
      <c r="Q355">
        <v>0</v>
      </c>
      <c r="R355" t="s">
        <v>428</v>
      </c>
      <c r="S355"/>
      <c r="T355"/>
    </row>
    <row r="356" spans="1:20" x14ac:dyDescent="0.35">
      <c r="A356">
        <v>50</v>
      </c>
      <c r="B356" t="s">
        <v>430</v>
      </c>
      <c r="C356">
        <v>6893012.0599999996</v>
      </c>
      <c r="D356">
        <v>6893012.0599999996</v>
      </c>
      <c r="E356">
        <v>4485206.6399999997</v>
      </c>
      <c r="F356">
        <v>1</v>
      </c>
      <c r="G356">
        <v>4485206.6399999997</v>
      </c>
      <c r="H356">
        <v>4485206.6399999997</v>
      </c>
      <c r="I356">
        <v>1</v>
      </c>
      <c r="J356">
        <v>4485206.6399999997</v>
      </c>
      <c r="K356">
        <v>11615470</v>
      </c>
      <c r="L356">
        <v>11615470</v>
      </c>
      <c r="M356">
        <v>2407805.42</v>
      </c>
      <c r="N356">
        <v>2407805.42</v>
      </c>
      <c r="O356">
        <v>-4722457.9400000004</v>
      </c>
      <c r="P356">
        <v>-4722457.9400000004</v>
      </c>
      <c r="Q356">
        <v>11219846</v>
      </c>
      <c r="R356" t="s">
        <v>428</v>
      </c>
      <c r="S356"/>
      <c r="T356"/>
    </row>
    <row r="357" spans="1:20" x14ac:dyDescent="0.35">
      <c r="A357">
        <v>60</v>
      </c>
      <c r="B357" t="s">
        <v>431</v>
      </c>
      <c r="C357">
        <v>4203549.71</v>
      </c>
      <c r="D357">
        <v>4203549.71</v>
      </c>
      <c r="E357">
        <v>2312438.2999999998</v>
      </c>
      <c r="F357">
        <v>1</v>
      </c>
      <c r="G357">
        <v>2312438.2999999998</v>
      </c>
      <c r="H357">
        <v>2312438.2999999998</v>
      </c>
      <c r="I357">
        <v>1</v>
      </c>
      <c r="J357">
        <v>2312438.2999999998</v>
      </c>
      <c r="K357">
        <v>6277611</v>
      </c>
      <c r="L357">
        <v>6277611</v>
      </c>
      <c r="M357">
        <v>1891111.41</v>
      </c>
      <c r="N357">
        <v>1891111.41</v>
      </c>
      <c r="O357">
        <v>-2074061.29</v>
      </c>
      <c r="P357">
        <v>-2074061.29</v>
      </c>
      <c r="Q357">
        <v>6063795</v>
      </c>
      <c r="R357" t="s">
        <v>428</v>
      </c>
      <c r="S357"/>
      <c r="T357"/>
    </row>
    <row r="358" spans="1:20" x14ac:dyDescent="0.35">
      <c r="A358">
        <v>70</v>
      </c>
      <c r="B358" t="s">
        <v>432</v>
      </c>
      <c r="C358">
        <v>2689462.35</v>
      </c>
      <c r="D358">
        <v>2689462.35</v>
      </c>
      <c r="E358">
        <v>2172768.34</v>
      </c>
      <c r="F358">
        <v>1</v>
      </c>
      <c r="G358">
        <v>2172768.34</v>
      </c>
      <c r="H358">
        <v>2172768.34</v>
      </c>
      <c r="I358">
        <v>1</v>
      </c>
      <c r="J358">
        <v>2172768.34</v>
      </c>
      <c r="K358">
        <v>5337859</v>
      </c>
      <c r="L358">
        <v>5337859</v>
      </c>
      <c r="M358">
        <v>516694.01</v>
      </c>
      <c r="N358">
        <v>516694.01</v>
      </c>
      <c r="O358">
        <v>-2648396.65</v>
      </c>
      <c r="P358">
        <v>-2648396.65</v>
      </c>
      <c r="Q358">
        <v>5156051</v>
      </c>
      <c r="R358" t="s">
        <v>428</v>
      </c>
      <c r="S358"/>
      <c r="T358"/>
    </row>
    <row r="359" spans="1:20" ht="14.5" customHeight="1" x14ac:dyDescent="0.35">
      <c r="A359">
        <v>80</v>
      </c>
      <c r="B359" t="s">
        <v>433</v>
      </c>
      <c r="C359">
        <v>3799539.77</v>
      </c>
      <c r="D359">
        <v>3799539.77</v>
      </c>
      <c r="E359">
        <v>4492526</v>
      </c>
      <c r="F359">
        <v>1</v>
      </c>
      <c r="G359">
        <v>4492526</v>
      </c>
      <c r="H359">
        <v>4492526</v>
      </c>
      <c r="I359">
        <v>1</v>
      </c>
      <c r="J359">
        <v>4492526</v>
      </c>
      <c r="K359">
        <v>2729652</v>
      </c>
      <c r="L359">
        <v>2729652</v>
      </c>
      <c r="M359">
        <v>-692986.23</v>
      </c>
      <c r="N359">
        <v>-692986.23</v>
      </c>
      <c r="O359">
        <v>1069887.77</v>
      </c>
      <c r="P359">
        <v>1069887.77</v>
      </c>
      <c r="Q359">
        <v>2849566</v>
      </c>
      <c r="R359" t="s">
        <v>428</v>
      </c>
      <c r="S359"/>
      <c r="T359"/>
    </row>
    <row r="360" spans="1:20" ht="14.5" customHeight="1" x14ac:dyDescent="0.35">
      <c r="A360">
        <v>90</v>
      </c>
      <c r="B360" t="s">
        <v>434</v>
      </c>
      <c r="C360">
        <v>641284.43999999994</v>
      </c>
      <c r="D360">
        <v>641284.43999999994</v>
      </c>
      <c r="E360">
        <v>573247.46</v>
      </c>
      <c r="F360">
        <v>1</v>
      </c>
      <c r="G360">
        <v>573247.46</v>
      </c>
      <c r="H360">
        <v>573247.46</v>
      </c>
      <c r="I360">
        <v>1</v>
      </c>
      <c r="J360">
        <v>573247.46</v>
      </c>
      <c r="K360">
        <v>667120</v>
      </c>
      <c r="L360">
        <v>667120</v>
      </c>
      <c r="M360">
        <v>68036.98</v>
      </c>
      <c r="N360">
        <v>68036.98</v>
      </c>
      <c r="O360">
        <v>-25835.56</v>
      </c>
      <c r="P360">
        <v>-25835.56</v>
      </c>
      <c r="Q360">
        <v>671037</v>
      </c>
      <c r="R360" t="s">
        <v>428</v>
      </c>
      <c r="S360"/>
      <c r="T360"/>
    </row>
    <row r="361" spans="1:20" ht="14.5" customHeight="1" x14ac:dyDescent="0.35">
      <c r="A361">
        <v>100</v>
      </c>
      <c r="B361" t="s">
        <v>435</v>
      </c>
      <c r="C361">
        <v>249581.19</v>
      </c>
      <c r="D361">
        <v>249581.19</v>
      </c>
      <c r="E361">
        <v>458230.59</v>
      </c>
      <c r="F361">
        <v>1</v>
      </c>
      <c r="G361">
        <v>458230.59</v>
      </c>
      <c r="H361">
        <v>458230.59</v>
      </c>
      <c r="I361">
        <v>1</v>
      </c>
      <c r="J361">
        <v>458230.59</v>
      </c>
      <c r="K361">
        <v>457162</v>
      </c>
      <c r="L361">
        <v>457162</v>
      </c>
      <c r="M361">
        <v>-208649.4</v>
      </c>
      <c r="N361">
        <v>-208649.4</v>
      </c>
      <c r="O361">
        <v>-207580.81</v>
      </c>
      <c r="P361">
        <v>-207580.81</v>
      </c>
      <c r="Q361">
        <v>457162</v>
      </c>
      <c r="R361" t="s">
        <v>428</v>
      </c>
      <c r="S361"/>
      <c r="T361"/>
    </row>
    <row r="362" spans="1:20" ht="14.5" customHeight="1" x14ac:dyDescent="0.35">
      <c r="A362">
        <v>110</v>
      </c>
      <c r="B362" t="s">
        <v>436</v>
      </c>
      <c r="C362">
        <v>4690405.4000000004</v>
      </c>
      <c r="D362">
        <v>4690405.4000000004</v>
      </c>
      <c r="E362">
        <v>5524004.0499999998</v>
      </c>
      <c r="F362">
        <v>1</v>
      </c>
      <c r="G362">
        <v>5524004.0499999998</v>
      </c>
      <c r="H362">
        <v>5524004.0499999998</v>
      </c>
      <c r="I362">
        <v>1</v>
      </c>
      <c r="J362">
        <v>5524004.0499999998</v>
      </c>
      <c r="K362">
        <v>3853934</v>
      </c>
      <c r="L362">
        <v>3853934</v>
      </c>
      <c r="M362">
        <v>-833598.65</v>
      </c>
      <c r="N362">
        <v>-833598.65</v>
      </c>
      <c r="O362">
        <v>836471.4</v>
      </c>
      <c r="P362">
        <v>836471.4</v>
      </c>
      <c r="Q362">
        <v>3977765</v>
      </c>
      <c r="R362" t="s">
        <v>428</v>
      </c>
      <c r="S362"/>
      <c r="T362"/>
    </row>
    <row r="363" spans="1:20" ht="14.5" customHeight="1" x14ac:dyDescent="0.35">
      <c r="A363">
        <v>120</v>
      </c>
      <c r="B363" t="s">
        <v>437</v>
      </c>
      <c r="C363">
        <v>-2000943.05</v>
      </c>
      <c r="D363">
        <v>-2000943.05</v>
      </c>
      <c r="E363">
        <v>-3351235.71</v>
      </c>
      <c r="F363">
        <v>1</v>
      </c>
      <c r="G363">
        <v>-3351235.71</v>
      </c>
      <c r="H363">
        <v>-3351235.71</v>
      </c>
      <c r="I363">
        <v>1</v>
      </c>
      <c r="J363">
        <v>-3351235.71</v>
      </c>
      <c r="K363">
        <v>1483925</v>
      </c>
      <c r="L363">
        <v>1483925</v>
      </c>
      <c r="M363">
        <v>1350292.66</v>
      </c>
      <c r="N363">
        <v>1350292.66</v>
      </c>
      <c r="O363">
        <v>-3484868.05</v>
      </c>
      <c r="P363">
        <v>-3484868.05</v>
      </c>
      <c r="Q363">
        <v>1178286</v>
      </c>
      <c r="R363" t="s">
        <v>428</v>
      </c>
      <c r="S363"/>
      <c r="T363"/>
    </row>
    <row r="364" spans="1:20" ht="14.5" customHeight="1" x14ac:dyDescent="0.35">
      <c r="A364">
        <v>130</v>
      </c>
      <c r="B364" t="s">
        <v>438</v>
      </c>
      <c r="C364">
        <v>0</v>
      </c>
      <c r="D364">
        <v>0</v>
      </c>
      <c r="E364">
        <v>0</v>
      </c>
      <c r="F364">
        <v>1</v>
      </c>
      <c r="G364">
        <v>0</v>
      </c>
      <c r="H364">
        <v>0</v>
      </c>
      <c r="I364">
        <v>1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 t="s">
        <v>428</v>
      </c>
      <c r="S364"/>
      <c r="T364"/>
    </row>
    <row r="365" spans="1:20" ht="14.5" customHeight="1" x14ac:dyDescent="0.35">
      <c r="A365">
        <v>135</v>
      </c>
      <c r="B365" t="s">
        <v>439</v>
      </c>
      <c r="C365">
        <v>-335981.78</v>
      </c>
      <c r="D365">
        <v>-335981.78</v>
      </c>
      <c r="E365">
        <v>-35244.01</v>
      </c>
      <c r="F365">
        <v>1</v>
      </c>
      <c r="G365">
        <v>-35244.01</v>
      </c>
      <c r="H365">
        <v>-35244.01</v>
      </c>
      <c r="I365">
        <v>1</v>
      </c>
      <c r="J365">
        <v>-35244.01</v>
      </c>
      <c r="K365">
        <v>0</v>
      </c>
      <c r="L365">
        <v>0</v>
      </c>
      <c r="M365">
        <v>-300737.77</v>
      </c>
      <c r="N365">
        <v>-300737.77</v>
      </c>
      <c r="O365">
        <v>-335981.78</v>
      </c>
      <c r="P365">
        <v>-335981.78</v>
      </c>
      <c r="Q365">
        <v>0</v>
      </c>
      <c r="R365" t="s">
        <v>428</v>
      </c>
      <c r="S365"/>
      <c r="T365"/>
    </row>
    <row r="366" spans="1:20" ht="14.5" customHeight="1" x14ac:dyDescent="0.35">
      <c r="A366">
        <v>140</v>
      </c>
      <c r="B366" t="s">
        <v>440</v>
      </c>
      <c r="C366">
        <v>0</v>
      </c>
      <c r="D366">
        <v>0</v>
      </c>
      <c r="E366">
        <v>0</v>
      </c>
      <c r="F366">
        <v>1</v>
      </c>
      <c r="G366">
        <v>0</v>
      </c>
      <c r="H366">
        <v>0</v>
      </c>
      <c r="I366">
        <v>1</v>
      </c>
      <c r="J366">
        <v>0</v>
      </c>
      <c r="K366">
        <v>29650</v>
      </c>
      <c r="L366">
        <v>29650</v>
      </c>
      <c r="M366">
        <v>0</v>
      </c>
      <c r="N366">
        <v>0</v>
      </c>
      <c r="O366">
        <v>-29650</v>
      </c>
      <c r="P366">
        <v>-29650</v>
      </c>
      <c r="Q366">
        <v>33330</v>
      </c>
      <c r="R366" t="s">
        <v>428</v>
      </c>
      <c r="S366"/>
      <c r="T366"/>
    </row>
    <row r="367" spans="1:20" ht="14.5" customHeight="1" x14ac:dyDescent="0.35">
      <c r="A367">
        <v>150</v>
      </c>
      <c r="B367" t="s">
        <v>441</v>
      </c>
      <c r="C367">
        <v>0</v>
      </c>
      <c r="D367">
        <v>0</v>
      </c>
      <c r="E367">
        <v>0</v>
      </c>
      <c r="F367">
        <v>1</v>
      </c>
      <c r="G367">
        <v>0</v>
      </c>
      <c r="H367">
        <v>0</v>
      </c>
      <c r="I367">
        <v>1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5737</v>
      </c>
      <c r="R367" t="s">
        <v>428</v>
      </c>
      <c r="S367"/>
      <c r="T367"/>
    </row>
    <row r="368" spans="1:20" ht="14.5" customHeight="1" x14ac:dyDescent="0.35">
      <c r="A368">
        <v>155</v>
      </c>
      <c r="B368" t="s">
        <v>442</v>
      </c>
      <c r="C368">
        <v>0</v>
      </c>
      <c r="D368">
        <v>0</v>
      </c>
      <c r="E368">
        <v>0</v>
      </c>
      <c r="F368">
        <v>1</v>
      </c>
      <c r="G368">
        <v>0</v>
      </c>
      <c r="H368">
        <v>0</v>
      </c>
      <c r="I368">
        <v>1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 t="s">
        <v>428</v>
      </c>
      <c r="S368"/>
      <c r="T368"/>
    </row>
    <row r="369" spans="1:20" ht="14.5" customHeight="1" x14ac:dyDescent="0.35">
      <c r="A369">
        <v>160</v>
      </c>
      <c r="B369" t="s">
        <v>443</v>
      </c>
      <c r="C369">
        <v>-335981.78</v>
      </c>
      <c r="D369">
        <v>-335981.78</v>
      </c>
      <c r="E369">
        <v>-35244.01</v>
      </c>
      <c r="F369">
        <v>1</v>
      </c>
      <c r="G369">
        <v>-35244.01</v>
      </c>
      <c r="H369">
        <v>-35244.01</v>
      </c>
      <c r="I369">
        <v>1</v>
      </c>
      <c r="J369">
        <v>-35244.01</v>
      </c>
      <c r="K369">
        <v>29650</v>
      </c>
      <c r="L369">
        <v>29650</v>
      </c>
      <c r="M369">
        <v>-300737.77</v>
      </c>
      <c r="N369">
        <v>-300737.77</v>
      </c>
      <c r="O369">
        <v>-365631.78</v>
      </c>
      <c r="P369">
        <v>-365631.78</v>
      </c>
      <c r="Q369">
        <v>27593</v>
      </c>
      <c r="R369" t="s">
        <v>428</v>
      </c>
      <c r="S369"/>
      <c r="T369"/>
    </row>
    <row r="370" spans="1:20" ht="14.5" customHeight="1" x14ac:dyDescent="0.35">
      <c r="A370">
        <v>170</v>
      </c>
      <c r="B370" t="s">
        <v>444</v>
      </c>
      <c r="C370">
        <v>-1664961.27</v>
      </c>
      <c r="D370">
        <v>-1664961.27</v>
      </c>
      <c r="E370">
        <v>-3315991.7</v>
      </c>
      <c r="F370">
        <v>1</v>
      </c>
      <c r="G370">
        <v>-3315991.7</v>
      </c>
      <c r="H370">
        <v>-3315991.7</v>
      </c>
      <c r="I370">
        <v>1</v>
      </c>
      <c r="J370">
        <v>-3315991.7</v>
      </c>
      <c r="K370">
        <v>1454275</v>
      </c>
      <c r="L370">
        <v>1454275</v>
      </c>
      <c r="M370">
        <v>1651030.43</v>
      </c>
      <c r="N370">
        <v>1651030.43</v>
      </c>
      <c r="O370">
        <v>-3119236.27</v>
      </c>
      <c r="P370">
        <v>-3119236.27</v>
      </c>
      <c r="Q370">
        <v>1150693</v>
      </c>
      <c r="R370" t="s">
        <v>428</v>
      </c>
      <c r="S370"/>
      <c r="T370"/>
    </row>
    <row r="371" spans="1:20" x14ac:dyDescent="0.35">
      <c r="A371">
        <v>180</v>
      </c>
      <c r="B371" t="s">
        <v>445</v>
      </c>
      <c r="C371">
        <v>187426</v>
      </c>
      <c r="D371">
        <v>187426</v>
      </c>
      <c r="E371">
        <v>141999</v>
      </c>
      <c r="F371">
        <v>1</v>
      </c>
      <c r="G371">
        <v>141999</v>
      </c>
      <c r="H371">
        <v>141999</v>
      </c>
      <c r="I371">
        <v>1</v>
      </c>
      <c r="J371">
        <v>141999</v>
      </c>
      <c r="K371">
        <v>335186</v>
      </c>
      <c r="L371">
        <v>335186</v>
      </c>
      <c r="M371">
        <v>45427</v>
      </c>
      <c r="N371">
        <v>45427</v>
      </c>
      <c r="O371">
        <v>-147760</v>
      </c>
      <c r="P371">
        <v>-147760</v>
      </c>
      <c r="Q371">
        <v>323769</v>
      </c>
      <c r="R371" t="s">
        <v>428</v>
      </c>
      <c r="S371"/>
      <c r="T371"/>
    </row>
    <row r="372" spans="1:20" x14ac:dyDescent="0.35">
      <c r="A372">
        <v>190</v>
      </c>
      <c r="B372" t="s">
        <v>446</v>
      </c>
      <c r="C372">
        <v>0</v>
      </c>
      <c r="D372">
        <v>0</v>
      </c>
      <c r="E372">
        <v>0</v>
      </c>
      <c r="F372">
        <v>1</v>
      </c>
      <c r="G372">
        <v>0</v>
      </c>
      <c r="H372">
        <v>0</v>
      </c>
      <c r="I372">
        <v>1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 t="s">
        <v>428</v>
      </c>
      <c r="S372"/>
      <c r="T372"/>
    </row>
    <row r="373" spans="1:20" ht="14.5" customHeight="1" x14ac:dyDescent="0.35">
      <c r="A373">
        <v>200</v>
      </c>
      <c r="B373" t="s">
        <v>447</v>
      </c>
      <c r="C373">
        <v>-1852387.27</v>
      </c>
      <c r="D373">
        <v>-1852387.27</v>
      </c>
      <c r="E373">
        <v>-3457990.7</v>
      </c>
      <c r="F373">
        <v>1</v>
      </c>
      <c r="G373">
        <v>-3457990.7</v>
      </c>
      <c r="H373">
        <v>-3457990.7</v>
      </c>
      <c r="I373">
        <v>1</v>
      </c>
      <c r="J373">
        <v>-3457990.7</v>
      </c>
      <c r="K373">
        <v>1119089</v>
      </c>
      <c r="L373">
        <v>1119089</v>
      </c>
      <c r="M373">
        <v>1605603.43</v>
      </c>
      <c r="N373">
        <v>1605603.43</v>
      </c>
      <c r="O373">
        <v>-2971476.27</v>
      </c>
      <c r="P373">
        <v>-2971476.27</v>
      </c>
      <c r="Q373">
        <v>826924</v>
      </c>
      <c r="R373" t="s">
        <v>428</v>
      </c>
      <c r="S373"/>
      <c r="T373"/>
    </row>
    <row r="374" spans="1:20" ht="14.5" customHeight="1" x14ac:dyDescent="0.35">
      <c r="A374">
        <v>210</v>
      </c>
      <c r="B374" t="s">
        <v>448</v>
      </c>
      <c r="C374">
        <v>-1751361.86</v>
      </c>
      <c r="D374">
        <v>-1751361.86</v>
      </c>
      <c r="E374">
        <v>-2893005.12</v>
      </c>
      <c r="F374">
        <v>1</v>
      </c>
      <c r="G374">
        <v>-2893005.12</v>
      </c>
      <c r="H374">
        <v>-2893005.12</v>
      </c>
      <c r="I374">
        <v>1</v>
      </c>
      <c r="J374">
        <v>-2893005.12</v>
      </c>
      <c r="K374">
        <v>1941087</v>
      </c>
      <c r="L374">
        <v>1941087</v>
      </c>
      <c r="M374">
        <v>1141643.26</v>
      </c>
      <c r="N374">
        <v>1141643.26</v>
      </c>
      <c r="O374">
        <v>-3692448.86</v>
      </c>
      <c r="P374">
        <v>-3692448.86</v>
      </c>
      <c r="Q374">
        <v>1635448</v>
      </c>
      <c r="R374" t="s">
        <v>428</v>
      </c>
      <c r="S374"/>
      <c r="T374"/>
    </row>
    <row r="375" spans="1:20" s="180" customFormat="1" x14ac:dyDescent="0.35">
      <c r="A375" t="s">
        <v>499</v>
      </c>
      <c r="B375" t="s">
        <v>416</v>
      </c>
      <c r="C375" t="s">
        <v>469</v>
      </c>
      <c r="D375" t="s">
        <v>470</v>
      </c>
      <c r="E375" t="s">
        <v>419</v>
      </c>
      <c r="F375" t="s">
        <v>471</v>
      </c>
      <c r="G375" t="s">
        <v>472</v>
      </c>
      <c r="H375" t="s">
        <v>473</v>
      </c>
      <c r="I375" t="s">
        <v>474</v>
      </c>
      <c r="J375" t="s">
        <v>475</v>
      </c>
      <c r="K375" t="s">
        <v>476</v>
      </c>
      <c r="L375" t="s">
        <v>477</v>
      </c>
      <c r="M375" t="s">
        <v>129</v>
      </c>
      <c r="N375" t="s">
        <v>131</v>
      </c>
      <c r="O375" t="s">
        <v>132</v>
      </c>
      <c r="P375" t="s">
        <v>133</v>
      </c>
      <c r="Q375" t="s">
        <v>125</v>
      </c>
      <c r="R375" t="s">
        <v>121</v>
      </c>
      <c r="S375"/>
      <c r="T375"/>
    </row>
    <row r="376" spans="1:20" ht="14.5" customHeight="1" x14ac:dyDescent="0.35">
      <c r="A376">
        <v>30</v>
      </c>
      <c r="B376" t="s">
        <v>427</v>
      </c>
      <c r="C376">
        <v>63863556.770000003</v>
      </c>
      <c r="D376">
        <v>63863556.770000003</v>
      </c>
      <c r="E376">
        <v>70724782.230000004</v>
      </c>
      <c r="F376">
        <v>1</v>
      </c>
      <c r="G376">
        <v>70724782.230000004</v>
      </c>
      <c r="H376">
        <v>70724782.230000004</v>
      </c>
      <c r="I376">
        <v>1</v>
      </c>
      <c r="J376">
        <v>70724782.230000004</v>
      </c>
      <c r="K376">
        <v>62718707</v>
      </c>
      <c r="L376">
        <v>62718707</v>
      </c>
      <c r="M376">
        <v>-6861225.46</v>
      </c>
      <c r="N376">
        <v>-6861225.46</v>
      </c>
      <c r="O376">
        <v>1144849.77</v>
      </c>
      <c r="P376">
        <v>1144849.77</v>
      </c>
      <c r="Q376">
        <v>61214156</v>
      </c>
      <c r="R376" t="s">
        <v>428</v>
      </c>
      <c r="S376"/>
      <c r="T376"/>
    </row>
    <row r="377" spans="1:20" ht="14.5" customHeight="1" x14ac:dyDescent="0.35">
      <c r="A377">
        <v>40</v>
      </c>
      <c r="B377" t="s">
        <v>429</v>
      </c>
      <c r="C377">
        <v>0</v>
      </c>
      <c r="D377">
        <v>0</v>
      </c>
      <c r="E377">
        <v>0</v>
      </c>
      <c r="F377">
        <v>1</v>
      </c>
      <c r="G377">
        <v>0</v>
      </c>
      <c r="H377">
        <v>0</v>
      </c>
      <c r="I377">
        <v>1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 t="s">
        <v>428</v>
      </c>
      <c r="S377"/>
      <c r="T377"/>
    </row>
    <row r="378" spans="1:20" x14ac:dyDescent="0.35">
      <c r="A378">
        <v>50</v>
      </c>
      <c r="B378" t="s">
        <v>430</v>
      </c>
      <c r="C378">
        <v>63863556.770000003</v>
      </c>
      <c r="D378">
        <v>63863556.770000003</v>
      </c>
      <c r="E378">
        <v>70724782.230000004</v>
      </c>
      <c r="F378">
        <v>1</v>
      </c>
      <c r="G378">
        <v>70724782.230000004</v>
      </c>
      <c r="H378">
        <v>70724782.230000004</v>
      </c>
      <c r="I378">
        <v>1</v>
      </c>
      <c r="J378">
        <v>70724782.230000004</v>
      </c>
      <c r="K378">
        <v>62718707</v>
      </c>
      <c r="L378">
        <v>62718707</v>
      </c>
      <c r="M378">
        <v>-6861225.46</v>
      </c>
      <c r="N378">
        <v>-6861225.46</v>
      </c>
      <c r="O378">
        <v>1144849.77</v>
      </c>
      <c r="P378">
        <v>1144849.77</v>
      </c>
      <c r="Q378">
        <v>61214156</v>
      </c>
      <c r="R378" t="s">
        <v>428</v>
      </c>
      <c r="S378"/>
      <c r="T378"/>
    </row>
    <row r="379" spans="1:20" x14ac:dyDescent="0.35">
      <c r="A379">
        <v>60</v>
      </c>
      <c r="B379" t="s">
        <v>431</v>
      </c>
      <c r="C379">
        <v>54520265.969999999</v>
      </c>
      <c r="D379">
        <v>54520265.969999999</v>
      </c>
      <c r="E379">
        <v>62379918.68</v>
      </c>
      <c r="F379">
        <v>1</v>
      </c>
      <c r="G379">
        <v>62379918.68</v>
      </c>
      <c r="H379">
        <v>62379918.68</v>
      </c>
      <c r="I379">
        <v>1</v>
      </c>
      <c r="J379">
        <v>62379918.68</v>
      </c>
      <c r="K379">
        <v>52168583</v>
      </c>
      <c r="L379">
        <v>52168583</v>
      </c>
      <c r="M379">
        <v>-7859652.71</v>
      </c>
      <c r="N379">
        <v>-7859652.71</v>
      </c>
      <c r="O379">
        <v>2351682.9700000002</v>
      </c>
      <c r="P379">
        <v>2351682.9700000002</v>
      </c>
      <c r="Q379">
        <v>51012955</v>
      </c>
      <c r="R379" t="s">
        <v>428</v>
      </c>
      <c r="S379"/>
      <c r="T379"/>
    </row>
    <row r="380" spans="1:20" x14ac:dyDescent="0.35">
      <c r="A380">
        <v>70</v>
      </c>
      <c r="B380" t="s">
        <v>432</v>
      </c>
      <c r="C380">
        <v>9343290.8000000007</v>
      </c>
      <c r="D380">
        <v>9343290.8000000007</v>
      </c>
      <c r="E380">
        <v>8344863.5499999998</v>
      </c>
      <c r="F380">
        <v>1</v>
      </c>
      <c r="G380">
        <v>8344863.5499999998</v>
      </c>
      <c r="H380">
        <v>8344863.5499999998</v>
      </c>
      <c r="I380">
        <v>1</v>
      </c>
      <c r="J380">
        <v>8344863.5499999998</v>
      </c>
      <c r="K380">
        <v>10550124</v>
      </c>
      <c r="L380">
        <v>10550124</v>
      </c>
      <c r="M380">
        <v>998427.25</v>
      </c>
      <c r="N380">
        <v>998427.25</v>
      </c>
      <c r="O380">
        <v>-1206833.2</v>
      </c>
      <c r="P380">
        <v>-1206833.2</v>
      </c>
      <c r="Q380">
        <v>10201201</v>
      </c>
      <c r="R380" t="s">
        <v>428</v>
      </c>
      <c r="S380"/>
      <c r="T380"/>
    </row>
    <row r="381" spans="1:20" ht="14.5" customHeight="1" x14ac:dyDescent="0.35">
      <c r="A381">
        <v>80</v>
      </c>
      <c r="B381" t="s">
        <v>433</v>
      </c>
      <c r="C381">
        <v>3001950.05</v>
      </c>
      <c r="D381">
        <v>3001950.05</v>
      </c>
      <c r="E381">
        <v>2826390.65</v>
      </c>
      <c r="F381">
        <v>1</v>
      </c>
      <c r="G381">
        <v>2826390.65</v>
      </c>
      <c r="H381">
        <v>2826390.65</v>
      </c>
      <c r="I381">
        <v>1</v>
      </c>
      <c r="J381">
        <v>2826390.65</v>
      </c>
      <c r="K381">
        <v>3241750</v>
      </c>
      <c r="L381">
        <v>3241750</v>
      </c>
      <c r="M381">
        <v>175559.4</v>
      </c>
      <c r="N381">
        <v>175559.4</v>
      </c>
      <c r="O381">
        <v>-239799.95</v>
      </c>
      <c r="P381">
        <v>-239799.95</v>
      </c>
      <c r="Q381">
        <v>3241750</v>
      </c>
      <c r="R381" t="s">
        <v>428</v>
      </c>
      <c r="S381"/>
      <c r="T381"/>
    </row>
    <row r="382" spans="1:20" ht="14.5" customHeight="1" x14ac:dyDescent="0.35">
      <c r="A382">
        <v>90</v>
      </c>
      <c r="B382" t="s">
        <v>434</v>
      </c>
      <c r="C382">
        <v>1332469.8</v>
      </c>
      <c r="D382">
        <v>1332469.8</v>
      </c>
      <c r="E382">
        <v>1280514.6599999999</v>
      </c>
      <c r="F382">
        <v>1</v>
      </c>
      <c r="G382">
        <v>1280514.6599999999</v>
      </c>
      <c r="H382">
        <v>1280514.6599999999</v>
      </c>
      <c r="I382">
        <v>1</v>
      </c>
      <c r="J382">
        <v>1280514.6599999999</v>
      </c>
      <c r="K382">
        <v>1179764</v>
      </c>
      <c r="L382">
        <v>1179764</v>
      </c>
      <c r="M382">
        <v>51955.14</v>
      </c>
      <c r="N382">
        <v>51955.14</v>
      </c>
      <c r="O382">
        <v>152705.79999999999</v>
      </c>
      <c r="P382">
        <v>152705.79999999999</v>
      </c>
      <c r="Q382">
        <v>1179764</v>
      </c>
      <c r="R382" t="s">
        <v>428</v>
      </c>
      <c r="S382"/>
      <c r="T382"/>
    </row>
    <row r="383" spans="1:20" ht="14.5" customHeight="1" x14ac:dyDescent="0.35">
      <c r="A383">
        <v>100</v>
      </c>
      <c r="B383" t="s">
        <v>435</v>
      </c>
      <c r="C383">
        <v>231417.85</v>
      </c>
      <c r="D383">
        <v>231417.85</v>
      </c>
      <c r="E383">
        <v>475475.21</v>
      </c>
      <c r="F383">
        <v>1</v>
      </c>
      <c r="G383">
        <v>475475.21</v>
      </c>
      <c r="H383">
        <v>475475.21</v>
      </c>
      <c r="I383">
        <v>1</v>
      </c>
      <c r="J383">
        <v>475475.21</v>
      </c>
      <c r="K383">
        <v>320128</v>
      </c>
      <c r="L383">
        <v>320128</v>
      </c>
      <c r="M383">
        <v>-244057.36</v>
      </c>
      <c r="N383">
        <v>-244057.36</v>
      </c>
      <c r="O383">
        <v>-88710.15</v>
      </c>
      <c r="P383">
        <v>-88710.15</v>
      </c>
      <c r="Q383">
        <v>320128</v>
      </c>
      <c r="R383" t="s">
        <v>428</v>
      </c>
      <c r="S383"/>
      <c r="T383"/>
    </row>
    <row r="384" spans="1:20" ht="14.5" customHeight="1" x14ac:dyDescent="0.35">
      <c r="A384">
        <v>110</v>
      </c>
      <c r="B384" t="s">
        <v>436</v>
      </c>
      <c r="C384">
        <v>4565837.7</v>
      </c>
      <c r="D384">
        <v>4565837.7</v>
      </c>
      <c r="E384">
        <v>4582380.5199999996</v>
      </c>
      <c r="F384">
        <v>1</v>
      </c>
      <c r="G384">
        <v>4582380.5199999996</v>
      </c>
      <c r="H384">
        <v>4582380.5199999996</v>
      </c>
      <c r="I384">
        <v>1</v>
      </c>
      <c r="J384">
        <v>4582380.5199999996</v>
      </c>
      <c r="K384">
        <v>4741642</v>
      </c>
      <c r="L384">
        <v>4741642</v>
      </c>
      <c r="M384">
        <v>-16542.82</v>
      </c>
      <c r="N384">
        <v>-16542.82</v>
      </c>
      <c r="O384">
        <v>-175804.3</v>
      </c>
      <c r="P384">
        <v>-175804.3</v>
      </c>
      <c r="Q384">
        <v>4741642</v>
      </c>
      <c r="R384" t="s">
        <v>428</v>
      </c>
      <c r="S384"/>
      <c r="T384"/>
    </row>
    <row r="385" spans="1:20" ht="14.5" customHeight="1" x14ac:dyDescent="0.35">
      <c r="A385">
        <v>120</v>
      </c>
      <c r="B385" t="s">
        <v>437</v>
      </c>
      <c r="C385">
        <v>4777453.0999999996</v>
      </c>
      <c r="D385">
        <v>4777453.0999999996</v>
      </c>
      <c r="E385">
        <v>3762483.03</v>
      </c>
      <c r="F385">
        <v>1</v>
      </c>
      <c r="G385">
        <v>3762483.03</v>
      </c>
      <c r="H385">
        <v>3762483.03</v>
      </c>
      <c r="I385">
        <v>1</v>
      </c>
      <c r="J385">
        <v>3762483.03</v>
      </c>
      <c r="K385">
        <v>5808482</v>
      </c>
      <c r="L385">
        <v>5808482</v>
      </c>
      <c r="M385">
        <v>1014970.07</v>
      </c>
      <c r="N385">
        <v>1014970.07</v>
      </c>
      <c r="O385">
        <v>-1031028.9</v>
      </c>
      <c r="P385">
        <v>-1031028.9</v>
      </c>
      <c r="Q385">
        <v>5459559</v>
      </c>
      <c r="R385" t="s">
        <v>428</v>
      </c>
      <c r="S385"/>
      <c r="T385"/>
    </row>
    <row r="386" spans="1:20" ht="14.5" customHeight="1" x14ac:dyDescent="0.35">
      <c r="A386">
        <v>130</v>
      </c>
      <c r="B386" t="s">
        <v>438</v>
      </c>
      <c r="C386">
        <v>749570.76</v>
      </c>
      <c r="D386">
        <v>749570.76</v>
      </c>
      <c r="E386">
        <v>-272386.94</v>
      </c>
      <c r="F386">
        <v>1</v>
      </c>
      <c r="G386">
        <v>-272386.94</v>
      </c>
      <c r="H386">
        <v>-272386.94</v>
      </c>
      <c r="I386">
        <v>1</v>
      </c>
      <c r="J386">
        <v>-272386.94</v>
      </c>
      <c r="K386">
        <v>-2718912</v>
      </c>
      <c r="L386">
        <v>-2718912</v>
      </c>
      <c r="M386">
        <v>1021957.7</v>
      </c>
      <c r="N386">
        <v>1021957.7</v>
      </c>
      <c r="O386">
        <v>3468482.76</v>
      </c>
      <c r="P386">
        <v>3468482.76</v>
      </c>
      <c r="Q386">
        <v>89192</v>
      </c>
      <c r="R386" t="s">
        <v>428</v>
      </c>
      <c r="S386"/>
      <c r="T386"/>
    </row>
    <row r="387" spans="1:20" ht="14.5" customHeight="1" x14ac:dyDescent="0.35">
      <c r="A387">
        <v>135</v>
      </c>
      <c r="B387" t="s">
        <v>439</v>
      </c>
      <c r="C387">
        <v>-103371.69</v>
      </c>
      <c r="D387">
        <v>-103371.69</v>
      </c>
      <c r="E387">
        <v>-54810.93</v>
      </c>
      <c r="F387">
        <v>1</v>
      </c>
      <c r="G387">
        <v>-54810.93</v>
      </c>
      <c r="H387">
        <v>-54810.93</v>
      </c>
      <c r="I387">
        <v>1</v>
      </c>
      <c r="J387">
        <v>-54810.93</v>
      </c>
      <c r="K387">
        <v>0</v>
      </c>
      <c r="L387">
        <v>0</v>
      </c>
      <c r="M387">
        <v>-48560.76</v>
      </c>
      <c r="N387">
        <v>-48560.76</v>
      </c>
      <c r="O387">
        <v>-103371.69</v>
      </c>
      <c r="P387">
        <v>-103371.69</v>
      </c>
      <c r="Q387">
        <v>0</v>
      </c>
      <c r="R387" t="s">
        <v>428</v>
      </c>
      <c r="S387"/>
      <c r="T387"/>
    </row>
    <row r="388" spans="1:20" ht="14.5" customHeight="1" x14ac:dyDescent="0.35">
      <c r="A388">
        <v>140</v>
      </c>
      <c r="B388" t="s">
        <v>440</v>
      </c>
      <c r="C388">
        <v>188640.4</v>
      </c>
      <c r="D388">
        <v>188640.4</v>
      </c>
      <c r="E388">
        <v>283285.03999999998</v>
      </c>
      <c r="F388">
        <v>1</v>
      </c>
      <c r="G388">
        <v>283285.03999999998</v>
      </c>
      <c r="H388">
        <v>283285.03999999998</v>
      </c>
      <c r="I388">
        <v>1</v>
      </c>
      <c r="J388">
        <v>283285.03999999998</v>
      </c>
      <c r="K388">
        <v>177392</v>
      </c>
      <c r="L388">
        <v>177392</v>
      </c>
      <c r="M388">
        <v>-94644.64</v>
      </c>
      <c r="N388">
        <v>-94644.64</v>
      </c>
      <c r="O388">
        <v>11248.4</v>
      </c>
      <c r="P388">
        <v>11248.4</v>
      </c>
      <c r="Q388">
        <v>169618</v>
      </c>
      <c r="R388" t="s">
        <v>428</v>
      </c>
      <c r="S388"/>
      <c r="T388"/>
    </row>
    <row r="389" spans="1:20" ht="14.5" customHeight="1" x14ac:dyDescent="0.35">
      <c r="A389">
        <v>150</v>
      </c>
      <c r="B389" t="s">
        <v>441</v>
      </c>
      <c r="C389">
        <v>0</v>
      </c>
      <c r="D389">
        <v>0</v>
      </c>
      <c r="E389">
        <v>0</v>
      </c>
      <c r="F389">
        <v>1</v>
      </c>
      <c r="G389">
        <v>0</v>
      </c>
      <c r="H389">
        <v>0</v>
      </c>
      <c r="I389">
        <v>1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188258</v>
      </c>
      <c r="R389" t="s">
        <v>428</v>
      </c>
      <c r="S389"/>
      <c r="T389"/>
    </row>
    <row r="390" spans="1:20" ht="14.5" customHeight="1" x14ac:dyDescent="0.35">
      <c r="A390">
        <v>155</v>
      </c>
      <c r="B390" t="s">
        <v>442</v>
      </c>
      <c r="C390">
        <v>0</v>
      </c>
      <c r="D390">
        <v>0</v>
      </c>
      <c r="E390">
        <v>0</v>
      </c>
      <c r="F390">
        <v>1</v>
      </c>
      <c r="G390">
        <v>0</v>
      </c>
      <c r="H390">
        <v>0</v>
      </c>
      <c r="I390">
        <v>1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 t="s">
        <v>428</v>
      </c>
      <c r="S390"/>
      <c r="T390"/>
    </row>
    <row r="391" spans="1:20" ht="14.5" customHeight="1" x14ac:dyDescent="0.35">
      <c r="A391">
        <v>160</v>
      </c>
      <c r="B391" t="s">
        <v>443</v>
      </c>
      <c r="C391">
        <v>834839.47</v>
      </c>
      <c r="D391">
        <v>834839.47</v>
      </c>
      <c r="E391">
        <v>-43912.83</v>
      </c>
      <c r="F391">
        <v>1</v>
      </c>
      <c r="G391">
        <v>-43912.83</v>
      </c>
      <c r="H391">
        <v>-43912.83</v>
      </c>
      <c r="I391">
        <v>1</v>
      </c>
      <c r="J391">
        <v>-43912.83</v>
      </c>
      <c r="K391">
        <v>-2541520</v>
      </c>
      <c r="L391">
        <v>-2541520</v>
      </c>
      <c r="M391">
        <v>878752.3</v>
      </c>
      <c r="N391">
        <v>878752.3</v>
      </c>
      <c r="O391">
        <v>3376359.47</v>
      </c>
      <c r="P391">
        <v>3376359.47</v>
      </c>
      <c r="Q391">
        <v>70552</v>
      </c>
      <c r="R391" t="s">
        <v>428</v>
      </c>
      <c r="S391"/>
      <c r="T391"/>
    </row>
    <row r="392" spans="1:20" ht="14.5" customHeight="1" x14ac:dyDescent="0.35">
      <c r="A392">
        <v>170</v>
      </c>
      <c r="B392" t="s">
        <v>444</v>
      </c>
      <c r="C392">
        <v>3942613.63</v>
      </c>
      <c r="D392">
        <v>3942613.63</v>
      </c>
      <c r="E392">
        <v>3806395.86</v>
      </c>
      <c r="F392">
        <v>1</v>
      </c>
      <c r="G392">
        <v>3806395.86</v>
      </c>
      <c r="H392">
        <v>3806395.86</v>
      </c>
      <c r="I392">
        <v>1</v>
      </c>
      <c r="J392">
        <v>3806395.86</v>
      </c>
      <c r="K392">
        <v>8350002</v>
      </c>
      <c r="L392">
        <v>8350002</v>
      </c>
      <c r="M392">
        <v>136217.76999999999</v>
      </c>
      <c r="N392">
        <v>136217.76999999999</v>
      </c>
      <c r="O392">
        <v>-4407388.37</v>
      </c>
      <c r="P392">
        <v>-4407388.37</v>
      </c>
      <c r="Q392">
        <v>5389007</v>
      </c>
      <c r="R392" t="s">
        <v>428</v>
      </c>
      <c r="S392"/>
      <c r="T392"/>
    </row>
    <row r="393" spans="1:20" x14ac:dyDescent="0.35">
      <c r="A393">
        <v>180</v>
      </c>
      <c r="B393" t="s">
        <v>445</v>
      </c>
      <c r="C393">
        <v>1342979</v>
      </c>
      <c r="D393">
        <v>1342979</v>
      </c>
      <c r="E393">
        <v>1653419</v>
      </c>
      <c r="F393">
        <v>1</v>
      </c>
      <c r="G393">
        <v>1653419</v>
      </c>
      <c r="H393">
        <v>1653419</v>
      </c>
      <c r="I393">
        <v>1</v>
      </c>
      <c r="J393">
        <v>1653419</v>
      </c>
      <c r="K393">
        <v>766952</v>
      </c>
      <c r="L393">
        <v>766952</v>
      </c>
      <c r="M393">
        <v>-310440</v>
      </c>
      <c r="N393">
        <v>-310440</v>
      </c>
      <c r="O393">
        <v>576027</v>
      </c>
      <c r="P393">
        <v>576027</v>
      </c>
      <c r="Q393">
        <v>748554</v>
      </c>
      <c r="R393" t="s">
        <v>428</v>
      </c>
      <c r="S393"/>
      <c r="T393"/>
    </row>
    <row r="394" spans="1:20" x14ac:dyDescent="0.35">
      <c r="A394">
        <v>190</v>
      </c>
      <c r="B394" t="s">
        <v>446</v>
      </c>
      <c r="C394">
        <v>0</v>
      </c>
      <c r="D394">
        <v>0</v>
      </c>
      <c r="E394">
        <v>0</v>
      </c>
      <c r="F394">
        <v>1</v>
      </c>
      <c r="G394">
        <v>0</v>
      </c>
      <c r="H394">
        <v>0</v>
      </c>
      <c r="I394">
        <v>1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 t="s">
        <v>428</v>
      </c>
      <c r="S394"/>
      <c r="T394"/>
    </row>
    <row r="395" spans="1:20" ht="14.5" customHeight="1" x14ac:dyDescent="0.35">
      <c r="A395">
        <v>200</v>
      </c>
      <c r="B395" t="s">
        <v>447</v>
      </c>
      <c r="C395">
        <v>2599634.63</v>
      </c>
      <c r="D395">
        <v>2599634.63</v>
      </c>
      <c r="E395">
        <v>2152976.86</v>
      </c>
      <c r="F395">
        <v>1</v>
      </c>
      <c r="G395">
        <v>2152976.86</v>
      </c>
      <c r="H395">
        <v>2152976.86</v>
      </c>
      <c r="I395">
        <v>1</v>
      </c>
      <c r="J395">
        <v>2152976.86</v>
      </c>
      <c r="K395">
        <v>7583050</v>
      </c>
      <c r="L395">
        <v>7583050</v>
      </c>
      <c r="M395">
        <v>446657.77</v>
      </c>
      <c r="N395">
        <v>446657.77</v>
      </c>
      <c r="O395">
        <v>-4983415.37</v>
      </c>
      <c r="P395">
        <v>-4983415.37</v>
      </c>
      <c r="Q395">
        <v>4640453</v>
      </c>
      <c r="R395" t="s">
        <v>428</v>
      </c>
      <c r="S395"/>
      <c r="T395"/>
    </row>
    <row r="396" spans="1:20" ht="14.5" customHeight="1" x14ac:dyDescent="0.35">
      <c r="A396">
        <v>210</v>
      </c>
      <c r="B396" t="s">
        <v>448</v>
      </c>
      <c r="C396">
        <v>5008870.95</v>
      </c>
      <c r="D396">
        <v>5008870.95</v>
      </c>
      <c r="E396">
        <v>4237958.24</v>
      </c>
      <c r="F396">
        <v>1</v>
      </c>
      <c r="G396">
        <v>4237958.24</v>
      </c>
      <c r="H396">
        <v>4237958.24</v>
      </c>
      <c r="I396">
        <v>1</v>
      </c>
      <c r="J396">
        <v>4237958.24</v>
      </c>
      <c r="K396">
        <v>6128610</v>
      </c>
      <c r="L396">
        <v>6128610</v>
      </c>
      <c r="M396">
        <v>770912.71</v>
      </c>
      <c r="N396">
        <v>770912.71</v>
      </c>
      <c r="O396">
        <v>-1119739.05</v>
      </c>
      <c r="P396">
        <v>-1119739.05</v>
      </c>
      <c r="Q396">
        <v>5779687</v>
      </c>
      <c r="R396" t="s">
        <v>428</v>
      </c>
      <c r="S396"/>
      <c r="T396"/>
    </row>
    <row r="397" spans="1:20" s="180" customFormat="1" x14ac:dyDescent="0.35">
      <c r="A397" t="s">
        <v>500</v>
      </c>
      <c r="B397" t="s">
        <v>416</v>
      </c>
      <c r="C397" t="s">
        <v>469</v>
      </c>
      <c r="D397" t="s">
        <v>470</v>
      </c>
      <c r="E397" t="s">
        <v>419</v>
      </c>
      <c r="F397" t="s">
        <v>471</v>
      </c>
      <c r="G397" t="s">
        <v>472</v>
      </c>
      <c r="H397" t="s">
        <v>473</v>
      </c>
      <c r="I397" t="s">
        <v>474</v>
      </c>
      <c r="J397" t="s">
        <v>475</v>
      </c>
      <c r="K397" t="s">
        <v>476</v>
      </c>
      <c r="L397" t="s">
        <v>477</v>
      </c>
      <c r="M397" t="s">
        <v>129</v>
      </c>
      <c r="N397" t="s">
        <v>131</v>
      </c>
      <c r="O397" t="s">
        <v>132</v>
      </c>
      <c r="P397" t="s">
        <v>133</v>
      </c>
      <c r="Q397" t="s">
        <v>125</v>
      </c>
      <c r="R397" t="s">
        <v>121</v>
      </c>
      <c r="S397"/>
      <c r="T397"/>
    </row>
    <row r="398" spans="1:20" ht="14.5" customHeight="1" x14ac:dyDescent="0.35">
      <c r="A398">
        <v>30</v>
      </c>
      <c r="B398" t="s">
        <v>427</v>
      </c>
      <c r="C398">
        <v>5164521.59</v>
      </c>
      <c r="D398">
        <v>5164521.59</v>
      </c>
      <c r="E398">
        <v>3727719.46</v>
      </c>
      <c r="F398">
        <v>1</v>
      </c>
      <c r="G398">
        <v>3727719.46</v>
      </c>
      <c r="H398">
        <v>3727719.46</v>
      </c>
      <c r="I398">
        <v>1</v>
      </c>
      <c r="J398">
        <v>3727719.46</v>
      </c>
      <c r="K398">
        <v>6508937</v>
      </c>
      <c r="L398">
        <v>6508937</v>
      </c>
      <c r="M398">
        <v>1436802.13</v>
      </c>
      <c r="N398">
        <v>1436802.13</v>
      </c>
      <c r="O398">
        <v>-1344415.41</v>
      </c>
      <c r="P398">
        <v>-1344415.41</v>
      </c>
      <c r="Q398">
        <v>6151872</v>
      </c>
      <c r="R398" t="s">
        <v>428</v>
      </c>
      <c r="S398"/>
      <c r="T398"/>
    </row>
    <row r="399" spans="1:20" ht="14.5" customHeight="1" x14ac:dyDescent="0.35">
      <c r="A399">
        <v>40</v>
      </c>
      <c r="B399" t="s">
        <v>429</v>
      </c>
      <c r="C399">
        <v>-72469.58</v>
      </c>
      <c r="D399">
        <v>-72469.58</v>
      </c>
      <c r="E399">
        <v>-80539.649999999994</v>
      </c>
      <c r="F399">
        <v>1</v>
      </c>
      <c r="G399">
        <v>-80539.649999999994</v>
      </c>
      <c r="H399">
        <v>-80539.649999999994</v>
      </c>
      <c r="I399">
        <v>1</v>
      </c>
      <c r="J399">
        <v>-80539.649999999994</v>
      </c>
      <c r="K399">
        <v>0</v>
      </c>
      <c r="L399">
        <v>0</v>
      </c>
      <c r="M399">
        <v>8070.07</v>
      </c>
      <c r="N399">
        <v>8070.07</v>
      </c>
      <c r="O399">
        <v>-72469.58</v>
      </c>
      <c r="P399">
        <v>-72469.58</v>
      </c>
      <c r="Q399">
        <v>0</v>
      </c>
      <c r="R399" t="s">
        <v>428</v>
      </c>
      <c r="S399"/>
      <c r="T399"/>
    </row>
    <row r="400" spans="1:20" x14ac:dyDescent="0.35">
      <c r="A400">
        <v>50</v>
      </c>
      <c r="B400" t="s">
        <v>430</v>
      </c>
      <c r="C400">
        <v>5092052.01</v>
      </c>
      <c r="D400">
        <v>5092052.01</v>
      </c>
      <c r="E400">
        <v>3647179.81</v>
      </c>
      <c r="F400">
        <v>1</v>
      </c>
      <c r="G400">
        <v>3647179.81</v>
      </c>
      <c r="H400">
        <v>3647179.81</v>
      </c>
      <c r="I400">
        <v>1</v>
      </c>
      <c r="J400">
        <v>3647179.81</v>
      </c>
      <c r="K400">
        <v>6508937</v>
      </c>
      <c r="L400">
        <v>6508937</v>
      </c>
      <c r="M400">
        <v>1444872.2</v>
      </c>
      <c r="N400">
        <v>1444872.2</v>
      </c>
      <c r="O400">
        <v>-1416884.99</v>
      </c>
      <c r="P400">
        <v>-1416884.99</v>
      </c>
      <c r="Q400">
        <v>6151872</v>
      </c>
      <c r="R400" t="s">
        <v>428</v>
      </c>
      <c r="S400"/>
      <c r="T400"/>
    </row>
    <row r="401" spans="1:20" x14ac:dyDescent="0.35">
      <c r="A401">
        <v>60</v>
      </c>
      <c r="B401" t="s">
        <v>431</v>
      </c>
      <c r="C401">
        <v>3185314.67</v>
      </c>
      <c r="D401">
        <v>3185314.67</v>
      </c>
      <c r="E401">
        <v>1937394.93</v>
      </c>
      <c r="F401">
        <v>1</v>
      </c>
      <c r="G401">
        <v>1937394.93</v>
      </c>
      <c r="H401">
        <v>1937394.93</v>
      </c>
      <c r="I401">
        <v>1</v>
      </c>
      <c r="J401">
        <v>1937394.93</v>
      </c>
      <c r="K401">
        <v>3602426</v>
      </c>
      <c r="L401">
        <v>3602426</v>
      </c>
      <c r="M401">
        <v>1247919.74</v>
      </c>
      <c r="N401">
        <v>1247919.74</v>
      </c>
      <c r="O401">
        <v>-417111.33</v>
      </c>
      <c r="P401">
        <v>-417111.33</v>
      </c>
      <c r="Q401">
        <v>3404805</v>
      </c>
      <c r="R401" t="s">
        <v>428</v>
      </c>
      <c r="S401"/>
      <c r="T401"/>
    </row>
    <row r="402" spans="1:20" x14ac:dyDescent="0.35">
      <c r="A402">
        <v>70</v>
      </c>
      <c r="B402" t="s">
        <v>432</v>
      </c>
      <c r="C402">
        <v>1906737.34</v>
      </c>
      <c r="D402">
        <v>1906737.34</v>
      </c>
      <c r="E402">
        <v>1709784.88</v>
      </c>
      <c r="F402">
        <v>1</v>
      </c>
      <c r="G402">
        <v>1709784.88</v>
      </c>
      <c r="H402">
        <v>1709784.88</v>
      </c>
      <c r="I402">
        <v>1</v>
      </c>
      <c r="J402">
        <v>1709784.88</v>
      </c>
      <c r="K402">
        <v>2906511</v>
      </c>
      <c r="L402">
        <v>2906511</v>
      </c>
      <c r="M402">
        <v>196952.46</v>
      </c>
      <c r="N402">
        <v>196952.46</v>
      </c>
      <c r="O402">
        <v>-999773.66</v>
      </c>
      <c r="P402">
        <v>-999773.66</v>
      </c>
      <c r="Q402">
        <v>2747067</v>
      </c>
      <c r="R402" t="s">
        <v>428</v>
      </c>
      <c r="S402"/>
      <c r="T402"/>
    </row>
    <row r="403" spans="1:20" ht="14.5" customHeight="1" x14ac:dyDescent="0.35">
      <c r="A403">
        <v>80</v>
      </c>
      <c r="B403" t="s">
        <v>433</v>
      </c>
      <c r="C403">
        <v>1165663.42</v>
      </c>
      <c r="D403">
        <v>1165663.42</v>
      </c>
      <c r="E403">
        <v>1143828.3999999999</v>
      </c>
      <c r="F403">
        <v>1</v>
      </c>
      <c r="G403">
        <v>1143828.3999999999</v>
      </c>
      <c r="H403">
        <v>1143828.3999999999</v>
      </c>
      <c r="I403">
        <v>1</v>
      </c>
      <c r="J403">
        <v>1143828.3999999999</v>
      </c>
      <c r="K403">
        <v>1211771</v>
      </c>
      <c r="L403">
        <v>1211771</v>
      </c>
      <c r="M403">
        <v>21835.02</v>
      </c>
      <c r="N403">
        <v>21835.02</v>
      </c>
      <c r="O403">
        <v>-46107.58</v>
      </c>
      <c r="P403">
        <v>-46107.58</v>
      </c>
      <c r="Q403">
        <v>1207585</v>
      </c>
      <c r="R403" t="s">
        <v>428</v>
      </c>
      <c r="S403"/>
      <c r="T403"/>
    </row>
    <row r="404" spans="1:20" ht="14.5" customHeight="1" x14ac:dyDescent="0.35">
      <c r="A404">
        <v>90</v>
      </c>
      <c r="B404" t="s">
        <v>434</v>
      </c>
      <c r="C404">
        <v>6026.41</v>
      </c>
      <c r="D404">
        <v>6026.41</v>
      </c>
      <c r="E404">
        <v>2037</v>
      </c>
      <c r="F404">
        <v>1</v>
      </c>
      <c r="G404">
        <v>2037</v>
      </c>
      <c r="H404">
        <v>2037</v>
      </c>
      <c r="I404">
        <v>1</v>
      </c>
      <c r="J404">
        <v>2037</v>
      </c>
      <c r="K404">
        <v>3333</v>
      </c>
      <c r="L404">
        <v>3333</v>
      </c>
      <c r="M404">
        <v>3989.41</v>
      </c>
      <c r="N404">
        <v>3989.41</v>
      </c>
      <c r="O404">
        <v>2693.41</v>
      </c>
      <c r="P404">
        <v>2693.41</v>
      </c>
      <c r="Q404">
        <v>3333</v>
      </c>
      <c r="R404" t="s">
        <v>428</v>
      </c>
      <c r="S404"/>
      <c r="T404"/>
    </row>
    <row r="405" spans="1:20" ht="14.5" customHeight="1" x14ac:dyDescent="0.35">
      <c r="A405">
        <v>100</v>
      </c>
      <c r="B405" t="s">
        <v>435</v>
      </c>
      <c r="C405">
        <v>296237.73</v>
      </c>
      <c r="D405">
        <v>296237.73</v>
      </c>
      <c r="E405">
        <v>273993.84999999998</v>
      </c>
      <c r="F405">
        <v>1</v>
      </c>
      <c r="G405">
        <v>273993.84999999998</v>
      </c>
      <c r="H405">
        <v>273993.84999999998</v>
      </c>
      <c r="I405">
        <v>1</v>
      </c>
      <c r="J405">
        <v>273993.84999999998</v>
      </c>
      <c r="K405">
        <v>287254</v>
      </c>
      <c r="L405">
        <v>287254</v>
      </c>
      <c r="M405">
        <v>22243.88</v>
      </c>
      <c r="N405">
        <v>22243.88</v>
      </c>
      <c r="O405">
        <v>8983.73</v>
      </c>
      <c r="P405">
        <v>8983.73</v>
      </c>
      <c r="Q405">
        <v>287254</v>
      </c>
      <c r="R405" t="s">
        <v>428</v>
      </c>
      <c r="S405"/>
      <c r="T405"/>
    </row>
    <row r="406" spans="1:20" ht="14.5" customHeight="1" x14ac:dyDescent="0.35">
      <c r="A406">
        <v>110</v>
      </c>
      <c r="B406" t="s">
        <v>436</v>
      </c>
      <c r="C406">
        <v>1467927.56</v>
      </c>
      <c r="D406">
        <v>1467927.56</v>
      </c>
      <c r="E406">
        <v>1419859.25</v>
      </c>
      <c r="F406">
        <v>1</v>
      </c>
      <c r="G406">
        <v>1419859.25</v>
      </c>
      <c r="H406">
        <v>1419859.25</v>
      </c>
      <c r="I406">
        <v>1</v>
      </c>
      <c r="J406">
        <v>1419859.25</v>
      </c>
      <c r="K406">
        <v>1502358</v>
      </c>
      <c r="L406">
        <v>1502358</v>
      </c>
      <c r="M406">
        <v>48068.31</v>
      </c>
      <c r="N406">
        <v>48068.31</v>
      </c>
      <c r="O406">
        <v>-34430.44</v>
      </c>
      <c r="P406">
        <v>-34430.44</v>
      </c>
      <c r="Q406">
        <v>1498172</v>
      </c>
      <c r="R406" t="s">
        <v>428</v>
      </c>
      <c r="S406"/>
      <c r="T406"/>
    </row>
    <row r="407" spans="1:20" ht="14.5" customHeight="1" x14ac:dyDescent="0.35">
      <c r="A407">
        <v>120</v>
      </c>
      <c r="B407" t="s">
        <v>437</v>
      </c>
      <c r="C407">
        <v>438809.78</v>
      </c>
      <c r="D407">
        <v>438809.78</v>
      </c>
      <c r="E407">
        <v>289925.63</v>
      </c>
      <c r="F407">
        <v>1</v>
      </c>
      <c r="G407">
        <v>289925.63</v>
      </c>
      <c r="H407">
        <v>289925.63</v>
      </c>
      <c r="I407">
        <v>1</v>
      </c>
      <c r="J407">
        <v>289925.63</v>
      </c>
      <c r="K407">
        <v>1404153</v>
      </c>
      <c r="L407">
        <v>1404153</v>
      </c>
      <c r="M407">
        <v>148884.15</v>
      </c>
      <c r="N407">
        <v>148884.15</v>
      </c>
      <c r="O407">
        <v>-965343.22</v>
      </c>
      <c r="P407">
        <v>-965343.22</v>
      </c>
      <c r="Q407">
        <v>1248895</v>
      </c>
      <c r="R407" t="s">
        <v>428</v>
      </c>
      <c r="S407"/>
      <c r="T407"/>
    </row>
    <row r="408" spans="1:20" ht="14.5" customHeight="1" x14ac:dyDescent="0.35">
      <c r="A408">
        <v>130</v>
      </c>
      <c r="B408" t="s">
        <v>438</v>
      </c>
      <c r="C408">
        <v>0</v>
      </c>
      <c r="D408">
        <v>0</v>
      </c>
      <c r="E408">
        <v>0</v>
      </c>
      <c r="F408">
        <v>1</v>
      </c>
      <c r="G408">
        <v>0</v>
      </c>
      <c r="H408">
        <v>0</v>
      </c>
      <c r="I408">
        <v>1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 t="s">
        <v>428</v>
      </c>
      <c r="S408"/>
      <c r="T408"/>
    </row>
    <row r="409" spans="1:20" ht="14.5" customHeight="1" x14ac:dyDescent="0.35">
      <c r="A409">
        <v>135</v>
      </c>
      <c r="B409" t="s">
        <v>439</v>
      </c>
      <c r="C409">
        <v>-12931.92</v>
      </c>
      <c r="D409">
        <v>-12931.92</v>
      </c>
      <c r="E409">
        <v>-3.34</v>
      </c>
      <c r="F409">
        <v>1</v>
      </c>
      <c r="G409">
        <v>-3.34</v>
      </c>
      <c r="H409">
        <v>-3.34</v>
      </c>
      <c r="I409">
        <v>1</v>
      </c>
      <c r="J409">
        <v>-3.34</v>
      </c>
      <c r="K409">
        <v>0</v>
      </c>
      <c r="L409">
        <v>0</v>
      </c>
      <c r="M409">
        <v>-12928.58</v>
      </c>
      <c r="N409">
        <v>-12928.58</v>
      </c>
      <c r="O409">
        <v>-12931.92</v>
      </c>
      <c r="P409">
        <v>-12931.92</v>
      </c>
      <c r="Q409">
        <v>0</v>
      </c>
      <c r="R409" t="s">
        <v>428</v>
      </c>
      <c r="S409"/>
      <c r="T409"/>
    </row>
    <row r="410" spans="1:20" ht="14.5" customHeight="1" x14ac:dyDescent="0.35">
      <c r="A410">
        <v>140</v>
      </c>
      <c r="B410" t="s">
        <v>440</v>
      </c>
      <c r="C410">
        <v>0</v>
      </c>
      <c r="D410">
        <v>0</v>
      </c>
      <c r="E410">
        <v>0</v>
      </c>
      <c r="F410">
        <v>1</v>
      </c>
      <c r="G410">
        <v>0</v>
      </c>
      <c r="H410">
        <v>0</v>
      </c>
      <c r="I410">
        <v>1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 t="s">
        <v>428</v>
      </c>
      <c r="S410"/>
      <c r="T410"/>
    </row>
    <row r="411" spans="1:20" ht="14.5" customHeight="1" x14ac:dyDescent="0.35">
      <c r="A411">
        <v>150</v>
      </c>
      <c r="B411" t="s">
        <v>441</v>
      </c>
      <c r="C411">
        <v>4.97</v>
      </c>
      <c r="D411">
        <v>4.97</v>
      </c>
      <c r="E411">
        <v>5.0999999999999996</v>
      </c>
      <c r="F411">
        <v>1</v>
      </c>
      <c r="G411">
        <v>5.0999999999999996</v>
      </c>
      <c r="H411">
        <v>5.0999999999999996</v>
      </c>
      <c r="I411">
        <v>1</v>
      </c>
      <c r="J411">
        <v>5.0999999999999996</v>
      </c>
      <c r="K411">
        <v>0</v>
      </c>
      <c r="L411">
        <v>0</v>
      </c>
      <c r="M411">
        <v>-0.13</v>
      </c>
      <c r="N411">
        <v>-0.13</v>
      </c>
      <c r="O411">
        <v>4.97</v>
      </c>
      <c r="P411">
        <v>4.97</v>
      </c>
      <c r="Q411">
        <v>0</v>
      </c>
      <c r="R411" t="s">
        <v>428</v>
      </c>
      <c r="S411"/>
      <c r="T411"/>
    </row>
    <row r="412" spans="1:20" ht="14.5" customHeight="1" x14ac:dyDescent="0.35">
      <c r="A412">
        <v>155</v>
      </c>
      <c r="B412" t="s">
        <v>442</v>
      </c>
      <c r="C412">
        <v>0</v>
      </c>
      <c r="D412">
        <v>0</v>
      </c>
      <c r="E412">
        <v>0</v>
      </c>
      <c r="F412">
        <v>1</v>
      </c>
      <c r="G412">
        <v>0</v>
      </c>
      <c r="H412">
        <v>0</v>
      </c>
      <c r="I412">
        <v>1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 t="s">
        <v>428</v>
      </c>
      <c r="S412"/>
      <c r="T412"/>
    </row>
    <row r="413" spans="1:20" ht="14.5" customHeight="1" x14ac:dyDescent="0.35">
      <c r="A413">
        <v>160</v>
      </c>
      <c r="B413" t="s">
        <v>443</v>
      </c>
      <c r="C413">
        <v>-12936.89</v>
      </c>
      <c r="D413">
        <v>-12936.89</v>
      </c>
      <c r="E413">
        <v>-8.44</v>
      </c>
      <c r="F413">
        <v>1</v>
      </c>
      <c r="G413">
        <v>-8.44</v>
      </c>
      <c r="H413">
        <v>-8.44</v>
      </c>
      <c r="I413">
        <v>1</v>
      </c>
      <c r="J413">
        <v>-8.44</v>
      </c>
      <c r="K413">
        <v>0</v>
      </c>
      <c r="L413">
        <v>0</v>
      </c>
      <c r="M413">
        <v>-12928.45</v>
      </c>
      <c r="N413">
        <v>-12928.45</v>
      </c>
      <c r="O413">
        <v>-12936.89</v>
      </c>
      <c r="P413">
        <v>-12936.89</v>
      </c>
      <c r="Q413">
        <v>0</v>
      </c>
      <c r="R413" t="s">
        <v>428</v>
      </c>
      <c r="S413"/>
      <c r="T413"/>
    </row>
    <row r="414" spans="1:20" ht="14.5" customHeight="1" x14ac:dyDescent="0.35">
      <c r="A414">
        <v>170</v>
      </c>
      <c r="B414" t="s">
        <v>444</v>
      </c>
      <c r="C414">
        <v>451746.67</v>
      </c>
      <c r="D414">
        <v>451746.67</v>
      </c>
      <c r="E414">
        <v>289934.07</v>
      </c>
      <c r="F414">
        <v>1</v>
      </c>
      <c r="G414">
        <v>289934.07</v>
      </c>
      <c r="H414">
        <v>289934.07</v>
      </c>
      <c r="I414">
        <v>1</v>
      </c>
      <c r="J414">
        <v>289934.07</v>
      </c>
      <c r="K414">
        <v>1404153</v>
      </c>
      <c r="L414">
        <v>1404153</v>
      </c>
      <c r="M414">
        <v>161812.6</v>
      </c>
      <c r="N414">
        <v>161812.6</v>
      </c>
      <c r="O414">
        <v>-952406.33</v>
      </c>
      <c r="P414">
        <v>-952406.33</v>
      </c>
      <c r="Q414">
        <v>1248895</v>
      </c>
      <c r="R414" t="s">
        <v>428</v>
      </c>
      <c r="S414"/>
      <c r="T414"/>
    </row>
    <row r="415" spans="1:20" x14ac:dyDescent="0.35">
      <c r="A415">
        <v>180</v>
      </c>
      <c r="B415" t="s">
        <v>445</v>
      </c>
      <c r="C415">
        <v>93350</v>
      </c>
      <c r="D415">
        <v>93350</v>
      </c>
      <c r="E415">
        <v>67211</v>
      </c>
      <c r="F415">
        <v>1</v>
      </c>
      <c r="G415">
        <v>67211</v>
      </c>
      <c r="H415">
        <v>67211</v>
      </c>
      <c r="I415">
        <v>1</v>
      </c>
      <c r="J415">
        <v>67211</v>
      </c>
      <c r="K415">
        <v>185833</v>
      </c>
      <c r="L415">
        <v>185833</v>
      </c>
      <c r="M415">
        <v>26139</v>
      </c>
      <c r="N415">
        <v>26139</v>
      </c>
      <c r="O415">
        <v>-92483</v>
      </c>
      <c r="P415">
        <v>-92483</v>
      </c>
      <c r="Q415">
        <v>175639</v>
      </c>
      <c r="R415" t="s">
        <v>428</v>
      </c>
      <c r="S415"/>
      <c r="T415"/>
    </row>
    <row r="416" spans="1:20" x14ac:dyDescent="0.35">
      <c r="A416">
        <v>190</v>
      </c>
      <c r="B416" t="s">
        <v>446</v>
      </c>
      <c r="C416">
        <v>0</v>
      </c>
      <c r="D416">
        <v>0</v>
      </c>
      <c r="E416">
        <v>0</v>
      </c>
      <c r="F416">
        <v>1</v>
      </c>
      <c r="G416">
        <v>0</v>
      </c>
      <c r="H416">
        <v>0</v>
      </c>
      <c r="I416">
        <v>1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 t="s">
        <v>428</v>
      </c>
      <c r="S416"/>
      <c r="T416"/>
    </row>
    <row r="417" spans="1:20" ht="14.5" customHeight="1" x14ac:dyDescent="0.35">
      <c r="A417">
        <v>200</v>
      </c>
      <c r="B417" t="s">
        <v>447</v>
      </c>
      <c r="C417">
        <v>358396.67</v>
      </c>
      <c r="D417">
        <v>358396.67</v>
      </c>
      <c r="E417">
        <v>222723.07</v>
      </c>
      <c r="F417">
        <v>1</v>
      </c>
      <c r="G417">
        <v>222723.07</v>
      </c>
      <c r="H417">
        <v>222723.07</v>
      </c>
      <c r="I417">
        <v>1</v>
      </c>
      <c r="J417">
        <v>222723.07</v>
      </c>
      <c r="K417">
        <v>1218320</v>
      </c>
      <c r="L417">
        <v>1218320</v>
      </c>
      <c r="M417">
        <v>135673.60000000001</v>
      </c>
      <c r="N417">
        <v>135673.60000000001</v>
      </c>
      <c r="O417">
        <v>-859923.33</v>
      </c>
      <c r="P417">
        <v>-859923.33</v>
      </c>
      <c r="Q417">
        <v>1073256</v>
      </c>
      <c r="R417" t="s">
        <v>428</v>
      </c>
      <c r="S417"/>
      <c r="T417"/>
    </row>
    <row r="418" spans="1:20" ht="14.5" customHeight="1" x14ac:dyDescent="0.35">
      <c r="A418">
        <v>210</v>
      </c>
      <c r="B418" t="s">
        <v>448</v>
      </c>
      <c r="C418">
        <v>735047.51</v>
      </c>
      <c r="D418">
        <v>735047.51</v>
      </c>
      <c r="E418">
        <v>563919.48</v>
      </c>
      <c r="F418">
        <v>1</v>
      </c>
      <c r="G418">
        <v>563919.48</v>
      </c>
      <c r="H418">
        <v>563919.48</v>
      </c>
      <c r="I418">
        <v>1</v>
      </c>
      <c r="J418">
        <v>563919.48</v>
      </c>
      <c r="K418">
        <v>1691407</v>
      </c>
      <c r="L418">
        <v>1691407</v>
      </c>
      <c r="M418">
        <v>171128.03</v>
      </c>
      <c r="N418">
        <v>171128.03</v>
      </c>
      <c r="O418">
        <v>-956359.49</v>
      </c>
      <c r="P418">
        <v>-956359.49</v>
      </c>
      <c r="Q418">
        <v>1536149</v>
      </c>
      <c r="R418" t="s">
        <v>428</v>
      </c>
      <c r="S418"/>
      <c r="T418"/>
    </row>
    <row r="419" spans="1:20" s="181" customFormat="1" x14ac:dyDescent="0.35">
      <c r="A419" t="s">
        <v>501</v>
      </c>
      <c r="B419" t="s">
        <v>416</v>
      </c>
      <c r="C419" t="s">
        <v>469</v>
      </c>
      <c r="D419" t="s">
        <v>470</v>
      </c>
      <c r="E419" t="s">
        <v>419</v>
      </c>
      <c r="F419" t="s">
        <v>471</v>
      </c>
      <c r="G419" t="s">
        <v>472</v>
      </c>
      <c r="H419" t="s">
        <v>473</v>
      </c>
      <c r="I419" t="s">
        <v>474</v>
      </c>
      <c r="J419" t="s">
        <v>475</v>
      </c>
      <c r="K419" t="s">
        <v>476</v>
      </c>
      <c r="L419" t="s">
        <v>477</v>
      </c>
      <c r="M419" t="s">
        <v>129</v>
      </c>
      <c r="N419" t="s">
        <v>131</v>
      </c>
      <c r="O419" t="s">
        <v>132</v>
      </c>
      <c r="P419" t="s">
        <v>133</v>
      </c>
      <c r="Q419" t="s">
        <v>125</v>
      </c>
      <c r="R419" t="s">
        <v>126</v>
      </c>
      <c r="S419" t="s">
        <v>134</v>
      </c>
      <c r="T419" t="s">
        <v>121</v>
      </c>
    </row>
    <row r="420" spans="1:20" ht="14.5" customHeight="1" x14ac:dyDescent="0.35">
      <c r="A420">
        <v>30</v>
      </c>
      <c r="B420" t="s">
        <v>427</v>
      </c>
      <c r="C420">
        <v>1146136.3600000001</v>
      </c>
      <c r="D420">
        <v>1146136.3600000001</v>
      </c>
      <c r="E420">
        <v>1309977.8600000001</v>
      </c>
      <c r="F420">
        <v>1</v>
      </c>
      <c r="G420">
        <v>1309977.8600000001</v>
      </c>
      <c r="H420">
        <v>1309977.8600000001</v>
      </c>
      <c r="I420">
        <v>1</v>
      </c>
      <c r="J420">
        <v>1309977.8600000001</v>
      </c>
      <c r="K420">
        <v>5011662</v>
      </c>
      <c r="L420">
        <v>5011662</v>
      </c>
      <c r="M420">
        <v>-163841.5</v>
      </c>
      <c r="N420">
        <v>-163841.5</v>
      </c>
      <c r="O420">
        <v>-3865525.64</v>
      </c>
      <c r="P420">
        <v>-3865525.64</v>
      </c>
      <c r="Q420">
        <v>5011767</v>
      </c>
      <c r="R420">
        <v>1675915.15</v>
      </c>
      <c r="S420">
        <v>0</v>
      </c>
      <c r="T420" t="s">
        <v>428</v>
      </c>
    </row>
    <row r="421" spans="1:20" ht="14.5" customHeight="1" x14ac:dyDescent="0.35">
      <c r="A421">
        <v>40</v>
      </c>
      <c r="B421" t="s">
        <v>429</v>
      </c>
      <c r="C421">
        <v>0</v>
      </c>
      <c r="D421">
        <v>0</v>
      </c>
      <c r="E421">
        <v>0</v>
      </c>
      <c r="F421">
        <v>1</v>
      </c>
      <c r="G421">
        <v>0</v>
      </c>
      <c r="H421">
        <v>0</v>
      </c>
      <c r="I421">
        <v>1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 t="s">
        <v>428</v>
      </c>
    </row>
    <row r="422" spans="1:20" x14ac:dyDescent="0.35">
      <c r="A422">
        <v>50</v>
      </c>
      <c r="B422" t="s">
        <v>430</v>
      </c>
      <c r="C422">
        <v>1146136.3600000001</v>
      </c>
      <c r="D422">
        <v>1146136.3600000001</v>
      </c>
      <c r="E422">
        <v>1309977.8600000001</v>
      </c>
      <c r="F422">
        <v>1</v>
      </c>
      <c r="G422">
        <v>1309977.8600000001</v>
      </c>
      <c r="H422">
        <v>1309977.8600000001</v>
      </c>
      <c r="I422">
        <v>1</v>
      </c>
      <c r="J422">
        <v>1309977.8600000001</v>
      </c>
      <c r="K422">
        <v>5011662</v>
      </c>
      <c r="L422">
        <v>5011662</v>
      </c>
      <c r="M422">
        <v>-163841.5</v>
      </c>
      <c r="N422">
        <v>-163841.5</v>
      </c>
      <c r="O422">
        <v>-3865525.64</v>
      </c>
      <c r="P422">
        <v>-3865525.64</v>
      </c>
      <c r="Q422">
        <v>5011767</v>
      </c>
      <c r="R422">
        <v>1675915.15</v>
      </c>
      <c r="S422">
        <v>0</v>
      </c>
      <c r="T422" t="s">
        <v>428</v>
      </c>
    </row>
    <row r="423" spans="1:20" x14ac:dyDescent="0.35">
      <c r="A423">
        <v>60</v>
      </c>
      <c r="B423" t="s">
        <v>431</v>
      </c>
      <c r="C423">
        <v>875762.67</v>
      </c>
      <c r="D423">
        <v>875762.67</v>
      </c>
      <c r="E423">
        <v>1064989.81</v>
      </c>
      <c r="F423">
        <v>1</v>
      </c>
      <c r="G423">
        <v>1064989.81</v>
      </c>
      <c r="H423">
        <v>1064989.81</v>
      </c>
      <c r="I423">
        <v>1</v>
      </c>
      <c r="J423">
        <v>1064989.81</v>
      </c>
      <c r="K423">
        <v>4537833</v>
      </c>
      <c r="L423">
        <v>4537833</v>
      </c>
      <c r="M423">
        <v>-189227.14</v>
      </c>
      <c r="N423">
        <v>-189227.14</v>
      </c>
      <c r="O423">
        <v>-3662070.33</v>
      </c>
      <c r="P423">
        <v>-3662070.33</v>
      </c>
      <c r="Q423">
        <v>4537833</v>
      </c>
      <c r="R423">
        <v>1405553.74</v>
      </c>
      <c r="S423">
        <v>0</v>
      </c>
      <c r="T423" t="s">
        <v>428</v>
      </c>
    </row>
    <row r="424" spans="1:20" x14ac:dyDescent="0.35">
      <c r="A424">
        <v>70</v>
      </c>
      <c r="B424" t="s">
        <v>432</v>
      </c>
      <c r="C424">
        <v>270373.69</v>
      </c>
      <c r="D424">
        <v>270373.69</v>
      </c>
      <c r="E424">
        <v>244988.05</v>
      </c>
      <c r="F424">
        <v>1</v>
      </c>
      <c r="G424">
        <v>244988.05</v>
      </c>
      <c r="H424">
        <v>244988.05</v>
      </c>
      <c r="I424">
        <v>1</v>
      </c>
      <c r="J424">
        <v>244988.05</v>
      </c>
      <c r="K424">
        <v>473829</v>
      </c>
      <c r="L424">
        <v>473829</v>
      </c>
      <c r="M424">
        <v>25385.64</v>
      </c>
      <c r="N424">
        <v>25385.64</v>
      </c>
      <c r="O424">
        <v>-203455.31</v>
      </c>
      <c r="P424">
        <v>-203455.31</v>
      </c>
      <c r="Q424">
        <v>473934</v>
      </c>
      <c r="R424">
        <v>270361.40999999997</v>
      </c>
      <c r="S424">
        <v>0</v>
      </c>
      <c r="T424" t="s">
        <v>428</v>
      </c>
    </row>
    <row r="425" spans="1:20" ht="14.5" customHeight="1" x14ac:dyDescent="0.35">
      <c r="A425">
        <v>80</v>
      </c>
      <c r="B425" t="s">
        <v>433</v>
      </c>
      <c r="C425">
        <v>0</v>
      </c>
      <c r="D425">
        <v>0</v>
      </c>
      <c r="E425">
        <v>0</v>
      </c>
      <c r="F425">
        <v>1</v>
      </c>
      <c r="G425">
        <v>0</v>
      </c>
      <c r="H425">
        <v>0</v>
      </c>
      <c r="I425">
        <v>1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 t="s">
        <v>428</v>
      </c>
    </row>
    <row r="426" spans="1:20" ht="14.5" customHeight="1" x14ac:dyDescent="0.35">
      <c r="A426">
        <v>90</v>
      </c>
      <c r="B426" t="s">
        <v>434</v>
      </c>
      <c r="C426">
        <v>110568.99</v>
      </c>
      <c r="D426">
        <v>110568.99</v>
      </c>
      <c r="E426">
        <v>122062.98</v>
      </c>
      <c r="F426">
        <v>1</v>
      </c>
      <c r="G426">
        <v>122062.98</v>
      </c>
      <c r="H426">
        <v>122062.98</v>
      </c>
      <c r="I426">
        <v>1</v>
      </c>
      <c r="J426">
        <v>122062.98</v>
      </c>
      <c r="K426">
        <v>132610</v>
      </c>
      <c r="L426">
        <v>132610</v>
      </c>
      <c r="M426">
        <v>-11493.99</v>
      </c>
      <c r="N426">
        <v>-11493.99</v>
      </c>
      <c r="O426">
        <v>-22041.01</v>
      </c>
      <c r="P426">
        <v>-22041.01</v>
      </c>
      <c r="Q426">
        <v>138610</v>
      </c>
      <c r="R426">
        <v>142400.19</v>
      </c>
      <c r="S426">
        <v>0</v>
      </c>
      <c r="T426" t="s">
        <v>428</v>
      </c>
    </row>
    <row r="427" spans="1:20" ht="14.5" customHeight="1" x14ac:dyDescent="0.35">
      <c r="A427">
        <v>100</v>
      </c>
      <c r="B427" t="s">
        <v>435</v>
      </c>
      <c r="C427">
        <v>25049.74</v>
      </c>
      <c r="D427">
        <v>25049.74</v>
      </c>
      <c r="E427">
        <v>24823.91</v>
      </c>
      <c r="F427">
        <v>1</v>
      </c>
      <c r="G427">
        <v>24823.91</v>
      </c>
      <c r="H427">
        <v>24823.91</v>
      </c>
      <c r="I427">
        <v>1</v>
      </c>
      <c r="J427">
        <v>24823.91</v>
      </c>
      <c r="K427">
        <v>27284</v>
      </c>
      <c r="L427">
        <v>27284</v>
      </c>
      <c r="M427">
        <v>225.83</v>
      </c>
      <c r="N427">
        <v>225.83</v>
      </c>
      <c r="O427">
        <v>-2234.2600000000002</v>
      </c>
      <c r="P427">
        <v>-2234.2600000000002</v>
      </c>
      <c r="Q427">
        <v>27284</v>
      </c>
      <c r="R427">
        <v>24823.91</v>
      </c>
      <c r="S427">
        <v>0</v>
      </c>
      <c r="T427" t="s">
        <v>428</v>
      </c>
    </row>
    <row r="428" spans="1:20" ht="14.5" customHeight="1" x14ac:dyDescent="0.35">
      <c r="A428">
        <v>110</v>
      </c>
      <c r="B428" t="s">
        <v>436</v>
      </c>
      <c r="C428">
        <v>135618.73000000001</v>
      </c>
      <c r="D428">
        <v>135618.73000000001</v>
      </c>
      <c r="E428">
        <v>146886.89000000001</v>
      </c>
      <c r="F428">
        <v>1</v>
      </c>
      <c r="G428">
        <v>146886.89000000001</v>
      </c>
      <c r="H428">
        <v>146886.89000000001</v>
      </c>
      <c r="I428">
        <v>1</v>
      </c>
      <c r="J428">
        <v>146886.89000000001</v>
      </c>
      <c r="K428">
        <v>159894</v>
      </c>
      <c r="L428">
        <v>159894</v>
      </c>
      <c r="M428">
        <v>-11268.16</v>
      </c>
      <c r="N428">
        <v>-11268.16</v>
      </c>
      <c r="O428">
        <v>-24275.27</v>
      </c>
      <c r="P428">
        <v>-24275.27</v>
      </c>
      <c r="Q428">
        <v>165894</v>
      </c>
      <c r="R428">
        <v>167224.1</v>
      </c>
      <c r="S428">
        <v>0</v>
      </c>
      <c r="T428" t="s">
        <v>428</v>
      </c>
    </row>
    <row r="429" spans="1:20" ht="14.5" customHeight="1" x14ac:dyDescent="0.35">
      <c r="A429">
        <v>120</v>
      </c>
      <c r="B429" t="s">
        <v>437</v>
      </c>
      <c r="C429">
        <v>134754.96</v>
      </c>
      <c r="D429">
        <v>134754.96</v>
      </c>
      <c r="E429">
        <v>98101.16</v>
      </c>
      <c r="F429">
        <v>1</v>
      </c>
      <c r="G429">
        <v>98101.16</v>
      </c>
      <c r="H429">
        <v>98101.16</v>
      </c>
      <c r="I429">
        <v>1</v>
      </c>
      <c r="J429">
        <v>98101.16</v>
      </c>
      <c r="K429">
        <v>313935</v>
      </c>
      <c r="L429">
        <v>313935</v>
      </c>
      <c r="M429">
        <v>36653.800000000003</v>
      </c>
      <c r="N429">
        <v>36653.800000000003</v>
      </c>
      <c r="O429">
        <v>-179180.04</v>
      </c>
      <c r="P429">
        <v>-179180.04</v>
      </c>
      <c r="Q429">
        <v>308040</v>
      </c>
      <c r="R429">
        <v>103137.31</v>
      </c>
      <c r="S429">
        <v>0</v>
      </c>
      <c r="T429" t="s">
        <v>428</v>
      </c>
    </row>
    <row r="430" spans="1:20" ht="14.5" customHeight="1" x14ac:dyDescent="0.35">
      <c r="A430">
        <v>130</v>
      </c>
      <c r="B430" t="s">
        <v>438</v>
      </c>
      <c r="C430">
        <v>0</v>
      </c>
      <c r="D430">
        <v>0</v>
      </c>
      <c r="E430">
        <v>0</v>
      </c>
      <c r="F430">
        <v>1</v>
      </c>
      <c r="G430">
        <v>0</v>
      </c>
      <c r="H430">
        <v>0</v>
      </c>
      <c r="I430">
        <v>1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 t="s">
        <v>428</v>
      </c>
    </row>
    <row r="431" spans="1:20" ht="14.5" customHeight="1" x14ac:dyDescent="0.35">
      <c r="A431">
        <v>135</v>
      </c>
      <c r="B431" t="s">
        <v>439</v>
      </c>
      <c r="C431">
        <v>-8275.59</v>
      </c>
      <c r="D431">
        <v>-8275.59</v>
      </c>
      <c r="E431">
        <v>-25718.5</v>
      </c>
      <c r="F431">
        <v>1</v>
      </c>
      <c r="G431">
        <v>-25718.5</v>
      </c>
      <c r="H431">
        <v>-25718.5</v>
      </c>
      <c r="I431">
        <v>1</v>
      </c>
      <c r="J431">
        <v>-25718.5</v>
      </c>
      <c r="K431">
        <v>0</v>
      </c>
      <c r="L431">
        <v>0</v>
      </c>
      <c r="M431">
        <v>17442.91</v>
      </c>
      <c r="N431">
        <v>17442.91</v>
      </c>
      <c r="O431">
        <v>-8275.59</v>
      </c>
      <c r="P431">
        <v>-8275.59</v>
      </c>
      <c r="Q431">
        <v>0</v>
      </c>
      <c r="R431">
        <v>-18501</v>
      </c>
      <c r="S431">
        <v>0</v>
      </c>
      <c r="T431" t="s">
        <v>428</v>
      </c>
    </row>
    <row r="432" spans="1:20" ht="14.5" customHeight="1" x14ac:dyDescent="0.35">
      <c r="A432">
        <v>140</v>
      </c>
      <c r="B432" t="s">
        <v>440</v>
      </c>
      <c r="C432">
        <v>1409.12</v>
      </c>
      <c r="D432">
        <v>1409.12</v>
      </c>
      <c r="E432">
        <v>1338.92</v>
      </c>
      <c r="F432">
        <v>1</v>
      </c>
      <c r="G432">
        <v>1338.92</v>
      </c>
      <c r="H432">
        <v>1338.92</v>
      </c>
      <c r="I432">
        <v>1</v>
      </c>
      <c r="J432">
        <v>1338.92</v>
      </c>
      <c r="K432">
        <v>2000</v>
      </c>
      <c r="L432">
        <v>2000</v>
      </c>
      <c r="M432">
        <v>70.2</v>
      </c>
      <c r="N432">
        <v>70.2</v>
      </c>
      <c r="O432">
        <v>-590.88</v>
      </c>
      <c r="P432">
        <v>-590.88</v>
      </c>
      <c r="Q432">
        <v>3168</v>
      </c>
      <c r="R432">
        <v>2024.7</v>
      </c>
      <c r="S432">
        <v>0</v>
      </c>
      <c r="T432" t="s">
        <v>428</v>
      </c>
    </row>
    <row r="433" spans="1:20" ht="14.5" customHeight="1" x14ac:dyDescent="0.35">
      <c r="A433">
        <v>150</v>
      </c>
      <c r="B433" t="s">
        <v>441</v>
      </c>
      <c r="C433">
        <v>0</v>
      </c>
      <c r="D433">
        <v>0</v>
      </c>
      <c r="E433">
        <v>0</v>
      </c>
      <c r="F433">
        <v>1</v>
      </c>
      <c r="G433">
        <v>0</v>
      </c>
      <c r="H433">
        <v>0</v>
      </c>
      <c r="I433">
        <v>1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 t="s">
        <v>428</v>
      </c>
    </row>
    <row r="434" spans="1:20" ht="14.5" customHeight="1" x14ac:dyDescent="0.35">
      <c r="A434">
        <v>155</v>
      </c>
      <c r="B434" t="s">
        <v>442</v>
      </c>
      <c r="C434">
        <v>0</v>
      </c>
      <c r="D434">
        <v>0</v>
      </c>
      <c r="E434">
        <v>0</v>
      </c>
      <c r="F434">
        <v>1</v>
      </c>
      <c r="G434">
        <v>0</v>
      </c>
      <c r="H434">
        <v>0</v>
      </c>
      <c r="I434">
        <v>1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 t="s">
        <v>428</v>
      </c>
    </row>
    <row r="435" spans="1:20" ht="14.5" customHeight="1" x14ac:dyDescent="0.35">
      <c r="A435">
        <v>160</v>
      </c>
      <c r="B435" t="s">
        <v>443</v>
      </c>
      <c r="C435">
        <v>-6866.47</v>
      </c>
      <c r="D435">
        <v>-6866.47</v>
      </c>
      <c r="E435">
        <v>-24379.58</v>
      </c>
      <c r="F435">
        <v>1</v>
      </c>
      <c r="G435">
        <v>-24379.58</v>
      </c>
      <c r="H435">
        <v>-24379.58</v>
      </c>
      <c r="I435">
        <v>1</v>
      </c>
      <c r="J435">
        <v>-24379.58</v>
      </c>
      <c r="K435">
        <v>2000</v>
      </c>
      <c r="L435">
        <v>2000</v>
      </c>
      <c r="M435">
        <v>17513.11</v>
      </c>
      <c r="N435">
        <v>17513.11</v>
      </c>
      <c r="O435">
        <v>-8866.4699999999993</v>
      </c>
      <c r="P435">
        <v>-8866.4699999999993</v>
      </c>
      <c r="Q435">
        <v>3168</v>
      </c>
      <c r="R435">
        <v>-16476.3</v>
      </c>
      <c r="S435">
        <v>0</v>
      </c>
      <c r="T435" t="s">
        <v>428</v>
      </c>
    </row>
    <row r="436" spans="1:20" ht="14.5" customHeight="1" x14ac:dyDescent="0.35">
      <c r="A436">
        <v>170</v>
      </c>
      <c r="B436" t="s">
        <v>444</v>
      </c>
      <c r="C436">
        <v>141621.43</v>
      </c>
      <c r="D436">
        <v>141621.43</v>
      </c>
      <c r="E436">
        <v>122480.74</v>
      </c>
      <c r="F436">
        <v>1</v>
      </c>
      <c r="G436">
        <v>122480.74</v>
      </c>
      <c r="H436">
        <v>122480.74</v>
      </c>
      <c r="I436">
        <v>1</v>
      </c>
      <c r="J436">
        <v>122480.74</v>
      </c>
      <c r="K436">
        <v>311935</v>
      </c>
      <c r="L436">
        <v>311935</v>
      </c>
      <c r="M436">
        <v>19140.689999999999</v>
      </c>
      <c r="N436">
        <v>19140.689999999999</v>
      </c>
      <c r="O436">
        <v>-170313.57</v>
      </c>
      <c r="P436">
        <v>-170313.57</v>
      </c>
      <c r="Q436">
        <v>304872</v>
      </c>
      <c r="R436">
        <v>119613.61</v>
      </c>
      <c r="S436">
        <v>0</v>
      </c>
      <c r="T436" t="s">
        <v>428</v>
      </c>
    </row>
    <row r="437" spans="1:20" x14ac:dyDescent="0.35">
      <c r="A437">
        <v>180</v>
      </c>
      <c r="B437" t="s">
        <v>445</v>
      </c>
      <c r="C437">
        <v>41559</v>
      </c>
      <c r="D437">
        <v>41559</v>
      </c>
      <c r="E437">
        <v>0</v>
      </c>
      <c r="F437">
        <v>1</v>
      </c>
      <c r="G437">
        <v>0</v>
      </c>
      <c r="H437">
        <v>0</v>
      </c>
      <c r="I437">
        <v>1</v>
      </c>
      <c r="J437">
        <v>0</v>
      </c>
      <c r="K437">
        <v>180420</v>
      </c>
      <c r="L437">
        <v>180420</v>
      </c>
      <c r="M437">
        <v>41559</v>
      </c>
      <c r="N437">
        <v>41559</v>
      </c>
      <c r="O437">
        <v>-138861</v>
      </c>
      <c r="P437">
        <v>-138861</v>
      </c>
      <c r="Q437">
        <v>180424</v>
      </c>
      <c r="R437">
        <v>0</v>
      </c>
      <c r="S437">
        <v>0</v>
      </c>
      <c r="T437" t="s">
        <v>428</v>
      </c>
    </row>
    <row r="438" spans="1:20" x14ac:dyDescent="0.35">
      <c r="A438">
        <v>190</v>
      </c>
      <c r="B438" t="s">
        <v>446</v>
      </c>
      <c r="C438">
        <v>0</v>
      </c>
      <c r="D438">
        <v>0</v>
      </c>
      <c r="E438">
        <v>0</v>
      </c>
      <c r="F438">
        <v>1</v>
      </c>
      <c r="G438">
        <v>0</v>
      </c>
      <c r="H438">
        <v>0</v>
      </c>
      <c r="I438">
        <v>1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 t="s">
        <v>428</v>
      </c>
    </row>
    <row r="439" spans="1:20" ht="14.5" customHeight="1" x14ac:dyDescent="0.35">
      <c r="A439">
        <v>200</v>
      </c>
      <c r="B439" t="s">
        <v>447</v>
      </c>
      <c r="C439">
        <v>100062.43</v>
      </c>
      <c r="D439">
        <v>100062.43</v>
      </c>
      <c r="E439">
        <v>122480.74</v>
      </c>
      <c r="F439">
        <v>1</v>
      </c>
      <c r="G439">
        <v>122480.74</v>
      </c>
      <c r="H439">
        <v>122480.74</v>
      </c>
      <c r="I439">
        <v>1</v>
      </c>
      <c r="J439">
        <v>122480.74</v>
      </c>
      <c r="K439">
        <v>131515</v>
      </c>
      <c r="L439">
        <v>131515</v>
      </c>
      <c r="M439">
        <v>-22418.31</v>
      </c>
      <c r="N439">
        <v>-22418.31</v>
      </c>
      <c r="O439">
        <v>-31452.57</v>
      </c>
      <c r="P439">
        <v>-31452.57</v>
      </c>
      <c r="Q439">
        <v>124448</v>
      </c>
      <c r="R439">
        <v>119613.61</v>
      </c>
      <c r="S439">
        <v>0</v>
      </c>
      <c r="T439" t="s">
        <v>428</v>
      </c>
    </row>
    <row r="440" spans="1:20" ht="14.5" customHeight="1" x14ac:dyDescent="0.35">
      <c r="A440">
        <v>210</v>
      </c>
      <c r="B440" t="s">
        <v>448</v>
      </c>
      <c r="C440">
        <v>159804.70000000001</v>
      </c>
      <c r="D440">
        <v>159804.70000000001</v>
      </c>
      <c r="E440">
        <v>122925.07</v>
      </c>
      <c r="F440">
        <v>1</v>
      </c>
      <c r="G440">
        <v>122925.07</v>
      </c>
      <c r="H440">
        <v>122925.07</v>
      </c>
      <c r="I440">
        <v>1</v>
      </c>
      <c r="J440">
        <v>122925.07</v>
      </c>
      <c r="K440">
        <v>341219</v>
      </c>
      <c r="L440">
        <v>341219</v>
      </c>
      <c r="M440">
        <v>36879.629999999997</v>
      </c>
      <c r="N440">
        <v>36879.629999999997</v>
      </c>
      <c r="O440">
        <v>-181414.3</v>
      </c>
      <c r="P440">
        <v>-181414.3</v>
      </c>
      <c r="Q440">
        <v>335324</v>
      </c>
      <c r="R440">
        <v>127961.22</v>
      </c>
      <c r="S440">
        <v>0</v>
      </c>
      <c r="T440" t="s">
        <v>428</v>
      </c>
    </row>
    <row r="441" spans="1:20" s="181" customFormat="1" x14ac:dyDescent="0.35">
      <c r="A441" t="s">
        <v>502</v>
      </c>
      <c r="B441" t="s">
        <v>416</v>
      </c>
      <c r="C441" t="s">
        <v>469</v>
      </c>
      <c r="D441" t="s">
        <v>470</v>
      </c>
      <c r="E441" t="s">
        <v>419</v>
      </c>
      <c r="F441" t="s">
        <v>471</v>
      </c>
      <c r="G441" t="s">
        <v>472</v>
      </c>
      <c r="H441" t="s">
        <v>473</v>
      </c>
      <c r="I441" t="s">
        <v>474</v>
      </c>
      <c r="J441" t="s">
        <v>475</v>
      </c>
      <c r="K441" t="s">
        <v>476</v>
      </c>
      <c r="L441" t="s">
        <v>477</v>
      </c>
      <c r="M441" t="s">
        <v>129</v>
      </c>
      <c r="N441" t="s">
        <v>131</v>
      </c>
      <c r="O441" t="s">
        <v>132</v>
      </c>
      <c r="P441" t="s">
        <v>133</v>
      </c>
      <c r="Q441" t="s">
        <v>125</v>
      </c>
      <c r="R441" t="s">
        <v>126</v>
      </c>
      <c r="S441" t="s">
        <v>134</v>
      </c>
      <c r="T441" t="s">
        <v>121</v>
      </c>
    </row>
    <row r="442" spans="1:20" ht="14.5" customHeight="1" x14ac:dyDescent="0.35">
      <c r="A442">
        <v>30</v>
      </c>
      <c r="B442" t="s">
        <v>427</v>
      </c>
      <c r="C442">
        <v>6260773.4000000004</v>
      </c>
      <c r="D442">
        <v>6260773.4000000004</v>
      </c>
      <c r="E442">
        <v>0</v>
      </c>
      <c r="F442">
        <v>1</v>
      </c>
      <c r="G442">
        <v>0</v>
      </c>
      <c r="H442">
        <v>0</v>
      </c>
      <c r="I442">
        <v>1</v>
      </c>
      <c r="J442">
        <v>0</v>
      </c>
      <c r="K442">
        <v>6261000</v>
      </c>
      <c r="L442">
        <v>6261000</v>
      </c>
      <c r="M442">
        <v>6260773.4000000004</v>
      </c>
      <c r="N442">
        <v>6260773.4000000004</v>
      </c>
      <c r="O442">
        <v>-226.6</v>
      </c>
      <c r="P442">
        <v>-226.6</v>
      </c>
      <c r="Q442">
        <v>10082000</v>
      </c>
      <c r="R442">
        <v>3842182.04</v>
      </c>
      <c r="S442">
        <v>0</v>
      </c>
      <c r="T442" t="s">
        <v>428</v>
      </c>
    </row>
    <row r="443" spans="1:20" ht="14.5" customHeight="1" x14ac:dyDescent="0.35">
      <c r="A443">
        <v>40</v>
      </c>
      <c r="B443" t="s">
        <v>429</v>
      </c>
      <c r="C443">
        <v>0</v>
      </c>
      <c r="D443">
        <v>0</v>
      </c>
      <c r="E443">
        <v>0</v>
      </c>
      <c r="F443">
        <v>1</v>
      </c>
      <c r="G443">
        <v>0</v>
      </c>
      <c r="H443">
        <v>0</v>
      </c>
      <c r="I443">
        <v>1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 t="s">
        <v>428</v>
      </c>
    </row>
    <row r="444" spans="1:20" x14ac:dyDescent="0.35">
      <c r="A444">
        <v>50</v>
      </c>
      <c r="B444" t="s">
        <v>430</v>
      </c>
      <c r="C444">
        <v>6260773.4000000004</v>
      </c>
      <c r="D444">
        <v>6260773.4000000004</v>
      </c>
      <c r="E444">
        <v>0</v>
      </c>
      <c r="F444">
        <v>1</v>
      </c>
      <c r="G444">
        <v>0</v>
      </c>
      <c r="H444">
        <v>0</v>
      </c>
      <c r="I444">
        <v>1</v>
      </c>
      <c r="J444">
        <v>0</v>
      </c>
      <c r="K444">
        <v>6261000</v>
      </c>
      <c r="L444">
        <v>6261000</v>
      </c>
      <c r="M444">
        <v>6260773.4000000004</v>
      </c>
      <c r="N444">
        <v>6260773.4000000004</v>
      </c>
      <c r="O444">
        <v>-226.6</v>
      </c>
      <c r="P444">
        <v>-226.6</v>
      </c>
      <c r="Q444">
        <v>10082000</v>
      </c>
      <c r="R444">
        <v>3842182.04</v>
      </c>
      <c r="S444">
        <v>0</v>
      </c>
      <c r="T444" t="s">
        <v>428</v>
      </c>
    </row>
    <row r="445" spans="1:20" x14ac:dyDescent="0.35">
      <c r="A445">
        <v>60</v>
      </c>
      <c r="B445" t="s">
        <v>431</v>
      </c>
      <c r="C445">
        <v>3000369.26</v>
      </c>
      <c r="D445">
        <v>3000369.26</v>
      </c>
      <c r="E445">
        <v>0</v>
      </c>
      <c r="F445">
        <v>1</v>
      </c>
      <c r="G445">
        <v>0</v>
      </c>
      <c r="H445">
        <v>0</v>
      </c>
      <c r="I445">
        <v>1</v>
      </c>
      <c r="J445">
        <v>0</v>
      </c>
      <c r="K445">
        <v>3000000</v>
      </c>
      <c r="L445">
        <v>3000000</v>
      </c>
      <c r="M445">
        <v>3000369.26</v>
      </c>
      <c r="N445">
        <v>3000369.26</v>
      </c>
      <c r="O445">
        <v>369.26</v>
      </c>
      <c r="P445">
        <v>369.26</v>
      </c>
      <c r="Q445">
        <v>4935000</v>
      </c>
      <c r="R445">
        <v>2018277.94</v>
      </c>
      <c r="S445">
        <v>0</v>
      </c>
      <c r="T445" t="s">
        <v>428</v>
      </c>
    </row>
    <row r="446" spans="1:20" x14ac:dyDescent="0.35">
      <c r="A446">
        <v>70</v>
      </c>
      <c r="B446" t="s">
        <v>432</v>
      </c>
      <c r="C446">
        <v>3260404.14</v>
      </c>
      <c r="D446">
        <v>3260404.14</v>
      </c>
      <c r="E446">
        <v>0</v>
      </c>
      <c r="F446">
        <v>1</v>
      </c>
      <c r="G446">
        <v>0</v>
      </c>
      <c r="H446">
        <v>0</v>
      </c>
      <c r="I446">
        <v>1</v>
      </c>
      <c r="J446">
        <v>0</v>
      </c>
      <c r="K446">
        <v>3261000</v>
      </c>
      <c r="L446">
        <v>3261000</v>
      </c>
      <c r="M446">
        <v>3260404.14</v>
      </c>
      <c r="N446">
        <v>3260404.14</v>
      </c>
      <c r="O446">
        <v>-595.86</v>
      </c>
      <c r="P446">
        <v>-595.86</v>
      </c>
      <c r="Q446">
        <v>5147000</v>
      </c>
      <c r="R446">
        <v>1823904.1</v>
      </c>
      <c r="S446">
        <v>0</v>
      </c>
      <c r="T446" t="s">
        <v>428</v>
      </c>
    </row>
    <row r="447" spans="1:20" ht="14.5" customHeight="1" x14ac:dyDescent="0.35">
      <c r="A447">
        <v>80</v>
      </c>
      <c r="B447" t="s">
        <v>433</v>
      </c>
      <c r="C447">
        <v>48372</v>
      </c>
      <c r="D447">
        <v>48372</v>
      </c>
      <c r="E447">
        <v>78979.38</v>
      </c>
      <c r="F447">
        <v>1</v>
      </c>
      <c r="G447">
        <v>78979.38</v>
      </c>
      <c r="H447">
        <v>78979.38</v>
      </c>
      <c r="I447">
        <v>1</v>
      </c>
      <c r="J447">
        <v>78979.38</v>
      </c>
      <c r="K447">
        <v>286677</v>
      </c>
      <c r="L447">
        <v>286677</v>
      </c>
      <c r="M447">
        <v>-30607.38</v>
      </c>
      <c r="N447">
        <v>-30607.38</v>
      </c>
      <c r="O447">
        <v>-238305</v>
      </c>
      <c r="P447">
        <v>-238305</v>
      </c>
      <c r="Q447">
        <v>441809</v>
      </c>
      <c r="R447">
        <v>184901.03</v>
      </c>
      <c r="S447">
        <v>0</v>
      </c>
      <c r="T447" t="s">
        <v>428</v>
      </c>
    </row>
    <row r="448" spans="1:20" ht="14.5" customHeight="1" x14ac:dyDescent="0.35">
      <c r="A448">
        <v>90</v>
      </c>
      <c r="B448" t="s">
        <v>434</v>
      </c>
      <c r="C448">
        <v>470911.11</v>
      </c>
      <c r="D448">
        <v>470911.11</v>
      </c>
      <c r="E448">
        <v>420153.16</v>
      </c>
      <c r="F448">
        <v>1</v>
      </c>
      <c r="G448">
        <v>420153.16</v>
      </c>
      <c r="H448">
        <v>420153.16</v>
      </c>
      <c r="I448">
        <v>1</v>
      </c>
      <c r="J448">
        <v>420153.16</v>
      </c>
      <c r="K448">
        <v>431000</v>
      </c>
      <c r="L448">
        <v>431000</v>
      </c>
      <c r="M448">
        <v>50757.95</v>
      </c>
      <c r="N448">
        <v>50757.95</v>
      </c>
      <c r="O448">
        <v>39911.11</v>
      </c>
      <c r="P448">
        <v>39911.11</v>
      </c>
      <c r="Q448">
        <v>401000</v>
      </c>
      <c r="R448">
        <v>384581.22</v>
      </c>
      <c r="S448">
        <v>0</v>
      </c>
      <c r="T448" t="s">
        <v>428</v>
      </c>
    </row>
    <row r="449" spans="1:20" ht="14.5" customHeight="1" x14ac:dyDescent="0.35">
      <c r="A449">
        <v>100</v>
      </c>
      <c r="B449" t="s">
        <v>435</v>
      </c>
      <c r="C449">
        <v>6875.67</v>
      </c>
      <c r="D449">
        <v>6875.67</v>
      </c>
      <c r="E449">
        <v>6229.67</v>
      </c>
      <c r="F449">
        <v>1</v>
      </c>
      <c r="G449">
        <v>6229.67</v>
      </c>
      <c r="H449">
        <v>6229.67</v>
      </c>
      <c r="I449">
        <v>1</v>
      </c>
      <c r="J449">
        <v>6229.67</v>
      </c>
      <c r="K449">
        <v>6472</v>
      </c>
      <c r="L449">
        <v>6472</v>
      </c>
      <c r="M449">
        <v>646</v>
      </c>
      <c r="N449">
        <v>646</v>
      </c>
      <c r="O449">
        <v>403.67</v>
      </c>
      <c r="P449">
        <v>403.67</v>
      </c>
      <c r="Q449">
        <v>6472</v>
      </c>
      <c r="R449">
        <v>6229.67</v>
      </c>
      <c r="S449">
        <v>0</v>
      </c>
      <c r="T449" t="s">
        <v>428</v>
      </c>
    </row>
    <row r="450" spans="1:20" ht="14.5" customHeight="1" x14ac:dyDescent="0.35">
      <c r="A450">
        <v>110</v>
      </c>
      <c r="B450" t="s">
        <v>436</v>
      </c>
      <c r="C450">
        <v>526158.78</v>
      </c>
      <c r="D450">
        <v>526158.78</v>
      </c>
      <c r="E450">
        <v>505362.21</v>
      </c>
      <c r="F450">
        <v>1</v>
      </c>
      <c r="G450">
        <v>505362.21</v>
      </c>
      <c r="H450">
        <v>505362.21</v>
      </c>
      <c r="I450">
        <v>1</v>
      </c>
      <c r="J450">
        <v>505362.21</v>
      </c>
      <c r="K450">
        <v>724149</v>
      </c>
      <c r="L450">
        <v>724149</v>
      </c>
      <c r="M450">
        <v>20796.57</v>
      </c>
      <c r="N450">
        <v>20796.57</v>
      </c>
      <c r="O450">
        <v>-197990.22</v>
      </c>
      <c r="P450">
        <v>-197990.22</v>
      </c>
      <c r="Q450">
        <v>849281</v>
      </c>
      <c r="R450">
        <v>575711.92000000004</v>
      </c>
      <c r="S450">
        <v>0</v>
      </c>
      <c r="T450" t="s">
        <v>428</v>
      </c>
    </row>
    <row r="451" spans="1:20" ht="14.5" customHeight="1" x14ac:dyDescent="0.35">
      <c r="A451">
        <v>120</v>
      </c>
      <c r="B451" t="s">
        <v>437</v>
      </c>
      <c r="C451">
        <v>2734245.36</v>
      </c>
      <c r="D451">
        <v>2734245.36</v>
      </c>
      <c r="E451">
        <v>-505362.21</v>
      </c>
      <c r="F451">
        <v>1</v>
      </c>
      <c r="G451">
        <v>-505362.21</v>
      </c>
      <c r="H451">
        <v>-505362.21</v>
      </c>
      <c r="I451">
        <v>1</v>
      </c>
      <c r="J451">
        <v>-505362.21</v>
      </c>
      <c r="K451">
        <v>2536851</v>
      </c>
      <c r="L451">
        <v>2536851</v>
      </c>
      <c r="M451">
        <v>3239607.57</v>
      </c>
      <c r="N451">
        <v>3239607.57</v>
      </c>
      <c r="O451">
        <v>197394.36</v>
      </c>
      <c r="P451">
        <v>197394.36</v>
      </c>
      <c r="Q451">
        <v>4297719</v>
      </c>
      <c r="R451">
        <v>1248192.18</v>
      </c>
      <c r="S451">
        <v>0</v>
      </c>
      <c r="T451" t="s">
        <v>428</v>
      </c>
    </row>
    <row r="452" spans="1:20" ht="14.5" customHeight="1" x14ac:dyDescent="0.35">
      <c r="A452">
        <v>130</v>
      </c>
      <c r="B452" t="s">
        <v>438</v>
      </c>
      <c r="C452">
        <v>17219.02</v>
      </c>
      <c r="D452">
        <v>17219.02</v>
      </c>
      <c r="E452">
        <v>33778.29</v>
      </c>
      <c r="F452">
        <v>1</v>
      </c>
      <c r="G452">
        <v>33778.29</v>
      </c>
      <c r="H452">
        <v>33778.29</v>
      </c>
      <c r="I452">
        <v>1</v>
      </c>
      <c r="J452">
        <v>33778.29</v>
      </c>
      <c r="K452">
        <v>-87000</v>
      </c>
      <c r="L452">
        <v>-87000</v>
      </c>
      <c r="M452">
        <v>-16559.27</v>
      </c>
      <c r="N452">
        <v>-16559.27</v>
      </c>
      <c r="O452">
        <v>104219.02</v>
      </c>
      <c r="P452">
        <v>104219.02</v>
      </c>
      <c r="Q452">
        <v>-87000</v>
      </c>
      <c r="R452">
        <v>118971.97</v>
      </c>
      <c r="S452">
        <v>0</v>
      </c>
      <c r="T452" t="s">
        <v>428</v>
      </c>
    </row>
    <row r="453" spans="1:20" ht="14.5" customHeight="1" x14ac:dyDescent="0.35">
      <c r="A453">
        <v>135</v>
      </c>
      <c r="B453" t="s">
        <v>439</v>
      </c>
      <c r="C453">
        <v>0</v>
      </c>
      <c r="D453">
        <v>0</v>
      </c>
      <c r="E453">
        <v>0</v>
      </c>
      <c r="F453">
        <v>1</v>
      </c>
      <c r="G453">
        <v>0</v>
      </c>
      <c r="H453">
        <v>0</v>
      </c>
      <c r="I453">
        <v>1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 t="s">
        <v>428</v>
      </c>
    </row>
    <row r="454" spans="1:20" ht="14.5" customHeight="1" x14ac:dyDescent="0.35">
      <c r="A454">
        <v>140</v>
      </c>
      <c r="B454" t="s">
        <v>440</v>
      </c>
      <c r="C454">
        <v>2882.39</v>
      </c>
      <c r="D454">
        <v>2882.39</v>
      </c>
      <c r="E454">
        <v>2083.2399999999998</v>
      </c>
      <c r="F454">
        <v>1</v>
      </c>
      <c r="G454">
        <v>2083.2399999999998</v>
      </c>
      <c r="H454">
        <v>2083.2399999999998</v>
      </c>
      <c r="I454">
        <v>1</v>
      </c>
      <c r="J454">
        <v>2083.2399999999998</v>
      </c>
      <c r="K454">
        <v>3000</v>
      </c>
      <c r="L454">
        <v>3000</v>
      </c>
      <c r="M454">
        <v>799.15</v>
      </c>
      <c r="N454">
        <v>799.15</v>
      </c>
      <c r="O454">
        <v>-117.61</v>
      </c>
      <c r="P454">
        <v>-117.61</v>
      </c>
      <c r="Q454">
        <v>3000</v>
      </c>
      <c r="R454">
        <v>2841.58</v>
      </c>
      <c r="S454">
        <v>0</v>
      </c>
      <c r="T454" t="s">
        <v>428</v>
      </c>
    </row>
    <row r="455" spans="1:20" ht="14.5" customHeight="1" x14ac:dyDescent="0.35">
      <c r="A455">
        <v>150</v>
      </c>
      <c r="B455" t="s">
        <v>441</v>
      </c>
      <c r="C455">
        <v>372761.43</v>
      </c>
      <c r="D455">
        <v>372761.43</v>
      </c>
      <c r="E455">
        <v>493886.46</v>
      </c>
      <c r="F455">
        <v>1</v>
      </c>
      <c r="G455">
        <v>493886.46</v>
      </c>
      <c r="H455">
        <v>493886.46</v>
      </c>
      <c r="I455">
        <v>1</v>
      </c>
      <c r="J455">
        <v>493886.46</v>
      </c>
      <c r="K455">
        <v>495000</v>
      </c>
      <c r="L455">
        <v>495000</v>
      </c>
      <c r="M455">
        <v>-121125.03</v>
      </c>
      <c r="N455">
        <v>-121125.03</v>
      </c>
      <c r="O455">
        <v>-122238.57</v>
      </c>
      <c r="P455">
        <v>-122238.57</v>
      </c>
      <c r="Q455">
        <v>495000</v>
      </c>
      <c r="R455">
        <v>343024.18</v>
      </c>
      <c r="S455">
        <v>0</v>
      </c>
      <c r="T455" t="s">
        <v>428</v>
      </c>
    </row>
    <row r="456" spans="1:20" ht="14.5" customHeight="1" x14ac:dyDescent="0.35">
      <c r="A456">
        <v>155</v>
      </c>
      <c r="B456" t="s">
        <v>442</v>
      </c>
      <c r="C456">
        <v>0</v>
      </c>
      <c r="D456">
        <v>0</v>
      </c>
      <c r="E456">
        <v>0</v>
      </c>
      <c r="F456">
        <v>1</v>
      </c>
      <c r="G456">
        <v>0</v>
      </c>
      <c r="H456">
        <v>0</v>
      </c>
      <c r="I456">
        <v>1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 t="s">
        <v>428</v>
      </c>
    </row>
    <row r="457" spans="1:20" ht="14.5" customHeight="1" x14ac:dyDescent="0.35">
      <c r="A457">
        <v>160</v>
      </c>
      <c r="B457" t="s">
        <v>443</v>
      </c>
      <c r="C457">
        <v>-352660.02</v>
      </c>
      <c r="D457">
        <v>-352660.02</v>
      </c>
      <c r="E457">
        <v>-458024.93</v>
      </c>
      <c r="F457">
        <v>1</v>
      </c>
      <c r="G457">
        <v>-458024.93</v>
      </c>
      <c r="H457">
        <v>-458024.93</v>
      </c>
      <c r="I457">
        <v>1</v>
      </c>
      <c r="J457">
        <v>-458024.93</v>
      </c>
      <c r="K457">
        <v>-579000</v>
      </c>
      <c r="L457">
        <v>-579000</v>
      </c>
      <c r="M457">
        <v>105364.91</v>
      </c>
      <c r="N457">
        <v>105364.91</v>
      </c>
      <c r="O457">
        <v>226339.98</v>
      </c>
      <c r="P457">
        <v>226339.98</v>
      </c>
      <c r="Q457">
        <v>-579000</v>
      </c>
      <c r="R457">
        <v>-221210.63</v>
      </c>
      <c r="S457">
        <v>0</v>
      </c>
      <c r="T457" t="s">
        <v>428</v>
      </c>
    </row>
    <row r="458" spans="1:20" ht="14.5" customHeight="1" x14ac:dyDescent="0.35">
      <c r="A458">
        <v>170</v>
      </c>
      <c r="B458" t="s">
        <v>444</v>
      </c>
      <c r="C458">
        <v>3086905.38</v>
      </c>
      <c r="D458">
        <v>3086905.38</v>
      </c>
      <c r="E458">
        <v>-47337.279999999999</v>
      </c>
      <c r="F458">
        <v>1</v>
      </c>
      <c r="G458">
        <v>-47337.279999999999</v>
      </c>
      <c r="H458">
        <v>-47337.279999999999</v>
      </c>
      <c r="I458">
        <v>1</v>
      </c>
      <c r="J458">
        <v>-47337.279999999999</v>
      </c>
      <c r="K458">
        <v>3115851</v>
      </c>
      <c r="L458">
        <v>3115851</v>
      </c>
      <c r="M458">
        <v>3134242.66</v>
      </c>
      <c r="N458">
        <v>3134242.66</v>
      </c>
      <c r="O458">
        <v>-28945.62</v>
      </c>
      <c r="P458">
        <v>-28945.62</v>
      </c>
      <c r="Q458">
        <v>4876719</v>
      </c>
      <c r="R458">
        <v>1469402.81</v>
      </c>
      <c r="S458">
        <v>0</v>
      </c>
      <c r="T458" t="s">
        <v>428</v>
      </c>
    </row>
    <row r="459" spans="1:20" x14ac:dyDescent="0.35">
      <c r="A459">
        <v>180</v>
      </c>
      <c r="B459" t="s">
        <v>445</v>
      </c>
      <c r="C459">
        <v>649266</v>
      </c>
      <c r="D459">
        <v>649266</v>
      </c>
      <c r="E459">
        <v>0</v>
      </c>
      <c r="F459">
        <v>1</v>
      </c>
      <c r="G459">
        <v>0</v>
      </c>
      <c r="H459">
        <v>0</v>
      </c>
      <c r="I459">
        <v>1</v>
      </c>
      <c r="J459">
        <v>0</v>
      </c>
      <c r="K459">
        <v>599366</v>
      </c>
      <c r="L459">
        <v>599366</v>
      </c>
      <c r="M459">
        <v>649266</v>
      </c>
      <c r="N459">
        <v>649266</v>
      </c>
      <c r="O459">
        <v>49900</v>
      </c>
      <c r="P459">
        <v>49900</v>
      </c>
      <c r="Q459">
        <v>965150</v>
      </c>
      <c r="R459">
        <v>0</v>
      </c>
      <c r="S459">
        <v>0</v>
      </c>
      <c r="T459" t="s">
        <v>428</v>
      </c>
    </row>
    <row r="460" spans="1:20" x14ac:dyDescent="0.35">
      <c r="A460">
        <v>190</v>
      </c>
      <c r="B460" t="s">
        <v>446</v>
      </c>
      <c r="C460">
        <v>0</v>
      </c>
      <c r="D460">
        <v>0</v>
      </c>
      <c r="E460">
        <v>0</v>
      </c>
      <c r="F460">
        <v>1</v>
      </c>
      <c r="G460">
        <v>0</v>
      </c>
      <c r="H460">
        <v>0</v>
      </c>
      <c r="I460">
        <v>1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 t="s">
        <v>428</v>
      </c>
    </row>
    <row r="461" spans="1:20" ht="14.5" customHeight="1" x14ac:dyDescent="0.35">
      <c r="A461">
        <v>200</v>
      </c>
      <c r="B461" t="s">
        <v>447</v>
      </c>
      <c r="C461">
        <v>2437639.38</v>
      </c>
      <c r="D461">
        <v>2437639.38</v>
      </c>
      <c r="E461">
        <v>-47337.279999999999</v>
      </c>
      <c r="F461">
        <v>1</v>
      </c>
      <c r="G461">
        <v>-47337.279999999999</v>
      </c>
      <c r="H461">
        <v>-47337.279999999999</v>
      </c>
      <c r="I461">
        <v>1</v>
      </c>
      <c r="J461">
        <v>-47337.279999999999</v>
      </c>
      <c r="K461">
        <v>2516485</v>
      </c>
      <c r="L461">
        <v>2516485</v>
      </c>
      <c r="M461">
        <v>2484976.66</v>
      </c>
      <c r="N461">
        <v>2484976.66</v>
      </c>
      <c r="O461">
        <v>-78845.62</v>
      </c>
      <c r="P461">
        <v>-78845.62</v>
      </c>
      <c r="Q461">
        <v>3911569</v>
      </c>
      <c r="R461">
        <v>1469402.81</v>
      </c>
      <c r="S461">
        <v>0</v>
      </c>
      <c r="T461" t="s">
        <v>428</v>
      </c>
    </row>
    <row r="462" spans="1:20" ht="14.5" customHeight="1" x14ac:dyDescent="0.35">
      <c r="A462">
        <v>210</v>
      </c>
      <c r="B462" t="s">
        <v>448</v>
      </c>
      <c r="C462">
        <v>2741121.03</v>
      </c>
      <c r="D462">
        <v>2741121.03</v>
      </c>
      <c r="E462">
        <v>-499132.54</v>
      </c>
      <c r="F462">
        <v>1</v>
      </c>
      <c r="G462">
        <v>-499132.54</v>
      </c>
      <c r="H462">
        <v>-499132.54</v>
      </c>
      <c r="I462">
        <v>1</v>
      </c>
      <c r="J462">
        <v>-499132.54</v>
      </c>
      <c r="K462">
        <v>2543323</v>
      </c>
      <c r="L462">
        <v>2543323</v>
      </c>
      <c r="M462">
        <v>3240253.57</v>
      </c>
      <c r="N462">
        <v>3240253.57</v>
      </c>
      <c r="O462">
        <v>197798.03</v>
      </c>
      <c r="P462">
        <v>197798.03</v>
      </c>
      <c r="Q462">
        <v>4304191</v>
      </c>
      <c r="R462">
        <v>1254421.8500000001</v>
      </c>
      <c r="S462">
        <v>0</v>
      </c>
      <c r="T462" t="s">
        <v>428</v>
      </c>
    </row>
    <row r="463" spans="1:20" s="182" customFormat="1" x14ac:dyDescent="0.35">
      <c r="A463" t="s">
        <v>503</v>
      </c>
      <c r="B463" t="s">
        <v>416</v>
      </c>
      <c r="C463" t="s">
        <v>469</v>
      </c>
      <c r="D463" t="s">
        <v>470</v>
      </c>
      <c r="E463" t="s">
        <v>419</v>
      </c>
      <c r="F463" t="s">
        <v>471</v>
      </c>
      <c r="G463" t="s">
        <v>472</v>
      </c>
      <c r="H463" t="s">
        <v>473</v>
      </c>
      <c r="I463" t="s">
        <v>474</v>
      </c>
      <c r="J463" t="s">
        <v>475</v>
      </c>
      <c r="K463" t="s">
        <v>476</v>
      </c>
      <c r="L463" t="s">
        <v>477</v>
      </c>
      <c r="M463" t="s">
        <v>129</v>
      </c>
      <c r="N463" t="s">
        <v>131</v>
      </c>
      <c r="O463" t="s">
        <v>132</v>
      </c>
      <c r="P463" t="s">
        <v>133</v>
      </c>
      <c r="Q463" t="s">
        <v>121</v>
      </c>
      <c r="R463"/>
      <c r="S463"/>
      <c r="T463"/>
    </row>
    <row r="464" spans="1:20" ht="14.5" customHeight="1" x14ac:dyDescent="0.35">
      <c r="A464">
        <v>30</v>
      </c>
      <c r="B464" t="s">
        <v>504</v>
      </c>
      <c r="C464">
        <v>311300.09999999998</v>
      </c>
      <c r="D464">
        <v>311300.09999999998</v>
      </c>
      <c r="E464">
        <v>259765.83</v>
      </c>
      <c r="F464">
        <v>1</v>
      </c>
      <c r="G464">
        <v>259765.83</v>
      </c>
      <c r="H464">
        <v>259765.83</v>
      </c>
      <c r="I464">
        <v>1</v>
      </c>
      <c r="J464">
        <v>259765.83</v>
      </c>
      <c r="K464">
        <v>266588</v>
      </c>
      <c r="L464">
        <v>266588</v>
      </c>
      <c r="M464">
        <v>51534.27</v>
      </c>
      <c r="N464">
        <v>51534.27</v>
      </c>
      <c r="O464">
        <v>44712.1</v>
      </c>
      <c r="P464">
        <v>44712.1</v>
      </c>
      <c r="Q464" t="s">
        <v>428</v>
      </c>
      <c r="R464"/>
      <c r="S464"/>
      <c r="T464"/>
    </row>
    <row r="465" spans="1:20" ht="14.5" customHeight="1" x14ac:dyDescent="0.35">
      <c r="A465">
        <v>40</v>
      </c>
      <c r="B465" t="s">
        <v>505</v>
      </c>
      <c r="C465">
        <v>837.12</v>
      </c>
      <c r="D465">
        <v>837.12</v>
      </c>
      <c r="E465">
        <v>859.62</v>
      </c>
      <c r="F465">
        <v>1</v>
      </c>
      <c r="G465">
        <v>859.62</v>
      </c>
      <c r="H465">
        <v>859.62</v>
      </c>
      <c r="I465">
        <v>1</v>
      </c>
      <c r="J465">
        <v>859.62</v>
      </c>
      <c r="K465">
        <v>0</v>
      </c>
      <c r="L465">
        <v>0</v>
      </c>
      <c r="M465">
        <v>-22.5</v>
      </c>
      <c r="N465">
        <v>-22.5</v>
      </c>
      <c r="O465">
        <v>837.12</v>
      </c>
      <c r="P465">
        <v>837.12</v>
      </c>
      <c r="Q465" t="s">
        <v>428</v>
      </c>
      <c r="R465"/>
      <c r="S465"/>
      <c r="T465"/>
    </row>
    <row r="466" spans="1:20" x14ac:dyDescent="0.35">
      <c r="A466">
        <v>50</v>
      </c>
      <c r="B466" t="s">
        <v>506</v>
      </c>
      <c r="C466">
        <v>310462.98</v>
      </c>
      <c r="D466">
        <v>310462.98</v>
      </c>
      <c r="E466">
        <v>258906.21</v>
      </c>
      <c r="F466">
        <v>1</v>
      </c>
      <c r="G466">
        <v>258906.21</v>
      </c>
      <c r="H466">
        <v>258906.21</v>
      </c>
      <c r="I466">
        <v>1</v>
      </c>
      <c r="J466">
        <v>258906.21</v>
      </c>
      <c r="K466">
        <v>266588</v>
      </c>
      <c r="L466">
        <v>266588</v>
      </c>
      <c r="M466">
        <v>51556.77</v>
      </c>
      <c r="N466">
        <v>51556.77</v>
      </c>
      <c r="O466">
        <v>43874.98</v>
      </c>
      <c r="P466">
        <v>43874.98</v>
      </c>
      <c r="Q466" t="s">
        <v>428</v>
      </c>
      <c r="R466"/>
      <c r="S466"/>
      <c r="T466"/>
    </row>
    <row r="467" spans="1:20" x14ac:dyDescent="0.35">
      <c r="A467">
        <v>60</v>
      </c>
      <c r="B467" t="s">
        <v>507</v>
      </c>
      <c r="C467">
        <v>100609.66</v>
      </c>
      <c r="D467">
        <v>100609.66</v>
      </c>
      <c r="E467">
        <v>83228.23</v>
      </c>
      <c r="F467">
        <v>1</v>
      </c>
      <c r="G467">
        <v>83228.23</v>
      </c>
      <c r="H467">
        <v>83228.23</v>
      </c>
      <c r="I467">
        <v>1</v>
      </c>
      <c r="J467">
        <v>83228.23</v>
      </c>
      <c r="K467">
        <v>87974</v>
      </c>
      <c r="L467">
        <v>87974</v>
      </c>
      <c r="M467">
        <v>17381.43</v>
      </c>
      <c r="N467">
        <v>17381.43</v>
      </c>
      <c r="O467">
        <v>12635.66</v>
      </c>
      <c r="P467">
        <v>12635.66</v>
      </c>
      <c r="Q467" t="s">
        <v>428</v>
      </c>
      <c r="R467"/>
      <c r="S467"/>
      <c r="T467"/>
    </row>
    <row r="468" spans="1:20" x14ac:dyDescent="0.35">
      <c r="A468">
        <v>65</v>
      </c>
      <c r="B468" t="s">
        <v>508</v>
      </c>
      <c r="C468">
        <v>0</v>
      </c>
      <c r="D468">
        <v>0</v>
      </c>
      <c r="E468">
        <v>0</v>
      </c>
      <c r="F468">
        <v>1</v>
      </c>
      <c r="G468">
        <v>0</v>
      </c>
      <c r="H468">
        <v>0</v>
      </c>
      <c r="I468">
        <v>1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 t="s">
        <v>428</v>
      </c>
      <c r="R468"/>
      <c r="S468"/>
      <c r="T468"/>
    </row>
    <row r="469" spans="1:20" x14ac:dyDescent="0.35">
      <c r="A469">
        <v>70</v>
      </c>
      <c r="B469" t="s">
        <v>509</v>
      </c>
      <c r="C469">
        <v>209853.32</v>
      </c>
      <c r="D469">
        <v>209853.32</v>
      </c>
      <c r="E469">
        <v>175677.98</v>
      </c>
      <c r="F469">
        <v>1</v>
      </c>
      <c r="G469">
        <v>175677.98</v>
      </c>
      <c r="H469">
        <v>175677.98</v>
      </c>
      <c r="I469">
        <v>1</v>
      </c>
      <c r="J469">
        <v>175677.98</v>
      </c>
      <c r="K469">
        <v>178614</v>
      </c>
      <c r="L469">
        <v>178614</v>
      </c>
      <c r="M469">
        <v>34175.339999999997</v>
      </c>
      <c r="N469">
        <v>34175.339999999997</v>
      </c>
      <c r="O469">
        <v>31239.32</v>
      </c>
      <c r="P469">
        <v>31239.32</v>
      </c>
      <c r="Q469" t="s">
        <v>428</v>
      </c>
      <c r="R469"/>
      <c r="S469"/>
      <c r="T469"/>
    </row>
    <row r="470" spans="1:20" ht="14.5" customHeight="1" x14ac:dyDescent="0.35">
      <c r="A470">
        <v>80</v>
      </c>
      <c r="B470" t="s">
        <v>510</v>
      </c>
      <c r="C470">
        <v>186797.88</v>
      </c>
      <c r="D470">
        <v>186797.88</v>
      </c>
      <c r="E470">
        <v>172325.45</v>
      </c>
      <c r="F470">
        <v>1</v>
      </c>
      <c r="G470">
        <v>172325.45</v>
      </c>
      <c r="H470">
        <v>172325.45</v>
      </c>
      <c r="I470">
        <v>1</v>
      </c>
      <c r="J470">
        <v>172325.45</v>
      </c>
      <c r="K470">
        <v>175099</v>
      </c>
      <c r="L470">
        <v>175099</v>
      </c>
      <c r="M470">
        <v>14472.43</v>
      </c>
      <c r="N470">
        <v>14472.43</v>
      </c>
      <c r="O470">
        <v>11698.88</v>
      </c>
      <c r="P470">
        <v>11698.88</v>
      </c>
      <c r="Q470" t="s">
        <v>428</v>
      </c>
      <c r="R470"/>
      <c r="S470"/>
      <c r="T470"/>
    </row>
    <row r="471" spans="1:20" ht="14.5" customHeight="1" x14ac:dyDescent="0.35">
      <c r="A471">
        <v>90</v>
      </c>
      <c r="B471" t="s">
        <v>511</v>
      </c>
      <c r="C471">
        <v>7511.81</v>
      </c>
      <c r="D471">
        <v>7511.81</v>
      </c>
      <c r="E471">
        <v>12483.5</v>
      </c>
      <c r="F471">
        <v>1</v>
      </c>
      <c r="G471">
        <v>12483.5</v>
      </c>
      <c r="H471">
        <v>12483.5</v>
      </c>
      <c r="I471">
        <v>1</v>
      </c>
      <c r="J471">
        <v>12483.5</v>
      </c>
      <c r="K471">
        <v>14013</v>
      </c>
      <c r="L471">
        <v>14013</v>
      </c>
      <c r="M471">
        <v>-4971.6899999999996</v>
      </c>
      <c r="N471">
        <v>-4971.6899999999996</v>
      </c>
      <c r="O471">
        <v>-6501.19</v>
      </c>
      <c r="P471">
        <v>-6501.19</v>
      </c>
      <c r="Q471" t="s">
        <v>428</v>
      </c>
      <c r="R471"/>
      <c r="S471"/>
      <c r="T471"/>
    </row>
    <row r="472" spans="1:20" ht="14.5" customHeight="1" x14ac:dyDescent="0.35">
      <c r="A472">
        <v>100</v>
      </c>
      <c r="B472" t="s">
        <v>512</v>
      </c>
      <c r="C472">
        <v>1124.99</v>
      </c>
      <c r="D472">
        <v>1124.99</v>
      </c>
      <c r="E472">
        <v>1107.04</v>
      </c>
      <c r="F472">
        <v>1</v>
      </c>
      <c r="G472">
        <v>1107.04</v>
      </c>
      <c r="H472">
        <v>1107.04</v>
      </c>
      <c r="I472">
        <v>1</v>
      </c>
      <c r="J472">
        <v>1107.04</v>
      </c>
      <c r="K472">
        <v>1107</v>
      </c>
      <c r="L472">
        <v>1107</v>
      </c>
      <c r="M472">
        <v>17.95</v>
      </c>
      <c r="N472">
        <v>17.95</v>
      </c>
      <c r="O472">
        <v>17.989999999999998</v>
      </c>
      <c r="P472">
        <v>17.989999999999998</v>
      </c>
      <c r="Q472" t="s">
        <v>428</v>
      </c>
      <c r="R472"/>
      <c r="S472"/>
      <c r="T472"/>
    </row>
    <row r="473" spans="1:20" ht="14.5" customHeight="1" x14ac:dyDescent="0.35">
      <c r="A473">
        <v>110</v>
      </c>
      <c r="B473" t="s">
        <v>513</v>
      </c>
      <c r="C473">
        <v>195434.68</v>
      </c>
      <c r="D473">
        <v>195434.68</v>
      </c>
      <c r="E473">
        <v>185915.99</v>
      </c>
      <c r="F473">
        <v>1</v>
      </c>
      <c r="G473">
        <v>185915.99</v>
      </c>
      <c r="H473">
        <v>185915.99</v>
      </c>
      <c r="I473">
        <v>1</v>
      </c>
      <c r="J473">
        <v>185915.99</v>
      </c>
      <c r="K473">
        <v>190219</v>
      </c>
      <c r="L473">
        <v>190219</v>
      </c>
      <c r="M473">
        <v>9518.69</v>
      </c>
      <c r="N473">
        <v>9518.69</v>
      </c>
      <c r="O473">
        <v>5215.68</v>
      </c>
      <c r="P473">
        <v>5215.68</v>
      </c>
      <c r="Q473" t="s">
        <v>428</v>
      </c>
      <c r="R473"/>
      <c r="S473"/>
      <c r="T473"/>
    </row>
    <row r="474" spans="1:20" ht="14.5" customHeight="1" x14ac:dyDescent="0.35">
      <c r="A474">
        <v>120</v>
      </c>
      <c r="B474" t="s">
        <v>514</v>
      </c>
      <c r="C474">
        <v>14418.64</v>
      </c>
      <c r="D474">
        <v>14418.64</v>
      </c>
      <c r="E474">
        <v>-10238.01</v>
      </c>
      <c r="F474">
        <v>1</v>
      </c>
      <c r="G474">
        <v>-10238.01</v>
      </c>
      <c r="H474">
        <v>-10238.01</v>
      </c>
      <c r="I474">
        <v>1</v>
      </c>
      <c r="J474">
        <v>-10238.01</v>
      </c>
      <c r="K474">
        <v>-11605</v>
      </c>
      <c r="L474">
        <v>-11605</v>
      </c>
      <c r="M474">
        <v>24656.65</v>
      </c>
      <c r="N474">
        <v>24656.65</v>
      </c>
      <c r="O474">
        <v>26023.64</v>
      </c>
      <c r="P474">
        <v>26023.64</v>
      </c>
      <c r="Q474" t="s">
        <v>428</v>
      </c>
      <c r="R474"/>
      <c r="S474"/>
      <c r="T474"/>
    </row>
    <row r="475" spans="1:20" ht="14.5" customHeight="1" x14ac:dyDescent="0.35">
      <c r="A475">
        <v>130</v>
      </c>
      <c r="B475"/>
      <c r="C475">
        <v>0</v>
      </c>
      <c r="D475">
        <v>0</v>
      </c>
      <c r="E475">
        <v>0</v>
      </c>
      <c r="F475">
        <v>1</v>
      </c>
      <c r="G475">
        <v>0</v>
      </c>
      <c r="H475">
        <v>0</v>
      </c>
      <c r="I475">
        <v>1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 t="s">
        <v>428</v>
      </c>
      <c r="R475"/>
      <c r="S475"/>
      <c r="T475"/>
    </row>
    <row r="476" spans="1:20" ht="14.5" customHeight="1" x14ac:dyDescent="0.35">
      <c r="A476">
        <v>135</v>
      </c>
      <c r="B476" t="s">
        <v>515</v>
      </c>
      <c r="C476">
        <v>-1128.45</v>
      </c>
      <c r="D476">
        <v>-1128.45</v>
      </c>
      <c r="E476">
        <v>-3773.65</v>
      </c>
      <c r="F476">
        <v>1</v>
      </c>
      <c r="G476">
        <v>-3773.65</v>
      </c>
      <c r="H476">
        <v>-3773.65</v>
      </c>
      <c r="I476">
        <v>1</v>
      </c>
      <c r="J476">
        <v>-3773.65</v>
      </c>
      <c r="K476">
        <v>-2786</v>
      </c>
      <c r="L476">
        <v>-2786</v>
      </c>
      <c r="M476">
        <v>2645.2</v>
      </c>
      <c r="N476">
        <v>2645.2</v>
      </c>
      <c r="O476">
        <v>1657.55</v>
      </c>
      <c r="P476">
        <v>1657.55</v>
      </c>
      <c r="Q476" t="s">
        <v>428</v>
      </c>
      <c r="R476"/>
      <c r="S476"/>
      <c r="T476"/>
    </row>
    <row r="477" spans="1:20" ht="14.5" customHeight="1" x14ac:dyDescent="0.35">
      <c r="A477">
        <v>140</v>
      </c>
      <c r="B477" t="s">
        <v>516</v>
      </c>
      <c r="C477">
        <v>0</v>
      </c>
      <c r="D477">
        <v>0</v>
      </c>
      <c r="E477">
        <v>0</v>
      </c>
      <c r="F477">
        <v>1</v>
      </c>
      <c r="G477">
        <v>0</v>
      </c>
      <c r="H477">
        <v>0</v>
      </c>
      <c r="I477">
        <v>1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 t="s">
        <v>428</v>
      </c>
      <c r="R477"/>
      <c r="S477"/>
      <c r="T477"/>
    </row>
    <row r="478" spans="1:20" ht="14.5" customHeight="1" x14ac:dyDescent="0.35">
      <c r="A478">
        <v>150</v>
      </c>
      <c r="B478" t="s">
        <v>517</v>
      </c>
      <c r="C478">
        <v>0</v>
      </c>
      <c r="D478">
        <v>0</v>
      </c>
      <c r="E478">
        <v>0</v>
      </c>
      <c r="F478">
        <v>1</v>
      </c>
      <c r="G478">
        <v>0</v>
      </c>
      <c r="H478">
        <v>0</v>
      </c>
      <c r="I478">
        <v>1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 t="s">
        <v>428</v>
      </c>
      <c r="R478"/>
      <c r="S478"/>
      <c r="T478"/>
    </row>
    <row r="479" spans="1:20" ht="14.5" customHeight="1" x14ac:dyDescent="0.35">
      <c r="A479">
        <v>155</v>
      </c>
      <c r="B479"/>
      <c r="C479">
        <v>0</v>
      </c>
      <c r="D479">
        <v>0</v>
      </c>
      <c r="E479">
        <v>0</v>
      </c>
      <c r="F479">
        <v>1</v>
      </c>
      <c r="G479">
        <v>0</v>
      </c>
      <c r="H479">
        <v>0</v>
      </c>
      <c r="I479">
        <v>1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 t="s">
        <v>428</v>
      </c>
      <c r="R479"/>
      <c r="S479"/>
      <c r="T479"/>
    </row>
    <row r="480" spans="1:20" ht="14.5" customHeight="1" x14ac:dyDescent="0.35">
      <c r="A480">
        <v>160</v>
      </c>
      <c r="B480" t="s">
        <v>518</v>
      </c>
      <c r="C480">
        <v>-1128.45</v>
      </c>
      <c r="D480">
        <v>-1128.45</v>
      </c>
      <c r="E480">
        <v>-3773.65</v>
      </c>
      <c r="F480">
        <v>1</v>
      </c>
      <c r="G480">
        <v>-3773.65</v>
      </c>
      <c r="H480">
        <v>-3773.65</v>
      </c>
      <c r="I480">
        <v>1</v>
      </c>
      <c r="J480">
        <v>-3773.65</v>
      </c>
      <c r="K480">
        <v>-2786</v>
      </c>
      <c r="L480">
        <v>-2786</v>
      </c>
      <c r="M480">
        <v>2645.2</v>
      </c>
      <c r="N480">
        <v>2645.2</v>
      </c>
      <c r="O480">
        <v>1657.55</v>
      </c>
      <c r="P480">
        <v>1657.55</v>
      </c>
      <c r="Q480" t="s">
        <v>428</v>
      </c>
      <c r="R480"/>
      <c r="S480"/>
      <c r="T480"/>
    </row>
    <row r="481" spans="1:20" ht="14.5" customHeight="1" x14ac:dyDescent="0.35">
      <c r="A481">
        <v>170</v>
      </c>
      <c r="B481" t="s">
        <v>519</v>
      </c>
      <c r="C481">
        <v>15547.09</v>
      </c>
      <c r="D481">
        <v>15547.09</v>
      </c>
      <c r="E481">
        <v>-6464.36</v>
      </c>
      <c r="F481">
        <v>1</v>
      </c>
      <c r="G481">
        <v>-6464.36</v>
      </c>
      <c r="H481">
        <v>-6464.36</v>
      </c>
      <c r="I481">
        <v>1</v>
      </c>
      <c r="J481">
        <v>-6464.36</v>
      </c>
      <c r="K481">
        <v>-8819</v>
      </c>
      <c r="L481">
        <v>-8819</v>
      </c>
      <c r="M481">
        <v>22011.45</v>
      </c>
      <c r="N481">
        <v>22011.45</v>
      </c>
      <c r="O481">
        <v>24366.09</v>
      </c>
      <c r="P481">
        <v>24366.09</v>
      </c>
      <c r="Q481" t="s">
        <v>428</v>
      </c>
      <c r="R481"/>
      <c r="S481"/>
      <c r="T481"/>
    </row>
    <row r="482" spans="1:20" x14ac:dyDescent="0.35">
      <c r="A482">
        <v>180</v>
      </c>
      <c r="B482" t="s">
        <v>520</v>
      </c>
      <c r="C482">
        <v>0</v>
      </c>
      <c r="D482">
        <v>0</v>
      </c>
      <c r="E482">
        <v>0</v>
      </c>
      <c r="F482">
        <v>1</v>
      </c>
      <c r="G482">
        <v>0</v>
      </c>
      <c r="H482">
        <v>0</v>
      </c>
      <c r="I482">
        <v>1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 t="s">
        <v>428</v>
      </c>
      <c r="R482"/>
      <c r="S482"/>
      <c r="T482"/>
    </row>
    <row r="483" spans="1:20" x14ac:dyDescent="0.35">
      <c r="A483">
        <v>190</v>
      </c>
      <c r="B483" t="s">
        <v>521</v>
      </c>
      <c r="C483">
        <v>0</v>
      </c>
      <c r="D483">
        <v>0</v>
      </c>
      <c r="E483">
        <v>0</v>
      </c>
      <c r="F483">
        <v>1</v>
      </c>
      <c r="G483">
        <v>0</v>
      </c>
      <c r="H483">
        <v>0</v>
      </c>
      <c r="I483">
        <v>1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 t="s">
        <v>428</v>
      </c>
      <c r="R483"/>
      <c r="S483"/>
      <c r="T483"/>
    </row>
    <row r="484" spans="1:20" ht="14.5" customHeight="1" x14ac:dyDescent="0.35">
      <c r="A484">
        <v>200</v>
      </c>
      <c r="B484" t="s">
        <v>522</v>
      </c>
      <c r="C484">
        <v>15547.09</v>
      </c>
      <c r="D484">
        <v>15547.09</v>
      </c>
      <c r="E484">
        <v>-6464.36</v>
      </c>
      <c r="F484">
        <v>1</v>
      </c>
      <c r="G484">
        <v>-6464.36</v>
      </c>
      <c r="H484">
        <v>-6464.36</v>
      </c>
      <c r="I484">
        <v>1</v>
      </c>
      <c r="J484">
        <v>-6464.36</v>
      </c>
      <c r="K484">
        <v>-8819</v>
      </c>
      <c r="L484">
        <v>-8819</v>
      </c>
      <c r="M484">
        <v>22011.45</v>
      </c>
      <c r="N484">
        <v>22011.45</v>
      </c>
      <c r="O484">
        <v>24366.09</v>
      </c>
      <c r="P484">
        <v>24366.09</v>
      </c>
      <c r="Q484" t="s">
        <v>428</v>
      </c>
      <c r="R484"/>
      <c r="S484"/>
      <c r="T484"/>
    </row>
    <row r="485" spans="1:20" ht="14.5" customHeight="1" x14ac:dyDescent="0.35">
      <c r="A485">
        <v>210</v>
      </c>
      <c r="B485" t="s">
        <v>523</v>
      </c>
      <c r="C485">
        <v>15543.63</v>
      </c>
      <c r="D485">
        <v>15543.63</v>
      </c>
      <c r="E485">
        <v>-9130.9699999999993</v>
      </c>
      <c r="F485">
        <v>1</v>
      </c>
      <c r="G485">
        <v>-9130.9699999999993</v>
      </c>
      <c r="H485">
        <v>-9130.9699999999993</v>
      </c>
      <c r="I485">
        <v>1</v>
      </c>
      <c r="J485">
        <v>-9130.9699999999993</v>
      </c>
      <c r="K485">
        <v>-10498</v>
      </c>
      <c r="L485">
        <v>-10498</v>
      </c>
      <c r="M485">
        <v>24674.6</v>
      </c>
      <c r="N485">
        <v>24674.6</v>
      </c>
      <c r="O485">
        <v>26041.63</v>
      </c>
      <c r="P485">
        <v>26041.63</v>
      </c>
      <c r="Q485" t="s">
        <v>428</v>
      </c>
      <c r="R485"/>
      <c r="S485"/>
      <c r="T485"/>
    </row>
    <row r="486" spans="1:20" s="182" customFormat="1" x14ac:dyDescent="0.35">
      <c r="A486" t="s">
        <v>524</v>
      </c>
      <c r="B486" t="s">
        <v>416</v>
      </c>
      <c r="C486" t="s">
        <v>469</v>
      </c>
      <c r="D486" t="s">
        <v>470</v>
      </c>
      <c r="E486" t="s">
        <v>419</v>
      </c>
      <c r="F486" t="s">
        <v>471</v>
      </c>
      <c r="G486" t="s">
        <v>472</v>
      </c>
      <c r="H486" t="s">
        <v>473</v>
      </c>
      <c r="I486" t="s">
        <v>474</v>
      </c>
      <c r="J486" t="s">
        <v>475</v>
      </c>
      <c r="K486" t="s">
        <v>476</v>
      </c>
      <c r="L486" t="s">
        <v>477</v>
      </c>
      <c r="M486" t="s">
        <v>129</v>
      </c>
      <c r="N486" t="s">
        <v>131</v>
      </c>
      <c r="O486" t="s">
        <v>132</v>
      </c>
      <c r="P486" t="s">
        <v>133</v>
      </c>
      <c r="Q486" t="s">
        <v>121</v>
      </c>
      <c r="R486"/>
      <c r="S486"/>
      <c r="T486"/>
    </row>
    <row r="487" spans="1:20" ht="14.5" customHeight="1" x14ac:dyDescent="0.35">
      <c r="A487">
        <v>30</v>
      </c>
      <c r="B487" t="s">
        <v>504</v>
      </c>
      <c r="C487">
        <v>605912.84</v>
      </c>
      <c r="D487">
        <v>605912.84</v>
      </c>
      <c r="E487">
        <v>584181.14</v>
      </c>
      <c r="F487">
        <v>1</v>
      </c>
      <c r="G487">
        <v>584181.14</v>
      </c>
      <c r="H487">
        <v>584181.14</v>
      </c>
      <c r="I487">
        <v>1</v>
      </c>
      <c r="J487">
        <v>584181.14</v>
      </c>
      <c r="K487">
        <v>634782</v>
      </c>
      <c r="L487">
        <v>634782</v>
      </c>
      <c r="M487">
        <v>21731.7</v>
      </c>
      <c r="N487">
        <v>21731.7</v>
      </c>
      <c r="O487">
        <v>-28869.16</v>
      </c>
      <c r="P487">
        <v>-28869.16</v>
      </c>
      <c r="Q487" t="s">
        <v>428</v>
      </c>
      <c r="R487"/>
      <c r="S487"/>
      <c r="T487"/>
    </row>
    <row r="488" spans="1:20" ht="14.5" customHeight="1" x14ac:dyDescent="0.35">
      <c r="A488">
        <v>40</v>
      </c>
      <c r="B488" t="s">
        <v>505</v>
      </c>
      <c r="C488">
        <v>589.30999999999995</v>
      </c>
      <c r="D488">
        <v>589.30999999999995</v>
      </c>
      <c r="E488">
        <v>1372.83</v>
      </c>
      <c r="F488">
        <v>1</v>
      </c>
      <c r="G488">
        <v>1372.83</v>
      </c>
      <c r="H488">
        <v>1372.83</v>
      </c>
      <c r="I488">
        <v>1</v>
      </c>
      <c r="J488">
        <v>1372.83</v>
      </c>
      <c r="K488">
        <v>0</v>
      </c>
      <c r="L488">
        <v>0</v>
      </c>
      <c r="M488">
        <v>-783.52</v>
      </c>
      <c r="N488">
        <v>-783.52</v>
      </c>
      <c r="O488">
        <v>589.30999999999995</v>
      </c>
      <c r="P488">
        <v>589.30999999999995</v>
      </c>
      <c r="Q488" t="s">
        <v>428</v>
      </c>
      <c r="R488"/>
      <c r="S488"/>
      <c r="T488"/>
    </row>
    <row r="489" spans="1:20" x14ac:dyDescent="0.35">
      <c r="A489">
        <v>50</v>
      </c>
      <c r="B489" t="s">
        <v>506</v>
      </c>
      <c r="C489">
        <v>605323.53</v>
      </c>
      <c r="D489">
        <v>605323.53</v>
      </c>
      <c r="E489">
        <v>582808.31000000006</v>
      </c>
      <c r="F489">
        <v>1</v>
      </c>
      <c r="G489">
        <v>582808.31000000006</v>
      </c>
      <c r="H489">
        <v>582808.31000000006</v>
      </c>
      <c r="I489">
        <v>1</v>
      </c>
      <c r="J489">
        <v>582808.31000000006</v>
      </c>
      <c r="K489">
        <v>634782</v>
      </c>
      <c r="L489">
        <v>634782</v>
      </c>
      <c r="M489">
        <v>22515.22</v>
      </c>
      <c r="N489">
        <v>22515.22</v>
      </c>
      <c r="O489">
        <v>-29458.47</v>
      </c>
      <c r="P489">
        <v>-29458.47</v>
      </c>
      <c r="Q489" t="s">
        <v>428</v>
      </c>
      <c r="R489"/>
      <c r="S489"/>
      <c r="T489"/>
    </row>
    <row r="490" spans="1:20" x14ac:dyDescent="0.35">
      <c r="A490">
        <v>60</v>
      </c>
      <c r="B490" t="s">
        <v>507</v>
      </c>
      <c r="C490">
        <v>174999.67</v>
      </c>
      <c r="D490">
        <v>174999.67</v>
      </c>
      <c r="E490">
        <v>187265.73</v>
      </c>
      <c r="F490">
        <v>1</v>
      </c>
      <c r="G490">
        <v>187265.73</v>
      </c>
      <c r="H490">
        <v>187265.73</v>
      </c>
      <c r="I490">
        <v>1</v>
      </c>
      <c r="J490">
        <v>187265.73</v>
      </c>
      <c r="K490">
        <v>193608</v>
      </c>
      <c r="L490">
        <v>193608</v>
      </c>
      <c r="M490">
        <v>-12266.06</v>
      </c>
      <c r="N490">
        <v>-12266.06</v>
      </c>
      <c r="O490">
        <v>-18608.330000000002</v>
      </c>
      <c r="P490">
        <v>-18608.330000000002</v>
      </c>
      <c r="Q490" t="s">
        <v>428</v>
      </c>
      <c r="R490"/>
      <c r="S490"/>
      <c r="T490"/>
    </row>
    <row r="491" spans="1:20" x14ac:dyDescent="0.35">
      <c r="A491">
        <v>65</v>
      </c>
      <c r="B491" t="s">
        <v>508</v>
      </c>
      <c r="C491">
        <v>0</v>
      </c>
      <c r="D491">
        <v>0</v>
      </c>
      <c r="E491">
        <v>0</v>
      </c>
      <c r="F491">
        <v>1</v>
      </c>
      <c r="G491">
        <v>0</v>
      </c>
      <c r="H491">
        <v>0</v>
      </c>
      <c r="I491">
        <v>1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 t="s">
        <v>428</v>
      </c>
      <c r="R491"/>
      <c r="S491"/>
      <c r="T491"/>
    </row>
    <row r="492" spans="1:20" x14ac:dyDescent="0.35">
      <c r="A492">
        <v>70</v>
      </c>
      <c r="B492" t="s">
        <v>509</v>
      </c>
      <c r="C492">
        <v>430323.86</v>
      </c>
      <c r="D492">
        <v>430323.86</v>
      </c>
      <c r="E492">
        <v>395542.58</v>
      </c>
      <c r="F492">
        <v>1</v>
      </c>
      <c r="G492">
        <v>395542.58</v>
      </c>
      <c r="H492">
        <v>395542.58</v>
      </c>
      <c r="I492">
        <v>1</v>
      </c>
      <c r="J492">
        <v>395542.58</v>
      </c>
      <c r="K492">
        <v>441174</v>
      </c>
      <c r="L492">
        <v>441174</v>
      </c>
      <c r="M492">
        <v>34781.279999999999</v>
      </c>
      <c r="N492">
        <v>34781.279999999999</v>
      </c>
      <c r="O492">
        <v>-10850.14</v>
      </c>
      <c r="P492">
        <v>-10850.14</v>
      </c>
      <c r="Q492" t="s">
        <v>428</v>
      </c>
      <c r="R492"/>
      <c r="S492"/>
      <c r="T492"/>
    </row>
    <row r="493" spans="1:20" ht="14.5" customHeight="1" x14ac:dyDescent="0.35">
      <c r="A493">
        <v>80</v>
      </c>
      <c r="B493" t="s">
        <v>510</v>
      </c>
      <c r="C493">
        <v>393129.98</v>
      </c>
      <c r="D493">
        <v>393129.98</v>
      </c>
      <c r="E493">
        <v>395614.12</v>
      </c>
      <c r="F493">
        <v>1</v>
      </c>
      <c r="G493">
        <v>395614.12</v>
      </c>
      <c r="H493">
        <v>395614.12</v>
      </c>
      <c r="I493">
        <v>1</v>
      </c>
      <c r="J493">
        <v>395614.12</v>
      </c>
      <c r="K493">
        <v>425625</v>
      </c>
      <c r="L493">
        <v>425625</v>
      </c>
      <c r="M493">
        <v>-2484.14</v>
      </c>
      <c r="N493">
        <v>-2484.14</v>
      </c>
      <c r="O493">
        <v>-32495.02</v>
      </c>
      <c r="P493">
        <v>-32495.02</v>
      </c>
      <c r="Q493" t="s">
        <v>428</v>
      </c>
      <c r="R493"/>
      <c r="S493"/>
      <c r="T493"/>
    </row>
    <row r="494" spans="1:20" ht="14.5" customHeight="1" x14ac:dyDescent="0.35">
      <c r="A494">
        <v>90</v>
      </c>
      <c r="B494" t="s">
        <v>511</v>
      </c>
      <c r="C494">
        <v>12149.26</v>
      </c>
      <c r="D494">
        <v>12149.26</v>
      </c>
      <c r="E494">
        <v>18666.939999999999</v>
      </c>
      <c r="F494">
        <v>1</v>
      </c>
      <c r="G494">
        <v>18666.939999999999</v>
      </c>
      <c r="H494">
        <v>18666.939999999999</v>
      </c>
      <c r="I494">
        <v>1</v>
      </c>
      <c r="J494">
        <v>18666.939999999999</v>
      </c>
      <c r="K494">
        <v>21088</v>
      </c>
      <c r="L494">
        <v>21088</v>
      </c>
      <c r="M494">
        <v>-6517.68</v>
      </c>
      <c r="N494">
        <v>-6517.68</v>
      </c>
      <c r="O494">
        <v>-8938.74</v>
      </c>
      <c r="P494">
        <v>-8938.74</v>
      </c>
      <c r="Q494" t="s">
        <v>428</v>
      </c>
      <c r="R494"/>
      <c r="S494"/>
      <c r="T494"/>
    </row>
    <row r="495" spans="1:20" ht="14.5" customHeight="1" x14ac:dyDescent="0.35">
      <c r="A495">
        <v>100</v>
      </c>
      <c r="B495" t="s">
        <v>512</v>
      </c>
      <c r="C495">
        <v>6063.4</v>
      </c>
      <c r="D495">
        <v>6063.4</v>
      </c>
      <c r="E495">
        <v>4079.95</v>
      </c>
      <c r="F495">
        <v>1</v>
      </c>
      <c r="G495">
        <v>4079.95</v>
      </c>
      <c r="H495">
        <v>4079.95</v>
      </c>
      <c r="I495">
        <v>1</v>
      </c>
      <c r="J495">
        <v>4079.95</v>
      </c>
      <c r="K495">
        <v>4080</v>
      </c>
      <c r="L495">
        <v>4080</v>
      </c>
      <c r="M495">
        <v>1983.45</v>
      </c>
      <c r="N495">
        <v>1983.45</v>
      </c>
      <c r="O495">
        <v>1983.4</v>
      </c>
      <c r="P495">
        <v>1983.4</v>
      </c>
      <c r="Q495" t="s">
        <v>428</v>
      </c>
      <c r="R495"/>
      <c r="S495"/>
      <c r="T495"/>
    </row>
    <row r="496" spans="1:20" ht="14.5" customHeight="1" x14ac:dyDescent="0.35">
      <c r="A496">
        <v>110</v>
      </c>
      <c r="B496" t="s">
        <v>513</v>
      </c>
      <c r="C496">
        <v>411342.64</v>
      </c>
      <c r="D496">
        <v>411342.64</v>
      </c>
      <c r="E496">
        <v>418361.01</v>
      </c>
      <c r="F496">
        <v>1</v>
      </c>
      <c r="G496">
        <v>418361.01</v>
      </c>
      <c r="H496">
        <v>418361.01</v>
      </c>
      <c r="I496">
        <v>1</v>
      </c>
      <c r="J496">
        <v>418361.01</v>
      </c>
      <c r="K496">
        <v>450793</v>
      </c>
      <c r="L496">
        <v>450793</v>
      </c>
      <c r="M496">
        <v>-7018.37</v>
      </c>
      <c r="N496">
        <v>-7018.37</v>
      </c>
      <c r="O496">
        <v>-39450.36</v>
      </c>
      <c r="P496">
        <v>-39450.36</v>
      </c>
      <c r="Q496" t="s">
        <v>428</v>
      </c>
      <c r="R496"/>
      <c r="S496"/>
      <c r="T496"/>
    </row>
    <row r="497" spans="1:20" ht="14.5" customHeight="1" x14ac:dyDescent="0.35">
      <c r="A497">
        <v>120</v>
      </c>
      <c r="B497" t="s">
        <v>514</v>
      </c>
      <c r="C497">
        <v>18981.22</v>
      </c>
      <c r="D497">
        <v>18981.22</v>
      </c>
      <c r="E497">
        <v>-22818.43</v>
      </c>
      <c r="F497">
        <v>1</v>
      </c>
      <c r="G497">
        <v>-22818.43</v>
      </c>
      <c r="H497">
        <v>-22818.43</v>
      </c>
      <c r="I497">
        <v>1</v>
      </c>
      <c r="J497">
        <v>-22818.43</v>
      </c>
      <c r="K497">
        <v>-9619</v>
      </c>
      <c r="L497">
        <v>-9619</v>
      </c>
      <c r="M497">
        <v>41799.65</v>
      </c>
      <c r="N497">
        <v>41799.65</v>
      </c>
      <c r="O497">
        <v>28600.22</v>
      </c>
      <c r="P497">
        <v>28600.22</v>
      </c>
      <c r="Q497" t="s">
        <v>428</v>
      </c>
      <c r="R497"/>
      <c r="S497"/>
      <c r="T497"/>
    </row>
    <row r="498" spans="1:20" ht="14.5" customHeight="1" x14ac:dyDescent="0.35">
      <c r="A498">
        <v>130</v>
      </c>
      <c r="B498"/>
      <c r="C498">
        <v>0</v>
      </c>
      <c r="D498">
        <v>0</v>
      </c>
      <c r="E498">
        <v>0</v>
      </c>
      <c r="F498">
        <v>1</v>
      </c>
      <c r="G498">
        <v>0</v>
      </c>
      <c r="H498">
        <v>0</v>
      </c>
      <c r="I498">
        <v>1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 t="s">
        <v>428</v>
      </c>
      <c r="R498"/>
      <c r="S498"/>
      <c r="T498"/>
    </row>
    <row r="499" spans="1:20" ht="14.5" customHeight="1" x14ac:dyDescent="0.35">
      <c r="A499">
        <v>135</v>
      </c>
      <c r="B499" t="s">
        <v>515</v>
      </c>
      <c r="C499">
        <v>-4149.3</v>
      </c>
      <c r="D499">
        <v>-4149.3</v>
      </c>
      <c r="E499">
        <v>-3015.79</v>
      </c>
      <c r="F499">
        <v>1</v>
      </c>
      <c r="G499">
        <v>-3015.79</v>
      </c>
      <c r="H499">
        <v>-3015.79</v>
      </c>
      <c r="I499">
        <v>1</v>
      </c>
      <c r="J499">
        <v>-3015.79</v>
      </c>
      <c r="K499">
        <v>-4464</v>
      </c>
      <c r="L499">
        <v>-4464</v>
      </c>
      <c r="M499">
        <v>-1133.51</v>
      </c>
      <c r="N499">
        <v>-1133.51</v>
      </c>
      <c r="O499">
        <v>314.7</v>
      </c>
      <c r="P499">
        <v>314.7</v>
      </c>
      <c r="Q499" t="s">
        <v>428</v>
      </c>
      <c r="R499"/>
      <c r="S499"/>
      <c r="T499"/>
    </row>
    <row r="500" spans="1:20" ht="14.5" customHeight="1" x14ac:dyDescent="0.35">
      <c r="A500">
        <v>140</v>
      </c>
      <c r="B500" t="s">
        <v>516</v>
      </c>
      <c r="C500">
        <v>0</v>
      </c>
      <c r="D500">
        <v>0</v>
      </c>
      <c r="E500">
        <v>8532.5</v>
      </c>
      <c r="F500">
        <v>1</v>
      </c>
      <c r="G500">
        <v>8532.5</v>
      </c>
      <c r="H500">
        <v>8532.5</v>
      </c>
      <c r="I500">
        <v>1</v>
      </c>
      <c r="J500">
        <v>8532.5</v>
      </c>
      <c r="K500">
        <v>0</v>
      </c>
      <c r="L500">
        <v>0</v>
      </c>
      <c r="M500">
        <v>-8532.5</v>
      </c>
      <c r="N500">
        <v>-8532.5</v>
      </c>
      <c r="O500">
        <v>0</v>
      </c>
      <c r="P500">
        <v>0</v>
      </c>
      <c r="Q500" t="s">
        <v>428</v>
      </c>
      <c r="R500"/>
      <c r="S500"/>
      <c r="T500"/>
    </row>
    <row r="501" spans="1:20" ht="14.5" customHeight="1" x14ac:dyDescent="0.35">
      <c r="A501">
        <v>150</v>
      </c>
      <c r="B501" t="s">
        <v>517</v>
      </c>
      <c r="C501">
        <v>0</v>
      </c>
      <c r="D501">
        <v>0</v>
      </c>
      <c r="E501">
        <v>0</v>
      </c>
      <c r="F501">
        <v>1</v>
      </c>
      <c r="G501">
        <v>0</v>
      </c>
      <c r="H501">
        <v>0</v>
      </c>
      <c r="I501">
        <v>1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 t="s">
        <v>428</v>
      </c>
      <c r="R501"/>
      <c r="S501"/>
      <c r="T501"/>
    </row>
    <row r="502" spans="1:20" ht="14.5" customHeight="1" x14ac:dyDescent="0.35">
      <c r="A502">
        <v>155</v>
      </c>
      <c r="B502"/>
      <c r="C502">
        <v>0</v>
      </c>
      <c r="D502">
        <v>0</v>
      </c>
      <c r="E502">
        <v>0</v>
      </c>
      <c r="F502">
        <v>1</v>
      </c>
      <c r="G502">
        <v>0</v>
      </c>
      <c r="H502">
        <v>0</v>
      </c>
      <c r="I502">
        <v>1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 t="s">
        <v>428</v>
      </c>
      <c r="R502"/>
      <c r="S502"/>
      <c r="T502"/>
    </row>
    <row r="503" spans="1:20" ht="14.5" customHeight="1" x14ac:dyDescent="0.35">
      <c r="A503">
        <v>160</v>
      </c>
      <c r="B503" t="s">
        <v>518</v>
      </c>
      <c r="C503">
        <v>-4149.3</v>
      </c>
      <c r="D503">
        <v>-4149.3</v>
      </c>
      <c r="E503">
        <v>5516.71</v>
      </c>
      <c r="F503">
        <v>1</v>
      </c>
      <c r="G503">
        <v>5516.71</v>
      </c>
      <c r="H503">
        <v>5516.71</v>
      </c>
      <c r="I503">
        <v>1</v>
      </c>
      <c r="J503">
        <v>5516.71</v>
      </c>
      <c r="K503">
        <v>-4464</v>
      </c>
      <c r="L503">
        <v>-4464</v>
      </c>
      <c r="M503">
        <v>-9666.01</v>
      </c>
      <c r="N503">
        <v>-9666.01</v>
      </c>
      <c r="O503">
        <v>314.7</v>
      </c>
      <c r="P503">
        <v>314.7</v>
      </c>
      <c r="Q503" t="s">
        <v>428</v>
      </c>
      <c r="R503"/>
      <c r="S503"/>
      <c r="T503"/>
    </row>
    <row r="504" spans="1:20" ht="14.5" customHeight="1" x14ac:dyDescent="0.35">
      <c r="A504">
        <v>170</v>
      </c>
      <c r="B504" t="s">
        <v>525</v>
      </c>
      <c r="C504">
        <v>23130.52</v>
      </c>
      <c r="D504">
        <v>23130.52</v>
      </c>
      <c r="E504">
        <v>-28335.14</v>
      </c>
      <c r="F504">
        <v>1</v>
      </c>
      <c r="G504">
        <v>-28335.14</v>
      </c>
      <c r="H504">
        <v>-28335.14</v>
      </c>
      <c r="I504">
        <v>1</v>
      </c>
      <c r="J504">
        <v>-28335.14</v>
      </c>
      <c r="K504">
        <v>-5155</v>
      </c>
      <c r="L504">
        <v>-5155</v>
      </c>
      <c r="M504">
        <v>51465.66</v>
      </c>
      <c r="N504">
        <v>51465.66</v>
      </c>
      <c r="O504">
        <v>28285.52</v>
      </c>
      <c r="P504">
        <v>28285.52</v>
      </c>
      <c r="Q504" t="s">
        <v>428</v>
      </c>
      <c r="R504"/>
      <c r="S504"/>
      <c r="T504"/>
    </row>
    <row r="505" spans="1:20" x14ac:dyDescent="0.35">
      <c r="A505">
        <v>180</v>
      </c>
      <c r="B505" t="s">
        <v>520</v>
      </c>
      <c r="C505">
        <v>0</v>
      </c>
      <c r="D505">
        <v>0</v>
      </c>
      <c r="E505">
        <v>0</v>
      </c>
      <c r="F505">
        <v>1</v>
      </c>
      <c r="G505">
        <v>0</v>
      </c>
      <c r="H505">
        <v>0</v>
      </c>
      <c r="I505">
        <v>1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 t="s">
        <v>428</v>
      </c>
      <c r="R505"/>
      <c r="S505"/>
      <c r="T505"/>
    </row>
    <row r="506" spans="1:20" x14ac:dyDescent="0.35">
      <c r="A506">
        <v>190</v>
      </c>
      <c r="B506" t="s">
        <v>521</v>
      </c>
      <c r="C506">
        <v>0</v>
      </c>
      <c r="D506">
        <v>0</v>
      </c>
      <c r="E506">
        <v>0</v>
      </c>
      <c r="F506">
        <v>1</v>
      </c>
      <c r="G506">
        <v>0</v>
      </c>
      <c r="H506">
        <v>0</v>
      </c>
      <c r="I506">
        <v>1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 t="s">
        <v>428</v>
      </c>
      <c r="R506"/>
      <c r="S506"/>
      <c r="T506"/>
    </row>
    <row r="507" spans="1:20" ht="14.5" customHeight="1" x14ac:dyDescent="0.35">
      <c r="A507">
        <v>200</v>
      </c>
      <c r="B507" t="s">
        <v>522</v>
      </c>
      <c r="C507">
        <v>23130.52</v>
      </c>
      <c r="D507">
        <v>23130.52</v>
      </c>
      <c r="E507">
        <v>-28335.14</v>
      </c>
      <c r="F507">
        <v>1</v>
      </c>
      <c r="G507">
        <v>-28335.14</v>
      </c>
      <c r="H507">
        <v>-28335.14</v>
      </c>
      <c r="I507">
        <v>1</v>
      </c>
      <c r="J507">
        <v>-28335.14</v>
      </c>
      <c r="K507">
        <v>-5155</v>
      </c>
      <c r="L507">
        <v>-5155</v>
      </c>
      <c r="M507">
        <v>51465.66</v>
      </c>
      <c r="N507">
        <v>51465.66</v>
      </c>
      <c r="O507">
        <v>28285.52</v>
      </c>
      <c r="P507">
        <v>28285.52</v>
      </c>
      <c r="Q507" t="s">
        <v>428</v>
      </c>
      <c r="R507"/>
      <c r="S507"/>
      <c r="T507"/>
    </row>
    <row r="508" spans="1:20" ht="14.5" customHeight="1" x14ac:dyDescent="0.35">
      <c r="A508">
        <v>210</v>
      </c>
      <c r="B508" t="s">
        <v>523</v>
      </c>
      <c r="C508">
        <v>25044.62</v>
      </c>
      <c r="D508">
        <v>25044.62</v>
      </c>
      <c r="E508">
        <v>-18738.48</v>
      </c>
      <c r="F508">
        <v>1</v>
      </c>
      <c r="G508">
        <v>-18738.48</v>
      </c>
      <c r="H508">
        <v>-18738.48</v>
      </c>
      <c r="I508">
        <v>1</v>
      </c>
      <c r="J508">
        <v>-18738.48</v>
      </c>
      <c r="K508">
        <v>-5539</v>
      </c>
      <c r="L508">
        <v>-5539</v>
      </c>
      <c r="M508">
        <v>43783.1</v>
      </c>
      <c r="N508">
        <v>43783.1</v>
      </c>
      <c r="O508">
        <v>30583.62</v>
      </c>
      <c r="P508">
        <v>30583.62</v>
      </c>
      <c r="Q508" t="s">
        <v>428</v>
      </c>
      <c r="R508"/>
      <c r="S508"/>
      <c r="T508"/>
    </row>
    <row r="509" spans="1:20" s="218" customFormat="1" x14ac:dyDescent="0.35">
      <c r="A509" t="s">
        <v>526</v>
      </c>
      <c r="B509" t="s">
        <v>416</v>
      </c>
      <c r="C509" t="s">
        <v>469</v>
      </c>
      <c r="D509" t="s">
        <v>470</v>
      </c>
      <c r="E509" t="s">
        <v>419</v>
      </c>
      <c r="F509" t="s">
        <v>471</v>
      </c>
      <c r="G509" t="s">
        <v>472</v>
      </c>
      <c r="H509" t="s">
        <v>473</v>
      </c>
      <c r="I509" t="s">
        <v>474</v>
      </c>
      <c r="J509" t="s">
        <v>475</v>
      </c>
      <c r="K509" t="s">
        <v>476</v>
      </c>
      <c r="L509" t="s">
        <v>477</v>
      </c>
      <c r="M509" t="s">
        <v>129</v>
      </c>
      <c r="N509" t="s">
        <v>131</v>
      </c>
      <c r="O509" t="s">
        <v>132</v>
      </c>
      <c r="P509" t="s">
        <v>133</v>
      </c>
      <c r="Q509" t="s">
        <v>121</v>
      </c>
      <c r="R509"/>
      <c r="S509"/>
      <c r="T509"/>
    </row>
    <row r="510" spans="1:20" ht="14.5" customHeight="1" x14ac:dyDescent="0.35">
      <c r="A510">
        <v>30</v>
      </c>
      <c r="B510" t="s">
        <v>504</v>
      </c>
      <c r="C510">
        <v>44332.89</v>
      </c>
      <c r="D510">
        <v>44332.89</v>
      </c>
      <c r="E510">
        <v>50492.11</v>
      </c>
      <c r="F510">
        <v>1</v>
      </c>
      <c r="G510">
        <v>50492.11</v>
      </c>
      <c r="H510">
        <v>50492.11</v>
      </c>
      <c r="I510">
        <v>1</v>
      </c>
      <c r="J510">
        <v>50492.11</v>
      </c>
      <c r="K510">
        <v>103875</v>
      </c>
      <c r="L510">
        <v>103875</v>
      </c>
      <c r="M510">
        <v>-6159.22</v>
      </c>
      <c r="N510">
        <v>-6159.22</v>
      </c>
      <c r="O510">
        <v>-59542.11</v>
      </c>
      <c r="P510">
        <v>-59542.11</v>
      </c>
      <c r="Q510" t="s">
        <v>428</v>
      </c>
      <c r="R510"/>
      <c r="S510"/>
      <c r="T510"/>
    </row>
    <row r="511" spans="1:20" ht="14.5" customHeight="1" x14ac:dyDescent="0.35">
      <c r="A511">
        <v>40</v>
      </c>
      <c r="B511" t="s">
        <v>505</v>
      </c>
      <c r="C511">
        <v>0</v>
      </c>
      <c r="D511">
        <v>0</v>
      </c>
      <c r="E511">
        <v>0</v>
      </c>
      <c r="F511">
        <v>1</v>
      </c>
      <c r="G511">
        <v>0</v>
      </c>
      <c r="H511">
        <v>0</v>
      </c>
      <c r="I511">
        <v>1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 t="s">
        <v>428</v>
      </c>
      <c r="R511"/>
      <c r="S511"/>
      <c r="T511"/>
    </row>
    <row r="512" spans="1:20" x14ac:dyDescent="0.35">
      <c r="A512">
        <v>50</v>
      </c>
      <c r="B512" t="s">
        <v>506</v>
      </c>
      <c r="C512">
        <v>44332.89</v>
      </c>
      <c r="D512">
        <v>44332.89</v>
      </c>
      <c r="E512">
        <v>50492.11</v>
      </c>
      <c r="F512">
        <v>1</v>
      </c>
      <c r="G512">
        <v>50492.11</v>
      </c>
      <c r="H512">
        <v>50492.11</v>
      </c>
      <c r="I512">
        <v>1</v>
      </c>
      <c r="J512">
        <v>50492.11</v>
      </c>
      <c r="K512">
        <v>103875</v>
      </c>
      <c r="L512">
        <v>103875</v>
      </c>
      <c r="M512">
        <v>-6159.22</v>
      </c>
      <c r="N512">
        <v>-6159.22</v>
      </c>
      <c r="O512">
        <v>-59542.11</v>
      </c>
      <c r="P512">
        <v>-59542.11</v>
      </c>
      <c r="Q512" t="s">
        <v>428</v>
      </c>
      <c r="R512"/>
      <c r="S512"/>
      <c r="T512"/>
    </row>
    <row r="513" spans="1:20" x14ac:dyDescent="0.35">
      <c r="A513">
        <v>60</v>
      </c>
      <c r="B513" t="s">
        <v>507</v>
      </c>
      <c r="C513">
        <v>0</v>
      </c>
      <c r="D513">
        <v>0</v>
      </c>
      <c r="E513">
        <v>0</v>
      </c>
      <c r="F513">
        <v>1</v>
      </c>
      <c r="G513">
        <v>0</v>
      </c>
      <c r="H513">
        <v>0</v>
      </c>
      <c r="I513">
        <v>1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 t="s">
        <v>428</v>
      </c>
      <c r="R513"/>
      <c r="S513"/>
      <c r="T513"/>
    </row>
    <row r="514" spans="1:20" x14ac:dyDescent="0.35">
      <c r="A514">
        <v>70</v>
      </c>
      <c r="B514" t="s">
        <v>509</v>
      </c>
      <c r="C514">
        <v>44332.89</v>
      </c>
      <c r="D514">
        <v>44332.89</v>
      </c>
      <c r="E514">
        <v>50492.11</v>
      </c>
      <c r="F514">
        <v>1</v>
      </c>
      <c r="G514">
        <v>50492.11</v>
      </c>
      <c r="H514">
        <v>50492.11</v>
      </c>
      <c r="I514">
        <v>1</v>
      </c>
      <c r="J514">
        <v>50492.11</v>
      </c>
      <c r="K514">
        <v>103875</v>
      </c>
      <c r="L514">
        <v>103875</v>
      </c>
      <c r="M514">
        <v>-6159.22</v>
      </c>
      <c r="N514">
        <v>-6159.22</v>
      </c>
      <c r="O514">
        <v>-59542.11</v>
      </c>
      <c r="P514">
        <v>-59542.11</v>
      </c>
      <c r="Q514" t="s">
        <v>428</v>
      </c>
      <c r="R514"/>
      <c r="S514"/>
      <c r="T514"/>
    </row>
    <row r="515" spans="1:20" ht="14.5" customHeight="1" x14ac:dyDescent="0.35">
      <c r="A515">
        <v>80</v>
      </c>
      <c r="B515" t="s">
        <v>510</v>
      </c>
      <c r="C515">
        <v>10710.3</v>
      </c>
      <c r="D515">
        <v>10710.3</v>
      </c>
      <c r="E515">
        <v>51009.11</v>
      </c>
      <c r="F515">
        <v>1</v>
      </c>
      <c r="G515">
        <v>51009.11</v>
      </c>
      <c r="H515">
        <v>51009.11</v>
      </c>
      <c r="I515">
        <v>1</v>
      </c>
      <c r="J515">
        <v>51009.11</v>
      </c>
      <c r="K515">
        <v>33200</v>
      </c>
      <c r="L515">
        <v>33200</v>
      </c>
      <c r="M515">
        <v>-40298.81</v>
      </c>
      <c r="N515">
        <v>-40298.81</v>
      </c>
      <c r="O515">
        <v>-22489.7</v>
      </c>
      <c r="P515">
        <v>-22489.7</v>
      </c>
      <c r="Q515" t="s">
        <v>428</v>
      </c>
      <c r="R515"/>
      <c r="S515"/>
      <c r="T515"/>
    </row>
    <row r="516" spans="1:20" ht="14.5" customHeight="1" x14ac:dyDescent="0.35">
      <c r="A516">
        <v>90</v>
      </c>
      <c r="B516" t="s">
        <v>511</v>
      </c>
      <c r="C516">
        <v>0</v>
      </c>
      <c r="D516">
        <v>0</v>
      </c>
      <c r="E516">
        <v>0</v>
      </c>
      <c r="F516">
        <v>1</v>
      </c>
      <c r="G516">
        <v>0</v>
      </c>
      <c r="H516">
        <v>0</v>
      </c>
      <c r="I516">
        <v>1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 t="s">
        <v>428</v>
      </c>
      <c r="R516"/>
      <c r="S516"/>
      <c r="T516"/>
    </row>
    <row r="517" spans="1:20" ht="14.5" customHeight="1" x14ac:dyDescent="0.35">
      <c r="A517">
        <v>100</v>
      </c>
      <c r="B517" t="s">
        <v>512</v>
      </c>
      <c r="C517">
        <v>21016</v>
      </c>
      <c r="D517">
        <v>21016</v>
      </c>
      <c r="E517">
        <v>11894.08</v>
      </c>
      <c r="F517">
        <v>1</v>
      </c>
      <c r="G517">
        <v>11894.08</v>
      </c>
      <c r="H517">
        <v>11894.08</v>
      </c>
      <c r="I517">
        <v>1</v>
      </c>
      <c r="J517">
        <v>11894.08</v>
      </c>
      <c r="K517">
        <v>13698</v>
      </c>
      <c r="L517">
        <v>13698</v>
      </c>
      <c r="M517">
        <v>9121.92</v>
      </c>
      <c r="N517">
        <v>9121.92</v>
      </c>
      <c r="O517">
        <v>7318</v>
      </c>
      <c r="P517">
        <v>7318</v>
      </c>
      <c r="Q517" t="s">
        <v>428</v>
      </c>
      <c r="R517"/>
      <c r="S517"/>
      <c r="T517"/>
    </row>
    <row r="518" spans="1:20" ht="14.5" customHeight="1" x14ac:dyDescent="0.35">
      <c r="A518">
        <v>110</v>
      </c>
      <c r="B518" t="s">
        <v>513</v>
      </c>
      <c r="C518">
        <v>31726.3</v>
      </c>
      <c r="D518">
        <v>31726.3</v>
      </c>
      <c r="E518">
        <v>62903.19</v>
      </c>
      <c r="F518">
        <v>1</v>
      </c>
      <c r="G518">
        <v>62903.19</v>
      </c>
      <c r="H518">
        <v>62903.19</v>
      </c>
      <c r="I518">
        <v>1</v>
      </c>
      <c r="J518">
        <v>62903.19</v>
      </c>
      <c r="K518">
        <v>46898</v>
      </c>
      <c r="L518">
        <v>46898</v>
      </c>
      <c r="M518">
        <v>-31176.89</v>
      </c>
      <c r="N518">
        <v>-31176.89</v>
      </c>
      <c r="O518">
        <v>-15171.7</v>
      </c>
      <c r="P518">
        <v>-15171.7</v>
      </c>
      <c r="Q518" t="s">
        <v>428</v>
      </c>
      <c r="R518"/>
      <c r="S518"/>
      <c r="T518"/>
    </row>
    <row r="519" spans="1:20" ht="14.5" customHeight="1" x14ac:dyDescent="0.35">
      <c r="A519">
        <v>120</v>
      </c>
      <c r="B519" t="s">
        <v>514</v>
      </c>
      <c r="C519">
        <v>12606.59</v>
      </c>
      <c r="D519">
        <v>12606.59</v>
      </c>
      <c r="E519">
        <v>-12411.08</v>
      </c>
      <c r="F519">
        <v>1</v>
      </c>
      <c r="G519">
        <v>-12411.08</v>
      </c>
      <c r="H519">
        <v>-12411.08</v>
      </c>
      <c r="I519">
        <v>1</v>
      </c>
      <c r="J519">
        <v>-12411.08</v>
      </c>
      <c r="K519">
        <v>56977</v>
      </c>
      <c r="L519">
        <v>56977</v>
      </c>
      <c r="M519">
        <v>25017.67</v>
      </c>
      <c r="N519">
        <v>25017.67</v>
      </c>
      <c r="O519">
        <v>-44370.41</v>
      </c>
      <c r="P519">
        <v>-44370.41</v>
      </c>
      <c r="Q519" t="s">
        <v>428</v>
      </c>
      <c r="R519"/>
      <c r="S519"/>
      <c r="T519"/>
    </row>
    <row r="520" spans="1:20" ht="14.5" customHeight="1" x14ac:dyDescent="0.35">
      <c r="A520">
        <v>130</v>
      </c>
      <c r="B520"/>
      <c r="C520">
        <v>0</v>
      </c>
      <c r="D520">
        <v>0</v>
      </c>
      <c r="E520">
        <v>0</v>
      </c>
      <c r="F520">
        <v>1</v>
      </c>
      <c r="G520">
        <v>0</v>
      </c>
      <c r="H520">
        <v>0</v>
      </c>
      <c r="I520">
        <v>1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 t="s">
        <v>428</v>
      </c>
      <c r="R520"/>
      <c r="S520"/>
      <c r="T520"/>
    </row>
    <row r="521" spans="1:20" ht="14.5" customHeight="1" x14ac:dyDescent="0.35">
      <c r="A521">
        <v>135</v>
      </c>
      <c r="B521" t="s">
        <v>515</v>
      </c>
      <c r="C521">
        <v>0</v>
      </c>
      <c r="D521">
        <v>0</v>
      </c>
      <c r="E521">
        <v>0</v>
      </c>
      <c r="F521">
        <v>1</v>
      </c>
      <c r="G521">
        <v>0</v>
      </c>
      <c r="H521">
        <v>0</v>
      </c>
      <c r="I521">
        <v>1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 t="s">
        <v>428</v>
      </c>
      <c r="R521"/>
      <c r="S521"/>
      <c r="T521"/>
    </row>
    <row r="522" spans="1:20" ht="14.5" customHeight="1" x14ac:dyDescent="0.35">
      <c r="A522">
        <v>140</v>
      </c>
      <c r="B522" t="s">
        <v>516</v>
      </c>
      <c r="C522">
        <v>5059.5600000000004</v>
      </c>
      <c r="D522">
        <v>5059.5600000000004</v>
      </c>
      <c r="E522">
        <v>21870.81</v>
      </c>
      <c r="F522">
        <v>1</v>
      </c>
      <c r="G522">
        <v>21870.81</v>
      </c>
      <c r="H522">
        <v>21870.81</v>
      </c>
      <c r="I522">
        <v>1</v>
      </c>
      <c r="J522">
        <v>21870.81</v>
      </c>
      <c r="K522">
        <v>8700</v>
      </c>
      <c r="L522">
        <v>8700</v>
      </c>
      <c r="M522">
        <v>-16811.25</v>
      </c>
      <c r="N522">
        <v>-16811.25</v>
      </c>
      <c r="O522">
        <v>-3640.44</v>
      </c>
      <c r="P522">
        <v>-3640.44</v>
      </c>
      <c r="Q522" t="s">
        <v>428</v>
      </c>
      <c r="R522"/>
      <c r="S522"/>
      <c r="T522"/>
    </row>
    <row r="523" spans="1:20" ht="14.5" customHeight="1" x14ac:dyDescent="0.35">
      <c r="A523">
        <v>150</v>
      </c>
      <c r="B523" t="s">
        <v>517</v>
      </c>
      <c r="C523">
        <v>0</v>
      </c>
      <c r="D523">
        <v>0</v>
      </c>
      <c r="E523">
        <v>0</v>
      </c>
      <c r="F523">
        <v>1</v>
      </c>
      <c r="G523">
        <v>0</v>
      </c>
      <c r="H523">
        <v>0</v>
      </c>
      <c r="I523">
        <v>1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 t="s">
        <v>428</v>
      </c>
      <c r="R523"/>
      <c r="S523"/>
      <c r="T523"/>
    </row>
    <row r="524" spans="1:20" ht="14.5" customHeight="1" x14ac:dyDescent="0.35">
      <c r="A524">
        <v>155</v>
      </c>
      <c r="B524"/>
      <c r="C524">
        <v>0</v>
      </c>
      <c r="D524">
        <v>0</v>
      </c>
      <c r="E524">
        <v>0</v>
      </c>
      <c r="F524">
        <v>1</v>
      </c>
      <c r="G524">
        <v>0</v>
      </c>
      <c r="H524">
        <v>0</v>
      </c>
      <c r="I524">
        <v>1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 t="s">
        <v>428</v>
      </c>
      <c r="R524"/>
      <c r="S524"/>
      <c r="T524"/>
    </row>
    <row r="525" spans="1:20" ht="14.5" customHeight="1" x14ac:dyDescent="0.35">
      <c r="A525">
        <v>160</v>
      </c>
      <c r="B525" t="s">
        <v>518</v>
      </c>
      <c r="C525">
        <v>5059.5600000000004</v>
      </c>
      <c r="D525">
        <v>5059.5600000000004</v>
      </c>
      <c r="E525">
        <v>21870.81</v>
      </c>
      <c r="F525">
        <v>1</v>
      </c>
      <c r="G525">
        <v>21870.81</v>
      </c>
      <c r="H525">
        <v>21870.81</v>
      </c>
      <c r="I525">
        <v>1</v>
      </c>
      <c r="J525">
        <v>21870.81</v>
      </c>
      <c r="K525">
        <v>8700</v>
      </c>
      <c r="L525">
        <v>8700</v>
      </c>
      <c r="M525">
        <v>-16811.25</v>
      </c>
      <c r="N525">
        <v>-16811.25</v>
      </c>
      <c r="O525">
        <v>-3640.44</v>
      </c>
      <c r="P525">
        <v>-3640.44</v>
      </c>
      <c r="Q525" t="s">
        <v>428</v>
      </c>
      <c r="R525"/>
      <c r="S525"/>
      <c r="T525"/>
    </row>
    <row r="526" spans="1:20" ht="14.5" customHeight="1" x14ac:dyDescent="0.35">
      <c r="A526">
        <v>170</v>
      </c>
      <c r="B526" t="s">
        <v>527</v>
      </c>
      <c r="C526">
        <v>7547.03</v>
      </c>
      <c r="D526">
        <v>7547.03</v>
      </c>
      <c r="E526">
        <v>-34281.89</v>
      </c>
      <c r="F526">
        <v>1</v>
      </c>
      <c r="G526">
        <v>-34281.89</v>
      </c>
      <c r="H526">
        <v>-34281.89</v>
      </c>
      <c r="I526">
        <v>1</v>
      </c>
      <c r="J526">
        <v>-34281.89</v>
      </c>
      <c r="K526">
        <v>48277</v>
      </c>
      <c r="L526">
        <v>48277</v>
      </c>
      <c r="M526">
        <v>41828.92</v>
      </c>
      <c r="N526">
        <v>41828.92</v>
      </c>
      <c r="O526">
        <v>-40729.97</v>
      </c>
      <c r="P526">
        <v>-40729.97</v>
      </c>
      <c r="Q526" t="s">
        <v>428</v>
      </c>
      <c r="R526"/>
      <c r="S526"/>
      <c r="T526"/>
    </row>
    <row r="527" spans="1:20" x14ac:dyDescent="0.35">
      <c r="A527">
        <v>180</v>
      </c>
      <c r="B527" t="s">
        <v>520</v>
      </c>
      <c r="C527">
        <v>0</v>
      </c>
      <c r="D527">
        <v>0</v>
      </c>
      <c r="E527">
        <v>0</v>
      </c>
      <c r="F527">
        <v>1</v>
      </c>
      <c r="G527">
        <v>0</v>
      </c>
      <c r="H527">
        <v>0</v>
      </c>
      <c r="I527">
        <v>1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 t="s">
        <v>428</v>
      </c>
      <c r="R527"/>
      <c r="S527"/>
      <c r="T527"/>
    </row>
    <row r="528" spans="1:20" x14ac:dyDescent="0.35">
      <c r="A528">
        <v>190</v>
      </c>
      <c r="B528" t="s">
        <v>521</v>
      </c>
      <c r="C528">
        <v>0</v>
      </c>
      <c r="D528">
        <v>0</v>
      </c>
      <c r="E528">
        <v>0</v>
      </c>
      <c r="F528">
        <v>1</v>
      </c>
      <c r="G528">
        <v>0</v>
      </c>
      <c r="H528">
        <v>0</v>
      </c>
      <c r="I528">
        <v>1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 t="s">
        <v>428</v>
      </c>
      <c r="R528"/>
      <c r="S528"/>
      <c r="T528"/>
    </row>
    <row r="529" spans="1:20" ht="14.5" customHeight="1" x14ac:dyDescent="0.35">
      <c r="A529">
        <v>200</v>
      </c>
      <c r="B529" t="s">
        <v>522</v>
      </c>
      <c r="C529">
        <v>7547.03</v>
      </c>
      <c r="D529">
        <v>7547.03</v>
      </c>
      <c r="E529">
        <v>-34281.89</v>
      </c>
      <c r="F529">
        <v>1</v>
      </c>
      <c r="G529">
        <v>-34281.89</v>
      </c>
      <c r="H529">
        <v>-34281.89</v>
      </c>
      <c r="I529">
        <v>1</v>
      </c>
      <c r="J529">
        <v>-34281.89</v>
      </c>
      <c r="K529">
        <v>48277</v>
      </c>
      <c r="L529">
        <v>48277</v>
      </c>
      <c r="M529">
        <v>41828.92</v>
      </c>
      <c r="N529">
        <v>41828.92</v>
      </c>
      <c r="O529">
        <v>-40729.97</v>
      </c>
      <c r="P529">
        <v>-40729.97</v>
      </c>
      <c r="Q529" t="s">
        <v>428</v>
      </c>
      <c r="R529"/>
      <c r="S529"/>
      <c r="T529"/>
    </row>
    <row r="530" spans="1:20" ht="14.5" customHeight="1" x14ac:dyDescent="0.35">
      <c r="A530">
        <v>210</v>
      </c>
      <c r="B530" t="s">
        <v>523</v>
      </c>
      <c r="C530">
        <v>33622.589999999997</v>
      </c>
      <c r="D530">
        <v>33622.589999999997</v>
      </c>
      <c r="E530">
        <v>-517</v>
      </c>
      <c r="F530">
        <v>1</v>
      </c>
      <c r="G530">
        <v>-517</v>
      </c>
      <c r="H530">
        <v>-517</v>
      </c>
      <c r="I530">
        <v>1</v>
      </c>
      <c r="J530">
        <v>-517</v>
      </c>
      <c r="K530">
        <v>70675</v>
      </c>
      <c r="L530">
        <v>70675</v>
      </c>
      <c r="M530">
        <v>34139.589999999997</v>
      </c>
      <c r="N530">
        <v>34139.589999999997</v>
      </c>
      <c r="O530">
        <v>-37052.410000000003</v>
      </c>
      <c r="P530">
        <v>-37052.410000000003</v>
      </c>
      <c r="Q530" t="s">
        <v>428</v>
      </c>
      <c r="R530"/>
      <c r="S530"/>
      <c r="T530"/>
    </row>
    <row r="531" spans="1:20" s="218" customFormat="1" x14ac:dyDescent="0.35">
      <c r="A531" t="s">
        <v>528</v>
      </c>
      <c r="B531" t="s">
        <v>416</v>
      </c>
      <c r="C531" t="s">
        <v>469</v>
      </c>
      <c r="D531" t="s">
        <v>470</v>
      </c>
      <c r="E531" t="s">
        <v>419</v>
      </c>
      <c r="F531" t="s">
        <v>471</v>
      </c>
      <c r="G531" t="s">
        <v>472</v>
      </c>
      <c r="H531" t="s">
        <v>473</v>
      </c>
      <c r="I531" t="s">
        <v>474</v>
      </c>
      <c r="J531" t="s">
        <v>475</v>
      </c>
      <c r="K531" t="s">
        <v>476</v>
      </c>
      <c r="L531" t="s">
        <v>477</v>
      </c>
      <c r="M531" t="s">
        <v>129</v>
      </c>
      <c r="N531" t="s">
        <v>131</v>
      </c>
      <c r="O531" t="s">
        <v>132</v>
      </c>
      <c r="P531" t="s">
        <v>133</v>
      </c>
      <c r="Q531" t="s">
        <v>121</v>
      </c>
      <c r="R531"/>
      <c r="S531"/>
      <c r="T531"/>
    </row>
    <row r="532" spans="1:20" ht="14.5" customHeight="1" x14ac:dyDescent="0.35">
      <c r="A532">
        <v>30</v>
      </c>
      <c r="B532" t="s">
        <v>504</v>
      </c>
      <c r="C532">
        <v>3743</v>
      </c>
      <c r="D532">
        <v>3743</v>
      </c>
      <c r="E532">
        <v>3755</v>
      </c>
      <c r="F532">
        <v>1</v>
      </c>
      <c r="G532">
        <v>3755</v>
      </c>
      <c r="H532">
        <v>3755</v>
      </c>
      <c r="I532">
        <v>1</v>
      </c>
      <c r="J532">
        <v>3755</v>
      </c>
      <c r="K532">
        <v>0</v>
      </c>
      <c r="L532">
        <v>0</v>
      </c>
      <c r="M532">
        <v>-12</v>
      </c>
      <c r="N532">
        <v>-12</v>
      </c>
      <c r="O532">
        <v>3743</v>
      </c>
      <c r="P532">
        <v>3743</v>
      </c>
      <c r="Q532" t="s">
        <v>428</v>
      </c>
      <c r="R532"/>
      <c r="S532"/>
      <c r="T532"/>
    </row>
    <row r="533" spans="1:20" ht="14.5" customHeight="1" x14ac:dyDescent="0.35">
      <c r="A533">
        <v>40</v>
      </c>
      <c r="B533" t="s">
        <v>505</v>
      </c>
      <c r="C533">
        <v>0</v>
      </c>
      <c r="D533">
        <v>0</v>
      </c>
      <c r="E533">
        <v>0</v>
      </c>
      <c r="F533">
        <v>1</v>
      </c>
      <c r="G533">
        <v>0</v>
      </c>
      <c r="H533">
        <v>0</v>
      </c>
      <c r="I533">
        <v>1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 t="s">
        <v>428</v>
      </c>
      <c r="R533"/>
      <c r="S533"/>
      <c r="T533"/>
    </row>
    <row r="534" spans="1:20" x14ac:dyDescent="0.35">
      <c r="A534">
        <v>50</v>
      </c>
      <c r="B534" t="s">
        <v>506</v>
      </c>
      <c r="C534">
        <v>3743</v>
      </c>
      <c r="D534">
        <v>3743</v>
      </c>
      <c r="E534">
        <v>3755</v>
      </c>
      <c r="F534">
        <v>1</v>
      </c>
      <c r="G534">
        <v>3755</v>
      </c>
      <c r="H534">
        <v>3755</v>
      </c>
      <c r="I534">
        <v>1</v>
      </c>
      <c r="J534">
        <v>3755</v>
      </c>
      <c r="K534">
        <v>0</v>
      </c>
      <c r="L534">
        <v>0</v>
      </c>
      <c r="M534">
        <v>-12</v>
      </c>
      <c r="N534">
        <v>-12</v>
      </c>
      <c r="O534">
        <v>3743</v>
      </c>
      <c r="P534">
        <v>3743</v>
      </c>
      <c r="Q534" t="s">
        <v>428</v>
      </c>
      <c r="R534"/>
      <c r="S534"/>
      <c r="T534"/>
    </row>
    <row r="535" spans="1:20" x14ac:dyDescent="0.35">
      <c r="A535">
        <v>60</v>
      </c>
      <c r="B535" t="s">
        <v>507</v>
      </c>
      <c r="C535">
        <v>0</v>
      </c>
      <c r="D535">
        <v>0</v>
      </c>
      <c r="E535">
        <v>0</v>
      </c>
      <c r="F535">
        <v>1</v>
      </c>
      <c r="G535">
        <v>0</v>
      </c>
      <c r="H535">
        <v>0</v>
      </c>
      <c r="I535">
        <v>1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 t="s">
        <v>428</v>
      </c>
      <c r="R535"/>
      <c r="S535"/>
      <c r="T535"/>
    </row>
    <row r="536" spans="1:20" x14ac:dyDescent="0.35">
      <c r="A536">
        <v>70</v>
      </c>
      <c r="B536" t="s">
        <v>509</v>
      </c>
      <c r="C536">
        <v>3743</v>
      </c>
      <c r="D536">
        <v>3743</v>
      </c>
      <c r="E536">
        <v>3755</v>
      </c>
      <c r="F536">
        <v>1</v>
      </c>
      <c r="G536">
        <v>3755</v>
      </c>
      <c r="H536">
        <v>3755</v>
      </c>
      <c r="I536">
        <v>1</v>
      </c>
      <c r="J536">
        <v>3755</v>
      </c>
      <c r="K536">
        <v>0</v>
      </c>
      <c r="L536">
        <v>0</v>
      </c>
      <c r="M536">
        <v>-12</v>
      </c>
      <c r="N536">
        <v>-12</v>
      </c>
      <c r="O536">
        <v>3743</v>
      </c>
      <c r="P536">
        <v>3743</v>
      </c>
      <c r="Q536" t="s">
        <v>428</v>
      </c>
      <c r="R536"/>
      <c r="S536"/>
      <c r="T536"/>
    </row>
    <row r="537" spans="1:20" ht="14.5" customHeight="1" x14ac:dyDescent="0.35">
      <c r="A537">
        <v>80</v>
      </c>
      <c r="B537" t="s">
        <v>510</v>
      </c>
      <c r="C537">
        <v>15.2</v>
      </c>
      <c r="D537">
        <v>15.2</v>
      </c>
      <c r="E537">
        <v>43.7</v>
      </c>
      <c r="F537">
        <v>1</v>
      </c>
      <c r="G537">
        <v>43.7</v>
      </c>
      <c r="H537">
        <v>43.7</v>
      </c>
      <c r="I537">
        <v>1</v>
      </c>
      <c r="J537">
        <v>43.7</v>
      </c>
      <c r="K537">
        <v>0</v>
      </c>
      <c r="L537">
        <v>0</v>
      </c>
      <c r="M537">
        <v>-28.5</v>
      </c>
      <c r="N537">
        <v>-28.5</v>
      </c>
      <c r="O537">
        <v>15.2</v>
      </c>
      <c r="P537">
        <v>15.2</v>
      </c>
      <c r="Q537" t="s">
        <v>428</v>
      </c>
      <c r="R537"/>
      <c r="S537"/>
      <c r="T537"/>
    </row>
    <row r="538" spans="1:20" ht="14.5" customHeight="1" x14ac:dyDescent="0.35">
      <c r="A538">
        <v>90</v>
      </c>
      <c r="B538" t="s">
        <v>511</v>
      </c>
      <c r="C538">
        <v>0</v>
      </c>
      <c r="D538">
        <v>0</v>
      </c>
      <c r="E538">
        <v>0</v>
      </c>
      <c r="F538">
        <v>1</v>
      </c>
      <c r="G538">
        <v>0</v>
      </c>
      <c r="H538">
        <v>0</v>
      </c>
      <c r="I538">
        <v>1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 t="s">
        <v>428</v>
      </c>
      <c r="R538"/>
      <c r="S538"/>
      <c r="T538"/>
    </row>
    <row r="539" spans="1:20" ht="14.5" customHeight="1" x14ac:dyDescent="0.35">
      <c r="A539">
        <v>100</v>
      </c>
      <c r="B539" t="s">
        <v>512</v>
      </c>
      <c r="C539">
        <v>3786.04</v>
      </c>
      <c r="D539">
        <v>3786.04</v>
      </c>
      <c r="E539">
        <v>3786.04</v>
      </c>
      <c r="F539">
        <v>1</v>
      </c>
      <c r="G539">
        <v>3786.04</v>
      </c>
      <c r="H539">
        <v>3786.04</v>
      </c>
      <c r="I539">
        <v>1</v>
      </c>
      <c r="J539">
        <v>3786.04</v>
      </c>
      <c r="K539">
        <v>0</v>
      </c>
      <c r="L539">
        <v>0</v>
      </c>
      <c r="M539">
        <v>0</v>
      </c>
      <c r="N539">
        <v>0</v>
      </c>
      <c r="O539">
        <v>3786.04</v>
      </c>
      <c r="P539">
        <v>3786.04</v>
      </c>
      <c r="Q539" t="s">
        <v>428</v>
      </c>
      <c r="R539"/>
      <c r="S539"/>
      <c r="T539"/>
    </row>
    <row r="540" spans="1:20" ht="14.5" customHeight="1" x14ac:dyDescent="0.35">
      <c r="A540">
        <v>110</v>
      </c>
      <c r="B540" t="s">
        <v>513</v>
      </c>
      <c r="C540">
        <v>3801.24</v>
      </c>
      <c r="D540">
        <v>3801.24</v>
      </c>
      <c r="E540">
        <v>3829.74</v>
      </c>
      <c r="F540">
        <v>1</v>
      </c>
      <c r="G540">
        <v>3829.74</v>
      </c>
      <c r="H540">
        <v>3829.74</v>
      </c>
      <c r="I540">
        <v>1</v>
      </c>
      <c r="J540">
        <v>3829.74</v>
      </c>
      <c r="K540">
        <v>0</v>
      </c>
      <c r="L540">
        <v>0</v>
      </c>
      <c r="M540">
        <v>-28.5</v>
      </c>
      <c r="N540">
        <v>-28.5</v>
      </c>
      <c r="O540">
        <v>3801.24</v>
      </c>
      <c r="P540">
        <v>3801.24</v>
      </c>
      <c r="Q540" t="s">
        <v>428</v>
      </c>
      <c r="R540"/>
      <c r="S540"/>
      <c r="T540"/>
    </row>
    <row r="541" spans="1:20" ht="14.5" customHeight="1" x14ac:dyDescent="0.35">
      <c r="A541">
        <v>120</v>
      </c>
      <c r="B541" t="s">
        <v>513</v>
      </c>
      <c r="C541">
        <v>-58.24</v>
      </c>
      <c r="D541">
        <v>-58.24</v>
      </c>
      <c r="E541">
        <v>-74.739999999999995</v>
      </c>
      <c r="F541">
        <v>1</v>
      </c>
      <c r="G541">
        <v>-74.739999999999995</v>
      </c>
      <c r="H541">
        <v>-74.739999999999995</v>
      </c>
      <c r="I541">
        <v>1</v>
      </c>
      <c r="J541">
        <v>-74.739999999999995</v>
      </c>
      <c r="K541">
        <v>0</v>
      </c>
      <c r="L541">
        <v>0</v>
      </c>
      <c r="M541">
        <v>16.5</v>
      </c>
      <c r="N541">
        <v>16.5</v>
      </c>
      <c r="O541">
        <v>-58.24</v>
      </c>
      <c r="P541">
        <v>-58.24</v>
      </c>
      <c r="Q541" t="s">
        <v>428</v>
      </c>
      <c r="R541"/>
      <c r="S541"/>
      <c r="T541"/>
    </row>
    <row r="542" spans="1:20" ht="14.5" customHeight="1" x14ac:dyDescent="0.35">
      <c r="A542">
        <v>130</v>
      </c>
      <c r="B542" t="s">
        <v>438</v>
      </c>
      <c r="C542">
        <v>0</v>
      </c>
      <c r="D542">
        <v>0</v>
      </c>
      <c r="E542">
        <v>0</v>
      </c>
      <c r="F542">
        <v>1</v>
      </c>
      <c r="G542">
        <v>0</v>
      </c>
      <c r="H542">
        <v>0</v>
      </c>
      <c r="I542">
        <v>1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 t="s">
        <v>428</v>
      </c>
      <c r="R542"/>
      <c r="S542"/>
      <c r="T542"/>
    </row>
    <row r="543" spans="1:20" ht="14.5" customHeight="1" x14ac:dyDescent="0.35">
      <c r="A543">
        <v>135</v>
      </c>
      <c r="B543" t="s">
        <v>515</v>
      </c>
      <c r="C543">
        <v>0</v>
      </c>
      <c r="D543">
        <v>0</v>
      </c>
      <c r="E543">
        <v>0</v>
      </c>
      <c r="F543">
        <v>1</v>
      </c>
      <c r="G543">
        <v>0</v>
      </c>
      <c r="H543">
        <v>0</v>
      </c>
      <c r="I543">
        <v>1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 t="s">
        <v>428</v>
      </c>
      <c r="R543"/>
      <c r="S543"/>
      <c r="T543"/>
    </row>
    <row r="544" spans="1:20" ht="14.5" customHeight="1" x14ac:dyDescent="0.35">
      <c r="A544">
        <v>140</v>
      </c>
      <c r="B544" t="s">
        <v>516</v>
      </c>
      <c r="C544">
        <v>0</v>
      </c>
      <c r="D544">
        <v>0</v>
      </c>
      <c r="E544">
        <v>1945.15</v>
      </c>
      <c r="F544">
        <v>1</v>
      </c>
      <c r="G544">
        <v>1945.15</v>
      </c>
      <c r="H544">
        <v>1945.15</v>
      </c>
      <c r="I544">
        <v>1</v>
      </c>
      <c r="J544">
        <v>1945.15</v>
      </c>
      <c r="K544">
        <v>0</v>
      </c>
      <c r="L544">
        <v>0</v>
      </c>
      <c r="M544">
        <v>-1945.15</v>
      </c>
      <c r="N544">
        <v>-1945.15</v>
      </c>
      <c r="O544">
        <v>0</v>
      </c>
      <c r="P544">
        <v>0</v>
      </c>
      <c r="Q544" t="s">
        <v>428</v>
      </c>
      <c r="R544"/>
      <c r="S544"/>
      <c r="T544"/>
    </row>
    <row r="545" spans="1:20" ht="14.5" customHeight="1" x14ac:dyDescent="0.35">
      <c r="A545">
        <v>150</v>
      </c>
      <c r="B545" t="s">
        <v>517</v>
      </c>
      <c r="C545">
        <v>0</v>
      </c>
      <c r="D545">
        <v>0</v>
      </c>
      <c r="E545">
        <v>0</v>
      </c>
      <c r="F545">
        <v>1</v>
      </c>
      <c r="G545">
        <v>0</v>
      </c>
      <c r="H545">
        <v>0</v>
      </c>
      <c r="I545">
        <v>1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 t="s">
        <v>428</v>
      </c>
      <c r="R545"/>
      <c r="S545"/>
      <c r="T545"/>
    </row>
    <row r="546" spans="1:20" ht="14.5" customHeight="1" x14ac:dyDescent="0.35">
      <c r="A546">
        <v>155</v>
      </c>
      <c r="B546" t="s">
        <v>442</v>
      </c>
      <c r="C546">
        <v>0</v>
      </c>
      <c r="D546">
        <v>0</v>
      </c>
      <c r="E546">
        <v>0</v>
      </c>
      <c r="F546">
        <v>1</v>
      </c>
      <c r="G546">
        <v>0</v>
      </c>
      <c r="H546">
        <v>0</v>
      </c>
      <c r="I546">
        <v>1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 t="s">
        <v>428</v>
      </c>
      <c r="R546"/>
      <c r="S546"/>
      <c r="T546"/>
    </row>
    <row r="547" spans="1:20" ht="14.5" customHeight="1" x14ac:dyDescent="0.35">
      <c r="A547">
        <v>160</v>
      </c>
      <c r="B547" t="s">
        <v>518</v>
      </c>
      <c r="C547">
        <v>0</v>
      </c>
      <c r="D547">
        <v>0</v>
      </c>
      <c r="E547">
        <v>1945.15</v>
      </c>
      <c r="F547">
        <v>1</v>
      </c>
      <c r="G547">
        <v>1945.15</v>
      </c>
      <c r="H547">
        <v>1945.15</v>
      </c>
      <c r="I547">
        <v>1</v>
      </c>
      <c r="J547">
        <v>1945.15</v>
      </c>
      <c r="K547">
        <v>0</v>
      </c>
      <c r="L547">
        <v>0</v>
      </c>
      <c r="M547">
        <v>-1945.15</v>
      </c>
      <c r="N547">
        <v>-1945.15</v>
      </c>
      <c r="O547">
        <v>0</v>
      </c>
      <c r="P547">
        <v>0</v>
      </c>
      <c r="Q547" t="s">
        <v>428</v>
      </c>
      <c r="R547"/>
      <c r="S547"/>
      <c r="T547"/>
    </row>
    <row r="548" spans="1:20" ht="14.5" customHeight="1" x14ac:dyDescent="0.35">
      <c r="A548">
        <v>170</v>
      </c>
      <c r="B548" t="s">
        <v>529</v>
      </c>
      <c r="C548">
        <v>-58.24</v>
      </c>
      <c r="D548">
        <v>-58.24</v>
      </c>
      <c r="E548">
        <v>-2019.89</v>
      </c>
      <c r="F548">
        <v>1</v>
      </c>
      <c r="G548">
        <v>-2019.89</v>
      </c>
      <c r="H548">
        <v>-2019.89</v>
      </c>
      <c r="I548">
        <v>1</v>
      </c>
      <c r="J548">
        <v>-2019.89</v>
      </c>
      <c r="K548">
        <v>0</v>
      </c>
      <c r="L548">
        <v>0</v>
      </c>
      <c r="M548">
        <v>1961.65</v>
      </c>
      <c r="N548">
        <v>1961.65</v>
      </c>
      <c r="O548">
        <v>-58.24</v>
      </c>
      <c r="P548">
        <v>-58.24</v>
      </c>
      <c r="Q548" t="s">
        <v>428</v>
      </c>
      <c r="R548"/>
      <c r="S548"/>
      <c r="T548"/>
    </row>
    <row r="549" spans="1:20" x14ac:dyDescent="0.35">
      <c r="A549">
        <v>180</v>
      </c>
      <c r="B549" t="s">
        <v>530</v>
      </c>
      <c r="C549">
        <v>0</v>
      </c>
      <c r="D549">
        <v>0</v>
      </c>
      <c r="E549">
        <v>0</v>
      </c>
      <c r="F549">
        <v>1</v>
      </c>
      <c r="G549">
        <v>0</v>
      </c>
      <c r="H549">
        <v>0</v>
      </c>
      <c r="I549">
        <v>1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 t="s">
        <v>428</v>
      </c>
      <c r="R549"/>
      <c r="S549"/>
      <c r="T549"/>
    </row>
    <row r="550" spans="1:20" x14ac:dyDescent="0.35">
      <c r="A550">
        <v>190</v>
      </c>
      <c r="B550" t="s">
        <v>520</v>
      </c>
      <c r="C550">
        <v>0</v>
      </c>
      <c r="D550">
        <v>0</v>
      </c>
      <c r="E550">
        <v>0</v>
      </c>
      <c r="F550">
        <v>1</v>
      </c>
      <c r="G550">
        <v>0</v>
      </c>
      <c r="H550">
        <v>0</v>
      </c>
      <c r="I550">
        <v>1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 t="s">
        <v>428</v>
      </c>
      <c r="R550"/>
      <c r="S550"/>
      <c r="T550"/>
    </row>
    <row r="551" spans="1:20" ht="14.5" customHeight="1" x14ac:dyDescent="0.35">
      <c r="A551">
        <v>200</v>
      </c>
      <c r="B551" t="s">
        <v>522</v>
      </c>
      <c r="C551">
        <v>-58.24</v>
      </c>
      <c r="D551">
        <v>-58.24</v>
      </c>
      <c r="E551">
        <v>-2019.89</v>
      </c>
      <c r="F551">
        <v>1</v>
      </c>
      <c r="G551">
        <v>-2019.89</v>
      </c>
      <c r="H551">
        <v>-2019.89</v>
      </c>
      <c r="I551">
        <v>1</v>
      </c>
      <c r="J551">
        <v>-2019.89</v>
      </c>
      <c r="K551">
        <v>0</v>
      </c>
      <c r="L551">
        <v>0</v>
      </c>
      <c r="M551">
        <v>1961.65</v>
      </c>
      <c r="N551">
        <v>1961.65</v>
      </c>
      <c r="O551">
        <v>-58.24</v>
      </c>
      <c r="P551">
        <v>-58.24</v>
      </c>
      <c r="Q551" t="s">
        <v>428</v>
      </c>
      <c r="R551"/>
      <c r="S551"/>
      <c r="T551"/>
    </row>
    <row r="552" spans="1:20" ht="14.5" customHeight="1" x14ac:dyDescent="0.35">
      <c r="A552">
        <v>210</v>
      </c>
      <c r="B552" t="s">
        <v>523</v>
      </c>
      <c r="C552">
        <v>3727.8</v>
      </c>
      <c r="D552">
        <v>3727.8</v>
      </c>
      <c r="E552">
        <v>3711.3</v>
      </c>
      <c r="F552">
        <v>1</v>
      </c>
      <c r="G552">
        <v>3711.3</v>
      </c>
      <c r="H552">
        <v>3711.3</v>
      </c>
      <c r="I552">
        <v>1</v>
      </c>
      <c r="J552">
        <v>3711.3</v>
      </c>
      <c r="K552">
        <v>0</v>
      </c>
      <c r="L552">
        <v>0</v>
      </c>
      <c r="M552">
        <v>16.5</v>
      </c>
      <c r="N552">
        <v>16.5</v>
      </c>
      <c r="O552">
        <v>3727.8</v>
      </c>
      <c r="P552">
        <v>3727.8</v>
      </c>
      <c r="Q552" t="s">
        <v>428</v>
      </c>
      <c r="R552"/>
      <c r="S552"/>
      <c r="T552"/>
    </row>
    <row r="553" spans="1:20" s="182" customFormat="1" x14ac:dyDescent="0.35">
      <c r="A553" t="s">
        <v>531</v>
      </c>
      <c r="B553" t="s">
        <v>416</v>
      </c>
      <c r="C553" t="s">
        <v>469</v>
      </c>
      <c r="D553" t="s">
        <v>470</v>
      </c>
      <c r="E553" t="s">
        <v>419</v>
      </c>
      <c r="F553" t="s">
        <v>471</v>
      </c>
      <c r="G553" t="s">
        <v>472</v>
      </c>
      <c r="H553" t="s">
        <v>473</v>
      </c>
      <c r="I553" t="s">
        <v>474</v>
      </c>
      <c r="J553" t="s">
        <v>475</v>
      </c>
      <c r="K553" t="s">
        <v>476</v>
      </c>
      <c r="L553" t="s">
        <v>477</v>
      </c>
      <c r="M553" t="s">
        <v>129</v>
      </c>
      <c r="N553" t="s">
        <v>131</v>
      </c>
      <c r="O553" t="s">
        <v>132</v>
      </c>
      <c r="P553" t="s">
        <v>133</v>
      </c>
      <c r="Q553" t="s">
        <v>121</v>
      </c>
      <c r="R553"/>
      <c r="S553"/>
      <c r="T553"/>
    </row>
    <row r="554" spans="1:20" ht="14.5" customHeight="1" x14ac:dyDescent="0.35">
      <c r="A554">
        <v>30</v>
      </c>
      <c r="B554" t="s">
        <v>504</v>
      </c>
      <c r="C554">
        <v>344771.95</v>
      </c>
      <c r="D554">
        <v>344771.95</v>
      </c>
      <c r="E554">
        <v>330845.63</v>
      </c>
      <c r="F554">
        <v>1</v>
      </c>
      <c r="G554">
        <v>330845.63</v>
      </c>
      <c r="H554">
        <v>330845.63</v>
      </c>
      <c r="I554">
        <v>1</v>
      </c>
      <c r="J554">
        <v>330845.63</v>
      </c>
      <c r="K554">
        <v>201855</v>
      </c>
      <c r="L554">
        <v>201855</v>
      </c>
      <c r="M554">
        <v>13926.32</v>
      </c>
      <c r="N554">
        <v>13926.32</v>
      </c>
      <c r="O554">
        <v>142916.95000000001</v>
      </c>
      <c r="P554">
        <v>142916.95000000001</v>
      </c>
      <c r="Q554" t="s">
        <v>428</v>
      </c>
      <c r="R554"/>
      <c r="S554"/>
      <c r="T554"/>
    </row>
    <row r="555" spans="1:20" ht="14.5" customHeight="1" x14ac:dyDescent="0.35">
      <c r="A555">
        <v>40</v>
      </c>
      <c r="B555" t="s">
        <v>505</v>
      </c>
      <c r="C555">
        <v>69818.11</v>
      </c>
      <c r="D555">
        <v>69818.11</v>
      </c>
      <c r="E555">
        <v>104979.64</v>
      </c>
      <c r="F555">
        <v>1</v>
      </c>
      <c r="G555">
        <v>104979.64</v>
      </c>
      <c r="H555">
        <v>104979.64</v>
      </c>
      <c r="I555">
        <v>1</v>
      </c>
      <c r="J555">
        <v>104979.64</v>
      </c>
      <c r="K555">
        <v>0</v>
      </c>
      <c r="L555">
        <v>0</v>
      </c>
      <c r="M555">
        <v>-35161.53</v>
      </c>
      <c r="N555">
        <v>-35161.53</v>
      </c>
      <c r="O555">
        <v>69818.11</v>
      </c>
      <c r="P555">
        <v>69818.11</v>
      </c>
      <c r="Q555" t="s">
        <v>428</v>
      </c>
      <c r="R555"/>
      <c r="S555"/>
      <c r="T555"/>
    </row>
    <row r="556" spans="1:20" x14ac:dyDescent="0.35">
      <c r="A556">
        <v>50</v>
      </c>
      <c r="B556" t="s">
        <v>506</v>
      </c>
      <c r="C556">
        <v>274953.84000000003</v>
      </c>
      <c r="D556">
        <v>274953.84000000003</v>
      </c>
      <c r="E556">
        <v>225865.99</v>
      </c>
      <c r="F556">
        <v>1</v>
      </c>
      <c r="G556">
        <v>225865.99</v>
      </c>
      <c r="H556">
        <v>225865.99</v>
      </c>
      <c r="I556">
        <v>1</v>
      </c>
      <c r="J556">
        <v>225865.99</v>
      </c>
      <c r="K556">
        <v>201855</v>
      </c>
      <c r="L556">
        <v>201855</v>
      </c>
      <c r="M556">
        <v>49087.85</v>
      </c>
      <c r="N556">
        <v>49087.85</v>
      </c>
      <c r="O556">
        <v>73098.84</v>
      </c>
      <c r="P556">
        <v>73098.84</v>
      </c>
      <c r="Q556" t="s">
        <v>428</v>
      </c>
      <c r="R556"/>
      <c r="S556"/>
      <c r="T556"/>
    </row>
    <row r="557" spans="1:20" x14ac:dyDescent="0.35">
      <c r="A557">
        <v>60</v>
      </c>
      <c r="B557" t="s">
        <v>507</v>
      </c>
      <c r="C557">
        <v>80626.460000000006</v>
      </c>
      <c r="D557">
        <v>80626.460000000006</v>
      </c>
      <c r="E557">
        <v>76717.22</v>
      </c>
      <c r="F557">
        <v>1</v>
      </c>
      <c r="G557">
        <v>76717.22</v>
      </c>
      <c r="H557">
        <v>76717.22</v>
      </c>
      <c r="I557">
        <v>1</v>
      </c>
      <c r="J557">
        <v>76717.22</v>
      </c>
      <c r="K557">
        <v>62777</v>
      </c>
      <c r="L557">
        <v>62777</v>
      </c>
      <c r="M557">
        <v>3909.24</v>
      </c>
      <c r="N557">
        <v>3909.24</v>
      </c>
      <c r="O557">
        <v>17849.46</v>
      </c>
      <c r="P557">
        <v>17849.46</v>
      </c>
      <c r="Q557" t="s">
        <v>428</v>
      </c>
      <c r="R557"/>
      <c r="S557"/>
      <c r="T557"/>
    </row>
    <row r="558" spans="1:20" x14ac:dyDescent="0.35">
      <c r="A558">
        <v>65</v>
      </c>
      <c r="B558" t="s">
        <v>508</v>
      </c>
      <c r="C558">
        <v>0</v>
      </c>
      <c r="D558">
        <v>0</v>
      </c>
      <c r="E558">
        <v>0</v>
      </c>
      <c r="F558">
        <v>1</v>
      </c>
      <c r="G558">
        <v>0</v>
      </c>
      <c r="H558">
        <v>0</v>
      </c>
      <c r="I558">
        <v>1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 t="s">
        <v>428</v>
      </c>
      <c r="R558"/>
      <c r="S558"/>
      <c r="T558"/>
    </row>
    <row r="559" spans="1:20" x14ac:dyDescent="0.35">
      <c r="A559">
        <v>70</v>
      </c>
      <c r="B559" t="s">
        <v>509</v>
      </c>
      <c r="C559">
        <v>194327.38</v>
      </c>
      <c r="D559">
        <v>194327.38</v>
      </c>
      <c r="E559">
        <v>149148.76999999999</v>
      </c>
      <c r="F559">
        <v>1</v>
      </c>
      <c r="G559">
        <v>149148.76999999999</v>
      </c>
      <c r="H559">
        <v>149148.76999999999</v>
      </c>
      <c r="I559">
        <v>1</v>
      </c>
      <c r="J559">
        <v>149148.76999999999</v>
      </c>
      <c r="K559">
        <v>139078</v>
      </c>
      <c r="L559">
        <v>139078</v>
      </c>
      <c r="M559">
        <v>45178.61</v>
      </c>
      <c r="N559">
        <v>45178.61</v>
      </c>
      <c r="O559">
        <v>55249.38</v>
      </c>
      <c r="P559">
        <v>55249.38</v>
      </c>
      <c r="Q559" t="s">
        <v>428</v>
      </c>
      <c r="R559"/>
      <c r="S559"/>
      <c r="T559"/>
    </row>
    <row r="560" spans="1:20" ht="14.5" customHeight="1" x14ac:dyDescent="0.35">
      <c r="A560">
        <v>80</v>
      </c>
      <c r="B560" t="s">
        <v>510</v>
      </c>
      <c r="C560">
        <v>150455.85</v>
      </c>
      <c r="D560">
        <v>150455.85</v>
      </c>
      <c r="E560">
        <v>154585.91</v>
      </c>
      <c r="F560">
        <v>1</v>
      </c>
      <c r="G560">
        <v>154585.91</v>
      </c>
      <c r="H560">
        <v>154585.91</v>
      </c>
      <c r="I560">
        <v>1</v>
      </c>
      <c r="J560">
        <v>154585.91</v>
      </c>
      <c r="K560">
        <v>132288</v>
      </c>
      <c r="L560">
        <v>132288</v>
      </c>
      <c r="M560">
        <v>-4130.0600000000004</v>
      </c>
      <c r="N560">
        <v>-4130.0600000000004</v>
      </c>
      <c r="O560">
        <v>18167.849999999999</v>
      </c>
      <c r="P560">
        <v>18167.849999999999</v>
      </c>
      <c r="Q560" t="s">
        <v>428</v>
      </c>
      <c r="R560"/>
      <c r="S560"/>
      <c r="T560"/>
    </row>
    <row r="561" spans="1:20" ht="14.5" customHeight="1" x14ac:dyDescent="0.35">
      <c r="A561">
        <v>90</v>
      </c>
      <c r="B561" t="s">
        <v>511</v>
      </c>
      <c r="C561">
        <v>6676.19</v>
      </c>
      <c r="D561">
        <v>6676.19</v>
      </c>
      <c r="E561">
        <v>12223.86</v>
      </c>
      <c r="F561">
        <v>1</v>
      </c>
      <c r="G561">
        <v>12223.86</v>
      </c>
      <c r="H561">
        <v>12223.86</v>
      </c>
      <c r="I561">
        <v>1</v>
      </c>
      <c r="J561">
        <v>12223.86</v>
      </c>
      <c r="K561">
        <v>10998</v>
      </c>
      <c r="L561">
        <v>10998</v>
      </c>
      <c r="M561">
        <v>-5547.67</v>
      </c>
      <c r="N561">
        <v>-5547.67</v>
      </c>
      <c r="O561">
        <v>-4321.8100000000004</v>
      </c>
      <c r="P561">
        <v>-4321.8100000000004</v>
      </c>
      <c r="Q561" t="s">
        <v>428</v>
      </c>
      <c r="R561"/>
      <c r="S561"/>
      <c r="T561"/>
    </row>
    <row r="562" spans="1:20" ht="14.5" customHeight="1" x14ac:dyDescent="0.35">
      <c r="A562">
        <v>100</v>
      </c>
      <c r="B562" t="s">
        <v>512</v>
      </c>
      <c r="C562">
        <v>6304.28</v>
      </c>
      <c r="D562">
        <v>6304.28</v>
      </c>
      <c r="E562">
        <v>4774.0600000000004</v>
      </c>
      <c r="F562">
        <v>1</v>
      </c>
      <c r="G562">
        <v>4774.0600000000004</v>
      </c>
      <c r="H562">
        <v>4774.0600000000004</v>
      </c>
      <c r="I562">
        <v>1</v>
      </c>
      <c r="J562">
        <v>4774.0600000000004</v>
      </c>
      <c r="K562">
        <v>2988</v>
      </c>
      <c r="L562">
        <v>2988</v>
      </c>
      <c r="M562">
        <v>1530.22</v>
      </c>
      <c r="N562">
        <v>1530.22</v>
      </c>
      <c r="O562">
        <v>3316.28</v>
      </c>
      <c r="P562">
        <v>3316.28</v>
      </c>
      <c r="Q562" t="s">
        <v>428</v>
      </c>
      <c r="R562"/>
      <c r="S562"/>
      <c r="T562"/>
    </row>
    <row r="563" spans="1:20" ht="14.5" customHeight="1" x14ac:dyDescent="0.35">
      <c r="A563">
        <v>110</v>
      </c>
      <c r="B563" t="s">
        <v>513</v>
      </c>
      <c r="C563">
        <v>163436.32</v>
      </c>
      <c r="D563">
        <v>163436.32</v>
      </c>
      <c r="E563">
        <v>171583.83</v>
      </c>
      <c r="F563">
        <v>1</v>
      </c>
      <c r="G563">
        <v>171583.83</v>
      </c>
      <c r="H563">
        <v>171583.83</v>
      </c>
      <c r="I563">
        <v>1</v>
      </c>
      <c r="J563">
        <v>171583.83</v>
      </c>
      <c r="K563">
        <v>146274</v>
      </c>
      <c r="L563">
        <v>146274</v>
      </c>
      <c r="M563">
        <v>-8147.51</v>
      </c>
      <c r="N563">
        <v>-8147.51</v>
      </c>
      <c r="O563">
        <v>17162.32</v>
      </c>
      <c r="P563">
        <v>17162.32</v>
      </c>
      <c r="Q563" t="s">
        <v>428</v>
      </c>
      <c r="R563"/>
      <c r="S563"/>
      <c r="T563"/>
    </row>
    <row r="564" spans="1:20" ht="14.5" customHeight="1" x14ac:dyDescent="0.35">
      <c r="A564">
        <v>120</v>
      </c>
      <c r="B564" t="s">
        <v>514</v>
      </c>
      <c r="C564">
        <v>30891.06</v>
      </c>
      <c r="D564">
        <v>30891.06</v>
      </c>
      <c r="E564">
        <v>-22435.06</v>
      </c>
      <c r="F564">
        <v>1</v>
      </c>
      <c r="G564">
        <v>-22435.06</v>
      </c>
      <c r="H564">
        <v>-22435.06</v>
      </c>
      <c r="I564">
        <v>1</v>
      </c>
      <c r="J564">
        <v>-22435.06</v>
      </c>
      <c r="K564">
        <v>-7196</v>
      </c>
      <c r="L564">
        <v>-7196</v>
      </c>
      <c r="M564">
        <v>53326.12</v>
      </c>
      <c r="N564">
        <v>53326.12</v>
      </c>
      <c r="O564">
        <v>38087.06</v>
      </c>
      <c r="P564">
        <v>38087.06</v>
      </c>
      <c r="Q564" t="s">
        <v>428</v>
      </c>
      <c r="R564"/>
      <c r="S564"/>
      <c r="T564"/>
    </row>
    <row r="565" spans="1:20" ht="14.5" customHeight="1" x14ac:dyDescent="0.35">
      <c r="A565">
        <v>130</v>
      </c>
      <c r="B565"/>
      <c r="C565">
        <v>0</v>
      </c>
      <c r="D565">
        <v>0</v>
      </c>
      <c r="E565">
        <v>0</v>
      </c>
      <c r="F565">
        <v>1</v>
      </c>
      <c r="G565">
        <v>0</v>
      </c>
      <c r="H565">
        <v>0</v>
      </c>
      <c r="I565">
        <v>1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 t="s">
        <v>428</v>
      </c>
      <c r="R565"/>
      <c r="S565"/>
      <c r="T565"/>
    </row>
    <row r="566" spans="1:20" ht="14.5" customHeight="1" x14ac:dyDescent="0.35">
      <c r="A566">
        <v>135</v>
      </c>
      <c r="B566" t="s">
        <v>515</v>
      </c>
      <c r="C566">
        <v>-2406.17</v>
      </c>
      <c r="D566">
        <v>-2406.17</v>
      </c>
      <c r="E566">
        <v>-772.78</v>
      </c>
      <c r="F566">
        <v>1</v>
      </c>
      <c r="G566">
        <v>-772.78</v>
      </c>
      <c r="H566">
        <v>-772.78</v>
      </c>
      <c r="I566">
        <v>1</v>
      </c>
      <c r="J566">
        <v>-772.78</v>
      </c>
      <c r="K566">
        <v>-1882</v>
      </c>
      <c r="L566">
        <v>-1882</v>
      </c>
      <c r="M566">
        <v>-1633.39</v>
      </c>
      <c r="N566">
        <v>-1633.39</v>
      </c>
      <c r="O566">
        <v>-524.16999999999996</v>
      </c>
      <c r="P566">
        <v>-524.16999999999996</v>
      </c>
      <c r="Q566" t="s">
        <v>428</v>
      </c>
      <c r="R566"/>
      <c r="S566"/>
      <c r="T566"/>
    </row>
    <row r="567" spans="1:20" ht="14.5" customHeight="1" x14ac:dyDescent="0.35">
      <c r="A567">
        <v>140</v>
      </c>
      <c r="B567" t="s">
        <v>516</v>
      </c>
      <c r="C567">
        <v>0</v>
      </c>
      <c r="D567">
        <v>0</v>
      </c>
      <c r="E567">
        <v>0</v>
      </c>
      <c r="F567">
        <v>1</v>
      </c>
      <c r="G567">
        <v>0</v>
      </c>
      <c r="H567">
        <v>0</v>
      </c>
      <c r="I567">
        <v>1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 t="s">
        <v>428</v>
      </c>
      <c r="R567"/>
      <c r="S567"/>
      <c r="T567"/>
    </row>
    <row r="568" spans="1:20" ht="14.5" customHeight="1" x14ac:dyDescent="0.35">
      <c r="A568">
        <v>150</v>
      </c>
      <c r="B568" t="s">
        <v>517</v>
      </c>
      <c r="C568">
        <v>0</v>
      </c>
      <c r="D568">
        <v>0</v>
      </c>
      <c r="E568">
        <v>0</v>
      </c>
      <c r="F568">
        <v>1</v>
      </c>
      <c r="G568">
        <v>0</v>
      </c>
      <c r="H568">
        <v>0</v>
      </c>
      <c r="I568">
        <v>1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 t="s">
        <v>428</v>
      </c>
      <c r="R568"/>
      <c r="S568"/>
      <c r="T568"/>
    </row>
    <row r="569" spans="1:20" ht="14.5" customHeight="1" x14ac:dyDescent="0.35">
      <c r="A569">
        <v>155</v>
      </c>
      <c r="B569"/>
      <c r="C569">
        <v>0</v>
      </c>
      <c r="D569">
        <v>0</v>
      </c>
      <c r="E569">
        <v>0</v>
      </c>
      <c r="F569">
        <v>1</v>
      </c>
      <c r="G569">
        <v>0</v>
      </c>
      <c r="H569">
        <v>0</v>
      </c>
      <c r="I569">
        <v>1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 t="s">
        <v>428</v>
      </c>
      <c r="R569"/>
      <c r="S569"/>
      <c r="T569"/>
    </row>
    <row r="570" spans="1:20" ht="14.5" customHeight="1" x14ac:dyDescent="0.35">
      <c r="A570">
        <v>160</v>
      </c>
      <c r="B570" t="s">
        <v>518</v>
      </c>
      <c r="C570">
        <v>-2406.17</v>
      </c>
      <c r="D570">
        <v>-2406.17</v>
      </c>
      <c r="E570">
        <v>-772.78</v>
      </c>
      <c r="F570">
        <v>1</v>
      </c>
      <c r="G570">
        <v>-772.78</v>
      </c>
      <c r="H570">
        <v>-772.78</v>
      </c>
      <c r="I570">
        <v>1</v>
      </c>
      <c r="J570">
        <v>-772.78</v>
      </c>
      <c r="K570">
        <v>-1882</v>
      </c>
      <c r="L570">
        <v>-1882</v>
      </c>
      <c r="M570">
        <v>-1633.39</v>
      </c>
      <c r="N570">
        <v>-1633.39</v>
      </c>
      <c r="O570">
        <v>-524.16999999999996</v>
      </c>
      <c r="P570">
        <v>-524.16999999999996</v>
      </c>
      <c r="Q570" t="s">
        <v>428</v>
      </c>
      <c r="R570"/>
      <c r="S570"/>
      <c r="T570"/>
    </row>
    <row r="571" spans="1:20" ht="14.5" customHeight="1" x14ac:dyDescent="0.35">
      <c r="A571">
        <v>170</v>
      </c>
      <c r="B571" t="s">
        <v>525</v>
      </c>
      <c r="C571">
        <v>33297.230000000003</v>
      </c>
      <c r="D571">
        <v>33297.230000000003</v>
      </c>
      <c r="E571">
        <v>-21662.28</v>
      </c>
      <c r="F571">
        <v>1</v>
      </c>
      <c r="G571">
        <v>-21662.28</v>
      </c>
      <c r="H571">
        <v>-21662.28</v>
      </c>
      <c r="I571">
        <v>1</v>
      </c>
      <c r="J571">
        <v>-21662.28</v>
      </c>
      <c r="K571">
        <v>-5314</v>
      </c>
      <c r="L571">
        <v>-5314</v>
      </c>
      <c r="M571">
        <v>54959.51</v>
      </c>
      <c r="N571">
        <v>54959.51</v>
      </c>
      <c r="O571">
        <v>38611.230000000003</v>
      </c>
      <c r="P571">
        <v>38611.230000000003</v>
      </c>
      <c r="Q571" t="s">
        <v>428</v>
      </c>
      <c r="R571"/>
      <c r="S571"/>
      <c r="T571"/>
    </row>
    <row r="572" spans="1:20" x14ac:dyDescent="0.35">
      <c r="A572">
        <v>180</v>
      </c>
      <c r="B572" t="s">
        <v>520</v>
      </c>
      <c r="C572">
        <v>0</v>
      </c>
      <c r="D572">
        <v>0</v>
      </c>
      <c r="E572">
        <v>0</v>
      </c>
      <c r="F572">
        <v>1</v>
      </c>
      <c r="G572">
        <v>0</v>
      </c>
      <c r="H572">
        <v>0</v>
      </c>
      <c r="I572">
        <v>1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 t="s">
        <v>428</v>
      </c>
      <c r="R572"/>
      <c r="S572"/>
      <c r="T572"/>
    </row>
    <row r="573" spans="1:20" x14ac:dyDescent="0.35">
      <c r="A573">
        <v>190</v>
      </c>
      <c r="B573" t="s">
        <v>521</v>
      </c>
      <c r="C573">
        <v>0</v>
      </c>
      <c r="D573">
        <v>0</v>
      </c>
      <c r="E573">
        <v>0</v>
      </c>
      <c r="F573">
        <v>1</v>
      </c>
      <c r="G573">
        <v>0</v>
      </c>
      <c r="H573">
        <v>0</v>
      </c>
      <c r="I573">
        <v>1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 t="s">
        <v>428</v>
      </c>
      <c r="R573"/>
      <c r="S573"/>
      <c r="T573"/>
    </row>
    <row r="574" spans="1:20" ht="14.5" customHeight="1" x14ac:dyDescent="0.35">
      <c r="A574">
        <v>200</v>
      </c>
      <c r="B574" t="s">
        <v>522</v>
      </c>
      <c r="C574">
        <v>33297.230000000003</v>
      </c>
      <c r="D574">
        <v>33297.230000000003</v>
      </c>
      <c r="E574">
        <v>-21662.28</v>
      </c>
      <c r="F574">
        <v>1</v>
      </c>
      <c r="G574">
        <v>-21662.28</v>
      </c>
      <c r="H574">
        <v>-21662.28</v>
      </c>
      <c r="I574">
        <v>1</v>
      </c>
      <c r="J574">
        <v>-21662.28</v>
      </c>
      <c r="K574">
        <v>-5314</v>
      </c>
      <c r="L574">
        <v>-5314</v>
      </c>
      <c r="M574">
        <v>54959.51</v>
      </c>
      <c r="N574">
        <v>54959.51</v>
      </c>
      <c r="O574">
        <v>38611.230000000003</v>
      </c>
      <c r="P574">
        <v>38611.230000000003</v>
      </c>
      <c r="Q574" t="s">
        <v>428</v>
      </c>
      <c r="R574"/>
      <c r="S574"/>
      <c r="T574"/>
    </row>
    <row r="575" spans="1:20" ht="14.5" customHeight="1" x14ac:dyDescent="0.35">
      <c r="A575">
        <v>210</v>
      </c>
      <c r="B575" t="s">
        <v>523</v>
      </c>
      <c r="C575">
        <v>37195.339999999997</v>
      </c>
      <c r="D575">
        <v>37195.339999999997</v>
      </c>
      <c r="E575">
        <v>-17661</v>
      </c>
      <c r="F575">
        <v>1</v>
      </c>
      <c r="G575">
        <v>-17661</v>
      </c>
      <c r="H575">
        <v>-17661</v>
      </c>
      <c r="I575">
        <v>1</v>
      </c>
      <c r="J575">
        <v>-17661</v>
      </c>
      <c r="K575">
        <v>-4208</v>
      </c>
      <c r="L575">
        <v>-4208</v>
      </c>
      <c r="M575">
        <v>54856.34</v>
      </c>
      <c r="N575">
        <v>54856.34</v>
      </c>
      <c r="O575">
        <v>41403.339999999997</v>
      </c>
      <c r="P575">
        <v>41403.339999999997</v>
      </c>
      <c r="Q575" t="s">
        <v>428</v>
      </c>
      <c r="R575"/>
      <c r="S575"/>
      <c r="T575"/>
    </row>
    <row r="576" spans="1:20" s="218" customFormat="1" x14ac:dyDescent="0.35">
      <c r="A576" t="s">
        <v>532</v>
      </c>
      <c r="B576" t="s">
        <v>416</v>
      </c>
      <c r="C576" t="s">
        <v>469</v>
      </c>
      <c r="D576" t="s">
        <v>470</v>
      </c>
      <c r="E576" t="s">
        <v>419</v>
      </c>
      <c r="F576" t="s">
        <v>471</v>
      </c>
      <c r="G576" t="s">
        <v>472</v>
      </c>
      <c r="H576" t="s">
        <v>473</v>
      </c>
      <c r="I576" t="s">
        <v>474</v>
      </c>
      <c r="J576" t="s">
        <v>475</v>
      </c>
      <c r="K576" t="s">
        <v>476</v>
      </c>
      <c r="L576" t="s">
        <v>477</v>
      </c>
      <c r="M576" t="s">
        <v>129</v>
      </c>
      <c r="N576" t="s">
        <v>131</v>
      </c>
      <c r="O576" t="s">
        <v>132</v>
      </c>
      <c r="P576" t="s">
        <v>133</v>
      </c>
      <c r="Q576" t="s">
        <v>121</v>
      </c>
      <c r="R576"/>
      <c r="S576"/>
      <c r="T576"/>
    </row>
    <row r="577" spans="1:20" ht="14.5" customHeight="1" x14ac:dyDescent="0.35">
      <c r="A577">
        <v>30</v>
      </c>
      <c r="B577" t="s">
        <v>504</v>
      </c>
      <c r="C577">
        <v>29854.59</v>
      </c>
      <c r="D577">
        <v>29854.59</v>
      </c>
      <c r="E577">
        <v>42121.15</v>
      </c>
      <c r="F577">
        <v>1</v>
      </c>
      <c r="G577">
        <v>42121.15</v>
      </c>
      <c r="H577">
        <v>42121.15</v>
      </c>
      <c r="I577">
        <v>1</v>
      </c>
      <c r="J577">
        <v>42121.15</v>
      </c>
      <c r="K577">
        <v>0</v>
      </c>
      <c r="L577">
        <v>0</v>
      </c>
      <c r="M577">
        <v>-12266.56</v>
      </c>
      <c r="N577">
        <v>-12266.56</v>
      </c>
      <c r="O577">
        <v>29854.59</v>
      </c>
      <c r="P577">
        <v>29854.59</v>
      </c>
      <c r="Q577" t="s">
        <v>428</v>
      </c>
      <c r="R577"/>
      <c r="S577"/>
      <c r="T577"/>
    </row>
    <row r="578" spans="1:20" ht="14.5" customHeight="1" x14ac:dyDescent="0.35">
      <c r="A578">
        <v>40</v>
      </c>
      <c r="B578" t="s">
        <v>505</v>
      </c>
      <c r="C578">
        <v>0</v>
      </c>
      <c r="D578">
        <v>0</v>
      </c>
      <c r="E578">
        <v>0</v>
      </c>
      <c r="F578">
        <v>1</v>
      </c>
      <c r="G578">
        <v>0</v>
      </c>
      <c r="H578">
        <v>0</v>
      </c>
      <c r="I578">
        <v>1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 t="s">
        <v>428</v>
      </c>
      <c r="R578"/>
      <c r="S578"/>
      <c r="T578"/>
    </row>
    <row r="579" spans="1:20" x14ac:dyDescent="0.35">
      <c r="A579">
        <v>50</v>
      </c>
      <c r="B579" t="s">
        <v>506</v>
      </c>
      <c r="C579">
        <v>29854.59</v>
      </c>
      <c r="D579">
        <v>29854.59</v>
      </c>
      <c r="E579">
        <v>42121.15</v>
      </c>
      <c r="F579">
        <v>1</v>
      </c>
      <c r="G579">
        <v>42121.15</v>
      </c>
      <c r="H579">
        <v>42121.15</v>
      </c>
      <c r="I579">
        <v>1</v>
      </c>
      <c r="J579">
        <v>42121.15</v>
      </c>
      <c r="K579">
        <v>0</v>
      </c>
      <c r="L579">
        <v>0</v>
      </c>
      <c r="M579">
        <v>-12266.56</v>
      </c>
      <c r="N579">
        <v>-12266.56</v>
      </c>
      <c r="O579">
        <v>29854.59</v>
      </c>
      <c r="P579">
        <v>29854.59</v>
      </c>
      <c r="Q579" t="s">
        <v>428</v>
      </c>
      <c r="R579"/>
      <c r="S579"/>
      <c r="T579"/>
    </row>
    <row r="580" spans="1:20" x14ac:dyDescent="0.35">
      <c r="A580">
        <v>60</v>
      </c>
      <c r="B580" t="s">
        <v>507</v>
      </c>
      <c r="C580">
        <v>0</v>
      </c>
      <c r="D580">
        <v>0</v>
      </c>
      <c r="E580">
        <v>0</v>
      </c>
      <c r="F580">
        <v>1</v>
      </c>
      <c r="G580">
        <v>0</v>
      </c>
      <c r="H580">
        <v>0</v>
      </c>
      <c r="I580">
        <v>1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 t="s">
        <v>428</v>
      </c>
      <c r="R580"/>
      <c r="S580"/>
      <c r="T580"/>
    </row>
    <row r="581" spans="1:20" x14ac:dyDescent="0.35">
      <c r="A581">
        <v>70</v>
      </c>
      <c r="B581" t="s">
        <v>509</v>
      </c>
      <c r="C581">
        <v>29854.59</v>
      </c>
      <c r="D581">
        <v>29854.59</v>
      </c>
      <c r="E581">
        <v>42121.15</v>
      </c>
      <c r="F581">
        <v>1</v>
      </c>
      <c r="G581">
        <v>42121.15</v>
      </c>
      <c r="H581">
        <v>42121.15</v>
      </c>
      <c r="I581">
        <v>1</v>
      </c>
      <c r="J581">
        <v>42121.15</v>
      </c>
      <c r="K581">
        <v>0</v>
      </c>
      <c r="L581">
        <v>0</v>
      </c>
      <c r="M581">
        <v>-12266.56</v>
      </c>
      <c r="N581">
        <v>-12266.56</v>
      </c>
      <c r="O581">
        <v>29854.59</v>
      </c>
      <c r="P581">
        <v>29854.59</v>
      </c>
      <c r="Q581" t="s">
        <v>428</v>
      </c>
      <c r="R581"/>
      <c r="S581"/>
      <c r="T581"/>
    </row>
    <row r="582" spans="1:20" ht="14.5" customHeight="1" x14ac:dyDescent="0.35">
      <c r="A582">
        <v>80</v>
      </c>
      <c r="B582" t="s">
        <v>510</v>
      </c>
      <c r="C582">
        <v>9370.68</v>
      </c>
      <c r="D582">
        <v>9370.68</v>
      </c>
      <c r="E582">
        <v>9301.08</v>
      </c>
      <c r="F582">
        <v>1</v>
      </c>
      <c r="G582">
        <v>9301.08</v>
      </c>
      <c r="H582">
        <v>9301.08</v>
      </c>
      <c r="I582">
        <v>1</v>
      </c>
      <c r="J582">
        <v>9301.08</v>
      </c>
      <c r="K582">
        <v>0</v>
      </c>
      <c r="L582">
        <v>0</v>
      </c>
      <c r="M582">
        <v>69.599999999999994</v>
      </c>
      <c r="N582">
        <v>69.599999999999994</v>
      </c>
      <c r="O582">
        <v>9370.68</v>
      </c>
      <c r="P582">
        <v>9370.68</v>
      </c>
      <c r="Q582" t="s">
        <v>428</v>
      </c>
      <c r="R582"/>
      <c r="S582"/>
      <c r="T582"/>
    </row>
    <row r="583" spans="1:20" ht="14.5" customHeight="1" x14ac:dyDescent="0.35">
      <c r="A583">
        <v>90</v>
      </c>
      <c r="B583" t="s">
        <v>511</v>
      </c>
      <c r="C583">
        <v>0</v>
      </c>
      <c r="D583">
        <v>0</v>
      </c>
      <c r="E583">
        <v>0</v>
      </c>
      <c r="F583">
        <v>1</v>
      </c>
      <c r="G583">
        <v>0</v>
      </c>
      <c r="H583">
        <v>0</v>
      </c>
      <c r="I583">
        <v>1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 t="s">
        <v>428</v>
      </c>
      <c r="R583"/>
      <c r="S583"/>
      <c r="T583"/>
    </row>
    <row r="584" spans="1:20" ht="14.5" customHeight="1" x14ac:dyDescent="0.35">
      <c r="A584">
        <v>100</v>
      </c>
      <c r="B584" t="s">
        <v>512</v>
      </c>
      <c r="C584">
        <v>2513.17</v>
      </c>
      <c r="D584">
        <v>2513.17</v>
      </c>
      <c r="E584">
        <v>2513.17</v>
      </c>
      <c r="F584">
        <v>1</v>
      </c>
      <c r="G584">
        <v>2513.17</v>
      </c>
      <c r="H584">
        <v>2513.17</v>
      </c>
      <c r="I584">
        <v>1</v>
      </c>
      <c r="J584">
        <v>2513.17</v>
      </c>
      <c r="K584">
        <v>0</v>
      </c>
      <c r="L584">
        <v>0</v>
      </c>
      <c r="M584">
        <v>0</v>
      </c>
      <c r="N584">
        <v>0</v>
      </c>
      <c r="O584">
        <v>2513.17</v>
      </c>
      <c r="P584">
        <v>2513.17</v>
      </c>
      <c r="Q584" t="s">
        <v>428</v>
      </c>
      <c r="R584"/>
      <c r="S584"/>
      <c r="T584"/>
    </row>
    <row r="585" spans="1:20" ht="14.5" customHeight="1" x14ac:dyDescent="0.35">
      <c r="A585">
        <v>110</v>
      </c>
      <c r="B585" t="s">
        <v>513</v>
      </c>
      <c r="C585">
        <v>11883.85</v>
      </c>
      <c r="D585">
        <v>11883.85</v>
      </c>
      <c r="E585">
        <v>11814.25</v>
      </c>
      <c r="F585">
        <v>1</v>
      </c>
      <c r="G585">
        <v>11814.25</v>
      </c>
      <c r="H585">
        <v>11814.25</v>
      </c>
      <c r="I585">
        <v>1</v>
      </c>
      <c r="J585">
        <v>11814.25</v>
      </c>
      <c r="K585">
        <v>0</v>
      </c>
      <c r="L585">
        <v>0</v>
      </c>
      <c r="M585">
        <v>69.599999999999994</v>
      </c>
      <c r="N585">
        <v>69.599999999999994</v>
      </c>
      <c r="O585">
        <v>11883.85</v>
      </c>
      <c r="P585">
        <v>11883.85</v>
      </c>
      <c r="Q585" t="s">
        <v>428</v>
      </c>
      <c r="R585"/>
      <c r="S585"/>
      <c r="T585"/>
    </row>
    <row r="586" spans="1:20" ht="14.5" customHeight="1" x14ac:dyDescent="0.35">
      <c r="A586">
        <v>120</v>
      </c>
      <c r="B586" t="s">
        <v>514</v>
      </c>
      <c r="C586">
        <v>17970.740000000002</v>
      </c>
      <c r="D586">
        <v>17970.740000000002</v>
      </c>
      <c r="E586">
        <v>30306.9</v>
      </c>
      <c r="F586">
        <v>1</v>
      </c>
      <c r="G586">
        <v>30306.9</v>
      </c>
      <c r="H586">
        <v>30306.9</v>
      </c>
      <c r="I586">
        <v>1</v>
      </c>
      <c r="J586">
        <v>30306.9</v>
      </c>
      <c r="K586">
        <v>0</v>
      </c>
      <c r="L586">
        <v>0</v>
      </c>
      <c r="M586">
        <v>-12336.16</v>
      </c>
      <c r="N586">
        <v>-12336.16</v>
      </c>
      <c r="O586">
        <v>17970.740000000002</v>
      </c>
      <c r="P586">
        <v>17970.740000000002</v>
      </c>
      <c r="Q586" t="s">
        <v>428</v>
      </c>
      <c r="R586"/>
      <c r="S586"/>
      <c r="T586"/>
    </row>
    <row r="587" spans="1:20" ht="14.5" customHeight="1" x14ac:dyDescent="0.35">
      <c r="A587">
        <v>130</v>
      </c>
      <c r="B587" t="s">
        <v>438</v>
      </c>
      <c r="C587">
        <v>0</v>
      </c>
      <c r="D587">
        <v>0</v>
      </c>
      <c r="E587">
        <v>0</v>
      </c>
      <c r="F587">
        <v>1</v>
      </c>
      <c r="G587">
        <v>0</v>
      </c>
      <c r="H587">
        <v>0</v>
      </c>
      <c r="I587">
        <v>1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 t="s">
        <v>428</v>
      </c>
      <c r="R587"/>
      <c r="S587"/>
      <c r="T587"/>
    </row>
    <row r="588" spans="1:20" ht="14.5" customHeight="1" x14ac:dyDescent="0.35">
      <c r="A588">
        <v>135</v>
      </c>
      <c r="B588" t="s">
        <v>515</v>
      </c>
      <c r="C588">
        <v>0</v>
      </c>
      <c r="D588">
        <v>0</v>
      </c>
      <c r="E588">
        <v>0</v>
      </c>
      <c r="F588">
        <v>1</v>
      </c>
      <c r="G588">
        <v>0</v>
      </c>
      <c r="H588">
        <v>0</v>
      </c>
      <c r="I588">
        <v>1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 t="s">
        <v>428</v>
      </c>
      <c r="R588"/>
      <c r="S588"/>
      <c r="T588"/>
    </row>
    <row r="589" spans="1:20" ht="14.5" customHeight="1" x14ac:dyDescent="0.35">
      <c r="A589">
        <v>140</v>
      </c>
      <c r="B589" t="s">
        <v>516</v>
      </c>
      <c r="C589">
        <v>2537.37</v>
      </c>
      <c r="D589">
        <v>2537.37</v>
      </c>
      <c r="E589">
        <v>3521.16</v>
      </c>
      <c r="F589">
        <v>1</v>
      </c>
      <c r="G589">
        <v>3521.16</v>
      </c>
      <c r="H589">
        <v>3521.16</v>
      </c>
      <c r="I589">
        <v>1</v>
      </c>
      <c r="J589">
        <v>3521.16</v>
      </c>
      <c r="K589">
        <v>0</v>
      </c>
      <c r="L589">
        <v>0</v>
      </c>
      <c r="M589">
        <v>-983.79</v>
      </c>
      <c r="N589">
        <v>-983.79</v>
      </c>
      <c r="O589">
        <v>2537.37</v>
      </c>
      <c r="P589">
        <v>2537.37</v>
      </c>
      <c r="Q589" t="s">
        <v>428</v>
      </c>
      <c r="R589"/>
      <c r="S589"/>
      <c r="T589"/>
    </row>
    <row r="590" spans="1:20" ht="14.5" customHeight="1" x14ac:dyDescent="0.35">
      <c r="A590">
        <v>150</v>
      </c>
      <c r="B590" t="s">
        <v>517</v>
      </c>
      <c r="C590">
        <v>0</v>
      </c>
      <c r="D590">
        <v>0</v>
      </c>
      <c r="E590">
        <v>0</v>
      </c>
      <c r="F590">
        <v>1</v>
      </c>
      <c r="G590">
        <v>0</v>
      </c>
      <c r="H590">
        <v>0</v>
      </c>
      <c r="I590">
        <v>1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 t="s">
        <v>428</v>
      </c>
      <c r="R590"/>
      <c r="S590"/>
      <c r="T590"/>
    </row>
    <row r="591" spans="1:20" ht="14.5" customHeight="1" x14ac:dyDescent="0.35">
      <c r="A591">
        <v>155</v>
      </c>
      <c r="B591" t="s">
        <v>442</v>
      </c>
      <c r="C591">
        <v>0</v>
      </c>
      <c r="D591">
        <v>0</v>
      </c>
      <c r="E591">
        <v>0</v>
      </c>
      <c r="F591">
        <v>1</v>
      </c>
      <c r="G591">
        <v>0</v>
      </c>
      <c r="H591">
        <v>0</v>
      </c>
      <c r="I591">
        <v>1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 t="s">
        <v>428</v>
      </c>
      <c r="R591"/>
      <c r="S591"/>
      <c r="T591"/>
    </row>
    <row r="592" spans="1:20" ht="14.5" customHeight="1" x14ac:dyDescent="0.35">
      <c r="A592">
        <v>160</v>
      </c>
      <c r="B592" t="s">
        <v>518</v>
      </c>
      <c r="C592">
        <v>2537.37</v>
      </c>
      <c r="D592">
        <v>2537.37</v>
      </c>
      <c r="E592">
        <v>3521.16</v>
      </c>
      <c r="F592">
        <v>1</v>
      </c>
      <c r="G592">
        <v>3521.16</v>
      </c>
      <c r="H592">
        <v>3521.16</v>
      </c>
      <c r="I592">
        <v>1</v>
      </c>
      <c r="J592">
        <v>3521.16</v>
      </c>
      <c r="K592">
        <v>0</v>
      </c>
      <c r="L592">
        <v>0</v>
      </c>
      <c r="M592">
        <v>-983.79</v>
      </c>
      <c r="N592">
        <v>-983.79</v>
      </c>
      <c r="O592">
        <v>2537.37</v>
      </c>
      <c r="P592">
        <v>2537.37</v>
      </c>
      <c r="Q592" t="s">
        <v>428</v>
      </c>
      <c r="R592"/>
      <c r="S592"/>
      <c r="T592"/>
    </row>
    <row r="593" spans="1:20" ht="14.5" customHeight="1" x14ac:dyDescent="0.35">
      <c r="A593">
        <v>170</v>
      </c>
      <c r="B593" t="s">
        <v>529</v>
      </c>
      <c r="C593">
        <v>15433.37</v>
      </c>
      <c r="D593">
        <v>15433.37</v>
      </c>
      <c r="E593">
        <v>26785.74</v>
      </c>
      <c r="F593">
        <v>1</v>
      </c>
      <c r="G593">
        <v>26785.74</v>
      </c>
      <c r="H593">
        <v>26785.74</v>
      </c>
      <c r="I593">
        <v>1</v>
      </c>
      <c r="J593">
        <v>26785.74</v>
      </c>
      <c r="K593">
        <v>0</v>
      </c>
      <c r="L593">
        <v>0</v>
      </c>
      <c r="M593">
        <v>-11352.37</v>
      </c>
      <c r="N593">
        <v>-11352.37</v>
      </c>
      <c r="O593">
        <v>15433.37</v>
      </c>
      <c r="P593">
        <v>15433.37</v>
      </c>
      <c r="Q593" t="s">
        <v>428</v>
      </c>
      <c r="R593"/>
      <c r="S593"/>
      <c r="T593"/>
    </row>
    <row r="594" spans="1:20" x14ac:dyDescent="0.35">
      <c r="A594">
        <v>180</v>
      </c>
      <c r="B594" t="s">
        <v>530</v>
      </c>
      <c r="C594">
        <v>0</v>
      </c>
      <c r="D594">
        <v>0</v>
      </c>
      <c r="E594">
        <v>0</v>
      </c>
      <c r="F594">
        <v>1</v>
      </c>
      <c r="G594">
        <v>0</v>
      </c>
      <c r="H594">
        <v>0</v>
      </c>
      <c r="I594">
        <v>1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 t="s">
        <v>428</v>
      </c>
      <c r="R594"/>
      <c r="S594"/>
      <c r="T594"/>
    </row>
    <row r="595" spans="1:20" x14ac:dyDescent="0.35">
      <c r="A595">
        <v>190</v>
      </c>
      <c r="B595" t="s">
        <v>520</v>
      </c>
      <c r="C595">
        <v>0</v>
      </c>
      <c r="D595">
        <v>0</v>
      </c>
      <c r="E595">
        <v>0</v>
      </c>
      <c r="F595">
        <v>1</v>
      </c>
      <c r="G595">
        <v>0</v>
      </c>
      <c r="H595">
        <v>0</v>
      </c>
      <c r="I595">
        <v>1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 t="s">
        <v>428</v>
      </c>
      <c r="R595"/>
      <c r="S595"/>
      <c r="T595"/>
    </row>
    <row r="596" spans="1:20" ht="14.5" customHeight="1" x14ac:dyDescent="0.35">
      <c r="A596">
        <v>200</v>
      </c>
      <c r="B596" t="s">
        <v>522</v>
      </c>
      <c r="C596">
        <v>15433.37</v>
      </c>
      <c r="D596">
        <v>15433.37</v>
      </c>
      <c r="E596">
        <v>26785.74</v>
      </c>
      <c r="F596">
        <v>1</v>
      </c>
      <c r="G596">
        <v>26785.74</v>
      </c>
      <c r="H596">
        <v>26785.74</v>
      </c>
      <c r="I596">
        <v>1</v>
      </c>
      <c r="J596">
        <v>26785.74</v>
      </c>
      <c r="K596">
        <v>0</v>
      </c>
      <c r="L596">
        <v>0</v>
      </c>
      <c r="M596">
        <v>-11352.37</v>
      </c>
      <c r="N596">
        <v>-11352.37</v>
      </c>
      <c r="O596">
        <v>15433.37</v>
      </c>
      <c r="P596">
        <v>15433.37</v>
      </c>
      <c r="Q596" t="s">
        <v>428</v>
      </c>
      <c r="R596"/>
      <c r="S596"/>
      <c r="T596"/>
    </row>
    <row r="597" spans="1:20" ht="14.5" customHeight="1" x14ac:dyDescent="0.35">
      <c r="A597">
        <v>210</v>
      </c>
      <c r="B597" t="s">
        <v>523</v>
      </c>
      <c r="C597">
        <v>20483.91</v>
      </c>
      <c r="D597">
        <v>20483.91</v>
      </c>
      <c r="E597">
        <v>32820.07</v>
      </c>
      <c r="F597">
        <v>1</v>
      </c>
      <c r="G597">
        <v>32820.07</v>
      </c>
      <c r="H597">
        <v>32820.07</v>
      </c>
      <c r="I597">
        <v>1</v>
      </c>
      <c r="J597">
        <v>32820.07</v>
      </c>
      <c r="K597">
        <v>0</v>
      </c>
      <c r="L597">
        <v>0</v>
      </c>
      <c r="M597">
        <v>-12336.16</v>
      </c>
      <c r="N597">
        <v>-12336.16</v>
      </c>
      <c r="O597">
        <v>20483.91</v>
      </c>
      <c r="P597">
        <v>20483.91</v>
      </c>
      <c r="Q597" t="s">
        <v>428</v>
      </c>
      <c r="R597"/>
      <c r="S597"/>
      <c r="T597"/>
    </row>
    <row r="598" spans="1:20" s="182" customFormat="1" x14ac:dyDescent="0.35">
      <c r="A598" t="s">
        <v>533</v>
      </c>
      <c r="B598" t="s">
        <v>416</v>
      </c>
      <c r="C598" t="s">
        <v>469</v>
      </c>
      <c r="D598" t="s">
        <v>470</v>
      </c>
      <c r="E598" t="s">
        <v>419</v>
      </c>
      <c r="F598" t="s">
        <v>471</v>
      </c>
      <c r="G598" t="s">
        <v>472</v>
      </c>
      <c r="H598" t="s">
        <v>473</v>
      </c>
      <c r="I598" t="s">
        <v>474</v>
      </c>
      <c r="J598" t="s">
        <v>475</v>
      </c>
      <c r="K598" t="s">
        <v>476</v>
      </c>
      <c r="L598" t="s">
        <v>477</v>
      </c>
      <c r="M598" t="s">
        <v>129</v>
      </c>
      <c r="N598" t="s">
        <v>131</v>
      </c>
      <c r="O598" t="s">
        <v>132</v>
      </c>
      <c r="P598" t="s">
        <v>133</v>
      </c>
      <c r="Q598" t="s">
        <v>121</v>
      </c>
      <c r="R598"/>
      <c r="S598"/>
      <c r="T598"/>
    </row>
    <row r="599" spans="1:20" ht="14.5" customHeight="1" x14ac:dyDescent="0.35">
      <c r="A599">
        <v>30</v>
      </c>
      <c r="B599" t="s">
        <v>504</v>
      </c>
      <c r="C599">
        <v>473380.46</v>
      </c>
      <c r="D599">
        <v>473380.46</v>
      </c>
      <c r="E599">
        <v>372442.2</v>
      </c>
      <c r="F599">
        <v>1</v>
      </c>
      <c r="G599">
        <v>372442.2</v>
      </c>
      <c r="H599">
        <v>372442.2</v>
      </c>
      <c r="I599">
        <v>1</v>
      </c>
      <c r="J599">
        <v>372442.2</v>
      </c>
      <c r="K599">
        <v>297336</v>
      </c>
      <c r="L599">
        <v>297336</v>
      </c>
      <c r="M599">
        <v>100938.26</v>
      </c>
      <c r="N599">
        <v>100938.26</v>
      </c>
      <c r="O599">
        <v>176044.46</v>
      </c>
      <c r="P599">
        <v>176044.46</v>
      </c>
      <c r="Q599" t="s">
        <v>428</v>
      </c>
      <c r="R599"/>
      <c r="S599"/>
      <c r="T599"/>
    </row>
    <row r="600" spans="1:20" ht="14.5" customHeight="1" x14ac:dyDescent="0.35">
      <c r="A600">
        <v>40</v>
      </c>
      <c r="B600" t="s">
        <v>505</v>
      </c>
      <c r="C600">
        <v>87993.78</v>
      </c>
      <c r="D600">
        <v>87993.78</v>
      </c>
      <c r="E600">
        <v>93014.47</v>
      </c>
      <c r="F600">
        <v>1</v>
      </c>
      <c r="G600">
        <v>93014.47</v>
      </c>
      <c r="H600">
        <v>93014.47</v>
      </c>
      <c r="I600">
        <v>1</v>
      </c>
      <c r="J600">
        <v>93014.47</v>
      </c>
      <c r="K600">
        <v>0</v>
      </c>
      <c r="L600">
        <v>0</v>
      </c>
      <c r="M600">
        <v>-5020.6899999999996</v>
      </c>
      <c r="N600">
        <v>-5020.6899999999996</v>
      </c>
      <c r="O600">
        <v>87993.78</v>
      </c>
      <c r="P600">
        <v>87993.78</v>
      </c>
      <c r="Q600" t="s">
        <v>428</v>
      </c>
      <c r="R600"/>
      <c r="S600"/>
      <c r="T600"/>
    </row>
    <row r="601" spans="1:20" x14ac:dyDescent="0.35">
      <c r="A601">
        <v>50</v>
      </c>
      <c r="B601" t="s">
        <v>506</v>
      </c>
      <c r="C601">
        <v>385386.68</v>
      </c>
      <c r="D601">
        <v>385386.68</v>
      </c>
      <c r="E601">
        <v>279427.73</v>
      </c>
      <c r="F601">
        <v>1</v>
      </c>
      <c r="G601">
        <v>279427.73</v>
      </c>
      <c r="H601">
        <v>279427.73</v>
      </c>
      <c r="I601">
        <v>1</v>
      </c>
      <c r="J601">
        <v>279427.73</v>
      </c>
      <c r="K601">
        <v>297336</v>
      </c>
      <c r="L601">
        <v>297336</v>
      </c>
      <c r="M601">
        <v>105958.95</v>
      </c>
      <c r="N601">
        <v>105958.95</v>
      </c>
      <c r="O601">
        <v>88050.68</v>
      </c>
      <c r="P601">
        <v>88050.68</v>
      </c>
      <c r="Q601" t="s">
        <v>428</v>
      </c>
      <c r="R601"/>
      <c r="S601"/>
      <c r="T601"/>
    </row>
    <row r="602" spans="1:20" x14ac:dyDescent="0.35">
      <c r="A602">
        <v>60</v>
      </c>
      <c r="B602" t="s">
        <v>507</v>
      </c>
      <c r="C602">
        <v>116851.26</v>
      </c>
      <c r="D602">
        <v>116851.26</v>
      </c>
      <c r="E602">
        <v>94524.89</v>
      </c>
      <c r="F602">
        <v>1</v>
      </c>
      <c r="G602">
        <v>94524.89</v>
      </c>
      <c r="H602">
        <v>94524.89</v>
      </c>
      <c r="I602">
        <v>1</v>
      </c>
      <c r="J602">
        <v>94524.89</v>
      </c>
      <c r="K602">
        <v>93661</v>
      </c>
      <c r="L602">
        <v>93661</v>
      </c>
      <c r="M602">
        <v>22326.37</v>
      </c>
      <c r="N602">
        <v>22326.37</v>
      </c>
      <c r="O602">
        <v>23190.26</v>
      </c>
      <c r="P602">
        <v>23190.26</v>
      </c>
      <c r="Q602" t="s">
        <v>428</v>
      </c>
      <c r="R602"/>
      <c r="S602"/>
      <c r="T602"/>
    </row>
    <row r="603" spans="1:20" x14ac:dyDescent="0.35">
      <c r="A603">
        <v>65</v>
      </c>
      <c r="B603" t="s">
        <v>508</v>
      </c>
      <c r="C603">
        <v>0</v>
      </c>
      <c r="D603">
        <v>0</v>
      </c>
      <c r="E603">
        <v>0</v>
      </c>
      <c r="F603">
        <v>1</v>
      </c>
      <c r="G603">
        <v>0</v>
      </c>
      <c r="H603">
        <v>0</v>
      </c>
      <c r="I603">
        <v>1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 t="s">
        <v>428</v>
      </c>
      <c r="R603"/>
      <c r="S603"/>
      <c r="T603"/>
    </row>
    <row r="604" spans="1:20" x14ac:dyDescent="0.35">
      <c r="A604">
        <v>70</v>
      </c>
      <c r="B604" t="s">
        <v>509</v>
      </c>
      <c r="C604">
        <v>268535.42</v>
      </c>
      <c r="D604">
        <v>268535.42</v>
      </c>
      <c r="E604">
        <v>184902.84</v>
      </c>
      <c r="F604">
        <v>1</v>
      </c>
      <c r="G604">
        <v>184902.84</v>
      </c>
      <c r="H604">
        <v>184902.84</v>
      </c>
      <c r="I604">
        <v>1</v>
      </c>
      <c r="J604">
        <v>184902.84</v>
      </c>
      <c r="K604">
        <v>203675</v>
      </c>
      <c r="L604">
        <v>203675</v>
      </c>
      <c r="M604">
        <v>83632.58</v>
      </c>
      <c r="N604">
        <v>83632.58</v>
      </c>
      <c r="O604">
        <v>64860.42</v>
      </c>
      <c r="P604">
        <v>64860.42</v>
      </c>
      <c r="Q604" t="s">
        <v>428</v>
      </c>
      <c r="R604"/>
      <c r="S604"/>
      <c r="T604"/>
    </row>
    <row r="605" spans="1:20" ht="14.5" customHeight="1" x14ac:dyDescent="0.35">
      <c r="A605">
        <v>80</v>
      </c>
      <c r="B605" t="s">
        <v>510</v>
      </c>
      <c r="C605">
        <v>230566.26</v>
      </c>
      <c r="D605">
        <v>230566.26</v>
      </c>
      <c r="E605">
        <v>195328</v>
      </c>
      <c r="F605">
        <v>1</v>
      </c>
      <c r="G605">
        <v>195328</v>
      </c>
      <c r="H605">
        <v>195328</v>
      </c>
      <c r="I605">
        <v>1</v>
      </c>
      <c r="J605">
        <v>195328</v>
      </c>
      <c r="K605">
        <v>200452</v>
      </c>
      <c r="L605">
        <v>200452</v>
      </c>
      <c r="M605">
        <v>35238.26</v>
      </c>
      <c r="N605">
        <v>35238.26</v>
      </c>
      <c r="O605">
        <v>30114.26</v>
      </c>
      <c r="P605">
        <v>30114.26</v>
      </c>
      <c r="Q605" t="s">
        <v>428</v>
      </c>
      <c r="R605"/>
      <c r="S605"/>
      <c r="T605"/>
    </row>
    <row r="606" spans="1:20" ht="14.5" customHeight="1" x14ac:dyDescent="0.35">
      <c r="A606">
        <v>90</v>
      </c>
      <c r="B606" t="s">
        <v>511</v>
      </c>
      <c r="C606">
        <v>8041.41</v>
      </c>
      <c r="D606">
        <v>8041.41</v>
      </c>
      <c r="E606">
        <v>13645.4</v>
      </c>
      <c r="F606">
        <v>1</v>
      </c>
      <c r="G606">
        <v>13645.4</v>
      </c>
      <c r="H606">
        <v>13645.4</v>
      </c>
      <c r="I606">
        <v>1</v>
      </c>
      <c r="J606">
        <v>13645.4</v>
      </c>
      <c r="K606">
        <v>15667</v>
      </c>
      <c r="L606">
        <v>15667</v>
      </c>
      <c r="M606">
        <v>-5603.99</v>
      </c>
      <c r="N606">
        <v>-5603.99</v>
      </c>
      <c r="O606">
        <v>-7625.59</v>
      </c>
      <c r="P606">
        <v>-7625.59</v>
      </c>
      <c r="Q606" t="s">
        <v>428</v>
      </c>
      <c r="R606"/>
      <c r="S606"/>
      <c r="T606"/>
    </row>
    <row r="607" spans="1:20" ht="14.5" customHeight="1" x14ac:dyDescent="0.35">
      <c r="A607">
        <v>100</v>
      </c>
      <c r="B607" t="s">
        <v>512</v>
      </c>
      <c r="C607">
        <v>5119.0200000000004</v>
      </c>
      <c r="D607">
        <v>5119.0200000000004</v>
      </c>
      <c r="E607">
        <v>5566.67</v>
      </c>
      <c r="F607">
        <v>1</v>
      </c>
      <c r="G607">
        <v>5566.67</v>
      </c>
      <c r="H607">
        <v>5566.67</v>
      </c>
      <c r="I607">
        <v>1</v>
      </c>
      <c r="J607">
        <v>5566.67</v>
      </c>
      <c r="K607">
        <v>5119</v>
      </c>
      <c r="L607">
        <v>5119</v>
      </c>
      <c r="M607">
        <v>-447.65</v>
      </c>
      <c r="N607">
        <v>-447.65</v>
      </c>
      <c r="O607">
        <v>0.02</v>
      </c>
      <c r="P607">
        <v>0.02</v>
      </c>
      <c r="Q607" t="s">
        <v>428</v>
      </c>
      <c r="R607"/>
      <c r="S607"/>
      <c r="T607"/>
    </row>
    <row r="608" spans="1:20" ht="14.5" customHeight="1" x14ac:dyDescent="0.35">
      <c r="A608">
        <v>110</v>
      </c>
      <c r="B608" t="s">
        <v>513</v>
      </c>
      <c r="C608">
        <v>243726.69</v>
      </c>
      <c r="D608">
        <v>243726.69</v>
      </c>
      <c r="E608">
        <v>214540.07</v>
      </c>
      <c r="F608">
        <v>1</v>
      </c>
      <c r="G608">
        <v>214540.07</v>
      </c>
      <c r="H608">
        <v>214540.07</v>
      </c>
      <c r="I608">
        <v>1</v>
      </c>
      <c r="J608">
        <v>214540.07</v>
      </c>
      <c r="K608">
        <v>221238</v>
      </c>
      <c r="L608">
        <v>221238</v>
      </c>
      <c r="M608">
        <v>29186.62</v>
      </c>
      <c r="N608">
        <v>29186.62</v>
      </c>
      <c r="O608">
        <v>22488.69</v>
      </c>
      <c r="P608">
        <v>22488.69</v>
      </c>
      <c r="Q608" t="s">
        <v>428</v>
      </c>
      <c r="R608"/>
      <c r="S608"/>
      <c r="T608"/>
    </row>
    <row r="609" spans="1:20" ht="14.5" customHeight="1" x14ac:dyDescent="0.35">
      <c r="A609">
        <v>120</v>
      </c>
      <c r="B609" t="s">
        <v>514</v>
      </c>
      <c r="C609">
        <v>24808.73</v>
      </c>
      <c r="D609">
        <v>24808.73</v>
      </c>
      <c r="E609">
        <v>-29637.23</v>
      </c>
      <c r="F609">
        <v>1</v>
      </c>
      <c r="G609">
        <v>-29637.23</v>
      </c>
      <c r="H609">
        <v>-29637.23</v>
      </c>
      <c r="I609">
        <v>1</v>
      </c>
      <c r="J609">
        <v>-29637.23</v>
      </c>
      <c r="K609">
        <v>-17563</v>
      </c>
      <c r="L609">
        <v>-17563</v>
      </c>
      <c r="M609">
        <v>54445.96</v>
      </c>
      <c r="N609">
        <v>54445.96</v>
      </c>
      <c r="O609">
        <v>42371.73</v>
      </c>
      <c r="P609">
        <v>42371.73</v>
      </c>
      <c r="Q609" t="s">
        <v>428</v>
      </c>
      <c r="R609"/>
      <c r="S609"/>
      <c r="T609"/>
    </row>
    <row r="610" spans="1:20" ht="14.5" customHeight="1" x14ac:dyDescent="0.35">
      <c r="A610">
        <v>130</v>
      </c>
      <c r="B610"/>
      <c r="C610">
        <v>0</v>
      </c>
      <c r="D610">
        <v>0</v>
      </c>
      <c r="E610">
        <v>0</v>
      </c>
      <c r="F610">
        <v>1</v>
      </c>
      <c r="G610">
        <v>0</v>
      </c>
      <c r="H610">
        <v>0</v>
      </c>
      <c r="I610">
        <v>1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 t="s">
        <v>428</v>
      </c>
      <c r="R610"/>
      <c r="S610"/>
      <c r="T610"/>
    </row>
    <row r="611" spans="1:20" ht="14.5" customHeight="1" x14ac:dyDescent="0.35">
      <c r="A611">
        <v>135</v>
      </c>
      <c r="B611" t="s">
        <v>515</v>
      </c>
      <c r="C611">
        <v>-2449.35</v>
      </c>
      <c r="D611">
        <v>-2449.35</v>
      </c>
      <c r="E611">
        <v>-1504.38</v>
      </c>
      <c r="F611">
        <v>1</v>
      </c>
      <c r="G611">
        <v>-1504.38</v>
      </c>
      <c r="H611">
        <v>-1504.38</v>
      </c>
      <c r="I611">
        <v>1</v>
      </c>
      <c r="J611">
        <v>-1504.38</v>
      </c>
      <c r="K611">
        <v>-1308</v>
      </c>
      <c r="L611">
        <v>-1308</v>
      </c>
      <c r="M611">
        <v>-944.97</v>
      </c>
      <c r="N611">
        <v>-944.97</v>
      </c>
      <c r="O611">
        <v>-1141.3499999999999</v>
      </c>
      <c r="P611">
        <v>-1141.3499999999999</v>
      </c>
      <c r="Q611" t="s">
        <v>428</v>
      </c>
      <c r="R611"/>
      <c r="S611"/>
      <c r="T611"/>
    </row>
    <row r="612" spans="1:20" ht="14.5" customHeight="1" x14ac:dyDescent="0.35">
      <c r="A612">
        <v>140</v>
      </c>
      <c r="B612" t="s">
        <v>516</v>
      </c>
      <c r="C612">
        <v>0</v>
      </c>
      <c r="D612">
        <v>0</v>
      </c>
      <c r="E612">
        <v>0</v>
      </c>
      <c r="F612">
        <v>1</v>
      </c>
      <c r="G612">
        <v>0</v>
      </c>
      <c r="H612">
        <v>0</v>
      </c>
      <c r="I612">
        <v>1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 t="s">
        <v>428</v>
      </c>
      <c r="R612"/>
      <c r="S612"/>
      <c r="T612"/>
    </row>
    <row r="613" spans="1:20" ht="14.5" customHeight="1" x14ac:dyDescent="0.35">
      <c r="A613">
        <v>150</v>
      </c>
      <c r="B613" t="s">
        <v>517</v>
      </c>
      <c r="C613">
        <v>0</v>
      </c>
      <c r="D613">
        <v>0</v>
      </c>
      <c r="E613">
        <v>0</v>
      </c>
      <c r="F613">
        <v>1</v>
      </c>
      <c r="G613">
        <v>0</v>
      </c>
      <c r="H613">
        <v>0</v>
      </c>
      <c r="I613">
        <v>1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 t="s">
        <v>428</v>
      </c>
      <c r="R613"/>
      <c r="S613"/>
      <c r="T613"/>
    </row>
    <row r="614" spans="1:20" ht="14.5" customHeight="1" x14ac:dyDescent="0.35">
      <c r="A614">
        <v>155</v>
      </c>
      <c r="B614"/>
      <c r="C614">
        <v>0</v>
      </c>
      <c r="D614">
        <v>0</v>
      </c>
      <c r="E614">
        <v>0</v>
      </c>
      <c r="F614">
        <v>1</v>
      </c>
      <c r="G614">
        <v>0</v>
      </c>
      <c r="H614">
        <v>0</v>
      </c>
      <c r="I614">
        <v>1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 t="s">
        <v>428</v>
      </c>
      <c r="R614"/>
      <c r="S614"/>
      <c r="T614"/>
    </row>
    <row r="615" spans="1:20" ht="14.5" customHeight="1" x14ac:dyDescent="0.35">
      <c r="A615">
        <v>160</v>
      </c>
      <c r="B615" t="s">
        <v>518</v>
      </c>
      <c r="C615">
        <v>-2449.35</v>
      </c>
      <c r="D615">
        <v>-2449.35</v>
      </c>
      <c r="E615">
        <v>-1504.38</v>
      </c>
      <c r="F615">
        <v>1</v>
      </c>
      <c r="G615">
        <v>-1504.38</v>
      </c>
      <c r="H615">
        <v>-1504.38</v>
      </c>
      <c r="I615">
        <v>1</v>
      </c>
      <c r="J615">
        <v>-1504.38</v>
      </c>
      <c r="K615">
        <v>-1308</v>
      </c>
      <c r="L615">
        <v>-1308</v>
      </c>
      <c r="M615">
        <v>-944.97</v>
      </c>
      <c r="N615">
        <v>-944.97</v>
      </c>
      <c r="O615">
        <v>-1141.3499999999999</v>
      </c>
      <c r="P615">
        <v>-1141.3499999999999</v>
      </c>
      <c r="Q615" t="s">
        <v>428</v>
      </c>
      <c r="R615"/>
      <c r="S615"/>
      <c r="T615"/>
    </row>
    <row r="616" spans="1:20" ht="14.5" customHeight="1" x14ac:dyDescent="0.35">
      <c r="A616">
        <v>170</v>
      </c>
      <c r="B616" t="s">
        <v>525</v>
      </c>
      <c r="C616">
        <v>27258.080000000002</v>
      </c>
      <c r="D616">
        <v>27258.080000000002</v>
      </c>
      <c r="E616">
        <v>-28132.85</v>
      </c>
      <c r="F616">
        <v>1</v>
      </c>
      <c r="G616">
        <v>-28132.85</v>
      </c>
      <c r="H616">
        <v>-28132.85</v>
      </c>
      <c r="I616">
        <v>1</v>
      </c>
      <c r="J616">
        <v>-28132.85</v>
      </c>
      <c r="K616">
        <v>-16255</v>
      </c>
      <c r="L616">
        <v>-16255</v>
      </c>
      <c r="M616">
        <v>55390.93</v>
      </c>
      <c r="N616">
        <v>55390.93</v>
      </c>
      <c r="O616">
        <v>43513.08</v>
      </c>
      <c r="P616">
        <v>43513.08</v>
      </c>
      <c r="Q616" t="s">
        <v>428</v>
      </c>
      <c r="R616"/>
      <c r="S616"/>
      <c r="T616"/>
    </row>
    <row r="617" spans="1:20" x14ac:dyDescent="0.35">
      <c r="A617">
        <v>180</v>
      </c>
      <c r="B617" t="s">
        <v>520</v>
      </c>
      <c r="C617">
        <v>0</v>
      </c>
      <c r="D617">
        <v>0</v>
      </c>
      <c r="E617">
        <v>0</v>
      </c>
      <c r="F617">
        <v>1</v>
      </c>
      <c r="G617">
        <v>0</v>
      </c>
      <c r="H617">
        <v>0</v>
      </c>
      <c r="I617">
        <v>1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 t="s">
        <v>428</v>
      </c>
      <c r="R617"/>
      <c r="S617"/>
      <c r="T617"/>
    </row>
    <row r="618" spans="1:20" x14ac:dyDescent="0.35">
      <c r="A618">
        <v>190</v>
      </c>
      <c r="B618" t="s">
        <v>521</v>
      </c>
      <c r="C618">
        <v>0</v>
      </c>
      <c r="D618">
        <v>0</v>
      </c>
      <c r="E618">
        <v>0</v>
      </c>
      <c r="F618">
        <v>1</v>
      </c>
      <c r="G618">
        <v>0</v>
      </c>
      <c r="H618">
        <v>0</v>
      </c>
      <c r="I618">
        <v>1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 t="s">
        <v>428</v>
      </c>
      <c r="R618"/>
      <c r="S618"/>
      <c r="T618"/>
    </row>
    <row r="619" spans="1:20" ht="14.5" customHeight="1" x14ac:dyDescent="0.35">
      <c r="A619">
        <v>200</v>
      </c>
      <c r="B619" t="s">
        <v>522</v>
      </c>
      <c r="C619">
        <v>27258.080000000002</v>
      </c>
      <c r="D619">
        <v>27258.080000000002</v>
      </c>
      <c r="E619">
        <v>-28132.85</v>
      </c>
      <c r="F619">
        <v>1</v>
      </c>
      <c r="G619">
        <v>-28132.85</v>
      </c>
      <c r="H619">
        <v>-28132.85</v>
      </c>
      <c r="I619">
        <v>1</v>
      </c>
      <c r="J619">
        <v>-28132.85</v>
      </c>
      <c r="K619">
        <v>-16255</v>
      </c>
      <c r="L619">
        <v>-16255</v>
      </c>
      <c r="M619">
        <v>55390.93</v>
      </c>
      <c r="N619">
        <v>55390.93</v>
      </c>
      <c r="O619">
        <v>43513.08</v>
      </c>
      <c r="P619">
        <v>43513.08</v>
      </c>
      <c r="Q619" t="s">
        <v>428</v>
      </c>
      <c r="R619"/>
      <c r="S619"/>
      <c r="T619"/>
    </row>
    <row r="620" spans="1:20" ht="14.5" customHeight="1" x14ac:dyDescent="0.35">
      <c r="A620">
        <v>210</v>
      </c>
      <c r="B620" t="s">
        <v>523</v>
      </c>
      <c r="C620">
        <v>29927.75</v>
      </c>
      <c r="D620">
        <v>29927.75</v>
      </c>
      <c r="E620">
        <v>-24070.560000000001</v>
      </c>
      <c r="F620">
        <v>1</v>
      </c>
      <c r="G620">
        <v>-24070.560000000001</v>
      </c>
      <c r="H620">
        <v>-24070.560000000001</v>
      </c>
      <c r="I620">
        <v>1</v>
      </c>
      <c r="J620">
        <v>-24070.560000000001</v>
      </c>
      <c r="K620">
        <v>-12444</v>
      </c>
      <c r="L620">
        <v>-12444</v>
      </c>
      <c r="M620">
        <v>53998.31</v>
      </c>
      <c r="N620">
        <v>53998.31</v>
      </c>
      <c r="O620">
        <v>42371.75</v>
      </c>
      <c r="P620">
        <v>42371.75</v>
      </c>
      <c r="Q620" t="s">
        <v>428</v>
      </c>
      <c r="R620"/>
      <c r="S620"/>
      <c r="T620"/>
    </row>
    <row r="621" spans="1:20" s="218" customFormat="1" x14ac:dyDescent="0.35">
      <c r="A621" t="s">
        <v>534</v>
      </c>
      <c r="B621" t="s">
        <v>416</v>
      </c>
      <c r="C621" t="s">
        <v>469</v>
      </c>
      <c r="D621" t="s">
        <v>470</v>
      </c>
      <c r="E621" t="s">
        <v>419</v>
      </c>
      <c r="F621" t="s">
        <v>471</v>
      </c>
      <c r="G621" t="s">
        <v>472</v>
      </c>
      <c r="H621" t="s">
        <v>473</v>
      </c>
      <c r="I621" t="s">
        <v>474</v>
      </c>
      <c r="J621" t="s">
        <v>475</v>
      </c>
      <c r="K621" t="s">
        <v>476</v>
      </c>
      <c r="L621" t="s">
        <v>477</v>
      </c>
      <c r="M621" t="s">
        <v>129</v>
      </c>
      <c r="N621" t="s">
        <v>131</v>
      </c>
      <c r="O621" t="s">
        <v>132</v>
      </c>
      <c r="P621" t="s">
        <v>133</v>
      </c>
      <c r="Q621" t="s">
        <v>121</v>
      </c>
      <c r="R621"/>
      <c r="S621"/>
      <c r="T621"/>
    </row>
    <row r="622" spans="1:20" ht="14.5" customHeight="1" x14ac:dyDescent="0.35">
      <c r="A622">
        <v>30</v>
      </c>
      <c r="B622" t="s">
        <v>504</v>
      </c>
      <c r="C622">
        <v>19984.28</v>
      </c>
      <c r="D622">
        <v>19984.28</v>
      </c>
      <c r="E622">
        <v>31058.65</v>
      </c>
      <c r="F622">
        <v>1</v>
      </c>
      <c r="G622">
        <v>31058.65</v>
      </c>
      <c r="H622">
        <v>31058.65</v>
      </c>
      <c r="I622">
        <v>1</v>
      </c>
      <c r="J622">
        <v>31058.65</v>
      </c>
      <c r="K622">
        <v>0</v>
      </c>
      <c r="L622">
        <v>0</v>
      </c>
      <c r="M622">
        <v>-11074.37</v>
      </c>
      <c r="N622">
        <v>-11074.37</v>
      </c>
      <c r="O622">
        <v>19984.28</v>
      </c>
      <c r="P622">
        <v>19984.28</v>
      </c>
      <c r="Q622" t="s">
        <v>428</v>
      </c>
      <c r="R622"/>
      <c r="S622"/>
      <c r="T622"/>
    </row>
    <row r="623" spans="1:20" ht="14.5" customHeight="1" x14ac:dyDescent="0.35">
      <c r="A623">
        <v>40</v>
      </c>
      <c r="B623" t="s">
        <v>505</v>
      </c>
      <c r="C623">
        <v>0</v>
      </c>
      <c r="D623">
        <v>0</v>
      </c>
      <c r="E623">
        <v>0</v>
      </c>
      <c r="F623">
        <v>1</v>
      </c>
      <c r="G623">
        <v>0</v>
      </c>
      <c r="H623">
        <v>0</v>
      </c>
      <c r="I623">
        <v>1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 t="s">
        <v>428</v>
      </c>
      <c r="R623"/>
      <c r="S623"/>
      <c r="T623"/>
    </row>
    <row r="624" spans="1:20" x14ac:dyDescent="0.35">
      <c r="A624">
        <v>50</v>
      </c>
      <c r="B624" t="s">
        <v>506</v>
      </c>
      <c r="C624">
        <v>19984.28</v>
      </c>
      <c r="D624">
        <v>19984.28</v>
      </c>
      <c r="E624">
        <v>31058.65</v>
      </c>
      <c r="F624">
        <v>1</v>
      </c>
      <c r="G624">
        <v>31058.65</v>
      </c>
      <c r="H624">
        <v>31058.65</v>
      </c>
      <c r="I624">
        <v>1</v>
      </c>
      <c r="J624">
        <v>31058.65</v>
      </c>
      <c r="K624">
        <v>0</v>
      </c>
      <c r="L624">
        <v>0</v>
      </c>
      <c r="M624">
        <v>-11074.37</v>
      </c>
      <c r="N624">
        <v>-11074.37</v>
      </c>
      <c r="O624">
        <v>19984.28</v>
      </c>
      <c r="P624">
        <v>19984.28</v>
      </c>
      <c r="Q624" t="s">
        <v>428</v>
      </c>
      <c r="R624"/>
      <c r="S624"/>
      <c r="T624"/>
    </row>
    <row r="625" spans="1:20" x14ac:dyDescent="0.35">
      <c r="A625">
        <v>60</v>
      </c>
      <c r="B625" t="s">
        <v>507</v>
      </c>
      <c r="C625">
        <v>0</v>
      </c>
      <c r="D625">
        <v>0</v>
      </c>
      <c r="E625">
        <v>0</v>
      </c>
      <c r="F625">
        <v>1</v>
      </c>
      <c r="G625">
        <v>0</v>
      </c>
      <c r="H625">
        <v>0</v>
      </c>
      <c r="I625">
        <v>1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 t="s">
        <v>428</v>
      </c>
      <c r="R625"/>
      <c r="S625"/>
      <c r="T625"/>
    </row>
    <row r="626" spans="1:20" x14ac:dyDescent="0.35">
      <c r="A626">
        <v>70</v>
      </c>
      <c r="B626" t="s">
        <v>509</v>
      </c>
      <c r="C626">
        <v>19984.28</v>
      </c>
      <c r="D626">
        <v>19984.28</v>
      </c>
      <c r="E626">
        <v>31058.65</v>
      </c>
      <c r="F626">
        <v>1</v>
      </c>
      <c r="G626">
        <v>31058.65</v>
      </c>
      <c r="H626">
        <v>31058.65</v>
      </c>
      <c r="I626">
        <v>1</v>
      </c>
      <c r="J626">
        <v>31058.65</v>
      </c>
      <c r="K626">
        <v>0</v>
      </c>
      <c r="L626">
        <v>0</v>
      </c>
      <c r="M626">
        <v>-11074.37</v>
      </c>
      <c r="N626">
        <v>-11074.37</v>
      </c>
      <c r="O626">
        <v>19984.28</v>
      </c>
      <c r="P626">
        <v>19984.28</v>
      </c>
      <c r="Q626" t="s">
        <v>428</v>
      </c>
      <c r="R626"/>
      <c r="S626"/>
      <c r="T626"/>
    </row>
    <row r="627" spans="1:20" ht="14.5" customHeight="1" x14ac:dyDescent="0.35">
      <c r="A627">
        <v>80</v>
      </c>
      <c r="B627" t="s">
        <v>510</v>
      </c>
      <c r="C627">
        <v>1526.42</v>
      </c>
      <c r="D627">
        <v>1526.42</v>
      </c>
      <c r="E627">
        <v>20716.66</v>
      </c>
      <c r="F627">
        <v>1</v>
      </c>
      <c r="G627">
        <v>20716.66</v>
      </c>
      <c r="H627">
        <v>20716.66</v>
      </c>
      <c r="I627">
        <v>1</v>
      </c>
      <c r="J627">
        <v>20716.66</v>
      </c>
      <c r="K627">
        <v>0</v>
      </c>
      <c r="L627">
        <v>0</v>
      </c>
      <c r="M627">
        <v>-19190.240000000002</v>
      </c>
      <c r="N627">
        <v>-19190.240000000002</v>
      </c>
      <c r="O627">
        <v>1526.42</v>
      </c>
      <c r="P627">
        <v>1526.42</v>
      </c>
      <c r="Q627" t="s">
        <v>428</v>
      </c>
      <c r="R627"/>
      <c r="S627"/>
      <c r="T627"/>
    </row>
    <row r="628" spans="1:20" ht="14.5" customHeight="1" x14ac:dyDescent="0.35">
      <c r="A628">
        <v>90</v>
      </c>
      <c r="B628" t="s">
        <v>511</v>
      </c>
      <c r="C628">
        <v>0</v>
      </c>
      <c r="D628">
        <v>0</v>
      </c>
      <c r="E628">
        <v>0</v>
      </c>
      <c r="F628">
        <v>1</v>
      </c>
      <c r="G628">
        <v>0</v>
      </c>
      <c r="H628">
        <v>0</v>
      </c>
      <c r="I628">
        <v>1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 t="s">
        <v>428</v>
      </c>
      <c r="R628"/>
      <c r="S628"/>
      <c r="T628"/>
    </row>
    <row r="629" spans="1:20" ht="14.5" customHeight="1" x14ac:dyDescent="0.35">
      <c r="A629">
        <v>100</v>
      </c>
      <c r="B629" t="s">
        <v>512</v>
      </c>
      <c r="C629">
        <v>2809.12</v>
      </c>
      <c r="D629">
        <v>2809.12</v>
      </c>
      <c r="E629">
        <v>2809.12</v>
      </c>
      <c r="F629">
        <v>1</v>
      </c>
      <c r="G629">
        <v>2809.12</v>
      </c>
      <c r="H629">
        <v>2809.12</v>
      </c>
      <c r="I629">
        <v>1</v>
      </c>
      <c r="J629">
        <v>2809.12</v>
      </c>
      <c r="K629">
        <v>0</v>
      </c>
      <c r="L629">
        <v>0</v>
      </c>
      <c r="M629">
        <v>0</v>
      </c>
      <c r="N629">
        <v>0</v>
      </c>
      <c r="O629">
        <v>2809.12</v>
      </c>
      <c r="P629">
        <v>2809.12</v>
      </c>
      <c r="Q629" t="s">
        <v>428</v>
      </c>
      <c r="R629"/>
      <c r="S629"/>
      <c r="T629"/>
    </row>
    <row r="630" spans="1:20" ht="14.5" customHeight="1" x14ac:dyDescent="0.35">
      <c r="A630">
        <v>110</v>
      </c>
      <c r="B630" t="s">
        <v>513</v>
      </c>
      <c r="C630">
        <v>4335.54</v>
      </c>
      <c r="D630">
        <v>4335.54</v>
      </c>
      <c r="E630">
        <v>23525.78</v>
      </c>
      <c r="F630">
        <v>1</v>
      </c>
      <c r="G630">
        <v>23525.78</v>
      </c>
      <c r="H630">
        <v>23525.78</v>
      </c>
      <c r="I630">
        <v>1</v>
      </c>
      <c r="J630">
        <v>23525.78</v>
      </c>
      <c r="K630">
        <v>0</v>
      </c>
      <c r="L630">
        <v>0</v>
      </c>
      <c r="M630">
        <v>-19190.240000000002</v>
      </c>
      <c r="N630">
        <v>-19190.240000000002</v>
      </c>
      <c r="O630">
        <v>4335.54</v>
      </c>
      <c r="P630">
        <v>4335.54</v>
      </c>
      <c r="Q630" t="s">
        <v>428</v>
      </c>
      <c r="R630"/>
      <c r="S630"/>
      <c r="T630"/>
    </row>
    <row r="631" spans="1:20" ht="14.5" customHeight="1" x14ac:dyDescent="0.35">
      <c r="A631">
        <v>120</v>
      </c>
      <c r="B631" t="s">
        <v>514</v>
      </c>
      <c r="C631">
        <v>15648.74</v>
      </c>
      <c r="D631">
        <v>15648.74</v>
      </c>
      <c r="E631">
        <v>7532.87</v>
      </c>
      <c r="F631">
        <v>1</v>
      </c>
      <c r="G631">
        <v>7532.87</v>
      </c>
      <c r="H631">
        <v>7532.87</v>
      </c>
      <c r="I631">
        <v>1</v>
      </c>
      <c r="J631">
        <v>7532.87</v>
      </c>
      <c r="K631">
        <v>0</v>
      </c>
      <c r="L631">
        <v>0</v>
      </c>
      <c r="M631">
        <v>8115.87</v>
      </c>
      <c r="N631">
        <v>8115.87</v>
      </c>
      <c r="O631">
        <v>15648.74</v>
      </c>
      <c r="P631">
        <v>15648.74</v>
      </c>
      <c r="Q631" t="s">
        <v>428</v>
      </c>
      <c r="R631"/>
      <c r="S631"/>
      <c r="T631"/>
    </row>
    <row r="632" spans="1:20" ht="14.5" customHeight="1" x14ac:dyDescent="0.35">
      <c r="A632">
        <v>130</v>
      </c>
      <c r="B632" t="s">
        <v>438</v>
      </c>
      <c r="C632">
        <v>0</v>
      </c>
      <c r="D632">
        <v>0</v>
      </c>
      <c r="E632">
        <v>0</v>
      </c>
      <c r="F632">
        <v>1</v>
      </c>
      <c r="G632">
        <v>0</v>
      </c>
      <c r="H632">
        <v>0</v>
      </c>
      <c r="I632">
        <v>1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 t="s">
        <v>428</v>
      </c>
      <c r="R632"/>
      <c r="S632"/>
      <c r="T632"/>
    </row>
    <row r="633" spans="1:20" ht="14.5" customHeight="1" x14ac:dyDescent="0.35">
      <c r="A633">
        <v>135</v>
      </c>
      <c r="B633" t="s">
        <v>515</v>
      </c>
      <c r="C633">
        <v>0</v>
      </c>
      <c r="D633">
        <v>0</v>
      </c>
      <c r="E633">
        <v>3141.61</v>
      </c>
      <c r="F633">
        <v>1</v>
      </c>
      <c r="G633">
        <v>3141.61</v>
      </c>
      <c r="H633">
        <v>3141.61</v>
      </c>
      <c r="I633">
        <v>1</v>
      </c>
      <c r="J633">
        <v>3141.61</v>
      </c>
      <c r="K633">
        <v>0</v>
      </c>
      <c r="L633">
        <v>0</v>
      </c>
      <c r="M633">
        <v>-3141.61</v>
      </c>
      <c r="N633">
        <v>-3141.61</v>
      </c>
      <c r="O633">
        <v>0</v>
      </c>
      <c r="P633">
        <v>0</v>
      </c>
      <c r="Q633" t="s">
        <v>428</v>
      </c>
      <c r="R633"/>
      <c r="S633"/>
      <c r="T633"/>
    </row>
    <row r="634" spans="1:20" ht="14.5" customHeight="1" x14ac:dyDescent="0.35">
      <c r="A634">
        <v>140</v>
      </c>
      <c r="B634" t="s">
        <v>516</v>
      </c>
      <c r="C634">
        <v>1347.9</v>
      </c>
      <c r="D634">
        <v>1347.9</v>
      </c>
      <c r="E634">
        <v>8922.58</v>
      </c>
      <c r="F634">
        <v>1</v>
      </c>
      <c r="G634">
        <v>8922.58</v>
      </c>
      <c r="H634">
        <v>8922.58</v>
      </c>
      <c r="I634">
        <v>1</v>
      </c>
      <c r="J634">
        <v>8922.58</v>
      </c>
      <c r="K634">
        <v>0</v>
      </c>
      <c r="L634">
        <v>0</v>
      </c>
      <c r="M634">
        <v>-7574.68</v>
      </c>
      <c r="N634">
        <v>-7574.68</v>
      </c>
      <c r="O634">
        <v>1347.9</v>
      </c>
      <c r="P634">
        <v>1347.9</v>
      </c>
      <c r="Q634" t="s">
        <v>428</v>
      </c>
      <c r="R634"/>
      <c r="S634"/>
      <c r="T634"/>
    </row>
    <row r="635" spans="1:20" ht="14.5" customHeight="1" x14ac:dyDescent="0.35">
      <c r="A635">
        <v>150</v>
      </c>
      <c r="B635" t="s">
        <v>517</v>
      </c>
      <c r="C635">
        <v>0</v>
      </c>
      <c r="D635">
        <v>0</v>
      </c>
      <c r="E635">
        <v>0</v>
      </c>
      <c r="F635">
        <v>1</v>
      </c>
      <c r="G635">
        <v>0</v>
      </c>
      <c r="H635">
        <v>0</v>
      </c>
      <c r="I635">
        <v>1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 t="s">
        <v>428</v>
      </c>
      <c r="R635"/>
      <c r="S635"/>
      <c r="T635"/>
    </row>
    <row r="636" spans="1:20" ht="14.5" customHeight="1" x14ac:dyDescent="0.35">
      <c r="A636">
        <v>155</v>
      </c>
      <c r="B636" t="s">
        <v>442</v>
      </c>
      <c r="C636">
        <v>0</v>
      </c>
      <c r="D636">
        <v>0</v>
      </c>
      <c r="E636">
        <v>0</v>
      </c>
      <c r="F636">
        <v>1</v>
      </c>
      <c r="G636">
        <v>0</v>
      </c>
      <c r="H636">
        <v>0</v>
      </c>
      <c r="I636">
        <v>1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 t="s">
        <v>428</v>
      </c>
      <c r="R636"/>
      <c r="S636"/>
      <c r="T636"/>
    </row>
    <row r="637" spans="1:20" ht="14.5" customHeight="1" x14ac:dyDescent="0.35">
      <c r="A637">
        <v>160</v>
      </c>
      <c r="B637" t="s">
        <v>518</v>
      </c>
      <c r="C637">
        <v>1347.9</v>
      </c>
      <c r="D637">
        <v>1347.9</v>
      </c>
      <c r="E637">
        <v>12064.19</v>
      </c>
      <c r="F637">
        <v>1</v>
      </c>
      <c r="G637">
        <v>12064.19</v>
      </c>
      <c r="H637">
        <v>12064.19</v>
      </c>
      <c r="I637">
        <v>1</v>
      </c>
      <c r="J637">
        <v>12064.19</v>
      </c>
      <c r="K637">
        <v>0</v>
      </c>
      <c r="L637">
        <v>0</v>
      </c>
      <c r="M637">
        <v>-10716.29</v>
      </c>
      <c r="N637">
        <v>-10716.29</v>
      </c>
      <c r="O637">
        <v>1347.9</v>
      </c>
      <c r="P637">
        <v>1347.9</v>
      </c>
      <c r="Q637" t="s">
        <v>428</v>
      </c>
      <c r="R637"/>
      <c r="S637"/>
      <c r="T637"/>
    </row>
    <row r="638" spans="1:20" ht="14.5" customHeight="1" x14ac:dyDescent="0.35">
      <c r="A638">
        <v>170</v>
      </c>
      <c r="B638" t="s">
        <v>529</v>
      </c>
      <c r="C638">
        <v>14300.84</v>
      </c>
      <c r="D638">
        <v>14300.84</v>
      </c>
      <c r="E638">
        <v>-4531.32</v>
      </c>
      <c r="F638">
        <v>1</v>
      </c>
      <c r="G638">
        <v>-4531.32</v>
      </c>
      <c r="H638">
        <v>-4531.32</v>
      </c>
      <c r="I638">
        <v>1</v>
      </c>
      <c r="J638">
        <v>-4531.32</v>
      </c>
      <c r="K638">
        <v>0</v>
      </c>
      <c r="L638">
        <v>0</v>
      </c>
      <c r="M638">
        <v>18832.16</v>
      </c>
      <c r="N638">
        <v>18832.16</v>
      </c>
      <c r="O638">
        <v>14300.84</v>
      </c>
      <c r="P638">
        <v>14300.84</v>
      </c>
      <c r="Q638" t="s">
        <v>428</v>
      </c>
      <c r="R638"/>
      <c r="S638"/>
      <c r="T638"/>
    </row>
    <row r="639" spans="1:20" x14ac:dyDescent="0.35">
      <c r="A639">
        <v>180</v>
      </c>
      <c r="B639" t="s">
        <v>530</v>
      </c>
      <c r="C639">
        <v>0</v>
      </c>
      <c r="D639">
        <v>0</v>
      </c>
      <c r="E639">
        <v>0</v>
      </c>
      <c r="F639">
        <v>1</v>
      </c>
      <c r="G639">
        <v>0</v>
      </c>
      <c r="H639">
        <v>0</v>
      </c>
      <c r="I639">
        <v>1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 t="s">
        <v>428</v>
      </c>
      <c r="R639"/>
      <c r="S639"/>
      <c r="T639"/>
    </row>
    <row r="640" spans="1:20" x14ac:dyDescent="0.35">
      <c r="A640">
        <v>190</v>
      </c>
      <c r="B640" t="s">
        <v>520</v>
      </c>
      <c r="C640">
        <v>0</v>
      </c>
      <c r="D640">
        <v>0</v>
      </c>
      <c r="E640">
        <v>0</v>
      </c>
      <c r="F640">
        <v>1</v>
      </c>
      <c r="G640">
        <v>0</v>
      </c>
      <c r="H640">
        <v>0</v>
      </c>
      <c r="I640">
        <v>1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 t="s">
        <v>428</v>
      </c>
      <c r="R640"/>
      <c r="S640"/>
      <c r="T640"/>
    </row>
    <row r="641" spans="1:20" ht="14.5" customHeight="1" x14ac:dyDescent="0.35">
      <c r="A641">
        <v>200</v>
      </c>
      <c r="B641" t="s">
        <v>522</v>
      </c>
      <c r="C641">
        <v>14300.84</v>
      </c>
      <c r="D641">
        <v>14300.84</v>
      </c>
      <c r="E641">
        <v>-4531.32</v>
      </c>
      <c r="F641">
        <v>1</v>
      </c>
      <c r="G641">
        <v>-4531.32</v>
      </c>
      <c r="H641">
        <v>-4531.32</v>
      </c>
      <c r="I641">
        <v>1</v>
      </c>
      <c r="J641">
        <v>-4531.32</v>
      </c>
      <c r="K641">
        <v>0</v>
      </c>
      <c r="L641">
        <v>0</v>
      </c>
      <c r="M641">
        <v>18832.16</v>
      </c>
      <c r="N641">
        <v>18832.16</v>
      </c>
      <c r="O641">
        <v>14300.84</v>
      </c>
      <c r="P641">
        <v>14300.84</v>
      </c>
      <c r="Q641" t="s">
        <v>428</v>
      </c>
      <c r="R641"/>
      <c r="S641"/>
      <c r="T641"/>
    </row>
    <row r="642" spans="1:20" ht="14.5" customHeight="1" x14ac:dyDescent="0.35">
      <c r="A642">
        <v>210</v>
      </c>
      <c r="B642" t="s">
        <v>523</v>
      </c>
      <c r="C642">
        <v>18457.86</v>
      </c>
      <c r="D642">
        <v>18457.86</v>
      </c>
      <c r="E642">
        <v>10341.99</v>
      </c>
      <c r="F642">
        <v>1</v>
      </c>
      <c r="G642">
        <v>10341.99</v>
      </c>
      <c r="H642">
        <v>10341.99</v>
      </c>
      <c r="I642">
        <v>1</v>
      </c>
      <c r="J642">
        <v>10341.99</v>
      </c>
      <c r="K642">
        <v>0</v>
      </c>
      <c r="L642">
        <v>0</v>
      </c>
      <c r="M642">
        <v>8115.87</v>
      </c>
      <c r="N642">
        <v>8115.87</v>
      </c>
      <c r="O642">
        <v>18457.86</v>
      </c>
      <c r="P642">
        <v>18457.86</v>
      </c>
      <c r="Q642" t="s">
        <v>428</v>
      </c>
      <c r="R642"/>
      <c r="S642"/>
      <c r="T642"/>
    </row>
    <row r="643" spans="1:20" s="218" customFormat="1" x14ac:dyDescent="0.35">
      <c r="A643" t="s">
        <v>535</v>
      </c>
      <c r="B643" t="s">
        <v>416</v>
      </c>
      <c r="C643" t="s">
        <v>469</v>
      </c>
      <c r="D643" t="s">
        <v>470</v>
      </c>
      <c r="E643" t="s">
        <v>419</v>
      </c>
      <c r="F643" t="s">
        <v>471</v>
      </c>
      <c r="G643" t="s">
        <v>472</v>
      </c>
      <c r="H643" t="s">
        <v>473</v>
      </c>
      <c r="I643" t="s">
        <v>474</v>
      </c>
      <c r="J643" t="s">
        <v>475</v>
      </c>
      <c r="K643" t="s">
        <v>476</v>
      </c>
      <c r="L643" t="s">
        <v>477</v>
      </c>
      <c r="M643" t="s">
        <v>129</v>
      </c>
      <c r="N643" t="s">
        <v>131</v>
      </c>
      <c r="O643" t="s">
        <v>132</v>
      </c>
      <c r="P643" t="s">
        <v>133</v>
      </c>
      <c r="Q643" t="s">
        <v>121</v>
      </c>
      <c r="R643"/>
      <c r="S643"/>
      <c r="T643"/>
    </row>
    <row r="644" spans="1:20" ht="14.5" customHeight="1" x14ac:dyDescent="0.35">
      <c r="A644">
        <v>30</v>
      </c>
      <c r="B644" t="s">
        <v>504</v>
      </c>
      <c r="C644">
        <v>5183</v>
      </c>
      <c r="D644">
        <v>5183</v>
      </c>
      <c r="E644">
        <v>4324</v>
      </c>
      <c r="F644">
        <v>1</v>
      </c>
      <c r="G644">
        <v>4324</v>
      </c>
      <c r="H644">
        <v>4324</v>
      </c>
      <c r="I644">
        <v>1</v>
      </c>
      <c r="J644">
        <v>4324</v>
      </c>
      <c r="K644">
        <v>0</v>
      </c>
      <c r="L644">
        <v>0</v>
      </c>
      <c r="M644">
        <v>859</v>
      </c>
      <c r="N644">
        <v>859</v>
      </c>
      <c r="O644">
        <v>5183</v>
      </c>
      <c r="P644">
        <v>5183</v>
      </c>
      <c r="Q644" t="s">
        <v>428</v>
      </c>
      <c r="R644"/>
      <c r="S644"/>
      <c r="T644"/>
    </row>
    <row r="645" spans="1:20" ht="14.5" customHeight="1" x14ac:dyDescent="0.35">
      <c r="A645">
        <v>40</v>
      </c>
      <c r="B645" t="s">
        <v>505</v>
      </c>
      <c r="C645">
        <v>0</v>
      </c>
      <c r="D645">
        <v>0</v>
      </c>
      <c r="E645">
        <v>0</v>
      </c>
      <c r="F645">
        <v>1</v>
      </c>
      <c r="G645">
        <v>0</v>
      </c>
      <c r="H645">
        <v>0</v>
      </c>
      <c r="I645">
        <v>1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 t="s">
        <v>428</v>
      </c>
      <c r="R645"/>
      <c r="S645"/>
      <c r="T645"/>
    </row>
    <row r="646" spans="1:20" x14ac:dyDescent="0.35">
      <c r="A646">
        <v>50</v>
      </c>
      <c r="B646" t="s">
        <v>506</v>
      </c>
      <c r="C646">
        <v>5183</v>
      </c>
      <c r="D646">
        <v>5183</v>
      </c>
      <c r="E646">
        <v>4324</v>
      </c>
      <c r="F646">
        <v>1</v>
      </c>
      <c r="G646">
        <v>4324</v>
      </c>
      <c r="H646">
        <v>4324</v>
      </c>
      <c r="I646">
        <v>1</v>
      </c>
      <c r="J646">
        <v>4324</v>
      </c>
      <c r="K646">
        <v>0</v>
      </c>
      <c r="L646">
        <v>0</v>
      </c>
      <c r="M646">
        <v>859</v>
      </c>
      <c r="N646">
        <v>859</v>
      </c>
      <c r="O646">
        <v>5183</v>
      </c>
      <c r="P646">
        <v>5183</v>
      </c>
      <c r="Q646" t="s">
        <v>428</v>
      </c>
      <c r="R646"/>
      <c r="S646"/>
      <c r="T646"/>
    </row>
    <row r="647" spans="1:20" x14ac:dyDescent="0.35">
      <c r="A647">
        <v>60</v>
      </c>
      <c r="B647" t="s">
        <v>507</v>
      </c>
      <c r="C647">
        <v>0</v>
      </c>
      <c r="D647">
        <v>0</v>
      </c>
      <c r="E647">
        <v>0</v>
      </c>
      <c r="F647">
        <v>1</v>
      </c>
      <c r="G647">
        <v>0</v>
      </c>
      <c r="H647">
        <v>0</v>
      </c>
      <c r="I647">
        <v>1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 t="s">
        <v>428</v>
      </c>
      <c r="R647"/>
      <c r="S647"/>
      <c r="T647"/>
    </row>
    <row r="648" spans="1:20" x14ac:dyDescent="0.35">
      <c r="A648">
        <v>70</v>
      </c>
      <c r="B648" t="s">
        <v>509</v>
      </c>
      <c r="C648">
        <v>5183</v>
      </c>
      <c r="D648">
        <v>5183</v>
      </c>
      <c r="E648">
        <v>4324</v>
      </c>
      <c r="F648">
        <v>1</v>
      </c>
      <c r="G648">
        <v>4324</v>
      </c>
      <c r="H648">
        <v>4324</v>
      </c>
      <c r="I648">
        <v>1</v>
      </c>
      <c r="J648">
        <v>4324</v>
      </c>
      <c r="K648">
        <v>0</v>
      </c>
      <c r="L648">
        <v>0</v>
      </c>
      <c r="M648">
        <v>859</v>
      </c>
      <c r="N648">
        <v>859</v>
      </c>
      <c r="O648">
        <v>5183</v>
      </c>
      <c r="P648">
        <v>5183</v>
      </c>
      <c r="Q648" t="s">
        <v>428</v>
      </c>
      <c r="R648"/>
      <c r="S648"/>
      <c r="T648"/>
    </row>
    <row r="649" spans="1:20" ht="14.5" customHeight="1" x14ac:dyDescent="0.35">
      <c r="A649">
        <v>80</v>
      </c>
      <c r="B649" t="s">
        <v>510</v>
      </c>
      <c r="C649">
        <v>0</v>
      </c>
      <c r="D649">
        <v>0</v>
      </c>
      <c r="E649">
        <v>0</v>
      </c>
      <c r="F649">
        <v>1</v>
      </c>
      <c r="G649">
        <v>0</v>
      </c>
      <c r="H649">
        <v>0</v>
      </c>
      <c r="I649">
        <v>1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 t="s">
        <v>428</v>
      </c>
      <c r="R649"/>
      <c r="S649"/>
      <c r="T649"/>
    </row>
    <row r="650" spans="1:20" ht="14.5" customHeight="1" x14ac:dyDescent="0.35">
      <c r="A650">
        <v>90</v>
      </c>
      <c r="B650" t="s">
        <v>511</v>
      </c>
      <c r="C650">
        <v>23.39</v>
      </c>
      <c r="D650">
        <v>23.39</v>
      </c>
      <c r="E650">
        <v>59.59</v>
      </c>
      <c r="F650">
        <v>1</v>
      </c>
      <c r="G650">
        <v>59.59</v>
      </c>
      <c r="H650">
        <v>59.59</v>
      </c>
      <c r="I650">
        <v>1</v>
      </c>
      <c r="J650">
        <v>59.59</v>
      </c>
      <c r="K650">
        <v>0</v>
      </c>
      <c r="L650">
        <v>0</v>
      </c>
      <c r="M650">
        <v>-36.200000000000003</v>
      </c>
      <c r="N650">
        <v>-36.200000000000003</v>
      </c>
      <c r="O650">
        <v>23.39</v>
      </c>
      <c r="P650">
        <v>23.39</v>
      </c>
      <c r="Q650" t="s">
        <v>428</v>
      </c>
      <c r="R650"/>
      <c r="S650"/>
      <c r="T650"/>
    </row>
    <row r="651" spans="1:20" ht="14.5" customHeight="1" x14ac:dyDescent="0.35">
      <c r="A651">
        <v>100</v>
      </c>
      <c r="B651" t="s">
        <v>512</v>
      </c>
      <c r="C651">
        <v>0</v>
      </c>
      <c r="D651">
        <v>0</v>
      </c>
      <c r="E651">
        <v>0</v>
      </c>
      <c r="F651">
        <v>1</v>
      </c>
      <c r="G651">
        <v>0</v>
      </c>
      <c r="H651">
        <v>0</v>
      </c>
      <c r="I651">
        <v>1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 t="s">
        <v>428</v>
      </c>
      <c r="R651"/>
      <c r="S651"/>
      <c r="T651"/>
    </row>
    <row r="652" spans="1:20" ht="14.5" customHeight="1" x14ac:dyDescent="0.35">
      <c r="A652">
        <v>110</v>
      </c>
      <c r="B652" t="s">
        <v>513</v>
      </c>
      <c r="C652">
        <v>23.39</v>
      </c>
      <c r="D652">
        <v>23.39</v>
      </c>
      <c r="E652">
        <v>59.59</v>
      </c>
      <c r="F652">
        <v>1</v>
      </c>
      <c r="G652">
        <v>59.59</v>
      </c>
      <c r="H652">
        <v>59.59</v>
      </c>
      <c r="I652">
        <v>1</v>
      </c>
      <c r="J652">
        <v>59.59</v>
      </c>
      <c r="K652">
        <v>0</v>
      </c>
      <c r="L652">
        <v>0</v>
      </c>
      <c r="M652">
        <v>-36.200000000000003</v>
      </c>
      <c r="N652">
        <v>-36.200000000000003</v>
      </c>
      <c r="O652">
        <v>23.39</v>
      </c>
      <c r="P652">
        <v>23.39</v>
      </c>
      <c r="Q652" t="s">
        <v>428</v>
      </c>
      <c r="R652"/>
      <c r="S652"/>
      <c r="T652"/>
    </row>
    <row r="653" spans="1:20" ht="14.5" customHeight="1" x14ac:dyDescent="0.35">
      <c r="A653">
        <v>120</v>
      </c>
      <c r="B653" t="s">
        <v>514</v>
      </c>
      <c r="C653">
        <v>5159.6099999999997</v>
      </c>
      <c r="D653">
        <v>5159.6099999999997</v>
      </c>
      <c r="E653">
        <v>4264.41</v>
      </c>
      <c r="F653">
        <v>1</v>
      </c>
      <c r="G653">
        <v>4264.41</v>
      </c>
      <c r="H653">
        <v>4264.41</v>
      </c>
      <c r="I653">
        <v>1</v>
      </c>
      <c r="J653">
        <v>4264.41</v>
      </c>
      <c r="K653">
        <v>0</v>
      </c>
      <c r="L653">
        <v>0</v>
      </c>
      <c r="M653">
        <v>895.2</v>
      </c>
      <c r="N653">
        <v>895.2</v>
      </c>
      <c r="O653">
        <v>5159.6099999999997</v>
      </c>
      <c r="P653">
        <v>5159.6099999999997</v>
      </c>
      <c r="Q653" t="s">
        <v>428</v>
      </c>
      <c r="R653"/>
      <c r="S653"/>
      <c r="T653"/>
    </row>
    <row r="654" spans="1:20" ht="14.5" customHeight="1" x14ac:dyDescent="0.35">
      <c r="A654">
        <v>130</v>
      </c>
      <c r="B654" t="s">
        <v>438</v>
      </c>
      <c r="C654">
        <v>0</v>
      </c>
      <c r="D654">
        <v>0</v>
      </c>
      <c r="E654">
        <v>0</v>
      </c>
      <c r="F654">
        <v>1</v>
      </c>
      <c r="G654">
        <v>0</v>
      </c>
      <c r="H654">
        <v>0</v>
      </c>
      <c r="I654">
        <v>1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 t="s">
        <v>428</v>
      </c>
      <c r="R654"/>
      <c r="S654"/>
      <c r="T654"/>
    </row>
    <row r="655" spans="1:20" ht="14.5" customHeight="1" x14ac:dyDescent="0.35">
      <c r="A655">
        <v>135</v>
      </c>
      <c r="B655" t="s">
        <v>515</v>
      </c>
      <c r="C655">
        <v>0</v>
      </c>
      <c r="D655">
        <v>0</v>
      </c>
      <c r="E655">
        <v>0</v>
      </c>
      <c r="F655">
        <v>1</v>
      </c>
      <c r="G655">
        <v>0</v>
      </c>
      <c r="H655">
        <v>0</v>
      </c>
      <c r="I655">
        <v>1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 t="s">
        <v>428</v>
      </c>
      <c r="R655"/>
      <c r="S655"/>
      <c r="T655"/>
    </row>
    <row r="656" spans="1:20" ht="14.5" customHeight="1" x14ac:dyDescent="0.35">
      <c r="A656">
        <v>140</v>
      </c>
      <c r="B656" t="s">
        <v>516</v>
      </c>
      <c r="C656">
        <v>2915.21</v>
      </c>
      <c r="D656">
        <v>2915.21</v>
      </c>
      <c r="E656">
        <v>4023.97</v>
      </c>
      <c r="F656">
        <v>1</v>
      </c>
      <c r="G656">
        <v>4023.97</v>
      </c>
      <c r="H656">
        <v>4023.97</v>
      </c>
      <c r="I656">
        <v>1</v>
      </c>
      <c r="J656">
        <v>4023.97</v>
      </c>
      <c r="K656">
        <v>0</v>
      </c>
      <c r="L656">
        <v>0</v>
      </c>
      <c r="M656">
        <v>-1108.76</v>
      </c>
      <c r="N656">
        <v>-1108.76</v>
      </c>
      <c r="O656">
        <v>2915.21</v>
      </c>
      <c r="P656">
        <v>2915.21</v>
      </c>
      <c r="Q656" t="s">
        <v>428</v>
      </c>
      <c r="R656"/>
      <c r="S656"/>
      <c r="T656"/>
    </row>
    <row r="657" spans="1:20" ht="14.5" customHeight="1" x14ac:dyDescent="0.35">
      <c r="A657">
        <v>150</v>
      </c>
      <c r="B657" t="s">
        <v>517</v>
      </c>
      <c r="C657">
        <v>0</v>
      </c>
      <c r="D657">
        <v>0</v>
      </c>
      <c r="E657">
        <v>0</v>
      </c>
      <c r="F657">
        <v>1</v>
      </c>
      <c r="G657">
        <v>0</v>
      </c>
      <c r="H657">
        <v>0</v>
      </c>
      <c r="I657">
        <v>1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 t="s">
        <v>428</v>
      </c>
      <c r="R657"/>
      <c r="S657"/>
      <c r="T657"/>
    </row>
    <row r="658" spans="1:20" ht="14.5" customHeight="1" x14ac:dyDescent="0.35">
      <c r="A658">
        <v>155</v>
      </c>
      <c r="B658" t="s">
        <v>442</v>
      </c>
      <c r="C658">
        <v>0</v>
      </c>
      <c r="D658">
        <v>0</v>
      </c>
      <c r="E658">
        <v>0</v>
      </c>
      <c r="F658">
        <v>1</v>
      </c>
      <c r="G658">
        <v>0</v>
      </c>
      <c r="H658">
        <v>0</v>
      </c>
      <c r="I658">
        <v>1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 t="s">
        <v>428</v>
      </c>
      <c r="R658"/>
      <c r="S658"/>
      <c r="T658"/>
    </row>
    <row r="659" spans="1:20" ht="14.5" customHeight="1" x14ac:dyDescent="0.35">
      <c r="A659">
        <v>160</v>
      </c>
      <c r="B659" t="s">
        <v>518</v>
      </c>
      <c r="C659">
        <v>2915.21</v>
      </c>
      <c r="D659">
        <v>2915.21</v>
      </c>
      <c r="E659">
        <v>4023.97</v>
      </c>
      <c r="F659">
        <v>1</v>
      </c>
      <c r="G659">
        <v>4023.97</v>
      </c>
      <c r="H659">
        <v>4023.97</v>
      </c>
      <c r="I659">
        <v>1</v>
      </c>
      <c r="J659">
        <v>4023.97</v>
      </c>
      <c r="K659">
        <v>0</v>
      </c>
      <c r="L659">
        <v>0</v>
      </c>
      <c r="M659">
        <v>-1108.76</v>
      </c>
      <c r="N659">
        <v>-1108.76</v>
      </c>
      <c r="O659">
        <v>2915.21</v>
      </c>
      <c r="P659">
        <v>2915.21</v>
      </c>
      <c r="Q659" t="s">
        <v>428</v>
      </c>
      <c r="R659"/>
      <c r="S659"/>
      <c r="T659"/>
    </row>
    <row r="660" spans="1:20" ht="14.5" customHeight="1" x14ac:dyDescent="0.35">
      <c r="A660">
        <v>170</v>
      </c>
      <c r="B660" t="s">
        <v>529</v>
      </c>
      <c r="C660">
        <v>2244.4</v>
      </c>
      <c r="D660">
        <v>2244.4</v>
      </c>
      <c r="E660">
        <v>240.44</v>
      </c>
      <c r="F660">
        <v>1</v>
      </c>
      <c r="G660">
        <v>240.44</v>
      </c>
      <c r="H660">
        <v>240.44</v>
      </c>
      <c r="I660">
        <v>1</v>
      </c>
      <c r="J660">
        <v>240.44</v>
      </c>
      <c r="K660">
        <v>0</v>
      </c>
      <c r="L660">
        <v>0</v>
      </c>
      <c r="M660">
        <v>2003.96</v>
      </c>
      <c r="N660">
        <v>2003.96</v>
      </c>
      <c r="O660">
        <v>2244.4</v>
      </c>
      <c r="P660">
        <v>2244.4</v>
      </c>
      <c r="Q660" t="s">
        <v>428</v>
      </c>
      <c r="R660"/>
      <c r="S660"/>
      <c r="T660"/>
    </row>
    <row r="661" spans="1:20" x14ac:dyDescent="0.35">
      <c r="A661">
        <v>180</v>
      </c>
      <c r="B661" t="s">
        <v>530</v>
      </c>
      <c r="C661">
        <v>0</v>
      </c>
      <c r="D661">
        <v>0</v>
      </c>
      <c r="E661">
        <v>0</v>
      </c>
      <c r="F661">
        <v>1</v>
      </c>
      <c r="G661">
        <v>0</v>
      </c>
      <c r="H661">
        <v>0</v>
      </c>
      <c r="I661">
        <v>1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 t="s">
        <v>428</v>
      </c>
      <c r="R661"/>
      <c r="S661"/>
      <c r="T661"/>
    </row>
    <row r="662" spans="1:20" x14ac:dyDescent="0.35">
      <c r="A662">
        <v>190</v>
      </c>
      <c r="B662" t="s">
        <v>520</v>
      </c>
      <c r="C662">
        <v>0</v>
      </c>
      <c r="D662">
        <v>0</v>
      </c>
      <c r="E662">
        <v>0</v>
      </c>
      <c r="F662">
        <v>1</v>
      </c>
      <c r="G662">
        <v>0</v>
      </c>
      <c r="H662">
        <v>0</v>
      </c>
      <c r="I662">
        <v>1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 t="s">
        <v>428</v>
      </c>
      <c r="R662"/>
      <c r="S662"/>
      <c r="T662"/>
    </row>
    <row r="663" spans="1:20" ht="14.5" customHeight="1" x14ac:dyDescent="0.35">
      <c r="A663">
        <v>200</v>
      </c>
      <c r="B663" t="s">
        <v>522</v>
      </c>
      <c r="C663">
        <v>2244.4</v>
      </c>
      <c r="D663">
        <v>2244.4</v>
      </c>
      <c r="E663">
        <v>240.44</v>
      </c>
      <c r="F663">
        <v>1</v>
      </c>
      <c r="G663">
        <v>240.44</v>
      </c>
      <c r="H663">
        <v>240.44</v>
      </c>
      <c r="I663">
        <v>1</v>
      </c>
      <c r="J663">
        <v>240.44</v>
      </c>
      <c r="K663">
        <v>0</v>
      </c>
      <c r="L663">
        <v>0</v>
      </c>
      <c r="M663">
        <v>2003.96</v>
      </c>
      <c r="N663">
        <v>2003.96</v>
      </c>
      <c r="O663">
        <v>2244.4</v>
      </c>
      <c r="P663">
        <v>2244.4</v>
      </c>
      <c r="Q663" t="s">
        <v>428</v>
      </c>
      <c r="R663"/>
      <c r="S663"/>
      <c r="T663"/>
    </row>
    <row r="664" spans="1:20" ht="14.5" customHeight="1" x14ac:dyDescent="0.35">
      <c r="A664">
        <v>210</v>
      </c>
      <c r="B664" t="s">
        <v>523</v>
      </c>
      <c r="C664">
        <v>5159.6099999999997</v>
      </c>
      <c r="D664">
        <v>5159.6099999999997</v>
      </c>
      <c r="E664">
        <v>4264.41</v>
      </c>
      <c r="F664">
        <v>1</v>
      </c>
      <c r="G664">
        <v>4264.41</v>
      </c>
      <c r="H664">
        <v>4264.41</v>
      </c>
      <c r="I664">
        <v>1</v>
      </c>
      <c r="J664">
        <v>4264.41</v>
      </c>
      <c r="K664">
        <v>0</v>
      </c>
      <c r="L664">
        <v>0</v>
      </c>
      <c r="M664">
        <v>895.2</v>
      </c>
      <c r="N664">
        <v>895.2</v>
      </c>
      <c r="O664">
        <v>5159.6099999999997</v>
      </c>
      <c r="P664">
        <v>5159.6099999999997</v>
      </c>
      <c r="Q664" t="s">
        <v>428</v>
      </c>
      <c r="R664"/>
      <c r="S664"/>
      <c r="T664"/>
    </row>
    <row r="665" spans="1:20" x14ac:dyDescent="0.35">
      <c r="A665" t="s">
        <v>536</v>
      </c>
      <c r="B665" t="s">
        <v>416</v>
      </c>
      <c r="C665" t="s">
        <v>469</v>
      </c>
      <c r="D665" t="s">
        <v>470</v>
      </c>
      <c r="E665" t="s">
        <v>419</v>
      </c>
      <c r="F665" t="s">
        <v>471</v>
      </c>
      <c r="G665" t="s">
        <v>472</v>
      </c>
      <c r="H665" t="s">
        <v>473</v>
      </c>
      <c r="I665" t="s">
        <v>474</v>
      </c>
      <c r="J665" t="s">
        <v>475</v>
      </c>
      <c r="K665" t="s">
        <v>476</v>
      </c>
      <c r="L665" t="s">
        <v>477</v>
      </c>
      <c r="M665" t="s">
        <v>129</v>
      </c>
      <c r="N665" t="s">
        <v>131</v>
      </c>
      <c r="O665" t="s">
        <v>132</v>
      </c>
      <c r="P665" t="s">
        <v>133</v>
      </c>
      <c r="Q665" t="s">
        <v>121</v>
      </c>
      <c r="R665"/>
      <c r="S665"/>
      <c r="T665"/>
    </row>
    <row r="666" spans="1:20" x14ac:dyDescent="0.35">
      <c r="A666">
        <v>30</v>
      </c>
      <c r="B666" t="s">
        <v>504</v>
      </c>
      <c r="C666">
        <v>0</v>
      </c>
      <c r="D666">
        <v>0</v>
      </c>
      <c r="E666">
        <v>0</v>
      </c>
      <c r="F666">
        <v>1</v>
      </c>
      <c r="G666">
        <v>0</v>
      </c>
      <c r="H666">
        <v>0</v>
      </c>
      <c r="I666">
        <v>1</v>
      </c>
      <c r="J666">
        <v>0</v>
      </c>
      <c r="K666">
        <v>0</v>
      </c>
      <c r="L666">
        <v>21898545</v>
      </c>
      <c r="M666">
        <v>0</v>
      </c>
      <c r="N666">
        <v>0</v>
      </c>
      <c r="O666">
        <v>0</v>
      </c>
      <c r="P666">
        <v>-21898545</v>
      </c>
      <c r="Q666" t="s">
        <v>428</v>
      </c>
      <c r="R666"/>
      <c r="S666"/>
      <c r="T666"/>
    </row>
    <row r="667" spans="1:20" x14ac:dyDescent="0.35">
      <c r="A667">
        <v>40</v>
      </c>
      <c r="B667" t="s">
        <v>505</v>
      </c>
      <c r="C667">
        <v>0</v>
      </c>
      <c r="D667">
        <v>0</v>
      </c>
      <c r="E667">
        <v>0</v>
      </c>
      <c r="F667">
        <v>1</v>
      </c>
      <c r="G667">
        <v>0</v>
      </c>
      <c r="H667">
        <v>0</v>
      </c>
      <c r="I667">
        <v>1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 t="s">
        <v>428</v>
      </c>
      <c r="R667"/>
      <c r="S667"/>
      <c r="T667"/>
    </row>
    <row r="668" spans="1:20" x14ac:dyDescent="0.35">
      <c r="A668">
        <v>50</v>
      </c>
      <c r="B668" t="s">
        <v>506</v>
      </c>
      <c r="C668">
        <v>0</v>
      </c>
      <c r="D668">
        <v>0</v>
      </c>
      <c r="E668">
        <v>0</v>
      </c>
      <c r="F668">
        <v>1</v>
      </c>
      <c r="G668">
        <v>0</v>
      </c>
      <c r="H668">
        <v>0</v>
      </c>
      <c r="I668">
        <v>1</v>
      </c>
      <c r="J668">
        <v>0</v>
      </c>
      <c r="K668">
        <v>0</v>
      </c>
      <c r="L668">
        <v>21898545</v>
      </c>
      <c r="M668">
        <v>0</v>
      </c>
      <c r="N668">
        <v>0</v>
      </c>
      <c r="O668">
        <v>0</v>
      </c>
      <c r="P668">
        <v>-21898545</v>
      </c>
      <c r="Q668" t="s">
        <v>428</v>
      </c>
      <c r="R668"/>
      <c r="S668"/>
      <c r="T668"/>
    </row>
    <row r="669" spans="1:20" x14ac:dyDescent="0.35">
      <c r="A669">
        <v>60</v>
      </c>
      <c r="B669" t="s">
        <v>507</v>
      </c>
      <c r="C669">
        <v>0</v>
      </c>
      <c r="D669">
        <v>0</v>
      </c>
      <c r="E669">
        <v>0</v>
      </c>
      <c r="F669">
        <v>1</v>
      </c>
      <c r="G669">
        <v>0</v>
      </c>
      <c r="H669">
        <v>0</v>
      </c>
      <c r="I669">
        <v>1</v>
      </c>
      <c r="J669">
        <v>0</v>
      </c>
      <c r="K669">
        <v>0</v>
      </c>
      <c r="L669">
        <v>8277651</v>
      </c>
      <c r="M669">
        <v>0</v>
      </c>
      <c r="N669">
        <v>0</v>
      </c>
      <c r="O669">
        <v>0</v>
      </c>
      <c r="P669">
        <v>-8277651</v>
      </c>
      <c r="Q669" t="s">
        <v>428</v>
      </c>
      <c r="R669"/>
      <c r="S669"/>
      <c r="T669"/>
    </row>
    <row r="670" spans="1:20" x14ac:dyDescent="0.35">
      <c r="A670">
        <v>65</v>
      </c>
      <c r="B670" t="s">
        <v>508</v>
      </c>
      <c r="C670">
        <v>0</v>
      </c>
      <c r="D670">
        <v>0</v>
      </c>
      <c r="E670">
        <v>0</v>
      </c>
      <c r="F670">
        <v>1</v>
      </c>
      <c r="G670">
        <v>0</v>
      </c>
      <c r="H670">
        <v>0</v>
      </c>
      <c r="I670">
        <v>1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 t="s">
        <v>428</v>
      </c>
      <c r="R670"/>
      <c r="S670"/>
      <c r="T670"/>
    </row>
    <row r="671" spans="1:20" x14ac:dyDescent="0.35">
      <c r="A671">
        <v>70</v>
      </c>
      <c r="B671" t="s">
        <v>509</v>
      </c>
      <c r="C671">
        <v>0</v>
      </c>
      <c r="D671">
        <v>0</v>
      </c>
      <c r="E671">
        <v>0</v>
      </c>
      <c r="F671">
        <v>1</v>
      </c>
      <c r="G671">
        <v>0</v>
      </c>
      <c r="H671">
        <v>0</v>
      </c>
      <c r="I671">
        <v>1</v>
      </c>
      <c r="J671">
        <v>0</v>
      </c>
      <c r="K671">
        <v>0</v>
      </c>
      <c r="L671">
        <v>13620894</v>
      </c>
      <c r="M671">
        <v>0</v>
      </c>
      <c r="N671">
        <v>0</v>
      </c>
      <c r="O671">
        <v>0</v>
      </c>
      <c r="P671">
        <v>-13620894</v>
      </c>
      <c r="Q671" t="s">
        <v>428</v>
      </c>
      <c r="R671"/>
      <c r="S671"/>
      <c r="T671"/>
    </row>
    <row r="672" spans="1:20" x14ac:dyDescent="0.35">
      <c r="A672">
        <v>80</v>
      </c>
      <c r="B672" t="s">
        <v>510</v>
      </c>
      <c r="C672">
        <v>0</v>
      </c>
      <c r="D672">
        <v>0</v>
      </c>
      <c r="E672">
        <v>0</v>
      </c>
      <c r="F672">
        <v>1</v>
      </c>
      <c r="G672">
        <v>0</v>
      </c>
      <c r="H672">
        <v>0</v>
      </c>
      <c r="I672">
        <v>1</v>
      </c>
      <c r="J672">
        <v>0</v>
      </c>
      <c r="K672">
        <v>0</v>
      </c>
      <c r="L672">
        <v>11974629</v>
      </c>
      <c r="M672">
        <v>0</v>
      </c>
      <c r="N672">
        <v>0</v>
      </c>
      <c r="O672">
        <v>0</v>
      </c>
      <c r="P672">
        <v>-11974629</v>
      </c>
      <c r="Q672" t="s">
        <v>428</v>
      </c>
      <c r="R672"/>
      <c r="S672"/>
      <c r="T672"/>
    </row>
    <row r="673" spans="1:20" x14ac:dyDescent="0.35">
      <c r="A673">
        <v>90</v>
      </c>
      <c r="B673" t="s">
        <v>511</v>
      </c>
      <c r="C673">
        <v>10</v>
      </c>
      <c r="D673">
        <v>10</v>
      </c>
      <c r="E673">
        <v>2905.92</v>
      </c>
      <c r="F673">
        <v>1</v>
      </c>
      <c r="G673">
        <v>2905.92</v>
      </c>
      <c r="H673">
        <v>2905.92</v>
      </c>
      <c r="I673">
        <v>1</v>
      </c>
      <c r="J673">
        <v>2905.92</v>
      </c>
      <c r="K673">
        <v>0</v>
      </c>
      <c r="L673">
        <v>1279857</v>
      </c>
      <c r="M673">
        <v>-2895.92</v>
      </c>
      <c r="N673">
        <v>-2895.92</v>
      </c>
      <c r="O673">
        <v>10</v>
      </c>
      <c r="P673">
        <v>-1279847</v>
      </c>
      <c r="Q673" t="s">
        <v>428</v>
      </c>
      <c r="R673"/>
      <c r="S673"/>
      <c r="T673"/>
    </row>
    <row r="674" spans="1:20" x14ac:dyDescent="0.35">
      <c r="A674">
        <v>100</v>
      </c>
      <c r="B674" t="s">
        <v>512</v>
      </c>
      <c r="C674">
        <v>0</v>
      </c>
      <c r="D674">
        <v>0</v>
      </c>
      <c r="E674">
        <v>0</v>
      </c>
      <c r="F674">
        <v>1</v>
      </c>
      <c r="G674">
        <v>0</v>
      </c>
      <c r="H674">
        <v>0</v>
      </c>
      <c r="I674">
        <v>1</v>
      </c>
      <c r="J674">
        <v>0</v>
      </c>
      <c r="K674">
        <v>0</v>
      </c>
      <c r="L674">
        <v>171684</v>
      </c>
      <c r="M674">
        <v>0</v>
      </c>
      <c r="N674">
        <v>0</v>
      </c>
      <c r="O674">
        <v>0</v>
      </c>
      <c r="P674">
        <v>-171684</v>
      </c>
      <c r="Q674" t="s">
        <v>428</v>
      </c>
      <c r="R674"/>
      <c r="S674"/>
      <c r="T674"/>
    </row>
    <row r="675" spans="1:20" x14ac:dyDescent="0.35">
      <c r="A675">
        <v>110</v>
      </c>
      <c r="B675" t="s">
        <v>513</v>
      </c>
      <c r="C675">
        <v>10</v>
      </c>
      <c r="D675">
        <v>10</v>
      </c>
      <c r="E675">
        <v>2905.92</v>
      </c>
      <c r="F675">
        <v>1</v>
      </c>
      <c r="G675">
        <v>2905.92</v>
      </c>
      <c r="H675">
        <v>2905.92</v>
      </c>
      <c r="I675">
        <v>1</v>
      </c>
      <c r="J675">
        <v>2905.92</v>
      </c>
      <c r="K675">
        <v>0</v>
      </c>
      <c r="L675">
        <v>13426170</v>
      </c>
      <c r="M675">
        <v>-2895.92</v>
      </c>
      <c r="N675">
        <v>-2895.92</v>
      </c>
      <c r="O675">
        <v>10</v>
      </c>
      <c r="P675">
        <v>-13426160</v>
      </c>
      <c r="Q675" t="s">
        <v>428</v>
      </c>
      <c r="R675"/>
      <c r="S675"/>
      <c r="T675"/>
    </row>
    <row r="676" spans="1:20" x14ac:dyDescent="0.35">
      <c r="A676">
        <v>120</v>
      </c>
      <c r="B676" t="s">
        <v>514</v>
      </c>
      <c r="C676">
        <v>-10</v>
      </c>
      <c r="D676">
        <v>-10</v>
      </c>
      <c r="E676">
        <v>-2905.92</v>
      </c>
      <c r="F676">
        <v>1</v>
      </c>
      <c r="G676">
        <v>-2905.92</v>
      </c>
      <c r="H676">
        <v>-2905.92</v>
      </c>
      <c r="I676">
        <v>1</v>
      </c>
      <c r="J676">
        <v>-2905.92</v>
      </c>
      <c r="K676">
        <v>0</v>
      </c>
      <c r="L676">
        <v>194724</v>
      </c>
      <c r="M676">
        <v>2895.92</v>
      </c>
      <c r="N676">
        <v>2895.92</v>
      </c>
      <c r="O676">
        <v>-10</v>
      </c>
      <c r="P676">
        <v>-194734</v>
      </c>
      <c r="Q676" t="s">
        <v>428</v>
      </c>
      <c r="R676"/>
      <c r="S676"/>
      <c r="T676"/>
    </row>
    <row r="677" spans="1:20" x14ac:dyDescent="0.35">
      <c r="A677">
        <v>130</v>
      </c>
      <c r="B677"/>
      <c r="C677">
        <v>0</v>
      </c>
      <c r="D677">
        <v>0</v>
      </c>
      <c r="E677">
        <v>0</v>
      </c>
      <c r="F677">
        <v>1</v>
      </c>
      <c r="G677">
        <v>0</v>
      </c>
      <c r="H677">
        <v>0</v>
      </c>
      <c r="I677">
        <v>1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 t="s">
        <v>428</v>
      </c>
      <c r="R677"/>
      <c r="S677"/>
      <c r="T677"/>
    </row>
    <row r="678" spans="1:20" x14ac:dyDescent="0.35">
      <c r="A678">
        <v>135</v>
      </c>
      <c r="B678" t="s">
        <v>515</v>
      </c>
      <c r="C678">
        <v>0</v>
      </c>
      <c r="D678">
        <v>0</v>
      </c>
      <c r="E678">
        <v>-900</v>
      </c>
      <c r="F678">
        <v>1</v>
      </c>
      <c r="G678">
        <v>-900</v>
      </c>
      <c r="H678">
        <v>-900</v>
      </c>
      <c r="I678">
        <v>1</v>
      </c>
      <c r="J678">
        <v>-900</v>
      </c>
      <c r="K678">
        <v>0</v>
      </c>
      <c r="L678">
        <v>-616560</v>
      </c>
      <c r="M678">
        <v>900</v>
      </c>
      <c r="N678">
        <v>900</v>
      </c>
      <c r="O678">
        <v>0</v>
      </c>
      <c r="P678">
        <v>616560</v>
      </c>
      <c r="Q678" t="s">
        <v>428</v>
      </c>
      <c r="R678"/>
      <c r="S678"/>
      <c r="T678"/>
    </row>
    <row r="679" spans="1:20" x14ac:dyDescent="0.35">
      <c r="A679">
        <v>140</v>
      </c>
      <c r="B679" t="s">
        <v>516</v>
      </c>
      <c r="C679">
        <v>0</v>
      </c>
      <c r="D679">
        <v>0</v>
      </c>
      <c r="E679">
        <v>0</v>
      </c>
      <c r="F679">
        <v>1</v>
      </c>
      <c r="G679">
        <v>0</v>
      </c>
      <c r="H679">
        <v>0</v>
      </c>
      <c r="I679">
        <v>1</v>
      </c>
      <c r="J679">
        <v>0</v>
      </c>
      <c r="K679">
        <v>0</v>
      </c>
      <c r="L679">
        <v>369382</v>
      </c>
      <c r="M679">
        <v>0</v>
      </c>
      <c r="N679">
        <v>0</v>
      </c>
      <c r="O679">
        <v>0</v>
      </c>
      <c r="P679">
        <v>-369382</v>
      </c>
      <c r="Q679" t="s">
        <v>428</v>
      </c>
      <c r="R679"/>
      <c r="S679"/>
      <c r="T679"/>
    </row>
    <row r="680" spans="1:20" x14ac:dyDescent="0.35">
      <c r="A680">
        <v>150</v>
      </c>
      <c r="B680" t="s">
        <v>517</v>
      </c>
      <c r="C680">
        <v>0</v>
      </c>
      <c r="D680">
        <v>0</v>
      </c>
      <c r="E680">
        <v>0</v>
      </c>
      <c r="F680">
        <v>1</v>
      </c>
      <c r="G680">
        <v>0</v>
      </c>
      <c r="H680">
        <v>0</v>
      </c>
      <c r="I680">
        <v>1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 t="s">
        <v>428</v>
      </c>
      <c r="R680"/>
      <c r="S680"/>
      <c r="T680"/>
    </row>
    <row r="681" spans="1:20" x14ac:dyDescent="0.35">
      <c r="A681">
        <v>155</v>
      </c>
      <c r="B681"/>
      <c r="C681">
        <v>0</v>
      </c>
      <c r="D681">
        <v>0</v>
      </c>
      <c r="E681">
        <v>0</v>
      </c>
      <c r="F681">
        <v>1</v>
      </c>
      <c r="G681">
        <v>0</v>
      </c>
      <c r="H681">
        <v>0</v>
      </c>
      <c r="I681">
        <v>1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 t="s">
        <v>428</v>
      </c>
      <c r="R681"/>
      <c r="S681"/>
      <c r="T681"/>
    </row>
    <row r="682" spans="1:20" x14ac:dyDescent="0.35">
      <c r="A682">
        <v>160</v>
      </c>
      <c r="B682" t="s">
        <v>518</v>
      </c>
      <c r="C682">
        <v>0</v>
      </c>
      <c r="D682">
        <v>0</v>
      </c>
      <c r="E682">
        <v>-900</v>
      </c>
      <c r="F682">
        <v>1</v>
      </c>
      <c r="G682">
        <v>-900</v>
      </c>
      <c r="H682">
        <v>-900</v>
      </c>
      <c r="I682">
        <v>1</v>
      </c>
      <c r="J682">
        <v>-900</v>
      </c>
      <c r="K682">
        <v>0</v>
      </c>
      <c r="L682">
        <v>-247178</v>
      </c>
      <c r="M682">
        <v>900</v>
      </c>
      <c r="N682">
        <v>900</v>
      </c>
      <c r="O682">
        <v>0</v>
      </c>
      <c r="P682">
        <v>247178</v>
      </c>
      <c r="Q682" t="s">
        <v>428</v>
      </c>
      <c r="R682"/>
      <c r="S682"/>
      <c r="T682"/>
    </row>
    <row r="683" spans="1:20" x14ac:dyDescent="0.35">
      <c r="A683">
        <v>170</v>
      </c>
      <c r="B683" t="s">
        <v>529</v>
      </c>
      <c r="C683">
        <v>-10</v>
      </c>
      <c r="D683">
        <v>-10</v>
      </c>
      <c r="E683">
        <v>-2005.92</v>
      </c>
      <c r="F683">
        <v>1</v>
      </c>
      <c r="G683">
        <v>-2005.92</v>
      </c>
      <c r="H683">
        <v>-2005.92</v>
      </c>
      <c r="I683">
        <v>1</v>
      </c>
      <c r="J683">
        <v>-2005.92</v>
      </c>
      <c r="K683">
        <v>0</v>
      </c>
      <c r="L683">
        <v>441902</v>
      </c>
      <c r="M683">
        <v>1995.92</v>
      </c>
      <c r="N683">
        <v>1995.92</v>
      </c>
      <c r="O683">
        <v>-10</v>
      </c>
      <c r="P683">
        <v>-441912</v>
      </c>
      <c r="Q683" t="s">
        <v>428</v>
      </c>
      <c r="R683"/>
      <c r="S683"/>
      <c r="T683"/>
    </row>
    <row r="684" spans="1:20" x14ac:dyDescent="0.35">
      <c r="A684">
        <v>180</v>
      </c>
      <c r="B684" t="s">
        <v>530</v>
      </c>
      <c r="C684">
        <v>0</v>
      </c>
      <c r="D684">
        <v>0</v>
      </c>
      <c r="E684">
        <v>0</v>
      </c>
      <c r="F684">
        <v>1</v>
      </c>
      <c r="G684">
        <v>0</v>
      </c>
      <c r="H684">
        <v>0</v>
      </c>
      <c r="I684">
        <v>1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 t="s">
        <v>428</v>
      </c>
      <c r="R684"/>
      <c r="S684"/>
      <c r="T684"/>
    </row>
    <row r="685" spans="1:20" x14ac:dyDescent="0.35">
      <c r="A685">
        <v>190</v>
      </c>
      <c r="B685" t="s">
        <v>520</v>
      </c>
      <c r="C685">
        <v>0</v>
      </c>
      <c r="D685">
        <v>0</v>
      </c>
      <c r="E685">
        <v>0</v>
      </c>
      <c r="F685">
        <v>1</v>
      </c>
      <c r="G685">
        <v>0</v>
      </c>
      <c r="H685">
        <v>0</v>
      </c>
      <c r="I685">
        <v>1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 t="s">
        <v>428</v>
      </c>
      <c r="R685"/>
      <c r="S685"/>
      <c r="T685"/>
    </row>
    <row r="686" spans="1:20" x14ac:dyDescent="0.35">
      <c r="A686">
        <v>200</v>
      </c>
      <c r="B686" t="s">
        <v>522</v>
      </c>
      <c r="C686">
        <v>-10</v>
      </c>
      <c r="D686">
        <v>-10</v>
      </c>
      <c r="E686">
        <v>-2005.92</v>
      </c>
      <c r="F686">
        <v>1</v>
      </c>
      <c r="G686">
        <v>-2005.92</v>
      </c>
      <c r="H686">
        <v>-2005.92</v>
      </c>
      <c r="I686">
        <v>1</v>
      </c>
      <c r="J686">
        <v>-2005.92</v>
      </c>
      <c r="K686">
        <v>0</v>
      </c>
      <c r="L686">
        <v>441902</v>
      </c>
      <c r="M686">
        <v>1995.92</v>
      </c>
      <c r="N686">
        <v>1995.92</v>
      </c>
      <c r="O686">
        <v>-10</v>
      </c>
      <c r="P686">
        <v>-441912</v>
      </c>
      <c r="Q686" t="s">
        <v>428</v>
      </c>
      <c r="R686"/>
      <c r="S686"/>
      <c r="T686"/>
    </row>
    <row r="687" spans="1:20" x14ac:dyDescent="0.35">
      <c r="A687">
        <v>210</v>
      </c>
      <c r="B687" t="s">
        <v>523</v>
      </c>
      <c r="C687">
        <v>-10</v>
      </c>
      <c r="D687">
        <v>-10</v>
      </c>
      <c r="E687">
        <v>-2905.92</v>
      </c>
      <c r="F687">
        <v>1</v>
      </c>
      <c r="G687">
        <v>-2905.92</v>
      </c>
      <c r="H687">
        <v>-2905.92</v>
      </c>
      <c r="I687">
        <v>1</v>
      </c>
      <c r="J687">
        <v>-2905.92</v>
      </c>
      <c r="K687">
        <v>0</v>
      </c>
      <c r="L687">
        <v>366408</v>
      </c>
      <c r="M687">
        <v>2895.92</v>
      </c>
      <c r="N687">
        <v>2895.92</v>
      </c>
      <c r="O687">
        <v>-10</v>
      </c>
      <c r="P687">
        <v>-366418</v>
      </c>
      <c r="Q687" t="s">
        <v>428</v>
      </c>
      <c r="R687"/>
      <c r="S687"/>
      <c r="T687"/>
    </row>
    <row r="688" spans="1:20" x14ac:dyDescent="0.3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DBG"/>
  <dimension ref="A1:J1676"/>
  <sheetViews>
    <sheetView topLeftCell="A49" zoomScale="70" zoomScaleNormal="70" workbookViewId="0">
      <selection sqref="A1:J1676"/>
    </sheetView>
  </sheetViews>
  <sheetFormatPr baseColWidth="10" defaultColWidth="8.7265625" defaultRowHeight="14.5" x14ac:dyDescent="0.35"/>
  <cols>
    <col min="1" max="1" width="17" style="178" bestFit="1" customWidth="1"/>
    <col min="2" max="2" width="33.81640625" style="178" bestFit="1" customWidth="1"/>
    <col min="3" max="3" width="10.81640625" style="178" bestFit="1" customWidth="1"/>
    <col min="4" max="8" width="8.7265625" style="178"/>
    <col min="9" max="9" width="8.7265625" style="178" customWidth="1"/>
    <col min="10" max="16384" width="8.7265625" style="178"/>
  </cols>
  <sheetData>
    <row r="1" spans="1:10" x14ac:dyDescent="0.35">
      <c r="A1" t="s">
        <v>415</v>
      </c>
      <c r="B1" t="s">
        <v>416</v>
      </c>
      <c r="C1" t="s">
        <v>537</v>
      </c>
      <c r="D1" t="s">
        <v>538</v>
      </c>
      <c r="E1" t="s">
        <v>539</v>
      </c>
      <c r="F1" t="s">
        <v>540</v>
      </c>
      <c r="G1" t="s">
        <v>541</v>
      </c>
      <c r="H1" t="s">
        <v>542</v>
      </c>
      <c r="I1" t="s">
        <v>543</v>
      </c>
      <c r="J1" t="s">
        <v>121</v>
      </c>
    </row>
    <row r="2" spans="1:10" x14ac:dyDescent="0.35">
      <c r="A2">
        <v>10</v>
      </c>
      <c r="B2" t="s">
        <v>544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 t="s">
        <v>428</v>
      </c>
    </row>
    <row r="3" spans="1:10" x14ac:dyDescent="0.35">
      <c r="A3">
        <v>20</v>
      </c>
      <c r="B3" t="s">
        <v>194</v>
      </c>
      <c r="C3">
        <v>6814601.8799999999</v>
      </c>
      <c r="D3">
        <v>0</v>
      </c>
      <c r="E3">
        <v>6814601.8799999999</v>
      </c>
      <c r="F3">
        <v>-2437404.69</v>
      </c>
      <c r="G3">
        <v>-2437404.69</v>
      </c>
      <c r="H3">
        <v>9252006.5700000003</v>
      </c>
      <c r="I3">
        <v>9252006.5700000003</v>
      </c>
      <c r="J3" t="s">
        <v>428</v>
      </c>
    </row>
    <row r="4" spans="1:10" x14ac:dyDescent="0.35">
      <c r="A4">
        <v>30</v>
      </c>
      <c r="B4" t="s">
        <v>195</v>
      </c>
      <c r="C4">
        <v>4265598.13</v>
      </c>
      <c r="D4">
        <v>0</v>
      </c>
      <c r="E4">
        <v>4265598.13</v>
      </c>
      <c r="F4">
        <v>280961.07</v>
      </c>
      <c r="G4">
        <v>280961.07</v>
      </c>
      <c r="H4">
        <v>3984637.06</v>
      </c>
      <c r="I4">
        <v>3984637.06</v>
      </c>
      <c r="J4" t="s">
        <v>428</v>
      </c>
    </row>
    <row r="5" spans="1:10" x14ac:dyDescent="0.35">
      <c r="A5">
        <v>40</v>
      </c>
      <c r="B5" t="s">
        <v>196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 t="s">
        <v>428</v>
      </c>
    </row>
    <row r="6" spans="1:10" x14ac:dyDescent="0.35">
      <c r="A6">
        <v>50</v>
      </c>
      <c r="B6" t="s">
        <v>197</v>
      </c>
      <c r="C6">
        <v>68706175.299999997</v>
      </c>
      <c r="D6">
        <v>0</v>
      </c>
      <c r="E6">
        <v>68706175.299999997</v>
      </c>
      <c r="F6">
        <v>4849502.43</v>
      </c>
      <c r="G6">
        <v>4849502.43</v>
      </c>
      <c r="H6">
        <v>63856672.869999997</v>
      </c>
      <c r="I6">
        <v>63856672.869999997</v>
      </c>
      <c r="J6" t="s">
        <v>428</v>
      </c>
    </row>
    <row r="7" spans="1:10" x14ac:dyDescent="0.35">
      <c r="A7">
        <v>60</v>
      </c>
      <c r="B7" t="s">
        <v>198</v>
      </c>
      <c r="C7">
        <v>5243621.91</v>
      </c>
      <c r="D7">
        <v>0</v>
      </c>
      <c r="E7">
        <v>5243621.91</v>
      </c>
      <c r="F7">
        <v>-437242.31</v>
      </c>
      <c r="G7">
        <v>-437242.31</v>
      </c>
      <c r="H7">
        <v>5680864.2199999997</v>
      </c>
      <c r="I7">
        <v>5680864.2199999997</v>
      </c>
      <c r="J7" t="s">
        <v>428</v>
      </c>
    </row>
    <row r="8" spans="1:10" x14ac:dyDescent="0.35">
      <c r="A8">
        <v>70</v>
      </c>
      <c r="B8" t="s">
        <v>199</v>
      </c>
      <c r="C8">
        <v>-205338.13</v>
      </c>
      <c r="D8">
        <v>0</v>
      </c>
      <c r="E8">
        <v>-205338.13</v>
      </c>
      <c r="F8">
        <v>-1563254.88</v>
      </c>
      <c r="G8">
        <v>-1563254.88</v>
      </c>
      <c r="H8">
        <v>1357916.75</v>
      </c>
      <c r="I8">
        <v>1357916.75</v>
      </c>
      <c r="J8" t="s">
        <v>428</v>
      </c>
    </row>
    <row r="9" spans="1:10" x14ac:dyDescent="0.35">
      <c r="A9">
        <v>80</v>
      </c>
      <c r="B9" t="s">
        <v>545</v>
      </c>
      <c r="C9">
        <v>11726142.02</v>
      </c>
      <c r="D9">
        <v>0</v>
      </c>
      <c r="E9">
        <v>11726142.02</v>
      </c>
      <c r="F9">
        <v>100004.36</v>
      </c>
      <c r="G9">
        <v>100004.36</v>
      </c>
      <c r="H9">
        <v>11626137.66</v>
      </c>
      <c r="I9">
        <v>11626137.66</v>
      </c>
      <c r="J9" t="s">
        <v>428</v>
      </c>
    </row>
    <row r="10" spans="1:10" x14ac:dyDescent="0.35">
      <c r="A10">
        <v>100</v>
      </c>
      <c r="B10" t="s">
        <v>546</v>
      </c>
      <c r="C10">
        <v>96550801.109999999</v>
      </c>
      <c r="D10">
        <v>0</v>
      </c>
      <c r="E10">
        <v>96550801.109999999</v>
      </c>
      <c r="F10">
        <v>792565.98</v>
      </c>
      <c r="G10">
        <v>792565.98</v>
      </c>
      <c r="H10">
        <v>95758235.129999995</v>
      </c>
      <c r="I10">
        <v>95758235.129999995</v>
      </c>
      <c r="J10" t="s">
        <v>428</v>
      </c>
    </row>
    <row r="11" spans="1:10" x14ac:dyDescent="0.35">
      <c r="A11">
        <v>110</v>
      </c>
      <c r="B11" t="s">
        <v>547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 t="s">
        <v>428</v>
      </c>
    </row>
    <row r="12" spans="1:10" x14ac:dyDescent="0.35">
      <c r="A12">
        <v>120</v>
      </c>
      <c r="B12" t="s">
        <v>203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 t="s">
        <v>428</v>
      </c>
    </row>
    <row r="13" spans="1:10" x14ac:dyDescent="0.35">
      <c r="A13">
        <v>130</v>
      </c>
      <c r="B13" t="s">
        <v>204</v>
      </c>
      <c r="C13">
        <v>34775380.43</v>
      </c>
      <c r="D13">
        <v>0</v>
      </c>
      <c r="E13">
        <v>34775380.43</v>
      </c>
      <c r="F13">
        <v>0</v>
      </c>
      <c r="G13">
        <v>0</v>
      </c>
      <c r="H13">
        <v>34775380.43</v>
      </c>
      <c r="I13">
        <v>34775380.43</v>
      </c>
      <c r="J13" t="s">
        <v>428</v>
      </c>
    </row>
    <row r="14" spans="1:10" x14ac:dyDescent="0.35">
      <c r="A14">
        <v>140</v>
      </c>
      <c r="B14" t="s">
        <v>205</v>
      </c>
      <c r="C14">
        <v>5591356.6699999999</v>
      </c>
      <c r="D14">
        <v>0</v>
      </c>
      <c r="E14">
        <v>5591356.6699999999</v>
      </c>
      <c r="F14">
        <v>0</v>
      </c>
      <c r="G14">
        <v>0</v>
      </c>
      <c r="H14">
        <v>5591356.6699999999</v>
      </c>
      <c r="I14">
        <v>5591356.6699999999</v>
      </c>
      <c r="J14" t="s">
        <v>428</v>
      </c>
    </row>
    <row r="15" spans="1:10" x14ac:dyDescent="0.35">
      <c r="A15">
        <v>150</v>
      </c>
      <c r="B15" t="s">
        <v>206</v>
      </c>
      <c r="C15">
        <v>26678839.149999999</v>
      </c>
      <c r="D15">
        <v>0</v>
      </c>
      <c r="E15">
        <v>26678839.149999999</v>
      </c>
      <c r="F15">
        <v>0</v>
      </c>
      <c r="G15">
        <v>0</v>
      </c>
      <c r="H15">
        <v>26678839.149999999</v>
      </c>
      <c r="I15">
        <v>26678839.149999999</v>
      </c>
      <c r="J15" t="s">
        <v>428</v>
      </c>
    </row>
    <row r="16" spans="1:10" x14ac:dyDescent="0.35">
      <c r="A16">
        <v>160</v>
      </c>
      <c r="B16" t="s">
        <v>207</v>
      </c>
      <c r="C16">
        <v>21232614.120000001</v>
      </c>
      <c r="D16">
        <v>0</v>
      </c>
      <c r="E16">
        <v>21232614.120000001</v>
      </c>
      <c r="F16">
        <v>85965.51</v>
      </c>
      <c r="G16">
        <v>85965.51</v>
      </c>
      <c r="H16">
        <v>21146648.609999999</v>
      </c>
      <c r="I16">
        <v>21146648.609999999</v>
      </c>
      <c r="J16" t="s">
        <v>428</v>
      </c>
    </row>
    <row r="17" spans="1:10" x14ac:dyDescent="0.35">
      <c r="A17">
        <v>170</v>
      </c>
      <c r="B17" t="s">
        <v>208</v>
      </c>
      <c r="C17">
        <v>134356985.18000001</v>
      </c>
      <c r="D17">
        <v>0</v>
      </c>
      <c r="E17">
        <v>134356985.18000001</v>
      </c>
      <c r="F17">
        <v>12680</v>
      </c>
      <c r="G17">
        <v>12680</v>
      </c>
      <c r="H17">
        <v>134344305.18000001</v>
      </c>
      <c r="I17">
        <v>134344305.18000001</v>
      </c>
      <c r="J17" t="s">
        <v>428</v>
      </c>
    </row>
    <row r="18" spans="1:10" x14ac:dyDescent="0.35">
      <c r="A18">
        <v>180</v>
      </c>
      <c r="B18" t="s">
        <v>209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 t="s">
        <v>428</v>
      </c>
    </row>
    <row r="19" spans="1:10" x14ac:dyDescent="0.35">
      <c r="A19">
        <v>190</v>
      </c>
      <c r="B19" t="s">
        <v>210</v>
      </c>
      <c r="C19">
        <v>-143296601.25</v>
      </c>
      <c r="D19">
        <v>0</v>
      </c>
      <c r="E19">
        <v>-143296601.25</v>
      </c>
      <c r="F19">
        <v>-708436.15</v>
      </c>
      <c r="G19">
        <v>-708436.15</v>
      </c>
      <c r="H19">
        <v>-142588165.09999999</v>
      </c>
      <c r="I19">
        <v>-142588165.09999999</v>
      </c>
      <c r="J19" t="s">
        <v>428</v>
      </c>
    </row>
    <row r="20" spans="1:10" x14ac:dyDescent="0.35">
      <c r="A20">
        <v>200</v>
      </c>
      <c r="B20" t="s">
        <v>211</v>
      </c>
      <c r="C20">
        <v>79338574.299999997</v>
      </c>
      <c r="D20">
        <v>0</v>
      </c>
      <c r="E20">
        <v>79338574.299999997</v>
      </c>
      <c r="F20">
        <v>-609790.64</v>
      </c>
      <c r="G20">
        <v>-609790.64</v>
      </c>
      <c r="H20">
        <v>79948364.939999998</v>
      </c>
      <c r="I20">
        <v>79948364.939999998</v>
      </c>
      <c r="J20" t="s">
        <v>428</v>
      </c>
    </row>
    <row r="21" spans="1:10" x14ac:dyDescent="0.35">
      <c r="A21">
        <v>210</v>
      </c>
      <c r="B21" t="s">
        <v>548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 t="s">
        <v>428</v>
      </c>
    </row>
    <row r="22" spans="1:10" x14ac:dyDescent="0.35">
      <c r="A22">
        <v>220</v>
      </c>
      <c r="B22" t="s">
        <v>213</v>
      </c>
      <c r="C22">
        <v>6305595.4699999997</v>
      </c>
      <c r="D22">
        <v>0</v>
      </c>
      <c r="E22">
        <v>6305595.4699999997</v>
      </c>
      <c r="F22">
        <v>-20957.86</v>
      </c>
      <c r="G22">
        <v>-20957.86</v>
      </c>
      <c r="H22">
        <v>6326553.3300000001</v>
      </c>
      <c r="I22">
        <v>6326553.3300000001</v>
      </c>
      <c r="J22" t="s">
        <v>428</v>
      </c>
    </row>
    <row r="23" spans="1:10" x14ac:dyDescent="0.35">
      <c r="A23">
        <v>230</v>
      </c>
      <c r="B23" t="s">
        <v>214</v>
      </c>
      <c r="C23">
        <v>60975645.229999997</v>
      </c>
      <c r="D23">
        <v>0</v>
      </c>
      <c r="E23">
        <v>60975645.229999997</v>
      </c>
      <c r="F23">
        <v>0</v>
      </c>
      <c r="G23">
        <v>0</v>
      </c>
      <c r="H23">
        <v>60975645.229999997</v>
      </c>
      <c r="I23">
        <v>60975645.229999997</v>
      </c>
      <c r="J23" t="s">
        <v>428</v>
      </c>
    </row>
    <row r="24" spans="1:10" x14ac:dyDescent="0.35">
      <c r="A24">
        <v>240</v>
      </c>
      <c r="B24" t="s">
        <v>215</v>
      </c>
      <c r="C24">
        <v>-18766008.68</v>
      </c>
      <c r="D24">
        <v>0</v>
      </c>
      <c r="E24">
        <v>-18766008.68</v>
      </c>
      <c r="F24">
        <v>0</v>
      </c>
      <c r="G24">
        <v>0</v>
      </c>
      <c r="H24">
        <v>-18766008.68</v>
      </c>
      <c r="I24">
        <v>-18766008.68</v>
      </c>
      <c r="J24" t="s">
        <v>428</v>
      </c>
    </row>
    <row r="25" spans="1:10" x14ac:dyDescent="0.35">
      <c r="A25">
        <v>250</v>
      </c>
      <c r="B25" t="s">
        <v>216</v>
      </c>
      <c r="C25">
        <v>48515232.020000003</v>
      </c>
      <c r="D25">
        <v>0</v>
      </c>
      <c r="E25">
        <v>48515232.020000003</v>
      </c>
      <c r="F25">
        <v>-20957.86</v>
      </c>
      <c r="G25">
        <v>-20957.86</v>
      </c>
      <c r="H25">
        <v>48536189.880000003</v>
      </c>
      <c r="I25">
        <v>48536189.880000003</v>
      </c>
      <c r="J25" t="s">
        <v>428</v>
      </c>
    </row>
    <row r="26" spans="1:10" x14ac:dyDescent="0.35">
      <c r="A26">
        <v>260</v>
      </c>
      <c r="B26" t="s">
        <v>217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 t="s">
        <v>428</v>
      </c>
    </row>
    <row r="27" spans="1:10" x14ac:dyDescent="0.35">
      <c r="A27">
        <v>270</v>
      </c>
      <c r="B27" t="s">
        <v>218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 t="s">
        <v>428</v>
      </c>
    </row>
    <row r="28" spans="1:10" x14ac:dyDescent="0.35">
      <c r="A28">
        <v>280</v>
      </c>
      <c r="B28" t="s">
        <v>549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 t="s">
        <v>428</v>
      </c>
    </row>
    <row r="29" spans="1:10" x14ac:dyDescent="0.35">
      <c r="A29">
        <v>400</v>
      </c>
      <c r="B29" t="s">
        <v>220</v>
      </c>
      <c r="C29">
        <v>224404607.43000001</v>
      </c>
      <c r="D29">
        <v>0</v>
      </c>
      <c r="E29">
        <v>224404607.43000001</v>
      </c>
      <c r="F29">
        <v>161817.48000000001</v>
      </c>
      <c r="G29">
        <v>161817.48000000001</v>
      </c>
      <c r="H29">
        <v>224242789.94999999</v>
      </c>
      <c r="I29">
        <v>224242789.94999999</v>
      </c>
      <c r="J29" t="s">
        <v>428</v>
      </c>
    </row>
    <row r="30" spans="1:10" x14ac:dyDescent="0.35">
      <c r="A30">
        <v>410</v>
      </c>
      <c r="B30" t="s">
        <v>550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 t="s">
        <v>428</v>
      </c>
    </row>
    <row r="31" spans="1:10" x14ac:dyDescent="0.35">
      <c r="A31">
        <v>420</v>
      </c>
      <c r="B31" t="s">
        <v>222</v>
      </c>
      <c r="C31">
        <v>-2090792.92</v>
      </c>
      <c r="D31">
        <v>0</v>
      </c>
      <c r="E31">
        <v>-2090792.92</v>
      </c>
      <c r="F31">
        <v>-2596975</v>
      </c>
      <c r="G31">
        <v>-2596975</v>
      </c>
      <c r="H31">
        <v>506182.08</v>
      </c>
      <c r="I31">
        <v>506182.08</v>
      </c>
      <c r="J31" t="s">
        <v>428</v>
      </c>
    </row>
    <row r="32" spans="1:10" x14ac:dyDescent="0.35">
      <c r="A32">
        <v>430</v>
      </c>
      <c r="B32" t="s">
        <v>223</v>
      </c>
      <c r="C32">
        <v>76315135.049999997</v>
      </c>
      <c r="D32">
        <v>0</v>
      </c>
      <c r="E32">
        <v>76315135.049999997</v>
      </c>
      <c r="F32">
        <v>-1934548.94</v>
      </c>
      <c r="G32">
        <v>-1934548.94</v>
      </c>
      <c r="H32">
        <v>78249683.989999995</v>
      </c>
      <c r="I32">
        <v>78249683.989999995</v>
      </c>
      <c r="J32" t="s">
        <v>428</v>
      </c>
    </row>
    <row r="33" spans="1:10" x14ac:dyDescent="0.35">
      <c r="A33">
        <v>440</v>
      </c>
      <c r="B33" t="s">
        <v>224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 t="s">
        <v>428</v>
      </c>
    </row>
    <row r="34" spans="1:10" x14ac:dyDescent="0.35">
      <c r="A34">
        <v>450</v>
      </c>
      <c r="B34" t="s">
        <v>551</v>
      </c>
      <c r="C34">
        <v>17005561.43</v>
      </c>
      <c r="D34">
        <v>0</v>
      </c>
      <c r="E34">
        <v>17005561.43</v>
      </c>
      <c r="F34">
        <v>-1526925</v>
      </c>
      <c r="G34">
        <v>-1526925</v>
      </c>
      <c r="H34">
        <v>18532486.43</v>
      </c>
      <c r="I34">
        <v>18532486.43</v>
      </c>
      <c r="J34" t="s">
        <v>428</v>
      </c>
    </row>
    <row r="35" spans="1:10" x14ac:dyDescent="0.35">
      <c r="A35">
        <v>460</v>
      </c>
      <c r="B35" t="s">
        <v>552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 t="s">
        <v>428</v>
      </c>
    </row>
    <row r="36" spans="1:10" x14ac:dyDescent="0.35">
      <c r="A36">
        <v>500</v>
      </c>
      <c r="B36" t="s">
        <v>227</v>
      </c>
      <c r="C36">
        <v>91229903.560000002</v>
      </c>
      <c r="D36">
        <v>0</v>
      </c>
      <c r="E36">
        <v>91229903.560000002</v>
      </c>
      <c r="F36">
        <v>-6058448.9400000004</v>
      </c>
      <c r="G36">
        <v>-6058448.9400000004</v>
      </c>
      <c r="H36">
        <v>97288352.5</v>
      </c>
      <c r="I36">
        <v>97288352.5</v>
      </c>
      <c r="J36" t="s">
        <v>428</v>
      </c>
    </row>
    <row r="37" spans="1:10" x14ac:dyDescent="0.35">
      <c r="A37">
        <v>510</v>
      </c>
      <c r="B37" t="s">
        <v>553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 t="s">
        <v>428</v>
      </c>
    </row>
    <row r="38" spans="1:10" x14ac:dyDescent="0.35">
      <c r="A38">
        <v>520</v>
      </c>
      <c r="B38" t="s">
        <v>554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 t="s">
        <v>428</v>
      </c>
    </row>
    <row r="39" spans="1:10" x14ac:dyDescent="0.35">
      <c r="A39">
        <v>530</v>
      </c>
      <c r="B39" t="s">
        <v>554</v>
      </c>
      <c r="C39">
        <v>10241649</v>
      </c>
      <c r="D39">
        <v>0</v>
      </c>
      <c r="E39">
        <v>10241649</v>
      </c>
      <c r="F39">
        <v>3748957.78</v>
      </c>
      <c r="G39">
        <v>3748957.78</v>
      </c>
      <c r="H39">
        <v>6492691.2199999997</v>
      </c>
      <c r="I39">
        <v>6492691.2199999997</v>
      </c>
      <c r="J39" t="s">
        <v>428</v>
      </c>
    </row>
    <row r="40" spans="1:10" x14ac:dyDescent="0.35">
      <c r="A40">
        <v>540</v>
      </c>
      <c r="B40" t="s">
        <v>231</v>
      </c>
      <c r="C40">
        <v>178684.83</v>
      </c>
      <c r="D40">
        <v>0</v>
      </c>
      <c r="E40">
        <v>178684.83</v>
      </c>
      <c r="F40">
        <v>-0.24</v>
      </c>
      <c r="G40">
        <v>-0.24</v>
      </c>
      <c r="H40">
        <v>178685.07</v>
      </c>
      <c r="I40">
        <v>178685.07</v>
      </c>
      <c r="J40" t="s">
        <v>428</v>
      </c>
    </row>
    <row r="41" spans="1:10" x14ac:dyDescent="0.35">
      <c r="A41">
        <v>600</v>
      </c>
      <c r="B41" t="s">
        <v>232</v>
      </c>
      <c r="C41">
        <v>10420333.83</v>
      </c>
      <c r="D41">
        <v>0</v>
      </c>
      <c r="E41">
        <v>10420333.83</v>
      </c>
      <c r="F41">
        <v>3748957.54</v>
      </c>
      <c r="G41">
        <v>3748957.54</v>
      </c>
      <c r="H41">
        <v>6671376.29</v>
      </c>
      <c r="I41">
        <v>6671376.29</v>
      </c>
      <c r="J41" t="s">
        <v>428</v>
      </c>
    </row>
    <row r="42" spans="1:10" x14ac:dyDescent="0.35">
      <c r="A42">
        <v>610</v>
      </c>
      <c r="B42" t="s">
        <v>555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 t="s">
        <v>428</v>
      </c>
    </row>
    <row r="43" spans="1:10" x14ac:dyDescent="0.35">
      <c r="A43">
        <v>620</v>
      </c>
      <c r="B43" t="s">
        <v>234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 t="s">
        <v>428</v>
      </c>
    </row>
    <row r="44" spans="1:10" x14ac:dyDescent="0.35">
      <c r="A44">
        <v>700</v>
      </c>
      <c r="B44" t="s">
        <v>556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 t="s">
        <v>428</v>
      </c>
    </row>
    <row r="45" spans="1:10" x14ac:dyDescent="0.35">
      <c r="A45">
        <v>710</v>
      </c>
      <c r="B45" t="s">
        <v>557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 t="s">
        <v>428</v>
      </c>
    </row>
    <row r="46" spans="1:10" x14ac:dyDescent="0.35">
      <c r="A46">
        <v>720</v>
      </c>
      <c r="B46" t="s">
        <v>237</v>
      </c>
      <c r="C46">
        <v>41730914.859999999</v>
      </c>
      <c r="D46">
        <v>0</v>
      </c>
      <c r="E46">
        <v>41730914.859999999</v>
      </c>
      <c r="F46">
        <v>0</v>
      </c>
      <c r="G46">
        <v>0</v>
      </c>
      <c r="H46">
        <v>41730914.859999999</v>
      </c>
      <c r="I46">
        <v>41730914.859999999</v>
      </c>
      <c r="J46" t="s">
        <v>428</v>
      </c>
    </row>
    <row r="47" spans="1:10" x14ac:dyDescent="0.35">
      <c r="A47">
        <v>730</v>
      </c>
      <c r="B47" t="s">
        <v>238</v>
      </c>
      <c r="C47">
        <v>1368438.85</v>
      </c>
      <c r="D47">
        <v>0</v>
      </c>
      <c r="E47">
        <v>1368438.85</v>
      </c>
      <c r="F47">
        <v>0</v>
      </c>
      <c r="G47">
        <v>0</v>
      </c>
      <c r="H47">
        <v>1368438.85</v>
      </c>
      <c r="I47">
        <v>1368438.85</v>
      </c>
      <c r="J47" t="s">
        <v>428</v>
      </c>
    </row>
    <row r="48" spans="1:10" x14ac:dyDescent="0.35">
      <c r="A48">
        <v>740</v>
      </c>
      <c r="B48" t="s">
        <v>239</v>
      </c>
      <c r="C48">
        <v>82268989.5</v>
      </c>
      <c r="D48">
        <v>0</v>
      </c>
      <c r="E48">
        <v>82268989.5</v>
      </c>
      <c r="F48">
        <v>0</v>
      </c>
      <c r="G48">
        <v>0</v>
      </c>
      <c r="H48">
        <v>70559878.709999993</v>
      </c>
      <c r="I48">
        <v>82268989.5</v>
      </c>
      <c r="J48" t="s">
        <v>428</v>
      </c>
    </row>
    <row r="49" spans="1:10" x14ac:dyDescent="0.35">
      <c r="A49">
        <v>750</v>
      </c>
      <c r="B49" t="s">
        <v>240</v>
      </c>
      <c r="C49">
        <v>2471308.88</v>
      </c>
      <c r="D49">
        <v>0</v>
      </c>
      <c r="E49">
        <v>2471308.88</v>
      </c>
      <c r="F49">
        <v>2471308.88</v>
      </c>
      <c r="G49">
        <v>2471308.88</v>
      </c>
      <c r="H49">
        <v>11709110.789999999</v>
      </c>
      <c r="I49">
        <v>0</v>
      </c>
      <c r="J49" t="s">
        <v>428</v>
      </c>
    </row>
    <row r="50" spans="1:10" x14ac:dyDescent="0.35">
      <c r="A50">
        <v>760</v>
      </c>
      <c r="B50" t="s">
        <v>241</v>
      </c>
      <c r="C50">
        <v>-4906411.97</v>
      </c>
      <c r="D50">
        <v>0</v>
      </c>
      <c r="E50">
        <v>-4906411.97</v>
      </c>
      <c r="F50">
        <v>0</v>
      </c>
      <c r="G50">
        <v>0</v>
      </c>
      <c r="H50">
        <v>-4906411.97</v>
      </c>
      <c r="I50">
        <v>-4906411.97</v>
      </c>
      <c r="J50" t="s">
        <v>428</v>
      </c>
    </row>
    <row r="51" spans="1:10" x14ac:dyDescent="0.35">
      <c r="A51">
        <v>770</v>
      </c>
      <c r="B51" t="s">
        <v>242</v>
      </c>
      <c r="C51">
        <v>-178870.08</v>
      </c>
      <c r="D51">
        <v>0</v>
      </c>
      <c r="E51">
        <v>-178870.08</v>
      </c>
      <c r="F51">
        <v>0</v>
      </c>
      <c r="G51">
        <v>0</v>
      </c>
      <c r="H51">
        <v>-178870.08</v>
      </c>
      <c r="I51">
        <v>-178870.08</v>
      </c>
      <c r="J51" t="s">
        <v>428</v>
      </c>
    </row>
    <row r="52" spans="1:10" x14ac:dyDescent="0.35">
      <c r="A52">
        <v>800</v>
      </c>
      <c r="B52" t="s">
        <v>243</v>
      </c>
      <c r="C52">
        <v>122754370.04000001</v>
      </c>
      <c r="D52">
        <v>0</v>
      </c>
      <c r="E52">
        <v>122754370.04000001</v>
      </c>
      <c r="F52">
        <v>2471308.88</v>
      </c>
      <c r="G52">
        <v>2471308.88</v>
      </c>
      <c r="H52">
        <v>120283061.16</v>
      </c>
      <c r="I52">
        <v>120283061.16</v>
      </c>
      <c r="J52" t="s">
        <v>428</v>
      </c>
    </row>
    <row r="53" spans="1:10" x14ac:dyDescent="0.35">
      <c r="A53">
        <v>900</v>
      </c>
      <c r="B53" t="s">
        <v>244</v>
      </c>
      <c r="C53">
        <v>224404607.43000001</v>
      </c>
      <c r="D53">
        <v>0</v>
      </c>
      <c r="E53">
        <v>224404607.43000001</v>
      </c>
      <c r="F53">
        <v>161817.48000000001</v>
      </c>
      <c r="G53">
        <v>161817.48000000001</v>
      </c>
      <c r="H53">
        <v>224242789.94999999</v>
      </c>
      <c r="I53">
        <v>224242789.94999999</v>
      </c>
      <c r="J53" t="s">
        <v>428</v>
      </c>
    </row>
    <row r="54" spans="1:10" x14ac:dyDescent="0.35">
      <c r="A54">
        <v>1000</v>
      </c>
      <c r="B54" t="s">
        <v>558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 t="s">
        <v>428</v>
      </c>
    </row>
    <row r="55" spans="1:10" x14ac:dyDescent="0.35">
      <c r="A55" t="s">
        <v>449</v>
      </c>
      <c r="B55" t="s">
        <v>416</v>
      </c>
      <c r="C55" t="s">
        <v>537</v>
      </c>
      <c r="D55" t="s">
        <v>538</v>
      </c>
      <c r="E55" t="s">
        <v>539</v>
      </c>
      <c r="F55" t="s">
        <v>540</v>
      </c>
      <c r="G55" t="s">
        <v>541</v>
      </c>
      <c r="H55" t="s">
        <v>542</v>
      </c>
      <c r="I55" t="s">
        <v>543</v>
      </c>
      <c r="J55" t="s">
        <v>121</v>
      </c>
    </row>
    <row r="56" spans="1:10" x14ac:dyDescent="0.35">
      <c r="A56">
        <v>10</v>
      </c>
      <c r="B56" t="s">
        <v>544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 t="s">
        <v>428</v>
      </c>
    </row>
    <row r="57" spans="1:10" x14ac:dyDescent="0.35">
      <c r="A57">
        <v>20</v>
      </c>
      <c r="B57" t="s">
        <v>194</v>
      </c>
      <c r="C57">
        <v>1304375.54</v>
      </c>
      <c r="D57">
        <v>0</v>
      </c>
      <c r="E57">
        <v>1304375.54</v>
      </c>
      <c r="F57">
        <v>-1669516.74</v>
      </c>
      <c r="G57">
        <v>-1669516.74</v>
      </c>
      <c r="H57">
        <v>2973892.28</v>
      </c>
      <c r="I57">
        <v>2973892.28</v>
      </c>
      <c r="J57" t="s">
        <v>428</v>
      </c>
    </row>
    <row r="58" spans="1:10" x14ac:dyDescent="0.35">
      <c r="A58">
        <v>30</v>
      </c>
      <c r="B58" t="s">
        <v>195</v>
      </c>
      <c r="C58">
        <v>3475678.78</v>
      </c>
      <c r="D58">
        <v>0</v>
      </c>
      <c r="E58">
        <v>3475678.78</v>
      </c>
      <c r="F58">
        <v>3473258.39</v>
      </c>
      <c r="G58">
        <v>3473258.39</v>
      </c>
      <c r="H58">
        <v>2420.39</v>
      </c>
      <c r="I58">
        <v>2420.39</v>
      </c>
      <c r="J58" t="s">
        <v>428</v>
      </c>
    </row>
    <row r="59" spans="1:10" x14ac:dyDescent="0.35">
      <c r="A59">
        <v>40</v>
      </c>
      <c r="B59" t="s">
        <v>196</v>
      </c>
      <c r="C59">
        <v>10326947.5</v>
      </c>
      <c r="D59">
        <v>0</v>
      </c>
      <c r="E59">
        <v>10326947.5</v>
      </c>
      <c r="F59">
        <v>-482560.85</v>
      </c>
      <c r="G59">
        <v>-482560.85</v>
      </c>
      <c r="H59">
        <v>10809508.35</v>
      </c>
      <c r="I59">
        <v>10809508.35</v>
      </c>
      <c r="J59" t="s">
        <v>428</v>
      </c>
    </row>
    <row r="60" spans="1:10" x14ac:dyDescent="0.35">
      <c r="A60">
        <v>50</v>
      </c>
      <c r="B60" t="s">
        <v>197</v>
      </c>
      <c r="C60">
        <v>9873811.4700000007</v>
      </c>
      <c r="D60">
        <v>0</v>
      </c>
      <c r="E60">
        <v>9873811.4700000007</v>
      </c>
      <c r="F60">
        <v>-172107.72</v>
      </c>
      <c r="G60">
        <v>-172107.72</v>
      </c>
      <c r="H60">
        <v>10045919.189999999</v>
      </c>
      <c r="I60">
        <v>10045919.189999999</v>
      </c>
      <c r="J60" t="s">
        <v>428</v>
      </c>
    </row>
    <row r="61" spans="1:10" x14ac:dyDescent="0.35">
      <c r="A61">
        <v>60</v>
      </c>
      <c r="B61" t="s">
        <v>198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 t="s">
        <v>428</v>
      </c>
    </row>
    <row r="62" spans="1:10" x14ac:dyDescent="0.35">
      <c r="A62">
        <v>70</v>
      </c>
      <c r="B62" t="s">
        <v>199</v>
      </c>
      <c r="C62">
        <v>7987383.4100000001</v>
      </c>
      <c r="D62">
        <v>0</v>
      </c>
      <c r="E62">
        <v>7987383.4100000001</v>
      </c>
      <c r="F62">
        <v>1617096.83</v>
      </c>
      <c r="G62">
        <v>1617096.83</v>
      </c>
      <c r="H62">
        <v>6370286.5800000001</v>
      </c>
      <c r="I62">
        <v>6370286.5800000001</v>
      </c>
      <c r="J62" t="s">
        <v>428</v>
      </c>
    </row>
    <row r="63" spans="1:10" x14ac:dyDescent="0.35">
      <c r="A63">
        <v>80</v>
      </c>
      <c r="B63" t="s">
        <v>545</v>
      </c>
      <c r="C63">
        <v>162374.15</v>
      </c>
      <c r="D63">
        <v>0</v>
      </c>
      <c r="E63">
        <v>162374.15</v>
      </c>
      <c r="F63">
        <v>21392.89</v>
      </c>
      <c r="G63">
        <v>21392.89</v>
      </c>
      <c r="H63">
        <v>140981.26</v>
      </c>
      <c r="I63">
        <v>140981.26</v>
      </c>
      <c r="J63" t="s">
        <v>428</v>
      </c>
    </row>
    <row r="64" spans="1:10" x14ac:dyDescent="0.35">
      <c r="A64">
        <v>100</v>
      </c>
      <c r="B64" t="s">
        <v>546</v>
      </c>
      <c r="C64">
        <v>33130570.850000001</v>
      </c>
      <c r="D64">
        <v>0</v>
      </c>
      <c r="E64">
        <v>33130570.850000001</v>
      </c>
      <c r="F64">
        <v>2787562.8</v>
      </c>
      <c r="G64">
        <v>2787562.8</v>
      </c>
      <c r="H64">
        <v>30343008.050000001</v>
      </c>
      <c r="I64">
        <v>30343008.050000001</v>
      </c>
      <c r="J64" t="s">
        <v>428</v>
      </c>
    </row>
    <row r="65" spans="1:10" x14ac:dyDescent="0.35">
      <c r="A65">
        <v>110</v>
      </c>
      <c r="B65" t="s">
        <v>547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 t="s">
        <v>428</v>
      </c>
    </row>
    <row r="66" spans="1:10" x14ac:dyDescent="0.35">
      <c r="A66">
        <v>120</v>
      </c>
      <c r="B66" t="s">
        <v>203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 t="s">
        <v>428</v>
      </c>
    </row>
    <row r="67" spans="1:10" x14ac:dyDescent="0.35">
      <c r="A67">
        <v>130</v>
      </c>
      <c r="B67" t="s">
        <v>204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 t="s">
        <v>428</v>
      </c>
    </row>
    <row r="68" spans="1:10" x14ac:dyDescent="0.35">
      <c r="A68">
        <v>140</v>
      </c>
      <c r="B68" t="s">
        <v>205</v>
      </c>
      <c r="C68">
        <v>47890.58</v>
      </c>
      <c r="D68">
        <v>0</v>
      </c>
      <c r="E68">
        <v>47890.58</v>
      </c>
      <c r="F68">
        <v>0</v>
      </c>
      <c r="G68">
        <v>0</v>
      </c>
      <c r="H68">
        <v>47890.58</v>
      </c>
      <c r="I68">
        <v>47890.58</v>
      </c>
      <c r="J68" t="s">
        <v>428</v>
      </c>
    </row>
    <row r="69" spans="1:10" x14ac:dyDescent="0.35">
      <c r="A69">
        <v>150</v>
      </c>
      <c r="B69" t="s">
        <v>206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 t="s">
        <v>428</v>
      </c>
    </row>
    <row r="70" spans="1:10" x14ac:dyDescent="0.35">
      <c r="A70">
        <v>160</v>
      </c>
      <c r="B70" t="s">
        <v>207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 t="s">
        <v>428</v>
      </c>
    </row>
    <row r="71" spans="1:10" x14ac:dyDescent="0.35">
      <c r="A71">
        <v>170</v>
      </c>
      <c r="B71" t="s">
        <v>208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 t="s">
        <v>428</v>
      </c>
    </row>
    <row r="72" spans="1:10" x14ac:dyDescent="0.35">
      <c r="A72">
        <v>180</v>
      </c>
      <c r="B72" t="s">
        <v>209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 t="s">
        <v>428</v>
      </c>
    </row>
    <row r="73" spans="1:10" x14ac:dyDescent="0.35">
      <c r="A73">
        <v>190</v>
      </c>
      <c r="B73" t="s">
        <v>210</v>
      </c>
      <c r="C73">
        <v>-47890.58</v>
      </c>
      <c r="D73">
        <v>0</v>
      </c>
      <c r="E73">
        <v>-47890.58</v>
      </c>
      <c r="F73">
        <v>0</v>
      </c>
      <c r="G73">
        <v>0</v>
      </c>
      <c r="H73">
        <v>-47890.58</v>
      </c>
      <c r="I73">
        <v>-47890.58</v>
      </c>
      <c r="J73" t="s">
        <v>428</v>
      </c>
    </row>
    <row r="74" spans="1:10" x14ac:dyDescent="0.35">
      <c r="A74">
        <v>200</v>
      </c>
      <c r="B74" t="s">
        <v>211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 t="s">
        <v>428</v>
      </c>
    </row>
    <row r="75" spans="1:10" x14ac:dyDescent="0.35">
      <c r="A75">
        <v>210</v>
      </c>
      <c r="B75" t="s">
        <v>548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 t="s">
        <v>428</v>
      </c>
    </row>
    <row r="76" spans="1:10" x14ac:dyDescent="0.35">
      <c r="A76">
        <v>220</v>
      </c>
      <c r="B76" t="s">
        <v>213</v>
      </c>
      <c r="C76">
        <v>10093019.59</v>
      </c>
      <c r="D76">
        <v>0</v>
      </c>
      <c r="E76">
        <v>10093019.59</v>
      </c>
      <c r="F76">
        <v>0</v>
      </c>
      <c r="G76">
        <v>0</v>
      </c>
      <c r="H76">
        <v>10093019.59</v>
      </c>
      <c r="I76">
        <v>10093019.59</v>
      </c>
      <c r="J76" t="s">
        <v>428</v>
      </c>
    </row>
    <row r="77" spans="1:10" x14ac:dyDescent="0.35">
      <c r="A77">
        <v>230</v>
      </c>
      <c r="B77" t="s">
        <v>214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 t="s">
        <v>428</v>
      </c>
    </row>
    <row r="78" spans="1:10" x14ac:dyDescent="0.35">
      <c r="A78">
        <v>240</v>
      </c>
      <c r="B78" t="s">
        <v>215</v>
      </c>
      <c r="C78">
        <v>-2056065.09</v>
      </c>
      <c r="D78">
        <v>0</v>
      </c>
      <c r="E78">
        <v>-2056065.09</v>
      </c>
      <c r="F78">
        <v>0</v>
      </c>
      <c r="G78">
        <v>0</v>
      </c>
      <c r="H78">
        <v>-2056065.09</v>
      </c>
      <c r="I78">
        <v>-2056065.09</v>
      </c>
      <c r="J78" t="s">
        <v>428</v>
      </c>
    </row>
    <row r="79" spans="1:10" x14ac:dyDescent="0.35">
      <c r="A79">
        <v>250</v>
      </c>
      <c r="B79" t="s">
        <v>216</v>
      </c>
      <c r="C79">
        <v>8036954.5</v>
      </c>
      <c r="D79">
        <v>0</v>
      </c>
      <c r="E79">
        <v>8036954.5</v>
      </c>
      <c r="F79">
        <v>0</v>
      </c>
      <c r="G79">
        <v>0</v>
      </c>
      <c r="H79">
        <v>8036954.5</v>
      </c>
      <c r="I79">
        <v>8036954.5</v>
      </c>
      <c r="J79" t="s">
        <v>428</v>
      </c>
    </row>
    <row r="80" spans="1:10" x14ac:dyDescent="0.35">
      <c r="A80">
        <v>260</v>
      </c>
      <c r="B80" t="s">
        <v>217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 t="s">
        <v>428</v>
      </c>
    </row>
    <row r="81" spans="1:10" x14ac:dyDescent="0.35">
      <c r="A81">
        <v>270</v>
      </c>
      <c r="B81" t="s">
        <v>218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 t="s">
        <v>428</v>
      </c>
    </row>
    <row r="82" spans="1:10" x14ac:dyDescent="0.35">
      <c r="A82">
        <v>280</v>
      </c>
      <c r="B82" t="s">
        <v>549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 t="s">
        <v>428</v>
      </c>
    </row>
    <row r="83" spans="1:10" x14ac:dyDescent="0.35">
      <c r="A83">
        <v>400</v>
      </c>
      <c r="B83" t="s">
        <v>220</v>
      </c>
      <c r="C83">
        <v>41167525.350000001</v>
      </c>
      <c r="D83">
        <v>0</v>
      </c>
      <c r="E83">
        <v>41167525.350000001</v>
      </c>
      <c r="F83">
        <v>2787562.8</v>
      </c>
      <c r="G83">
        <v>2787562.8</v>
      </c>
      <c r="H83">
        <v>38379962.549999997</v>
      </c>
      <c r="I83">
        <v>38379962.549999997</v>
      </c>
      <c r="J83" t="s">
        <v>428</v>
      </c>
    </row>
    <row r="84" spans="1:10" x14ac:dyDescent="0.35">
      <c r="A84">
        <v>410</v>
      </c>
      <c r="B84" t="s">
        <v>550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 t="s">
        <v>428</v>
      </c>
    </row>
    <row r="85" spans="1:10" x14ac:dyDescent="0.35">
      <c r="A85">
        <v>420</v>
      </c>
      <c r="B85" t="s">
        <v>222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 t="s">
        <v>428</v>
      </c>
    </row>
    <row r="86" spans="1:10" x14ac:dyDescent="0.35">
      <c r="A86">
        <v>430</v>
      </c>
      <c r="B86" t="s">
        <v>223</v>
      </c>
      <c r="C86">
        <v>30426132.280000001</v>
      </c>
      <c r="D86">
        <v>0</v>
      </c>
      <c r="E86">
        <v>30426132.280000001</v>
      </c>
      <c r="F86">
        <v>1870410.77</v>
      </c>
      <c r="G86">
        <v>1870410.77</v>
      </c>
      <c r="H86">
        <v>28555721.510000002</v>
      </c>
      <c r="I86">
        <v>28555721.510000002</v>
      </c>
      <c r="J86" t="s">
        <v>428</v>
      </c>
    </row>
    <row r="87" spans="1:10" x14ac:dyDescent="0.35">
      <c r="A87">
        <v>440</v>
      </c>
      <c r="B87" t="s">
        <v>224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 t="s">
        <v>428</v>
      </c>
    </row>
    <row r="88" spans="1:10" x14ac:dyDescent="0.35">
      <c r="A88">
        <v>450</v>
      </c>
      <c r="B88" t="s">
        <v>551</v>
      </c>
      <c r="C88">
        <v>2079727.88</v>
      </c>
      <c r="D88">
        <v>0</v>
      </c>
      <c r="E88">
        <v>2079727.88</v>
      </c>
      <c r="F88">
        <v>-212165.31</v>
      </c>
      <c r="G88">
        <v>-212165.31</v>
      </c>
      <c r="H88">
        <v>2291893.19</v>
      </c>
      <c r="I88">
        <v>2291893.19</v>
      </c>
      <c r="J88" t="s">
        <v>428</v>
      </c>
    </row>
    <row r="89" spans="1:10" x14ac:dyDescent="0.35">
      <c r="A89">
        <v>460</v>
      </c>
      <c r="B89" t="s">
        <v>552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 t="s">
        <v>428</v>
      </c>
    </row>
    <row r="90" spans="1:10" x14ac:dyDescent="0.35">
      <c r="A90">
        <v>500</v>
      </c>
      <c r="B90" t="s">
        <v>227</v>
      </c>
      <c r="C90">
        <v>32505860.16</v>
      </c>
      <c r="D90">
        <v>0</v>
      </c>
      <c r="E90">
        <v>32505860.16</v>
      </c>
      <c r="F90">
        <v>1658245.46</v>
      </c>
      <c r="G90">
        <v>1658245.46</v>
      </c>
      <c r="H90">
        <v>30847614.699999999</v>
      </c>
      <c r="I90">
        <v>30847614.699999999</v>
      </c>
      <c r="J90" t="s">
        <v>428</v>
      </c>
    </row>
    <row r="91" spans="1:10" x14ac:dyDescent="0.35">
      <c r="A91">
        <v>510</v>
      </c>
      <c r="B91" t="s">
        <v>553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 t="s">
        <v>428</v>
      </c>
    </row>
    <row r="92" spans="1:10" x14ac:dyDescent="0.35">
      <c r="A92">
        <v>520</v>
      </c>
      <c r="B92" t="s">
        <v>554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 t="s">
        <v>428</v>
      </c>
    </row>
    <row r="93" spans="1:10" x14ac:dyDescent="0.35">
      <c r="A93">
        <v>530</v>
      </c>
      <c r="B93" t="s">
        <v>554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 t="s">
        <v>428</v>
      </c>
    </row>
    <row r="94" spans="1:10" x14ac:dyDescent="0.35">
      <c r="A94">
        <v>540</v>
      </c>
      <c r="B94" t="s">
        <v>231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 t="s">
        <v>428</v>
      </c>
    </row>
    <row r="95" spans="1:10" x14ac:dyDescent="0.35">
      <c r="A95">
        <v>600</v>
      </c>
      <c r="B95" t="s">
        <v>232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 t="s">
        <v>428</v>
      </c>
    </row>
    <row r="96" spans="1:10" x14ac:dyDescent="0.35">
      <c r="A96">
        <v>610</v>
      </c>
      <c r="B96" t="s">
        <v>555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 t="s">
        <v>428</v>
      </c>
    </row>
    <row r="97" spans="1:10" x14ac:dyDescent="0.35">
      <c r="A97">
        <v>620</v>
      </c>
      <c r="B97" t="s">
        <v>234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 t="s">
        <v>428</v>
      </c>
    </row>
    <row r="98" spans="1:10" x14ac:dyDescent="0.35">
      <c r="A98">
        <v>700</v>
      </c>
      <c r="B98" t="s">
        <v>556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 t="s">
        <v>428</v>
      </c>
    </row>
    <row r="99" spans="1:10" x14ac:dyDescent="0.35">
      <c r="A99">
        <v>710</v>
      </c>
      <c r="B99" t="s">
        <v>557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 t="s">
        <v>428</v>
      </c>
    </row>
    <row r="100" spans="1:10" x14ac:dyDescent="0.35">
      <c r="A100">
        <v>720</v>
      </c>
      <c r="B100" t="s">
        <v>237</v>
      </c>
      <c r="C100">
        <v>2524577.33</v>
      </c>
      <c r="D100">
        <v>0</v>
      </c>
      <c r="E100">
        <v>2524577.33</v>
      </c>
      <c r="F100">
        <v>0</v>
      </c>
      <c r="G100">
        <v>0</v>
      </c>
      <c r="H100">
        <v>2524577.33</v>
      </c>
      <c r="I100">
        <v>2524577.33</v>
      </c>
      <c r="J100" t="s">
        <v>428</v>
      </c>
    </row>
    <row r="101" spans="1:10" x14ac:dyDescent="0.35">
      <c r="A101">
        <v>730</v>
      </c>
      <c r="B101" t="s">
        <v>238</v>
      </c>
      <c r="C101">
        <v>96209.42</v>
      </c>
      <c r="D101">
        <v>0</v>
      </c>
      <c r="E101">
        <v>96209.42</v>
      </c>
      <c r="F101">
        <v>0</v>
      </c>
      <c r="G101">
        <v>0</v>
      </c>
      <c r="H101">
        <v>96209.42</v>
      </c>
      <c r="I101">
        <v>96209.42</v>
      </c>
      <c r="J101" t="s">
        <v>428</v>
      </c>
    </row>
    <row r="102" spans="1:10" x14ac:dyDescent="0.35">
      <c r="A102">
        <v>740</v>
      </c>
      <c r="B102" t="s">
        <v>239</v>
      </c>
      <c r="C102">
        <v>9124499.1999999993</v>
      </c>
      <c r="D102">
        <v>0</v>
      </c>
      <c r="E102">
        <v>9124499.1999999993</v>
      </c>
      <c r="F102">
        <v>0</v>
      </c>
      <c r="G102">
        <v>0</v>
      </c>
      <c r="H102">
        <v>4100845.67</v>
      </c>
      <c r="I102">
        <v>9124499.1999999993</v>
      </c>
      <c r="J102" t="s">
        <v>428</v>
      </c>
    </row>
    <row r="103" spans="1:10" x14ac:dyDescent="0.35">
      <c r="A103">
        <v>750</v>
      </c>
      <c r="B103" t="s">
        <v>240</v>
      </c>
      <c r="C103">
        <v>1129317.3400000001</v>
      </c>
      <c r="D103">
        <v>0</v>
      </c>
      <c r="E103">
        <v>1129317.3400000001</v>
      </c>
      <c r="F103">
        <v>1129317.3400000001</v>
      </c>
      <c r="G103">
        <v>1129317.3400000001</v>
      </c>
      <c r="H103">
        <v>5023653.53</v>
      </c>
      <c r="I103">
        <v>0</v>
      </c>
      <c r="J103" t="s">
        <v>428</v>
      </c>
    </row>
    <row r="104" spans="1:10" x14ac:dyDescent="0.35">
      <c r="A104">
        <v>760</v>
      </c>
      <c r="B104" t="s">
        <v>241</v>
      </c>
      <c r="C104">
        <v>-4212938.0999999996</v>
      </c>
      <c r="D104">
        <v>0</v>
      </c>
      <c r="E104">
        <v>-4212938.0999999996</v>
      </c>
      <c r="F104">
        <v>0</v>
      </c>
      <c r="G104">
        <v>0</v>
      </c>
      <c r="H104">
        <v>-4212938.0999999996</v>
      </c>
      <c r="I104">
        <v>-4212938.0999999996</v>
      </c>
      <c r="J104" t="s">
        <v>428</v>
      </c>
    </row>
    <row r="105" spans="1:10" x14ac:dyDescent="0.35">
      <c r="A105">
        <v>770</v>
      </c>
      <c r="B105" t="s">
        <v>242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 t="s">
        <v>428</v>
      </c>
    </row>
    <row r="106" spans="1:10" x14ac:dyDescent="0.35">
      <c r="A106">
        <v>800</v>
      </c>
      <c r="B106" t="s">
        <v>243</v>
      </c>
      <c r="C106">
        <v>8661665.1899999995</v>
      </c>
      <c r="D106">
        <v>0</v>
      </c>
      <c r="E106">
        <v>8661665.1899999995</v>
      </c>
      <c r="F106">
        <v>1129317.3400000001</v>
      </c>
      <c r="G106">
        <v>1129317.3400000001</v>
      </c>
      <c r="H106">
        <v>7532347.8499999996</v>
      </c>
      <c r="I106">
        <v>7532347.8499999996</v>
      </c>
      <c r="J106" t="s">
        <v>428</v>
      </c>
    </row>
    <row r="107" spans="1:10" x14ac:dyDescent="0.35">
      <c r="A107">
        <v>900</v>
      </c>
      <c r="B107" t="s">
        <v>244</v>
      </c>
      <c r="C107">
        <v>41167525.350000001</v>
      </c>
      <c r="D107">
        <v>0</v>
      </c>
      <c r="E107">
        <v>41167525.350000001</v>
      </c>
      <c r="F107">
        <v>2787562.8</v>
      </c>
      <c r="G107">
        <v>2787562.8</v>
      </c>
      <c r="H107">
        <v>38379962.549999997</v>
      </c>
      <c r="I107">
        <v>38379962.549999997</v>
      </c>
      <c r="J107" t="s">
        <v>428</v>
      </c>
    </row>
    <row r="108" spans="1:10" x14ac:dyDescent="0.35">
      <c r="A108">
        <v>1000</v>
      </c>
      <c r="B108" t="s">
        <v>558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 t="s">
        <v>428</v>
      </c>
    </row>
    <row r="109" spans="1:10" x14ac:dyDescent="0.35">
      <c r="A109" t="s">
        <v>456</v>
      </c>
      <c r="B109" t="s">
        <v>416</v>
      </c>
      <c r="C109" t="s">
        <v>537</v>
      </c>
      <c r="D109" t="s">
        <v>538</v>
      </c>
      <c r="E109" t="s">
        <v>539</v>
      </c>
      <c r="F109" t="s">
        <v>540</v>
      </c>
      <c r="G109" t="s">
        <v>541</v>
      </c>
      <c r="H109" t="s">
        <v>542</v>
      </c>
      <c r="I109" t="s">
        <v>543</v>
      </c>
      <c r="J109" t="s">
        <v>121</v>
      </c>
    </row>
    <row r="110" spans="1:10" x14ac:dyDescent="0.35">
      <c r="A110">
        <v>10</v>
      </c>
      <c r="B110" t="s">
        <v>544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 t="s">
        <v>428</v>
      </c>
    </row>
    <row r="111" spans="1:10" x14ac:dyDescent="0.35">
      <c r="A111">
        <v>20</v>
      </c>
      <c r="B111" t="s">
        <v>194</v>
      </c>
      <c r="C111">
        <v>1036921.42</v>
      </c>
      <c r="D111">
        <v>0</v>
      </c>
      <c r="E111">
        <v>1036921.42</v>
      </c>
      <c r="F111">
        <v>419045.25</v>
      </c>
      <c r="G111">
        <v>419045.25</v>
      </c>
      <c r="H111">
        <v>617876.17000000004</v>
      </c>
      <c r="I111">
        <v>617876.17000000004</v>
      </c>
      <c r="J111" t="s">
        <v>428</v>
      </c>
    </row>
    <row r="112" spans="1:10" x14ac:dyDescent="0.35">
      <c r="A112">
        <v>30</v>
      </c>
      <c r="B112" t="s">
        <v>195</v>
      </c>
      <c r="C112">
        <v>1575431.4</v>
      </c>
      <c r="D112">
        <v>0</v>
      </c>
      <c r="E112">
        <v>1575431.4</v>
      </c>
      <c r="F112">
        <v>1575431.4</v>
      </c>
      <c r="G112">
        <v>1575431.4</v>
      </c>
      <c r="H112">
        <v>0</v>
      </c>
      <c r="I112">
        <v>0</v>
      </c>
      <c r="J112" t="s">
        <v>428</v>
      </c>
    </row>
    <row r="113" spans="1:10" x14ac:dyDescent="0.35">
      <c r="A113">
        <v>40</v>
      </c>
      <c r="B113" t="s">
        <v>196</v>
      </c>
      <c r="C113">
        <v>11777401</v>
      </c>
      <c r="D113">
        <v>0</v>
      </c>
      <c r="E113">
        <v>11777401</v>
      </c>
      <c r="F113">
        <v>-5765409.9299999997</v>
      </c>
      <c r="G113">
        <v>-5765409.9299999997</v>
      </c>
      <c r="H113">
        <v>17542810.93</v>
      </c>
      <c r="I113">
        <v>17542810.93</v>
      </c>
      <c r="J113" t="s">
        <v>428</v>
      </c>
    </row>
    <row r="114" spans="1:10" x14ac:dyDescent="0.35">
      <c r="A114">
        <v>50</v>
      </c>
      <c r="B114" t="s">
        <v>197</v>
      </c>
      <c r="C114">
        <v>18940358.41</v>
      </c>
      <c r="D114">
        <v>0</v>
      </c>
      <c r="E114">
        <v>18940358.41</v>
      </c>
      <c r="F114">
        <v>499408.68</v>
      </c>
      <c r="G114">
        <v>499408.68</v>
      </c>
      <c r="H114">
        <v>18440949.73</v>
      </c>
      <c r="I114">
        <v>18440949.73</v>
      </c>
      <c r="J114" t="s">
        <v>428</v>
      </c>
    </row>
    <row r="115" spans="1:10" x14ac:dyDescent="0.35">
      <c r="A115">
        <v>60</v>
      </c>
      <c r="B115" t="s">
        <v>198</v>
      </c>
      <c r="C115">
        <v>11624588.859999999</v>
      </c>
      <c r="D115">
        <v>0</v>
      </c>
      <c r="E115">
        <v>11624588.859999999</v>
      </c>
      <c r="F115">
        <v>-1038806.73</v>
      </c>
      <c r="G115">
        <v>-1038806.73</v>
      </c>
      <c r="H115">
        <v>12663395.59</v>
      </c>
      <c r="I115">
        <v>12663395.59</v>
      </c>
      <c r="J115" t="s">
        <v>428</v>
      </c>
    </row>
    <row r="116" spans="1:10" x14ac:dyDescent="0.35">
      <c r="A116">
        <v>70</v>
      </c>
      <c r="B116" t="s">
        <v>199</v>
      </c>
      <c r="C116">
        <v>5856175.29</v>
      </c>
      <c r="D116">
        <v>0</v>
      </c>
      <c r="E116">
        <v>5856175.29</v>
      </c>
      <c r="F116">
        <v>3452569.84</v>
      </c>
      <c r="G116">
        <v>3452569.84</v>
      </c>
      <c r="H116">
        <v>2403605.4500000002</v>
      </c>
      <c r="I116">
        <v>2403605.4500000002</v>
      </c>
      <c r="J116" t="s">
        <v>428</v>
      </c>
    </row>
    <row r="117" spans="1:10" x14ac:dyDescent="0.35">
      <c r="A117">
        <v>80</v>
      </c>
      <c r="B117" t="s">
        <v>545</v>
      </c>
      <c r="C117">
        <v>41623043.869999997</v>
      </c>
      <c r="D117">
        <v>0</v>
      </c>
      <c r="E117">
        <v>41623043.869999997</v>
      </c>
      <c r="F117">
        <v>-170305.72</v>
      </c>
      <c r="G117">
        <v>-170305.72</v>
      </c>
      <c r="H117">
        <v>41793349.590000004</v>
      </c>
      <c r="I117">
        <v>41793349.590000004</v>
      </c>
      <c r="J117" t="s">
        <v>428</v>
      </c>
    </row>
    <row r="118" spans="1:10" x14ac:dyDescent="0.35">
      <c r="A118">
        <v>100</v>
      </c>
      <c r="B118" t="s">
        <v>546</v>
      </c>
      <c r="C118">
        <v>92433920.25</v>
      </c>
      <c r="D118">
        <v>0</v>
      </c>
      <c r="E118">
        <v>92433920.25</v>
      </c>
      <c r="F118">
        <v>-1028067.21</v>
      </c>
      <c r="G118">
        <v>-1028067.21</v>
      </c>
      <c r="H118">
        <v>93461987.459999993</v>
      </c>
      <c r="I118">
        <v>93461987.459999993</v>
      </c>
      <c r="J118" t="s">
        <v>428</v>
      </c>
    </row>
    <row r="119" spans="1:10" x14ac:dyDescent="0.35">
      <c r="A119">
        <v>110</v>
      </c>
      <c r="B119" t="s">
        <v>547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 t="s">
        <v>428</v>
      </c>
    </row>
    <row r="120" spans="1:10" x14ac:dyDescent="0.35">
      <c r="A120">
        <v>120</v>
      </c>
      <c r="B120" t="s">
        <v>203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 t="s">
        <v>428</v>
      </c>
    </row>
    <row r="121" spans="1:10" x14ac:dyDescent="0.35">
      <c r="A121">
        <v>130</v>
      </c>
      <c r="B121" t="s">
        <v>204</v>
      </c>
      <c r="C121">
        <v>4335063.59</v>
      </c>
      <c r="D121">
        <v>0</v>
      </c>
      <c r="E121">
        <v>4335063.59</v>
      </c>
      <c r="F121">
        <v>0</v>
      </c>
      <c r="G121">
        <v>0</v>
      </c>
      <c r="H121">
        <v>4335063.59</v>
      </c>
      <c r="I121">
        <v>4335063.59</v>
      </c>
      <c r="J121" t="s">
        <v>428</v>
      </c>
    </row>
    <row r="122" spans="1:10" x14ac:dyDescent="0.35">
      <c r="A122">
        <v>140</v>
      </c>
      <c r="B122" t="s">
        <v>205</v>
      </c>
      <c r="C122">
        <v>1110307.74</v>
      </c>
      <c r="D122">
        <v>0</v>
      </c>
      <c r="E122">
        <v>1110307.74</v>
      </c>
      <c r="F122">
        <v>0</v>
      </c>
      <c r="G122">
        <v>0</v>
      </c>
      <c r="H122">
        <v>1110307.74</v>
      </c>
      <c r="I122">
        <v>1110307.74</v>
      </c>
      <c r="J122" t="s">
        <v>428</v>
      </c>
    </row>
    <row r="123" spans="1:10" x14ac:dyDescent="0.35">
      <c r="A123">
        <v>150</v>
      </c>
      <c r="B123" t="s">
        <v>206</v>
      </c>
      <c r="C123">
        <v>1087607.7</v>
      </c>
      <c r="D123">
        <v>0</v>
      </c>
      <c r="E123">
        <v>1087607.7</v>
      </c>
      <c r="F123">
        <v>0</v>
      </c>
      <c r="G123">
        <v>0</v>
      </c>
      <c r="H123">
        <v>1087607.7</v>
      </c>
      <c r="I123">
        <v>1087607.7</v>
      </c>
      <c r="J123" t="s">
        <v>428</v>
      </c>
    </row>
    <row r="124" spans="1:10" x14ac:dyDescent="0.35">
      <c r="A124">
        <v>160</v>
      </c>
      <c r="B124" t="s">
        <v>207</v>
      </c>
      <c r="C124">
        <v>18678105.41</v>
      </c>
      <c r="D124">
        <v>0</v>
      </c>
      <c r="E124">
        <v>18678105.41</v>
      </c>
      <c r="F124">
        <v>0</v>
      </c>
      <c r="G124">
        <v>0</v>
      </c>
      <c r="H124">
        <v>18678105.41</v>
      </c>
      <c r="I124">
        <v>18678105.41</v>
      </c>
      <c r="J124" t="s">
        <v>428</v>
      </c>
    </row>
    <row r="125" spans="1:10" x14ac:dyDescent="0.35">
      <c r="A125">
        <v>170</v>
      </c>
      <c r="B125" t="s">
        <v>208</v>
      </c>
      <c r="C125">
        <v>16287899.4</v>
      </c>
      <c r="D125">
        <v>0</v>
      </c>
      <c r="E125">
        <v>16287899.4</v>
      </c>
      <c r="F125">
        <v>0</v>
      </c>
      <c r="G125">
        <v>0</v>
      </c>
      <c r="H125">
        <v>16287899.4</v>
      </c>
      <c r="I125">
        <v>16287899.4</v>
      </c>
      <c r="J125" t="s">
        <v>428</v>
      </c>
    </row>
    <row r="126" spans="1:10" x14ac:dyDescent="0.35">
      <c r="A126">
        <v>180</v>
      </c>
      <c r="B126" t="s">
        <v>209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 t="s">
        <v>428</v>
      </c>
    </row>
    <row r="127" spans="1:10" x14ac:dyDescent="0.35">
      <c r="A127">
        <v>190</v>
      </c>
      <c r="B127" t="s">
        <v>210</v>
      </c>
      <c r="C127">
        <v>-17563827.129999999</v>
      </c>
      <c r="D127">
        <v>0</v>
      </c>
      <c r="E127">
        <v>-17563827.129999999</v>
      </c>
      <c r="F127">
        <v>-76904.41</v>
      </c>
      <c r="G127">
        <v>-76904.41</v>
      </c>
      <c r="H127">
        <v>-17486922.719999999</v>
      </c>
      <c r="I127">
        <v>-17486922.719999999</v>
      </c>
      <c r="J127" t="s">
        <v>428</v>
      </c>
    </row>
    <row r="128" spans="1:10" x14ac:dyDescent="0.35">
      <c r="A128">
        <v>200</v>
      </c>
      <c r="B128" t="s">
        <v>211</v>
      </c>
      <c r="C128">
        <v>23935156.710000001</v>
      </c>
      <c r="D128">
        <v>0</v>
      </c>
      <c r="E128">
        <v>23935156.710000001</v>
      </c>
      <c r="F128">
        <v>-76904.41</v>
      </c>
      <c r="G128">
        <v>-76904.41</v>
      </c>
      <c r="H128">
        <v>24012061.120000001</v>
      </c>
      <c r="I128">
        <v>24012061.120000001</v>
      </c>
      <c r="J128" t="s">
        <v>428</v>
      </c>
    </row>
    <row r="129" spans="1:10" x14ac:dyDescent="0.35">
      <c r="A129">
        <v>210</v>
      </c>
      <c r="B129" t="s">
        <v>548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 t="s">
        <v>428</v>
      </c>
    </row>
    <row r="130" spans="1:10" x14ac:dyDescent="0.35">
      <c r="A130">
        <v>220</v>
      </c>
      <c r="B130" t="s">
        <v>213</v>
      </c>
      <c r="C130">
        <v>15254300.77</v>
      </c>
      <c r="D130">
        <v>0</v>
      </c>
      <c r="E130">
        <v>15254300.77</v>
      </c>
      <c r="F130">
        <v>-5313.49</v>
      </c>
      <c r="G130">
        <v>-5313.49</v>
      </c>
      <c r="H130">
        <v>15259614.26</v>
      </c>
      <c r="I130">
        <v>15259614.26</v>
      </c>
      <c r="J130" t="s">
        <v>428</v>
      </c>
    </row>
    <row r="131" spans="1:10" x14ac:dyDescent="0.35">
      <c r="A131">
        <v>230</v>
      </c>
      <c r="B131" t="s">
        <v>214</v>
      </c>
      <c r="C131">
        <v>4378525.16</v>
      </c>
      <c r="D131">
        <v>0</v>
      </c>
      <c r="E131">
        <v>4378525.16</v>
      </c>
      <c r="F131">
        <v>570536.12</v>
      </c>
      <c r="G131">
        <v>570536.12</v>
      </c>
      <c r="H131">
        <v>3807989.04</v>
      </c>
      <c r="I131">
        <v>3807989.04</v>
      </c>
      <c r="J131" t="s">
        <v>428</v>
      </c>
    </row>
    <row r="132" spans="1:10" x14ac:dyDescent="0.35">
      <c r="A132">
        <v>240</v>
      </c>
      <c r="B132" t="s">
        <v>215</v>
      </c>
      <c r="C132">
        <v>-6757894.7999999998</v>
      </c>
      <c r="D132">
        <v>0</v>
      </c>
      <c r="E132">
        <v>-6757894.7999999998</v>
      </c>
      <c r="F132">
        <v>-33124.67</v>
      </c>
      <c r="G132">
        <v>-33124.67</v>
      </c>
      <c r="H132">
        <v>-6724770.1299999999</v>
      </c>
      <c r="I132">
        <v>-6724770.1299999999</v>
      </c>
      <c r="J132" t="s">
        <v>428</v>
      </c>
    </row>
    <row r="133" spans="1:10" x14ac:dyDescent="0.35">
      <c r="A133">
        <v>250</v>
      </c>
      <c r="B133" t="s">
        <v>216</v>
      </c>
      <c r="C133">
        <v>12874931.130000001</v>
      </c>
      <c r="D133">
        <v>0</v>
      </c>
      <c r="E133">
        <v>12874931.130000001</v>
      </c>
      <c r="F133">
        <v>532097.96</v>
      </c>
      <c r="G133">
        <v>532097.96</v>
      </c>
      <c r="H133">
        <v>12342833.17</v>
      </c>
      <c r="I133">
        <v>12342833.17</v>
      </c>
      <c r="J133" t="s">
        <v>428</v>
      </c>
    </row>
    <row r="134" spans="1:10" x14ac:dyDescent="0.35">
      <c r="A134">
        <v>260</v>
      </c>
      <c r="B134" t="s">
        <v>217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 t="s">
        <v>428</v>
      </c>
    </row>
    <row r="135" spans="1:10" x14ac:dyDescent="0.35">
      <c r="A135">
        <v>270</v>
      </c>
      <c r="B135" t="s">
        <v>218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 t="s">
        <v>428</v>
      </c>
    </row>
    <row r="136" spans="1:10" x14ac:dyDescent="0.35">
      <c r="A136">
        <v>280</v>
      </c>
      <c r="B136" t="s">
        <v>549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 t="s">
        <v>428</v>
      </c>
    </row>
    <row r="137" spans="1:10" x14ac:dyDescent="0.35">
      <c r="A137">
        <v>400</v>
      </c>
      <c r="B137" t="s">
        <v>220</v>
      </c>
      <c r="C137">
        <v>129244008.09</v>
      </c>
      <c r="D137">
        <v>0</v>
      </c>
      <c r="E137">
        <v>129244008.09</v>
      </c>
      <c r="F137">
        <v>-572873.66</v>
      </c>
      <c r="G137">
        <v>-572873.66</v>
      </c>
      <c r="H137">
        <v>129816881.75</v>
      </c>
      <c r="I137">
        <v>129816881.75</v>
      </c>
      <c r="J137" t="s">
        <v>428</v>
      </c>
    </row>
    <row r="138" spans="1:10" x14ac:dyDescent="0.35">
      <c r="A138">
        <v>410</v>
      </c>
      <c r="B138" t="s">
        <v>550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 t="s">
        <v>428</v>
      </c>
    </row>
    <row r="139" spans="1:10" x14ac:dyDescent="0.35">
      <c r="A139">
        <v>420</v>
      </c>
      <c r="B139" t="s">
        <v>222</v>
      </c>
      <c r="C139">
        <v>-483887.21</v>
      </c>
      <c r="D139">
        <v>0</v>
      </c>
      <c r="E139">
        <v>-483887.21</v>
      </c>
      <c r="F139">
        <v>-3857805.34</v>
      </c>
      <c r="G139">
        <v>-3857805.34</v>
      </c>
      <c r="H139">
        <v>3373918.13</v>
      </c>
      <c r="I139">
        <v>3373918.13</v>
      </c>
      <c r="J139" t="s">
        <v>428</v>
      </c>
    </row>
    <row r="140" spans="1:10" x14ac:dyDescent="0.35">
      <c r="A140">
        <v>430</v>
      </c>
      <c r="B140" t="s">
        <v>223</v>
      </c>
      <c r="C140">
        <v>41731557.119999997</v>
      </c>
      <c r="D140">
        <v>0</v>
      </c>
      <c r="E140">
        <v>41731557.119999997</v>
      </c>
      <c r="F140">
        <v>5016448.21</v>
      </c>
      <c r="G140">
        <v>5016448.21</v>
      </c>
      <c r="H140">
        <v>36715108.909999996</v>
      </c>
      <c r="I140">
        <v>36715108.909999996</v>
      </c>
      <c r="J140" t="s">
        <v>428</v>
      </c>
    </row>
    <row r="141" spans="1:10" x14ac:dyDescent="0.35">
      <c r="A141">
        <v>440</v>
      </c>
      <c r="B141" t="s">
        <v>224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 t="s">
        <v>428</v>
      </c>
    </row>
    <row r="142" spans="1:10" x14ac:dyDescent="0.35">
      <c r="A142">
        <v>450</v>
      </c>
      <c r="B142" t="s">
        <v>551</v>
      </c>
      <c r="C142">
        <v>20631028.649999999</v>
      </c>
      <c r="D142">
        <v>0</v>
      </c>
      <c r="E142">
        <v>20631028.649999999</v>
      </c>
      <c r="F142">
        <v>-1909501.15</v>
      </c>
      <c r="G142">
        <v>-1909501.15</v>
      </c>
      <c r="H142">
        <v>22540529.800000001</v>
      </c>
      <c r="I142">
        <v>22540529.800000001</v>
      </c>
      <c r="J142" t="s">
        <v>428</v>
      </c>
    </row>
    <row r="143" spans="1:10" x14ac:dyDescent="0.35">
      <c r="A143">
        <v>460</v>
      </c>
      <c r="B143" t="s">
        <v>552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 t="s">
        <v>428</v>
      </c>
    </row>
    <row r="144" spans="1:10" x14ac:dyDescent="0.35">
      <c r="A144">
        <v>500</v>
      </c>
      <c r="B144" t="s">
        <v>227</v>
      </c>
      <c r="C144">
        <v>61878698.560000002</v>
      </c>
      <c r="D144">
        <v>0</v>
      </c>
      <c r="E144">
        <v>61878698.560000002</v>
      </c>
      <c r="F144">
        <v>-750858.28</v>
      </c>
      <c r="G144">
        <v>-750858.28</v>
      </c>
      <c r="H144">
        <v>62629556.840000004</v>
      </c>
      <c r="I144">
        <v>62629556.840000004</v>
      </c>
      <c r="J144" t="s">
        <v>428</v>
      </c>
    </row>
    <row r="145" spans="1:10" x14ac:dyDescent="0.35">
      <c r="A145">
        <v>510</v>
      </c>
      <c r="B145" t="s">
        <v>553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 t="s">
        <v>428</v>
      </c>
    </row>
    <row r="146" spans="1:10" x14ac:dyDescent="0.35">
      <c r="A146">
        <v>520</v>
      </c>
      <c r="B146" t="s">
        <v>554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 t="s">
        <v>428</v>
      </c>
    </row>
    <row r="147" spans="1:10" x14ac:dyDescent="0.35">
      <c r="A147">
        <v>530</v>
      </c>
      <c r="B147" t="s">
        <v>554</v>
      </c>
      <c r="C147">
        <v>12731103.960000001</v>
      </c>
      <c r="D147">
        <v>0</v>
      </c>
      <c r="E147">
        <v>12731103.960000001</v>
      </c>
      <c r="F147">
        <v>-107661.46</v>
      </c>
      <c r="G147">
        <v>-107661.46</v>
      </c>
      <c r="H147">
        <v>12838765.42</v>
      </c>
      <c r="I147">
        <v>12838765.42</v>
      </c>
      <c r="J147" t="s">
        <v>428</v>
      </c>
    </row>
    <row r="148" spans="1:10" x14ac:dyDescent="0.35">
      <c r="A148">
        <v>540</v>
      </c>
      <c r="B148" t="s">
        <v>231</v>
      </c>
      <c r="C148">
        <v>20956.3</v>
      </c>
      <c r="D148">
        <v>0</v>
      </c>
      <c r="E148">
        <v>20956.3</v>
      </c>
      <c r="F148">
        <v>0</v>
      </c>
      <c r="G148">
        <v>0</v>
      </c>
      <c r="H148">
        <v>20956.3</v>
      </c>
      <c r="I148">
        <v>20956.3</v>
      </c>
      <c r="J148" t="s">
        <v>428</v>
      </c>
    </row>
    <row r="149" spans="1:10" x14ac:dyDescent="0.35">
      <c r="A149">
        <v>600</v>
      </c>
      <c r="B149" t="s">
        <v>232</v>
      </c>
      <c r="C149">
        <v>12752060.26</v>
      </c>
      <c r="D149">
        <v>0</v>
      </c>
      <c r="E149">
        <v>12752060.26</v>
      </c>
      <c r="F149">
        <v>-107661.46</v>
      </c>
      <c r="G149">
        <v>-107661.46</v>
      </c>
      <c r="H149">
        <v>12859721.720000001</v>
      </c>
      <c r="I149">
        <v>12859721.720000001</v>
      </c>
      <c r="J149" t="s">
        <v>428</v>
      </c>
    </row>
    <row r="150" spans="1:10" x14ac:dyDescent="0.35">
      <c r="A150">
        <v>610</v>
      </c>
      <c r="B150" t="s">
        <v>555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 t="s">
        <v>428</v>
      </c>
    </row>
    <row r="151" spans="1:10" x14ac:dyDescent="0.35">
      <c r="A151">
        <v>620</v>
      </c>
      <c r="B151" t="s">
        <v>234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 t="s">
        <v>428</v>
      </c>
    </row>
    <row r="152" spans="1:10" x14ac:dyDescent="0.35">
      <c r="A152">
        <v>700</v>
      </c>
      <c r="B152" t="s">
        <v>556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 t="s">
        <v>428</v>
      </c>
    </row>
    <row r="153" spans="1:10" x14ac:dyDescent="0.35">
      <c r="A153">
        <v>710</v>
      </c>
      <c r="B153" t="s">
        <v>557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 t="s">
        <v>428</v>
      </c>
    </row>
    <row r="154" spans="1:10" x14ac:dyDescent="0.35">
      <c r="A154">
        <v>720</v>
      </c>
      <c r="B154" t="s">
        <v>237</v>
      </c>
      <c r="C154">
        <v>27768120.98</v>
      </c>
      <c r="D154">
        <v>0</v>
      </c>
      <c r="E154">
        <v>27768120.98</v>
      </c>
      <c r="F154">
        <v>0</v>
      </c>
      <c r="G154">
        <v>0</v>
      </c>
      <c r="H154">
        <v>27768120.98</v>
      </c>
      <c r="I154">
        <v>27768120.98</v>
      </c>
      <c r="J154" t="s">
        <v>428</v>
      </c>
    </row>
    <row r="155" spans="1:10" x14ac:dyDescent="0.35">
      <c r="A155">
        <v>730</v>
      </c>
      <c r="B155" t="s">
        <v>238</v>
      </c>
      <c r="C155">
        <v>143708.13</v>
      </c>
      <c r="D155">
        <v>0</v>
      </c>
      <c r="E155">
        <v>143708.13</v>
      </c>
      <c r="F155">
        <v>0</v>
      </c>
      <c r="G155">
        <v>0</v>
      </c>
      <c r="H155">
        <v>143708.13</v>
      </c>
      <c r="I155">
        <v>143708.13</v>
      </c>
      <c r="J155" t="s">
        <v>428</v>
      </c>
    </row>
    <row r="156" spans="1:10" x14ac:dyDescent="0.35">
      <c r="A156">
        <v>740</v>
      </c>
      <c r="B156" t="s">
        <v>239</v>
      </c>
      <c r="C156">
        <v>35212358.600000001</v>
      </c>
      <c r="D156">
        <v>0</v>
      </c>
      <c r="E156">
        <v>35212358.600000001</v>
      </c>
      <c r="F156">
        <v>0</v>
      </c>
      <c r="G156">
        <v>0</v>
      </c>
      <c r="H156">
        <v>27470929.379999999</v>
      </c>
      <c r="I156">
        <v>35212358.600000001</v>
      </c>
      <c r="J156" t="s">
        <v>428</v>
      </c>
    </row>
    <row r="157" spans="1:10" x14ac:dyDescent="0.35">
      <c r="A157">
        <v>750</v>
      </c>
      <c r="B157" t="s">
        <v>240</v>
      </c>
      <c r="C157">
        <v>285646.08000000002</v>
      </c>
      <c r="D157">
        <v>0</v>
      </c>
      <c r="E157">
        <v>285646.08000000002</v>
      </c>
      <c r="F157">
        <v>285646.08000000002</v>
      </c>
      <c r="G157">
        <v>285646.08000000002</v>
      </c>
      <c r="H157">
        <v>7741429.2199999997</v>
      </c>
      <c r="I157">
        <v>0</v>
      </c>
      <c r="J157" t="s">
        <v>428</v>
      </c>
    </row>
    <row r="158" spans="1:10" x14ac:dyDescent="0.35">
      <c r="A158">
        <v>760</v>
      </c>
      <c r="B158" t="s">
        <v>241</v>
      </c>
      <c r="C158">
        <v>-8796584.5199999996</v>
      </c>
      <c r="D158">
        <v>0</v>
      </c>
      <c r="E158">
        <v>-8796584.5199999996</v>
      </c>
      <c r="F158">
        <v>0</v>
      </c>
      <c r="G158">
        <v>0</v>
      </c>
      <c r="H158">
        <v>-8796584.5199999996</v>
      </c>
      <c r="I158">
        <v>-8796584.5199999996</v>
      </c>
      <c r="J158" t="s">
        <v>428</v>
      </c>
    </row>
    <row r="159" spans="1:10" x14ac:dyDescent="0.35">
      <c r="A159">
        <v>770</v>
      </c>
      <c r="B159" t="s">
        <v>242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 t="s">
        <v>428</v>
      </c>
    </row>
    <row r="160" spans="1:10" x14ac:dyDescent="0.35">
      <c r="A160">
        <v>800</v>
      </c>
      <c r="B160" t="s">
        <v>243</v>
      </c>
      <c r="C160">
        <v>54613249.270000003</v>
      </c>
      <c r="D160">
        <v>0</v>
      </c>
      <c r="E160">
        <v>54613249.270000003</v>
      </c>
      <c r="F160">
        <v>285646.08000000002</v>
      </c>
      <c r="G160">
        <v>285646.08000000002</v>
      </c>
      <c r="H160">
        <v>54327603.189999998</v>
      </c>
      <c r="I160">
        <v>54327603.189999998</v>
      </c>
      <c r="J160" t="s">
        <v>428</v>
      </c>
    </row>
    <row r="161" spans="1:10" x14ac:dyDescent="0.35">
      <c r="A161">
        <v>900</v>
      </c>
      <c r="B161" t="s">
        <v>244</v>
      </c>
      <c r="C161">
        <v>129244008.09</v>
      </c>
      <c r="D161">
        <v>0</v>
      </c>
      <c r="E161">
        <v>129244008.09</v>
      </c>
      <c r="F161">
        <v>-572873.66</v>
      </c>
      <c r="G161">
        <v>-572873.66</v>
      </c>
      <c r="H161">
        <v>129816881.75</v>
      </c>
      <c r="I161">
        <v>129816881.75</v>
      </c>
      <c r="J161" t="s">
        <v>428</v>
      </c>
    </row>
    <row r="162" spans="1:10" x14ac:dyDescent="0.35">
      <c r="A162">
        <v>1000</v>
      </c>
      <c r="B162" t="s">
        <v>558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 t="s">
        <v>428</v>
      </c>
    </row>
    <row r="163" spans="1:10" x14ac:dyDescent="0.35">
      <c r="A163" t="s">
        <v>463</v>
      </c>
      <c r="B163" t="s">
        <v>416</v>
      </c>
      <c r="C163" t="s">
        <v>537</v>
      </c>
      <c r="D163" t="s">
        <v>538</v>
      </c>
      <c r="E163" t="s">
        <v>539</v>
      </c>
      <c r="F163" t="s">
        <v>540</v>
      </c>
      <c r="G163" t="s">
        <v>541</v>
      </c>
      <c r="H163" t="s">
        <v>542</v>
      </c>
      <c r="I163" t="s">
        <v>543</v>
      </c>
      <c r="J163" t="s">
        <v>121</v>
      </c>
    </row>
    <row r="164" spans="1:10" x14ac:dyDescent="0.35">
      <c r="A164">
        <v>10</v>
      </c>
      <c r="B164" t="s">
        <v>544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 t="s">
        <v>428</v>
      </c>
    </row>
    <row r="165" spans="1:10" x14ac:dyDescent="0.35">
      <c r="A165">
        <v>20</v>
      </c>
      <c r="B165" t="s">
        <v>194</v>
      </c>
      <c r="C165">
        <v>399750.53</v>
      </c>
      <c r="D165">
        <v>0</v>
      </c>
      <c r="E165">
        <v>399750.53</v>
      </c>
      <c r="F165">
        <v>143612.35</v>
      </c>
      <c r="G165">
        <v>143612.35</v>
      </c>
      <c r="H165">
        <v>256138.18</v>
      </c>
      <c r="I165">
        <v>256138.18</v>
      </c>
      <c r="J165" t="s">
        <v>428</v>
      </c>
    </row>
    <row r="166" spans="1:10" x14ac:dyDescent="0.35">
      <c r="A166">
        <v>30</v>
      </c>
      <c r="B166" t="s">
        <v>195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 t="s">
        <v>428</v>
      </c>
    </row>
    <row r="167" spans="1:10" x14ac:dyDescent="0.35">
      <c r="A167">
        <v>40</v>
      </c>
      <c r="B167" t="s">
        <v>196</v>
      </c>
      <c r="C167">
        <v>4221812.9400000004</v>
      </c>
      <c r="D167">
        <v>0</v>
      </c>
      <c r="E167">
        <v>4221812.9400000004</v>
      </c>
      <c r="F167">
        <v>-304691.58</v>
      </c>
      <c r="G167">
        <v>-304691.58</v>
      </c>
      <c r="H167">
        <v>4526504.5199999996</v>
      </c>
      <c r="I167">
        <v>4526504.5199999996</v>
      </c>
      <c r="J167" t="s">
        <v>428</v>
      </c>
    </row>
    <row r="168" spans="1:10" x14ac:dyDescent="0.35">
      <c r="A168">
        <v>50</v>
      </c>
      <c r="B168" t="s">
        <v>197</v>
      </c>
      <c r="C168">
        <v>679205.38</v>
      </c>
      <c r="D168">
        <v>0</v>
      </c>
      <c r="E168">
        <v>679205.38</v>
      </c>
      <c r="F168">
        <v>-1469382.62</v>
      </c>
      <c r="G168">
        <v>-1469382.62</v>
      </c>
      <c r="H168">
        <v>2148588</v>
      </c>
      <c r="I168">
        <v>2148588</v>
      </c>
      <c r="J168" t="s">
        <v>428</v>
      </c>
    </row>
    <row r="169" spans="1:10" x14ac:dyDescent="0.35">
      <c r="A169">
        <v>60</v>
      </c>
      <c r="B169" t="s">
        <v>198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 t="s">
        <v>428</v>
      </c>
    </row>
    <row r="170" spans="1:10" x14ac:dyDescent="0.35">
      <c r="A170">
        <v>70</v>
      </c>
      <c r="B170" t="s">
        <v>199</v>
      </c>
      <c r="C170">
        <v>240634.65</v>
      </c>
      <c r="D170">
        <v>0</v>
      </c>
      <c r="E170">
        <v>240634.65</v>
      </c>
      <c r="F170">
        <v>-18325.38</v>
      </c>
      <c r="G170">
        <v>-18325.38</v>
      </c>
      <c r="H170">
        <v>258960.03</v>
      </c>
      <c r="I170">
        <v>258960.03</v>
      </c>
      <c r="J170" t="s">
        <v>428</v>
      </c>
    </row>
    <row r="171" spans="1:10" x14ac:dyDescent="0.35">
      <c r="A171">
        <v>80</v>
      </c>
      <c r="B171" t="s">
        <v>545</v>
      </c>
      <c r="C171">
        <v>1094608.93</v>
      </c>
      <c r="D171">
        <v>0</v>
      </c>
      <c r="E171">
        <v>1094608.93</v>
      </c>
      <c r="F171">
        <v>350116.48</v>
      </c>
      <c r="G171">
        <v>350116.48</v>
      </c>
      <c r="H171">
        <v>744492.45</v>
      </c>
      <c r="I171">
        <v>744492.45</v>
      </c>
      <c r="J171" t="s">
        <v>428</v>
      </c>
    </row>
    <row r="172" spans="1:10" x14ac:dyDescent="0.35">
      <c r="A172">
        <v>100</v>
      </c>
      <c r="B172" t="s">
        <v>546</v>
      </c>
      <c r="C172">
        <v>6636012.4299999997</v>
      </c>
      <c r="D172">
        <v>0</v>
      </c>
      <c r="E172">
        <v>6636012.4299999997</v>
      </c>
      <c r="F172">
        <v>-1298670.75</v>
      </c>
      <c r="G172">
        <v>-1298670.75</v>
      </c>
      <c r="H172">
        <v>7934683.1799999997</v>
      </c>
      <c r="I172">
        <v>7934683.1799999997</v>
      </c>
      <c r="J172" t="s">
        <v>428</v>
      </c>
    </row>
    <row r="173" spans="1:10" x14ac:dyDescent="0.35">
      <c r="A173">
        <v>110</v>
      </c>
      <c r="B173" t="s">
        <v>547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 t="s">
        <v>428</v>
      </c>
    </row>
    <row r="174" spans="1:10" x14ac:dyDescent="0.35">
      <c r="A174">
        <v>120</v>
      </c>
      <c r="B174" t="s">
        <v>203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 t="s">
        <v>428</v>
      </c>
    </row>
    <row r="175" spans="1:10" x14ac:dyDescent="0.35">
      <c r="A175">
        <v>130</v>
      </c>
      <c r="B175" t="s">
        <v>204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 t="s">
        <v>428</v>
      </c>
    </row>
    <row r="176" spans="1:10" x14ac:dyDescent="0.35">
      <c r="A176">
        <v>140</v>
      </c>
      <c r="B176" t="s">
        <v>205</v>
      </c>
      <c r="C176">
        <v>734490.79</v>
      </c>
      <c r="D176">
        <v>0</v>
      </c>
      <c r="E176">
        <v>734490.79</v>
      </c>
      <c r="F176">
        <v>0</v>
      </c>
      <c r="G176">
        <v>0</v>
      </c>
      <c r="H176">
        <v>734490.79</v>
      </c>
      <c r="I176">
        <v>734490.79</v>
      </c>
      <c r="J176" t="s">
        <v>428</v>
      </c>
    </row>
    <row r="177" spans="1:10" x14ac:dyDescent="0.35">
      <c r="A177">
        <v>150</v>
      </c>
      <c r="B177" t="s">
        <v>206</v>
      </c>
      <c r="C177">
        <v>2492292.5099999998</v>
      </c>
      <c r="D177">
        <v>0</v>
      </c>
      <c r="E177">
        <v>2492292.5099999998</v>
      </c>
      <c r="F177">
        <v>0</v>
      </c>
      <c r="G177">
        <v>0</v>
      </c>
      <c r="H177">
        <v>2492292.5099999998</v>
      </c>
      <c r="I177">
        <v>2492292.5099999998</v>
      </c>
      <c r="J177" t="s">
        <v>428</v>
      </c>
    </row>
    <row r="178" spans="1:10" x14ac:dyDescent="0.35">
      <c r="A178">
        <v>160</v>
      </c>
      <c r="B178" t="s">
        <v>207</v>
      </c>
      <c r="C178">
        <v>2246853.4700000002</v>
      </c>
      <c r="D178">
        <v>0</v>
      </c>
      <c r="E178">
        <v>2246853.4700000002</v>
      </c>
      <c r="F178">
        <v>0</v>
      </c>
      <c r="G178">
        <v>0</v>
      </c>
      <c r="H178">
        <v>2246853.4700000002</v>
      </c>
      <c r="I178">
        <v>2246853.4700000002</v>
      </c>
      <c r="J178" t="s">
        <v>428</v>
      </c>
    </row>
    <row r="179" spans="1:10" x14ac:dyDescent="0.35">
      <c r="A179">
        <v>170</v>
      </c>
      <c r="B179" t="s">
        <v>208</v>
      </c>
      <c r="C179">
        <v>22358.77</v>
      </c>
      <c r="D179">
        <v>0</v>
      </c>
      <c r="E179">
        <v>22358.77</v>
      </c>
      <c r="F179">
        <v>12904.63</v>
      </c>
      <c r="G179">
        <v>12904.63</v>
      </c>
      <c r="H179">
        <v>9454.14</v>
      </c>
      <c r="I179">
        <v>9454.14</v>
      </c>
      <c r="J179" t="s">
        <v>428</v>
      </c>
    </row>
    <row r="180" spans="1:10" x14ac:dyDescent="0.35">
      <c r="A180">
        <v>180</v>
      </c>
      <c r="B180" t="s">
        <v>209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 t="s">
        <v>428</v>
      </c>
    </row>
    <row r="181" spans="1:10" x14ac:dyDescent="0.35">
      <c r="A181">
        <v>190</v>
      </c>
      <c r="B181" t="s">
        <v>210</v>
      </c>
      <c r="C181">
        <v>-4978709.53</v>
      </c>
      <c r="D181">
        <v>0</v>
      </c>
      <c r="E181">
        <v>-4978709.53</v>
      </c>
      <c r="F181">
        <v>-45176.32</v>
      </c>
      <c r="G181">
        <v>-45176.32</v>
      </c>
      <c r="H181">
        <v>-4933533.21</v>
      </c>
      <c r="I181">
        <v>-4933533.21</v>
      </c>
      <c r="J181" t="s">
        <v>428</v>
      </c>
    </row>
    <row r="182" spans="1:10" x14ac:dyDescent="0.35">
      <c r="A182">
        <v>200</v>
      </c>
      <c r="B182" t="s">
        <v>211</v>
      </c>
      <c r="C182">
        <v>517286.01</v>
      </c>
      <c r="D182">
        <v>0</v>
      </c>
      <c r="E182">
        <v>517286.01</v>
      </c>
      <c r="F182">
        <v>-32271.69</v>
      </c>
      <c r="G182">
        <v>-32271.69</v>
      </c>
      <c r="H182">
        <v>549557.69999999995</v>
      </c>
      <c r="I182">
        <v>549557.69999999995</v>
      </c>
      <c r="J182" t="s">
        <v>428</v>
      </c>
    </row>
    <row r="183" spans="1:10" x14ac:dyDescent="0.35">
      <c r="A183">
        <v>210</v>
      </c>
      <c r="B183" t="s">
        <v>548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 t="s">
        <v>428</v>
      </c>
    </row>
    <row r="184" spans="1:10" x14ac:dyDescent="0.35">
      <c r="A184">
        <v>220</v>
      </c>
      <c r="B184" t="s">
        <v>213</v>
      </c>
      <c r="C184">
        <v>300486.33</v>
      </c>
      <c r="D184">
        <v>0</v>
      </c>
      <c r="E184">
        <v>300486.33</v>
      </c>
      <c r="F184">
        <v>0</v>
      </c>
      <c r="G184">
        <v>0</v>
      </c>
      <c r="H184">
        <v>300486.33</v>
      </c>
      <c r="I184">
        <v>300486.33</v>
      </c>
      <c r="J184" t="s">
        <v>428</v>
      </c>
    </row>
    <row r="185" spans="1:10" x14ac:dyDescent="0.35">
      <c r="A185">
        <v>230</v>
      </c>
      <c r="B185" t="s">
        <v>214</v>
      </c>
      <c r="C185">
        <v>53858.17</v>
      </c>
      <c r="D185">
        <v>0</v>
      </c>
      <c r="E185">
        <v>53858.17</v>
      </c>
      <c r="F185">
        <v>0</v>
      </c>
      <c r="G185">
        <v>0</v>
      </c>
      <c r="H185">
        <v>53858.17</v>
      </c>
      <c r="I185">
        <v>53858.17</v>
      </c>
      <c r="J185" t="s">
        <v>428</v>
      </c>
    </row>
    <row r="186" spans="1:10" x14ac:dyDescent="0.35">
      <c r="A186">
        <v>240</v>
      </c>
      <c r="B186" t="s">
        <v>215</v>
      </c>
      <c r="C186">
        <v>-107389.99</v>
      </c>
      <c r="D186">
        <v>0</v>
      </c>
      <c r="E186">
        <v>-107389.99</v>
      </c>
      <c r="F186">
        <v>0</v>
      </c>
      <c r="G186">
        <v>0</v>
      </c>
      <c r="H186">
        <v>-107389.99</v>
      </c>
      <c r="I186">
        <v>-107389.99</v>
      </c>
      <c r="J186" t="s">
        <v>428</v>
      </c>
    </row>
    <row r="187" spans="1:10" x14ac:dyDescent="0.35">
      <c r="A187">
        <v>250</v>
      </c>
      <c r="B187" t="s">
        <v>216</v>
      </c>
      <c r="C187">
        <v>246954.51</v>
      </c>
      <c r="D187">
        <v>0</v>
      </c>
      <c r="E187">
        <v>246954.51</v>
      </c>
      <c r="F187">
        <v>0</v>
      </c>
      <c r="G187">
        <v>0</v>
      </c>
      <c r="H187">
        <v>246954.51</v>
      </c>
      <c r="I187">
        <v>246954.51</v>
      </c>
      <c r="J187" t="s">
        <v>428</v>
      </c>
    </row>
    <row r="188" spans="1:10" x14ac:dyDescent="0.35">
      <c r="A188">
        <v>260</v>
      </c>
      <c r="B188" t="s">
        <v>217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 t="s">
        <v>428</v>
      </c>
    </row>
    <row r="189" spans="1:10" x14ac:dyDescent="0.35">
      <c r="A189">
        <v>270</v>
      </c>
      <c r="B189" t="s">
        <v>218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 t="s">
        <v>428</v>
      </c>
    </row>
    <row r="190" spans="1:10" x14ac:dyDescent="0.35">
      <c r="A190">
        <v>280</v>
      </c>
      <c r="B190" t="s">
        <v>549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 t="s">
        <v>428</v>
      </c>
    </row>
    <row r="191" spans="1:10" x14ac:dyDescent="0.35">
      <c r="A191">
        <v>400</v>
      </c>
      <c r="B191" t="s">
        <v>220</v>
      </c>
      <c r="C191">
        <v>7400252.9500000002</v>
      </c>
      <c r="D191">
        <v>0</v>
      </c>
      <c r="E191">
        <v>7400252.9500000002</v>
      </c>
      <c r="F191">
        <v>-1330942.44</v>
      </c>
      <c r="G191">
        <v>-1330942.44</v>
      </c>
      <c r="H191">
        <v>8731195.3900000006</v>
      </c>
      <c r="I191">
        <v>8731195.3900000006</v>
      </c>
      <c r="J191" t="s">
        <v>428</v>
      </c>
    </row>
    <row r="192" spans="1:10" x14ac:dyDescent="0.35">
      <c r="A192">
        <v>410</v>
      </c>
      <c r="B192" t="s">
        <v>550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 t="s">
        <v>428</v>
      </c>
    </row>
    <row r="193" spans="1:10" x14ac:dyDescent="0.35">
      <c r="A193">
        <v>420</v>
      </c>
      <c r="B193" t="s">
        <v>222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 t="s">
        <v>428</v>
      </c>
    </row>
    <row r="194" spans="1:10" x14ac:dyDescent="0.35">
      <c r="A194">
        <v>430</v>
      </c>
      <c r="B194" t="s">
        <v>223</v>
      </c>
      <c r="C194">
        <v>6014782.6600000001</v>
      </c>
      <c r="D194">
        <v>0</v>
      </c>
      <c r="E194">
        <v>6014782.6600000001</v>
      </c>
      <c r="F194">
        <v>-336657.77</v>
      </c>
      <c r="G194">
        <v>-336657.77</v>
      </c>
      <c r="H194">
        <v>6351440.4299999997</v>
      </c>
      <c r="I194">
        <v>6351440.4299999997</v>
      </c>
      <c r="J194" t="s">
        <v>428</v>
      </c>
    </row>
    <row r="195" spans="1:10" x14ac:dyDescent="0.35">
      <c r="A195">
        <v>440</v>
      </c>
      <c r="B195" t="s">
        <v>224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 t="s">
        <v>428</v>
      </c>
    </row>
    <row r="196" spans="1:10" x14ac:dyDescent="0.35">
      <c r="A196">
        <v>450</v>
      </c>
      <c r="B196" t="s">
        <v>551</v>
      </c>
      <c r="C196">
        <v>1869561.09</v>
      </c>
      <c r="D196">
        <v>0</v>
      </c>
      <c r="E196">
        <v>1869561.09</v>
      </c>
      <c r="F196">
        <v>-1165361.18</v>
      </c>
      <c r="G196">
        <v>-1165361.18</v>
      </c>
      <c r="H196">
        <v>3034922.27</v>
      </c>
      <c r="I196">
        <v>3034922.27</v>
      </c>
      <c r="J196" t="s">
        <v>428</v>
      </c>
    </row>
    <row r="197" spans="1:10" x14ac:dyDescent="0.35">
      <c r="A197">
        <v>460</v>
      </c>
      <c r="B197" t="s">
        <v>552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 t="s">
        <v>428</v>
      </c>
    </row>
    <row r="198" spans="1:10" x14ac:dyDescent="0.35">
      <c r="A198">
        <v>500</v>
      </c>
      <c r="B198" t="s">
        <v>227</v>
      </c>
      <c r="C198">
        <v>7884343.75</v>
      </c>
      <c r="D198">
        <v>0</v>
      </c>
      <c r="E198">
        <v>7884343.75</v>
      </c>
      <c r="F198">
        <v>-1502018.95</v>
      </c>
      <c r="G198">
        <v>-1502018.95</v>
      </c>
      <c r="H198">
        <v>9386362.6999999993</v>
      </c>
      <c r="I198">
        <v>9386362.6999999993</v>
      </c>
      <c r="J198" t="s">
        <v>428</v>
      </c>
    </row>
    <row r="199" spans="1:10" x14ac:dyDescent="0.35">
      <c r="A199">
        <v>510</v>
      </c>
      <c r="B199" t="s">
        <v>553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 t="s">
        <v>428</v>
      </c>
    </row>
    <row r="200" spans="1:10" x14ac:dyDescent="0.35">
      <c r="A200">
        <v>520</v>
      </c>
      <c r="B200" t="s">
        <v>554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 t="s">
        <v>428</v>
      </c>
    </row>
    <row r="201" spans="1:10" x14ac:dyDescent="0.35">
      <c r="A201">
        <v>530</v>
      </c>
      <c r="B201" t="s">
        <v>554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 t="s">
        <v>428</v>
      </c>
    </row>
    <row r="202" spans="1:10" x14ac:dyDescent="0.35">
      <c r="A202">
        <v>540</v>
      </c>
      <c r="B202" t="s">
        <v>231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 t="s">
        <v>428</v>
      </c>
    </row>
    <row r="203" spans="1:10" x14ac:dyDescent="0.35">
      <c r="A203">
        <v>600</v>
      </c>
      <c r="B203" t="s">
        <v>232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 t="s">
        <v>428</v>
      </c>
    </row>
    <row r="204" spans="1:10" x14ac:dyDescent="0.35">
      <c r="A204">
        <v>610</v>
      </c>
      <c r="B204" t="s">
        <v>555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 t="s">
        <v>428</v>
      </c>
    </row>
    <row r="205" spans="1:10" x14ac:dyDescent="0.35">
      <c r="A205">
        <v>620</v>
      </c>
      <c r="B205" t="s">
        <v>234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 t="s">
        <v>428</v>
      </c>
    </row>
    <row r="206" spans="1:10" x14ac:dyDescent="0.35">
      <c r="A206">
        <v>700</v>
      </c>
      <c r="B206" t="s">
        <v>556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 t="s">
        <v>428</v>
      </c>
    </row>
    <row r="207" spans="1:10" x14ac:dyDescent="0.35">
      <c r="A207">
        <v>710</v>
      </c>
      <c r="B207" t="s">
        <v>557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 t="s">
        <v>428</v>
      </c>
    </row>
    <row r="208" spans="1:10" x14ac:dyDescent="0.35">
      <c r="A208">
        <v>720</v>
      </c>
      <c r="B208" t="s">
        <v>237</v>
      </c>
      <c r="C208">
        <v>8153602.4500000002</v>
      </c>
      <c r="D208">
        <v>0</v>
      </c>
      <c r="E208">
        <v>8153602.4500000002</v>
      </c>
      <c r="F208">
        <v>0</v>
      </c>
      <c r="G208">
        <v>0</v>
      </c>
      <c r="H208">
        <v>8153602.4500000002</v>
      </c>
      <c r="I208">
        <v>8153602.4500000002</v>
      </c>
      <c r="J208" t="s">
        <v>428</v>
      </c>
    </row>
    <row r="209" spans="1:10" x14ac:dyDescent="0.35">
      <c r="A209">
        <v>730</v>
      </c>
      <c r="B209" t="s">
        <v>238</v>
      </c>
      <c r="C209">
        <v>1275.28</v>
      </c>
      <c r="D209">
        <v>0</v>
      </c>
      <c r="E209">
        <v>1275.28</v>
      </c>
      <c r="F209">
        <v>0</v>
      </c>
      <c r="G209">
        <v>0</v>
      </c>
      <c r="H209">
        <v>1275.28</v>
      </c>
      <c r="I209">
        <v>1275.28</v>
      </c>
      <c r="J209" t="s">
        <v>428</v>
      </c>
    </row>
    <row r="210" spans="1:10" x14ac:dyDescent="0.35">
      <c r="A210">
        <v>740</v>
      </c>
      <c r="B210" t="s">
        <v>239</v>
      </c>
      <c r="C210">
        <v>-8020589.8399999999</v>
      </c>
      <c r="D210">
        <v>0</v>
      </c>
      <c r="E210">
        <v>-8020589.8399999999</v>
      </c>
      <c r="F210">
        <v>0</v>
      </c>
      <c r="G210">
        <v>0</v>
      </c>
      <c r="H210">
        <v>-8800730.6400000006</v>
      </c>
      <c r="I210">
        <v>-8020589.8399999999</v>
      </c>
      <c r="J210" t="s">
        <v>428</v>
      </c>
    </row>
    <row r="211" spans="1:10" x14ac:dyDescent="0.35">
      <c r="A211">
        <v>750</v>
      </c>
      <c r="B211" t="s">
        <v>240</v>
      </c>
      <c r="C211">
        <v>171076.51</v>
      </c>
      <c r="D211">
        <v>0</v>
      </c>
      <c r="E211">
        <v>171076.51</v>
      </c>
      <c r="F211">
        <v>171076.51</v>
      </c>
      <c r="G211">
        <v>171076.51</v>
      </c>
      <c r="H211">
        <v>780140.8</v>
      </c>
      <c r="I211">
        <v>0</v>
      </c>
      <c r="J211" t="s">
        <v>428</v>
      </c>
    </row>
    <row r="212" spans="1:10" x14ac:dyDescent="0.35">
      <c r="A212">
        <v>760</v>
      </c>
      <c r="B212" t="s">
        <v>241</v>
      </c>
      <c r="C212">
        <v>-789455.2</v>
      </c>
      <c r="D212">
        <v>0</v>
      </c>
      <c r="E212">
        <v>-789455.2</v>
      </c>
      <c r="F212">
        <v>0</v>
      </c>
      <c r="G212">
        <v>0</v>
      </c>
      <c r="H212">
        <v>-789455.2</v>
      </c>
      <c r="I212">
        <v>-789455.2</v>
      </c>
      <c r="J212" t="s">
        <v>428</v>
      </c>
    </row>
    <row r="213" spans="1:10" x14ac:dyDescent="0.35">
      <c r="A213">
        <v>770</v>
      </c>
      <c r="B213" t="s">
        <v>242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 t="s">
        <v>428</v>
      </c>
    </row>
    <row r="214" spans="1:10" x14ac:dyDescent="0.35">
      <c r="A214">
        <v>800</v>
      </c>
      <c r="B214" t="s">
        <v>243</v>
      </c>
      <c r="C214">
        <v>-484090.8</v>
      </c>
      <c r="D214">
        <v>0</v>
      </c>
      <c r="E214">
        <v>-484090.8</v>
      </c>
      <c r="F214">
        <v>171076.51</v>
      </c>
      <c r="G214">
        <v>171076.51</v>
      </c>
      <c r="H214">
        <v>-655167.31000000006</v>
      </c>
      <c r="I214">
        <v>-655167.31000000006</v>
      </c>
      <c r="J214" t="s">
        <v>428</v>
      </c>
    </row>
    <row r="215" spans="1:10" x14ac:dyDescent="0.35">
      <c r="A215">
        <v>900</v>
      </c>
      <c r="B215" t="s">
        <v>244</v>
      </c>
      <c r="C215">
        <v>7400252.9500000002</v>
      </c>
      <c r="D215">
        <v>0</v>
      </c>
      <c r="E215">
        <v>7400252.9500000002</v>
      </c>
      <c r="F215">
        <v>-1330942.44</v>
      </c>
      <c r="G215">
        <v>-1330942.44</v>
      </c>
      <c r="H215">
        <v>8731195.3900000006</v>
      </c>
      <c r="I215">
        <v>8731195.3900000006</v>
      </c>
      <c r="J215" t="s">
        <v>428</v>
      </c>
    </row>
    <row r="216" spans="1:10" x14ac:dyDescent="0.35">
      <c r="A216">
        <v>1000</v>
      </c>
      <c r="B216" t="s">
        <v>558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 t="s">
        <v>428</v>
      </c>
    </row>
    <row r="217" spans="1:10" x14ac:dyDescent="0.35">
      <c r="A217" t="s">
        <v>467</v>
      </c>
      <c r="B217" t="s">
        <v>416</v>
      </c>
      <c r="C217" t="s">
        <v>537</v>
      </c>
      <c r="D217" t="s">
        <v>538</v>
      </c>
      <c r="E217" t="s">
        <v>539</v>
      </c>
      <c r="F217" t="s">
        <v>540</v>
      </c>
      <c r="G217" t="s">
        <v>541</v>
      </c>
      <c r="H217" t="s">
        <v>542</v>
      </c>
      <c r="I217" t="s">
        <v>543</v>
      </c>
      <c r="J217" t="s">
        <v>121</v>
      </c>
    </row>
    <row r="218" spans="1:10" x14ac:dyDescent="0.35">
      <c r="A218">
        <v>10</v>
      </c>
      <c r="B218" t="s">
        <v>544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 t="s">
        <v>428</v>
      </c>
    </row>
    <row r="219" spans="1:10" x14ac:dyDescent="0.35">
      <c r="A219">
        <v>20</v>
      </c>
      <c r="B219" t="s">
        <v>194</v>
      </c>
      <c r="C219">
        <v>286427.8</v>
      </c>
      <c r="D219">
        <v>0</v>
      </c>
      <c r="E219">
        <v>286427.8</v>
      </c>
      <c r="F219">
        <v>24851.63</v>
      </c>
      <c r="G219">
        <v>24851.63</v>
      </c>
      <c r="H219">
        <v>261576.17</v>
      </c>
      <c r="I219">
        <v>261576.17</v>
      </c>
      <c r="J219" t="s">
        <v>428</v>
      </c>
    </row>
    <row r="220" spans="1:10" x14ac:dyDescent="0.35">
      <c r="A220">
        <v>30</v>
      </c>
      <c r="B220" t="s">
        <v>195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 t="s">
        <v>428</v>
      </c>
    </row>
    <row r="221" spans="1:10" x14ac:dyDescent="0.35">
      <c r="A221">
        <v>40</v>
      </c>
      <c r="B221" t="s">
        <v>196</v>
      </c>
      <c r="C221">
        <v>669782.38</v>
      </c>
      <c r="D221">
        <v>0</v>
      </c>
      <c r="E221">
        <v>669782.38</v>
      </c>
      <c r="F221">
        <v>-164983.35999999999</v>
      </c>
      <c r="G221">
        <v>-164983.35999999999</v>
      </c>
      <c r="H221">
        <v>834765.74</v>
      </c>
      <c r="I221">
        <v>834765.74</v>
      </c>
      <c r="J221" t="s">
        <v>428</v>
      </c>
    </row>
    <row r="222" spans="1:10" x14ac:dyDescent="0.35">
      <c r="A222">
        <v>50</v>
      </c>
      <c r="B222" t="s">
        <v>197</v>
      </c>
      <c r="C222">
        <v>851891.49</v>
      </c>
      <c r="D222">
        <v>0</v>
      </c>
      <c r="E222">
        <v>851891.49</v>
      </c>
      <c r="F222">
        <v>-0.28000000000000003</v>
      </c>
      <c r="G222">
        <v>-0.28000000000000003</v>
      </c>
      <c r="H222">
        <v>851891.77</v>
      </c>
      <c r="I222">
        <v>851891.77</v>
      </c>
      <c r="J222" t="s">
        <v>428</v>
      </c>
    </row>
    <row r="223" spans="1:10" x14ac:dyDescent="0.35">
      <c r="A223">
        <v>60</v>
      </c>
      <c r="B223" t="s">
        <v>198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 t="s">
        <v>428</v>
      </c>
    </row>
    <row r="224" spans="1:10" x14ac:dyDescent="0.35">
      <c r="A224">
        <v>70</v>
      </c>
      <c r="B224" t="s">
        <v>199</v>
      </c>
      <c r="C224">
        <v>2079052.92</v>
      </c>
      <c r="D224">
        <v>0</v>
      </c>
      <c r="E224">
        <v>2079052.92</v>
      </c>
      <c r="F224">
        <v>19773</v>
      </c>
      <c r="G224">
        <v>19773</v>
      </c>
      <c r="H224">
        <v>2059279.92</v>
      </c>
      <c r="I224">
        <v>2059279.92</v>
      </c>
      <c r="J224" t="s">
        <v>428</v>
      </c>
    </row>
    <row r="225" spans="1:10" x14ac:dyDescent="0.35">
      <c r="A225">
        <v>80</v>
      </c>
      <c r="B225" t="s">
        <v>545</v>
      </c>
      <c r="C225">
        <v>1304468.6000000001</v>
      </c>
      <c r="D225">
        <v>0</v>
      </c>
      <c r="E225">
        <v>1304468.6000000001</v>
      </c>
      <c r="F225">
        <v>11930.39</v>
      </c>
      <c r="G225">
        <v>11930.39</v>
      </c>
      <c r="H225">
        <v>1292538.21</v>
      </c>
      <c r="I225">
        <v>1292538.21</v>
      </c>
      <c r="J225" t="s">
        <v>428</v>
      </c>
    </row>
    <row r="226" spans="1:10" x14ac:dyDescent="0.35">
      <c r="A226">
        <v>100</v>
      </c>
      <c r="B226" t="s">
        <v>546</v>
      </c>
      <c r="C226">
        <v>5191623.1900000004</v>
      </c>
      <c r="D226">
        <v>0</v>
      </c>
      <c r="E226">
        <v>5191623.1900000004</v>
      </c>
      <c r="F226">
        <v>-108428.62</v>
      </c>
      <c r="G226">
        <v>-108428.62</v>
      </c>
      <c r="H226">
        <v>5300051.8099999996</v>
      </c>
      <c r="I226">
        <v>5300051.8099999996</v>
      </c>
      <c r="J226" t="s">
        <v>428</v>
      </c>
    </row>
    <row r="227" spans="1:10" x14ac:dyDescent="0.35">
      <c r="A227">
        <v>110</v>
      </c>
      <c r="B227" t="s">
        <v>547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 t="s">
        <v>428</v>
      </c>
    </row>
    <row r="228" spans="1:10" x14ac:dyDescent="0.35">
      <c r="A228">
        <v>120</v>
      </c>
      <c r="B228" t="s">
        <v>203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 t="s">
        <v>428</v>
      </c>
    </row>
    <row r="229" spans="1:10" x14ac:dyDescent="0.35">
      <c r="A229">
        <v>130</v>
      </c>
      <c r="B229" t="s">
        <v>204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 t="s">
        <v>428</v>
      </c>
    </row>
    <row r="230" spans="1:10" x14ac:dyDescent="0.35">
      <c r="A230">
        <v>140</v>
      </c>
      <c r="B230" t="s">
        <v>205</v>
      </c>
      <c r="C230">
        <v>52937.3</v>
      </c>
      <c r="D230">
        <v>0</v>
      </c>
      <c r="E230">
        <v>52937.3</v>
      </c>
      <c r="F230">
        <v>0</v>
      </c>
      <c r="G230">
        <v>0</v>
      </c>
      <c r="H230">
        <v>52937.3</v>
      </c>
      <c r="I230">
        <v>52937.3</v>
      </c>
      <c r="J230" t="s">
        <v>428</v>
      </c>
    </row>
    <row r="231" spans="1:10" x14ac:dyDescent="0.35">
      <c r="A231">
        <v>150</v>
      </c>
      <c r="B231" t="s">
        <v>206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 t="s">
        <v>428</v>
      </c>
    </row>
    <row r="232" spans="1:10" x14ac:dyDescent="0.35">
      <c r="A232">
        <v>160</v>
      </c>
      <c r="B232" t="s">
        <v>207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 t="s">
        <v>428</v>
      </c>
    </row>
    <row r="233" spans="1:10" x14ac:dyDescent="0.35">
      <c r="A233">
        <v>170</v>
      </c>
      <c r="B233" t="s">
        <v>208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 t="s">
        <v>428</v>
      </c>
    </row>
    <row r="234" spans="1:10" x14ac:dyDescent="0.35">
      <c r="A234">
        <v>180</v>
      </c>
      <c r="B234" t="s">
        <v>209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 t="s">
        <v>428</v>
      </c>
    </row>
    <row r="235" spans="1:10" x14ac:dyDescent="0.35">
      <c r="A235">
        <v>190</v>
      </c>
      <c r="B235" t="s">
        <v>210</v>
      </c>
      <c r="C235">
        <v>-12263.73</v>
      </c>
      <c r="D235">
        <v>0</v>
      </c>
      <c r="E235">
        <v>-12263.73</v>
      </c>
      <c r="F235">
        <v>0</v>
      </c>
      <c r="G235">
        <v>0</v>
      </c>
      <c r="H235">
        <v>-12263.73</v>
      </c>
      <c r="I235">
        <v>-12263.73</v>
      </c>
      <c r="J235" t="s">
        <v>428</v>
      </c>
    </row>
    <row r="236" spans="1:10" x14ac:dyDescent="0.35">
      <c r="A236">
        <v>200</v>
      </c>
      <c r="B236" t="s">
        <v>211</v>
      </c>
      <c r="C236">
        <v>40673.57</v>
      </c>
      <c r="D236">
        <v>0</v>
      </c>
      <c r="E236">
        <v>40673.57</v>
      </c>
      <c r="F236">
        <v>0</v>
      </c>
      <c r="G236">
        <v>0</v>
      </c>
      <c r="H236">
        <v>40673.57</v>
      </c>
      <c r="I236">
        <v>40673.57</v>
      </c>
      <c r="J236" t="s">
        <v>428</v>
      </c>
    </row>
    <row r="237" spans="1:10" x14ac:dyDescent="0.35">
      <c r="A237">
        <v>210</v>
      </c>
      <c r="B237" t="s">
        <v>548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 t="s">
        <v>428</v>
      </c>
    </row>
    <row r="238" spans="1:10" x14ac:dyDescent="0.35">
      <c r="A238">
        <v>220</v>
      </c>
      <c r="B238" t="s">
        <v>213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 t="s">
        <v>428</v>
      </c>
    </row>
    <row r="239" spans="1:10" x14ac:dyDescent="0.35">
      <c r="A239">
        <v>230</v>
      </c>
      <c r="B239" t="s">
        <v>214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 t="s">
        <v>428</v>
      </c>
    </row>
    <row r="240" spans="1:10" x14ac:dyDescent="0.35">
      <c r="A240">
        <v>240</v>
      </c>
      <c r="B240" t="s">
        <v>215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 t="s">
        <v>428</v>
      </c>
    </row>
    <row r="241" spans="1:10" x14ac:dyDescent="0.35">
      <c r="A241">
        <v>250</v>
      </c>
      <c r="B241" t="s">
        <v>216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 t="s">
        <v>428</v>
      </c>
    </row>
    <row r="242" spans="1:10" x14ac:dyDescent="0.35">
      <c r="A242">
        <v>260</v>
      </c>
      <c r="B242" t="s">
        <v>217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 t="s">
        <v>428</v>
      </c>
    </row>
    <row r="243" spans="1:10" x14ac:dyDescent="0.35">
      <c r="A243">
        <v>270</v>
      </c>
      <c r="B243" t="s">
        <v>218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 t="s">
        <v>428</v>
      </c>
    </row>
    <row r="244" spans="1:10" x14ac:dyDescent="0.35">
      <c r="A244">
        <v>280</v>
      </c>
      <c r="B244" t="s">
        <v>549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 t="s">
        <v>428</v>
      </c>
    </row>
    <row r="245" spans="1:10" x14ac:dyDescent="0.35">
      <c r="A245">
        <v>400</v>
      </c>
      <c r="B245" t="s">
        <v>220</v>
      </c>
      <c r="C245">
        <v>5232296.76</v>
      </c>
      <c r="D245">
        <v>0</v>
      </c>
      <c r="E245">
        <v>5232296.76</v>
      </c>
      <c r="F245">
        <v>-108428.62</v>
      </c>
      <c r="G245">
        <v>-108428.62</v>
      </c>
      <c r="H245">
        <v>5340725.38</v>
      </c>
      <c r="I245">
        <v>5340725.38</v>
      </c>
      <c r="J245" t="s">
        <v>428</v>
      </c>
    </row>
    <row r="246" spans="1:10" x14ac:dyDescent="0.35">
      <c r="A246">
        <v>410</v>
      </c>
      <c r="B246" t="s">
        <v>550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 t="s">
        <v>428</v>
      </c>
    </row>
    <row r="247" spans="1:10" x14ac:dyDescent="0.35">
      <c r="A247">
        <v>420</v>
      </c>
      <c r="B247" t="s">
        <v>222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 t="s">
        <v>428</v>
      </c>
    </row>
    <row r="248" spans="1:10" x14ac:dyDescent="0.35">
      <c r="A248">
        <v>430</v>
      </c>
      <c r="B248" t="s">
        <v>223</v>
      </c>
      <c r="C248">
        <v>6544084.7000000002</v>
      </c>
      <c r="D248">
        <v>0</v>
      </c>
      <c r="E248">
        <v>6544084.7000000002</v>
      </c>
      <c r="F248">
        <v>-57430.95</v>
      </c>
      <c r="G248">
        <v>-57430.95</v>
      </c>
      <c r="H248">
        <v>6601515.6500000004</v>
      </c>
      <c r="I248">
        <v>6601515.6500000004</v>
      </c>
      <c r="J248" t="s">
        <v>428</v>
      </c>
    </row>
    <row r="249" spans="1:10" x14ac:dyDescent="0.35">
      <c r="A249">
        <v>440</v>
      </c>
      <c r="B249" t="s">
        <v>224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 t="s">
        <v>428</v>
      </c>
    </row>
    <row r="250" spans="1:10" x14ac:dyDescent="0.35">
      <c r="A250">
        <v>450</v>
      </c>
      <c r="B250" t="s">
        <v>551</v>
      </c>
      <c r="C250">
        <v>4391882.71</v>
      </c>
      <c r="D250">
        <v>0</v>
      </c>
      <c r="E250">
        <v>4391882.71</v>
      </c>
      <c r="F250">
        <v>-6596.38</v>
      </c>
      <c r="G250">
        <v>-6596.38</v>
      </c>
      <c r="H250">
        <v>4398479.09</v>
      </c>
      <c r="I250">
        <v>4398479.09</v>
      </c>
      <c r="J250" t="s">
        <v>428</v>
      </c>
    </row>
    <row r="251" spans="1:10" x14ac:dyDescent="0.35">
      <c r="A251">
        <v>460</v>
      </c>
      <c r="B251" t="s">
        <v>552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 t="s">
        <v>428</v>
      </c>
    </row>
    <row r="252" spans="1:10" x14ac:dyDescent="0.35">
      <c r="A252">
        <v>500</v>
      </c>
      <c r="B252" t="s">
        <v>227</v>
      </c>
      <c r="C252">
        <v>10935967.41</v>
      </c>
      <c r="D252">
        <v>0</v>
      </c>
      <c r="E252">
        <v>10935967.41</v>
      </c>
      <c r="F252">
        <v>-64027.33</v>
      </c>
      <c r="G252">
        <v>-64027.33</v>
      </c>
      <c r="H252">
        <v>10999994.74</v>
      </c>
      <c r="I252">
        <v>10999994.74</v>
      </c>
      <c r="J252" t="s">
        <v>428</v>
      </c>
    </row>
    <row r="253" spans="1:10" x14ac:dyDescent="0.35">
      <c r="A253">
        <v>510</v>
      </c>
      <c r="B253" t="s">
        <v>553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 t="s">
        <v>428</v>
      </c>
    </row>
    <row r="254" spans="1:10" x14ac:dyDescent="0.35">
      <c r="A254">
        <v>520</v>
      </c>
      <c r="B254" t="s">
        <v>554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 t="s">
        <v>428</v>
      </c>
    </row>
    <row r="255" spans="1:10" x14ac:dyDescent="0.35">
      <c r="A255">
        <v>530</v>
      </c>
      <c r="B255" t="s">
        <v>554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 t="s">
        <v>428</v>
      </c>
    </row>
    <row r="256" spans="1:10" x14ac:dyDescent="0.35">
      <c r="A256">
        <v>540</v>
      </c>
      <c r="B256" t="s">
        <v>231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 t="s">
        <v>428</v>
      </c>
    </row>
    <row r="257" spans="1:10" x14ac:dyDescent="0.35">
      <c r="A257">
        <v>600</v>
      </c>
      <c r="B257" t="s">
        <v>232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 t="s">
        <v>428</v>
      </c>
    </row>
    <row r="258" spans="1:10" x14ac:dyDescent="0.35">
      <c r="A258">
        <v>610</v>
      </c>
      <c r="B258" t="s">
        <v>555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 t="s">
        <v>428</v>
      </c>
    </row>
    <row r="259" spans="1:10" x14ac:dyDescent="0.35">
      <c r="A259">
        <v>620</v>
      </c>
      <c r="B259" t="s">
        <v>234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 t="s">
        <v>428</v>
      </c>
    </row>
    <row r="260" spans="1:10" x14ac:dyDescent="0.35">
      <c r="A260">
        <v>700</v>
      </c>
      <c r="B260" t="s">
        <v>556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 t="s">
        <v>428</v>
      </c>
    </row>
    <row r="261" spans="1:10" x14ac:dyDescent="0.35">
      <c r="A261">
        <v>710</v>
      </c>
      <c r="B261" t="s">
        <v>557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 t="s">
        <v>428</v>
      </c>
    </row>
    <row r="262" spans="1:10" x14ac:dyDescent="0.35">
      <c r="A262">
        <v>720</v>
      </c>
      <c r="B262" t="s">
        <v>237</v>
      </c>
      <c r="C262">
        <v>53000</v>
      </c>
      <c r="D262">
        <v>0</v>
      </c>
      <c r="E262">
        <v>53000</v>
      </c>
      <c r="F262">
        <v>0</v>
      </c>
      <c r="G262">
        <v>0</v>
      </c>
      <c r="H262">
        <v>53000</v>
      </c>
      <c r="I262">
        <v>53000</v>
      </c>
      <c r="J262" t="s">
        <v>428</v>
      </c>
    </row>
    <row r="263" spans="1:10" x14ac:dyDescent="0.35">
      <c r="A263">
        <v>730</v>
      </c>
      <c r="B263" t="s">
        <v>238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 t="s">
        <v>428</v>
      </c>
    </row>
    <row r="264" spans="1:10" x14ac:dyDescent="0.35">
      <c r="A264">
        <v>740</v>
      </c>
      <c r="B264" t="s">
        <v>239</v>
      </c>
      <c r="C264">
        <v>-2139254.09</v>
      </c>
      <c r="D264">
        <v>0</v>
      </c>
      <c r="E264">
        <v>-2139254.09</v>
      </c>
      <c r="F264">
        <v>0</v>
      </c>
      <c r="G264">
        <v>0</v>
      </c>
      <c r="H264">
        <v>-1557688.54</v>
      </c>
      <c r="I264">
        <v>-2139254.09</v>
      </c>
      <c r="J264" t="s">
        <v>428</v>
      </c>
    </row>
    <row r="265" spans="1:10" x14ac:dyDescent="0.35">
      <c r="A265">
        <v>750</v>
      </c>
      <c r="B265" t="s">
        <v>240</v>
      </c>
      <c r="C265">
        <v>-44401.29</v>
      </c>
      <c r="D265">
        <v>0</v>
      </c>
      <c r="E265">
        <v>-44401.29</v>
      </c>
      <c r="F265">
        <v>-44401.29</v>
      </c>
      <c r="G265">
        <v>-44401.29</v>
      </c>
      <c r="H265">
        <v>-581565.55000000005</v>
      </c>
      <c r="I265">
        <v>0</v>
      </c>
      <c r="J265" t="s">
        <v>428</v>
      </c>
    </row>
    <row r="266" spans="1:10" x14ac:dyDescent="0.35">
      <c r="A266">
        <v>760</v>
      </c>
      <c r="B266" t="s">
        <v>241</v>
      </c>
      <c r="C266">
        <v>-3573015.27</v>
      </c>
      <c r="D266">
        <v>0</v>
      </c>
      <c r="E266">
        <v>-3573015.27</v>
      </c>
      <c r="F266">
        <v>0</v>
      </c>
      <c r="G266">
        <v>0</v>
      </c>
      <c r="H266">
        <v>-3573015.27</v>
      </c>
      <c r="I266">
        <v>-3573015.27</v>
      </c>
      <c r="J266" t="s">
        <v>428</v>
      </c>
    </row>
    <row r="267" spans="1:10" x14ac:dyDescent="0.35">
      <c r="A267">
        <v>770</v>
      </c>
      <c r="B267" t="s">
        <v>242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 t="s">
        <v>428</v>
      </c>
    </row>
    <row r="268" spans="1:10" x14ac:dyDescent="0.35">
      <c r="A268">
        <v>800</v>
      </c>
      <c r="B268" t="s">
        <v>243</v>
      </c>
      <c r="C268">
        <v>-5703670.6500000004</v>
      </c>
      <c r="D268">
        <v>0</v>
      </c>
      <c r="E268">
        <v>-5703670.6500000004</v>
      </c>
      <c r="F268">
        <v>-44401.29</v>
      </c>
      <c r="G268">
        <v>-44401.29</v>
      </c>
      <c r="H268">
        <v>-5659269.3600000003</v>
      </c>
      <c r="I268">
        <v>-5659269.3600000003</v>
      </c>
      <c r="J268" t="s">
        <v>428</v>
      </c>
    </row>
    <row r="269" spans="1:10" x14ac:dyDescent="0.35">
      <c r="A269">
        <v>900</v>
      </c>
      <c r="B269" t="s">
        <v>244</v>
      </c>
      <c r="C269">
        <v>5232296.76</v>
      </c>
      <c r="D269">
        <v>0</v>
      </c>
      <c r="E269">
        <v>5232296.76</v>
      </c>
      <c r="F269">
        <v>-108428.62</v>
      </c>
      <c r="G269">
        <v>-108428.62</v>
      </c>
      <c r="H269">
        <v>5340725.38</v>
      </c>
      <c r="I269">
        <v>5340725.38</v>
      </c>
      <c r="J269" t="s">
        <v>428</v>
      </c>
    </row>
    <row r="270" spans="1:10" x14ac:dyDescent="0.35">
      <c r="A270">
        <v>1000</v>
      </c>
      <c r="B270" t="s">
        <v>558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 t="s">
        <v>428</v>
      </c>
    </row>
    <row r="271" spans="1:10" x14ac:dyDescent="0.35">
      <c r="A271" t="s">
        <v>468</v>
      </c>
      <c r="B271" t="s">
        <v>416</v>
      </c>
      <c r="C271" t="s">
        <v>537</v>
      </c>
      <c r="D271" t="s">
        <v>538</v>
      </c>
      <c r="E271" t="s">
        <v>539</v>
      </c>
      <c r="F271" t="s">
        <v>540</v>
      </c>
      <c r="G271" t="s">
        <v>541</v>
      </c>
      <c r="H271" t="s">
        <v>542</v>
      </c>
      <c r="I271" t="s">
        <v>543</v>
      </c>
      <c r="J271" t="s">
        <v>121</v>
      </c>
    </row>
    <row r="272" spans="1:10" x14ac:dyDescent="0.35">
      <c r="A272">
        <v>10</v>
      </c>
      <c r="B272" t="s">
        <v>544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 t="s">
        <v>428</v>
      </c>
    </row>
    <row r="273" spans="1:10" x14ac:dyDescent="0.35">
      <c r="A273">
        <v>20</v>
      </c>
      <c r="B273" t="s">
        <v>194</v>
      </c>
      <c r="C273">
        <v>121722.04</v>
      </c>
      <c r="D273">
        <v>0</v>
      </c>
      <c r="E273">
        <v>121722.04</v>
      </c>
      <c r="F273">
        <v>54116.15</v>
      </c>
      <c r="G273">
        <v>54116.15</v>
      </c>
      <c r="H273">
        <v>67605.89</v>
      </c>
      <c r="I273">
        <v>67605.89</v>
      </c>
      <c r="J273" t="s">
        <v>428</v>
      </c>
    </row>
    <row r="274" spans="1:10" x14ac:dyDescent="0.35">
      <c r="A274">
        <v>30</v>
      </c>
      <c r="B274" t="s">
        <v>195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 t="s">
        <v>428</v>
      </c>
    </row>
    <row r="275" spans="1:10" x14ac:dyDescent="0.35">
      <c r="A275">
        <v>40</v>
      </c>
      <c r="B275" t="s">
        <v>196</v>
      </c>
      <c r="C275">
        <v>1335854.58</v>
      </c>
      <c r="D275">
        <v>0</v>
      </c>
      <c r="E275">
        <v>1335854.58</v>
      </c>
      <c r="F275">
        <v>38522.32</v>
      </c>
      <c r="G275">
        <v>38522.32</v>
      </c>
      <c r="H275">
        <v>1297332.26</v>
      </c>
      <c r="I275">
        <v>1297332.26</v>
      </c>
      <c r="J275" t="s">
        <v>428</v>
      </c>
    </row>
    <row r="276" spans="1:10" x14ac:dyDescent="0.35">
      <c r="A276">
        <v>50</v>
      </c>
      <c r="B276" t="s">
        <v>197</v>
      </c>
      <c r="C276">
        <v>1247491</v>
      </c>
      <c r="D276">
        <v>0</v>
      </c>
      <c r="E276">
        <v>1247491</v>
      </c>
      <c r="F276">
        <v>0</v>
      </c>
      <c r="G276">
        <v>0</v>
      </c>
      <c r="H276">
        <v>1247491</v>
      </c>
      <c r="I276">
        <v>1247491</v>
      </c>
      <c r="J276" t="s">
        <v>428</v>
      </c>
    </row>
    <row r="277" spans="1:10" x14ac:dyDescent="0.35">
      <c r="A277">
        <v>60</v>
      </c>
      <c r="B277" t="s">
        <v>198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 t="s">
        <v>428</v>
      </c>
    </row>
    <row r="278" spans="1:10" x14ac:dyDescent="0.35">
      <c r="A278">
        <v>70</v>
      </c>
      <c r="B278" t="s">
        <v>199</v>
      </c>
      <c r="C278">
        <v>1884286.02</v>
      </c>
      <c r="D278">
        <v>0</v>
      </c>
      <c r="E278">
        <v>1884286.02</v>
      </c>
      <c r="F278">
        <v>25906.080000000002</v>
      </c>
      <c r="G278">
        <v>25906.080000000002</v>
      </c>
      <c r="H278">
        <v>1858379.94</v>
      </c>
      <c r="I278">
        <v>1858379.94</v>
      </c>
      <c r="J278" t="s">
        <v>428</v>
      </c>
    </row>
    <row r="279" spans="1:10" x14ac:dyDescent="0.35">
      <c r="A279">
        <v>80</v>
      </c>
      <c r="B279" t="s">
        <v>545</v>
      </c>
      <c r="C279">
        <v>793217.33</v>
      </c>
      <c r="D279">
        <v>0</v>
      </c>
      <c r="E279">
        <v>793217.33</v>
      </c>
      <c r="F279">
        <v>1958.32</v>
      </c>
      <c r="G279">
        <v>1958.32</v>
      </c>
      <c r="H279">
        <v>791259.01</v>
      </c>
      <c r="I279">
        <v>791259.01</v>
      </c>
      <c r="J279" t="s">
        <v>428</v>
      </c>
    </row>
    <row r="280" spans="1:10" x14ac:dyDescent="0.35">
      <c r="A280">
        <v>100</v>
      </c>
      <c r="B280" t="s">
        <v>546</v>
      </c>
      <c r="C280">
        <v>5382570.9699999997</v>
      </c>
      <c r="D280">
        <v>0</v>
      </c>
      <c r="E280">
        <v>5382570.9699999997</v>
      </c>
      <c r="F280">
        <v>120502.87</v>
      </c>
      <c r="G280">
        <v>120502.87</v>
      </c>
      <c r="H280">
        <v>5262068.0999999996</v>
      </c>
      <c r="I280">
        <v>5262068.0999999996</v>
      </c>
      <c r="J280" t="s">
        <v>428</v>
      </c>
    </row>
    <row r="281" spans="1:10" x14ac:dyDescent="0.35">
      <c r="A281">
        <v>110</v>
      </c>
      <c r="B281" t="s">
        <v>547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 t="s">
        <v>428</v>
      </c>
    </row>
    <row r="282" spans="1:10" x14ac:dyDescent="0.35">
      <c r="A282">
        <v>120</v>
      </c>
      <c r="B282" t="s">
        <v>203</v>
      </c>
      <c r="C282">
        <v>36825534.530000001</v>
      </c>
      <c r="D282">
        <v>0</v>
      </c>
      <c r="E282">
        <v>36825534.530000001</v>
      </c>
      <c r="F282">
        <v>0</v>
      </c>
      <c r="G282">
        <v>0</v>
      </c>
      <c r="H282">
        <v>36825534.530000001</v>
      </c>
      <c r="I282">
        <v>36825534.530000001</v>
      </c>
      <c r="J282" t="s">
        <v>428</v>
      </c>
    </row>
    <row r="283" spans="1:10" x14ac:dyDescent="0.35">
      <c r="A283">
        <v>130</v>
      </c>
      <c r="B283" t="s">
        <v>204</v>
      </c>
      <c r="C283">
        <v>18055911.649999999</v>
      </c>
      <c r="D283">
        <v>0</v>
      </c>
      <c r="E283">
        <v>18055911.649999999</v>
      </c>
      <c r="F283">
        <v>0</v>
      </c>
      <c r="G283">
        <v>0</v>
      </c>
      <c r="H283">
        <v>18055911.649999999</v>
      </c>
      <c r="I283">
        <v>18055911.649999999</v>
      </c>
      <c r="J283" t="s">
        <v>428</v>
      </c>
    </row>
    <row r="284" spans="1:10" x14ac:dyDescent="0.35">
      <c r="A284">
        <v>140</v>
      </c>
      <c r="B284" t="s">
        <v>205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 t="s">
        <v>428</v>
      </c>
    </row>
    <row r="285" spans="1:10" x14ac:dyDescent="0.35">
      <c r="A285">
        <v>150</v>
      </c>
      <c r="B285" t="s">
        <v>206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 t="s">
        <v>428</v>
      </c>
    </row>
    <row r="286" spans="1:10" x14ac:dyDescent="0.35">
      <c r="A286">
        <v>160</v>
      </c>
      <c r="B286" t="s">
        <v>207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 t="s">
        <v>428</v>
      </c>
    </row>
    <row r="287" spans="1:10" x14ac:dyDescent="0.35">
      <c r="A287">
        <v>170</v>
      </c>
      <c r="B287" t="s">
        <v>208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 t="s">
        <v>428</v>
      </c>
    </row>
    <row r="288" spans="1:10" x14ac:dyDescent="0.35">
      <c r="A288">
        <v>180</v>
      </c>
      <c r="B288" t="s">
        <v>209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 t="s">
        <v>428</v>
      </c>
    </row>
    <row r="289" spans="1:10" x14ac:dyDescent="0.35">
      <c r="A289">
        <v>190</v>
      </c>
      <c r="B289" t="s">
        <v>210</v>
      </c>
      <c r="C289">
        <v>-12456701.130000001</v>
      </c>
      <c r="D289">
        <v>0</v>
      </c>
      <c r="E289">
        <v>-12456701.130000001</v>
      </c>
      <c r="F289">
        <v>-46872.08</v>
      </c>
      <c r="G289">
        <v>-46872.08</v>
      </c>
      <c r="H289">
        <v>-12409829.050000001</v>
      </c>
      <c r="I289">
        <v>-12409829.050000001</v>
      </c>
      <c r="J289" t="s">
        <v>428</v>
      </c>
    </row>
    <row r="290" spans="1:10" x14ac:dyDescent="0.35">
      <c r="A290">
        <v>200</v>
      </c>
      <c r="B290" t="s">
        <v>211</v>
      </c>
      <c r="C290">
        <v>42424745.049999997</v>
      </c>
      <c r="D290">
        <v>0</v>
      </c>
      <c r="E290">
        <v>42424745.049999997</v>
      </c>
      <c r="F290">
        <v>-46872.08</v>
      </c>
      <c r="G290">
        <v>-46872.08</v>
      </c>
      <c r="H290">
        <v>42471617.130000003</v>
      </c>
      <c r="I290">
        <v>42471617.130000003</v>
      </c>
      <c r="J290" t="s">
        <v>428</v>
      </c>
    </row>
    <row r="291" spans="1:10" x14ac:dyDescent="0.35">
      <c r="A291">
        <v>210</v>
      </c>
      <c r="B291" t="s">
        <v>548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 t="s">
        <v>428</v>
      </c>
    </row>
    <row r="292" spans="1:10" x14ac:dyDescent="0.35">
      <c r="A292">
        <v>220</v>
      </c>
      <c r="B292" t="s">
        <v>213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 t="s">
        <v>428</v>
      </c>
    </row>
    <row r="293" spans="1:10" x14ac:dyDescent="0.35">
      <c r="A293">
        <v>230</v>
      </c>
      <c r="B293" t="s">
        <v>214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 t="s">
        <v>428</v>
      </c>
    </row>
    <row r="294" spans="1:10" x14ac:dyDescent="0.35">
      <c r="A294">
        <v>240</v>
      </c>
      <c r="B294" t="s">
        <v>215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 t="s">
        <v>428</v>
      </c>
    </row>
    <row r="295" spans="1:10" x14ac:dyDescent="0.35">
      <c r="A295">
        <v>250</v>
      </c>
      <c r="B295" t="s">
        <v>216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 t="s">
        <v>428</v>
      </c>
    </row>
    <row r="296" spans="1:10" x14ac:dyDescent="0.35">
      <c r="A296">
        <v>260</v>
      </c>
      <c r="B296" t="s">
        <v>217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 t="s">
        <v>428</v>
      </c>
    </row>
    <row r="297" spans="1:10" x14ac:dyDescent="0.35">
      <c r="A297">
        <v>270</v>
      </c>
      <c r="B297" t="s">
        <v>218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 t="s">
        <v>428</v>
      </c>
    </row>
    <row r="298" spans="1:10" x14ac:dyDescent="0.35">
      <c r="A298">
        <v>280</v>
      </c>
      <c r="B298" t="s">
        <v>549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 t="s">
        <v>428</v>
      </c>
    </row>
    <row r="299" spans="1:10" x14ac:dyDescent="0.35">
      <c r="A299">
        <v>400</v>
      </c>
      <c r="B299" t="s">
        <v>220</v>
      </c>
      <c r="C299">
        <v>47807316.020000003</v>
      </c>
      <c r="D299">
        <v>0</v>
      </c>
      <c r="E299">
        <v>47807316.020000003</v>
      </c>
      <c r="F299">
        <v>73630.789999999994</v>
      </c>
      <c r="G299">
        <v>73630.789999999994</v>
      </c>
      <c r="H299">
        <v>47733685.229999997</v>
      </c>
      <c r="I299">
        <v>47733685.229999997</v>
      </c>
      <c r="J299" t="s">
        <v>428</v>
      </c>
    </row>
    <row r="300" spans="1:10" x14ac:dyDescent="0.35">
      <c r="A300">
        <v>410</v>
      </c>
      <c r="B300" t="s">
        <v>550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 t="s">
        <v>428</v>
      </c>
    </row>
    <row r="301" spans="1:10" x14ac:dyDescent="0.35">
      <c r="A301">
        <v>420</v>
      </c>
      <c r="B301" t="s">
        <v>222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 t="s">
        <v>428</v>
      </c>
    </row>
    <row r="302" spans="1:10" x14ac:dyDescent="0.35">
      <c r="A302">
        <v>430</v>
      </c>
      <c r="B302" t="s">
        <v>223</v>
      </c>
      <c r="C302">
        <v>4762920.66</v>
      </c>
      <c r="D302">
        <v>0</v>
      </c>
      <c r="E302">
        <v>4762920.66</v>
      </c>
      <c r="F302">
        <v>40533.78</v>
      </c>
      <c r="G302">
        <v>40533.78</v>
      </c>
      <c r="H302">
        <v>4722386.88</v>
      </c>
      <c r="I302">
        <v>4722386.88</v>
      </c>
      <c r="J302" t="s">
        <v>428</v>
      </c>
    </row>
    <row r="303" spans="1:10" x14ac:dyDescent="0.35">
      <c r="A303">
        <v>440</v>
      </c>
      <c r="B303" t="s">
        <v>224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 t="s">
        <v>428</v>
      </c>
    </row>
    <row r="304" spans="1:10" x14ac:dyDescent="0.35">
      <c r="A304">
        <v>450</v>
      </c>
      <c r="B304" t="s">
        <v>551</v>
      </c>
      <c r="C304">
        <v>1885436.51</v>
      </c>
      <c r="D304">
        <v>0</v>
      </c>
      <c r="E304">
        <v>1885436.51</v>
      </c>
      <c r="F304">
        <v>16323.72</v>
      </c>
      <c r="G304">
        <v>16323.72</v>
      </c>
      <c r="H304">
        <v>1869112.79</v>
      </c>
      <c r="I304">
        <v>1869112.79</v>
      </c>
      <c r="J304" t="s">
        <v>428</v>
      </c>
    </row>
    <row r="305" spans="1:10" x14ac:dyDescent="0.35">
      <c r="A305">
        <v>460</v>
      </c>
      <c r="B305" t="s">
        <v>552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 t="s">
        <v>428</v>
      </c>
    </row>
    <row r="306" spans="1:10" x14ac:dyDescent="0.35">
      <c r="A306">
        <v>500</v>
      </c>
      <c r="B306" t="s">
        <v>227</v>
      </c>
      <c r="C306">
        <v>6648357.1699999999</v>
      </c>
      <c r="D306">
        <v>0</v>
      </c>
      <c r="E306">
        <v>6648357.1699999999</v>
      </c>
      <c r="F306">
        <v>56857.5</v>
      </c>
      <c r="G306">
        <v>56857.5</v>
      </c>
      <c r="H306">
        <v>6591499.6699999999</v>
      </c>
      <c r="I306">
        <v>6591499.6699999999</v>
      </c>
      <c r="J306" t="s">
        <v>428</v>
      </c>
    </row>
    <row r="307" spans="1:10" x14ac:dyDescent="0.35">
      <c r="A307">
        <v>510</v>
      </c>
      <c r="B307" t="s">
        <v>553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 t="s">
        <v>428</v>
      </c>
    </row>
    <row r="308" spans="1:10" x14ac:dyDescent="0.35">
      <c r="A308">
        <v>520</v>
      </c>
      <c r="B308" t="s">
        <v>554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 t="s">
        <v>428</v>
      </c>
    </row>
    <row r="309" spans="1:10" x14ac:dyDescent="0.35">
      <c r="A309">
        <v>530</v>
      </c>
      <c r="B309" t="s">
        <v>554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 t="s">
        <v>428</v>
      </c>
    </row>
    <row r="310" spans="1:10" x14ac:dyDescent="0.35">
      <c r="A310">
        <v>540</v>
      </c>
      <c r="B310" t="s">
        <v>231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 t="s">
        <v>428</v>
      </c>
    </row>
    <row r="311" spans="1:10" x14ac:dyDescent="0.35">
      <c r="A311">
        <v>600</v>
      </c>
      <c r="B311" t="s">
        <v>232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 t="s">
        <v>428</v>
      </c>
    </row>
    <row r="312" spans="1:10" x14ac:dyDescent="0.35">
      <c r="A312">
        <v>610</v>
      </c>
      <c r="B312" t="s">
        <v>555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 t="s">
        <v>428</v>
      </c>
    </row>
    <row r="313" spans="1:10" x14ac:dyDescent="0.35">
      <c r="A313">
        <v>620</v>
      </c>
      <c r="B313" t="s">
        <v>234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 t="s">
        <v>428</v>
      </c>
    </row>
    <row r="314" spans="1:10" x14ac:dyDescent="0.35">
      <c r="A314">
        <v>700</v>
      </c>
      <c r="B314" t="s">
        <v>556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 t="s">
        <v>428</v>
      </c>
    </row>
    <row r="315" spans="1:10" x14ac:dyDescent="0.35">
      <c r="A315">
        <v>710</v>
      </c>
      <c r="B315" t="s">
        <v>557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 t="s">
        <v>428</v>
      </c>
    </row>
    <row r="316" spans="1:10" x14ac:dyDescent="0.35">
      <c r="A316">
        <v>720</v>
      </c>
      <c r="B316" t="s">
        <v>237</v>
      </c>
      <c r="C316">
        <v>13466589.050000001</v>
      </c>
      <c r="D316">
        <v>0</v>
      </c>
      <c r="E316">
        <v>13466589.050000001</v>
      </c>
      <c r="F316">
        <v>0</v>
      </c>
      <c r="G316">
        <v>0</v>
      </c>
      <c r="H316">
        <v>13466589.050000001</v>
      </c>
      <c r="I316">
        <v>13466589.050000001</v>
      </c>
      <c r="J316" t="s">
        <v>428</v>
      </c>
    </row>
    <row r="317" spans="1:10" x14ac:dyDescent="0.35">
      <c r="A317">
        <v>730</v>
      </c>
      <c r="B317" t="s">
        <v>238</v>
      </c>
      <c r="C317">
        <v>68238.39</v>
      </c>
      <c r="D317">
        <v>0</v>
      </c>
      <c r="E317">
        <v>68238.39</v>
      </c>
      <c r="F317">
        <v>0</v>
      </c>
      <c r="G317">
        <v>0</v>
      </c>
      <c r="H317">
        <v>68238.39</v>
      </c>
      <c r="I317">
        <v>68238.39</v>
      </c>
      <c r="J317" t="s">
        <v>428</v>
      </c>
    </row>
    <row r="318" spans="1:10" x14ac:dyDescent="0.35">
      <c r="A318">
        <v>740</v>
      </c>
      <c r="B318" t="s">
        <v>239</v>
      </c>
      <c r="C318">
        <v>21957664.48</v>
      </c>
      <c r="D318">
        <v>0</v>
      </c>
      <c r="E318">
        <v>21957664.48</v>
      </c>
      <c r="F318">
        <v>0</v>
      </c>
      <c r="G318">
        <v>0</v>
      </c>
      <c r="H318">
        <v>21846900.219999999</v>
      </c>
      <c r="I318">
        <v>21957664.48</v>
      </c>
      <c r="J318" t="s">
        <v>428</v>
      </c>
    </row>
    <row r="319" spans="1:10" x14ac:dyDescent="0.35">
      <c r="A319">
        <v>750</v>
      </c>
      <c r="B319" t="s">
        <v>240</v>
      </c>
      <c r="C319">
        <v>16773.29</v>
      </c>
      <c r="D319">
        <v>0</v>
      </c>
      <c r="E319">
        <v>16773.29</v>
      </c>
      <c r="F319">
        <v>16773.29</v>
      </c>
      <c r="G319">
        <v>16773.29</v>
      </c>
      <c r="H319">
        <v>110764.26</v>
      </c>
      <c r="I319">
        <v>0</v>
      </c>
      <c r="J319" t="s">
        <v>428</v>
      </c>
    </row>
    <row r="320" spans="1:10" x14ac:dyDescent="0.35">
      <c r="A320">
        <v>760</v>
      </c>
      <c r="B320" t="s">
        <v>241</v>
      </c>
      <c r="C320">
        <v>5649693.6399999997</v>
      </c>
      <c r="D320">
        <v>0</v>
      </c>
      <c r="E320">
        <v>5649693.6399999997</v>
      </c>
      <c r="F320">
        <v>0</v>
      </c>
      <c r="G320">
        <v>0</v>
      </c>
      <c r="H320">
        <v>5649693.6399999997</v>
      </c>
      <c r="I320">
        <v>5649693.6399999997</v>
      </c>
      <c r="J320" t="s">
        <v>428</v>
      </c>
    </row>
    <row r="321" spans="1:10" x14ac:dyDescent="0.35">
      <c r="A321">
        <v>770</v>
      </c>
      <c r="B321" t="s">
        <v>242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 t="s">
        <v>428</v>
      </c>
    </row>
    <row r="322" spans="1:10" x14ac:dyDescent="0.35">
      <c r="A322">
        <v>800</v>
      </c>
      <c r="B322" t="s">
        <v>243</v>
      </c>
      <c r="C322">
        <v>41158958.850000001</v>
      </c>
      <c r="D322">
        <v>0</v>
      </c>
      <c r="E322">
        <v>41158958.850000001</v>
      </c>
      <c r="F322">
        <v>16773.29</v>
      </c>
      <c r="G322">
        <v>16773.29</v>
      </c>
      <c r="H322">
        <v>41142185.560000002</v>
      </c>
      <c r="I322">
        <v>41142185.560000002</v>
      </c>
      <c r="J322" t="s">
        <v>428</v>
      </c>
    </row>
    <row r="323" spans="1:10" x14ac:dyDescent="0.35">
      <c r="A323">
        <v>900</v>
      </c>
      <c r="B323" t="s">
        <v>244</v>
      </c>
      <c r="C323">
        <v>47807316.020000003</v>
      </c>
      <c r="D323">
        <v>0</v>
      </c>
      <c r="E323">
        <v>47807316.020000003</v>
      </c>
      <c r="F323">
        <v>73630.789999999994</v>
      </c>
      <c r="G323">
        <v>73630.789999999994</v>
      </c>
      <c r="H323">
        <v>47733685.229999997</v>
      </c>
      <c r="I323">
        <v>47733685.229999997</v>
      </c>
      <c r="J323" t="s">
        <v>428</v>
      </c>
    </row>
    <row r="324" spans="1:10" x14ac:dyDescent="0.35">
      <c r="A324">
        <v>1000</v>
      </c>
      <c r="B324" t="s">
        <v>558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 t="s">
        <v>428</v>
      </c>
    </row>
    <row r="325" spans="1:10" x14ac:dyDescent="0.35">
      <c r="A325" t="s">
        <v>478</v>
      </c>
      <c r="B325" t="s">
        <v>416</v>
      </c>
      <c r="C325" t="s">
        <v>537</v>
      </c>
      <c r="D325" t="s">
        <v>538</v>
      </c>
      <c r="E325" t="s">
        <v>539</v>
      </c>
      <c r="F325" t="s">
        <v>540</v>
      </c>
      <c r="G325" t="s">
        <v>541</v>
      </c>
      <c r="H325" t="s">
        <v>542</v>
      </c>
      <c r="I325" t="s">
        <v>543</v>
      </c>
      <c r="J325" t="s">
        <v>121</v>
      </c>
    </row>
    <row r="326" spans="1:10" x14ac:dyDescent="0.35">
      <c r="A326">
        <v>10</v>
      </c>
      <c r="B326" t="s">
        <v>544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 t="s">
        <v>428</v>
      </c>
    </row>
    <row r="327" spans="1:10" x14ac:dyDescent="0.35">
      <c r="A327">
        <v>20</v>
      </c>
      <c r="B327" t="s">
        <v>194</v>
      </c>
      <c r="C327">
        <v>16062.25</v>
      </c>
      <c r="D327">
        <v>0</v>
      </c>
      <c r="E327">
        <v>16062.25</v>
      </c>
      <c r="F327">
        <v>8932</v>
      </c>
      <c r="G327">
        <v>8932</v>
      </c>
      <c r="H327">
        <v>7130.25</v>
      </c>
      <c r="I327">
        <v>7130.25</v>
      </c>
      <c r="J327" t="s">
        <v>428</v>
      </c>
    </row>
    <row r="328" spans="1:10" x14ac:dyDescent="0.35">
      <c r="A328">
        <v>30</v>
      </c>
      <c r="B328" t="s">
        <v>195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 t="s">
        <v>428</v>
      </c>
    </row>
    <row r="329" spans="1:10" x14ac:dyDescent="0.35">
      <c r="A329">
        <v>40</v>
      </c>
      <c r="B329" t="s">
        <v>196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 t="s">
        <v>428</v>
      </c>
    </row>
    <row r="330" spans="1:10" x14ac:dyDescent="0.35">
      <c r="A330">
        <v>50</v>
      </c>
      <c r="B330" t="s">
        <v>197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 t="s">
        <v>428</v>
      </c>
    </row>
    <row r="331" spans="1:10" x14ac:dyDescent="0.35">
      <c r="A331">
        <v>60</v>
      </c>
      <c r="B331" t="s">
        <v>198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 t="s">
        <v>428</v>
      </c>
    </row>
    <row r="332" spans="1:10" x14ac:dyDescent="0.35">
      <c r="A332">
        <v>70</v>
      </c>
      <c r="B332" t="s">
        <v>199</v>
      </c>
      <c r="C332">
        <v>904572.29</v>
      </c>
      <c r="D332">
        <v>0</v>
      </c>
      <c r="E332">
        <v>904572.29</v>
      </c>
      <c r="F332">
        <v>0</v>
      </c>
      <c r="G332">
        <v>0</v>
      </c>
      <c r="H332">
        <v>904572.29</v>
      </c>
      <c r="I332">
        <v>904572.29</v>
      </c>
      <c r="J332" t="s">
        <v>428</v>
      </c>
    </row>
    <row r="333" spans="1:10" x14ac:dyDescent="0.35">
      <c r="A333">
        <v>80</v>
      </c>
      <c r="B333" t="s">
        <v>559</v>
      </c>
      <c r="C333">
        <v>3324.6</v>
      </c>
      <c r="D333">
        <v>0</v>
      </c>
      <c r="E333">
        <v>3324.6</v>
      </c>
      <c r="F333">
        <v>3324.6</v>
      </c>
      <c r="G333">
        <v>3324.6</v>
      </c>
      <c r="H333">
        <v>0</v>
      </c>
      <c r="I333">
        <v>0</v>
      </c>
      <c r="J333" t="s">
        <v>428</v>
      </c>
    </row>
    <row r="334" spans="1:10" x14ac:dyDescent="0.35">
      <c r="A334">
        <v>100</v>
      </c>
      <c r="B334" t="s">
        <v>546</v>
      </c>
      <c r="C334">
        <v>923959.14</v>
      </c>
      <c r="D334">
        <v>0</v>
      </c>
      <c r="E334">
        <v>923959.14</v>
      </c>
      <c r="F334">
        <v>12256.6</v>
      </c>
      <c r="G334">
        <v>12256.6</v>
      </c>
      <c r="H334">
        <v>911702.54</v>
      </c>
      <c r="I334">
        <v>911702.54</v>
      </c>
      <c r="J334" t="s">
        <v>428</v>
      </c>
    </row>
    <row r="335" spans="1:10" x14ac:dyDescent="0.35">
      <c r="A335">
        <v>110</v>
      </c>
      <c r="B335" t="s">
        <v>547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 t="s">
        <v>428</v>
      </c>
    </row>
    <row r="336" spans="1:10" x14ac:dyDescent="0.35">
      <c r="A336">
        <v>120</v>
      </c>
      <c r="B336" t="s">
        <v>203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 t="s">
        <v>428</v>
      </c>
    </row>
    <row r="337" spans="1:10" x14ac:dyDescent="0.35">
      <c r="A337">
        <v>130</v>
      </c>
      <c r="B337" t="s">
        <v>204</v>
      </c>
      <c r="C337">
        <v>1</v>
      </c>
      <c r="D337">
        <v>0</v>
      </c>
      <c r="E337">
        <v>1</v>
      </c>
      <c r="F337">
        <v>0</v>
      </c>
      <c r="G337">
        <v>0</v>
      </c>
      <c r="H337">
        <v>1</v>
      </c>
      <c r="I337">
        <v>1</v>
      </c>
      <c r="J337" t="s">
        <v>428</v>
      </c>
    </row>
    <row r="338" spans="1:10" x14ac:dyDescent="0.35">
      <c r="A338">
        <v>140</v>
      </c>
      <c r="B338" t="s">
        <v>205</v>
      </c>
      <c r="C338">
        <v>1</v>
      </c>
      <c r="D338">
        <v>0</v>
      </c>
      <c r="E338">
        <v>1</v>
      </c>
      <c r="F338">
        <v>0</v>
      </c>
      <c r="G338">
        <v>0</v>
      </c>
      <c r="H338">
        <v>1</v>
      </c>
      <c r="I338">
        <v>1</v>
      </c>
      <c r="J338" t="s">
        <v>428</v>
      </c>
    </row>
    <row r="339" spans="1:10" x14ac:dyDescent="0.35">
      <c r="A339">
        <v>150</v>
      </c>
      <c r="B339" t="s">
        <v>206</v>
      </c>
      <c r="C339">
        <v>1</v>
      </c>
      <c r="D339">
        <v>0</v>
      </c>
      <c r="E339">
        <v>1</v>
      </c>
      <c r="F339">
        <v>0</v>
      </c>
      <c r="G339">
        <v>0</v>
      </c>
      <c r="H339">
        <v>1</v>
      </c>
      <c r="I339">
        <v>1</v>
      </c>
      <c r="J339" t="s">
        <v>428</v>
      </c>
    </row>
    <row r="340" spans="1:10" x14ac:dyDescent="0.35">
      <c r="A340">
        <v>160</v>
      </c>
      <c r="B340" t="s">
        <v>207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 t="s">
        <v>428</v>
      </c>
    </row>
    <row r="341" spans="1:10" x14ac:dyDescent="0.35">
      <c r="A341">
        <v>170</v>
      </c>
      <c r="B341" t="s">
        <v>208</v>
      </c>
      <c r="C341">
        <v>1</v>
      </c>
      <c r="D341">
        <v>0</v>
      </c>
      <c r="E341">
        <v>1</v>
      </c>
      <c r="F341">
        <v>0</v>
      </c>
      <c r="G341">
        <v>0</v>
      </c>
      <c r="H341">
        <v>1</v>
      </c>
      <c r="I341">
        <v>1</v>
      </c>
      <c r="J341" t="s">
        <v>428</v>
      </c>
    </row>
    <row r="342" spans="1:10" x14ac:dyDescent="0.35">
      <c r="A342">
        <v>180</v>
      </c>
      <c r="B342" t="s">
        <v>209</v>
      </c>
      <c r="C342">
        <v>1</v>
      </c>
      <c r="D342">
        <v>0</v>
      </c>
      <c r="E342">
        <v>1</v>
      </c>
      <c r="F342">
        <v>0</v>
      </c>
      <c r="G342">
        <v>0</v>
      </c>
      <c r="H342">
        <v>1</v>
      </c>
      <c r="I342">
        <v>1</v>
      </c>
      <c r="J342" t="s">
        <v>428</v>
      </c>
    </row>
    <row r="343" spans="1:10" x14ac:dyDescent="0.35">
      <c r="A343">
        <v>190</v>
      </c>
      <c r="B343" t="s">
        <v>210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 t="s">
        <v>428</v>
      </c>
    </row>
    <row r="344" spans="1:10" x14ac:dyDescent="0.35">
      <c r="A344">
        <v>200</v>
      </c>
      <c r="B344" t="s">
        <v>211</v>
      </c>
      <c r="C344">
        <v>5</v>
      </c>
      <c r="D344">
        <v>0</v>
      </c>
      <c r="E344">
        <v>5</v>
      </c>
      <c r="F344">
        <v>0</v>
      </c>
      <c r="G344">
        <v>0</v>
      </c>
      <c r="H344">
        <v>5</v>
      </c>
      <c r="I344">
        <v>5</v>
      </c>
      <c r="J344" t="s">
        <v>428</v>
      </c>
    </row>
    <row r="345" spans="1:10" x14ac:dyDescent="0.35">
      <c r="A345">
        <v>210</v>
      </c>
      <c r="B345" t="s">
        <v>548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 t="s">
        <v>428</v>
      </c>
    </row>
    <row r="346" spans="1:10" x14ac:dyDescent="0.35">
      <c r="A346">
        <v>220</v>
      </c>
      <c r="B346" t="s">
        <v>213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 t="s">
        <v>428</v>
      </c>
    </row>
    <row r="347" spans="1:10" x14ac:dyDescent="0.35">
      <c r="A347">
        <v>230</v>
      </c>
      <c r="B347" t="s">
        <v>214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 t="s">
        <v>428</v>
      </c>
    </row>
    <row r="348" spans="1:10" x14ac:dyDescent="0.35">
      <c r="A348">
        <v>240</v>
      </c>
      <c r="B348" t="s">
        <v>215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 t="s">
        <v>428</v>
      </c>
    </row>
    <row r="349" spans="1:10" x14ac:dyDescent="0.35">
      <c r="A349">
        <v>250</v>
      </c>
      <c r="B349" t="s">
        <v>216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 t="s">
        <v>428</v>
      </c>
    </row>
    <row r="350" spans="1:10" x14ac:dyDescent="0.35">
      <c r="A350">
        <v>260</v>
      </c>
      <c r="B350" t="s">
        <v>217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 t="s">
        <v>428</v>
      </c>
    </row>
    <row r="351" spans="1:10" x14ac:dyDescent="0.35">
      <c r="A351">
        <v>270</v>
      </c>
      <c r="B351" t="s">
        <v>218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 t="s">
        <v>428</v>
      </c>
    </row>
    <row r="352" spans="1:10" x14ac:dyDescent="0.35">
      <c r="A352">
        <v>280</v>
      </c>
      <c r="B352" t="s">
        <v>549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 t="s">
        <v>428</v>
      </c>
    </row>
    <row r="353" spans="1:10" x14ac:dyDescent="0.35">
      <c r="A353">
        <v>400</v>
      </c>
      <c r="B353" t="s">
        <v>220</v>
      </c>
      <c r="C353">
        <v>923964.14</v>
      </c>
      <c r="D353">
        <v>0</v>
      </c>
      <c r="E353">
        <v>923964.14</v>
      </c>
      <c r="F353">
        <v>12256.6</v>
      </c>
      <c r="G353">
        <v>12256.6</v>
      </c>
      <c r="H353">
        <v>911707.54</v>
      </c>
      <c r="I353">
        <v>911707.54</v>
      </c>
      <c r="J353" t="s">
        <v>428</v>
      </c>
    </row>
    <row r="354" spans="1:10" x14ac:dyDescent="0.35">
      <c r="A354">
        <v>410</v>
      </c>
      <c r="B354" t="s">
        <v>550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 t="s">
        <v>428</v>
      </c>
    </row>
    <row r="355" spans="1:10" x14ac:dyDescent="0.35">
      <c r="A355">
        <v>420</v>
      </c>
      <c r="B355" t="s">
        <v>222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 t="s">
        <v>428</v>
      </c>
    </row>
    <row r="356" spans="1:10" x14ac:dyDescent="0.35">
      <c r="A356">
        <v>430</v>
      </c>
      <c r="B356" t="s">
        <v>223</v>
      </c>
      <c r="C356">
        <v>35.700000000000003</v>
      </c>
      <c r="D356">
        <v>0</v>
      </c>
      <c r="E356">
        <v>35.700000000000003</v>
      </c>
      <c r="F356">
        <v>35.700000000000003</v>
      </c>
      <c r="G356">
        <v>35.700000000000003</v>
      </c>
      <c r="H356">
        <v>0</v>
      </c>
      <c r="I356">
        <v>0</v>
      </c>
      <c r="J356" t="s">
        <v>428</v>
      </c>
    </row>
    <row r="357" spans="1:10" x14ac:dyDescent="0.35">
      <c r="A357">
        <v>440</v>
      </c>
      <c r="B357" t="s">
        <v>224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 t="s">
        <v>428</v>
      </c>
    </row>
    <row r="358" spans="1:10" x14ac:dyDescent="0.35">
      <c r="A358">
        <v>450</v>
      </c>
      <c r="B358" t="s">
        <v>225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 t="s">
        <v>428</v>
      </c>
    </row>
    <row r="359" spans="1:10" x14ac:dyDescent="0.35">
      <c r="A359">
        <v>460</v>
      </c>
      <c r="B359" t="s">
        <v>552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 t="s">
        <v>428</v>
      </c>
    </row>
    <row r="360" spans="1:10" x14ac:dyDescent="0.35">
      <c r="A360">
        <v>500</v>
      </c>
      <c r="B360" t="s">
        <v>227</v>
      </c>
      <c r="C360">
        <v>35.700000000000003</v>
      </c>
      <c r="D360">
        <v>0</v>
      </c>
      <c r="E360">
        <v>35.700000000000003</v>
      </c>
      <c r="F360">
        <v>35.700000000000003</v>
      </c>
      <c r="G360">
        <v>35.700000000000003</v>
      </c>
      <c r="H360">
        <v>0</v>
      </c>
      <c r="I360">
        <v>0</v>
      </c>
      <c r="J360" t="s">
        <v>428</v>
      </c>
    </row>
    <row r="361" spans="1:10" x14ac:dyDescent="0.35">
      <c r="A361">
        <v>510</v>
      </c>
      <c r="B361" t="s">
        <v>553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 t="s">
        <v>428</v>
      </c>
    </row>
    <row r="362" spans="1:10" x14ac:dyDescent="0.35">
      <c r="A362">
        <v>520</v>
      </c>
      <c r="B362" t="s">
        <v>229</v>
      </c>
      <c r="C362">
        <v>-1686663.35</v>
      </c>
      <c r="D362">
        <v>0</v>
      </c>
      <c r="E362">
        <v>-1686663.35</v>
      </c>
      <c r="F362">
        <v>33000</v>
      </c>
      <c r="G362">
        <v>33000</v>
      </c>
      <c r="H362">
        <v>-1719663.35</v>
      </c>
      <c r="I362">
        <v>-1719663.35</v>
      </c>
      <c r="J362" t="s">
        <v>428</v>
      </c>
    </row>
    <row r="363" spans="1:10" x14ac:dyDescent="0.35">
      <c r="A363">
        <v>530</v>
      </c>
      <c r="B363" t="s">
        <v>230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 t="s">
        <v>428</v>
      </c>
    </row>
    <row r="364" spans="1:10" x14ac:dyDescent="0.35">
      <c r="A364">
        <v>540</v>
      </c>
      <c r="B364" t="s">
        <v>231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 t="s">
        <v>428</v>
      </c>
    </row>
    <row r="365" spans="1:10" x14ac:dyDescent="0.35">
      <c r="A365">
        <v>600</v>
      </c>
      <c r="B365" t="s">
        <v>232</v>
      </c>
      <c r="C365">
        <v>-1686663.35</v>
      </c>
      <c r="D365">
        <v>0</v>
      </c>
      <c r="E365">
        <v>-1686663.35</v>
      </c>
      <c r="F365">
        <v>33000</v>
      </c>
      <c r="G365">
        <v>33000</v>
      </c>
      <c r="H365">
        <v>-1719663.35</v>
      </c>
      <c r="I365">
        <v>-1719663.35</v>
      </c>
      <c r="J365" t="s">
        <v>428</v>
      </c>
    </row>
    <row r="366" spans="1:10" x14ac:dyDescent="0.35">
      <c r="A366">
        <v>610</v>
      </c>
      <c r="B366" t="s">
        <v>555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 t="s">
        <v>428</v>
      </c>
    </row>
    <row r="367" spans="1:10" x14ac:dyDescent="0.35">
      <c r="A367">
        <v>620</v>
      </c>
      <c r="B367" t="s">
        <v>234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 t="s">
        <v>428</v>
      </c>
    </row>
    <row r="368" spans="1:10" x14ac:dyDescent="0.35">
      <c r="A368">
        <v>700</v>
      </c>
      <c r="B368" t="s">
        <v>556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 t="s">
        <v>428</v>
      </c>
    </row>
    <row r="369" spans="1:10" x14ac:dyDescent="0.35">
      <c r="A369">
        <v>710</v>
      </c>
      <c r="B369" t="s">
        <v>557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 t="s">
        <v>428</v>
      </c>
    </row>
    <row r="370" spans="1:10" x14ac:dyDescent="0.35">
      <c r="A370">
        <v>720</v>
      </c>
      <c r="B370" t="s">
        <v>237</v>
      </c>
      <c r="C370">
        <v>10560000</v>
      </c>
      <c r="D370">
        <v>0</v>
      </c>
      <c r="E370">
        <v>10560000</v>
      </c>
      <c r="F370">
        <v>0</v>
      </c>
      <c r="G370">
        <v>0</v>
      </c>
      <c r="H370">
        <v>10560000</v>
      </c>
      <c r="I370">
        <v>10560000</v>
      </c>
      <c r="J370" t="s">
        <v>428</v>
      </c>
    </row>
    <row r="371" spans="1:10" x14ac:dyDescent="0.35">
      <c r="A371">
        <v>730</v>
      </c>
      <c r="B371" t="s">
        <v>238</v>
      </c>
      <c r="C371">
        <v>36757.64</v>
      </c>
      <c r="D371">
        <v>0</v>
      </c>
      <c r="E371">
        <v>36757.64</v>
      </c>
      <c r="F371">
        <v>0</v>
      </c>
      <c r="G371">
        <v>0</v>
      </c>
      <c r="H371">
        <v>36757.64</v>
      </c>
      <c r="I371">
        <v>36757.64</v>
      </c>
      <c r="J371" t="s">
        <v>428</v>
      </c>
    </row>
    <row r="372" spans="1:10" x14ac:dyDescent="0.35">
      <c r="A372">
        <v>740</v>
      </c>
      <c r="B372" t="s">
        <v>239</v>
      </c>
      <c r="C372">
        <v>-7965386.75</v>
      </c>
      <c r="D372">
        <v>0</v>
      </c>
      <c r="E372">
        <v>-7965386.75</v>
      </c>
      <c r="F372">
        <v>0</v>
      </c>
      <c r="G372">
        <v>0</v>
      </c>
      <c r="H372">
        <v>-4867774.25</v>
      </c>
      <c r="I372">
        <v>-7965386.75</v>
      </c>
      <c r="J372" t="s">
        <v>428</v>
      </c>
    </row>
    <row r="373" spans="1:10" x14ac:dyDescent="0.35">
      <c r="A373">
        <v>750</v>
      </c>
      <c r="B373" t="s">
        <v>240</v>
      </c>
      <c r="C373">
        <v>-20779.099999999999</v>
      </c>
      <c r="D373">
        <v>0</v>
      </c>
      <c r="E373">
        <v>-20779.099999999999</v>
      </c>
      <c r="F373">
        <v>-20779.099999999999</v>
      </c>
      <c r="G373">
        <v>-20779.099999999999</v>
      </c>
      <c r="H373">
        <v>-3097612.5</v>
      </c>
      <c r="I373">
        <v>0</v>
      </c>
      <c r="J373" t="s">
        <v>428</v>
      </c>
    </row>
    <row r="374" spans="1:10" x14ac:dyDescent="0.35">
      <c r="A374">
        <v>760</v>
      </c>
      <c r="B374" t="s">
        <v>241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 t="s">
        <v>428</v>
      </c>
    </row>
    <row r="375" spans="1:10" x14ac:dyDescent="0.35">
      <c r="A375">
        <v>770</v>
      </c>
      <c r="B375" t="s">
        <v>242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 t="s">
        <v>428</v>
      </c>
    </row>
    <row r="376" spans="1:10" x14ac:dyDescent="0.35">
      <c r="A376">
        <v>800</v>
      </c>
      <c r="B376" t="s">
        <v>243</v>
      </c>
      <c r="C376">
        <v>2610591.79</v>
      </c>
      <c r="D376">
        <v>0</v>
      </c>
      <c r="E376">
        <v>2610591.79</v>
      </c>
      <c r="F376">
        <v>-20779.099999999999</v>
      </c>
      <c r="G376">
        <v>-20779.099999999999</v>
      </c>
      <c r="H376">
        <v>2631370.89</v>
      </c>
      <c r="I376">
        <v>2631370.89</v>
      </c>
      <c r="J376" t="s">
        <v>428</v>
      </c>
    </row>
    <row r="377" spans="1:10" x14ac:dyDescent="0.35">
      <c r="A377">
        <v>900</v>
      </c>
      <c r="B377" t="s">
        <v>244</v>
      </c>
      <c r="C377">
        <v>923964.14</v>
      </c>
      <c r="D377">
        <v>0</v>
      </c>
      <c r="E377">
        <v>923964.14</v>
      </c>
      <c r="F377">
        <v>12256.6</v>
      </c>
      <c r="G377">
        <v>12256.6</v>
      </c>
      <c r="H377">
        <v>911707.54</v>
      </c>
      <c r="I377">
        <v>911707.54</v>
      </c>
      <c r="J377" t="s">
        <v>428</v>
      </c>
    </row>
    <row r="378" spans="1:10" x14ac:dyDescent="0.35">
      <c r="A378">
        <v>1000</v>
      </c>
      <c r="B378" t="s">
        <v>558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 t="s">
        <v>428</v>
      </c>
    </row>
    <row r="379" spans="1:10" x14ac:dyDescent="0.35">
      <c r="A379" t="s">
        <v>486</v>
      </c>
      <c r="B379" t="s">
        <v>416</v>
      </c>
      <c r="C379" t="s">
        <v>537</v>
      </c>
      <c r="D379" t="s">
        <v>538</v>
      </c>
      <c r="E379" t="s">
        <v>539</v>
      </c>
      <c r="F379" t="s">
        <v>540</v>
      </c>
      <c r="G379" t="s">
        <v>541</v>
      </c>
      <c r="H379" t="s">
        <v>542</v>
      </c>
      <c r="I379" t="s">
        <v>543</v>
      </c>
      <c r="J379" t="s">
        <v>121</v>
      </c>
    </row>
    <row r="380" spans="1:10" x14ac:dyDescent="0.35">
      <c r="A380">
        <v>10</v>
      </c>
      <c r="B380" t="s">
        <v>544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 t="s">
        <v>428</v>
      </c>
    </row>
    <row r="381" spans="1:10" x14ac:dyDescent="0.35">
      <c r="A381">
        <v>20</v>
      </c>
      <c r="B381" t="s">
        <v>194</v>
      </c>
      <c r="C381">
        <v>-16284.99</v>
      </c>
      <c r="D381">
        <v>0</v>
      </c>
      <c r="E381">
        <v>-16284.99</v>
      </c>
      <c r="F381">
        <v>-24150.04</v>
      </c>
      <c r="G381">
        <v>-24150.04</v>
      </c>
      <c r="H381">
        <v>7865.05</v>
      </c>
      <c r="I381">
        <v>7865.05</v>
      </c>
      <c r="J381" t="s">
        <v>428</v>
      </c>
    </row>
    <row r="382" spans="1:10" x14ac:dyDescent="0.35">
      <c r="A382">
        <v>30</v>
      </c>
      <c r="B382" t="s">
        <v>195</v>
      </c>
      <c r="C382">
        <v>14180747.4</v>
      </c>
      <c r="D382">
        <v>0</v>
      </c>
      <c r="E382">
        <v>14180747.4</v>
      </c>
      <c r="F382">
        <v>0</v>
      </c>
      <c r="G382">
        <v>0</v>
      </c>
      <c r="H382">
        <v>14180747.4</v>
      </c>
      <c r="I382">
        <v>14180747.4</v>
      </c>
      <c r="J382" t="s">
        <v>428</v>
      </c>
    </row>
    <row r="383" spans="1:10" x14ac:dyDescent="0.35">
      <c r="A383">
        <v>40</v>
      </c>
      <c r="B383" t="s">
        <v>196</v>
      </c>
      <c r="C383">
        <v>2218671.0299999998</v>
      </c>
      <c r="D383">
        <v>0</v>
      </c>
      <c r="E383">
        <v>2218671.0299999998</v>
      </c>
      <c r="F383">
        <v>15000.01</v>
      </c>
      <c r="G383">
        <v>15000.01</v>
      </c>
      <c r="H383">
        <v>2203671.02</v>
      </c>
      <c r="I383">
        <v>2203671.02</v>
      </c>
      <c r="J383" t="s">
        <v>428</v>
      </c>
    </row>
    <row r="384" spans="1:10" x14ac:dyDescent="0.35">
      <c r="A384">
        <v>50</v>
      </c>
      <c r="B384" t="s">
        <v>197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 t="s">
        <v>428</v>
      </c>
    </row>
    <row r="385" spans="1:10" x14ac:dyDescent="0.35">
      <c r="A385">
        <v>60</v>
      </c>
      <c r="B385" t="s">
        <v>198</v>
      </c>
      <c r="C385">
        <v>1155393.71</v>
      </c>
      <c r="D385">
        <v>0</v>
      </c>
      <c r="E385">
        <v>1155393.71</v>
      </c>
      <c r="F385">
        <v>0</v>
      </c>
      <c r="G385">
        <v>0</v>
      </c>
      <c r="H385">
        <v>1155393.71</v>
      </c>
      <c r="I385">
        <v>1155393.71</v>
      </c>
      <c r="J385" t="s">
        <v>428</v>
      </c>
    </row>
    <row r="386" spans="1:10" x14ac:dyDescent="0.35">
      <c r="A386">
        <v>70</v>
      </c>
      <c r="B386" t="s">
        <v>199</v>
      </c>
      <c r="C386">
        <v>2196408.34</v>
      </c>
      <c r="D386">
        <v>0</v>
      </c>
      <c r="E386">
        <v>2196408.34</v>
      </c>
      <c r="F386">
        <v>0</v>
      </c>
      <c r="G386">
        <v>0</v>
      </c>
      <c r="H386">
        <v>2196408.34</v>
      </c>
      <c r="I386">
        <v>2196408.34</v>
      </c>
      <c r="J386" t="s">
        <v>428</v>
      </c>
    </row>
    <row r="387" spans="1:10" x14ac:dyDescent="0.35">
      <c r="A387">
        <v>80</v>
      </c>
      <c r="B387" t="s">
        <v>559</v>
      </c>
      <c r="C387">
        <v>-25802.52</v>
      </c>
      <c r="D387">
        <v>0</v>
      </c>
      <c r="E387">
        <v>-25802.52</v>
      </c>
      <c r="F387">
        <v>-25802.52</v>
      </c>
      <c r="G387">
        <v>-25802.52</v>
      </c>
      <c r="H387">
        <v>0</v>
      </c>
      <c r="I387">
        <v>0</v>
      </c>
      <c r="J387" t="s">
        <v>428</v>
      </c>
    </row>
    <row r="388" spans="1:10" x14ac:dyDescent="0.35">
      <c r="A388">
        <v>100</v>
      </c>
      <c r="B388" t="s">
        <v>546</v>
      </c>
      <c r="C388">
        <v>19709132.969999999</v>
      </c>
      <c r="D388">
        <v>0</v>
      </c>
      <c r="E388">
        <v>19709132.969999999</v>
      </c>
      <c r="F388">
        <v>-34952.550000000003</v>
      </c>
      <c r="G388">
        <v>-34952.550000000003</v>
      </c>
      <c r="H388">
        <v>19744085.52</v>
      </c>
      <c r="I388">
        <v>19744085.52</v>
      </c>
      <c r="J388" t="s">
        <v>428</v>
      </c>
    </row>
    <row r="389" spans="1:10" x14ac:dyDescent="0.35">
      <c r="A389">
        <v>110</v>
      </c>
      <c r="B389" t="s">
        <v>547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 t="s">
        <v>428</v>
      </c>
    </row>
    <row r="390" spans="1:10" x14ac:dyDescent="0.35">
      <c r="A390">
        <v>120</v>
      </c>
      <c r="B390" t="s">
        <v>203</v>
      </c>
      <c r="C390">
        <v>20</v>
      </c>
      <c r="D390">
        <v>0</v>
      </c>
      <c r="E390">
        <v>20</v>
      </c>
      <c r="F390">
        <v>0</v>
      </c>
      <c r="G390">
        <v>0</v>
      </c>
      <c r="H390">
        <v>20</v>
      </c>
      <c r="I390">
        <v>20</v>
      </c>
      <c r="J390" t="s">
        <v>428</v>
      </c>
    </row>
    <row r="391" spans="1:10" x14ac:dyDescent="0.35">
      <c r="A391">
        <v>130</v>
      </c>
      <c r="B391" t="s">
        <v>204</v>
      </c>
      <c r="C391">
        <v>14787025.76</v>
      </c>
      <c r="D391">
        <v>0</v>
      </c>
      <c r="E391">
        <v>14787025.76</v>
      </c>
      <c r="F391">
        <v>0</v>
      </c>
      <c r="G391">
        <v>0</v>
      </c>
      <c r="H391">
        <v>14787025.76</v>
      </c>
      <c r="I391">
        <v>14787025.76</v>
      </c>
      <c r="J391" t="s">
        <v>428</v>
      </c>
    </row>
    <row r="392" spans="1:10" x14ac:dyDescent="0.35">
      <c r="A392">
        <v>140</v>
      </c>
      <c r="B392" t="s">
        <v>205</v>
      </c>
      <c r="C392">
        <v>2633682.62</v>
      </c>
      <c r="D392">
        <v>0</v>
      </c>
      <c r="E392">
        <v>2633682.62</v>
      </c>
      <c r="F392">
        <v>0</v>
      </c>
      <c r="G392">
        <v>0</v>
      </c>
      <c r="H392">
        <v>2633682.62</v>
      </c>
      <c r="I392">
        <v>2633682.62</v>
      </c>
      <c r="J392" t="s">
        <v>428</v>
      </c>
    </row>
    <row r="393" spans="1:10" x14ac:dyDescent="0.35">
      <c r="A393">
        <v>150</v>
      </c>
      <c r="B393" t="s">
        <v>206</v>
      </c>
      <c r="C393">
        <v>1734026.56</v>
      </c>
      <c r="D393">
        <v>0</v>
      </c>
      <c r="E393">
        <v>1734026.56</v>
      </c>
      <c r="F393">
        <v>0</v>
      </c>
      <c r="G393">
        <v>0</v>
      </c>
      <c r="H393">
        <v>1734026.56</v>
      </c>
      <c r="I393">
        <v>1734026.56</v>
      </c>
      <c r="J393" t="s">
        <v>428</v>
      </c>
    </row>
    <row r="394" spans="1:10" x14ac:dyDescent="0.35">
      <c r="A394">
        <v>160</v>
      </c>
      <c r="B394" t="s">
        <v>207</v>
      </c>
      <c r="C394">
        <v>8596028.1600000001</v>
      </c>
      <c r="D394">
        <v>0</v>
      </c>
      <c r="E394">
        <v>8596028.1600000001</v>
      </c>
      <c r="F394">
        <v>0</v>
      </c>
      <c r="G394">
        <v>0</v>
      </c>
      <c r="H394">
        <v>8596028.1600000001</v>
      </c>
      <c r="I394">
        <v>8596028.1600000001</v>
      </c>
      <c r="J394" t="s">
        <v>428</v>
      </c>
    </row>
    <row r="395" spans="1:10" x14ac:dyDescent="0.35">
      <c r="A395">
        <v>170</v>
      </c>
      <c r="B395" t="s">
        <v>208</v>
      </c>
      <c r="C395">
        <v>2514038.7400000002</v>
      </c>
      <c r="D395">
        <v>0</v>
      </c>
      <c r="E395">
        <v>2514038.7400000002</v>
      </c>
      <c r="F395">
        <v>0</v>
      </c>
      <c r="G395">
        <v>0</v>
      </c>
      <c r="H395">
        <v>2514038.7400000002</v>
      </c>
      <c r="I395">
        <v>2514038.7400000002</v>
      </c>
      <c r="J395" t="s">
        <v>428</v>
      </c>
    </row>
    <row r="396" spans="1:10" x14ac:dyDescent="0.35">
      <c r="A396">
        <v>180</v>
      </c>
      <c r="B396" t="s">
        <v>209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 t="s">
        <v>428</v>
      </c>
    </row>
    <row r="397" spans="1:10" x14ac:dyDescent="0.35">
      <c r="A397">
        <v>190</v>
      </c>
      <c r="B397" t="s">
        <v>210</v>
      </c>
      <c r="C397">
        <v>-30264821.859999999</v>
      </c>
      <c r="D397">
        <v>0</v>
      </c>
      <c r="E397">
        <v>-30264821.859999999</v>
      </c>
      <c r="F397">
        <v>0</v>
      </c>
      <c r="G397">
        <v>0</v>
      </c>
      <c r="H397">
        <v>-30264821.859999999</v>
      </c>
      <c r="I397">
        <v>-30264821.859999999</v>
      </c>
      <c r="J397" t="s">
        <v>428</v>
      </c>
    </row>
    <row r="398" spans="1:10" x14ac:dyDescent="0.35">
      <c r="A398">
        <v>200</v>
      </c>
      <c r="B398" t="s">
        <v>211</v>
      </c>
      <c r="C398">
        <v>-0.02</v>
      </c>
      <c r="D398">
        <v>0</v>
      </c>
      <c r="E398">
        <v>-0.02</v>
      </c>
      <c r="F398">
        <v>0</v>
      </c>
      <c r="G398">
        <v>0</v>
      </c>
      <c r="H398">
        <v>-0.02</v>
      </c>
      <c r="I398">
        <v>-0.02</v>
      </c>
      <c r="J398" t="s">
        <v>428</v>
      </c>
    </row>
    <row r="399" spans="1:10" x14ac:dyDescent="0.35">
      <c r="A399">
        <v>210</v>
      </c>
      <c r="B399" t="s">
        <v>548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 t="s">
        <v>428</v>
      </c>
    </row>
    <row r="400" spans="1:10" x14ac:dyDescent="0.35">
      <c r="A400">
        <v>220</v>
      </c>
      <c r="B400" t="s">
        <v>213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 t="s">
        <v>428</v>
      </c>
    </row>
    <row r="401" spans="1:10" x14ac:dyDescent="0.35">
      <c r="A401">
        <v>230</v>
      </c>
      <c r="B401" t="s">
        <v>214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 t="s">
        <v>428</v>
      </c>
    </row>
    <row r="402" spans="1:10" x14ac:dyDescent="0.35">
      <c r="A402">
        <v>240</v>
      </c>
      <c r="B402" t="s">
        <v>215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 t="s">
        <v>428</v>
      </c>
    </row>
    <row r="403" spans="1:10" x14ac:dyDescent="0.35">
      <c r="A403">
        <v>250</v>
      </c>
      <c r="B403" t="s">
        <v>216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 t="s">
        <v>428</v>
      </c>
    </row>
    <row r="404" spans="1:10" x14ac:dyDescent="0.35">
      <c r="A404">
        <v>260</v>
      </c>
      <c r="B404" t="s">
        <v>217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 t="s">
        <v>428</v>
      </c>
    </row>
    <row r="405" spans="1:10" x14ac:dyDescent="0.35">
      <c r="A405">
        <v>270</v>
      </c>
      <c r="B405" t="s">
        <v>218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 t="s">
        <v>428</v>
      </c>
    </row>
    <row r="406" spans="1:10" x14ac:dyDescent="0.35">
      <c r="A406">
        <v>280</v>
      </c>
      <c r="B406" t="s">
        <v>549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 t="s">
        <v>428</v>
      </c>
    </row>
    <row r="407" spans="1:10" x14ac:dyDescent="0.35">
      <c r="A407">
        <v>400</v>
      </c>
      <c r="B407" t="s">
        <v>220</v>
      </c>
      <c r="C407">
        <v>19709132.949999999</v>
      </c>
      <c r="D407">
        <v>0</v>
      </c>
      <c r="E407">
        <v>19709132.949999999</v>
      </c>
      <c r="F407">
        <v>-34952.550000000003</v>
      </c>
      <c r="G407">
        <v>-34952.550000000003</v>
      </c>
      <c r="H407">
        <v>19744085.5</v>
      </c>
      <c r="I407">
        <v>19744085.5</v>
      </c>
      <c r="J407" t="s">
        <v>428</v>
      </c>
    </row>
    <row r="408" spans="1:10" x14ac:dyDescent="0.35">
      <c r="A408">
        <v>410</v>
      </c>
      <c r="B408" t="s">
        <v>550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 t="s">
        <v>428</v>
      </c>
    </row>
    <row r="409" spans="1:10" x14ac:dyDescent="0.35">
      <c r="A409">
        <v>420</v>
      </c>
      <c r="B409" t="s">
        <v>222</v>
      </c>
      <c r="C409">
        <v>13201002.15</v>
      </c>
      <c r="D409">
        <v>0</v>
      </c>
      <c r="E409">
        <v>13201002.15</v>
      </c>
      <c r="F409">
        <v>36880.49</v>
      </c>
      <c r="G409">
        <v>36880.49</v>
      </c>
      <c r="H409">
        <v>13164121.66</v>
      </c>
      <c r="I409">
        <v>13164121.66</v>
      </c>
      <c r="J409" t="s">
        <v>428</v>
      </c>
    </row>
    <row r="410" spans="1:10" x14ac:dyDescent="0.35">
      <c r="A410">
        <v>430</v>
      </c>
      <c r="B410" t="s">
        <v>223</v>
      </c>
      <c r="C410">
        <v>34.72</v>
      </c>
      <c r="D410">
        <v>0</v>
      </c>
      <c r="E410">
        <v>34.72</v>
      </c>
      <c r="F410">
        <v>34.72</v>
      </c>
      <c r="G410">
        <v>34.72</v>
      </c>
      <c r="H410">
        <v>0</v>
      </c>
      <c r="I410">
        <v>0</v>
      </c>
      <c r="J410" t="s">
        <v>428</v>
      </c>
    </row>
    <row r="411" spans="1:10" x14ac:dyDescent="0.35">
      <c r="A411">
        <v>440</v>
      </c>
      <c r="B411" t="s">
        <v>224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 t="s">
        <v>428</v>
      </c>
    </row>
    <row r="412" spans="1:10" x14ac:dyDescent="0.35">
      <c r="A412">
        <v>450</v>
      </c>
      <c r="B412" t="s">
        <v>225</v>
      </c>
      <c r="C412">
        <v>-18236.740000000002</v>
      </c>
      <c r="D412">
        <v>0</v>
      </c>
      <c r="E412">
        <v>-18236.740000000002</v>
      </c>
      <c r="F412">
        <v>-18236.599999999999</v>
      </c>
      <c r="G412">
        <v>-18236.599999999999</v>
      </c>
      <c r="H412">
        <v>-0.14000000000000001</v>
      </c>
      <c r="I412">
        <v>-0.14000000000000001</v>
      </c>
      <c r="J412" t="s">
        <v>428</v>
      </c>
    </row>
    <row r="413" spans="1:10" x14ac:dyDescent="0.35">
      <c r="A413">
        <v>460</v>
      </c>
      <c r="B413" t="s">
        <v>552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 t="s">
        <v>428</v>
      </c>
    </row>
    <row r="414" spans="1:10" x14ac:dyDescent="0.35">
      <c r="A414">
        <v>500</v>
      </c>
      <c r="B414" t="s">
        <v>227</v>
      </c>
      <c r="C414">
        <v>13182800.130000001</v>
      </c>
      <c r="D414">
        <v>0</v>
      </c>
      <c r="E414">
        <v>13182800.130000001</v>
      </c>
      <c r="F414">
        <v>18678.61</v>
      </c>
      <c r="G414">
        <v>18678.61</v>
      </c>
      <c r="H414">
        <v>13164121.52</v>
      </c>
      <c r="I414">
        <v>13164121.52</v>
      </c>
      <c r="J414" t="s">
        <v>428</v>
      </c>
    </row>
    <row r="415" spans="1:10" x14ac:dyDescent="0.35">
      <c r="A415">
        <v>510</v>
      </c>
      <c r="B415" t="s">
        <v>553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 t="s">
        <v>428</v>
      </c>
    </row>
    <row r="416" spans="1:10" x14ac:dyDescent="0.35">
      <c r="A416">
        <v>520</v>
      </c>
      <c r="B416" t="s">
        <v>229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 t="s">
        <v>428</v>
      </c>
    </row>
    <row r="417" spans="1:10" x14ac:dyDescent="0.35">
      <c r="A417">
        <v>530</v>
      </c>
      <c r="B417" t="s">
        <v>230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 t="s">
        <v>428</v>
      </c>
    </row>
    <row r="418" spans="1:10" x14ac:dyDescent="0.35">
      <c r="A418">
        <v>540</v>
      </c>
      <c r="B418" t="s">
        <v>231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 t="s">
        <v>428</v>
      </c>
    </row>
    <row r="419" spans="1:10" x14ac:dyDescent="0.35">
      <c r="A419">
        <v>600</v>
      </c>
      <c r="B419" t="s">
        <v>232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 t="s">
        <v>428</v>
      </c>
    </row>
    <row r="420" spans="1:10" x14ac:dyDescent="0.35">
      <c r="A420">
        <v>610</v>
      </c>
      <c r="B420" t="s">
        <v>555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 t="s">
        <v>428</v>
      </c>
    </row>
    <row r="421" spans="1:10" x14ac:dyDescent="0.35">
      <c r="A421">
        <v>620</v>
      </c>
      <c r="B421" t="s">
        <v>234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 t="s">
        <v>428</v>
      </c>
    </row>
    <row r="422" spans="1:10" x14ac:dyDescent="0.35">
      <c r="A422">
        <v>700</v>
      </c>
      <c r="B422" t="s">
        <v>556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 t="s">
        <v>428</v>
      </c>
    </row>
    <row r="423" spans="1:10" x14ac:dyDescent="0.35">
      <c r="A423">
        <v>710</v>
      </c>
      <c r="B423" t="s">
        <v>557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 t="s">
        <v>428</v>
      </c>
    </row>
    <row r="424" spans="1:10" x14ac:dyDescent="0.35">
      <c r="A424">
        <v>720</v>
      </c>
      <c r="B424" t="s">
        <v>237</v>
      </c>
      <c r="C424">
        <v>29232882</v>
      </c>
      <c r="D424">
        <v>0</v>
      </c>
      <c r="E424">
        <v>29232882</v>
      </c>
      <c r="F424">
        <v>0</v>
      </c>
      <c r="G424">
        <v>0</v>
      </c>
      <c r="H424">
        <v>29232882</v>
      </c>
      <c r="I424">
        <v>29232882</v>
      </c>
      <c r="J424" t="s">
        <v>428</v>
      </c>
    </row>
    <row r="425" spans="1:10" x14ac:dyDescent="0.35">
      <c r="A425">
        <v>730</v>
      </c>
      <c r="B425" t="s">
        <v>238</v>
      </c>
      <c r="C425">
        <v>57195.99</v>
      </c>
      <c r="D425">
        <v>0</v>
      </c>
      <c r="E425">
        <v>57195.99</v>
      </c>
      <c r="F425">
        <v>0</v>
      </c>
      <c r="G425">
        <v>0</v>
      </c>
      <c r="H425">
        <v>57195.99</v>
      </c>
      <c r="I425">
        <v>57195.99</v>
      </c>
      <c r="J425" t="s">
        <v>428</v>
      </c>
    </row>
    <row r="426" spans="1:10" x14ac:dyDescent="0.35">
      <c r="A426">
        <v>740</v>
      </c>
      <c r="B426" t="s">
        <v>239</v>
      </c>
      <c r="C426">
        <v>-127724.93</v>
      </c>
      <c r="D426">
        <v>0</v>
      </c>
      <c r="E426">
        <v>-127724.93</v>
      </c>
      <c r="F426">
        <v>0</v>
      </c>
      <c r="G426">
        <v>0</v>
      </c>
      <c r="H426">
        <v>-127724.93</v>
      </c>
      <c r="I426">
        <v>-127724.93</v>
      </c>
      <c r="J426" t="s">
        <v>428</v>
      </c>
    </row>
    <row r="427" spans="1:10" x14ac:dyDescent="0.35">
      <c r="A427">
        <v>750</v>
      </c>
      <c r="B427" t="s">
        <v>240</v>
      </c>
      <c r="C427">
        <v>-53631.16</v>
      </c>
      <c r="D427">
        <v>0</v>
      </c>
      <c r="E427">
        <v>-53631.16</v>
      </c>
      <c r="F427">
        <v>-53631.16</v>
      </c>
      <c r="G427">
        <v>-53631.16</v>
      </c>
      <c r="H427">
        <v>-22582389.079999998</v>
      </c>
      <c r="I427">
        <v>0</v>
      </c>
      <c r="J427" t="s">
        <v>428</v>
      </c>
    </row>
    <row r="428" spans="1:10" x14ac:dyDescent="0.35">
      <c r="A428">
        <v>760</v>
      </c>
      <c r="B428" t="s">
        <v>241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 t="s">
        <v>428</v>
      </c>
    </row>
    <row r="429" spans="1:10" x14ac:dyDescent="0.35">
      <c r="A429">
        <v>770</v>
      </c>
      <c r="B429" t="s">
        <v>242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 t="s">
        <v>428</v>
      </c>
    </row>
    <row r="430" spans="1:10" x14ac:dyDescent="0.35">
      <c r="A430">
        <v>800</v>
      </c>
      <c r="B430" t="s">
        <v>243</v>
      </c>
      <c r="C430">
        <v>29108721.899999999</v>
      </c>
      <c r="D430">
        <v>0</v>
      </c>
      <c r="E430">
        <v>29108721.899999999</v>
      </c>
      <c r="F430">
        <v>-53631.16</v>
      </c>
      <c r="G430">
        <v>-53631.16</v>
      </c>
      <c r="H430">
        <v>6579963.9800000004</v>
      </c>
      <c r="I430">
        <v>29162353.059999999</v>
      </c>
      <c r="J430" t="s">
        <v>428</v>
      </c>
    </row>
    <row r="431" spans="1:10" x14ac:dyDescent="0.35">
      <c r="A431">
        <v>900</v>
      </c>
      <c r="B431" t="s">
        <v>244</v>
      </c>
      <c r="C431">
        <v>42291522.030000001</v>
      </c>
      <c r="D431">
        <v>0</v>
      </c>
      <c r="E431">
        <v>42291522.030000001</v>
      </c>
      <c r="F431">
        <v>-34952.550000000003</v>
      </c>
      <c r="G431">
        <v>-34952.550000000003</v>
      </c>
      <c r="H431">
        <v>19744085.5</v>
      </c>
      <c r="I431">
        <v>42326474.579999998</v>
      </c>
      <c r="J431" t="s">
        <v>428</v>
      </c>
    </row>
    <row r="432" spans="1:10" x14ac:dyDescent="0.35">
      <c r="A432">
        <v>1000</v>
      </c>
      <c r="B432" t="s">
        <v>558</v>
      </c>
      <c r="C432">
        <v>-22582389.079999998</v>
      </c>
      <c r="D432">
        <v>0</v>
      </c>
      <c r="E432">
        <v>-22582389.079999998</v>
      </c>
      <c r="F432">
        <v>0</v>
      </c>
      <c r="G432">
        <v>0</v>
      </c>
      <c r="H432">
        <v>0</v>
      </c>
      <c r="I432">
        <v>-22582389.079999998</v>
      </c>
      <c r="J432" t="s">
        <v>428</v>
      </c>
    </row>
    <row r="433" spans="1:10" x14ac:dyDescent="0.35">
      <c r="A433" t="s">
        <v>487</v>
      </c>
      <c r="B433" t="s">
        <v>416</v>
      </c>
      <c r="C433" t="s">
        <v>537</v>
      </c>
      <c r="D433" t="s">
        <v>538</v>
      </c>
      <c r="E433" t="s">
        <v>539</v>
      </c>
      <c r="F433" t="s">
        <v>540</v>
      </c>
      <c r="G433" t="s">
        <v>541</v>
      </c>
      <c r="H433" t="s">
        <v>542</v>
      </c>
      <c r="I433" t="s">
        <v>543</v>
      </c>
      <c r="J433" t="s">
        <v>121</v>
      </c>
    </row>
    <row r="434" spans="1:10" x14ac:dyDescent="0.35">
      <c r="A434">
        <v>10</v>
      </c>
      <c r="B434" t="s">
        <v>544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 t="s">
        <v>428</v>
      </c>
    </row>
    <row r="435" spans="1:10" x14ac:dyDescent="0.35">
      <c r="A435">
        <v>20</v>
      </c>
      <c r="B435" t="s">
        <v>194</v>
      </c>
      <c r="C435">
        <v>2876.79</v>
      </c>
      <c r="D435">
        <v>0</v>
      </c>
      <c r="E435">
        <v>2876.79</v>
      </c>
      <c r="F435">
        <v>2568.9899999999998</v>
      </c>
      <c r="G435">
        <v>2568.9899999999998</v>
      </c>
      <c r="H435">
        <v>307.8</v>
      </c>
      <c r="I435">
        <v>307.8</v>
      </c>
      <c r="J435" t="s">
        <v>428</v>
      </c>
    </row>
    <row r="436" spans="1:10" x14ac:dyDescent="0.35">
      <c r="A436">
        <v>30</v>
      </c>
      <c r="B436" t="s">
        <v>195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 t="s">
        <v>428</v>
      </c>
    </row>
    <row r="437" spans="1:10" x14ac:dyDescent="0.35">
      <c r="A437">
        <v>40</v>
      </c>
      <c r="B437" t="s">
        <v>196</v>
      </c>
      <c r="C437">
        <v>257676.08</v>
      </c>
      <c r="D437">
        <v>0</v>
      </c>
      <c r="E437">
        <v>257676.08</v>
      </c>
      <c r="F437">
        <v>0</v>
      </c>
      <c r="G437">
        <v>0</v>
      </c>
      <c r="H437">
        <v>257676.08</v>
      </c>
      <c r="I437">
        <v>257676.08</v>
      </c>
      <c r="J437" t="s">
        <v>428</v>
      </c>
    </row>
    <row r="438" spans="1:10" x14ac:dyDescent="0.35">
      <c r="A438">
        <v>50</v>
      </c>
      <c r="B438" t="s">
        <v>197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 t="s">
        <v>428</v>
      </c>
    </row>
    <row r="439" spans="1:10" x14ac:dyDescent="0.35">
      <c r="A439">
        <v>60</v>
      </c>
      <c r="B439" t="s">
        <v>198</v>
      </c>
      <c r="C439">
        <v>790926.23</v>
      </c>
      <c r="D439">
        <v>0</v>
      </c>
      <c r="E439">
        <v>790926.23</v>
      </c>
      <c r="F439">
        <v>0</v>
      </c>
      <c r="G439">
        <v>0</v>
      </c>
      <c r="H439">
        <v>790926.23</v>
      </c>
      <c r="I439">
        <v>790926.23</v>
      </c>
      <c r="J439" t="s">
        <v>428</v>
      </c>
    </row>
    <row r="440" spans="1:10" x14ac:dyDescent="0.35">
      <c r="A440">
        <v>70</v>
      </c>
      <c r="B440" t="s">
        <v>199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 t="s">
        <v>428</v>
      </c>
    </row>
    <row r="441" spans="1:10" x14ac:dyDescent="0.35">
      <c r="A441">
        <v>80</v>
      </c>
      <c r="B441" t="s">
        <v>545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 t="s">
        <v>428</v>
      </c>
    </row>
    <row r="442" spans="1:10" x14ac:dyDescent="0.35">
      <c r="A442">
        <v>100</v>
      </c>
      <c r="B442" t="s">
        <v>546</v>
      </c>
      <c r="C442">
        <v>1051479.1000000001</v>
      </c>
      <c r="D442">
        <v>0</v>
      </c>
      <c r="E442">
        <v>1051479.1000000001</v>
      </c>
      <c r="F442">
        <v>2568.9899999999998</v>
      </c>
      <c r="G442">
        <v>2568.9899999999998</v>
      </c>
      <c r="H442">
        <v>1048910.1100000001</v>
      </c>
      <c r="I442">
        <v>1048910.1100000001</v>
      </c>
      <c r="J442" t="s">
        <v>428</v>
      </c>
    </row>
    <row r="443" spans="1:10" x14ac:dyDescent="0.35">
      <c r="A443">
        <v>110</v>
      </c>
      <c r="B443" t="s">
        <v>547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 t="s">
        <v>428</v>
      </c>
    </row>
    <row r="444" spans="1:10" x14ac:dyDescent="0.35">
      <c r="A444">
        <v>120</v>
      </c>
      <c r="B444" t="s">
        <v>203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 t="s">
        <v>428</v>
      </c>
    </row>
    <row r="445" spans="1:10" x14ac:dyDescent="0.35">
      <c r="A445">
        <v>130</v>
      </c>
      <c r="B445" t="s">
        <v>204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 t="s">
        <v>428</v>
      </c>
    </row>
    <row r="446" spans="1:10" x14ac:dyDescent="0.35">
      <c r="A446">
        <v>140</v>
      </c>
      <c r="B446" t="s">
        <v>205</v>
      </c>
      <c r="C446">
        <v>1</v>
      </c>
      <c r="D446">
        <v>0</v>
      </c>
      <c r="E446">
        <v>1</v>
      </c>
      <c r="F446">
        <v>0</v>
      </c>
      <c r="G446">
        <v>0</v>
      </c>
      <c r="H446">
        <v>1</v>
      </c>
      <c r="I446">
        <v>1</v>
      </c>
      <c r="J446" t="s">
        <v>428</v>
      </c>
    </row>
    <row r="447" spans="1:10" x14ac:dyDescent="0.35">
      <c r="A447">
        <v>150</v>
      </c>
      <c r="B447" t="s">
        <v>206</v>
      </c>
      <c r="C447">
        <v>1</v>
      </c>
      <c r="D447">
        <v>0</v>
      </c>
      <c r="E447">
        <v>1</v>
      </c>
      <c r="F447">
        <v>0</v>
      </c>
      <c r="G447">
        <v>0</v>
      </c>
      <c r="H447">
        <v>1</v>
      </c>
      <c r="I447">
        <v>1</v>
      </c>
      <c r="J447" t="s">
        <v>428</v>
      </c>
    </row>
    <row r="448" spans="1:10" x14ac:dyDescent="0.35">
      <c r="A448">
        <v>160</v>
      </c>
      <c r="B448" t="s">
        <v>207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 t="s">
        <v>428</v>
      </c>
    </row>
    <row r="449" spans="1:10" x14ac:dyDescent="0.35">
      <c r="A449">
        <v>170</v>
      </c>
      <c r="B449" t="s">
        <v>208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 t="s">
        <v>428</v>
      </c>
    </row>
    <row r="450" spans="1:10" x14ac:dyDescent="0.35">
      <c r="A450">
        <v>180</v>
      </c>
      <c r="B450" t="s">
        <v>209</v>
      </c>
      <c r="C450">
        <v>4148643.25</v>
      </c>
      <c r="D450">
        <v>0</v>
      </c>
      <c r="E450">
        <v>4148643.25</v>
      </c>
      <c r="F450">
        <v>0</v>
      </c>
      <c r="G450">
        <v>0</v>
      </c>
      <c r="H450">
        <v>4148643.25</v>
      </c>
      <c r="I450">
        <v>4148643.25</v>
      </c>
      <c r="J450" t="s">
        <v>428</v>
      </c>
    </row>
    <row r="451" spans="1:10" x14ac:dyDescent="0.35">
      <c r="A451">
        <v>190</v>
      </c>
      <c r="B451" t="s">
        <v>210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 t="s">
        <v>428</v>
      </c>
    </row>
    <row r="452" spans="1:10" x14ac:dyDescent="0.35">
      <c r="A452">
        <v>200</v>
      </c>
      <c r="B452" t="s">
        <v>211</v>
      </c>
      <c r="C452">
        <v>4148645.25</v>
      </c>
      <c r="D452">
        <v>0</v>
      </c>
      <c r="E452">
        <v>4148645.25</v>
      </c>
      <c r="F452">
        <v>0</v>
      </c>
      <c r="G452">
        <v>0</v>
      </c>
      <c r="H452">
        <v>4148645.25</v>
      </c>
      <c r="I452">
        <v>4148645.25</v>
      </c>
      <c r="J452" t="s">
        <v>428</v>
      </c>
    </row>
    <row r="453" spans="1:10" x14ac:dyDescent="0.35">
      <c r="A453">
        <v>210</v>
      </c>
      <c r="B453" t="s">
        <v>548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 t="s">
        <v>428</v>
      </c>
    </row>
    <row r="454" spans="1:10" x14ac:dyDescent="0.35">
      <c r="A454">
        <v>220</v>
      </c>
      <c r="B454" t="s">
        <v>213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 t="s">
        <v>428</v>
      </c>
    </row>
    <row r="455" spans="1:10" x14ac:dyDescent="0.35">
      <c r="A455">
        <v>230</v>
      </c>
      <c r="B455" t="s">
        <v>214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 t="s">
        <v>428</v>
      </c>
    </row>
    <row r="456" spans="1:10" x14ac:dyDescent="0.35">
      <c r="A456">
        <v>240</v>
      </c>
      <c r="B456" t="s">
        <v>215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 t="s">
        <v>428</v>
      </c>
    </row>
    <row r="457" spans="1:10" x14ac:dyDescent="0.35">
      <c r="A457">
        <v>250</v>
      </c>
      <c r="B457" t="s">
        <v>216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 t="s">
        <v>428</v>
      </c>
    </row>
    <row r="458" spans="1:10" x14ac:dyDescent="0.35">
      <c r="A458">
        <v>260</v>
      </c>
      <c r="B458" t="s">
        <v>217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 t="s">
        <v>428</v>
      </c>
    </row>
    <row r="459" spans="1:10" x14ac:dyDescent="0.35">
      <c r="A459">
        <v>270</v>
      </c>
      <c r="B459" t="s">
        <v>218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 t="s">
        <v>428</v>
      </c>
    </row>
    <row r="460" spans="1:10" x14ac:dyDescent="0.35">
      <c r="A460">
        <v>280</v>
      </c>
      <c r="B460" t="s">
        <v>549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 t="s">
        <v>428</v>
      </c>
    </row>
    <row r="461" spans="1:10" x14ac:dyDescent="0.35">
      <c r="A461">
        <v>400</v>
      </c>
      <c r="B461" t="s">
        <v>220</v>
      </c>
      <c r="C461">
        <v>5200124.3499999996</v>
      </c>
      <c r="D461">
        <v>0</v>
      </c>
      <c r="E461">
        <v>5200124.3499999996</v>
      </c>
      <c r="F461">
        <v>2568.9899999999998</v>
      </c>
      <c r="G461">
        <v>2568.9899999999998</v>
      </c>
      <c r="H461">
        <v>5197555.3600000003</v>
      </c>
      <c r="I461">
        <v>5197555.3600000003</v>
      </c>
      <c r="J461" t="s">
        <v>428</v>
      </c>
    </row>
    <row r="462" spans="1:10" x14ac:dyDescent="0.35">
      <c r="A462">
        <v>410</v>
      </c>
      <c r="B462" t="s">
        <v>550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 t="s">
        <v>428</v>
      </c>
    </row>
    <row r="463" spans="1:10" x14ac:dyDescent="0.35">
      <c r="A463">
        <v>420</v>
      </c>
      <c r="B463" t="s">
        <v>222</v>
      </c>
      <c r="C463">
        <v>790926.23</v>
      </c>
      <c r="D463">
        <v>0</v>
      </c>
      <c r="E463">
        <v>790926.23</v>
      </c>
      <c r="F463">
        <v>0</v>
      </c>
      <c r="G463">
        <v>0</v>
      </c>
      <c r="H463">
        <v>790926.23</v>
      </c>
      <c r="I463">
        <v>790926.23</v>
      </c>
      <c r="J463" t="s">
        <v>428</v>
      </c>
    </row>
    <row r="464" spans="1:10" x14ac:dyDescent="0.35">
      <c r="A464">
        <v>430</v>
      </c>
      <c r="B464" t="s">
        <v>223</v>
      </c>
      <c r="C464">
        <v>3700</v>
      </c>
      <c r="D464">
        <v>0</v>
      </c>
      <c r="E464">
        <v>3700</v>
      </c>
      <c r="F464">
        <v>3700</v>
      </c>
      <c r="G464">
        <v>3700</v>
      </c>
      <c r="H464">
        <v>0</v>
      </c>
      <c r="I464">
        <v>0</v>
      </c>
      <c r="J464" t="s">
        <v>428</v>
      </c>
    </row>
    <row r="465" spans="1:10" x14ac:dyDescent="0.35">
      <c r="A465">
        <v>440</v>
      </c>
      <c r="B465" t="s">
        <v>224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 t="s">
        <v>428</v>
      </c>
    </row>
    <row r="466" spans="1:10" x14ac:dyDescent="0.35">
      <c r="A466">
        <v>450</v>
      </c>
      <c r="B466" t="s">
        <v>551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 t="s">
        <v>428</v>
      </c>
    </row>
    <row r="467" spans="1:10" x14ac:dyDescent="0.35">
      <c r="A467">
        <v>460</v>
      </c>
      <c r="B467" t="s">
        <v>552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 t="s">
        <v>428</v>
      </c>
    </row>
    <row r="468" spans="1:10" x14ac:dyDescent="0.35">
      <c r="A468">
        <v>500</v>
      </c>
      <c r="B468" t="s">
        <v>227</v>
      </c>
      <c r="C468">
        <v>794626.23</v>
      </c>
      <c r="D468">
        <v>0</v>
      </c>
      <c r="E468">
        <v>794626.23</v>
      </c>
      <c r="F468">
        <v>3700</v>
      </c>
      <c r="G468">
        <v>3700</v>
      </c>
      <c r="H468">
        <v>790926.23</v>
      </c>
      <c r="I468">
        <v>790926.23</v>
      </c>
      <c r="J468" t="s">
        <v>428</v>
      </c>
    </row>
    <row r="469" spans="1:10" x14ac:dyDescent="0.35">
      <c r="A469">
        <v>510</v>
      </c>
      <c r="B469" t="s">
        <v>553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 t="s">
        <v>428</v>
      </c>
    </row>
    <row r="470" spans="1:10" x14ac:dyDescent="0.35">
      <c r="A470">
        <v>520</v>
      </c>
      <c r="B470" t="s">
        <v>554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 t="s">
        <v>428</v>
      </c>
    </row>
    <row r="471" spans="1:10" x14ac:dyDescent="0.35">
      <c r="A471">
        <v>530</v>
      </c>
      <c r="B471" t="s">
        <v>554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 t="s">
        <v>428</v>
      </c>
    </row>
    <row r="472" spans="1:10" x14ac:dyDescent="0.35">
      <c r="A472">
        <v>540</v>
      </c>
      <c r="B472" t="s">
        <v>231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 t="s">
        <v>428</v>
      </c>
    </row>
    <row r="473" spans="1:10" x14ac:dyDescent="0.35">
      <c r="A473">
        <v>600</v>
      </c>
      <c r="B473" t="s">
        <v>232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 t="s">
        <v>428</v>
      </c>
    </row>
    <row r="474" spans="1:10" x14ac:dyDescent="0.35">
      <c r="A474">
        <v>610</v>
      </c>
      <c r="B474" t="s">
        <v>555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 t="s">
        <v>428</v>
      </c>
    </row>
    <row r="475" spans="1:10" x14ac:dyDescent="0.35">
      <c r="A475">
        <v>620</v>
      </c>
      <c r="B475" t="s">
        <v>234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 t="s">
        <v>428</v>
      </c>
    </row>
    <row r="476" spans="1:10" x14ac:dyDescent="0.35">
      <c r="A476">
        <v>700</v>
      </c>
      <c r="B476" t="s">
        <v>556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 t="s">
        <v>428</v>
      </c>
    </row>
    <row r="477" spans="1:10" x14ac:dyDescent="0.35">
      <c r="A477">
        <v>710</v>
      </c>
      <c r="B477" t="s">
        <v>557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 t="s">
        <v>428</v>
      </c>
    </row>
    <row r="478" spans="1:10" x14ac:dyDescent="0.35">
      <c r="A478">
        <v>720</v>
      </c>
      <c r="B478" t="s">
        <v>237</v>
      </c>
      <c r="C478">
        <v>4550000</v>
      </c>
      <c r="D478">
        <v>0</v>
      </c>
      <c r="E478">
        <v>4550000</v>
      </c>
      <c r="F478">
        <v>0</v>
      </c>
      <c r="G478">
        <v>0</v>
      </c>
      <c r="H478">
        <v>4550000</v>
      </c>
      <c r="I478">
        <v>4550000</v>
      </c>
      <c r="J478" t="s">
        <v>428</v>
      </c>
    </row>
    <row r="479" spans="1:10" x14ac:dyDescent="0.35">
      <c r="A479">
        <v>730</v>
      </c>
      <c r="B479" t="s">
        <v>238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 t="s">
        <v>428</v>
      </c>
    </row>
    <row r="480" spans="1:10" x14ac:dyDescent="0.35">
      <c r="A480">
        <v>740</v>
      </c>
      <c r="B480" t="s">
        <v>239</v>
      </c>
      <c r="C480">
        <v>-143370.87</v>
      </c>
      <c r="D480">
        <v>0</v>
      </c>
      <c r="E480">
        <v>-143370.87</v>
      </c>
      <c r="F480">
        <v>0</v>
      </c>
      <c r="G480">
        <v>0</v>
      </c>
      <c r="H480">
        <v>1451572.8</v>
      </c>
      <c r="I480">
        <v>-143370.87</v>
      </c>
      <c r="J480" t="s">
        <v>428</v>
      </c>
    </row>
    <row r="481" spans="1:10" x14ac:dyDescent="0.35">
      <c r="A481">
        <v>750</v>
      </c>
      <c r="B481" t="s">
        <v>240</v>
      </c>
      <c r="C481">
        <v>-975</v>
      </c>
      <c r="D481">
        <v>0</v>
      </c>
      <c r="E481">
        <v>-975</v>
      </c>
      <c r="F481">
        <v>-975</v>
      </c>
      <c r="G481">
        <v>-975</v>
      </c>
      <c r="H481">
        <v>-1594943.67</v>
      </c>
      <c r="I481">
        <v>0</v>
      </c>
      <c r="J481" t="s">
        <v>428</v>
      </c>
    </row>
    <row r="482" spans="1:10" x14ac:dyDescent="0.35">
      <c r="A482">
        <v>760</v>
      </c>
      <c r="B482" t="s">
        <v>241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 t="s">
        <v>428</v>
      </c>
    </row>
    <row r="483" spans="1:10" x14ac:dyDescent="0.35">
      <c r="A483">
        <v>770</v>
      </c>
      <c r="B483" t="s">
        <v>242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 t="s">
        <v>428</v>
      </c>
    </row>
    <row r="484" spans="1:10" x14ac:dyDescent="0.35">
      <c r="A484">
        <v>800</v>
      </c>
      <c r="B484" t="s">
        <v>243</v>
      </c>
      <c r="C484">
        <v>4405654.13</v>
      </c>
      <c r="D484">
        <v>0</v>
      </c>
      <c r="E484">
        <v>4405654.13</v>
      </c>
      <c r="F484">
        <v>-975</v>
      </c>
      <c r="G484">
        <v>-975</v>
      </c>
      <c r="H484">
        <v>4406629.13</v>
      </c>
      <c r="I484">
        <v>4406629.13</v>
      </c>
      <c r="J484" t="s">
        <v>428</v>
      </c>
    </row>
    <row r="485" spans="1:10" x14ac:dyDescent="0.35">
      <c r="A485">
        <v>900</v>
      </c>
      <c r="B485" t="s">
        <v>244</v>
      </c>
      <c r="C485">
        <v>5200280.3600000003</v>
      </c>
      <c r="D485">
        <v>0</v>
      </c>
      <c r="E485">
        <v>5200280.3600000003</v>
      </c>
      <c r="F485">
        <v>2725</v>
      </c>
      <c r="G485">
        <v>2725</v>
      </c>
      <c r="H485">
        <v>5197555.3600000003</v>
      </c>
      <c r="I485">
        <v>5197555.3600000003</v>
      </c>
      <c r="J485" t="s">
        <v>428</v>
      </c>
    </row>
    <row r="486" spans="1:10" x14ac:dyDescent="0.35">
      <c r="A486">
        <v>1000</v>
      </c>
      <c r="B486" t="s">
        <v>558</v>
      </c>
      <c r="C486">
        <v>-156.01</v>
      </c>
      <c r="D486">
        <v>0</v>
      </c>
      <c r="E486">
        <v>-156.01</v>
      </c>
      <c r="F486">
        <v>-156.01</v>
      </c>
      <c r="G486">
        <v>-156.01</v>
      </c>
      <c r="H486">
        <v>0</v>
      </c>
      <c r="I486">
        <v>0</v>
      </c>
      <c r="J486" t="s">
        <v>428</v>
      </c>
    </row>
    <row r="487" spans="1:10" x14ac:dyDescent="0.35">
      <c r="A487" t="s">
        <v>488</v>
      </c>
      <c r="B487" t="s">
        <v>416</v>
      </c>
      <c r="C487" t="s">
        <v>537</v>
      </c>
      <c r="D487" t="s">
        <v>538</v>
      </c>
      <c r="E487" t="s">
        <v>539</v>
      </c>
      <c r="F487" t="s">
        <v>540</v>
      </c>
      <c r="G487" t="s">
        <v>541</v>
      </c>
      <c r="H487" t="s">
        <v>542</v>
      </c>
      <c r="I487" t="s">
        <v>543</v>
      </c>
      <c r="J487" t="s">
        <v>121</v>
      </c>
    </row>
    <row r="488" spans="1:10" x14ac:dyDescent="0.35">
      <c r="A488">
        <v>10</v>
      </c>
      <c r="B488" t="s">
        <v>544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 t="s">
        <v>428</v>
      </c>
    </row>
    <row r="489" spans="1:10" x14ac:dyDescent="0.35">
      <c r="A489">
        <v>20</v>
      </c>
      <c r="B489" t="s">
        <v>194</v>
      </c>
      <c r="C489">
        <v>1455.7</v>
      </c>
      <c r="D489">
        <v>0</v>
      </c>
      <c r="E489">
        <v>1455.7</v>
      </c>
      <c r="F489">
        <v>-1453.48</v>
      </c>
      <c r="G489">
        <v>-1453.48</v>
      </c>
      <c r="H489">
        <v>2909.18</v>
      </c>
      <c r="I489">
        <v>2909.18</v>
      </c>
      <c r="J489" t="s">
        <v>428</v>
      </c>
    </row>
    <row r="490" spans="1:10" x14ac:dyDescent="0.35">
      <c r="A490">
        <v>30</v>
      </c>
      <c r="B490" t="s">
        <v>195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 t="s">
        <v>428</v>
      </c>
    </row>
    <row r="491" spans="1:10" x14ac:dyDescent="0.35">
      <c r="A491">
        <v>40</v>
      </c>
      <c r="B491" t="s">
        <v>196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 t="s">
        <v>428</v>
      </c>
    </row>
    <row r="492" spans="1:10" x14ac:dyDescent="0.35">
      <c r="A492">
        <v>50</v>
      </c>
      <c r="B492" t="s">
        <v>197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 t="s">
        <v>428</v>
      </c>
    </row>
    <row r="493" spans="1:10" x14ac:dyDescent="0.35">
      <c r="A493">
        <v>60</v>
      </c>
      <c r="B493" t="s">
        <v>198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 t="s">
        <v>428</v>
      </c>
    </row>
    <row r="494" spans="1:10" x14ac:dyDescent="0.35">
      <c r="A494">
        <v>70</v>
      </c>
      <c r="B494" t="s">
        <v>199</v>
      </c>
      <c r="C494">
        <v>289660.84999999998</v>
      </c>
      <c r="D494">
        <v>0</v>
      </c>
      <c r="E494">
        <v>289660.84999999998</v>
      </c>
      <c r="F494">
        <v>0</v>
      </c>
      <c r="G494">
        <v>0</v>
      </c>
      <c r="H494">
        <v>289660.84999999998</v>
      </c>
      <c r="I494">
        <v>289660.84999999998</v>
      </c>
      <c r="J494" t="s">
        <v>428</v>
      </c>
    </row>
    <row r="495" spans="1:10" x14ac:dyDescent="0.35">
      <c r="A495">
        <v>80</v>
      </c>
      <c r="B495" t="s">
        <v>559</v>
      </c>
      <c r="C495">
        <v>200.48</v>
      </c>
      <c r="D495">
        <v>0</v>
      </c>
      <c r="E495">
        <v>200.48</v>
      </c>
      <c r="F495">
        <v>200.48</v>
      </c>
      <c r="G495">
        <v>200.48</v>
      </c>
      <c r="H495">
        <v>0</v>
      </c>
      <c r="I495">
        <v>0</v>
      </c>
      <c r="J495" t="s">
        <v>428</v>
      </c>
    </row>
    <row r="496" spans="1:10" x14ac:dyDescent="0.35">
      <c r="A496">
        <v>100</v>
      </c>
      <c r="B496" t="s">
        <v>546</v>
      </c>
      <c r="C496">
        <v>291317.03000000003</v>
      </c>
      <c r="D496">
        <v>0</v>
      </c>
      <c r="E496">
        <v>291317.03000000003</v>
      </c>
      <c r="F496">
        <v>-1253</v>
      </c>
      <c r="G496">
        <v>-1253</v>
      </c>
      <c r="H496">
        <v>292570.03000000003</v>
      </c>
      <c r="I496">
        <v>292570.03000000003</v>
      </c>
      <c r="J496" t="s">
        <v>428</v>
      </c>
    </row>
    <row r="497" spans="1:10" x14ac:dyDescent="0.35">
      <c r="A497">
        <v>110</v>
      </c>
      <c r="B497" t="s">
        <v>547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 t="s">
        <v>428</v>
      </c>
    </row>
    <row r="498" spans="1:10" x14ac:dyDescent="0.35">
      <c r="A498">
        <v>120</v>
      </c>
      <c r="B498" t="s">
        <v>203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 t="s">
        <v>428</v>
      </c>
    </row>
    <row r="499" spans="1:10" x14ac:dyDescent="0.35">
      <c r="A499">
        <v>130</v>
      </c>
      <c r="B499" t="s">
        <v>204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 t="s">
        <v>428</v>
      </c>
    </row>
    <row r="500" spans="1:10" x14ac:dyDescent="0.35">
      <c r="A500">
        <v>140</v>
      </c>
      <c r="B500" t="s">
        <v>205</v>
      </c>
      <c r="C500">
        <v>1</v>
      </c>
      <c r="D500">
        <v>0</v>
      </c>
      <c r="E500">
        <v>1</v>
      </c>
      <c r="F500">
        <v>0</v>
      </c>
      <c r="G500">
        <v>0</v>
      </c>
      <c r="H500">
        <v>1</v>
      </c>
      <c r="I500">
        <v>1</v>
      </c>
      <c r="J500" t="s">
        <v>428</v>
      </c>
    </row>
    <row r="501" spans="1:10" x14ac:dyDescent="0.35">
      <c r="A501">
        <v>150</v>
      </c>
      <c r="B501" t="s">
        <v>206</v>
      </c>
      <c r="C501">
        <v>1</v>
      </c>
      <c r="D501">
        <v>0</v>
      </c>
      <c r="E501">
        <v>1</v>
      </c>
      <c r="F501">
        <v>0</v>
      </c>
      <c r="G501">
        <v>0</v>
      </c>
      <c r="H501">
        <v>1</v>
      </c>
      <c r="I501">
        <v>1</v>
      </c>
      <c r="J501" t="s">
        <v>428</v>
      </c>
    </row>
    <row r="502" spans="1:10" x14ac:dyDescent="0.35">
      <c r="A502">
        <v>160</v>
      </c>
      <c r="B502" t="s">
        <v>207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 t="s">
        <v>428</v>
      </c>
    </row>
    <row r="503" spans="1:10" x14ac:dyDescent="0.35">
      <c r="A503">
        <v>170</v>
      </c>
      <c r="B503" t="s">
        <v>208</v>
      </c>
      <c r="C503">
        <v>1</v>
      </c>
      <c r="D503">
        <v>0</v>
      </c>
      <c r="E503">
        <v>1</v>
      </c>
      <c r="F503">
        <v>0</v>
      </c>
      <c r="G503">
        <v>0</v>
      </c>
      <c r="H503">
        <v>1</v>
      </c>
      <c r="I503">
        <v>1</v>
      </c>
      <c r="J503" t="s">
        <v>428</v>
      </c>
    </row>
    <row r="504" spans="1:10" x14ac:dyDescent="0.35">
      <c r="A504">
        <v>180</v>
      </c>
      <c r="B504" t="s">
        <v>209</v>
      </c>
      <c r="C504">
        <v>1</v>
      </c>
      <c r="D504">
        <v>0</v>
      </c>
      <c r="E504">
        <v>1</v>
      </c>
      <c r="F504">
        <v>0</v>
      </c>
      <c r="G504">
        <v>0</v>
      </c>
      <c r="H504">
        <v>1</v>
      </c>
      <c r="I504">
        <v>1</v>
      </c>
      <c r="J504" t="s">
        <v>428</v>
      </c>
    </row>
    <row r="505" spans="1:10" x14ac:dyDescent="0.35">
      <c r="A505">
        <v>190</v>
      </c>
      <c r="B505" t="s">
        <v>210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 t="s">
        <v>428</v>
      </c>
    </row>
    <row r="506" spans="1:10" x14ac:dyDescent="0.35">
      <c r="A506">
        <v>200</v>
      </c>
      <c r="B506" t="s">
        <v>211</v>
      </c>
      <c r="C506">
        <v>4</v>
      </c>
      <c r="D506">
        <v>0</v>
      </c>
      <c r="E506">
        <v>4</v>
      </c>
      <c r="F506">
        <v>0</v>
      </c>
      <c r="G506">
        <v>0</v>
      </c>
      <c r="H506">
        <v>4</v>
      </c>
      <c r="I506">
        <v>4</v>
      </c>
      <c r="J506" t="s">
        <v>428</v>
      </c>
    </row>
    <row r="507" spans="1:10" x14ac:dyDescent="0.35">
      <c r="A507">
        <v>210</v>
      </c>
      <c r="B507" t="s">
        <v>548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 t="s">
        <v>428</v>
      </c>
    </row>
    <row r="508" spans="1:10" x14ac:dyDescent="0.35">
      <c r="A508">
        <v>220</v>
      </c>
      <c r="B508" t="s">
        <v>213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 t="s">
        <v>428</v>
      </c>
    </row>
    <row r="509" spans="1:10" x14ac:dyDescent="0.35">
      <c r="A509">
        <v>230</v>
      </c>
      <c r="B509" t="s">
        <v>214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 t="s">
        <v>428</v>
      </c>
    </row>
    <row r="510" spans="1:10" x14ac:dyDescent="0.35">
      <c r="A510">
        <v>240</v>
      </c>
      <c r="B510" t="s">
        <v>215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 t="s">
        <v>428</v>
      </c>
    </row>
    <row r="511" spans="1:10" x14ac:dyDescent="0.35">
      <c r="A511">
        <v>250</v>
      </c>
      <c r="B511" t="s">
        <v>216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 t="s">
        <v>428</v>
      </c>
    </row>
    <row r="512" spans="1:10" x14ac:dyDescent="0.35">
      <c r="A512">
        <v>260</v>
      </c>
      <c r="B512" t="s">
        <v>217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 t="s">
        <v>428</v>
      </c>
    </row>
    <row r="513" spans="1:10" x14ac:dyDescent="0.35">
      <c r="A513">
        <v>270</v>
      </c>
      <c r="B513" t="s">
        <v>218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 t="s">
        <v>428</v>
      </c>
    </row>
    <row r="514" spans="1:10" x14ac:dyDescent="0.35">
      <c r="A514">
        <v>280</v>
      </c>
      <c r="B514" t="s">
        <v>549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 t="s">
        <v>428</v>
      </c>
    </row>
    <row r="515" spans="1:10" x14ac:dyDescent="0.35">
      <c r="A515">
        <v>400</v>
      </c>
      <c r="B515" t="s">
        <v>220</v>
      </c>
      <c r="C515">
        <v>291321.03000000003</v>
      </c>
      <c r="D515">
        <v>0</v>
      </c>
      <c r="E515">
        <v>291321.03000000003</v>
      </c>
      <c r="F515">
        <v>-1253</v>
      </c>
      <c r="G515">
        <v>-1253</v>
      </c>
      <c r="H515">
        <v>292574.03000000003</v>
      </c>
      <c r="I515">
        <v>292574.03000000003</v>
      </c>
      <c r="J515" t="s">
        <v>428</v>
      </c>
    </row>
    <row r="516" spans="1:10" x14ac:dyDescent="0.35">
      <c r="A516">
        <v>410</v>
      </c>
      <c r="B516" t="s">
        <v>550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 t="s">
        <v>428</v>
      </c>
    </row>
    <row r="517" spans="1:10" x14ac:dyDescent="0.35">
      <c r="A517">
        <v>420</v>
      </c>
      <c r="B517" t="s">
        <v>222</v>
      </c>
      <c r="C517">
        <v>480155.07</v>
      </c>
      <c r="D517">
        <v>0</v>
      </c>
      <c r="E517">
        <v>480155.07</v>
      </c>
      <c r="F517">
        <v>0</v>
      </c>
      <c r="G517">
        <v>0</v>
      </c>
      <c r="H517">
        <v>480155.07</v>
      </c>
      <c r="I517">
        <v>480155.07</v>
      </c>
      <c r="J517" t="s">
        <v>428</v>
      </c>
    </row>
    <row r="518" spans="1:10" x14ac:dyDescent="0.35">
      <c r="A518">
        <v>430</v>
      </c>
      <c r="B518" t="s">
        <v>223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 t="s">
        <v>428</v>
      </c>
    </row>
    <row r="519" spans="1:10" x14ac:dyDescent="0.35">
      <c r="A519">
        <v>440</v>
      </c>
      <c r="B519" t="s">
        <v>224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 t="s">
        <v>428</v>
      </c>
    </row>
    <row r="520" spans="1:10" x14ac:dyDescent="0.35">
      <c r="A520">
        <v>450</v>
      </c>
      <c r="B520" t="s">
        <v>225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 t="s">
        <v>428</v>
      </c>
    </row>
    <row r="521" spans="1:10" x14ac:dyDescent="0.35">
      <c r="A521">
        <v>460</v>
      </c>
      <c r="B521" t="s">
        <v>552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 t="s">
        <v>428</v>
      </c>
    </row>
    <row r="522" spans="1:10" x14ac:dyDescent="0.35">
      <c r="A522">
        <v>500</v>
      </c>
      <c r="B522" t="s">
        <v>227</v>
      </c>
      <c r="C522">
        <v>480155.07</v>
      </c>
      <c r="D522">
        <v>0</v>
      </c>
      <c r="E522">
        <v>480155.07</v>
      </c>
      <c r="F522">
        <v>0</v>
      </c>
      <c r="G522">
        <v>0</v>
      </c>
      <c r="H522">
        <v>480155.07</v>
      </c>
      <c r="I522">
        <v>480155.07</v>
      </c>
      <c r="J522" t="s">
        <v>428</v>
      </c>
    </row>
    <row r="523" spans="1:10" x14ac:dyDescent="0.35">
      <c r="A523">
        <v>510</v>
      </c>
      <c r="B523" t="s">
        <v>553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 t="s">
        <v>428</v>
      </c>
    </row>
    <row r="524" spans="1:10" x14ac:dyDescent="0.35">
      <c r="A524">
        <v>520</v>
      </c>
      <c r="B524" t="s">
        <v>229</v>
      </c>
      <c r="C524">
        <v>242088.13</v>
      </c>
      <c r="D524">
        <v>0</v>
      </c>
      <c r="E524">
        <v>242088.13</v>
      </c>
      <c r="F524">
        <v>0</v>
      </c>
      <c r="G524">
        <v>0</v>
      </c>
      <c r="H524">
        <v>242088.13</v>
      </c>
      <c r="I524">
        <v>242088.13</v>
      </c>
      <c r="J524" t="s">
        <v>428</v>
      </c>
    </row>
    <row r="525" spans="1:10" x14ac:dyDescent="0.35">
      <c r="A525">
        <v>530</v>
      </c>
      <c r="B525" t="s">
        <v>230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 t="s">
        <v>428</v>
      </c>
    </row>
    <row r="526" spans="1:10" x14ac:dyDescent="0.35">
      <c r="A526">
        <v>540</v>
      </c>
      <c r="B526" t="s">
        <v>231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 t="s">
        <v>428</v>
      </c>
    </row>
    <row r="527" spans="1:10" x14ac:dyDescent="0.35">
      <c r="A527">
        <v>600</v>
      </c>
      <c r="B527" t="s">
        <v>232</v>
      </c>
      <c r="C527">
        <v>242088.13</v>
      </c>
      <c r="D527">
        <v>0</v>
      </c>
      <c r="E527">
        <v>242088.13</v>
      </c>
      <c r="F527">
        <v>0</v>
      </c>
      <c r="G527">
        <v>0</v>
      </c>
      <c r="H527">
        <v>242088.13</v>
      </c>
      <c r="I527">
        <v>242088.13</v>
      </c>
      <c r="J527" t="s">
        <v>428</v>
      </c>
    </row>
    <row r="528" spans="1:10" x14ac:dyDescent="0.35">
      <c r="A528">
        <v>610</v>
      </c>
      <c r="B528" t="s">
        <v>555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 t="s">
        <v>428</v>
      </c>
    </row>
    <row r="529" spans="1:10" x14ac:dyDescent="0.35">
      <c r="A529">
        <v>620</v>
      </c>
      <c r="B529" t="s">
        <v>234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 t="s">
        <v>428</v>
      </c>
    </row>
    <row r="530" spans="1:10" x14ac:dyDescent="0.35">
      <c r="A530">
        <v>700</v>
      </c>
      <c r="B530" t="s">
        <v>556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 t="s">
        <v>428</v>
      </c>
    </row>
    <row r="531" spans="1:10" x14ac:dyDescent="0.35">
      <c r="A531">
        <v>710</v>
      </c>
      <c r="B531" t="s">
        <v>557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 t="s">
        <v>428</v>
      </c>
    </row>
    <row r="532" spans="1:10" x14ac:dyDescent="0.35">
      <c r="A532">
        <v>720</v>
      </c>
      <c r="B532" t="s">
        <v>237</v>
      </c>
      <c r="C532">
        <v>15050000</v>
      </c>
      <c r="D532">
        <v>0</v>
      </c>
      <c r="E532">
        <v>15050000</v>
      </c>
      <c r="F532">
        <v>0</v>
      </c>
      <c r="G532">
        <v>0</v>
      </c>
      <c r="H532">
        <v>15050000</v>
      </c>
      <c r="I532">
        <v>15050000</v>
      </c>
      <c r="J532" t="s">
        <v>428</v>
      </c>
    </row>
    <row r="533" spans="1:10" x14ac:dyDescent="0.35">
      <c r="A533">
        <v>730</v>
      </c>
      <c r="B533" t="s">
        <v>238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 t="s">
        <v>428</v>
      </c>
    </row>
    <row r="534" spans="1:10" x14ac:dyDescent="0.35">
      <c r="A534">
        <v>740</v>
      </c>
      <c r="B534" t="s">
        <v>239</v>
      </c>
      <c r="C534">
        <v>-5946985.6200000001</v>
      </c>
      <c r="D534">
        <v>0</v>
      </c>
      <c r="E534">
        <v>-5946985.6200000001</v>
      </c>
      <c r="F534">
        <v>0</v>
      </c>
      <c r="G534">
        <v>0</v>
      </c>
      <c r="H534">
        <v>-5946985.6200000001</v>
      </c>
      <c r="I534">
        <v>-5946985.6200000001</v>
      </c>
      <c r="J534" t="s">
        <v>428</v>
      </c>
    </row>
    <row r="535" spans="1:10" x14ac:dyDescent="0.35">
      <c r="A535">
        <v>750</v>
      </c>
      <c r="B535" t="s">
        <v>240</v>
      </c>
      <c r="C535">
        <v>-1253</v>
      </c>
      <c r="D535">
        <v>0</v>
      </c>
      <c r="E535">
        <v>-1253</v>
      </c>
      <c r="F535">
        <v>-1253</v>
      </c>
      <c r="G535">
        <v>-1253</v>
      </c>
      <c r="H535">
        <v>-9532683.5500000007</v>
      </c>
      <c r="I535">
        <v>0</v>
      </c>
      <c r="J535" t="s">
        <v>428</v>
      </c>
    </row>
    <row r="536" spans="1:10" x14ac:dyDescent="0.35">
      <c r="A536">
        <v>760</v>
      </c>
      <c r="B536" t="s">
        <v>241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 t="s">
        <v>428</v>
      </c>
    </row>
    <row r="537" spans="1:10" x14ac:dyDescent="0.35">
      <c r="A537">
        <v>770</v>
      </c>
      <c r="B537" t="s">
        <v>242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 t="s">
        <v>428</v>
      </c>
    </row>
    <row r="538" spans="1:10" x14ac:dyDescent="0.35">
      <c r="A538">
        <v>800</v>
      </c>
      <c r="B538" t="s">
        <v>243</v>
      </c>
      <c r="C538">
        <v>9101761.3800000008</v>
      </c>
      <c r="D538">
        <v>0</v>
      </c>
      <c r="E538">
        <v>9101761.3800000008</v>
      </c>
      <c r="F538">
        <v>-1253</v>
      </c>
      <c r="G538">
        <v>-1253</v>
      </c>
      <c r="H538">
        <v>-429669.17</v>
      </c>
      <c r="I538">
        <v>9103014.3800000008</v>
      </c>
      <c r="J538" t="s">
        <v>428</v>
      </c>
    </row>
    <row r="539" spans="1:10" x14ac:dyDescent="0.35">
      <c r="A539">
        <v>900</v>
      </c>
      <c r="B539" t="s">
        <v>244</v>
      </c>
      <c r="C539">
        <v>9824004.5800000001</v>
      </c>
      <c r="D539">
        <v>0</v>
      </c>
      <c r="E539">
        <v>9824004.5800000001</v>
      </c>
      <c r="F539">
        <v>-1253</v>
      </c>
      <c r="G539">
        <v>-1253</v>
      </c>
      <c r="H539">
        <v>292574.03000000003</v>
      </c>
      <c r="I539">
        <v>9825257.5800000001</v>
      </c>
      <c r="J539" t="s">
        <v>428</v>
      </c>
    </row>
    <row r="540" spans="1:10" x14ac:dyDescent="0.35">
      <c r="A540">
        <v>1000</v>
      </c>
      <c r="B540" t="s">
        <v>558</v>
      </c>
      <c r="C540">
        <v>-9532683.5500000007</v>
      </c>
      <c r="D540">
        <v>0</v>
      </c>
      <c r="E540">
        <v>-9532683.5500000007</v>
      </c>
      <c r="F540">
        <v>0</v>
      </c>
      <c r="G540">
        <v>0</v>
      </c>
      <c r="H540">
        <v>0</v>
      </c>
      <c r="I540">
        <v>-9532683.5500000007</v>
      </c>
      <c r="J540" t="s">
        <v>428</v>
      </c>
    </row>
    <row r="541" spans="1:10" x14ac:dyDescent="0.35">
      <c r="A541" t="s">
        <v>489</v>
      </c>
      <c r="B541" t="s">
        <v>416</v>
      </c>
      <c r="C541" t="s">
        <v>537</v>
      </c>
      <c r="D541" t="s">
        <v>538</v>
      </c>
      <c r="E541" t="s">
        <v>539</v>
      </c>
      <c r="F541" t="s">
        <v>540</v>
      </c>
      <c r="G541" t="s">
        <v>541</v>
      </c>
      <c r="H541" t="s">
        <v>542</v>
      </c>
      <c r="I541" t="s">
        <v>543</v>
      </c>
      <c r="J541" t="s">
        <v>121</v>
      </c>
    </row>
    <row r="542" spans="1:10" x14ac:dyDescent="0.35">
      <c r="A542">
        <v>10</v>
      </c>
      <c r="B542" t="s">
        <v>544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 t="s">
        <v>428</v>
      </c>
    </row>
    <row r="543" spans="1:10" x14ac:dyDescent="0.35">
      <c r="A543">
        <v>20</v>
      </c>
      <c r="B543" t="s">
        <v>194</v>
      </c>
      <c r="C543">
        <v>7516138.0099999998</v>
      </c>
      <c r="D543">
        <v>0</v>
      </c>
      <c r="E543">
        <v>7516138.0099999998</v>
      </c>
      <c r="F543">
        <v>5813173.8600000003</v>
      </c>
      <c r="G543">
        <v>5813173.8600000003</v>
      </c>
      <c r="H543">
        <v>1702964.15</v>
      </c>
      <c r="I543">
        <v>1702964.15</v>
      </c>
      <c r="J543" t="s">
        <v>428</v>
      </c>
    </row>
    <row r="544" spans="1:10" x14ac:dyDescent="0.35">
      <c r="A544">
        <v>30</v>
      </c>
      <c r="B544" t="s">
        <v>195</v>
      </c>
      <c r="C544">
        <v>136613.64000000001</v>
      </c>
      <c r="D544">
        <v>0</v>
      </c>
      <c r="E544">
        <v>136613.64000000001</v>
      </c>
      <c r="F544">
        <v>-692211.62</v>
      </c>
      <c r="G544">
        <v>-692211.62</v>
      </c>
      <c r="H544">
        <v>828825.26</v>
      </c>
      <c r="I544">
        <v>828825.26</v>
      </c>
      <c r="J544" t="s">
        <v>428</v>
      </c>
    </row>
    <row r="545" spans="1:10" x14ac:dyDescent="0.35">
      <c r="A545">
        <v>40</v>
      </c>
      <c r="B545" t="s">
        <v>196</v>
      </c>
      <c r="C545">
        <v>5644685.79</v>
      </c>
      <c r="D545">
        <v>0</v>
      </c>
      <c r="E545">
        <v>5644685.79</v>
      </c>
      <c r="F545">
        <v>0</v>
      </c>
      <c r="G545">
        <v>0</v>
      </c>
      <c r="H545">
        <v>5644685.79</v>
      </c>
      <c r="I545">
        <v>5644685.79</v>
      </c>
      <c r="J545" t="s">
        <v>428</v>
      </c>
    </row>
    <row r="546" spans="1:10" x14ac:dyDescent="0.35">
      <c r="A546">
        <v>50</v>
      </c>
      <c r="B546" t="s">
        <v>197</v>
      </c>
      <c r="C546">
        <v>117741295.70999999</v>
      </c>
      <c r="D546">
        <v>0</v>
      </c>
      <c r="E546">
        <v>117741295.70999999</v>
      </c>
      <c r="F546">
        <v>26117539.100000001</v>
      </c>
      <c r="G546">
        <v>26117539.100000001</v>
      </c>
      <c r="H546">
        <v>91623756.609999999</v>
      </c>
      <c r="I546">
        <v>91623756.609999999</v>
      </c>
      <c r="J546" t="s">
        <v>428</v>
      </c>
    </row>
    <row r="547" spans="1:10" x14ac:dyDescent="0.35">
      <c r="A547">
        <v>60</v>
      </c>
      <c r="B547" t="s">
        <v>198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 t="s">
        <v>428</v>
      </c>
    </row>
    <row r="548" spans="1:10" x14ac:dyDescent="0.35">
      <c r="A548">
        <v>70</v>
      </c>
      <c r="B548" t="s">
        <v>199</v>
      </c>
      <c r="C548">
        <v>1072434.74</v>
      </c>
      <c r="D548">
        <v>0</v>
      </c>
      <c r="E548">
        <v>1072434.74</v>
      </c>
      <c r="F548">
        <v>58.87</v>
      </c>
      <c r="G548">
        <v>58.87</v>
      </c>
      <c r="H548">
        <v>1072375.8700000001</v>
      </c>
      <c r="I548">
        <v>1072375.8700000001</v>
      </c>
      <c r="J548" t="s">
        <v>428</v>
      </c>
    </row>
    <row r="549" spans="1:10" x14ac:dyDescent="0.35">
      <c r="A549">
        <v>80</v>
      </c>
      <c r="B549" t="s">
        <v>559</v>
      </c>
      <c r="C549">
        <v>1539218.78</v>
      </c>
      <c r="D549">
        <v>0</v>
      </c>
      <c r="E549">
        <v>1539218.78</v>
      </c>
      <c r="F549">
        <v>-11794.71</v>
      </c>
      <c r="G549">
        <v>-11794.71</v>
      </c>
      <c r="H549">
        <v>1551013.49</v>
      </c>
      <c r="I549">
        <v>1551013.49</v>
      </c>
      <c r="J549" t="s">
        <v>428</v>
      </c>
    </row>
    <row r="550" spans="1:10" x14ac:dyDescent="0.35">
      <c r="A550">
        <v>100</v>
      </c>
      <c r="B550" t="s">
        <v>546</v>
      </c>
      <c r="C550">
        <v>133650386.67</v>
      </c>
      <c r="D550">
        <v>0</v>
      </c>
      <c r="E550">
        <v>133650386.67</v>
      </c>
      <c r="F550">
        <v>31226765.5</v>
      </c>
      <c r="G550">
        <v>31226765.5</v>
      </c>
      <c r="H550">
        <v>102423621.17</v>
      </c>
      <c r="I550">
        <v>102423621.17</v>
      </c>
      <c r="J550" t="s">
        <v>428</v>
      </c>
    </row>
    <row r="551" spans="1:10" x14ac:dyDescent="0.35">
      <c r="A551">
        <v>110</v>
      </c>
      <c r="B551" t="s">
        <v>547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 t="s">
        <v>428</v>
      </c>
    </row>
    <row r="552" spans="1:10" x14ac:dyDescent="0.35">
      <c r="A552">
        <v>120</v>
      </c>
      <c r="B552" t="s">
        <v>203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 t="s">
        <v>428</v>
      </c>
    </row>
    <row r="553" spans="1:10" x14ac:dyDescent="0.35">
      <c r="A553">
        <v>130</v>
      </c>
      <c r="B553" t="s">
        <v>204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 t="s">
        <v>428</v>
      </c>
    </row>
    <row r="554" spans="1:10" x14ac:dyDescent="0.35">
      <c r="A554">
        <v>140</v>
      </c>
      <c r="B554" t="s">
        <v>205</v>
      </c>
      <c r="C554">
        <v>529.58000000000004</v>
      </c>
      <c r="D554">
        <v>0</v>
      </c>
      <c r="E554">
        <v>529.58000000000004</v>
      </c>
      <c r="F554">
        <v>0</v>
      </c>
      <c r="G554">
        <v>0</v>
      </c>
      <c r="H554">
        <v>529.58000000000004</v>
      </c>
      <c r="I554">
        <v>529.58000000000004</v>
      </c>
      <c r="J554" t="s">
        <v>428</v>
      </c>
    </row>
    <row r="555" spans="1:10" x14ac:dyDescent="0.35">
      <c r="A555">
        <v>150</v>
      </c>
      <c r="B555" t="s">
        <v>206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 t="s">
        <v>428</v>
      </c>
    </row>
    <row r="556" spans="1:10" x14ac:dyDescent="0.35">
      <c r="A556">
        <v>160</v>
      </c>
      <c r="B556" t="s">
        <v>207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 t="s">
        <v>428</v>
      </c>
    </row>
    <row r="557" spans="1:10" x14ac:dyDescent="0.35">
      <c r="A557">
        <v>170</v>
      </c>
      <c r="B557" t="s">
        <v>208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 t="s">
        <v>428</v>
      </c>
    </row>
    <row r="558" spans="1:10" x14ac:dyDescent="0.35">
      <c r="A558">
        <v>180</v>
      </c>
      <c r="B558" t="s">
        <v>209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 t="s">
        <v>428</v>
      </c>
    </row>
    <row r="559" spans="1:10" x14ac:dyDescent="0.35">
      <c r="A559">
        <v>190</v>
      </c>
      <c r="B559" t="s">
        <v>210</v>
      </c>
      <c r="C559">
        <v>-529.58000000000004</v>
      </c>
      <c r="D559">
        <v>0</v>
      </c>
      <c r="E559">
        <v>-529.58000000000004</v>
      </c>
      <c r="F559">
        <v>0</v>
      </c>
      <c r="G559">
        <v>0</v>
      </c>
      <c r="H559">
        <v>-529.58000000000004</v>
      </c>
      <c r="I559">
        <v>-529.58000000000004</v>
      </c>
      <c r="J559" t="s">
        <v>428</v>
      </c>
    </row>
    <row r="560" spans="1:10" x14ac:dyDescent="0.35">
      <c r="A560">
        <v>200</v>
      </c>
      <c r="B560" t="s">
        <v>211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 t="s">
        <v>428</v>
      </c>
    </row>
    <row r="561" spans="1:10" x14ac:dyDescent="0.35">
      <c r="A561">
        <v>210</v>
      </c>
      <c r="B561" t="s">
        <v>548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 t="s">
        <v>428</v>
      </c>
    </row>
    <row r="562" spans="1:10" x14ac:dyDescent="0.35">
      <c r="A562">
        <v>220</v>
      </c>
      <c r="B562" t="s">
        <v>213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 t="s">
        <v>428</v>
      </c>
    </row>
    <row r="563" spans="1:10" x14ac:dyDescent="0.35">
      <c r="A563">
        <v>230</v>
      </c>
      <c r="B563" t="s">
        <v>214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 t="s">
        <v>428</v>
      </c>
    </row>
    <row r="564" spans="1:10" x14ac:dyDescent="0.35">
      <c r="A564">
        <v>240</v>
      </c>
      <c r="B564" t="s">
        <v>215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 t="s">
        <v>428</v>
      </c>
    </row>
    <row r="565" spans="1:10" x14ac:dyDescent="0.35">
      <c r="A565">
        <v>250</v>
      </c>
      <c r="B565" t="s">
        <v>216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 t="s">
        <v>428</v>
      </c>
    </row>
    <row r="566" spans="1:10" x14ac:dyDescent="0.35">
      <c r="A566">
        <v>260</v>
      </c>
      <c r="B566" t="s">
        <v>217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 t="s">
        <v>428</v>
      </c>
    </row>
    <row r="567" spans="1:10" x14ac:dyDescent="0.35">
      <c r="A567">
        <v>270</v>
      </c>
      <c r="B567" t="s">
        <v>218</v>
      </c>
      <c r="C567">
        <v>738597960.72000003</v>
      </c>
      <c r="D567">
        <v>0</v>
      </c>
      <c r="E567">
        <v>738597960.72000003</v>
      </c>
      <c r="F567">
        <v>0</v>
      </c>
      <c r="G567">
        <v>0</v>
      </c>
      <c r="H567">
        <v>738597960.72000003</v>
      </c>
      <c r="I567">
        <v>738597960.72000003</v>
      </c>
      <c r="J567" t="s">
        <v>428</v>
      </c>
    </row>
    <row r="568" spans="1:10" x14ac:dyDescent="0.35">
      <c r="A568">
        <v>280</v>
      </c>
      <c r="B568" t="s">
        <v>549</v>
      </c>
      <c r="C568">
        <v>738597960.72000003</v>
      </c>
      <c r="D568">
        <v>0</v>
      </c>
      <c r="E568">
        <v>738597960.72000003</v>
      </c>
      <c r="F568">
        <v>0</v>
      </c>
      <c r="G568">
        <v>0</v>
      </c>
      <c r="H568">
        <v>738597960.72000003</v>
      </c>
      <c r="I568">
        <v>738597960.72000003</v>
      </c>
      <c r="J568" t="s">
        <v>428</v>
      </c>
    </row>
    <row r="569" spans="1:10" x14ac:dyDescent="0.35">
      <c r="A569">
        <v>400</v>
      </c>
      <c r="B569" t="s">
        <v>220</v>
      </c>
      <c r="C569">
        <v>872248347.38999999</v>
      </c>
      <c r="D569">
        <v>0</v>
      </c>
      <c r="E569">
        <v>872248347.38999999</v>
      </c>
      <c r="F569">
        <v>31226765.5</v>
      </c>
      <c r="G569">
        <v>31226765.5</v>
      </c>
      <c r="H569">
        <v>841021581.88999999</v>
      </c>
      <c r="I569">
        <v>841021581.88999999</v>
      </c>
      <c r="J569" t="s">
        <v>428</v>
      </c>
    </row>
    <row r="570" spans="1:10" x14ac:dyDescent="0.35">
      <c r="A570">
        <v>410</v>
      </c>
      <c r="B570" t="s">
        <v>550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 t="s">
        <v>428</v>
      </c>
    </row>
    <row r="571" spans="1:10" x14ac:dyDescent="0.35">
      <c r="A571">
        <v>420</v>
      </c>
      <c r="B571" t="s">
        <v>222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 t="s">
        <v>428</v>
      </c>
    </row>
    <row r="572" spans="1:10" x14ac:dyDescent="0.35">
      <c r="A572">
        <v>430</v>
      </c>
      <c r="B572" t="s">
        <v>223</v>
      </c>
      <c r="C572">
        <v>171956888.44999999</v>
      </c>
      <c r="D572">
        <v>0</v>
      </c>
      <c r="E572">
        <v>171956888.44999999</v>
      </c>
      <c r="F572">
        <v>29521555.050000001</v>
      </c>
      <c r="G572">
        <v>29521555.050000001</v>
      </c>
      <c r="H572">
        <v>142435333.40000001</v>
      </c>
      <c r="I572">
        <v>142435333.40000001</v>
      </c>
      <c r="J572" t="s">
        <v>428</v>
      </c>
    </row>
    <row r="573" spans="1:10" x14ac:dyDescent="0.35">
      <c r="A573">
        <v>440</v>
      </c>
      <c r="B573" t="s">
        <v>224</v>
      </c>
      <c r="C573">
        <v>40994479.700000003</v>
      </c>
      <c r="D573">
        <v>0</v>
      </c>
      <c r="E573">
        <v>40994479.700000003</v>
      </c>
      <c r="F573">
        <v>324355.63</v>
      </c>
      <c r="G573">
        <v>324355.63</v>
      </c>
      <c r="H573">
        <v>40670124.07</v>
      </c>
      <c r="I573">
        <v>40670124.07</v>
      </c>
      <c r="J573" t="s">
        <v>428</v>
      </c>
    </row>
    <row r="574" spans="1:10" x14ac:dyDescent="0.35">
      <c r="A574">
        <v>450</v>
      </c>
      <c r="B574" t="s">
        <v>225</v>
      </c>
      <c r="C574">
        <v>22739.74</v>
      </c>
      <c r="D574">
        <v>0</v>
      </c>
      <c r="E574">
        <v>22739.74</v>
      </c>
      <c r="F574">
        <v>1575.61</v>
      </c>
      <c r="G574">
        <v>1575.61</v>
      </c>
      <c r="H574">
        <v>21164.13</v>
      </c>
      <c r="I574">
        <v>21164.13</v>
      </c>
      <c r="J574" t="s">
        <v>428</v>
      </c>
    </row>
    <row r="575" spans="1:10" x14ac:dyDescent="0.35">
      <c r="A575">
        <v>460</v>
      </c>
      <c r="B575" t="s">
        <v>552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 t="s">
        <v>428</v>
      </c>
    </row>
    <row r="576" spans="1:10" x14ac:dyDescent="0.35">
      <c r="A576">
        <v>500</v>
      </c>
      <c r="B576" t="s">
        <v>227</v>
      </c>
      <c r="C576">
        <v>212974107.88999999</v>
      </c>
      <c r="D576">
        <v>0</v>
      </c>
      <c r="E576">
        <v>212974107.88999999</v>
      </c>
      <c r="F576">
        <v>29847486.289999999</v>
      </c>
      <c r="G576">
        <v>29847486.289999999</v>
      </c>
      <c r="H576">
        <v>183126621.59999999</v>
      </c>
      <c r="I576">
        <v>183126621.59999999</v>
      </c>
      <c r="J576" t="s">
        <v>428</v>
      </c>
    </row>
    <row r="577" spans="1:10" x14ac:dyDescent="0.35">
      <c r="A577">
        <v>510</v>
      </c>
      <c r="B577" t="s">
        <v>553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 t="s">
        <v>428</v>
      </c>
    </row>
    <row r="578" spans="1:10" x14ac:dyDescent="0.35">
      <c r="A578">
        <v>520</v>
      </c>
      <c r="B578" t="s">
        <v>229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 t="s">
        <v>428</v>
      </c>
    </row>
    <row r="579" spans="1:10" x14ac:dyDescent="0.35">
      <c r="A579">
        <v>530</v>
      </c>
      <c r="B579" t="s">
        <v>230</v>
      </c>
      <c r="C579">
        <v>9349928.1600000001</v>
      </c>
      <c r="D579">
        <v>0</v>
      </c>
      <c r="E579">
        <v>9349928.1600000001</v>
      </c>
      <c r="F579">
        <v>-83720.259999999995</v>
      </c>
      <c r="G579">
        <v>-83720.259999999995</v>
      </c>
      <c r="H579">
        <v>9433648.4199999999</v>
      </c>
      <c r="I579">
        <v>9433648.4199999999</v>
      </c>
      <c r="J579" t="s">
        <v>428</v>
      </c>
    </row>
    <row r="580" spans="1:10" x14ac:dyDescent="0.35">
      <c r="A580">
        <v>540</v>
      </c>
      <c r="B580" t="s">
        <v>231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 t="s">
        <v>428</v>
      </c>
    </row>
    <row r="581" spans="1:10" x14ac:dyDescent="0.35">
      <c r="A581">
        <v>600</v>
      </c>
      <c r="B581" t="s">
        <v>232</v>
      </c>
      <c r="C581">
        <v>9349928.1600000001</v>
      </c>
      <c r="D581">
        <v>0</v>
      </c>
      <c r="E581">
        <v>9349928.1600000001</v>
      </c>
      <c r="F581">
        <v>-83720.259999999995</v>
      </c>
      <c r="G581">
        <v>-83720.259999999995</v>
      </c>
      <c r="H581">
        <v>9433648.4199999999</v>
      </c>
      <c r="I581">
        <v>9433648.4199999999</v>
      </c>
      <c r="J581" t="s">
        <v>428</v>
      </c>
    </row>
    <row r="582" spans="1:10" x14ac:dyDescent="0.35">
      <c r="A582">
        <v>610</v>
      </c>
      <c r="B582" t="s">
        <v>555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 t="s">
        <v>428</v>
      </c>
    </row>
    <row r="583" spans="1:10" x14ac:dyDescent="0.35">
      <c r="A583">
        <v>620</v>
      </c>
      <c r="B583" t="s">
        <v>234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 t="s">
        <v>428</v>
      </c>
    </row>
    <row r="584" spans="1:10" x14ac:dyDescent="0.35">
      <c r="A584">
        <v>700</v>
      </c>
      <c r="B584" t="s">
        <v>556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 t="s">
        <v>428</v>
      </c>
    </row>
    <row r="585" spans="1:10" x14ac:dyDescent="0.35">
      <c r="A585">
        <v>710</v>
      </c>
      <c r="B585" t="s">
        <v>557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 t="s">
        <v>428</v>
      </c>
    </row>
    <row r="586" spans="1:10" x14ac:dyDescent="0.35">
      <c r="A586">
        <v>720</v>
      </c>
      <c r="B586" t="s">
        <v>237</v>
      </c>
      <c r="C586">
        <v>42189546.770000003</v>
      </c>
      <c r="D586">
        <v>0</v>
      </c>
      <c r="E586">
        <v>42189546.770000003</v>
      </c>
      <c r="F586">
        <v>0</v>
      </c>
      <c r="G586">
        <v>0</v>
      </c>
      <c r="H586">
        <v>42189546.770000003</v>
      </c>
      <c r="I586">
        <v>42189546.770000003</v>
      </c>
      <c r="J586" t="s">
        <v>428</v>
      </c>
    </row>
    <row r="587" spans="1:10" x14ac:dyDescent="0.35">
      <c r="A587">
        <v>730</v>
      </c>
      <c r="B587" t="s">
        <v>238</v>
      </c>
      <c r="C587">
        <v>4604084.17</v>
      </c>
      <c r="D587">
        <v>0</v>
      </c>
      <c r="E587">
        <v>4604084.17</v>
      </c>
      <c r="F587">
        <v>0</v>
      </c>
      <c r="G587">
        <v>0</v>
      </c>
      <c r="H587">
        <v>4604084.17</v>
      </c>
      <c r="I587">
        <v>4604084.17</v>
      </c>
      <c r="J587" t="s">
        <v>428</v>
      </c>
    </row>
    <row r="588" spans="1:10" x14ac:dyDescent="0.35">
      <c r="A588">
        <v>740</v>
      </c>
      <c r="B588" t="s">
        <v>239</v>
      </c>
      <c r="C588">
        <v>529840869.85000002</v>
      </c>
      <c r="D588">
        <v>0</v>
      </c>
      <c r="E588">
        <v>529840869.85000002</v>
      </c>
      <c r="F588">
        <v>0</v>
      </c>
      <c r="G588">
        <v>0</v>
      </c>
      <c r="H588">
        <v>508855047.61000001</v>
      </c>
      <c r="I588">
        <v>529840869.85000002</v>
      </c>
      <c r="J588" t="s">
        <v>428</v>
      </c>
    </row>
    <row r="589" spans="1:10" x14ac:dyDescent="0.35">
      <c r="A589">
        <v>750</v>
      </c>
      <c r="B589" t="s">
        <v>240</v>
      </c>
      <c r="C589">
        <v>1462999.47</v>
      </c>
      <c r="D589">
        <v>0</v>
      </c>
      <c r="E589">
        <v>1462999.47</v>
      </c>
      <c r="F589">
        <v>1462999.47</v>
      </c>
      <c r="G589">
        <v>1462999.47</v>
      </c>
      <c r="H589">
        <v>20985822.239999998</v>
      </c>
      <c r="I589">
        <v>0</v>
      </c>
      <c r="J589" t="s">
        <v>428</v>
      </c>
    </row>
    <row r="590" spans="1:10" x14ac:dyDescent="0.35">
      <c r="A590">
        <v>760</v>
      </c>
      <c r="B590" t="s">
        <v>241</v>
      </c>
      <c r="C590">
        <v>71826811.079999998</v>
      </c>
      <c r="D590">
        <v>0</v>
      </c>
      <c r="E590">
        <v>71826811.079999998</v>
      </c>
      <c r="F590">
        <v>0</v>
      </c>
      <c r="G590">
        <v>0</v>
      </c>
      <c r="H590">
        <v>71826811.079999998</v>
      </c>
      <c r="I590">
        <v>71826811.079999998</v>
      </c>
      <c r="J590" t="s">
        <v>428</v>
      </c>
    </row>
    <row r="591" spans="1:10" x14ac:dyDescent="0.35">
      <c r="A591">
        <v>770</v>
      </c>
      <c r="B591" t="s">
        <v>242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 t="s">
        <v>428</v>
      </c>
    </row>
    <row r="592" spans="1:10" x14ac:dyDescent="0.35">
      <c r="A592">
        <v>800</v>
      </c>
      <c r="B592" t="s">
        <v>243</v>
      </c>
      <c r="C592">
        <v>649924311.34000003</v>
      </c>
      <c r="D592">
        <v>0</v>
      </c>
      <c r="E592">
        <v>649924311.34000003</v>
      </c>
      <c r="F592">
        <v>1462999.47</v>
      </c>
      <c r="G592">
        <v>1462999.47</v>
      </c>
      <c r="H592">
        <v>648461311.87</v>
      </c>
      <c r="I592">
        <v>648461311.87</v>
      </c>
      <c r="J592" t="s">
        <v>428</v>
      </c>
    </row>
    <row r="593" spans="1:10" x14ac:dyDescent="0.35">
      <c r="A593">
        <v>900</v>
      </c>
      <c r="B593" t="s">
        <v>244</v>
      </c>
      <c r="C593">
        <v>872248347.38999999</v>
      </c>
      <c r="D593">
        <v>0</v>
      </c>
      <c r="E593">
        <v>872248347.38999999</v>
      </c>
      <c r="F593">
        <v>31226765.5</v>
      </c>
      <c r="G593">
        <v>31226765.5</v>
      </c>
      <c r="H593">
        <v>841021581.88999999</v>
      </c>
      <c r="I593">
        <v>841021581.88999999</v>
      </c>
      <c r="J593" t="s">
        <v>428</v>
      </c>
    </row>
    <row r="594" spans="1:10" x14ac:dyDescent="0.35">
      <c r="A594">
        <v>1000</v>
      </c>
      <c r="B594" t="s">
        <v>558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 t="s">
        <v>428</v>
      </c>
    </row>
    <row r="595" spans="1:10" x14ac:dyDescent="0.35">
      <c r="A595" t="s">
        <v>490</v>
      </c>
      <c r="B595" t="s">
        <v>416</v>
      </c>
      <c r="C595" t="s">
        <v>537</v>
      </c>
      <c r="D595" t="s">
        <v>538</v>
      </c>
      <c r="E595" t="s">
        <v>539</v>
      </c>
      <c r="F595" t="s">
        <v>540</v>
      </c>
      <c r="G595" t="s">
        <v>541</v>
      </c>
      <c r="H595" t="s">
        <v>542</v>
      </c>
      <c r="I595" t="s">
        <v>543</v>
      </c>
      <c r="J595" t="s">
        <v>121</v>
      </c>
    </row>
    <row r="596" spans="1:10" x14ac:dyDescent="0.35">
      <c r="A596">
        <v>10</v>
      </c>
      <c r="B596" t="s">
        <v>544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 t="s">
        <v>428</v>
      </c>
    </row>
    <row r="597" spans="1:10" x14ac:dyDescent="0.35">
      <c r="A597">
        <v>20</v>
      </c>
      <c r="B597" t="s">
        <v>194</v>
      </c>
      <c r="C597">
        <v>1544898.17</v>
      </c>
      <c r="D597">
        <v>0</v>
      </c>
      <c r="E597">
        <v>1544898.17</v>
      </c>
      <c r="F597">
        <v>395927.54</v>
      </c>
      <c r="G597">
        <v>395927.54</v>
      </c>
      <c r="H597">
        <v>1148970.6299999999</v>
      </c>
      <c r="I597">
        <v>1148970.6299999999</v>
      </c>
      <c r="J597" t="s">
        <v>428</v>
      </c>
    </row>
    <row r="598" spans="1:10" x14ac:dyDescent="0.35">
      <c r="A598">
        <v>30</v>
      </c>
      <c r="B598" t="s">
        <v>195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 t="s">
        <v>428</v>
      </c>
    </row>
    <row r="599" spans="1:10" x14ac:dyDescent="0.35">
      <c r="A599">
        <v>40</v>
      </c>
      <c r="B599" t="s">
        <v>196</v>
      </c>
      <c r="C599">
        <v>9638880.7200000007</v>
      </c>
      <c r="D599">
        <v>0</v>
      </c>
      <c r="E599">
        <v>9638880.7200000007</v>
      </c>
      <c r="F599">
        <v>46676.77</v>
      </c>
      <c r="G599">
        <v>46676.77</v>
      </c>
      <c r="H599">
        <v>9592203.9499999993</v>
      </c>
      <c r="I599">
        <v>9592203.9499999993</v>
      </c>
      <c r="J599" t="s">
        <v>428</v>
      </c>
    </row>
    <row r="600" spans="1:10" x14ac:dyDescent="0.35">
      <c r="A600">
        <v>50</v>
      </c>
      <c r="B600" t="s">
        <v>197</v>
      </c>
      <c r="C600">
        <v>3341263.75</v>
      </c>
      <c r="D600">
        <v>0</v>
      </c>
      <c r="E600">
        <v>3341263.75</v>
      </c>
      <c r="F600">
        <v>259767.33</v>
      </c>
      <c r="G600">
        <v>259767.33</v>
      </c>
      <c r="H600">
        <v>3081496.42</v>
      </c>
      <c r="I600">
        <v>3081496.42</v>
      </c>
      <c r="J600" t="s">
        <v>428</v>
      </c>
    </row>
    <row r="601" spans="1:10" x14ac:dyDescent="0.35">
      <c r="A601">
        <v>60</v>
      </c>
      <c r="B601" t="s">
        <v>198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 t="s">
        <v>428</v>
      </c>
    </row>
    <row r="602" spans="1:10" x14ac:dyDescent="0.35">
      <c r="A602">
        <v>70</v>
      </c>
      <c r="B602" t="s">
        <v>199</v>
      </c>
      <c r="C602">
        <v>1137650.4099999999</v>
      </c>
      <c r="D602">
        <v>0</v>
      </c>
      <c r="E602">
        <v>1137650.4099999999</v>
      </c>
      <c r="F602">
        <v>86855.360000000001</v>
      </c>
      <c r="G602">
        <v>86855.360000000001</v>
      </c>
      <c r="H602">
        <v>1050795.05</v>
      </c>
      <c r="I602">
        <v>1050795.05</v>
      </c>
      <c r="J602" t="s">
        <v>428</v>
      </c>
    </row>
    <row r="603" spans="1:10" x14ac:dyDescent="0.35">
      <c r="A603">
        <v>80</v>
      </c>
      <c r="B603" t="s">
        <v>559</v>
      </c>
      <c r="C603">
        <v>29692.959999999999</v>
      </c>
      <c r="D603">
        <v>0</v>
      </c>
      <c r="E603">
        <v>29692.959999999999</v>
      </c>
      <c r="F603">
        <v>-26935.01</v>
      </c>
      <c r="G603">
        <v>-26935.01</v>
      </c>
      <c r="H603">
        <v>56627.97</v>
      </c>
      <c r="I603">
        <v>56627.97</v>
      </c>
      <c r="J603" t="s">
        <v>428</v>
      </c>
    </row>
    <row r="604" spans="1:10" x14ac:dyDescent="0.35">
      <c r="A604">
        <v>100</v>
      </c>
      <c r="B604" t="s">
        <v>546</v>
      </c>
      <c r="C604">
        <v>15692386.01</v>
      </c>
      <c r="D604">
        <v>0</v>
      </c>
      <c r="E604">
        <v>15692386.01</v>
      </c>
      <c r="F604">
        <v>762291.99</v>
      </c>
      <c r="G604">
        <v>762291.99</v>
      </c>
      <c r="H604">
        <v>14930094.02</v>
      </c>
      <c r="I604">
        <v>14930094.02</v>
      </c>
      <c r="J604" t="s">
        <v>428</v>
      </c>
    </row>
    <row r="605" spans="1:10" x14ac:dyDescent="0.35">
      <c r="A605">
        <v>110</v>
      </c>
      <c r="B605" t="s">
        <v>547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 t="s">
        <v>428</v>
      </c>
    </row>
    <row r="606" spans="1:10" x14ac:dyDescent="0.35">
      <c r="A606">
        <v>120</v>
      </c>
      <c r="B606" t="s">
        <v>203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 t="s">
        <v>428</v>
      </c>
    </row>
    <row r="607" spans="1:10" x14ac:dyDescent="0.35">
      <c r="A607">
        <v>130</v>
      </c>
      <c r="B607" t="s">
        <v>204</v>
      </c>
      <c r="C607">
        <v>267000</v>
      </c>
      <c r="D607">
        <v>0</v>
      </c>
      <c r="E607">
        <v>267000</v>
      </c>
      <c r="F607">
        <v>0</v>
      </c>
      <c r="G607">
        <v>0</v>
      </c>
      <c r="H607">
        <v>267000</v>
      </c>
      <c r="I607">
        <v>267000</v>
      </c>
      <c r="J607" t="s">
        <v>428</v>
      </c>
    </row>
    <row r="608" spans="1:10" x14ac:dyDescent="0.35">
      <c r="A608">
        <v>140</v>
      </c>
      <c r="B608" t="s">
        <v>205</v>
      </c>
      <c r="C608">
        <v>597237.71</v>
      </c>
      <c r="D608">
        <v>0</v>
      </c>
      <c r="E608">
        <v>597237.71</v>
      </c>
      <c r="F608">
        <v>0</v>
      </c>
      <c r="G608">
        <v>0</v>
      </c>
      <c r="H608">
        <v>597237.71</v>
      </c>
      <c r="I608">
        <v>597237.71</v>
      </c>
      <c r="J608" t="s">
        <v>428</v>
      </c>
    </row>
    <row r="609" spans="1:10" x14ac:dyDescent="0.35">
      <c r="A609">
        <v>150</v>
      </c>
      <c r="B609" t="s">
        <v>206</v>
      </c>
      <c r="C609">
        <v>1509675.48</v>
      </c>
      <c r="D609">
        <v>0</v>
      </c>
      <c r="E609">
        <v>1509675.48</v>
      </c>
      <c r="F609">
        <v>0</v>
      </c>
      <c r="G609">
        <v>0</v>
      </c>
      <c r="H609">
        <v>1509675.48</v>
      </c>
      <c r="I609">
        <v>1509675.48</v>
      </c>
      <c r="J609" t="s">
        <v>428</v>
      </c>
    </row>
    <row r="610" spans="1:10" x14ac:dyDescent="0.35">
      <c r="A610">
        <v>160</v>
      </c>
      <c r="B610" t="s">
        <v>207</v>
      </c>
      <c r="C610">
        <v>889761.67</v>
      </c>
      <c r="D610">
        <v>0</v>
      </c>
      <c r="E610">
        <v>889761.67</v>
      </c>
      <c r="F610">
        <v>0</v>
      </c>
      <c r="G610">
        <v>0</v>
      </c>
      <c r="H610">
        <v>889761.67</v>
      </c>
      <c r="I610">
        <v>889761.67</v>
      </c>
      <c r="J610" t="s">
        <v>428</v>
      </c>
    </row>
    <row r="611" spans="1:10" x14ac:dyDescent="0.35">
      <c r="A611">
        <v>170</v>
      </c>
      <c r="B611" t="s">
        <v>208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 t="s">
        <v>428</v>
      </c>
    </row>
    <row r="612" spans="1:10" x14ac:dyDescent="0.35">
      <c r="A612">
        <v>180</v>
      </c>
      <c r="B612" t="s">
        <v>209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 t="s">
        <v>428</v>
      </c>
    </row>
    <row r="613" spans="1:10" x14ac:dyDescent="0.35">
      <c r="A613">
        <v>190</v>
      </c>
      <c r="B613" t="s">
        <v>210</v>
      </c>
      <c r="C613">
        <v>-1637480.03</v>
      </c>
      <c r="D613">
        <v>0</v>
      </c>
      <c r="E613">
        <v>-1637480.03</v>
      </c>
      <c r="F613">
        <v>-19594.25</v>
      </c>
      <c r="G613">
        <v>-19594.25</v>
      </c>
      <c r="H613">
        <v>-1617885.78</v>
      </c>
      <c r="I613">
        <v>-1617885.78</v>
      </c>
      <c r="J613" t="s">
        <v>428</v>
      </c>
    </row>
    <row r="614" spans="1:10" x14ac:dyDescent="0.35">
      <c r="A614">
        <v>200</v>
      </c>
      <c r="B614" t="s">
        <v>211</v>
      </c>
      <c r="C614">
        <v>1626194.83</v>
      </c>
      <c r="D614">
        <v>0</v>
      </c>
      <c r="E614">
        <v>1626194.83</v>
      </c>
      <c r="F614">
        <v>-19594.25</v>
      </c>
      <c r="G614">
        <v>-19594.25</v>
      </c>
      <c r="H614">
        <v>1645789.08</v>
      </c>
      <c r="I614">
        <v>1645789.08</v>
      </c>
      <c r="J614" t="s">
        <v>428</v>
      </c>
    </row>
    <row r="615" spans="1:10" x14ac:dyDescent="0.35">
      <c r="A615">
        <v>210</v>
      </c>
      <c r="B615" t="s">
        <v>548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 t="s">
        <v>428</v>
      </c>
    </row>
    <row r="616" spans="1:10" x14ac:dyDescent="0.35">
      <c r="A616">
        <v>220</v>
      </c>
      <c r="B616" t="s">
        <v>213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 t="s">
        <v>428</v>
      </c>
    </row>
    <row r="617" spans="1:10" x14ac:dyDescent="0.35">
      <c r="A617">
        <v>230</v>
      </c>
      <c r="B617" t="s">
        <v>214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 t="s">
        <v>428</v>
      </c>
    </row>
    <row r="618" spans="1:10" x14ac:dyDescent="0.35">
      <c r="A618">
        <v>240</v>
      </c>
      <c r="B618" t="s">
        <v>215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 t="s">
        <v>428</v>
      </c>
    </row>
    <row r="619" spans="1:10" x14ac:dyDescent="0.35">
      <c r="A619">
        <v>250</v>
      </c>
      <c r="B619" t="s">
        <v>216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 t="s">
        <v>428</v>
      </c>
    </row>
    <row r="620" spans="1:10" x14ac:dyDescent="0.35">
      <c r="A620">
        <v>260</v>
      </c>
      <c r="B620" t="s">
        <v>217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 t="s">
        <v>428</v>
      </c>
    </row>
    <row r="621" spans="1:10" x14ac:dyDescent="0.35">
      <c r="A621">
        <v>270</v>
      </c>
      <c r="B621" t="s">
        <v>218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 t="s">
        <v>428</v>
      </c>
    </row>
    <row r="622" spans="1:10" x14ac:dyDescent="0.35">
      <c r="A622">
        <v>280</v>
      </c>
      <c r="B622" t="s">
        <v>549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 t="s">
        <v>428</v>
      </c>
    </row>
    <row r="623" spans="1:10" x14ac:dyDescent="0.35">
      <c r="A623">
        <v>400</v>
      </c>
      <c r="B623" t="s">
        <v>220</v>
      </c>
      <c r="C623">
        <v>17318580.84</v>
      </c>
      <c r="D623">
        <v>0</v>
      </c>
      <c r="E623">
        <v>17318580.84</v>
      </c>
      <c r="F623">
        <v>742697.74</v>
      </c>
      <c r="G623">
        <v>742697.74</v>
      </c>
      <c r="H623">
        <v>16575883.1</v>
      </c>
      <c r="I623">
        <v>16575883.1</v>
      </c>
      <c r="J623" t="s">
        <v>428</v>
      </c>
    </row>
    <row r="624" spans="1:10" x14ac:dyDescent="0.35">
      <c r="A624">
        <v>410</v>
      </c>
      <c r="B624" t="s">
        <v>550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 t="s">
        <v>428</v>
      </c>
    </row>
    <row r="625" spans="1:10" x14ac:dyDescent="0.35">
      <c r="A625">
        <v>420</v>
      </c>
      <c r="B625" t="s">
        <v>222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 t="s">
        <v>428</v>
      </c>
    </row>
    <row r="626" spans="1:10" x14ac:dyDescent="0.35">
      <c r="A626">
        <v>430</v>
      </c>
      <c r="B626" t="s">
        <v>223</v>
      </c>
      <c r="C626">
        <v>9070258.6999999993</v>
      </c>
      <c r="D626">
        <v>0</v>
      </c>
      <c r="E626">
        <v>9070258.6999999993</v>
      </c>
      <c r="F626">
        <v>505462.53</v>
      </c>
      <c r="G626">
        <v>505462.53</v>
      </c>
      <c r="H626">
        <v>8564796.1699999999</v>
      </c>
      <c r="I626">
        <v>8564796.1699999999</v>
      </c>
      <c r="J626" t="s">
        <v>428</v>
      </c>
    </row>
    <row r="627" spans="1:10" x14ac:dyDescent="0.35">
      <c r="A627">
        <v>440</v>
      </c>
      <c r="B627" t="s">
        <v>224</v>
      </c>
      <c r="C627">
        <v>670004.79</v>
      </c>
      <c r="D627">
        <v>0</v>
      </c>
      <c r="E627">
        <v>670004.79</v>
      </c>
      <c r="F627">
        <v>0</v>
      </c>
      <c r="G627">
        <v>0</v>
      </c>
      <c r="H627">
        <v>670004.79</v>
      </c>
      <c r="I627">
        <v>670004.79</v>
      </c>
      <c r="J627" t="s">
        <v>428</v>
      </c>
    </row>
    <row r="628" spans="1:10" x14ac:dyDescent="0.35">
      <c r="A628">
        <v>450</v>
      </c>
      <c r="B628" t="s">
        <v>225</v>
      </c>
      <c r="C628">
        <v>3002873.09</v>
      </c>
      <c r="D628">
        <v>0</v>
      </c>
      <c r="E628">
        <v>3002873.09</v>
      </c>
      <c r="F628">
        <v>-581961.89</v>
      </c>
      <c r="G628">
        <v>-581961.89</v>
      </c>
      <c r="H628">
        <v>3584834.98</v>
      </c>
      <c r="I628">
        <v>3584834.98</v>
      </c>
      <c r="J628" t="s">
        <v>428</v>
      </c>
    </row>
    <row r="629" spans="1:10" x14ac:dyDescent="0.35">
      <c r="A629">
        <v>460</v>
      </c>
      <c r="B629" t="s">
        <v>552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 t="s">
        <v>428</v>
      </c>
    </row>
    <row r="630" spans="1:10" x14ac:dyDescent="0.35">
      <c r="A630">
        <v>500</v>
      </c>
      <c r="B630" t="s">
        <v>227</v>
      </c>
      <c r="C630">
        <v>12743136.58</v>
      </c>
      <c r="D630">
        <v>0</v>
      </c>
      <c r="E630">
        <v>12743136.58</v>
      </c>
      <c r="F630">
        <v>-76499.360000000001</v>
      </c>
      <c r="G630">
        <v>-76499.360000000001</v>
      </c>
      <c r="H630">
        <v>12819635.939999999</v>
      </c>
      <c r="I630">
        <v>12819635.939999999</v>
      </c>
      <c r="J630" t="s">
        <v>428</v>
      </c>
    </row>
    <row r="631" spans="1:10" x14ac:dyDescent="0.35">
      <c r="A631">
        <v>510</v>
      </c>
      <c r="B631" t="s">
        <v>553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 t="s">
        <v>428</v>
      </c>
    </row>
    <row r="632" spans="1:10" x14ac:dyDescent="0.35">
      <c r="A632">
        <v>520</v>
      </c>
      <c r="B632" t="s">
        <v>229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 t="s">
        <v>428</v>
      </c>
    </row>
    <row r="633" spans="1:10" x14ac:dyDescent="0.35">
      <c r="A633">
        <v>530</v>
      </c>
      <c r="B633" t="s">
        <v>230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 t="s">
        <v>428</v>
      </c>
    </row>
    <row r="634" spans="1:10" x14ac:dyDescent="0.35">
      <c r="A634">
        <v>540</v>
      </c>
      <c r="B634" t="s">
        <v>231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 t="s">
        <v>428</v>
      </c>
    </row>
    <row r="635" spans="1:10" x14ac:dyDescent="0.35">
      <c r="A635">
        <v>600</v>
      </c>
      <c r="B635" t="s">
        <v>232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 t="s">
        <v>428</v>
      </c>
    </row>
    <row r="636" spans="1:10" x14ac:dyDescent="0.35">
      <c r="A636">
        <v>610</v>
      </c>
      <c r="B636" t="s">
        <v>555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 t="s">
        <v>428</v>
      </c>
    </row>
    <row r="637" spans="1:10" x14ac:dyDescent="0.35">
      <c r="A637">
        <v>620</v>
      </c>
      <c r="B637" t="s">
        <v>234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 t="s">
        <v>428</v>
      </c>
    </row>
    <row r="638" spans="1:10" x14ac:dyDescent="0.35">
      <c r="A638">
        <v>700</v>
      </c>
      <c r="B638" t="s">
        <v>556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 t="s">
        <v>428</v>
      </c>
    </row>
    <row r="639" spans="1:10" x14ac:dyDescent="0.35">
      <c r="A639">
        <v>710</v>
      </c>
      <c r="B639" t="s">
        <v>557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 t="s">
        <v>428</v>
      </c>
    </row>
    <row r="640" spans="1:10" x14ac:dyDescent="0.35">
      <c r="A640">
        <v>720</v>
      </c>
      <c r="B640" t="s">
        <v>237</v>
      </c>
      <c r="C640">
        <v>3053982.34</v>
      </c>
      <c r="D640">
        <v>0</v>
      </c>
      <c r="E640">
        <v>3053982.34</v>
      </c>
      <c r="F640">
        <v>0</v>
      </c>
      <c r="G640">
        <v>0</v>
      </c>
      <c r="H640">
        <v>3053982.34</v>
      </c>
      <c r="I640">
        <v>3053982.34</v>
      </c>
      <c r="J640" t="s">
        <v>428</v>
      </c>
    </row>
    <row r="641" spans="1:10" x14ac:dyDescent="0.35">
      <c r="A641">
        <v>730</v>
      </c>
      <c r="B641" t="s">
        <v>238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 t="s">
        <v>428</v>
      </c>
    </row>
    <row r="642" spans="1:10" x14ac:dyDescent="0.35">
      <c r="A642">
        <v>740</v>
      </c>
      <c r="B642" t="s">
        <v>239</v>
      </c>
      <c r="C642">
        <v>702264.82</v>
      </c>
      <c r="D642">
        <v>0</v>
      </c>
      <c r="E642">
        <v>702264.82</v>
      </c>
      <c r="F642">
        <v>0</v>
      </c>
      <c r="G642">
        <v>0</v>
      </c>
      <c r="H642">
        <v>-1940894.56</v>
      </c>
      <c r="I642">
        <v>702264.82</v>
      </c>
      <c r="J642" t="s">
        <v>428</v>
      </c>
    </row>
    <row r="643" spans="1:10" x14ac:dyDescent="0.35">
      <c r="A643">
        <v>750</v>
      </c>
      <c r="B643" t="s">
        <v>240</v>
      </c>
      <c r="C643">
        <v>819197.1</v>
      </c>
      <c r="D643">
        <v>0</v>
      </c>
      <c r="E643">
        <v>819197.1</v>
      </c>
      <c r="F643">
        <v>819197.1</v>
      </c>
      <c r="G643">
        <v>819197.1</v>
      </c>
      <c r="H643">
        <v>2643159.38</v>
      </c>
      <c r="I643">
        <v>0</v>
      </c>
      <c r="J643" t="s">
        <v>428</v>
      </c>
    </row>
    <row r="644" spans="1:10" x14ac:dyDescent="0.35">
      <c r="A644">
        <v>760</v>
      </c>
      <c r="B644" t="s">
        <v>241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 t="s">
        <v>428</v>
      </c>
    </row>
    <row r="645" spans="1:10" x14ac:dyDescent="0.35">
      <c r="A645">
        <v>770</v>
      </c>
      <c r="B645" t="s">
        <v>242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 t="s">
        <v>428</v>
      </c>
    </row>
    <row r="646" spans="1:10" x14ac:dyDescent="0.35">
      <c r="A646">
        <v>800</v>
      </c>
      <c r="B646" t="s">
        <v>243</v>
      </c>
      <c r="C646">
        <v>4575444.26</v>
      </c>
      <c r="D646">
        <v>0</v>
      </c>
      <c r="E646">
        <v>4575444.26</v>
      </c>
      <c r="F646">
        <v>819197.1</v>
      </c>
      <c r="G646">
        <v>819197.1</v>
      </c>
      <c r="H646">
        <v>3756247.16</v>
      </c>
      <c r="I646">
        <v>3756247.16</v>
      </c>
      <c r="J646" t="s">
        <v>428</v>
      </c>
    </row>
    <row r="647" spans="1:10" x14ac:dyDescent="0.35">
      <c r="A647">
        <v>900</v>
      </c>
      <c r="B647" t="s">
        <v>244</v>
      </c>
      <c r="C647">
        <v>17318580.84</v>
      </c>
      <c r="D647">
        <v>0</v>
      </c>
      <c r="E647">
        <v>17318580.84</v>
      </c>
      <c r="F647">
        <v>742697.74</v>
      </c>
      <c r="G647">
        <v>742697.74</v>
      </c>
      <c r="H647">
        <v>16575883.1</v>
      </c>
      <c r="I647">
        <v>16575883.1</v>
      </c>
      <c r="J647" t="s">
        <v>428</v>
      </c>
    </row>
    <row r="648" spans="1:10" x14ac:dyDescent="0.35">
      <c r="A648">
        <v>1000</v>
      </c>
      <c r="B648" t="s">
        <v>558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 t="s">
        <v>428</v>
      </c>
    </row>
    <row r="649" spans="1:10" x14ac:dyDescent="0.35">
      <c r="A649" t="s">
        <v>491</v>
      </c>
      <c r="B649" t="s">
        <v>416</v>
      </c>
      <c r="C649" t="s">
        <v>537</v>
      </c>
      <c r="D649" t="s">
        <v>538</v>
      </c>
      <c r="E649" t="s">
        <v>539</v>
      </c>
      <c r="F649" t="s">
        <v>540</v>
      </c>
      <c r="G649" t="s">
        <v>541</v>
      </c>
      <c r="H649" t="s">
        <v>542</v>
      </c>
      <c r="I649" t="s">
        <v>543</v>
      </c>
      <c r="J649" t="s">
        <v>121</v>
      </c>
    </row>
    <row r="650" spans="1:10" x14ac:dyDescent="0.35">
      <c r="A650">
        <v>10</v>
      </c>
      <c r="B650" t="s">
        <v>544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 t="s">
        <v>428</v>
      </c>
    </row>
    <row r="651" spans="1:10" x14ac:dyDescent="0.35">
      <c r="A651">
        <v>20</v>
      </c>
      <c r="B651" t="s">
        <v>194</v>
      </c>
      <c r="C651">
        <v>1796690.6</v>
      </c>
      <c r="D651">
        <v>0</v>
      </c>
      <c r="E651">
        <v>1796690.6</v>
      </c>
      <c r="F651">
        <v>-1520964.35</v>
      </c>
      <c r="G651">
        <v>-1520964.35</v>
      </c>
      <c r="H651">
        <v>3317654.95</v>
      </c>
      <c r="I651">
        <v>3317654.95</v>
      </c>
      <c r="J651" t="s">
        <v>428</v>
      </c>
    </row>
    <row r="652" spans="1:10" x14ac:dyDescent="0.35">
      <c r="A652">
        <v>30</v>
      </c>
      <c r="B652" t="s">
        <v>195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 t="s">
        <v>428</v>
      </c>
    </row>
    <row r="653" spans="1:10" x14ac:dyDescent="0.35">
      <c r="A653">
        <v>40</v>
      </c>
      <c r="B653" t="s">
        <v>196</v>
      </c>
      <c r="C653">
        <v>24105.55</v>
      </c>
      <c r="D653">
        <v>0</v>
      </c>
      <c r="E653">
        <v>24105.55</v>
      </c>
      <c r="F653">
        <v>0</v>
      </c>
      <c r="G653">
        <v>0</v>
      </c>
      <c r="H653">
        <v>24105.55</v>
      </c>
      <c r="I653">
        <v>24105.55</v>
      </c>
      <c r="J653" t="s">
        <v>428</v>
      </c>
    </row>
    <row r="654" spans="1:10" x14ac:dyDescent="0.35">
      <c r="A654">
        <v>50</v>
      </c>
      <c r="B654" t="s">
        <v>197</v>
      </c>
      <c r="C654">
        <v>177317515.81</v>
      </c>
      <c r="D654">
        <v>0</v>
      </c>
      <c r="E654">
        <v>177317515.81</v>
      </c>
      <c r="F654">
        <v>75100491</v>
      </c>
      <c r="G654">
        <v>75100491</v>
      </c>
      <c r="H654">
        <v>102217024.81</v>
      </c>
      <c r="I654">
        <v>102217024.81</v>
      </c>
      <c r="J654" t="s">
        <v>428</v>
      </c>
    </row>
    <row r="655" spans="1:10" x14ac:dyDescent="0.35">
      <c r="A655">
        <v>60</v>
      </c>
      <c r="B655" t="s">
        <v>198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 t="s">
        <v>428</v>
      </c>
    </row>
    <row r="656" spans="1:10" x14ac:dyDescent="0.35">
      <c r="A656">
        <v>70</v>
      </c>
      <c r="B656" t="s">
        <v>199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 t="s">
        <v>428</v>
      </c>
    </row>
    <row r="657" spans="1:10" x14ac:dyDescent="0.35">
      <c r="A657">
        <v>80</v>
      </c>
      <c r="B657" t="s">
        <v>559</v>
      </c>
      <c r="C657">
        <v>10039842.640000001</v>
      </c>
      <c r="D657">
        <v>0</v>
      </c>
      <c r="E657">
        <v>10039842.640000001</v>
      </c>
      <c r="F657">
        <v>15252</v>
      </c>
      <c r="G657">
        <v>15252</v>
      </c>
      <c r="H657">
        <v>10024590.640000001</v>
      </c>
      <c r="I657">
        <v>10024590.640000001</v>
      </c>
      <c r="J657" t="s">
        <v>428</v>
      </c>
    </row>
    <row r="658" spans="1:10" x14ac:dyDescent="0.35">
      <c r="A658">
        <v>100</v>
      </c>
      <c r="B658" t="s">
        <v>546</v>
      </c>
      <c r="C658">
        <v>189178154.59999999</v>
      </c>
      <c r="D658">
        <v>0</v>
      </c>
      <c r="E658">
        <v>189178154.59999999</v>
      </c>
      <c r="F658">
        <v>73594778.650000006</v>
      </c>
      <c r="G658">
        <v>73594778.650000006</v>
      </c>
      <c r="H658">
        <v>115583375.95</v>
      </c>
      <c r="I658">
        <v>115583375.95</v>
      </c>
      <c r="J658" t="s">
        <v>428</v>
      </c>
    </row>
    <row r="659" spans="1:10" x14ac:dyDescent="0.35">
      <c r="A659">
        <v>110</v>
      </c>
      <c r="B659" t="s">
        <v>547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 t="s">
        <v>428</v>
      </c>
    </row>
    <row r="660" spans="1:10" x14ac:dyDescent="0.35">
      <c r="A660">
        <v>120</v>
      </c>
      <c r="B660" t="s">
        <v>203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 t="s">
        <v>428</v>
      </c>
    </row>
    <row r="661" spans="1:10" x14ac:dyDescent="0.35">
      <c r="A661">
        <v>130</v>
      </c>
      <c r="B661" t="s">
        <v>204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 t="s">
        <v>428</v>
      </c>
    </row>
    <row r="662" spans="1:10" x14ac:dyDescent="0.35">
      <c r="A662">
        <v>140</v>
      </c>
      <c r="B662" t="s">
        <v>205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 t="s">
        <v>428</v>
      </c>
    </row>
    <row r="663" spans="1:10" x14ac:dyDescent="0.35">
      <c r="A663">
        <v>150</v>
      </c>
      <c r="B663" t="s">
        <v>206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 t="s">
        <v>428</v>
      </c>
    </row>
    <row r="664" spans="1:10" x14ac:dyDescent="0.35">
      <c r="A664">
        <v>160</v>
      </c>
      <c r="B664" t="s">
        <v>207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 t="s">
        <v>428</v>
      </c>
    </row>
    <row r="665" spans="1:10" x14ac:dyDescent="0.35">
      <c r="A665">
        <v>170</v>
      </c>
      <c r="B665" t="s">
        <v>208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 t="s">
        <v>428</v>
      </c>
    </row>
    <row r="666" spans="1:10" x14ac:dyDescent="0.35">
      <c r="A666">
        <v>180</v>
      </c>
      <c r="B666" t="s">
        <v>209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 t="s">
        <v>428</v>
      </c>
    </row>
    <row r="667" spans="1:10" x14ac:dyDescent="0.35">
      <c r="A667">
        <v>190</v>
      </c>
      <c r="B667" t="s">
        <v>210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 t="s">
        <v>428</v>
      </c>
    </row>
    <row r="668" spans="1:10" x14ac:dyDescent="0.35">
      <c r="A668">
        <v>200</v>
      </c>
      <c r="B668" t="s">
        <v>211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 t="s">
        <v>428</v>
      </c>
    </row>
    <row r="669" spans="1:10" x14ac:dyDescent="0.35">
      <c r="A669">
        <v>210</v>
      </c>
      <c r="B669" t="s">
        <v>548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 t="s">
        <v>428</v>
      </c>
    </row>
    <row r="670" spans="1:10" x14ac:dyDescent="0.35">
      <c r="A670">
        <v>220</v>
      </c>
      <c r="B670" t="s">
        <v>213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 t="s">
        <v>428</v>
      </c>
    </row>
    <row r="671" spans="1:10" x14ac:dyDescent="0.35">
      <c r="A671">
        <v>230</v>
      </c>
      <c r="B671" t="s">
        <v>214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 t="s">
        <v>428</v>
      </c>
    </row>
    <row r="672" spans="1:10" x14ac:dyDescent="0.35">
      <c r="A672">
        <v>240</v>
      </c>
      <c r="B672" t="s">
        <v>215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 t="s">
        <v>428</v>
      </c>
    </row>
    <row r="673" spans="1:10" x14ac:dyDescent="0.35">
      <c r="A673">
        <v>250</v>
      </c>
      <c r="B673" t="s">
        <v>216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 t="s">
        <v>428</v>
      </c>
    </row>
    <row r="674" spans="1:10" x14ac:dyDescent="0.35">
      <c r="A674">
        <v>260</v>
      </c>
      <c r="B674" t="s">
        <v>217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 t="s">
        <v>428</v>
      </c>
    </row>
    <row r="675" spans="1:10" x14ac:dyDescent="0.35">
      <c r="A675">
        <v>270</v>
      </c>
      <c r="B675" t="s">
        <v>218</v>
      </c>
      <c r="C675">
        <v>258456731.59999999</v>
      </c>
      <c r="D675">
        <v>0</v>
      </c>
      <c r="E675">
        <v>258456731.59999999</v>
      </c>
      <c r="F675">
        <v>0</v>
      </c>
      <c r="G675">
        <v>0</v>
      </c>
      <c r="H675">
        <v>258456731.59999999</v>
      </c>
      <c r="I675">
        <v>258456731.59999999</v>
      </c>
      <c r="J675" t="s">
        <v>428</v>
      </c>
    </row>
    <row r="676" spans="1:10" x14ac:dyDescent="0.35">
      <c r="A676">
        <v>280</v>
      </c>
      <c r="B676" t="s">
        <v>549</v>
      </c>
      <c r="C676">
        <v>258456731.59999999</v>
      </c>
      <c r="D676">
        <v>0</v>
      </c>
      <c r="E676">
        <v>258456731.59999999</v>
      </c>
      <c r="F676">
        <v>0</v>
      </c>
      <c r="G676">
        <v>0</v>
      </c>
      <c r="H676">
        <v>258456731.59999999</v>
      </c>
      <c r="I676">
        <v>258456731.59999999</v>
      </c>
      <c r="J676" t="s">
        <v>428</v>
      </c>
    </row>
    <row r="677" spans="1:10" x14ac:dyDescent="0.35">
      <c r="A677">
        <v>400</v>
      </c>
      <c r="B677" t="s">
        <v>220</v>
      </c>
      <c r="C677">
        <v>447634886.19999999</v>
      </c>
      <c r="D677">
        <v>0</v>
      </c>
      <c r="E677">
        <v>447634886.19999999</v>
      </c>
      <c r="F677">
        <v>73594778.650000006</v>
      </c>
      <c r="G677">
        <v>73594778.650000006</v>
      </c>
      <c r="H677">
        <v>374040107.55000001</v>
      </c>
      <c r="I677">
        <v>374040107.55000001</v>
      </c>
      <c r="J677" t="s">
        <v>428</v>
      </c>
    </row>
    <row r="678" spans="1:10" x14ac:dyDescent="0.35">
      <c r="A678">
        <v>410</v>
      </c>
      <c r="B678" t="s">
        <v>550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 t="s">
        <v>428</v>
      </c>
    </row>
    <row r="679" spans="1:10" x14ac:dyDescent="0.35">
      <c r="A679">
        <v>420</v>
      </c>
      <c r="B679" t="s">
        <v>222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 t="s">
        <v>428</v>
      </c>
    </row>
    <row r="680" spans="1:10" x14ac:dyDescent="0.35">
      <c r="A680">
        <v>430</v>
      </c>
      <c r="B680" t="s">
        <v>223</v>
      </c>
      <c r="C680">
        <v>171144561.47999999</v>
      </c>
      <c r="D680">
        <v>0</v>
      </c>
      <c r="E680">
        <v>171144561.47999999</v>
      </c>
      <c r="F680">
        <v>74036400</v>
      </c>
      <c r="G680">
        <v>74036400</v>
      </c>
      <c r="H680">
        <v>97108161.480000004</v>
      </c>
      <c r="I680">
        <v>97108161.480000004</v>
      </c>
      <c r="J680" t="s">
        <v>428</v>
      </c>
    </row>
    <row r="681" spans="1:10" x14ac:dyDescent="0.35">
      <c r="A681">
        <v>440</v>
      </c>
      <c r="B681" t="s">
        <v>224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 t="s">
        <v>428</v>
      </c>
    </row>
    <row r="682" spans="1:10" x14ac:dyDescent="0.35">
      <c r="A682">
        <v>450</v>
      </c>
      <c r="B682" t="s">
        <v>225</v>
      </c>
      <c r="C682">
        <v>933.18</v>
      </c>
      <c r="D682">
        <v>0</v>
      </c>
      <c r="E682">
        <v>933.18</v>
      </c>
      <c r="F682">
        <v>-1156.3499999999999</v>
      </c>
      <c r="G682">
        <v>-1156.3499999999999</v>
      </c>
      <c r="H682">
        <v>2089.5300000000002</v>
      </c>
      <c r="I682">
        <v>2089.5300000000002</v>
      </c>
      <c r="J682" t="s">
        <v>428</v>
      </c>
    </row>
    <row r="683" spans="1:10" x14ac:dyDescent="0.35">
      <c r="A683">
        <v>460</v>
      </c>
      <c r="B683" t="s">
        <v>552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 t="s">
        <v>428</v>
      </c>
    </row>
    <row r="684" spans="1:10" x14ac:dyDescent="0.35">
      <c r="A684">
        <v>500</v>
      </c>
      <c r="B684" t="s">
        <v>227</v>
      </c>
      <c r="C684">
        <v>171145494.66</v>
      </c>
      <c r="D684">
        <v>0</v>
      </c>
      <c r="E684">
        <v>171145494.66</v>
      </c>
      <c r="F684">
        <v>74035243.650000006</v>
      </c>
      <c r="G684">
        <v>74035243.650000006</v>
      </c>
      <c r="H684">
        <v>97110251.010000005</v>
      </c>
      <c r="I684">
        <v>97110251.010000005</v>
      </c>
      <c r="J684" t="s">
        <v>428</v>
      </c>
    </row>
    <row r="685" spans="1:10" x14ac:dyDescent="0.35">
      <c r="A685">
        <v>510</v>
      </c>
      <c r="B685" t="s">
        <v>553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 t="s">
        <v>428</v>
      </c>
    </row>
    <row r="686" spans="1:10" x14ac:dyDescent="0.35">
      <c r="A686">
        <v>520</v>
      </c>
      <c r="B686" t="s">
        <v>229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 t="s">
        <v>428</v>
      </c>
    </row>
    <row r="687" spans="1:10" x14ac:dyDescent="0.35">
      <c r="A687">
        <v>530</v>
      </c>
      <c r="B687" t="s">
        <v>230</v>
      </c>
      <c r="C687">
        <v>20439972.98</v>
      </c>
      <c r="D687">
        <v>0</v>
      </c>
      <c r="E687">
        <v>20439972.98</v>
      </c>
      <c r="F687">
        <v>-7660.54</v>
      </c>
      <c r="G687">
        <v>-7660.54</v>
      </c>
      <c r="H687">
        <v>20447633.52</v>
      </c>
      <c r="I687">
        <v>20447633.52</v>
      </c>
      <c r="J687" t="s">
        <v>428</v>
      </c>
    </row>
    <row r="688" spans="1:10" x14ac:dyDescent="0.35">
      <c r="A688">
        <v>540</v>
      </c>
      <c r="B688" t="s">
        <v>231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 t="s">
        <v>428</v>
      </c>
    </row>
    <row r="689" spans="1:10" x14ac:dyDescent="0.35">
      <c r="A689">
        <v>600</v>
      </c>
      <c r="B689" t="s">
        <v>232</v>
      </c>
      <c r="C689">
        <v>20439972.98</v>
      </c>
      <c r="D689">
        <v>0</v>
      </c>
      <c r="E689">
        <v>20439972.98</v>
      </c>
      <c r="F689">
        <v>-7660.54</v>
      </c>
      <c r="G689">
        <v>-7660.54</v>
      </c>
      <c r="H689">
        <v>20447633.52</v>
      </c>
      <c r="I689">
        <v>20447633.52</v>
      </c>
      <c r="J689" t="s">
        <v>428</v>
      </c>
    </row>
    <row r="690" spans="1:10" x14ac:dyDescent="0.35">
      <c r="A690">
        <v>610</v>
      </c>
      <c r="B690" t="s">
        <v>555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 t="s">
        <v>428</v>
      </c>
    </row>
    <row r="691" spans="1:10" x14ac:dyDescent="0.35">
      <c r="A691">
        <v>620</v>
      </c>
      <c r="B691" t="s">
        <v>234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 t="s">
        <v>428</v>
      </c>
    </row>
    <row r="692" spans="1:10" x14ac:dyDescent="0.35">
      <c r="A692">
        <v>700</v>
      </c>
      <c r="B692" t="s">
        <v>556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 t="s">
        <v>428</v>
      </c>
    </row>
    <row r="693" spans="1:10" x14ac:dyDescent="0.35">
      <c r="A693">
        <v>710</v>
      </c>
      <c r="B693" t="s">
        <v>557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 t="s">
        <v>428</v>
      </c>
    </row>
    <row r="694" spans="1:10" x14ac:dyDescent="0.35">
      <c r="A694">
        <v>720</v>
      </c>
      <c r="B694" t="s">
        <v>237</v>
      </c>
      <c r="C694">
        <v>7171091.3099999996</v>
      </c>
      <c r="D694">
        <v>0</v>
      </c>
      <c r="E694">
        <v>7171091.3099999996</v>
      </c>
      <c r="F694">
        <v>0</v>
      </c>
      <c r="G694">
        <v>0</v>
      </c>
      <c r="H694">
        <v>7171091.3099999996</v>
      </c>
      <c r="I694">
        <v>7171091.3099999996</v>
      </c>
      <c r="J694" t="s">
        <v>428</v>
      </c>
    </row>
    <row r="695" spans="1:10" x14ac:dyDescent="0.35">
      <c r="A695">
        <v>730</v>
      </c>
      <c r="B695" t="s">
        <v>238</v>
      </c>
      <c r="C695">
        <v>246354.02</v>
      </c>
      <c r="D695">
        <v>0</v>
      </c>
      <c r="E695">
        <v>246354.02</v>
      </c>
      <c r="F695">
        <v>0</v>
      </c>
      <c r="G695">
        <v>0</v>
      </c>
      <c r="H695">
        <v>246354.02</v>
      </c>
      <c r="I695">
        <v>246354.02</v>
      </c>
      <c r="J695" t="s">
        <v>428</v>
      </c>
    </row>
    <row r="696" spans="1:10" x14ac:dyDescent="0.35">
      <c r="A696">
        <v>740</v>
      </c>
      <c r="B696" t="s">
        <v>239</v>
      </c>
      <c r="C696">
        <v>249064777.69</v>
      </c>
      <c r="D696">
        <v>0</v>
      </c>
      <c r="E696">
        <v>249064777.69</v>
      </c>
      <c r="F696">
        <v>0</v>
      </c>
      <c r="G696">
        <v>0</v>
      </c>
      <c r="H696">
        <v>197293766.31999999</v>
      </c>
      <c r="I696">
        <v>249064777.69</v>
      </c>
      <c r="J696" t="s">
        <v>428</v>
      </c>
    </row>
    <row r="697" spans="1:10" x14ac:dyDescent="0.35">
      <c r="A697">
        <v>750</v>
      </c>
      <c r="B697" t="s">
        <v>240</v>
      </c>
      <c r="C697">
        <v>-432804.46</v>
      </c>
      <c r="D697">
        <v>0</v>
      </c>
      <c r="E697">
        <v>-432804.46</v>
      </c>
      <c r="F697">
        <v>-432804.46</v>
      </c>
      <c r="G697">
        <v>-432804.46</v>
      </c>
      <c r="H697">
        <v>51771011.369999997</v>
      </c>
      <c r="I697">
        <v>0</v>
      </c>
      <c r="J697" t="s">
        <v>428</v>
      </c>
    </row>
    <row r="698" spans="1:10" x14ac:dyDescent="0.35">
      <c r="A698">
        <v>760</v>
      </c>
      <c r="B698" t="s">
        <v>241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 t="s">
        <v>428</v>
      </c>
    </row>
    <row r="699" spans="1:10" x14ac:dyDescent="0.35">
      <c r="A699">
        <v>770</v>
      </c>
      <c r="B699" t="s">
        <v>242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 t="s">
        <v>428</v>
      </c>
    </row>
    <row r="700" spans="1:10" x14ac:dyDescent="0.35">
      <c r="A700">
        <v>800</v>
      </c>
      <c r="B700" t="s">
        <v>243</v>
      </c>
      <c r="C700">
        <v>256049418.56</v>
      </c>
      <c r="D700">
        <v>0</v>
      </c>
      <c r="E700">
        <v>256049418.56</v>
      </c>
      <c r="F700">
        <v>-432804.46</v>
      </c>
      <c r="G700">
        <v>-432804.46</v>
      </c>
      <c r="H700">
        <v>256482223.02000001</v>
      </c>
      <c r="I700">
        <v>256482223.02000001</v>
      </c>
      <c r="J700" t="s">
        <v>428</v>
      </c>
    </row>
    <row r="701" spans="1:10" x14ac:dyDescent="0.35">
      <c r="A701">
        <v>900</v>
      </c>
      <c r="B701" t="s">
        <v>244</v>
      </c>
      <c r="C701">
        <v>447634886.19999999</v>
      </c>
      <c r="D701">
        <v>0</v>
      </c>
      <c r="E701">
        <v>447634886.19999999</v>
      </c>
      <c r="F701">
        <v>73594778.650000006</v>
      </c>
      <c r="G701">
        <v>73594778.650000006</v>
      </c>
      <c r="H701">
        <v>374040107.55000001</v>
      </c>
      <c r="I701">
        <v>374040107.55000001</v>
      </c>
      <c r="J701" t="s">
        <v>428</v>
      </c>
    </row>
    <row r="702" spans="1:10" x14ac:dyDescent="0.35">
      <c r="A702">
        <v>1000</v>
      </c>
      <c r="B702" t="s">
        <v>558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 t="s">
        <v>428</v>
      </c>
    </row>
    <row r="703" spans="1:10" x14ac:dyDescent="0.35">
      <c r="A703" t="s">
        <v>492</v>
      </c>
      <c r="B703" t="s">
        <v>416</v>
      </c>
      <c r="C703" t="s">
        <v>537</v>
      </c>
      <c r="D703" t="s">
        <v>538</v>
      </c>
      <c r="E703" t="s">
        <v>539</v>
      </c>
      <c r="F703" t="s">
        <v>540</v>
      </c>
      <c r="G703" t="s">
        <v>541</v>
      </c>
      <c r="H703" t="s">
        <v>542</v>
      </c>
      <c r="I703" t="s">
        <v>543</v>
      </c>
      <c r="J703" t="s">
        <v>121</v>
      </c>
    </row>
    <row r="704" spans="1:10" x14ac:dyDescent="0.35">
      <c r="A704">
        <v>10</v>
      </c>
      <c r="B704" t="s">
        <v>544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 t="s">
        <v>428</v>
      </c>
    </row>
    <row r="705" spans="1:10" x14ac:dyDescent="0.35">
      <c r="A705">
        <v>20</v>
      </c>
      <c r="B705" t="s">
        <v>194</v>
      </c>
      <c r="C705">
        <v>6936333.9000000004</v>
      </c>
      <c r="D705">
        <v>0</v>
      </c>
      <c r="E705">
        <v>6936333.9000000004</v>
      </c>
      <c r="F705">
        <v>-915426.36</v>
      </c>
      <c r="G705">
        <v>-915426.36</v>
      </c>
      <c r="H705">
        <v>7851760.2599999998</v>
      </c>
      <c r="I705">
        <v>7851760.2599999998</v>
      </c>
      <c r="J705" t="s">
        <v>428</v>
      </c>
    </row>
    <row r="706" spans="1:10" x14ac:dyDescent="0.35">
      <c r="A706">
        <v>30</v>
      </c>
      <c r="B706" t="s">
        <v>195</v>
      </c>
      <c r="C706">
        <v>-6486.01</v>
      </c>
      <c r="D706">
        <v>0</v>
      </c>
      <c r="E706">
        <v>-6486.01</v>
      </c>
      <c r="F706">
        <v>0</v>
      </c>
      <c r="G706">
        <v>0</v>
      </c>
      <c r="H706">
        <v>-6486.01</v>
      </c>
      <c r="I706">
        <v>-6486.01</v>
      </c>
      <c r="J706" t="s">
        <v>428</v>
      </c>
    </row>
    <row r="707" spans="1:10" x14ac:dyDescent="0.35">
      <c r="A707">
        <v>40</v>
      </c>
      <c r="B707" t="s">
        <v>196</v>
      </c>
      <c r="C707">
        <v>8057356.1900000004</v>
      </c>
      <c r="D707">
        <v>0</v>
      </c>
      <c r="E707">
        <v>8057356.1900000004</v>
      </c>
      <c r="F707">
        <v>2247222.84</v>
      </c>
      <c r="G707">
        <v>2247222.84</v>
      </c>
      <c r="H707">
        <v>5810133.3499999996</v>
      </c>
      <c r="I707">
        <v>5810133.3499999996</v>
      </c>
      <c r="J707" t="s">
        <v>428</v>
      </c>
    </row>
    <row r="708" spans="1:10" x14ac:dyDescent="0.35">
      <c r="A708">
        <v>50</v>
      </c>
      <c r="B708" t="s">
        <v>197</v>
      </c>
      <c r="C708">
        <v>25060434.359999999</v>
      </c>
      <c r="D708">
        <v>0</v>
      </c>
      <c r="E708">
        <v>25060434.359999999</v>
      </c>
      <c r="F708">
        <v>14840146.76</v>
      </c>
      <c r="G708">
        <v>14840146.76</v>
      </c>
      <c r="H708">
        <v>10220287.6</v>
      </c>
      <c r="I708">
        <v>10220287.6</v>
      </c>
      <c r="J708" t="s">
        <v>428</v>
      </c>
    </row>
    <row r="709" spans="1:10" x14ac:dyDescent="0.35">
      <c r="A709">
        <v>60</v>
      </c>
      <c r="B709" t="s">
        <v>198</v>
      </c>
      <c r="C709">
        <v>5056318.6100000003</v>
      </c>
      <c r="D709">
        <v>0</v>
      </c>
      <c r="E709">
        <v>5056318.6100000003</v>
      </c>
      <c r="F709">
        <v>1126495.51</v>
      </c>
      <c r="G709">
        <v>1126495.51</v>
      </c>
      <c r="H709">
        <v>3929823.1</v>
      </c>
      <c r="I709">
        <v>3929823.1</v>
      </c>
      <c r="J709" t="s">
        <v>428</v>
      </c>
    </row>
    <row r="710" spans="1:10" x14ac:dyDescent="0.35">
      <c r="A710">
        <v>70</v>
      </c>
      <c r="B710" t="s">
        <v>199</v>
      </c>
      <c r="C710">
        <v>2650039.14</v>
      </c>
      <c r="D710">
        <v>0</v>
      </c>
      <c r="E710">
        <v>2650039.14</v>
      </c>
      <c r="F710">
        <v>0.22</v>
      </c>
      <c r="G710">
        <v>0.22</v>
      </c>
      <c r="H710">
        <v>2650038.92</v>
      </c>
      <c r="I710">
        <v>2650038.92</v>
      </c>
      <c r="J710" t="s">
        <v>428</v>
      </c>
    </row>
    <row r="711" spans="1:10" x14ac:dyDescent="0.35">
      <c r="A711">
        <v>80</v>
      </c>
      <c r="B711" t="s">
        <v>559</v>
      </c>
      <c r="C711">
        <v>4416002.29</v>
      </c>
      <c r="D711">
        <v>0</v>
      </c>
      <c r="E711">
        <v>4416002.29</v>
      </c>
      <c r="F711">
        <v>1269896.33</v>
      </c>
      <c r="G711">
        <v>1269896.33</v>
      </c>
      <c r="H711">
        <v>3146105.96</v>
      </c>
      <c r="I711">
        <v>3146105.96</v>
      </c>
      <c r="J711" t="s">
        <v>428</v>
      </c>
    </row>
    <row r="712" spans="1:10" x14ac:dyDescent="0.35">
      <c r="A712">
        <v>100</v>
      </c>
      <c r="B712" t="s">
        <v>546</v>
      </c>
      <c r="C712">
        <v>52169998.479999997</v>
      </c>
      <c r="D712">
        <v>0</v>
      </c>
      <c r="E712">
        <v>52169998.479999997</v>
      </c>
      <c r="F712">
        <v>18568335.300000001</v>
      </c>
      <c r="G712">
        <v>18568335.300000001</v>
      </c>
      <c r="H712">
        <v>33601663.18</v>
      </c>
      <c r="I712">
        <v>33601663.18</v>
      </c>
      <c r="J712" t="s">
        <v>428</v>
      </c>
    </row>
    <row r="713" spans="1:10" x14ac:dyDescent="0.35">
      <c r="A713">
        <v>110</v>
      </c>
      <c r="B713" t="s">
        <v>547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 t="s">
        <v>428</v>
      </c>
    </row>
    <row r="714" spans="1:10" x14ac:dyDescent="0.35">
      <c r="A714">
        <v>120</v>
      </c>
      <c r="B714" t="s">
        <v>203</v>
      </c>
      <c r="C714">
        <v>130000</v>
      </c>
      <c r="D714">
        <v>0</v>
      </c>
      <c r="E714">
        <v>130000</v>
      </c>
      <c r="F714">
        <v>0</v>
      </c>
      <c r="G714">
        <v>0</v>
      </c>
      <c r="H714">
        <v>130000</v>
      </c>
      <c r="I714">
        <v>130000</v>
      </c>
      <c r="J714" t="s">
        <v>428</v>
      </c>
    </row>
    <row r="715" spans="1:10" x14ac:dyDescent="0.35">
      <c r="A715">
        <v>130</v>
      </c>
      <c r="B715" t="s">
        <v>204</v>
      </c>
      <c r="C715">
        <v>2923189.53</v>
      </c>
      <c r="D715">
        <v>0</v>
      </c>
      <c r="E715">
        <v>2923189.53</v>
      </c>
      <c r="F715">
        <v>0</v>
      </c>
      <c r="G715">
        <v>0</v>
      </c>
      <c r="H715">
        <v>2923189.53</v>
      </c>
      <c r="I715">
        <v>2923189.53</v>
      </c>
      <c r="J715" t="s">
        <v>428</v>
      </c>
    </row>
    <row r="716" spans="1:10" x14ac:dyDescent="0.35">
      <c r="A716">
        <v>140</v>
      </c>
      <c r="B716" t="s">
        <v>205</v>
      </c>
      <c r="C716">
        <v>2034834.82</v>
      </c>
      <c r="D716">
        <v>0</v>
      </c>
      <c r="E716">
        <v>2034834.82</v>
      </c>
      <c r="F716">
        <v>0</v>
      </c>
      <c r="G716">
        <v>0</v>
      </c>
      <c r="H716">
        <v>2034834.82</v>
      </c>
      <c r="I716">
        <v>2034834.82</v>
      </c>
      <c r="J716" t="s">
        <v>428</v>
      </c>
    </row>
    <row r="717" spans="1:10" x14ac:dyDescent="0.35">
      <c r="A717">
        <v>150</v>
      </c>
      <c r="B717" t="s">
        <v>206</v>
      </c>
      <c r="C717">
        <v>3315994.52</v>
      </c>
      <c r="D717">
        <v>0</v>
      </c>
      <c r="E717">
        <v>3315994.52</v>
      </c>
      <c r="F717">
        <v>0</v>
      </c>
      <c r="G717">
        <v>0</v>
      </c>
      <c r="H717">
        <v>3315994.52</v>
      </c>
      <c r="I717">
        <v>3315994.52</v>
      </c>
      <c r="J717" t="s">
        <v>428</v>
      </c>
    </row>
    <row r="718" spans="1:10" x14ac:dyDescent="0.35">
      <c r="A718">
        <v>160</v>
      </c>
      <c r="B718" t="s">
        <v>207</v>
      </c>
      <c r="C718">
        <v>39133840.130000003</v>
      </c>
      <c r="D718">
        <v>0</v>
      </c>
      <c r="E718">
        <v>39133840.130000003</v>
      </c>
      <c r="F718">
        <v>0</v>
      </c>
      <c r="G718">
        <v>0</v>
      </c>
      <c r="H718">
        <v>39133840.130000003</v>
      </c>
      <c r="I718">
        <v>39133840.130000003</v>
      </c>
      <c r="J718" t="s">
        <v>428</v>
      </c>
    </row>
    <row r="719" spans="1:10" x14ac:dyDescent="0.35">
      <c r="A719">
        <v>170</v>
      </c>
      <c r="B719" t="s">
        <v>208</v>
      </c>
      <c r="C719">
        <v>49402596.140000001</v>
      </c>
      <c r="D719">
        <v>0</v>
      </c>
      <c r="E719">
        <v>49402596.140000001</v>
      </c>
      <c r="F719">
        <v>438124.34</v>
      </c>
      <c r="G719">
        <v>438124.34</v>
      </c>
      <c r="H719">
        <v>48964471.799999997</v>
      </c>
      <c r="I719">
        <v>48964471.799999997</v>
      </c>
      <c r="J719" t="s">
        <v>428</v>
      </c>
    </row>
    <row r="720" spans="1:10" x14ac:dyDescent="0.35">
      <c r="A720">
        <v>180</v>
      </c>
      <c r="B720" t="s">
        <v>209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 t="s">
        <v>428</v>
      </c>
    </row>
    <row r="721" spans="1:10" x14ac:dyDescent="0.35">
      <c r="A721">
        <v>190</v>
      </c>
      <c r="B721" t="s">
        <v>210</v>
      </c>
      <c r="C721">
        <v>-52733127.539999999</v>
      </c>
      <c r="D721">
        <v>0</v>
      </c>
      <c r="E721">
        <v>-52733127.539999999</v>
      </c>
      <c r="F721">
        <v>-355150.84</v>
      </c>
      <c r="G721">
        <v>-355150.84</v>
      </c>
      <c r="H721">
        <v>-52377976.700000003</v>
      </c>
      <c r="I721">
        <v>-52377976.700000003</v>
      </c>
      <c r="J721" t="s">
        <v>428</v>
      </c>
    </row>
    <row r="722" spans="1:10" x14ac:dyDescent="0.35">
      <c r="A722">
        <v>200</v>
      </c>
      <c r="B722" t="s">
        <v>211</v>
      </c>
      <c r="C722">
        <v>44207327.600000001</v>
      </c>
      <c r="D722">
        <v>0</v>
      </c>
      <c r="E722">
        <v>44207327.600000001</v>
      </c>
      <c r="F722">
        <v>82973.5</v>
      </c>
      <c r="G722">
        <v>82973.5</v>
      </c>
      <c r="H722">
        <v>44124354.100000001</v>
      </c>
      <c r="I722">
        <v>44124354.100000001</v>
      </c>
      <c r="J722" t="s">
        <v>428</v>
      </c>
    </row>
    <row r="723" spans="1:10" x14ac:dyDescent="0.35">
      <c r="A723">
        <v>210</v>
      </c>
      <c r="B723" t="s">
        <v>548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 t="s">
        <v>428</v>
      </c>
    </row>
    <row r="724" spans="1:10" x14ac:dyDescent="0.35">
      <c r="A724">
        <v>220</v>
      </c>
      <c r="B724" t="s">
        <v>213</v>
      </c>
      <c r="C724">
        <v>42273</v>
      </c>
      <c r="D724">
        <v>0</v>
      </c>
      <c r="E724">
        <v>42273</v>
      </c>
      <c r="F724">
        <v>0</v>
      </c>
      <c r="G724">
        <v>0</v>
      </c>
      <c r="H724">
        <v>42273</v>
      </c>
      <c r="I724">
        <v>42273</v>
      </c>
      <c r="J724" t="s">
        <v>428</v>
      </c>
    </row>
    <row r="725" spans="1:10" x14ac:dyDescent="0.35">
      <c r="A725">
        <v>230</v>
      </c>
      <c r="B725" t="s">
        <v>214</v>
      </c>
      <c r="C725">
        <v>84775.27</v>
      </c>
      <c r="D725">
        <v>0</v>
      </c>
      <c r="E725">
        <v>84775.27</v>
      </c>
      <c r="F725">
        <v>0</v>
      </c>
      <c r="G725">
        <v>0</v>
      </c>
      <c r="H725">
        <v>84775.27</v>
      </c>
      <c r="I725">
        <v>84775.27</v>
      </c>
      <c r="J725" t="s">
        <v>428</v>
      </c>
    </row>
    <row r="726" spans="1:10" x14ac:dyDescent="0.35">
      <c r="A726">
        <v>240</v>
      </c>
      <c r="B726" t="s">
        <v>215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 t="s">
        <v>428</v>
      </c>
    </row>
    <row r="727" spans="1:10" x14ac:dyDescent="0.35">
      <c r="A727">
        <v>250</v>
      </c>
      <c r="B727" t="s">
        <v>216</v>
      </c>
      <c r="C727">
        <v>127048.27</v>
      </c>
      <c r="D727">
        <v>0</v>
      </c>
      <c r="E727">
        <v>127048.27</v>
      </c>
      <c r="F727">
        <v>0</v>
      </c>
      <c r="G727">
        <v>0</v>
      </c>
      <c r="H727">
        <v>127048.27</v>
      </c>
      <c r="I727">
        <v>127048.27</v>
      </c>
      <c r="J727" t="s">
        <v>428</v>
      </c>
    </row>
    <row r="728" spans="1:10" x14ac:dyDescent="0.35">
      <c r="A728">
        <v>260</v>
      </c>
      <c r="B728" t="s">
        <v>217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 t="s">
        <v>428</v>
      </c>
    </row>
    <row r="729" spans="1:10" x14ac:dyDescent="0.35">
      <c r="A729">
        <v>270</v>
      </c>
      <c r="B729" t="s">
        <v>218</v>
      </c>
      <c r="C729">
        <v>753.09</v>
      </c>
      <c r="D729">
        <v>0</v>
      </c>
      <c r="E729">
        <v>753.09</v>
      </c>
      <c r="F729">
        <v>0</v>
      </c>
      <c r="G729">
        <v>0</v>
      </c>
      <c r="H729">
        <v>753.09</v>
      </c>
      <c r="I729">
        <v>753.09</v>
      </c>
      <c r="J729" t="s">
        <v>428</v>
      </c>
    </row>
    <row r="730" spans="1:10" x14ac:dyDescent="0.35">
      <c r="A730">
        <v>280</v>
      </c>
      <c r="B730" t="s">
        <v>549</v>
      </c>
      <c r="C730">
        <v>753.09</v>
      </c>
      <c r="D730">
        <v>0</v>
      </c>
      <c r="E730">
        <v>753.09</v>
      </c>
      <c r="F730">
        <v>0</v>
      </c>
      <c r="G730">
        <v>0</v>
      </c>
      <c r="H730">
        <v>753.09</v>
      </c>
      <c r="I730">
        <v>753.09</v>
      </c>
      <c r="J730" t="s">
        <v>428</v>
      </c>
    </row>
    <row r="731" spans="1:10" x14ac:dyDescent="0.35">
      <c r="A731">
        <v>400</v>
      </c>
      <c r="B731" t="s">
        <v>220</v>
      </c>
      <c r="C731">
        <v>96505127.439999998</v>
      </c>
      <c r="D731">
        <v>0</v>
      </c>
      <c r="E731">
        <v>96505127.439999998</v>
      </c>
      <c r="F731">
        <v>18651308.800000001</v>
      </c>
      <c r="G731">
        <v>18651308.800000001</v>
      </c>
      <c r="H731">
        <v>77853818.640000001</v>
      </c>
      <c r="I731">
        <v>77853818.640000001</v>
      </c>
      <c r="J731" t="s">
        <v>428</v>
      </c>
    </row>
    <row r="732" spans="1:10" x14ac:dyDescent="0.35">
      <c r="A732">
        <v>410</v>
      </c>
      <c r="B732" t="s">
        <v>550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 t="s">
        <v>428</v>
      </c>
    </row>
    <row r="733" spans="1:10" x14ac:dyDescent="0.35">
      <c r="A733">
        <v>420</v>
      </c>
      <c r="B733" t="s">
        <v>222</v>
      </c>
      <c r="C733">
        <v>19523007.030000001</v>
      </c>
      <c r="D733">
        <v>0</v>
      </c>
      <c r="E733">
        <v>19523007.030000001</v>
      </c>
      <c r="F733">
        <v>7200363.8899999997</v>
      </c>
      <c r="G733">
        <v>7200363.8899999997</v>
      </c>
      <c r="H733">
        <v>12322643.140000001</v>
      </c>
      <c r="I733">
        <v>12322643.140000001</v>
      </c>
      <c r="J733" t="s">
        <v>428</v>
      </c>
    </row>
    <row r="734" spans="1:10" x14ac:dyDescent="0.35">
      <c r="A734">
        <v>430</v>
      </c>
      <c r="B734" t="s">
        <v>223</v>
      </c>
      <c r="C734">
        <v>23298128.379999999</v>
      </c>
      <c r="D734">
        <v>0</v>
      </c>
      <c r="E734">
        <v>23298128.379999999</v>
      </c>
      <c r="F734">
        <v>9424408.6600000001</v>
      </c>
      <c r="G734">
        <v>9424408.6600000001</v>
      </c>
      <c r="H734">
        <v>13873719.720000001</v>
      </c>
      <c r="I734">
        <v>13873719.720000001</v>
      </c>
      <c r="J734" t="s">
        <v>428</v>
      </c>
    </row>
    <row r="735" spans="1:10" x14ac:dyDescent="0.35">
      <c r="A735">
        <v>440</v>
      </c>
      <c r="B735" t="s">
        <v>224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 t="s">
        <v>428</v>
      </c>
    </row>
    <row r="736" spans="1:10" x14ac:dyDescent="0.35">
      <c r="A736">
        <v>450</v>
      </c>
      <c r="B736" t="s">
        <v>225</v>
      </c>
      <c r="C736">
        <v>3243648.21</v>
      </c>
      <c r="D736">
        <v>0</v>
      </c>
      <c r="E736">
        <v>3243648.21</v>
      </c>
      <c r="F736">
        <v>957789.79</v>
      </c>
      <c r="G736">
        <v>957789.79</v>
      </c>
      <c r="H736">
        <v>2285858.42</v>
      </c>
      <c r="I736">
        <v>2285858.42</v>
      </c>
      <c r="J736" t="s">
        <v>428</v>
      </c>
    </row>
    <row r="737" spans="1:10" x14ac:dyDescent="0.35">
      <c r="A737">
        <v>460</v>
      </c>
      <c r="B737" t="s">
        <v>560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 t="s">
        <v>428</v>
      </c>
    </row>
    <row r="738" spans="1:10" x14ac:dyDescent="0.35">
      <c r="A738">
        <v>500</v>
      </c>
      <c r="B738" t="s">
        <v>227</v>
      </c>
      <c r="C738">
        <v>46064783.619999997</v>
      </c>
      <c r="D738">
        <v>0</v>
      </c>
      <c r="E738">
        <v>46064783.619999997</v>
      </c>
      <c r="F738">
        <v>17582562.34</v>
      </c>
      <c r="G738">
        <v>17582562.34</v>
      </c>
      <c r="H738">
        <v>28482221.280000001</v>
      </c>
      <c r="I738">
        <v>28482221.280000001</v>
      </c>
      <c r="J738" t="s">
        <v>428</v>
      </c>
    </row>
    <row r="739" spans="1:10" x14ac:dyDescent="0.35">
      <c r="A739">
        <v>510</v>
      </c>
      <c r="B739" t="s">
        <v>553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 t="s">
        <v>428</v>
      </c>
    </row>
    <row r="740" spans="1:10" x14ac:dyDescent="0.35">
      <c r="A740">
        <v>520</v>
      </c>
      <c r="B740" t="s">
        <v>229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 t="s">
        <v>428</v>
      </c>
    </row>
    <row r="741" spans="1:10" x14ac:dyDescent="0.35">
      <c r="A741">
        <v>530</v>
      </c>
      <c r="B741" t="s">
        <v>230</v>
      </c>
      <c r="C741">
        <v>0.22</v>
      </c>
      <c r="D741">
        <v>0</v>
      </c>
      <c r="E741">
        <v>0.22</v>
      </c>
      <c r="F741">
        <v>0</v>
      </c>
      <c r="G741">
        <v>0</v>
      </c>
      <c r="H741">
        <v>0.22</v>
      </c>
      <c r="I741">
        <v>0.22</v>
      </c>
      <c r="J741" t="s">
        <v>428</v>
      </c>
    </row>
    <row r="742" spans="1:10" x14ac:dyDescent="0.35">
      <c r="A742">
        <v>540</v>
      </c>
      <c r="B742" t="s">
        <v>231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 t="s">
        <v>428</v>
      </c>
    </row>
    <row r="743" spans="1:10" x14ac:dyDescent="0.35">
      <c r="A743">
        <v>600</v>
      </c>
      <c r="B743" t="s">
        <v>232</v>
      </c>
      <c r="C743">
        <v>0.22</v>
      </c>
      <c r="D743">
        <v>0</v>
      </c>
      <c r="E743">
        <v>0.22</v>
      </c>
      <c r="F743">
        <v>0</v>
      </c>
      <c r="G743">
        <v>0</v>
      </c>
      <c r="H743">
        <v>0.22</v>
      </c>
      <c r="I743">
        <v>0.22</v>
      </c>
      <c r="J743" t="s">
        <v>428</v>
      </c>
    </row>
    <row r="744" spans="1:10" x14ac:dyDescent="0.35">
      <c r="A744">
        <v>610</v>
      </c>
      <c r="B744" t="s">
        <v>555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 t="s">
        <v>428</v>
      </c>
    </row>
    <row r="745" spans="1:10" x14ac:dyDescent="0.35">
      <c r="A745">
        <v>620</v>
      </c>
      <c r="B745" t="s">
        <v>234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 t="s">
        <v>428</v>
      </c>
    </row>
    <row r="746" spans="1:10" x14ac:dyDescent="0.35">
      <c r="A746">
        <v>700</v>
      </c>
      <c r="B746" t="s">
        <v>556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 t="s">
        <v>428</v>
      </c>
    </row>
    <row r="747" spans="1:10" x14ac:dyDescent="0.35">
      <c r="A747">
        <v>710</v>
      </c>
      <c r="B747" t="s">
        <v>557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 t="s">
        <v>428</v>
      </c>
    </row>
    <row r="748" spans="1:10" x14ac:dyDescent="0.35">
      <c r="A748">
        <v>720</v>
      </c>
      <c r="B748" t="s">
        <v>237</v>
      </c>
      <c r="C748">
        <v>29312604.52</v>
      </c>
      <c r="D748">
        <v>0</v>
      </c>
      <c r="E748">
        <v>29312604.52</v>
      </c>
      <c r="F748">
        <v>0</v>
      </c>
      <c r="G748">
        <v>0</v>
      </c>
      <c r="H748">
        <v>29312604.52</v>
      </c>
      <c r="I748">
        <v>29312604.52</v>
      </c>
      <c r="J748" t="s">
        <v>428</v>
      </c>
    </row>
    <row r="749" spans="1:10" x14ac:dyDescent="0.35">
      <c r="A749">
        <v>730</v>
      </c>
      <c r="B749" t="s">
        <v>238</v>
      </c>
      <c r="C749">
        <v>7660866.9500000002</v>
      </c>
      <c r="D749">
        <v>0</v>
      </c>
      <c r="E749">
        <v>7660866.9500000002</v>
      </c>
      <c r="F749">
        <v>0</v>
      </c>
      <c r="G749">
        <v>0</v>
      </c>
      <c r="H749">
        <v>7660866.9500000002</v>
      </c>
      <c r="I749">
        <v>7660866.9500000002</v>
      </c>
      <c r="J749" t="s">
        <v>428</v>
      </c>
    </row>
    <row r="750" spans="1:10" x14ac:dyDescent="0.35">
      <c r="A750">
        <v>740</v>
      </c>
      <c r="B750" t="s">
        <v>239</v>
      </c>
      <c r="C750">
        <v>12318052.609999999</v>
      </c>
      <c r="D750">
        <v>0</v>
      </c>
      <c r="E750">
        <v>12318052.609999999</v>
      </c>
      <c r="F750">
        <v>0</v>
      </c>
      <c r="G750">
        <v>0</v>
      </c>
      <c r="H750">
        <v>-1256916.46</v>
      </c>
      <c r="I750">
        <v>12318052.609999999</v>
      </c>
      <c r="J750" t="s">
        <v>428</v>
      </c>
    </row>
    <row r="751" spans="1:10" x14ac:dyDescent="0.35">
      <c r="A751">
        <v>750</v>
      </c>
      <c r="B751" t="s">
        <v>240</v>
      </c>
      <c r="C751">
        <v>1068746.46</v>
      </c>
      <c r="D751">
        <v>3010107</v>
      </c>
      <c r="E751">
        <v>-1941360.54</v>
      </c>
      <c r="F751">
        <v>1068746.46</v>
      </c>
      <c r="G751">
        <v>1068746.46</v>
      </c>
      <c r="H751">
        <v>13574969.07</v>
      </c>
      <c r="I751">
        <v>0</v>
      </c>
      <c r="J751" t="s">
        <v>428</v>
      </c>
    </row>
    <row r="752" spans="1:10" x14ac:dyDescent="0.35">
      <c r="A752">
        <v>760</v>
      </c>
      <c r="B752" t="s">
        <v>241</v>
      </c>
      <c r="C752">
        <v>80073.06</v>
      </c>
      <c r="D752">
        <v>0</v>
      </c>
      <c r="E752">
        <v>80073.06</v>
      </c>
      <c r="F752">
        <v>0</v>
      </c>
      <c r="G752">
        <v>0</v>
      </c>
      <c r="H752">
        <v>80073.06</v>
      </c>
      <c r="I752">
        <v>80073.06</v>
      </c>
      <c r="J752" t="s">
        <v>428</v>
      </c>
    </row>
    <row r="753" spans="1:10" x14ac:dyDescent="0.35">
      <c r="A753">
        <v>770</v>
      </c>
      <c r="B753" t="s">
        <v>242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 t="s">
        <v>428</v>
      </c>
    </row>
    <row r="754" spans="1:10" x14ac:dyDescent="0.35">
      <c r="A754">
        <v>800</v>
      </c>
      <c r="B754" t="s">
        <v>243</v>
      </c>
      <c r="C754">
        <v>50440343.600000001</v>
      </c>
      <c r="D754">
        <v>3010107</v>
      </c>
      <c r="E754">
        <v>47430236.600000001</v>
      </c>
      <c r="F754">
        <v>1068746.46</v>
      </c>
      <c r="G754">
        <v>1068746.46</v>
      </c>
      <c r="H754">
        <v>49371597.140000001</v>
      </c>
      <c r="I754">
        <v>49371597.140000001</v>
      </c>
      <c r="J754" t="s">
        <v>428</v>
      </c>
    </row>
    <row r="755" spans="1:10" x14ac:dyDescent="0.35">
      <c r="A755">
        <v>900</v>
      </c>
      <c r="B755" t="s">
        <v>244</v>
      </c>
      <c r="C755">
        <v>96505127.439999998</v>
      </c>
      <c r="D755">
        <v>3010107</v>
      </c>
      <c r="E755">
        <v>93495020.439999998</v>
      </c>
      <c r="F755">
        <v>18651308.800000001</v>
      </c>
      <c r="G755">
        <v>18651308.800000001</v>
      </c>
      <c r="H755">
        <v>77853818.640000001</v>
      </c>
      <c r="I755">
        <v>77853818.640000001</v>
      </c>
      <c r="J755" t="s">
        <v>428</v>
      </c>
    </row>
    <row r="756" spans="1:10" x14ac:dyDescent="0.35">
      <c r="A756">
        <v>1000</v>
      </c>
      <c r="B756" t="s">
        <v>558</v>
      </c>
      <c r="C756">
        <v>0</v>
      </c>
      <c r="D756">
        <v>-3010107</v>
      </c>
      <c r="E756">
        <v>3010107</v>
      </c>
      <c r="F756">
        <v>0</v>
      </c>
      <c r="G756">
        <v>0</v>
      </c>
      <c r="H756">
        <v>0</v>
      </c>
      <c r="I756">
        <v>0</v>
      </c>
      <c r="J756" t="s">
        <v>428</v>
      </c>
    </row>
    <row r="757" spans="1:10" x14ac:dyDescent="0.35">
      <c r="A757" t="s">
        <v>493</v>
      </c>
      <c r="B757" t="s">
        <v>416</v>
      </c>
      <c r="C757" t="s">
        <v>537</v>
      </c>
      <c r="D757" t="s">
        <v>538</v>
      </c>
      <c r="E757" t="s">
        <v>539</v>
      </c>
      <c r="F757" t="s">
        <v>540</v>
      </c>
      <c r="G757" t="s">
        <v>541</v>
      </c>
      <c r="H757" t="s">
        <v>542</v>
      </c>
      <c r="I757" t="s">
        <v>543</v>
      </c>
      <c r="J757" t="s">
        <v>121</v>
      </c>
    </row>
    <row r="758" spans="1:10" x14ac:dyDescent="0.35">
      <c r="A758">
        <v>10</v>
      </c>
      <c r="B758" t="s">
        <v>544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 t="s">
        <v>428</v>
      </c>
    </row>
    <row r="759" spans="1:10" x14ac:dyDescent="0.35">
      <c r="A759">
        <v>20</v>
      </c>
      <c r="B759" t="s">
        <v>194</v>
      </c>
      <c r="C759">
        <v>4987689.8499999996</v>
      </c>
      <c r="D759">
        <v>0</v>
      </c>
      <c r="E759">
        <v>4987689.8499999996</v>
      </c>
      <c r="F759">
        <v>2393432.62</v>
      </c>
      <c r="G759">
        <v>2393432.62</v>
      </c>
      <c r="H759">
        <v>2594257.23</v>
      </c>
      <c r="I759">
        <v>2594257.23</v>
      </c>
      <c r="J759" t="s">
        <v>428</v>
      </c>
    </row>
    <row r="760" spans="1:10" x14ac:dyDescent="0.35">
      <c r="A760">
        <v>30</v>
      </c>
      <c r="B760" t="s">
        <v>195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 t="s">
        <v>428</v>
      </c>
    </row>
    <row r="761" spans="1:10" x14ac:dyDescent="0.35">
      <c r="A761">
        <v>40</v>
      </c>
      <c r="B761" t="s">
        <v>196</v>
      </c>
      <c r="C761">
        <v>14204342.41</v>
      </c>
      <c r="D761">
        <v>0</v>
      </c>
      <c r="E761">
        <v>14204342.41</v>
      </c>
      <c r="F761">
        <v>134496.49</v>
      </c>
      <c r="G761">
        <v>134496.49</v>
      </c>
      <c r="H761">
        <v>14069845.92</v>
      </c>
      <c r="I761">
        <v>14069845.92</v>
      </c>
      <c r="J761" t="s">
        <v>428</v>
      </c>
    </row>
    <row r="762" spans="1:10" x14ac:dyDescent="0.35">
      <c r="A762">
        <v>50</v>
      </c>
      <c r="B762" t="s">
        <v>197</v>
      </c>
      <c r="C762">
        <v>10438946.59</v>
      </c>
      <c r="D762">
        <v>0</v>
      </c>
      <c r="E762">
        <v>10438946.59</v>
      </c>
      <c r="F762">
        <v>203530.51</v>
      </c>
      <c r="G762">
        <v>203530.51</v>
      </c>
      <c r="H762">
        <v>10235416.08</v>
      </c>
      <c r="I762">
        <v>10235416.08</v>
      </c>
      <c r="J762" t="s">
        <v>428</v>
      </c>
    </row>
    <row r="763" spans="1:10" x14ac:dyDescent="0.35">
      <c r="A763">
        <v>60</v>
      </c>
      <c r="B763" t="s">
        <v>198</v>
      </c>
      <c r="C763">
        <v>6628087.1200000001</v>
      </c>
      <c r="D763">
        <v>0</v>
      </c>
      <c r="E763">
        <v>6628087.1200000001</v>
      </c>
      <c r="F763">
        <v>1581052.95</v>
      </c>
      <c r="G763">
        <v>1581052.95</v>
      </c>
      <c r="H763">
        <v>5047034.17</v>
      </c>
      <c r="I763">
        <v>5047034.17</v>
      </c>
      <c r="J763" t="s">
        <v>428</v>
      </c>
    </row>
    <row r="764" spans="1:10" x14ac:dyDescent="0.35">
      <c r="A764">
        <v>70</v>
      </c>
      <c r="B764" t="s">
        <v>199</v>
      </c>
      <c r="C764">
        <v>959921.68</v>
      </c>
      <c r="D764">
        <v>0</v>
      </c>
      <c r="E764">
        <v>959921.68</v>
      </c>
      <c r="F764">
        <v>-435142.76</v>
      </c>
      <c r="G764">
        <v>-435142.76</v>
      </c>
      <c r="H764">
        <v>1395064.44</v>
      </c>
      <c r="I764">
        <v>1395064.44</v>
      </c>
      <c r="J764" t="s">
        <v>428</v>
      </c>
    </row>
    <row r="765" spans="1:10" x14ac:dyDescent="0.35">
      <c r="A765">
        <v>80</v>
      </c>
      <c r="B765" t="s">
        <v>545</v>
      </c>
      <c r="C765">
        <v>2125895.5699999998</v>
      </c>
      <c r="D765">
        <v>0</v>
      </c>
      <c r="E765">
        <v>2125895.5699999998</v>
      </c>
      <c r="F765">
        <v>-347386.55</v>
      </c>
      <c r="G765">
        <v>-347386.55</v>
      </c>
      <c r="H765">
        <v>2473282.12</v>
      </c>
      <c r="I765">
        <v>2473282.12</v>
      </c>
      <c r="J765" t="s">
        <v>428</v>
      </c>
    </row>
    <row r="766" spans="1:10" x14ac:dyDescent="0.35">
      <c r="A766">
        <v>100</v>
      </c>
      <c r="B766" t="s">
        <v>546</v>
      </c>
      <c r="C766">
        <v>39344883.219999999</v>
      </c>
      <c r="D766">
        <v>0</v>
      </c>
      <c r="E766">
        <v>39344883.219999999</v>
      </c>
      <c r="F766">
        <v>3529983.26</v>
      </c>
      <c r="G766">
        <v>3529983.26</v>
      </c>
      <c r="H766">
        <v>35814899.960000001</v>
      </c>
      <c r="I766">
        <v>35814899.960000001</v>
      </c>
      <c r="J766" t="s">
        <v>428</v>
      </c>
    </row>
    <row r="767" spans="1:10" x14ac:dyDescent="0.35">
      <c r="A767">
        <v>110</v>
      </c>
      <c r="B767" t="s">
        <v>547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 t="s">
        <v>428</v>
      </c>
    </row>
    <row r="768" spans="1:10" x14ac:dyDescent="0.35">
      <c r="A768">
        <v>120</v>
      </c>
      <c r="B768" t="s">
        <v>203</v>
      </c>
      <c r="C768">
        <v>28877.9</v>
      </c>
      <c r="D768">
        <v>0</v>
      </c>
      <c r="E768">
        <v>28877.9</v>
      </c>
      <c r="F768">
        <v>0</v>
      </c>
      <c r="G768">
        <v>0</v>
      </c>
      <c r="H768">
        <v>28877.9</v>
      </c>
      <c r="I768">
        <v>28877.9</v>
      </c>
      <c r="J768" t="s">
        <v>428</v>
      </c>
    </row>
    <row r="769" spans="1:10" x14ac:dyDescent="0.35">
      <c r="A769">
        <v>130</v>
      </c>
      <c r="B769" t="s">
        <v>204</v>
      </c>
      <c r="C769">
        <v>23323120.030000001</v>
      </c>
      <c r="D769">
        <v>0</v>
      </c>
      <c r="E769">
        <v>23323120.030000001</v>
      </c>
      <c r="F769">
        <v>0</v>
      </c>
      <c r="G769">
        <v>0</v>
      </c>
      <c r="H769">
        <v>23323120.030000001</v>
      </c>
      <c r="I769">
        <v>23323120.030000001</v>
      </c>
      <c r="J769" t="s">
        <v>428</v>
      </c>
    </row>
    <row r="770" spans="1:10" x14ac:dyDescent="0.35">
      <c r="A770">
        <v>140</v>
      </c>
      <c r="B770" t="s">
        <v>205</v>
      </c>
      <c r="C770">
        <v>2422099.85</v>
      </c>
      <c r="D770">
        <v>0</v>
      </c>
      <c r="E770">
        <v>2422099.85</v>
      </c>
      <c r="F770">
        <v>0</v>
      </c>
      <c r="G770">
        <v>0</v>
      </c>
      <c r="H770">
        <v>2422099.85</v>
      </c>
      <c r="I770">
        <v>2422099.85</v>
      </c>
      <c r="J770" t="s">
        <v>428</v>
      </c>
    </row>
    <row r="771" spans="1:10" x14ac:dyDescent="0.35">
      <c r="A771">
        <v>150</v>
      </c>
      <c r="B771" t="s">
        <v>206</v>
      </c>
      <c r="C771">
        <v>8068401.4699999997</v>
      </c>
      <c r="D771">
        <v>0</v>
      </c>
      <c r="E771">
        <v>8068401.4699999997</v>
      </c>
      <c r="F771">
        <v>0</v>
      </c>
      <c r="G771">
        <v>0</v>
      </c>
      <c r="H771">
        <v>8068401.4699999997</v>
      </c>
      <c r="I771">
        <v>8068401.4699999997</v>
      </c>
      <c r="J771" t="s">
        <v>428</v>
      </c>
    </row>
    <row r="772" spans="1:10" x14ac:dyDescent="0.35">
      <c r="A772">
        <v>160</v>
      </c>
      <c r="B772" t="s">
        <v>207</v>
      </c>
      <c r="C772">
        <v>78530381.760000005</v>
      </c>
      <c r="D772">
        <v>0</v>
      </c>
      <c r="E772">
        <v>78530381.760000005</v>
      </c>
      <c r="F772">
        <v>50000</v>
      </c>
      <c r="G772">
        <v>50000</v>
      </c>
      <c r="H772">
        <v>78480381.760000005</v>
      </c>
      <c r="I772">
        <v>78480381.760000005</v>
      </c>
      <c r="J772" t="s">
        <v>428</v>
      </c>
    </row>
    <row r="773" spans="1:10" x14ac:dyDescent="0.35">
      <c r="A773">
        <v>170</v>
      </c>
      <c r="B773" t="s">
        <v>208</v>
      </c>
      <c r="C773">
        <v>25243430.510000002</v>
      </c>
      <c r="D773">
        <v>0</v>
      </c>
      <c r="E773">
        <v>25243430.510000002</v>
      </c>
      <c r="F773">
        <v>392083.62</v>
      </c>
      <c r="G773">
        <v>392083.62</v>
      </c>
      <c r="H773">
        <v>24851346.890000001</v>
      </c>
      <c r="I773">
        <v>24851346.890000001</v>
      </c>
      <c r="J773" t="s">
        <v>428</v>
      </c>
    </row>
    <row r="774" spans="1:10" x14ac:dyDescent="0.35">
      <c r="A774">
        <v>175</v>
      </c>
      <c r="B774" t="s">
        <v>561</v>
      </c>
      <c r="C774">
        <v>7366017.8300000001</v>
      </c>
      <c r="D774">
        <v>0</v>
      </c>
      <c r="E774">
        <v>7366017.8300000001</v>
      </c>
      <c r="F774">
        <v>0</v>
      </c>
      <c r="G774">
        <v>0</v>
      </c>
      <c r="H774">
        <v>7366017.8300000001</v>
      </c>
      <c r="I774">
        <v>7366017.8300000001</v>
      </c>
      <c r="J774" t="s">
        <v>428</v>
      </c>
    </row>
    <row r="775" spans="1:10" x14ac:dyDescent="0.35">
      <c r="A775">
        <v>180</v>
      </c>
      <c r="B775" t="s">
        <v>209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 t="s">
        <v>428</v>
      </c>
    </row>
    <row r="776" spans="1:10" x14ac:dyDescent="0.35">
      <c r="A776">
        <v>190</v>
      </c>
      <c r="B776" t="s">
        <v>210</v>
      </c>
      <c r="C776">
        <v>-74773204.469999999</v>
      </c>
      <c r="D776">
        <v>0</v>
      </c>
      <c r="E776">
        <v>-74773204.469999999</v>
      </c>
      <c r="F776">
        <v>-631871.85</v>
      </c>
      <c r="G776">
        <v>-631871.85</v>
      </c>
      <c r="H776">
        <v>-74141332.620000005</v>
      </c>
      <c r="I776">
        <v>-74141332.620000005</v>
      </c>
      <c r="J776" t="s">
        <v>428</v>
      </c>
    </row>
    <row r="777" spans="1:10" x14ac:dyDescent="0.35">
      <c r="A777">
        <v>200</v>
      </c>
      <c r="B777" t="s">
        <v>211</v>
      </c>
      <c r="C777">
        <v>70209124.879999995</v>
      </c>
      <c r="D777">
        <v>0</v>
      </c>
      <c r="E777">
        <v>70209124.879999995</v>
      </c>
      <c r="F777">
        <v>-189788.23</v>
      </c>
      <c r="G777">
        <v>-189788.23</v>
      </c>
      <c r="H777">
        <v>70398913.109999999</v>
      </c>
      <c r="I777">
        <v>70398913.109999999</v>
      </c>
      <c r="J777" t="s">
        <v>428</v>
      </c>
    </row>
    <row r="778" spans="1:10" x14ac:dyDescent="0.35">
      <c r="A778">
        <v>210</v>
      </c>
      <c r="B778" t="s">
        <v>548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 t="s">
        <v>428</v>
      </c>
    </row>
    <row r="779" spans="1:10" x14ac:dyDescent="0.35">
      <c r="A779">
        <v>220</v>
      </c>
      <c r="B779" t="s">
        <v>213</v>
      </c>
      <c r="C779">
        <v>559451.97</v>
      </c>
      <c r="D779">
        <v>0</v>
      </c>
      <c r="E779">
        <v>559451.97</v>
      </c>
      <c r="F779">
        <v>0</v>
      </c>
      <c r="G779">
        <v>0</v>
      </c>
      <c r="H779">
        <v>559451.97</v>
      </c>
      <c r="I779">
        <v>559451.97</v>
      </c>
      <c r="J779" t="s">
        <v>428</v>
      </c>
    </row>
    <row r="780" spans="1:10" x14ac:dyDescent="0.35">
      <c r="A780">
        <v>230</v>
      </c>
      <c r="B780" t="s">
        <v>214</v>
      </c>
      <c r="C780">
        <v>5534458.9000000004</v>
      </c>
      <c r="D780">
        <v>0</v>
      </c>
      <c r="E780">
        <v>5534458.9000000004</v>
      </c>
      <c r="F780">
        <v>0</v>
      </c>
      <c r="G780">
        <v>0</v>
      </c>
      <c r="H780">
        <v>5534458.9000000004</v>
      </c>
      <c r="I780">
        <v>5534458.9000000004</v>
      </c>
      <c r="J780" t="s">
        <v>428</v>
      </c>
    </row>
    <row r="781" spans="1:10" x14ac:dyDescent="0.35">
      <c r="A781">
        <v>240</v>
      </c>
      <c r="B781" t="s">
        <v>215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 t="s">
        <v>428</v>
      </c>
    </row>
    <row r="782" spans="1:10" x14ac:dyDescent="0.35">
      <c r="A782">
        <v>250</v>
      </c>
      <c r="B782" t="s">
        <v>216</v>
      </c>
      <c r="C782">
        <v>6093910.8700000001</v>
      </c>
      <c r="D782">
        <v>0</v>
      </c>
      <c r="E782">
        <v>6093910.8700000001</v>
      </c>
      <c r="F782">
        <v>0</v>
      </c>
      <c r="G782">
        <v>0</v>
      </c>
      <c r="H782">
        <v>6093910.8700000001</v>
      </c>
      <c r="I782">
        <v>6093910.8700000001</v>
      </c>
      <c r="J782" t="s">
        <v>428</v>
      </c>
    </row>
    <row r="783" spans="1:10" x14ac:dyDescent="0.35">
      <c r="A783">
        <v>260</v>
      </c>
      <c r="B783" t="s">
        <v>217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 t="s">
        <v>428</v>
      </c>
    </row>
    <row r="784" spans="1:10" x14ac:dyDescent="0.35">
      <c r="A784">
        <v>270</v>
      </c>
      <c r="B784" t="s">
        <v>218</v>
      </c>
      <c r="C784">
        <v>1181384.1000000001</v>
      </c>
      <c r="D784">
        <v>0</v>
      </c>
      <c r="E784">
        <v>1181384.1000000001</v>
      </c>
      <c r="F784">
        <v>0</v>
      </c>
      <c r="G784">
        <v>0</v>
      </c>
      <c r="H784">
        <v>1181384.1000000001</v>
      </c>
      <c r="I784">
        <v>1181384.1000000001</v>
      </c>
      <c r="J784" t="s">
        <v>428</v>
      </c>
    </row>
    <row r="785" spans="1:10" x14ac:dyDescent="0.35">
      <c r="A785">
        <v>280</v>
      </c>
      <c r="B785" t="s">
        <v>549</v>
      </c>
      <c r="C785">
        <v>1181384.1000000001</v>
      </c>
      <c r="D785">
        <v>0</v>
      </c>
      <c r="E785">
        <v>1181384.1000000001</v>
      </c>
      <c r="F785">
        <v>0</v>
      </c>
      <c r="G785">
        <v>0</v>
      </c>
      <c r="H785">
        <v>1181384.1000000001</v>
      </c>
      <c r="I785">
        <v>1181384.1000000001</v>
      </c>
      <c r="J785" t="s">
        <v>428</v>
      </c>
    </row>
    <row r="786" spans="1:10" x14ac:dyDescent="0.35">
      <c r="A786">
        <v>400</v>
      </c>
      <c r="B786" t="s">
        <v>220</v>
      </c>
      <c r="C786">
        <v>116829303.06999999</v>
      </c>
      <c r="D786">
        <v>0</v>
      </c>
      <c r="E786">
        <v>116829303.06999999</v>
      </c>
      <c r="F786">
        <v>3340195.03</v>
      </c>
      <c r="G786">
        <v>3340195.03</v>
      </c>
      <c r="H786">
        <v>113489108.04000001</v>
      </c>
      <c r="I786">
        <v>113489108.04000001</v>
      </c>
      <c r="J786" t="s">
        <v>428</v>
      </c>
    </row>
    <row r="787" spans="1:10" x14ac:dyDescent="0.35">
      <c r="A787">
        <v>410</v>
      </c>
      <c r="B787" t="s">
        <v>550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 t="s">
        <v>428</v>
      </c>
    </row>
    <row r="788" spans="1:10" x14ac:dyDescent="0.35">
      <c r="A788">
        <v>420</v>
      </c>
      <c r="B788" t="s">
        <v>222</v>
      </c>
      <c r="C788">
        <v>9153817.8800000008</v>
      </c>
      <c r="D788">
        <v>0</v>
      </c>
      <c r="E788">
        <v>9153817.8800000008</v>
      </c>
      <c r="F788">
        <v>645668.80000000005</v>
      </c>
      <c r="G788">
        <v>645668.80000000005</v>
      </c>
      <c r="H788">
        <v>8508149.0800000001</v>
      </c>
      <c r="I788">
        <v>8508149.0800000001</v>
      </c>
      <c r="J788" t="s">
        <v>428</v>
      </c>
    </row>
    <row r="789" spans="1:10" x14ac:dyDescent="0.35">
      <c r="A789">
        <v>430</v>
      </c>
      <c r="B789" t="s">
        <v>223</v>
      </c>
      <c r="C789">
        <v>8248889.4000000004</v>
      </c>
      <c r="D789">
        <v>0</v>
      </c>
      <c r="E789">
        <v>8248889.4000000004</v>
      </c>
      <c r="F789">
        <v>121788.54</v>
      </c>
      <c r="G789">
        <v>121788.54</v>
      </c>
      <c r="H789">
        <v>8127100.8600000003</v>
      </c>
      <c r="I789">
        <v>8127100.8600000003</v>
      </c>
      <c r="J789" t="s">
        <v>428</v>
      </c>
    </row>
    <row r="790" spans="1:10" x14ac:dyDescent="0.35">
      <c r="A790">
        <v>440</v>
      </c>
      <c r="B790" t="s">
        <v>224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 t="s">
        <v>428</v>
      </c>
    </row>
    <row r="791" spans="1:10" x14ac:dyDescent="0.35">
      <c r="A791">
        <v>450</v>
      </c>
      <c r="B791" t="s">
        <v>551</v>
      </c>
      <c r="C791">
        <v>5832745.9299999997</v>
      </c>
      <c r="D791">
        <v>0</v>
      </c>
      <c r="E791">
        <v>5832745.9299999997</v>
      </c>
      <c r="F791">
        <v>33680.400000000001</v>
      </c>
      <c r="G791">
        <v>33680.400000000001</v>
      </c>
      <c r="H791">
        <v>5799065.5300000003</v>
      </c>
      <c r="I791">
        <v>5799065.5300000003</v>
      </c>
      <c r="J791" t="s">
        <v>428</v>
      </c>
    </row>
    <row r="792" spans="1:10" x14ac:dyDescent="0.35">
      <c r="A792">
        <v>460</v>
      </c>
      <c r="B792" t="s">
        <v>552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 t="s">
        <v>428</v>
      </c>
    </row>
    <row r="793" spans="1:10" x14ac:dyDescent="0.35">
      <c r="A793">
        <v>500</v>
      </c>
      <c r="B793" t="s">
        <v>227</v>
      </c>
      <c r="C793">
        <v>23235453.210000001</v>
      </c>
      <c r="D793">
        <v>0</v>
      </c>
      <c r="E793">
        <v>23235453.210000001</v>
      </c>
      <c r="F793">
        <v>801137.74</v>
      </c>
      <c r="G793">
        <v>801137.74</v>
      </c>
      <c r="H793">
        <v>22434315.469999999</v>
      </c>
      <c r="I793">
        <v>22434315.469999999</v>
      </c>
      <c r="J793" t="s">
        <v>428</v>
      </c>
    </row>
    <row r="794" spans="1:10" x14ac:dyDescent="0.35">
      <c r="A794">
        <v>510</v>
      </c>
      <c r="B794" t="s">
        <v>553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 t="s">
        <v>428</v>
      </c>
    </row>
    <row r="795" spans="1:10" x14ac:dyDescent="0.35">
      <c r="A795">
        <v>520</v>
      </c>
      <c r="B795" t="s">
        <v>554</v>
      </c>
      <c r="C795">
        <v>46426.68</v>
      </c>
      <c r="D795">
        <v>0</v>
      </c>
      <c r="E795">
        <v>46426.68</v>
      </c>
      <c r="F795">
        <v>0</v>
      </c>
      <c r="G795">
        <v>0</v>
      </c>
      <c r="H795">
        <v>46426.68</v>
      </c>
      <c r="I795">
        <v>46426.68</v>
      </c>
      <c r="J795" t="s">
        <v>428</v>
      </c>
    </row>
    <row r="796" spans="1:10" x14ac:dyDescent="0.35">
      <c r="A796">
        <v>530</v>
      </c>
      <c r="B796" t="s">
        <v>554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 t="s">
        <v>428</v>
      </c>
    </row>
    <row r="797" spans="1:10" x14ac:dyDescent="0.35">
      <c r="A797">
        <v>540</v>
      </c>
      <c r="B797" t="s">
        <v>231</v>
      </c>
      <c r="C797">
        <v>177572.81</v>
      </c>
      <c r="D797">
        <v>0</v>
      </c>
      <c r="E797">
        <v>177572.81</v>
      </c>
      <c r="F797">
        <v>0</v>
      </c>
      <c r="G797">
        <v>0</v>
      </c>
      <c r="H797">
        <v>177572.81</v>
      </c>
      <c r="I797">
        <v>177572.81</v>
      </c>
      <c r="J797" t="s">
        <v>428</v>
      </c>
    </row>
    <row r="798" spans="1:10" x14ac:dyDescent="0.35">
      <c r="A798">
        <v>600</v>
      </c>
      <c r="B798" t="s">
        <v>232</v>
      </c>
      <c r="C798">
        <v>223999.49</v>
      </c>
      <c r="D798">
        <v>0</v>
      </c>
      <c r="E798">
        <v>223999.49</v>
      </c>
      <c r="F798">
        <v>0</v>
      </c>
      <c r="G798">
        <v>0</v>
      </c>
      <c r="H798">
        <v>223999.49</v>
      </c>
      <c r="I798">
        <v>223999.49</v>
      </c>
      <c r="J798" t="s">
        <v>428</v>
      </c>
    </row>
    <row r="799" spans="1:10" x14ac:dyDescent="0.35">
      <c r="A799">
        <v>610</v>
      </c>
      <c r="B799" t="s">
        <v>555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 t="s">
        <v>428</v>
      </c>
    </row>
    <row r="800" spans="1:10" x14ac:dyDescent="0.35">
      <c r="A800">
        <v>620</v>
      </c>
      <c r="B800" t="s">
        <v>234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 t="s">
        <v>428</v>
      </c>
    </row>
    <row r="801" spans="1:10" x14ac:dyDescent="0.35">
      <c r="A801">
        <v>700</v>
      </c>
      <c r="B801" t="s">
        <v>556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 t="s">
        <v>428</v>
      </c>
    </row>
    <row r="802" spans="1:10" x14ac:dyDescent="0.35">
      <c r="A802">
        <v>710</v>
      </c>
      <c r="B802" t="s">
        <v>557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 t="s">
        <v>428</v>
      </c>
    </row>
    <row r="803" spans="1:10" x14ac:dyDescent="0.35">
      <c r="A803">
        <v>720</v>
      </c>
      <c r="B803" t="s">
        <v>237</v>
      </c>
      <c r="C803">
        <v>41834615.659999996</v>
      </c>
      <c r="D803">
        <v>0</v>
      </c>
      <c r="E803">
        <v>41834615.659999996</v>
      </c>
      <c r="F803">
        <v>0</v>
      </c>
      <c r="G803">
        <v>0</v>
      </c>
      <c r="H803">
        <v>41834615.659999996</v>
      </c>
      <c r="I803">
        <v>41834615.659999996</v>
      </c>
      <c r="J803" t="s">
        <v>428</v>
      </c>
    </row>
    <row r="804" spans="1:10" x14ac:dyDescent="0.35">
      <c r="A804">
        <v>730</v>
      </c>
      <c r="B804" t="s">
        <v>238</v>
      </c>
      <c r="C804">
        <v>1340871.6399999999</v>
      </c>
      <c r="D804">
        <v>0</v>
      </c>
      <c r="E804">
        <v>1340871.6399999999</v>
      </c>
      <c r="F804">
        <v>0</v>
      </c>
      <c r="G804">
        <v>0</v>
      </c>
      <c r="H804">
        <v>1340871.6399999999</v>
      </c>
      <c r="I804">
        <v>1340871.6399999999</v>
      </c>
      <c r="J804" t="s">
        <v>428</v>
      </c>
    </row>
    <row r="805" spans="1:10" x14ac:dyDescent="0.35">
      <c r="A805">
        <v>740</v>
      </c>
      <c r="B805" t="s">
        <v>239</v>
      </c>
      <c r="C805">
        <v>47655305.780000001</v>
      </c>
      <c r="D805">
        <v>0</v>
      </c>
      <c r="E805">
        <v>47655305.780000001</v>
      </c>
      <c r="F805">
        <v>0</v>
      </c>
      <c r="G805">
        <v>0</v>
      </c>
      <c r="H805">
        <v>24011479.260000002</v>
      </c>
      <c r="I805">
        <v>47655305.780000001</v>
      </c>
      <c r="J805" t="s">
        <v>428</v>
      </c>
    </row>
    <row r="806" spans="1:10" x14ac:dyDescent="0.35">
      <c r="A806">
        <v>750</v>
      </c>
      <c r="B806" t="s">
        <v>240</v>
      </c>
      <c r="C806">
        <v>2539057.29</v>
      </c>
      <c r="D806">
        <v>2659428</v>
      </c>
      <c r="E806">
        <v>-120370.71</v>
      </c>
      <c r="F806">
        <v>2539057.29</v>
      </c>
      <c r="G806">
        <v>2539057.29</v>
      </c>
      <c r="H806">
        <v>23643826.52</v>
      </c>
      <c r="I806">
        <v>0</v>
      </c>
      <c r="J806" t="s">
        <v>428</v>
      </c>
    </row>
    <row r="807" spans="1:10" x14ac:dyDescent="0.35">
      <c r="A807">
        <v>760</v>
      </c>
      <c r="B807" t="s">
        <v>241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 t="s">
        <v>428</v>
      </c>
    </row>
    <row r="808" spans="1:10" x14ac:dyDescent="0.35">
      <c r="A808">
        <v>770</v>
      </c>
      <c r="B808" t="s">
        <v>242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 t="s">
        <v>428</v>
      </c>
    </row>
    <row r="809" spans="1:10" x14ac:dyDescent="0.35">
      <c r="A809">
        <v>800</v>
      </c>
      <c r="B809" t="s">
        <v>243</v>
      </c>
      <c r="C809">
        <v>93369850.370000005</v>
      </c>
      <c r="D809">
        <v>2659428</v>
      </c>
      <c r="E809">
        <v>90710422.370000005</v>
      </c>
      <c r="F809">
        <v>2539057.29</v>
      </c>
      <c r="G809">
        <v>2539057.29</v>
      </c>
      <c r="H809">
        <v>90830793.079999998</v>
      </c>
      <c r="I809">
        <v>90830793.079999998</v>
      </c>
      <c r="J809" t="s">
        <v>428</v>
      </c>
    </row>
    <row r="810" spans="1:10" x14ac:dyDescent="0.35">
      <c r="A810">
        <v>900</v>
      </c>
      <c r="B810" t="s">
        <v>244</v>
      </c>
      <c r="C810">
        <v>116829303.06999999</v>
      </c>
      <c r="D810">
        <v>2659428</v>
      </c>
      <c r="E810">
        <v>114169875.06999999</v>
      </c>
      <c r="F810">
        <v>3340195.03</v>
      </c>
      <c r="G810">
        <v>3340195.03</v>
      </c>
      <c r="H810">
        <v>113489108.04000001</v>
      </c>
      <c r="I810">
        <v>113489108.04000001</v>
      </c>
      <c r="J810" t="s">
        <v>428</v>
      </c>
    </row>
    <row r="811" spans="1:10" x14ac:dyDescent="0.35">
      <c r="A811">
        <v>1000</v>
      </c>
      <c r="B811" t="s">
        <v>558</v>
      </c>
      <c r="C811">
        <v>0</v>
      </c>
      <c r="D811">
        <v>-2659428</v>
      </c>
      <c r="E811">
        <v>2659428</v>
      </c>
      <c r="F811">
        <v>0</v>
      </c>
      <c r="G811">
        <v>0</v>
      </c>
      <c r="H811">
        <v>0</v>
      </c>
      <c r="I811">
        <v>0</v>
      </c>
      <c r="J811" t="s">
        <v>428</v>
      </c>
    </row>
    <row r="812" spans="1:10" x14ac:dyDescent="0.35">
      <c r="A812" t="s">
        <v>494</v>
      </c>
      <c r="B812" t="s">
        <v>416</v>
      </c>
      <c r="C812" t="s">
        <v>537</v>
      </c>
      <c r="D812" t="s">
        <v>538</v>
      </c>
      <c r="E812" t="s">
        <v>539</v>
      </c>
      <c r="F812" t="s">
        <v>540</v>
      </c>
      <c r="G812" t="s">
        <v>541</v>
      </c>
      <c r="H812" t="s">
        <v>542</v>
      </c>
      <c r="I812" t="s">
        <v>543</v>
      </c>
      <c r="J812" t="s">
        <v>121</v>
      </c>
    </row>
    <row r="813" spans="1:10" x14ac:dyDescent="0.35">
      <c r="A813">
        <v>10</v>
      </c>
      <c r="B813" t="s">
        <v>544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 t="s">
        <v>428</v>
      </c>
    </row>
    <row r="814" spans="1:10" x14ac:dyDescent="0.35">
      <c r="A814">
        <v>20</v>
      </c>
      <c r="B814" t="s">
        <v>194</v>
      </c>
      <c r="C814">
        <v>6431020.7400000002</v>
      </c>
      <c r="D814">
        <v>0</v>
      </c>
      <c r="E814">
        <v>6431020.7400000002</v>
      </c>
      <c r="F814">
        <v>-1338623.7</v>
      </c>
      <c r="G814">
        <v>-1338623.7</v>
      </c>
      <c r="H814">
        <v>7769644.4400000004</v>
      </c>
      <c r="I814">
        <v>7769644.4400000004</v>
      </c>
      <c r="J814" t="s">
        <v>428</v>
      </c>
    </row>
    <row r="815" spans="1:10" x14ac:dyDescent="0.35">
      <c r="A815">
        <v>30</v>
      </c>
      <c r="B815" t="s">
        <v>195</v>
      </c>
      <c r="C815">
        <v>29999976.140000001</v>
      </c>
      <c r="D815">
        <v>0</v>
      </c>
      <c r="E815">
        <v>29999976.140000001</v>
      </c>
      <c r="F815">
        <v>3000006.99</v>
      </c>
      <c r="G815">
        <v>3000006.99</v>
      </c>
      <c r="H815">
        <v>26999969.149999999</v>
      </c>
      <c r="I815">
        <v>26999969.149999999</v>
      </c>
      <c r="J815" t="s">
        <v>428</v>
      </c>
    </row>
    <row r="816" spans="1:10" x14ac:dyDescent="0.35">
      <c r="A816">
        <v>40</v>
      </c>
      <c r="B816" t="s">
        <v>196</v>
      </c>
      <c r="C816">
        <v>11507232.32</v>
      </c>
      <c r="D816">
        <v>0</v>
      </c>
      <c r="E816">
        <v>11507232.32</v>
      </c>
      <c r="F816">
        <v>-36329.870000000003</v>
      </c>
      <c r="G816">
        <v>-36329.870000000003</v>
      </c>
      <c r="H816">
        <v>11543562.189999999</v>
      </c>
      <c r="I816">
        <v>11543562.189999999</v>
      </c>
      <c r="J816" t="s">
        <v>428</v>
      </c>
    </row>
    <row r="817" spans="1:10" x14ac:dyDescent="0.35">
      <c r="A817">
        <v>50</v>
      </c>
      <c r="B817" t="s">
        <v>197</v>
      </c>
      <c r="C817">
        <v>373271.38</v>
      </c>
      <c r="D817">
        <v>0</v>
      </c>
      <c r="E817">
        <v>373271.38</v>
      </c>
      <c r="F817">
        <v>147831.06</v>
      </c>
      <c r="G817">
        <v>147831.06</v>
      </c>
      <c r="H817">
        <v>225440.32</v>
      </c>
      <c r="I817">
        <v>225440.32</v>
      </c>
      <c r="J817" t="s">
        <v>428</v>
      </c>
    </row>
    <row r="818" spans="1:10" x14ac:dyDescent="0.35">
      <c r="A818">
        <v>60</v>
      </c>
      <c r="B818" t="s">
        <v>198</v>
      </c>
      <c r="C818">
        <v>3063790.03</v>
      </c>
      <c r="D818">
        <v>0</v>
      </c>
      <c r="E818">
        <v>3063790.03</v>
      </c>
      <c r="F818">
        <v>838230.19</v>
      </c>
      <c r="G818">
        <v>838230.19</v>
      </c>
      <c r="H818">
        <v>2225559.84</v>
      </c>
      <c r="I818">
        <v>2225559.84</v>
      </c>
      <c r="J818" t="s">
        <v>428</v>
      </c>
    </row>
    <row r="819" spans="1:10" x14ac:dyDescent="0.35">
      <c r="A819">
        <v>70</v>
      </c>
      <c r="B819" t="s">
        <v>199</v>
      </c>
      <c r="C819">
        <v>1011694.08</v>
      </c>
      <c r="D819">
        <v>0</v>
      </c>
      <c r="E819">
        <v>1011694.08</v>
      </c>
      <c r="F819">
        <v>-49119.15</v>
      </c>
      <c r="G819">
        <v>-49119.15</v>
      </c>
      <c r="H819">
        <v>1060813.23</v>
      </c>
      <c r="I819">
        <v>1060813.23</v>
      </c>
      <c r="J819" t="s">
        <v>428</v>
      </c>
    </row>
    <row r="820" spans="1:10" x14ac:dyDescent="0.35">
      <c r="A820">
        <v>80</v>
      </c>
      <c r="B820" t="s">
        <v>559</v>
      </c>
      <c r="C820">
        <v>2123367.27</v>
      </c>
      <c r="D820">
        <v>0</v>
      </c>
      <c r="E820">
        <v>2123367.27</v>
      </c>
      <c r="F820">
        <v>179605.71</v>
      </c>
      <c r="G820">
        <v>179605.71</v>
      </c>
      <c r="H820">
        <v>1943761.56</v>
      </c>
      <c r="I820">
        <v>1943761.56</v>
      </c>
      <c r="J820" t="s">
        <v>428</v>
      </c>
    </row>
    <row r="821" spans="1:10" x14ac:dyDescent="0.35">
      <c r="A821">
        <v>100</v>
      </c>
      <c r="B821" t="s">
        <v>546</v>
      </c>
      <c r="C821">
        <v>54510351.960000001</v>
      </c>
      <c r="D821">
        <v>0</v>
      </c>
      <c r="E821">
        <v>54510351.960000001</v>
      </c>
      <c r="F821">
        <v>2741601.23</v>
      </c>
      <c r="G821">
        <v>2741601.23</v>
      </c>
      <c r="H821">
        <v>51768750.729999997</v>
      </c>
      <c r="I821">
        <v>51768750.729999997</v>
      </c>
      <c r="J821" t="s">
        <v>428</v>
      </c>
    </row>
    <row r="822" spans="1:10" x14ac:dyDescent="0.35">
      <c r="A822">
        <v>110</v>
      </c>
      <c r="B822" t="s">
        <v>547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 t="s">
        <v>428</v>
      </c>
    </row>
    <row r="823" spans="1:10" x14ac:dyDescent="0.35">
      <c r="A823">
        <v>120</v>
      </c>
      <c r="B823" t="s">
        <v>203</v>
      </c>
      <c r="C823">
        <v>6385346.75</v>
      </c>
      <c r="D823">
        <v>0</v>
      </c>
      <c r="E823">
        <v>6385346.75</v>
      </c>
      <c r="F823">
        <v>0</v>
      </c>
      <c r="G823">
        <v>0</v>
      </c>
      <c r="H823">
        <v>6385346.75</v>
      </c>
      <c r="I823">
        <v>6385346.75</v>
      </c>
      <c r="J823" t="s">
        <v>428</v>
      </c>
    </row>
    <row r="824" spans="1:10" x14ac:dyDescent="0.35">
      <c r="A824">
        <v>130</v>
      </c>
      <c r="B824" t="s">
        <v>204</v>
      </c>
      <c r="C824">
        <v>2655925.7400000002</v>
      </c>
      <c r="D824">
        <v>0</v>
      </c>
      <c r="E824">
        <v>2655925.7400000002</v>
      </c>
      <c r="F824">
        <v>0</v>
      </c>
      <c r="G824">
        <v>0</v>
      </c>
      <c r="H824">
        <v>2655925.7400000002</v>
      </c>
      <c r="I824">
        <v>2655925.7400000002</v>
      </c>
      <c r="J824" t="s">
        <v>428</v>
      </c>
    </row>
    <row r="825" spans="1:10" x14ac:dyDescent="0.35">
      <c r="A825">
        <v>140</v>
      </c>
      <c r="B825" t="s">
        <v>205</v>
      </c>
      <c r="C825">
        <v>1368234.09</v>
      </c>
      <c r="D825">
        <v>0</v>
      </c>
      <c r="E825">
        <v>1368234.09</v>
      </c>
      <c r="F825">
        <v>0</v>
      </c>
      <c r="G825">
        <v>0</v>
      </c>
      <c r="H825">
        <v>1368234.09</v>
      </c>
      <c r="I825">
        <v>1368234.09</v>
      </c>
      <c r="J825" t="s">
        <v>428</v>
      </c>
    </row>
    <row r="826" spans="1:10" x14ac:dyDescent="0.35">
      <c r="A826">
        <v>150</v>
      </c>
      <c r="B826" t="s">
        <v>206</v>
      </c>
      <c r="C826">
        <v>988663.97</v>
      </c>
      <c r="D826">
        <v>0</v>
      </c>
      <c r="E826">
        <v>988663.97</v>
      </c>
      <c r="F826">
        <v>0</v>
      </c>
      <c r="G826">
        <v>0</v>
      </c>
      <c r="H826">
        <v>988663.97</v>
      </c>
      <c r="I826">
        <v>988663.97</v>
      </c>
      <c r="J826" t="s">
        <v>428</v>
      </c>
    </row>
    <row r="827" spans="1:10" x14ac:dyDescent="0.35">
      <c r="A827">
        <v>160</v>
      </c>
      <c r="B827" t="s">
        <v>207</v>
      </c>
      <c r="C827">
        <v>45486347.840000004</v>
      </c>
      <c r="D827">
        <v>0</v>
      </c>
      <c r="E827">
        <v>45486347.840000004</v>
      </c>
      <c r="F827">
        <v>0</v>
      </c>
      <c r="G827">
        <v>0</v>
      </c>
      <c r="H827">
        <v>45486347.840000004</v>
      </c>
      <c r="I827">
        <v>45486347.840000004</v>
      </c>
      <c r="J827" t="s">
        <v>428</v>
      </c>
    </row>
    <row r="828" spans="1:10" x14ac:dyDescent="0.35">
      <c r="A828">
        <v>170</v>
      </c>
      <c r="B828" t="s">
        <v>208</v>
      </c>
      <c r="C828">
        <v>29500781.32</v>
      </c>
      <c r="D828">
        <v>0</v>
      </c>
      <c r="E828">
        <v>29500781.32</v>
      </c>
      <c r="F828">
        <v>25240.560000000001</v>
      </c>
      <c r="G828">
        <v>25240.560000000001</v>
      </c>
      <c r="H828">
        <v>29475540.760000002</v>
      </c>
      <c r="I828">
        <v>29475540.760000002</v>
      </c>
      <c r="J828" t="s">
        <v>428</v>
      </c>
    </row>
    <row r="829" spans="1:10" x14ac:dyDescent="0.35">
      <c r="A829">
        <v>180</v>
      </c>
      <c r="B829" t="s">
        <v>209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 t="s">
        <v>428</v>
      </c>
    </row>
    <row r="830" spans="1:10" x14ac:dyDescent="0.35">
      <c r="A830">
        <v>190</v>
      </c>
      <c r="B830" t="s">
        <v>210</v>
      </c>
      <c r="C830">
        <v>-56756839.079999998</v>
      </c>
      <c r="D830">
        <v>0</v>
      </c>
      <c r="E830">
        <v>-56756839.079999998</v>
      </c>
      <c r="F830">
        <v>-355089</v>
      </c>
      <c r="G830">
        <v>-355089</v>
      </c>
      <c r="H830">
        <v>-56401750.079999998</v>
      </c>
      <c r="I830">
        <v>-56401750.079999998</v>
      </c>
      <c r="J830" t="s">
        <v>428</v>
      </c>
    </row>
    <row r="831" spans="1:10" x14ac:dyDescent="0.35">
      <c r="A831">
        <v>200</v>
      </c>
      <c r="B831" t="s">
        <v>211</v>
      </c>
      <c r="C831">
        <v>29628460.629999999</v>
      </c>
      <c r="D831">
        <v>0</v>
      </c>
      <c r="E831">
        <v>29628460.629999999</v>
      </c>
      <c r="F831">
        <v>-329848.44</v>
      </c>
      <c r="G831">
        <v>-329848.44</v>
      </c>
      <c r="H831">
        <v>29958309.07</v>
      </c>
      <c r="I831">
        <v>29958309.07</v>
      </c>
      <c r="J831" t="s">
        <v>428</v>
      </c>
    </row>
    <row r="832" spans="1:10" x14ac:dyDescent="0.35">
      <c r="A832">
        <v>210</v>
      </c>
      <c r="B832" t="s">
        <v>548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 t="s">
        <v>428</v>
      </c>
    </row>
    <row r="833" spans="1:10" x14ac:dyDescent="0.35">
      <c r="A833">
        <v>220</v>
      </c>
      <c r="B833" t="s">
        <v>213</v>
      </c>
      <c r="C833">
        <v>167250.17000000001</v>
      </c>
      <c r="D833">
        <v>0</v>
      </c>
      <c r="E833">
        <v>167250.17000000001</v>
      </c>
      <c r="F833">
        <v>0</v>
      </c>
      <c r="G833">
        <v>0</v>
      </c>
      <c r="H833">
        <v>167250.17000000001</v>
      </c>
      <c r="I833">
        <v>167250.17000000001</v>
      </c>
      <c r="J833" t="s">
        <v>428</v>
      </c>
    </row>
    <row r="834" spans="1:10" x14ac:dyDescent="0.35">
      <c r="A834">
        <v>230</v>
      </c>
      <c r="B834" t="s">
        <v>214</v>
      </c>
      <c r="C834">
        <v>1241705.92</v>
      </c>
      <c r="D834">
        <v>0</v>
      </c>
      <c r="E834">
        <v>1241705.92</v>
      </c>
      <c r="F834">
        <v>0</v>
      </c>
      <c r="G834">
        <v>0</v>
      </c>
      <c r="H834">
        <v>1241705.92</v>
      </c>
      <c r="I834">
        <v>1241705.92</v>
      </c>
      <c r="J834" t="s">
        <v>428</v>
      </c>
    </row>
    <row r="835" spans="1:10" x14ac:dyDescent="0.35">
      <c r="A835">
        <v>240</v>
      </c>
      <c r="B835" t="s">
        <v>215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 t="s">
        <v>428</v>
      </c>
    </row>
    <row r="836" spans="1:10" x14ac:dyDescent="0.35">
      <c r="A836">
        <v>250</v>
      </c>
      <c r="B836" t="s">
        <v>216</v>
      </c>
      <c r="C836">
        <v>1408956.09</v>
      </c>
      <c r="D836">
        <v>0</v>
      </c>
      <c r="E836">
        <v>1408956.09</v>
      </c>
      <c r="F836">
        <v>0</v>
      </c>
      <c r="G836">
        <v>0</v>
      </c>
      <c r="H836">
        <v>1408956.09</v>
      </c>
      <c r="I836">
        <v>1408956.09</v>
      </c>
      <c r="J836" t="s">
        <v>428</v>
      </c>
    </row>
    <row r="837" spans="1:10" x14ac:dyDescent="0.35">
      <c r="A837">
        <v>260</v>
      </c>
      <c r="B837" t="s">
        <v>217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 t="s">
        <v>428</v>
      </c>
    </row>
    <row r="838" spans="1:10" x14ac:dyDescent="0.35">
      <c r="A838">
        <v>270</v>
      </c>
      <c r="B838" t="s">
        <v>218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 t="s">
        <v>428</v>
      </c>
    </row>
    <row r="839" spans="1:10" x14ac:dyDescent="0.35">
      <c r="A839">
        <v>280</v>
      </c>
      <c r="B839" t="s">
        <v>549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 t="s">
        <v>428</v>
      </c>
    </row>
    <row r="840" spans="1:10" x14ac:dyDescent="0.35">
      <c r="A840">
        <v>400</v>
      </c>
      <c r="B840" t="s">
        <v>220</v>
      </c>
      <c r="C840">
        <v>85547768.680000007</v>
      </c>
      <c r="D840">
        <v>0</v>
      </c>
      <c r="E840">
        <v>85547768.680000007</v>
      </c>
      <c r="F840">
        <v>2411752.79</v>
      </c>
      <c r="G840">
        <v>2411752.79</v>
      </c>
      <c r="H840">
        <v>83136015.890000001</v>
      </c>
      <c r="I840">
        <v>83136015.890000001</v>
      </c>
      <c r="J840" t="s">
        <v>428</v>
      </c>
    </row>
    <row r="841" spans="1:10" x14ac:dyDescent="0.35">
      <c r="A841">
        <v>410</v>
      </c>
      <c r="B841" t="s">
        <v>550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 t="s">
        <v>428</v>
      </c>
    </row>
    <row r="842" spans="1:10" x14ac:dyDescent="0.35">
      <c r="A842">
        <v>420</v>
      </c>
      <c r="B842" t="s">
        <v>222</v>
      </c>
      <c r="C842">
        <v>1039564.21</v>
      </c>
      <c r="D842">
        <v>0</v>
      </c>
      <c r="E842">
        <v>1039564.21</v>
      </c>
      <c r="F842">
        <v>449431.13</v>
      </c>
      <c r="G842">
        <v>449431.13</v>
      </c>
      <c r="H842">
        <v>590133.07999999996</v>
      </c>
      <c r="I842">
        <v>590133.07999999996</v>
      </c>
      <c r="J842" t="s">
        <v>428</v>
      </c>
    </row>
    <row r="843" spans="1:10" x14ac:dyDescent="0.35">
      <c r="A843">
        <v>430</v>
      </c>
      <c r="B843" t="s">
        <v>223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 t="s">
        <v>428</v>
      </c>
    </row>
    <row r="844" spans="1:10" x14ac:dyDescent="0.35">
      <c r="A844">
        <v>440</v>
      </c>
      <c r="B844" t="s">
        <v>224</v>
      </c>
      <c r="C844">
        <v>3503307.94</v>
      </c>
      <c r="D844">
        <v>0</v>
      </c>
      <c r="E844">
        <v>3503307.94</v>
      </c>
      <c r="F844">
        <v>0</v>
      </c>
      <c r="G844">
        <v>0</v>
      </c>
      <c r="H844">
        <v>3503307.94</v>
      </c>
      <c r="I844">
        <v>3503307.94</v>
      </c>
      <c r="J844" t="s">
        <v>428</v>
      </c>
    </row>
    <row r="845" spans="1:10" x14ac:dyDescent="0.35">
      <c r="A845">
        <v>450</v>
      </c>
      <c r="B845" t="s">
        <v>225</v>
      </c>
      <c r="C845">
        <v>2149076.08</v>
      </c>
      <c r="D845">
        <v>0</v>
      </c>
      <c r="E845">
        <v>2149076.08</v>
      </c>
      <c r="F845">
        <v>-493232.67</v>
      </c>
      <c r="G845">
        <v>-493232.67</v>
      </c>
      <c r="H845">
        <v>2642308.75</v>
      </c>
      <c r="I845">
        <v>2642308.75</v>
      </c>
      <c r="J845" t="s">
        <v>428</v>
      </c>
    </row>
    <row r="846" spans="1:10" x14ac:dyDescent="0.35">
      <c r="A846">
        <v>460</v>
      </c>
      <c r="B846" t="s">
        <v>560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 t="s">
        <v>428</v>
      </c>
    </row>
    <row r="847" spans="1:10" x14ac:dyDescent="0.35">
      <c r="A847">
        <v>500</v>
      </c>
      <c r="B847" t="s">
        <v>227</v>
      </c>
      <c r="C847">
        <v>6691948.2300000004</v>
      </c>
      <c r="D847">
        <v>0</v>
      </c>
      <c r="E847">
        <v>6691948.2300000004</v>
      </c>
      <c r="F847">
        <v>-43801.54</v>
      </c>
      <c r="G847">
        <v>-43801.54</v>
      </c>
      <c r="H847">
        <v>6735749.7699999996</v>
      </c>
      <c r="I847">
        <v>6735749.7699999996</v>
      </c>
      <c r="J847" t="s">
        <v>428</v>
      </c>
    </row>
    <row r="848" spans="1:10" x14ac:dyDescent="0.35">
      <c r="A848">
        <v>510</v>
      </c>
      <c r="B848" t="s">
        <v>553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 t="s">
        <v>428</v>
      </c>
    </row>
    <row r="849" spans="1:10" x14ac:dyDescent="0.35">
      <c r="A849">
        <v>520</v>
      </c>
      <c r="B849" t="s">
        <v>229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 t="s">
        <v>428</v>
      </c>
    </row>
    <row r="850" spans="1:10" x14ac:dyDescent="0.35">
      <c r="A850">
        <v>530</v>
      </c>
      <c r="B850" t="s">
        <v>230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 t="s">
        <v>428</v>
      </c>
    </row>
    <row r="851" spans="1:10" x14ac:dyDescent="0.35">
      <c r="A851">
        <v>540</v>
      </c>
      <c r="B851" t="s">
        <v>231</v>
      </c>
      <c r="C851">
        <v>69000</v>
      </c>
      <c r="D851">
        <v>0</v>
      </c>
      <c r="E851">
        <v>69000</v>
      </c>
      <c r="F851">
        <v>69000</v>
      </c>
      <c r="G851">
        <v>69000</v>
      </c>
      <c r="H851">
        <v>0</v>
      </c>
      <c r="I851">
        <v>0</v>
      </c>
      <c r="J851" t="s">
        <v>428</v>
      </c>
    </row>
    <row r="852" spans="1:10" x14ac:dyDescent="0.35">
      <c r="A852">
        <v>600</v>
      </c>
      <c r="B852" t="s">
        <v>232</v>
      </c>
      <c r="C852">
        <v>69000</v>
      </c>
      <c r="D852">
        <v>0</v>
      </c>
      <c r="E852">
        <v>69000</v>
      </c>
      <c r="F852">
        <v>69000</v>
      </c>
      <c r="G852">
        <v>69000</v>
      </c>
      <c r="H852">
        <v>0</v>
      </c>
      <c r="I852">
        <v>0</v>
      </c>
      <c r="J852" t="s">
        <v>428</v>
      </c>
    </row>
    <row r="853" spans="1:10" x14ac:dyDescent="0.35">
      <c r="A853">
        <v>610</v>
      </c>
      <c r="B853" t="s">
        <v>555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 t="s">
        <v>428</v>
      </c>
    </row>
    <row r="854" spans="1:10" x14ac:dyDescent="0.35">
      <c r="A854">
        <v>620</v>
      </c>
      <c r="B854" t="s">
        <v>234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 t="s">
        <v>428</v>
      </c>
    </row>
    <row r="855" spans="1:10" x14ac:dyDescent="0.35">
      <c r="A855">
        <v>700</v>
      </c>
      <c r="B855" t="s">
        <v>556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 t="s">
        <v>428</v>
      </c>
    </row>
    <row r="856" spans="1:10" x14ac:dyDescent="0.35">
      <c r="A856">
        <v>710</v>
      </c>
      <c r="B856" t="s">
        <v>557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 t="s">
        <v>428</v>
      </c>
    </row>
    <row r="857" spans="1:10" x14ac:dyDescent="0.35">
      <c r="A857">
        <v>720</v>
      </c>
      <c r="B857" t="s">
        <v>237</v>
      </c>
      <c r="C857">
        <v>30875613.030000001</v>
      </c>
      <c r="D857">
        <v>0</v>
      </c>
      <c r="E857">
        <v>30875613.030000001</v>
      </c>
      <c r="F857">
        <v>0</v>
      </c>
      <c r="G857">
        <v>0</v>
      </c>
      <c r="H857">
        <v>30875613.030000001</v>
      </c>
      <c r="I857">
        <v>30875613.030000001</v>
      </c>
      <c r="J857" t="s">
        <v>428</v>
      </c>
    </row>
    <row r="858" spans="1:10" x14ac:dyDescent="0.35">
      <c r="A858">
        <v>730</v>
      </c>
      <c r="B858" t="s">
        <v>238</v>
      </c>
      <c r="C858">
        <v>48539.12</v>
      </c>
      <c r="D858">
        <v>0</v>
      </c>
      <c r="E858">
        <v>48539.12</v>
      </c>
      <c r="F858">
        <v>0</v>
      </c>
      <c r="G858">
        <v>0</v>
      </c>
      <c r="H858">
        <v>48539.12</v>
      </c>
      <c r="I858">
        <v>48539.12</v>
      </c>
      <c r="J858" t="s">
        <v>428</v>
      </c>
    </row>
    <row r="859" spans="1:10" x14ac:dyDescent="0.35">
      <c r="A859">
        <v>740</v>
      </c>
      <c r="B859" t="s">
        <v>239</v>
      </c>
      <c r="C859">
        <v>30754030.219999999</v>
      </c>
      <c r="D859">
        <v>0</v>
      </c>
      <c r="E859">
        <v>30754030.219999999</v>
      </c>
      <c r="F859">
        <v>0</v>
      </c>
      <c r="G859">
        <v>0</v>
      </c>
      <c r="H859">
        <v>-3583697.38</v>
      </c>
      <c r="I859">
        <v>30754030.219999999</v>
      </c>
      <c r="J859" t="s">
        <v>428</v>
      </c>
    </row>
    <row r="860" spans="1:10" x14ac:dyDescent="0.35">
      <c r="A860">
        <v>750</v>
      </c>
      <c r="B860" t="s">
        <v>240</v>
      </c>
      <c r="C860">
        <v>2386554.33</v>
      </c>
      <c r="D860">
        <v>3010107</v>
      </c>
      <c r="E860">
        <v>-623552.67000000004</v>
      </c>
      <c r="F860">
        <v>2386554.33</v>
      </c>
      <c r="G860">
        <v>2386554.33</v>
      </c>
      <c r="H860">
        <v>34337727.600000001</v>
      </c>
      <c r="I860">
        <v>0</v>
      </c>
      <c r="J860" t="s">
        <v>428</v>
      </c>
    </row>
    <row r="861" spans="1:10" x14ac:dyDescent="0.35">
      <c r="A861">
        <v>760</v>
      </c>
      <c r="B861" t="s">
        <v>241</v>
      </c>
      <c r="C861">
        <v>14722083.75</v>
      </c>
      <c r="D861">
        <v>0</v>
      </c>
      <c r="E861">
        <v>14722083.75</v>
      </c>
      <c r="F861">
        <v>0</v>
      </c>
      <c r="G861">
        <v>0</v>
      </c>
      <c r="H861">
        <v>14722083.75</v>
      </c>
      <c r="I861">
        <v>14722083.75</v>
      </c>
      <c r="J861" t="s">
        <v>428</v>
      </c>
    </row>
    <row r="862" spans="1:10" x14ac:dyDescent="0.35">
      <c r="A862">
        <v>770</v>
      </c>
      <c r="B862" t="s">
        <v>242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 t="s">
        <v>428</v>
      </c>
    </row>
    <row r="863" spans="1:10" x14ac:dyDescent="0.35">
      <c r="A863">
        <v>800</v>
      </c>
      <c r="B863" t="s">
        <v>243</v>
      </c>
      <c r="C863">
        <v>78786820.450000003</v>
      </c>
      <c r="D863">
        <v>3010107</v>
      </c>
      <c r="E863">
        <v>75776713.450000003</v>
      </c>
      <c r="F863">
        <v>2386554.33</v>
      </c>
      <c r="G863">
        <v>2386554.33</v>
      </c>
      <c r="H863">
        <v>76400266.120000005</v>
      </c>
      <c r="I863">
        <v>76400266.120000005</v>
      </c>
      <c r="J863" t="s">
        <v>428</v>
      </c>
    </row>
    <row r="864" spans="1:10" x14ac:dyDescent="0.35">
      <c r="A864">
        <v>900</v>
      </c>
      <c r="B864" t="s">
        <v>244</v>
      </c>
      <c r="C864">
        <v>85547768.680000007</v>
      </c>
      <c r="D864">
        <v>3010107</v>
      </c>
      <c r="E864">
        <v>82537661.680000007</v>
      </c>
      <c r="F864">
        <v>2411752.79</v>
      </c>
      <c r="G864">
        <v>2411752.79</v>
      </c>
      <c r="H864">
        <v>83136015.890000001</v>
      </c>
      <c r="I864">
        <v>83136015.890000001</v>
      </c>
      <c r="J864" t="s">
        <v>428</v>
      </c>
    </row>
    <row r="865" spans="1:10" x14ac:dyDescent="0.35">
      <c r="A865">
        <v>1000</v>
      </c>
      <c r="B865" t="s">
        <v>558</v>
      </c>
      <c r="C865">
        <v>0</v>
      </c>
      <c r="D865">
        <v>-3010107</v>
      </c>
      <c r="E865">
        <v>3010107</v>
      </c>
      <c r="F865">
        <v>0</v>
      </c>
      <c r="G865">
        <v>0</v>
      </c>
      <c r="H865">
        <v>0</v>
      </c>
      <c r="I865">
        <v>0</v>
      </c>
      <c r="J865" t="s">
        <v>428</v>
      </c>
    </row>
    <row r="866" spans="1:10" x14ac:dyDescent="0.35">
      <c r="A866" t="s">
        <v>498</v>
      </c>
      <c r="B866" t="s">
        <v>416</v>
      </c>
      <c r="C866" t="s">
        <v>537</v>
      </c>
      <c r="D866" t="s">
        <v>538</v>
      </c>
      <c r="E866" t="s">
        <v>539</v>
      </c>
      <c r="F866" t="s">
        <v>540</v>
      </c>
      <c r="G866" t="s">
        <v>541</v>
      </c>
      <c r="H866" t="s">
        <v>542</v>
      </c>
      <c r="I866" t="s">
        <v>543</v>
      </c>
      <c r="J866" t="s">
        <v>121</v>
      </c>
    </row>
    <row r="867" spans="1:10" x14ac:dyDescent="0.35">
      <c r="A867">
        <v>10</v>
      </c>
      <c r="B867" t="s">
        <v>544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 t="s">
        <v>428</v>
      </c>
    </row>
    <row r="868" spans="1:10" x14ac:dyDescent="0.35">
      <c r="A868">
        <v>20</v>
      </c>
      <c r="B868" t="s">
        <v>194</v>
      </c>
      <c r="C868">
        <v>1336642.03</v>
      </c>
      <c r="D868">
        <v>0</v>
      </c>
      <c r="E868">
        <v>1336642.03</v>
      </c>
      <c r="F868">
        <v>30254.799999999999</v>
      </c>
      <c r="G868">
        <v>30254.799999999999</v>
      </c>
      <c r="H868">
        <v>1306387.23</v>
      </c>
      <c r="I868">
        <v>1306387.23</v>
      </c>
      <c r="J868" t="s">
        <v>428</v>
      </c>
    </row>
    <row r="869" spans="1:10" x14ac:dyDescent="0.35">
      <c r="A869">
        <v>30</v>
      </c>
      <c r="B869" t="s">
        <v>195</v>
      </c>
      <c r="C869">
        <v>12861.63</v>
      </c>
      <c r="D869">
        <v>0</v>
      </c>
      <c r="E869">
        <v>12861.63</v>
      </c>
      <c r="F869">
        <v>0</v>
      </c>
      <c r="G869">
        <v>0</v>
      </c>
      <c r="H869">
        <v>12861.63</v>
      </c>
      <c r="I869">
        <v>12861.63</v>
      </c>
      <c r="J869" t="s">
        <v>428</v>
      </c>
    </row>
    <row r="870" spans="1:10" x14ac:dyDescent="0.35">
      <c r="A870">
        <v>40</v>
      </c>
      <c r="B870" t="s">
        <v>196</v>
      </c>
      <c r="C870">
        <v>7632976.1699999999</v>
      </c>
      <c r="D870">
        <v>0</v>
      </c>
      <c r="E870">
        <v>7632976.1699999999</v>
      </c>
      <c r="F870">
        <v>-444718.98</v>
      </c>
      <c r="G870">
        <v>-444718.98</v>
      </c>
      <c r="H870">
        <v>8077695.1500000004</v>
      </c>
      <c r="I870">
        <v>8077695.1500000004</v>
      </c>
      <c r="J870" t="s">
        <v>428</v>
      </c>
    </row>
    <row r="871" spans="1:10" x14ac:dyDescent="0.35">
      <c r="A871">
        <v>50</v>
      </c>
      <c r="B871" t="s">
        <v>197</v>
      </c>
      <c r="C871">
        <v>6500438.6399999997</v>
      </c>
      <c r="D871">
        <v>0</v>
      </c>
      <c r="E871">
        <v>6500438.6399999997</v>
      </c>
      <c r="F871">
        <v>-121450.03</v>
      </c>
      <c r="G871">
        <v>-121450.03</v>
      </c>
      <c r="H871">
        <v>6621888.6699999999</v>
      </c>
      <c r="I871">
        <v>6621888.6699999999</v>
      </c>
      <c r="J871" t="s">
        <v>428</v>
      </c>
    </row>
    <row r="872" spans="1:10" x14ac:dyDescent="0.35">
      <c r="A872">
        <v>60</v>
      </c>
      <c r="B872" t="s">
        <v>198</v>
      </c>
      <c r="C872">
        <v>6275513.5999999996</v>
      </c>
      <c r="D872">
        <v>0</v>
      </c>
      <c r="E872">
        <v>6275513.5999999996</v>
      </c>
      <c r="F872">
        <v>2748165.23</v>
      </c>
      <c r="G872">
        <v>2748165.23</v>
      </c>
      <c r="H872">
        <v>3527348.37</v>
      </c>
      <c r="I872">
        <v>3527348.37</v>
      </c>
      <c r="J872" t="s">
        <v>428</v>
      </c>
    </row>
    <row r="873" spans="1:10" x14ac:dyDescent="0.35">
      <c r="A873">
        <v>70</v>
      </c>
      <c r="B873" t="s">
        <v>199</v>
      </c>
      <c r="C873">
        <v>379545.71</v>
      </c>
      <c r="D873">
        <v>0</v>
      </c>
      <c r="E873">
        <v>379545.71</v>
      </c>
      <c r="F873">
        <v>-177224.04</v>
      </c>
      <c r="G873">
        <v>-177224.04</v>
      </c>
      <c r="H873">
        <v>556769.75</v>
      </c>
      <c r="I873">
        <v>556769.75</v>
      </c>
      <c r="J873" t="s">
        <v>428</v>
      </c>
    </row>
    <row r="874" spans="1:10" x14ac:dyDescent="0.35">
      <c r="A874">
        <v>80</v>
      </c>
      <c r="B874" t="s">
        <v>545</v>
      </c>
      <c r="C874">
        <v>272323.61</v>
      </c>
      <c r="D874">
        <v>0</v>
      </c>
      <c r="E874">
        <v>272323.61</v>
      </c>
      <c r="F874">
        <v>678739.16</v>
      </c>
      <c r="G874">
        <v>678739.16</v>
      </c>
      <c r="H874">
        <v>-406415.55</v>
      </c>
      <c r="I874">
        <v>-406415.55</v>
      </c>
      <c r="J874" t="s">
        <v>428</v>
      </c>
    </row>
    <row r="875" spans="1:10" x14ac:dyDescent="0.35">
      <c r="A875">
        <v>100</v>
      </c>
      <c r="B875" t="s">
        <v>546</v>
      </c>
      <c r="C875">
        <v>22410301.390000001</v>
      </c>
      <c r="D875">
        <v>0</v>
      </c>
      <c r="E875">
        <v>22410301.390000001</v>
      </c>
      <c r="F875">
        <v>2713766.14</v>
      </c>
      <c r="G875">
        <v>2713766.14</v>
      </c>
      <c r="H875">
        <v>19696535.25</v>
      </c>
      <c r="I875">
        <v>19696535.25</v>
      </c>
      <c r="J875" t="s">
        <v>428</v>
      </c>
    </row>
    <row r="876" spans="1:10" x14ac:dyDescent="0.35">
      <c r="A876">
        <v>110</v>
      </c>
      <c r="B876" t="s">
        <v>547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 t="s">
        <v>428</v>
      </c>
    </row>
    <row r="877" spans="1:10" x14ac:dyDescent="0.35">
      <c r="A877">
        <v>120</v>
      </c>
      <c r="B877" t="s">
        <v>203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 t="s">
        <v>428</v>
      </c>
    </row>
    <row r="878" spans="1:10" x14ac:dyDescent="0.35">
      <c r="A878">
        <v>130</v>
      </c>
      <c r="B878" t="s">
        <v>204</v>
      </c>
      <c r="C878">
        <v>3760258.49</v>
      </c>
      <c r="D878">
        <v>0</v>
      </c>
      <c r="E878">
        <v>3760258.49</v>
      </c>
      <c r="F878">
        <v>0</v>
      </c>
      <c r="G878">
        <v>0</v>
      </c>
      <c r="H878">
        <v>3760258.49</v>
      </c>
      <c r="I878">
        <v>3760258.49</v>
      </c>
      <c r="J878" t="s">
        <v>428</v>
      </c>
    </row>
    <row r="879" spans="1:10" x14ac:dyDescent="0.35">
      <c r="A879">
        <v>140</v>
      </c>
      <c r="B879" t="s">
        <v>205</v>
      </c>
      <c r="C879">
        <v>1062222.8799999999</v>
      </c>
      <c r="D879">
        <v>0</v>
      </c>
      <c r="E879">
        <v>1062222.8799999999</v>
      </c>
      <c r="F879">
        <v>9984.75</v>
      </c>
      <c r="G879">
        <v>9984.75</v>
      </c>
      <c r="H879">
        <v>1052238.1299999999</v>
      </c>
      <c r="I879">
        <v>1052238.1299999999</v>
      </c>
      <c r="J879" t="s">
        <v>428</v>
      </c>
    </row>
    <row r="880" spans="1:10" x14ac:dyDescent="0.35">
      <c r="A880">
        <v>150</v>
      </c>
      <c r="B880" t="s">
        <v>206</v>
      </c>
      <c r="C880">
        <v>6444064.4400000004</v>
      </c>
      <c r="D880">
        <v>0</v>
      </c>
      <c r="E880">
        <v>6444064.4400000004</v>
      </c>
      <c r="F880">
        <v>0</v>
      </c>
      <c r="G880">
        <v>0</v>
      </c>
      <c r="H880">
        <v>6444064.4400000004</v>
      </c>
      <c r="I880">
        <v>6444064.4400000004</v>
      </c>
      <c r="J880" t="s">
        <v>428</v>
      </c>
    </row>
    <row r="881" spans="1:10" x14ac:dyDescent="0.35">
      <c r="A881">
        <v>160</v>
      </c>
      <c r="B881" t="s">
        <v>207</v>
      </c>
      <c r="C881">
        <v>30783641.300000001</v>
      </c>
      <c r="D881">
        <v>0</v>
      </c>
      <c r="E881">
        <v>30783641.300000001</v>
      </c>
      <c r="F881">
        <v>16433</v>
      </c>
      <c r="G881">
        <v>16433</v>
      </c>
      <c r="H881">
        <v>30767208.300000001</v>
      </c>
      <c r="I881">
        <v>30767208.300000001</v>
      </c>
      <c r="J881" t="s">
        <v>428</v>
      </c>
    </row>
    <row r="882" spans="1:10" x14ac:dyDescent="0.35">
      <c r="A882">
        <v>170</v>
      </c>
      <c r="B882" t="s">
        <v>208</v>
      </c>
      <c r="C882">
        <v>10560744.949999999</v>
      </c>
      <c r="D882">
        <v>0</v>
      </c>
      <c r="E882">
        <v>10560744.949999999</v>
      </c>
      <c r="F882">
        <v>0</v>
      </c>
      <c r="G882">
        <v>0</v>
      </c>
      <c r="H882">
        <v>10560744.949999999</v>
      </c>
      <c r="I882">
        <v>10560744.949999999</v>
      </c>
      <c r="J882" t="s">
        <v>428</v>
      </c>
    </row>
    <row r="883" spans="1:10" x14ac:dyDescent="0.35">
      <c r="A883">
        <v>180</v>
      </c>
      <c r="B883" t="s">
        <v>209</v>
      </c>
      <c r="C883">
        <v>8479394.8900000006</v>
      </c>
      <c r="D883">
        <v>0</v>
      </c>
      <c r="E883">
        <v>8479394.8900000006</v>
      </c>
      <c r="F883">
        <v>11581.03</v>
      </c>
      <c r="G883">
        <v>11581.03</v>
      </c>
      <c r="H883">
        <v>8467813.8599999994</v>
      </c>
      <c r="I883">
        <v>8467813.8599999994</v>
      </c>
      <c r="J883" t="s">
        <v>428</v>
      </c>
    </row>
    <row r="884" spans="1:10" x14ac:dyDescent="0.35">
      <c r="A884">
        <v>190</v>
      </c>
      <c r="B884" t="s">
        <v>210</v>
      </c>
      <c r="C884">
        <v>-27351984.98</v>
      </c>
      <c r="D884">
        <v>0</v>
      </c>
      <c r="E884">
        <v>-27351984.98</v>
      </c>
      <c r="F884">
        <v>-249581.19</v>
      </c>
      <c r="G884">
        <v>-249581.19</v>
      </c>
      <c r="H884">
        <v>-27102403.789999999</v>
      </c>
      <c r="I884">
        <v>-27102403.789999999</v>
      </c>
      <c r="J884" t="s">
        <v>428</v>
      </c>
    </row>
    <row r="885" spans="1:10" x14ac:dyDescent="0.35">
      <c r="A885">
        <v>200</v>
      </c>
      <c r="B885" t="s">
        <v>211</v>
      </c>
      <c r="C885">
        <v>33738341.969999999</v>
      </c>
      <c r="D885">
        <v>0</v>
      </c>
      <c r="E885">
        <v>33738341.969999999</v>
      </c>
      <c r="F885">
        <v>-211582.41</v>
      </c>
      <c r="G885">
        <v>-211582.41</v>
      </c>
      <c r="H885">
        <v>33949924.380000003</v>
      </c>
      <c r="I885">
        <v>33949924.380000003</v>
      </c>
      <c r="J885" t="s">
        <v>428</v>
      </c>
    </row>
    <row r="886" spans="1:10" x14ac:dyDescent="0.35">
      <c r="A886">
        <v>210</v>
      </c>
      <c r="B886" t="s">
        <v>548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 t="s">
        <v>428</v>
      </c>
    </row>
    <row r="887" spans="1:10" x14ac:dyDescent="0.35">
      <c r="A887">
        <v>220</v>
      </c>
      <c r="B887" t="s">
        <v>213</v>
      </c>
      <c r="C887">
        <v>49113.41</v>
      </c>
      <c r="D887">
        <v>0</v>
      </c>
      <c r="E887">
        <v>49113.41</v>
      </c>
      <c r="F887">
        <v>0</v>
      </c>
      <c r="G887">
        <v>0</v>
      </c>
      <c r="H887">
        <v>49113.41</v>
      </c>
      <c r="I887">
        <v>49113.41</v>
      </c>
      <c r="J887" t="s">
        <v>428</v>
      </c>
    </row>
    <row r="888" spans="1:10" x14ac:dyDescent="0.35">
      <c r="A888">
        <v>230</v>
      </c>
      <c r="B888" t="s">
        <v>214</v>
      </c>
      <c r="C888">
        <v>2604066.0099999998</v>
      </c>
      <c r="D888">
        <v>0</v>
      </c>
      <c r="E888">
        <v>2604066.0099999998</v>
      </c>
      <c r="F888">
        <v>0</v>
      </c>
      <c r="G888">
        <v>0</v>
      </c>
      <c r="H888">
        <v>2604066.0099999998</v>
      </c>
      <c r="I888">
        <v>2604066.0099999998</v>
      </c>
      <c r="J888" t="s">
        <v>428</v>
      </c>
    </row>
    <row r="889" spans="1:10" x14ac:dyDescent="0.35">
      <c r="A889">
        <v>240</v>
      </c>
      <c r="B889" t="s">
        <v>215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 t="s">
        <v>428</v>
      </c>
    </row>
    <row r="890" spans="1:10" x14ac:dyDescent="0.35">
      <c r="A890">
        <v>250</v>
      </c>
      <c r="B890" t="s">
        <v>216</v>
      </c>
      <c r="C890">
        <v>2653179.42</v>
      </c>
      <c r="D890">
        <v>0</v>
      </c>
      <c r="E890">
        <v>2653179.42</v>
      </c>
      <c r="F890">
        <v>0</v>
      </c>
      <c r="G890">
        <v>0</v>
      </c>
      <c r="H890">
        <v>2653179.42</v>
      </c>
      <c r="I890">
        <v>2653179.42</v>
      </c>
      <c r="J890" t="s">
        <v>428</v>
      </c>
    </row>
    <row r="891" spans="1:10" x14ac:dyDescent="0.35">
      <c r="A891">
        <v>260</v>
      </c>
      <c r="B891" t="s">
        <v>217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 t="s">
        <v>428</v>
      </c>
    </row>
    <row r="892" spans="1:10" x14ac:dyDescent="0.35">
      <c r="A892">
        <v>270</v>
      </c>
      <c r="B892" t="s">
        <v>218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 t="s">
        <v>428</v>
      </c>
    </row>
    <row r="893" spans="1:10" x14ac:dyDescent="0.35">
      <c r="A893">
        <v>280</v>
      </c>
      <c r="B893" t="s">
        <v>549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 t="s">
        <v>428</v>
      </c>
    </row>
    <row r="894" spans="1:10" x14ac:dyDescent="0.35">
      <c r="A894">
        <v>400</v>
      </c>
      <c r="B894" t="s">
        <v>220</v>
      </c>
      <c r="C894">
        <v>58801822.780000001</v>
      </c>
      <c r="D894">
        <v>0</v>
      </c>
      <c r="E894">
        <v>58801822.780000001</v>
      </c>
      <c r="F894">
        <v>2502183.73</v>
      </c>
      <c r="G894">
        <v>2502183.73</v>
      </c>
      <c r="H894">
        <v>56299639.049999997</v>
      </c>
      <c r="I894">
        <v>56299639.049999997</v>
      </c>
      <c r="J894" t="s">
        <v>428</v>
      </c>
    </row>
    <row r="895" spans="1:10" x14ac:dyDescent="0.35">
      <c r="A895">
        <v>410</v>
      </c>
      <c r="B895" t="s">
        <v>550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 t="s">
        <v>428</v>
      </c>
    </row>
    <row r="896" spans="1:10" x14ac:dyDescent="0.35">
      <c r="A896">
        <v>420</v>
      </c>
      <c r="B896" t="s">
        <v>222</v>
      </c>
      <c r="C896">
        <v>6443824.9699999997</v>
      </c>
      <c r="D896">
        <v>0</v>
      </c>
      <c r="E896">
        <v>6443824.9699999997</v>
      </c>
      <c r="F896">
        <v>4720148.3600000003</v>
      </c>
      <c r="G896">
        <v>4720148.3600000003</v>
      </c>
      <c r="H896">
        <v>1723676.61</v>
      </c>
      <c r="I896">
        <v>1723676.61</v>
      </c>
      <c r="J896" t="s">
        <v>428</v>
      </c>
    </row>
    <row r="897" spans="1:10" x14ac:dyDescent="0.35">
      <c r="A897">
        <v>430</v>
      </c>
      <c r="B897" t="s">
        <v>223</v>
      </c>
      <c r="C897">
        <v>9874117.9900000002</v>
      </c>
      <c r="D897">
        <v>0</v>
      </c>
      <c r="E897">
        <v>9874117.9900000002</v>
      </c>
      <c r="F897">
        <v>-311358.28000000003</v>
      </c>
      <c r="G897">
        <v>-311358.28000000003</v>
      </c>
      <c r="H897">
        <v>10185476.27</v>
      </c>
      <c r="I897">
        <v>10185476.27</v>
      </c>
      <c r="J897" t="s">
        <v>428</v>
      </c>
    </row>
    <row r="898" spans="1:10" x14ac:dyDescent="0.35">
      <c r="A898">
        <v>440</v>
      </c>
      <c r="B898" t="s">
        <v>224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 t="s">
        <v>428</v>
      </c>
    </row>
    <row r="899" spans="1:10" x14ac:dyDescent="0.35">
      <c r="A899">
        <v>450</v>
      </c>
      <c r="B899" t="s">
        <v>551</v>
      </c>
      <c r="C899">
        <v>2441139.06</v>
      </c>
      <c r="D899">
        <v>0</v>
      </c>
      <c r="E899">
        <v>2441139.06</v>
      </c>
      <c r="F899">
        <v>-54219.08</v>
      </c>
      <c r="G899">
        <v>-54219.08</v>
      </c>
      <c r="H899">
        <v>2495358.14</v>
      </c>
      <c r="I899">
        <v>2495358.14</v>
      </c>
      <c r="J899" t="s">
        <v>428</v>
      </c>
    </row>
    <row r="900" spans="1:10" x14ac:dyDescent="0.35">
      <c r="A900">
        <v>460</v>
      </c>
      <c r="B900" t="s">
        <v>552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 t="s">
        <v>428</v>
      </c>
    </row>
    <row r="901" spans="1:10" x14ac:dyDescent="0.35">
      <c r="A901">
        <v>500</v>
      </c>
      <c r="B901" t="s">
        <v>227</v>
      </c>
      <c r="C901">
        <v>18759082.02</v>
      </c>
      <c r="D901">
        <v>0</v>
      </c>
      <c r="E901">
        <v>18759082.02</v>
      </c>
      <c r="F901">
        <v>4354571</v>
      </c>
      <c r="G901">
        <v>4354571</v>
      </c>
      <c r="H901">
        <v>14404511.02</v>
      </c>
      <c r="I901">
        <v>14404511.02</v>
      </c>
      <c r="J901" t="s">
        <v>428</v>
      </c>
    </row>
    <row r="902" spans="1:10" x14ac:dyDescent="0.35">
      <c r="A902">
        <v>510</v>
      </c>
      <c r="B902" t="s">
        <v>553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 t="s">
        <v>428</v>
      </c>
    </row>
    <row r="903" spans="1:10" x14ac:dyDescent="0.35">
      <c r="A903">
        <v>520</v>
      </c>
      <c r="B903" t="s">
        <v>554</v>
      </c>
      <c r="C903">
        <v>-8.76</v>
      </c>
      <c r="D903">
        <v>0</v>
      </c>
      <c r="E903">
        <v>-8.76</v>
      </c>
      <c r="F903">
        <v>0</v>
      </c>
      <c r="G903">
        <v>0</v>
      </c>
      <c r="H903">
        <v>-8.76</v>
      </c>
      <c r="I903">
        <v>-8.76</v>
      </c>
      <c r="J903" t="s">
        <v>428</v>
      </c>
    </row>
    <row r="904" spans="1:10" x14ac:dyDescent="0.35">
      <c r="A904">
        <v>530</v>
      </c>
      <c r="B904" t="s">
        <v>554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 t="s">
        <v>428</v>
      </c>
    </row>
    <row r="905" spans="1:10" x14ac:dyDescent="0.35">
      <c r="A905">
        <v>540</v>
      </c>
      <c r="B905" t="s">
        <v>231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 t="s">
        <v>428</v>
      </c>
    </row>
    <row r="906" spans="1:10" x14ac:dyDescent="0.35">
      <c r="A906">
        <v>600</v>
      </c>
      <c r="B906" t="s">
        <v>232</v>
      </c>
      <c r="C906">
        <v>-8.76</v>
      </c>
      <c r="D906">
        <v>0</v>
      </c>
      <c r="E906">
        <v>-8.76</v>
      </c>
      <c r="F906">
        <v>0</v>
      </c>
      <c r="G906">
        <v>0</v>
      </c>
      <c r="H906">
        <v>-8.76</v>
      </c>
      <c r="I906">
        <v>-8.76</v>
      </c>
      <c r="J906" t="s">
        <v>428</v>
      </c>
    </row>
    <row r="907" spans="1:10" x14ac:dyDescent="0.35">
      <c r="A907">
        <v>610</v>
      </c>
      <c r="B907" t="s">
        <v>555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 t="s">
        <v>428</v>
      </c>
    </row>
    <row r="908" spans="1:10" x14ac:dyDescent="0.35">
      <c r="A908">
        <v>620</v>
      </c>
      <c r="B908" t="s">
        <v>234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 t="s">
        <v>428</v>
      </c>
    </row>
    <row r="909" spans="1:10" x14ac:dyDescent="0.35">
      <c r="A909">
        <v>700</v>
      </c>
      <c r="B909" t="s">
        <v>556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 t="s">
        <v>428</v>
      </c>
    </row>
    <row r="910" spans="1:10" x14ac:dyDescent="0.35">
      <c r="A910">
        <v>710</v>
      </c>
      <c r="B910" t="s">
        <v>557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 t="s">
        <v>428</v>
      </c>
    </row>
    <row r="911" spans="1:10" x14ac:dyDescent="0.35">
      <c r="A911">
        <v>720</v>
      </c>
      <c r="B911" t="s">
        <v>237</v>
      </c>
      <c r="C911">
        <v>37609982.340000004</v>
      </c>
      <c r="D911">
        <v>0</v>
      </c>
      <c r="E911">
        <v>37609982.340000004</v>
      </c>
      <c r="F911">
        <v>0</v>
      </c>
      <c r="G911">
        <v>0</v>
      </c>
      <c r="H911">
        <v>37609982.340000004</v>
      </c>
      <c r="I911">
        <v>37609982.340000004</v>
      </c>
      <c r="J911" t="s">
        <v>428</v>
      </c>
    </row>
    <row r="912" spans="1:10" x14ac:dyDescent="0.35">
      <c r="A912">
        <v>730</v>
      </c>
      <c r="B912" t="s">
        <v>238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 t="s">
        <v>428</v>
      </c>
    </row>
    <row r="913" spans="1:10" x14ac:dyDescent="0.35">
      <c r="A913">
        <v>740</v>
      </c>
      <c r="B913" t="s">
        <v>239</v>
      </c>
      <c r="C913">
        <v>4285154.45</v>
      </c>
      <c r="D913">
        <v>0</v>
      </c>
      <c r="E913">
        <v>4285154.45</v>
      </c>
      <c r="F913">
        <v>0</v>
      </c>
      <c r="G913">
        <v>0</v>
      </c>
      <c r="H913">
        <v>7555595.2199999997</v>
      </c>
      <c r="I913">
        <v>4285154.45</v>
      </c>
      <c r="J913" t="s">
        <v>428</v>
      </c>
    </row>
    <row r="914" spans="1:10" x14ac:dyDescent="0.35">
      <c r="A914">
        <v>750</v>
      </c>
      <c r="B914" t="s">
        <v>240</v>
      </c>
      <c r="C914">
        <v>-1852387.27</v>
      </c>
      <c r="D914">
        <v>1119089</v>
      </c>
      <c r="E914">
        <v>-2971476.27</v>
      </c>
      <c r="F914">
        <v>-1852387.27</v>
      </c>
      <c r="G914">
        <v>-1852387.27</v>
      </c>
      <c r="H914">
        <v>-3270440.77</v>
      </c>
      <c r="I914">
        <v>0</v>
      </c>
      <c r="J914" t="s">
        <v>428</v>
      </c>
    </row>
    <row r="915" spans="1:10" x14ac:dyDescent="0.35">
      <c r="A915">
        <v>760</v>
      </c>
      <c r="B915" t="s">
        <v>241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 t="s">
        <v>428</v>
      </c>
    </row>
    <row r="916" spans="1:10" x14ac:dyDescent="0.35">
      <c r="A916">
        <v>770</v>
      </c>
      <c r="B916" t="s">
        <v>242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 t="s">
        <v>428</v>
      </c>
    </row>
    <row r="917" spans="1:10" x14ac:dyDescent="0.35">
      <c r="A917">
        <v>800</v>
      </c>
      <c r="B917" t="s">
        <v>243</v>
      </c>
      <c r="C917">
        <v>40042749.520000003</v>
      </c>
      <c r="D917">
        <v>1119089</v>
      </c>
      <c r="E917">
        <v>38923660.520000003</v>
      </c>
      <c r="F917">
        <v>-1852387.27</v>
      </c>
      <c r="G917">
        <v>-1852387.27</v>
      </c>
      <c r="H917">
        <v>41895136.789999999</v>
      </c>
      <c r="I917">
        <v>41895136.789999999</v>
      </c>
      <c r="J917" t="s">
        <v>428</v>
      </c>
    </row>
    <row r="918" spans="1:10" x14ac:dyDescent="0.35">
      <c r="A918">
        <v>900</v>
      </c>
      <c r="B918" t="s">
        <v>244</v>
      </c>
      <c r="C918">
        <v>58801822.780000001</v>
      </c>
      <c r="D918">
        <v>1119089</v>
      </c>
      <c r="E918">
        <v>57682733.780000001</v>
      </c>
      <c r="F918">
        <v>2502183.73</v>
      </c>
      <c r="G918">
        <v>2502183.73</v>
      </c>
      <c r="H918">
        <v>56299639.049999997</v>
      </c>
      <c r="I918">
        <v>56299639.049999997</v>
      </c>
      <c r="J918" t="s">
        <v>428</v>
      </c>
    </row>
    <row r="919" spans="1:10" x14ac:dyDescent="0.35">
      <c r="A919">
        <v>1000</v>
      </c>
      <c r="B919" t="s">
        <v>558</v>
      </c>
      <c r="C919">
        <v>0</v>
      </c>
      <c r="D919">
        <v>-1119089</v>
      </c>
      <c r="E919">
        <v>1119089</v>
      </c>
      <c r="F919">
        <v>0</v>
      </c>
      <c r="G919">
        <v>0</v>
      </c>
      <c r="H919">
        <v>0</v>
      </c>
      <c r="I919">
        <v>0</v>
      </c>
      <c r="J919" t="s">
        <v>428</v>
      </c>
    </row>
    <row r="920" spans="1:10" x14ac:dyDescent="0.35">
      <c r="A920" t="s">
        <v>499</v>
      </c>
      <c r="B920" t="s">
        <v>416</v>
      </c>
      <c r="C920" t="s">
        <v>537</v>
      </c>
      <c r="D920" t="s">
        <v>538</v>
      </c>
      <c r="E920" t="s">
        <v>539</v>
      </c>
      <c r="F920" t="s">
        <v>540</v>
      </c>
      <c r="G920" t="s">
        <v>541</v>
      </c>
      <c r="H920" t="s">
        <v>542</v>
      </c>
      <c r="I920" t="s">
        <v>543</v>
      </c>
      <c r="J920" t="s">
        <v>121</v>
      </c>
    </row>
    <row r="921" spans="1:10" x14ac:dyDescent="0.35">
      <c r="A921">
        <v>10</v>
      </c>
      <c r="B921" t="s">
        <v>544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 t="s">
        <v>428</v>
      </c>
    </row>
    <row r="922" spans="1:10" x14ac:dyDescent="0.35">
      <c r="A922">
        <v>20</v>
      </c>
      <c r="B922" t="s">
        <v>194</v>
      </c>
      <c r="C922">
        <v>5334749.22</v>
      </c>
      <c r="D922">
        <v>0</v>
      </c>
      <c r="E922">
        <v>5334749.22</v>
      </c>
      <c r="F922">
        <v>2771585.69</v>
      </c>
      <c r="G922">
        <v>2771585.69</v>
      </c>
      <c r="H922">
        <v>2563163.5299999998</v>
      </c>
      <c r="I922">
        <v>2563163.5299999998</v>
      </c>
      <c r="J922" t="s">
        <v>428</v>
      </c>
    </row>
    <row r="923" spans="1:10" x14ac:dyDescent="0.35">
      <c r="A923">
        <v>30</v>
      </c>
      <c r="B923" t="s">
        <v>195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 t="s">
        <v>428</v>
      </c>
    </row>
    <row r="924" spans="1:10" x14ac:dyDescent="0.35">
      <c r="A924">
        <v>40</v>
      </c>
      <c r="B924" t="s">
        <v>196</v>
      </c>
      <c r="C924">
        <v>25601359.059999999</v>
      </c>
      <c r="D924">
        <v>0</v>
      </c>
      <c r="E924">
        <v>25601359.059999999</v>
      </c>
      <c r="F924">
        <v>3608450.5</v>
      </c>
      <c r="G924">
        <v>3608450.5</v>
      </c>
      <c r="H924">
        <v>21992908.559999999</v>
      </c>
      <c r="I924">
        <v>21992908.559999999</v>
      </c>
      <c r="J924" t="s">
        <v>428</v>
      </c>
    </row>
    <row r="925" spans="1:10" x14ac:dyDescent="0.35">
      <c r="A925">
        <v>50</v>
      </c>
      <c r="B925" t="s">
        <v>197</v>
      </c>
      <c r="C925">
        <v>48836382.840000004</v>
      </c>
      <c r="D925">
        <v>0</v>
      </c>
      <c r="E925">
        <v>48836382.840000004</v>
      </c>
      <c r="F925">
        <v>529393.91</v>
      </c>
      <c r="G925">
        <v>529393.91</v>
      </c>
      <c r="H925">
        <v>48306988.93</v>
      </c>
      <c r="I925">
        <v>48306988.93</v>
      </c>
      <c r="J925" t="s">
        <v>428</v>
      </c>
    </row>
    <row r="926" spans="1:10" x14ac:dyDescent="0.35">
      <c r="A926">
        <v>60</v>
      </c>
      <c r="B926" t="s">
        <v>198</v>
      </c>
      <c r="C926">
        <v>12883465.92</v>
      </c>
      <c r="D926">
        <v>0</v>
      </c>
      <c r="E926">
        <v>12883465.92</v>
      </c>
      <c r="F926">
        <v>497029.79</v>
      </c>
      <c r="G926">
        <v>497029.79</v>
      </c>
      <c r="H926">
        <v>12386436.130000001</v>
      </c>
      <c r="I926">
        <v>12386436.130000001</v>
      </c>
      <c r="J926" t="s">
        <v>428</v>
      </c>
    </row>
    <row r="927" spans="1:10" x14ac:dyDescent="0.35">
      <c r="A927">
        <v>70</v>
      </c>
      <c r="B927" t="s">
        <v>199</v>
      </c>
      <c r="C927">
        <v>1802079.12</v>
      </c>
      <c r="D927">
        <v>0</v>
      </c>
      <c r="E927">
        <v>1802079.12</v>
      </c>
      <c r="F927">
        <v>0</v>
      </c>
      <c r="G927">
        <v>0</v>
      </c>
      <c r="H927">
        <v>1802079.12</v>
      </c>
      <c r="I927">
        <v>1802079.12</v>
      </c>
      <c r="J927" t="s">
        <v>428</v>
      </c>
    </row>
    <row r="928" spans="1:10" x14ac:dyDescent="0.35">
      <c r="A928">
        <v>80</v>
      </c>
      <c r="B928" t="s">
        <v>559</v>
      </c>
      <c r="C928">
        <v>17652962.739999998</v>
      </c>
      <c r="D928">
        <v>0</v>
      </c>
      <c r="E928">
        <v>17652962.739999998</v>
      </c>
      <c r="F928">
        <v>-9668164.0899999999</v>
      </c>
      <c r="G928">
        <v>-9668164.0899999999</v>
      </c>
      <c r="H928">
        <v>27321126.829999998</v>
      </c>
      <c r="I928">
        <v>27321126.829999998</v>
      </c>
      <c r="J928" t="s">
        <v>428</v>
      </c>
    </row>
    <row r="929" spans="1:10" x14ac:dyDescent="0.35">
      <c r="A929">
        <v>100</v>
      </c>
      <c r="B929" t="s">
        <v>546</v>
      </c>
      <c r="C929">
        <v>112110998.90000001</v>
      </c>
      <c r="D929">
        <v>0</v>
      </c>
      <c r="E929">
        <v>112110998.90000001</v>
      </c>
      <c r="F929">
        <v>-2261704.2000000002</v>
      </c>
      <c r="G929">
        <v>-2261704.2000000002</v>
      </c>
      <c r="H929">
        <v>114372703.09999999</v>
      </c>
      <c r="I929">
        <v>114372703.09999999</v>
      </c>
      <c r="J929" t="s">
        <v>428</v>
      </c>
    </row>
    <row r="930" spans="1:10" x14ac:dyDescent="0.35">
      <c r="A930">
        <v>110</v>
      </c>
      <c r="B930" t="s">
        <v>547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 t="s">
        <v>428</v>
      </c>
    </row>
    <row r="931" spans="1:10" x14ac:dyDescent="0.35">
      <c r="A931">
        <v>120</v>
      </c>
      <c r="B931" t="s">
        <v>203</v>
      </c>
      <c r="C931">
        <v>12810029</v>
      </c>
      <c r="D931">
        <v>0</v>
      </c>
      <c r="E931">
        <v>12810029</v>
      </c>
      <c r="F931">
        <v>0</v>
      </c>
      <c r="G931">
        <v>0</v>
      </c>
      <c r="H931">
        <v>12810029</v>
      </c>
      <c r="I931">
        <v>12810029</v>
      </c>
      <c r="J931" t="s">
        <v>428</v>
      </c>
    </row>
    <row r="932" spans="1:10" x14ac:dyDescent="0.35">
      <c r="A932">
        <v>130</v>
      </c>
      <c r="B932" t="s">
        <v>204</v>
      </c>
      <c r="C932">
        <v>51503769.619999997</v>
      </c>
      <c r="D932">
        <v>0</v>
      </c>
      <c r="E932">
        <v>51503769.619999997</v>
      </c>
      <c r="F932">
        <v>0</v>
      </c>
      <c r="G932">
        <v>0</v>
      </c>
      <c r="H932">
        <v>51503769.619999997</v>
      </c>
      <c r="I932">
        <v>51503769.619999997</v>
      </c>
      <c r="J932" t="s">
        <v>428</v>
      </c>
    </row>
    <row r="933" spans="1:10" x14ac:dyDescent="0.35">
      <c r="A933">
        <v>140</v>
      </c>
      <c r="B933" t="s">
        <v>205</v>
      </c>
      <c r="C933">
        <v>564457.99</v>
      </c>
      <c r="D933">
        <v>0</v>
      </c>
      <c r="E933">
        <v>564457.99</v>
      </c>
      <c r="F933">
        <v>0</v>
      </c>
      <c r="G933">
        <v>0</v>
      </c>
      <c r="H933">
        <v>564457.99</v>
      </c>
      <c r="I933">
        <v>564457.99</v>
      </c>
      <c r="J933" t="s">
        <v>428</v>
      </c>
    </row>
    <row r="934" spans="1:10" x14ac:dyDescent="0.35">
      <c r="A934">
        <v>150</v>
      </c>
      <c r="B934" t="s">
        <v>206</v>
      </c>
      <c r="C934">
        <v>6026703.4199999999</v>
      </c>
      <c r="D934">
        <v>0</v>
      </c>
      <c r="E934">
        <v>6026703.4199999999</v>
      </c>
      <c r="F934">
        <v>0</v>
      </c>
      <c r="G934">
        <v>0</v>
      </c>
      <c r="H934">
        <v>6026703.4199999999</v>
      </c>
      <c r="I934">
        <v>6026703.4199999999</v>
      </c>
      <c r="J934" t="s">
        <v>428</v>
      </c>
    </row>
    <row r="935" spans="1:10" x14ac:dyDescent="0.35">
      <c r="A935">
        <v>160</v>
      </c>
      <c r="B935" t="s">
        <v>207</v>
      </c>
      <c r="C935">
        <v>696855.62</v>
      </c>
      <c r="D935">
        <v>0</v>
      </c>
      <c r="E935">
        <v>696855.62</v>
      </c>
      <c r="F935">
        <v>-399051.72</v>
      </c>
      <c r="G935">
        <v>-399051.72</v>
      </c>
      <c r="H935">
        <v>1095907.3400000001</v>
      </c>
      <c r="I935">
        <v>1095907.3400000001</v>
      </c>
      <c r="J935" t="s">
        <v>428</v>
      </c>
    </row>
    <row r="936" spans="1:10" x14ac:dyDescent="0.35">
      <c r="A936">
        <v>170</v>
      </c>
      <c r="B936" t="s">
        <v>208</v>
      </c>
      <c r="C936">
        <v>32310737.530000001</v>
      </c>
      <c r="D936">
        <v>0</v>
      </c>
      <c r="E936">
        <v>32310737.530000001</v>
      </c>
      <c r="F936">
        <v>0</v>
      </c>
      <c r="G936">
        <v>0</v>
      </c>
      <c r="H936">
        <v>32310737.530000001</v>
      </c>
      <c r="I936">
        <v>32310737.530000001</v>
      </c>
      <c r="J936" t="s">
        <v>428</v>
      </c>
    </row>
    <row r="937" spans="1:10" x14ac:dyDescent="0.35">
      <c r="A937">
        <v>180</v>
      </c>
      <c r="B937" t="s">
        <v>209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 t="s">
        <v>428</v>
      </c>
    </row>
    <row r="938" spans="1:10" x14ac:dyDescent="0.35">
      <c r="A938">
        <v>190</v>
      </c>
      <c r="B938" t="s">
        <v>210</v>
      </c>
      <c r="C938">
        <v>-17210847.030000001</v>
      </c>
      <c r="D938">
        <v>0</v>
      </c>
      <c r="E938">
        <v>-17210847.030000001</v>
      </c>
      <c r="F938">
        <v>23975.25</v>
      </c>
      <c r="G938">
        <v>23975.25</v>
      </c>
      <c r="H938">
        <v>-17234822.280000001</v>
      </c>
      <c r="I938">
        <v>-17234822.280000001</v>
      </c>
      <c r="J938" t="s">
        <v>428</v>
      </c>
    </row>
    <row r="939" spans="1:10" x14ac:dyDescent="0.35">
      <c r="A939">
        <v>200</v>
      </c>
      <c r="B939" t="s">
        <v>211</v>
      </c>
      <c r="C939">
        <v>86701706.150000006</v>
      </c>
      <c r="D939">
        <v>0</v>
      </c>
      <c r="E939">
        <v>86701706.150000006</v>
      </c>
      <c r="F939">
        <v>-375076.47</v>
      </c>
      <c r="G939">
        <v>-375076.47</v>
      </c>
      <c r="H939">
        <v>87076782.620000005</v>
      </c>
      <c r="I939">
        <v>87076782.620000005</v>
      </c>
      <c r="J939" t="s">
        <v>428</v>
      </c>
    </row>
    <row r="940" spans="1:10" x14ac:dyDescent="0.35">
      <c r="A940">
        <v>210</v>
      </c>
      <c r="B940" t="s">
        <v>548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 t="s">
        <v>428</v>
      </c>
    </row>
    <row r="941" spans="1:10" x14ac:dyDescent="0.35">
      <c r="A941">
        <v>220</v>
      </c>
      <c r="B941" t="s">
        <v>213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 t="s">
        <v>428</v>
      </c>
    </row>
    <row r="942" spans="1:10" x14ac:dyDescent="0.35">
      <c r="A942">
        <v>230</v>
      </c>
      <c r="B942" t="s">
        <v>214</v>
      </c>
      <c r="C942">
        <v>1053702.05</v>
      </c>
      <c r="D942">
        <v>0</v>
      </c>
      <c r="E942">
        <v>1053702.05</v>
      </c>
      <c r="F942">
        <v>0</v>
      </c>
      <c r="G942">
        <v>0</v>
      </c>
      <c r="H942">
        <v>1053702.05</v>
      </c>
      <c r="I942">
        <v>1053702.05</v>
      </c>
      <c r="J942" t="s">
        <v>428</v>
      </c>
    </row>
    <row r="943" spans="1:10" x14ac:dyDescent="0.35">
      <c r="A943">
        <v>240</v>
      </c>
      <c r="B943" t="s">
        <v>215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 t="s">
        <v>428</v>
      </c>
    </row>
    <row r="944" spans="1:10" x14ac:dyDescent="0.35">
      <c r="A944">
        <v>250</v>
      </c>
      <c r="B944" t="s">
        <v>216</v>
      </c>
      <c r="C944">
        <v>1053702.05</v>
      </c>
      <c r="D944">
        <v>0</v>
      </c>
      <c r="E944">
        <v>1053702.05</v>
      </c>
      <c r="F944">
        <v>0</v>
      </c>
      <c r="G944">
        <v>0</v>
      </c>
      <c r="H944">
        <v>1053702.05</v>
      </c>
      <c r="I944">
        <v>1053702.05</v>
      </c>
      <c r="J944" t="s">
        <v>428</v>
      </c>
    </row>
    <row r="945" spans="1:10" x14ac:dyDescent="0.35">
      <c r="A945">
        <v>260</v>
      </c>
      <c r="B945" t="s">
        <v>217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 t="s">
        <v>428</v>
      </c>
    </row>
    <row r="946" spans="1:10" x14ac:dyDescent="0.35">
      <c r="A946">
        <v>270</v>
      </c>
      <c r="B946" t="s">
        <v>218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 t="s">
        <v>428</v>
      </c>
    </row>
    <row r="947" spans="1:10" x14ac:dyDescent="0.35">
      <c r="A947">
        <v>280</v>
      </c>
      <c r="B947" t="s">
        <v>549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 t="s">
        <v>428</v>
      </c>
    </row>
    <row r="948" spans="1:10" x14ac:dyDescent="0.35">
      <c r="A948">
        <v>400</v>
      </c>
      <c r="B948" t="s">
        <v>220</v>
      </c>
      <c r="C948">
        <v>199866407.09999999</v>
      </c>
      <c r="D948">
        <v>0</v>
      </c>
      <c r="E948">
        <v>199866407.09999999</v>
      </c>
      <c r="F948">
        <v>-2636780.67</v>
      </c>
      <c r="G948">
        <v>-2636780.67</v>
      </c>
      <c r="H948">
        <v>202503187.77000001</v>
      </c>
      <c r="I948">
        <v>202503187.77000001</v>
      </c>
      <c r="J948" t="s">
        <v>428</v>
      </c>
    </row>
    <row r="949" spans="1:10" x14ac:dyDescent="0.35">
      <c r="A949">
        <v>410</v>
      </c>
      <c r="B949" t="s">
        <v>550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 t="s">
        <v>428</v>
      </c>
    </row>
    <row r="950" spans="1:10" x14ac:dyDescent="0.35">
      <c r="A950">
        <v>420</v>
      </c>
      <c r="B950" t="s">
        <v>222</v>
      </c>
      <c r="C950">
        <v>33667433.719999999</v>
      </c>
      <c r="D950">
        <v>0</v>
      </c>
      <c r="E950">
        <v>33667433.719999999</v>
      </c>
      <c r="F950">
        <v>-4555550.26</v>
      </c>
      <c r="G950">
        <v>-4555550.26</v>
      </c>
      <c r="H950">
        <v>38222983.979999997</v>
      </c>
      <c r="I950">
        <v>38222983.979999997</v>
      </c>
      <c r="J950" t="s">
        <v>428</v>
      </c>
    </row>
    <row r="951" spans="1:10" x14ac:dyDescent="0.35">
      <c r="A951">
        <v>430</v>
      </c>
      <c r="B951" t="s">
        <v>223</v>
      </c>
      <c r="C951">
        <v>1283022.57</v>
      </c>
      <c r="D951">
        <v>0</v>
      </c>
      <c r="E951">
        <v>1283022.57</v>
      </c>
      <c r="F951">
        <v>-252194.22</v>
      </c>
      <c r="G951">
        <v>-252194.22</v>
      </c>
      <c r="H951">
        <v>1535216.79</v>
      </c>
      <c r="I951">
        <v>1535216.79</v>
      </c>
      <c r="J951" t="s">
        <v>428</v>
      </c>
    </row>
    <row r="952" spans="1:10" x14ac:dyDescent="0.35">
      <c r="A952">
        <v>440</v>
      </c>
      <c r="B952" t="s">
        <v>224</v>
      </c>
      <c r="C952">
        <v>542888.92000000004</v>
      </c>
      <c r="D952">
        <v>0</v>
      </c>
      <c r="E952">
        <v>542888.92000000004</v>
      </c>
      <c r="F952">
        <v>-103144.14</v>
      </c>
      <c r="G952">
        <v>-103144.14</v>
      </c>
      <c r="H952">
        <v>646033.06000000006</v>
      </c>
      <c r="I952">
        <v>646033.06000000006</v>
      </c>
      <c r="J952" t="s">
        <v>428</v>
      </c>
    </row>
    <row r="953" spans="1:10" x14ac:dyDescent="0.35">
      <c r="A953">
        <v>450</v>
      </c>
      <c r="B953" t="s">
        <v>225</v>
      </c>
      <c r="C953">
        <v>15603619.76</v>
      </c>
      <c r="D953">
        <v>0</v>
      </c>
      <c r="E953">
        <v>15603619.76</v>
      </c>
      <c r="F953">
        <v>110820.51</v>
      </c>
      <c r="G953">
        <v>110820.51</v>
      </c>
      <c r="H953">
        <v>15492799.25</v>
      </c>
      <c r="I953">
        <v>15492799.25</v>
      </c>
      <c r="J953" t="s">
        <v>428</v>
      </c>
    </row>
    <row r="954" spans="1:10" x14ac:dyDescent="0.35">
      <c r="A954">
        <v>460</v>
      </c>
      <c r="B954" t="s">
        <v>560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 t="s">
        <v>428</v>
      </c>
    </row>
    <row r="955" spans="1:10" x14ac:dyDescent="0.35">
      <c r="A955">
        <v>500</v>
      </c>
      <c r="B955" t="s">
        <v>227</v>
      </c>
      <c r="C955">
        <v>51096964.969999999</v>
      </c>
      <c r="D955">
        <v>0</v>
      </c>
      <c r="E955">
        <v>51096964.969999999</v>
      </c>
      <c r="F955">
        <v>-4800068.1100000003</v>
      </c>
      <c r="G955">
        <v>-4800068.1100000003</v>
      </c>
      <c r="H955">
        <v>55897033.079999998</v>
      </c>
      <c r="I955">
        <v>55897033.079999998</v>
      </c>
      <c r="J955" t="s">
        <v>428</v>
      </c>
    </row>
    <row r="956" spans="1:10" x14ac:dyDescent="0.35">
      <c r="A956">
        <v>510</v>
      </c>
      <c r="B956" t="s">
        <v>553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 t="s">
        <v>428</v>
      </c>
    </row>
    <row r="957" spans="1:10" x14ac:dyDescent="0.35">
      <c r="A957">
        <v>520</v>
      </c>
      <c r="B957" t="s">
        <v>229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 t="s">
        <v>428</v>
      </c>
    </row>
    <row r="958" spans="1:10" x14ac:dyDescent="0.35">
      <c r="A958">
        <v>530</v>
      </c>
      <c r="B958" t="s">
        <v>230</v>
      </c>
      <c r="C958">
        <v>53975555.82</v>
      </c>
      <c r="D958">
        <v>0</v>
      </c>
      <c r="E958">
        <v>53975555.82</v>
      </c>
      <c r="F958">
        <v>-436347.19</v>
      </c>
      <c r="G958">
        <v>-436347.19</v>
      </c>
      <c r="H958">
        <v>54411903.009999998</v>
      </c>
      <c r="I958">
        <v>54411903.009999998</v>
      </c>
      <c r="J958" t="s">
        <v>428</v>
      </c>
    </row>
    <row r="959" spans="1:10" x14ac:dyDescent="0.35">
      <c r="A959">
        <v>540</v>
      </c>
      <c r="B959" t="s">
        <v>231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 t="s">
        <v>428</v>
      </c>
    </row>
    <row r="960" spans="1:10" x14ac:dyDescent="0.35">
      <c r="A960">
        <v>600</v>
      </c>
      <c r="B960" t="s">
        <v>232</v>
      </c>
      <c r="C960">
        <v>53975555.82</v>
      </c>
      <c r="D960">
        <v>0</v>
      </c>
      <c r="E960">
        <v>53975555.82</v>
      </c>
      <c r="F960">
        <v>-436347.19</v>
      </c>
      <c r="G960">
        <v>-436347.19</v>
      </c>
      <c r="H960">
        <v>54411903.009999998</v>
      </c>
      <c r="I960">
        <v>54411903.009999998</v>
      </c>
      <c r="J960" t="s">
        <v>428</v>
      </c>
    </row>
    <row r="961" spans="1:10" x14ac:dyDescent="0.35">
      <c r="A961">
        <v>610</v>
      </c>
      <c r="B961" t="s">
        <v>555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 t="s">
        <v>428</v>
      </c>
    </row>
    <row r="962" spans="1:10" x14ac:dyDescent="0.35">
      <c r="A962">
        <v>620</v>
      </c>
      <c r="B962" t="s">
        <v>234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 t="s">
        <v>428</v>
      </c>
    </row>
    <row r="963" spans="1:10" x14ac:dyDescent="0.35">
      <c r="A963">
        <v>700</v>
      </c>
      <c r="B963" t="s">
        <v>556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 t="s">
        <v>428</v>
      </c>
    </row>
    <row r="964" spans="1:10" x14ac:dyDescent="0.35">
      <c r="A964">
        <v>710</v>
      </c>
      <c r="B964" t="s">
        <v>557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 t="s">
        <v>428</v>
      </c>
    </row>
    <row r="965" spans="1:10" x14ac:dyDescent="0.35">
      <c r="A965">
        <v>720</v>
      </c>
      <c r="B965" t="s">
        <v>237</v>
      </c>
      <c r="C965">
        <v>90900</v>
      </c>
      <c r="D965">
        <v>0</v>
      </c>
      <c r="E965">
        <v>90900</v>
      </c>
      <c r="F965">
        <v>0</v>
      </c>
      <c r="G965">
        <v>0</v>
      </c>
      <c r="H965">
        <v>90900</v>
      </c>
      <c r="I965">
        <v>90900</v>
      </c>
      <c r="J965" t="s">
        <v>428</v>
      </c>
    </row>
    <row r="966" spans="1:10" x14ac:dyDescent="0.35">
      <c r="A966">
        <v>730</v>
      </c>
      <c r="B966" t="s">
        <v>238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 t="s">
        <v>428</v>
      </c>
    </row>
    <row r="967" spans="1:10" x14ac:dyDescent="0.35">
      <c r="A967">
        <v>740</v>
      </c>
      <c r="B967" t="s">
        <v>239</v>
      </c>
      <c r="C967">
        <v>93537899.480000004</v>
      </c>
      <c r="D967">
        <v>0</v>
      </c>
      <c r="E967">
        <v>93537899.480000004</v>
      </c>
      <c r="F967">
        <v>0</v>
      </c>
      <c r="G967">
        <v>0</v>
      </c>
      <c r="H967">
        <v>54393058.689999998</v>
      </c>
      <c r="I967">
        <v>93537899.480000004</v>
      </c>
      <c r="J967" t="s">
        <v>428</v>
      </c>
    </row>
    <row r="968" spans="1:10" x14ac:dyDescent="0.35">
      <c r="A968">
        <v>750</v>
      </c>
      <c r="B968" t="s">
        <v>240</v>
      </c>
      <c r="C968">
        <v>2599634.63</v>
      </c>
      <c r="D968">
        <v>7583050</v>
      </c>
      <c r="E968">
        <v>-4983415.37</v>
      </c>
      <c r="F968">
        <v>2599634.63</v>
      </c>
      <c r="G968">
        <v>2599634.63</v>
      </c>
      <c r="H968">
        <v>39144840.789999999</v>
      </c>
      <c r="I968">
        <v>0</v>
      </c>
      <c r="J968" t="s">
        <v>428</v>
      </c>
    </row>
    <row r="969" spans="1:10" x14ac:dyDescent="0.35">
      <c r="A969">
        <v>760</v>
      </c>
      <c r="B969" t="s">
        <v>241</v>
      </c>
      <c r="C969">
        <v>-1434547.8</v>
      </c>
      <c r="D969">
        <v>0</v>
      </c>
      <c r="E969">
        <v>-1434547.8</v>
      </c>
      <c r="F969">
        <v>0</v>
      </c>
      <c r="G969">
        <v>0</v>
      </c>
      <c r="H969">
        <v>-1434547.8</v>
      </c>
      <c r="I969">
        <v>-1434547.8</v>
      </c>
      <c r="J969" t="s">
        <v>428</v>
      </c>
    </row>
    <row r="970" spans="1:10" x14ac:dyDescent="0.35">
      <c r="A970">
        <v>770</v>
      </c>
      <c r="B970" t="s">
        <v>242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 t="s">
        <v>428</v>
      </c>
    </row>
    <row r="971" spans="1:10" x14ac:dyDescent="0.35">
      <c r="A971">
        <v>800</v>
      </c>
      <c r="B971" t="s">
        <v>243</v>
      </c>
      <c r="C971">
        <v>94793886.310000002</v>
      </c>
      <c r="D971">
        <v>7583050</v>
      </c>
      <c r="E971">
        <v>87210836.310000002</v>
      </c>
      <c r="F971">
        <v>2599634.63</v>
      </c>
      <c r="G971">
        <v>2599634.63</v>
      </c>
      <c r="H971">
        <v>92194251.680000007</v>
      </c>
      <c r="I971">
        <v>92194251.680000007</v>
      </c>
      <c r="J971" t="s">
        <v>428</v>
      </c>
    </row>
    <row r="972" spans="1:10" x14ac:dyDescent="0.35">
      <c r="A972">
        <v>900</v>
      </c>
      <c r="B972" t="s">
        <v>244</v>
      </c>
      <c r="C972">
        <v>199866407.09999999</v>
      </c>
      <c r="D972">
        <v>7583050</v>
      </c>
      <c r="E972">
        <v>192283357.09999999</v>
      </c>
      <c r="F972">
        <v>-2636780.67</v>
      </c>
      <c r="G972">
        <v>-2636780.67</v>
      </c>
      <c r="H972">
        <v>202503187.77000001</v>
      </c>
      <c r="I972">
        <v>202503187.77000001</v>
      </c>
      <c r="J972" t="s">
        <v>428</v>
      </c>
    </row>
    <row r="973" spans="1:10" x14ac:dyDescent="0.35">
      <c r="A973">
        <v>1000</v>
      </c>
      <c r="B973" t="s">
        <v>558</v>
      </c>
      <c r="C973">
        <v>0</v>
      </c>
      <c r="D973">
        <v>-7583050</v>
      </c>
      <c r="E973">
        <v>7583050</v>
      </c>
      <c r="F973">
        <v>0</v>
      </c>
      <c r="G973">
        <v>0</v>
      </c>
      <c r="H973">
        <v>0</v>
      </c>
      <c r="I973">
        <v>0</v>
      </c>
      <c r="J973" t="s">
        <v>428</v>
      </c>
    </row>
    <row r="974" spans="1:10" x14ac:dyDescent="0.35">
      <c r="A974" t="s">
        <v>500</v>
      </c>
      <c r="B974" t="s">
        <v>416</v>
      </c>
      <c r="C974" t="s">
        <v>537</v>
      </c>
      <c r="D974" t="s">
        <v>538</v>
      </c>
      <c r="E974" t="s">
        <v>539</v>
      </c>
      <c r="F974" t="s">
        <v>540</v>
      </c>
      <c r="G974" t="s">
        <v>541</v>
      </c>
      <c r="H974" t="s">
        <v>542</v>
      </c>
      <c r="I974" t="s">
        <v>543</v>
      </c>
      <c r="J974" t="s">
        <v>121</v>
      </c>
    </row>
    <row r="975" spans="1:10" x14ac:dyDescent="0.35">
      <c r="A975">
        <v>10</v>
      </c>
      <c r="B975" t="s">
        <v>544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 t="s">
        <v>428</v>
      </c>
    </row>
    <row r="976" spans="1:10" x14ac:dyDescent="0.35">
      <c r="A976">
        <v>20</v>
      </c>
      <c r="B976" t="s">
        <v>194</v>
      </c>
      <c r="C976">
        <v>1496828.14</v>
      </c>
      <c r="D976">
        <v>0</v>
      </c>
      <c r="E976">
        <v>1496828.14</v>
      </c>
      <c r="F976">
        <v>29537.95</v>
      </c>
      <c r="G976">
        <v>29537.95</v>
      </c>
      <c r="H976">
        <v>1467290.19</v>
      </c>
      <c r="I976">
        <v>1467290.19</v>
      </c>
      <c r="J976" t="s">
        <v>428</v>
      </c>
    </row>
    <row r="977" spans="1:10" x14ac:dyDescent="0.35">
      <c r="A977">
        <v>30</v>
      </c>
      <c r="B977" t="s">
        <v>195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 t="s">
        <v>428</v>
      </c>
    </row>
    <row r="978" spans="1:10" x14ac:dyDescent="0.35">
      <c r="A978">
        <v>40</v>
      </c>
      <c r="B978" t="s">
        <v>196</v>
      </c>
      <c r="C978">
        <v>1845278.99</v>
      </c>
      <c r="D978">
        <v>0</v>
      </c>
      <c r="E978">
        <v>1845278.99</v>
      </c>
      <c r="F978">
        <v>265486.99</v>
      </c>
      <c r="G978">
        <v>265486.99</v>
      </c>
      <c r="H978">
        <v>1579792</v>
      </c>
      <c r="I978">
        <v>1579792</v>
      </c>
      <c r="J978" t="s">
        <v>428</v>
      </c>
    </row>
    <row r="979" spans="1:10" x14ac:dyDescent="0.35">
      <c r="A979">
        <v>50</v>
      </c>
      <c r="B979" t="s">
        <v>197</v>
      </c>
      <c r="C979">
        <v>12441123.9</v>
      </c>
      <c r="D979">
        <v>0</v>
      </c>
      <c r="E979">
        <v>12441123.9</v>
      </c>
      <c r="F979">
        <v>1435682.43</v>
      </c>
      <c r="G979">
        <v>1435682.43</v>
      </c>
      <c r="H979">
        <v>11005441.470000001</v>
      </c>
      <c r="I979">
        <v>11005441.470000001</v>
      </c>
      <c r="J979" t="s">
        <v>428</v>
      </c>
    </row>
    <row r="980" spans="1:10" x14ac:dyDescent="0.35">
      <c r="A980">
        <v>60</v>
      </c>
      <c r="B980" t="s">
        <v>198</v>
      </c>
      <c r="C980">
        <v>862036.23</v>
      </c>
      <c r="D980">
        <v>0</v>
      </c>
      <c r="E980">
        <v>862036.23</v>
      </c>
      <c r="F980">
        <v>567109.76</v>
      </c>
      <c r="G980">
        <v>567109.76</v>
      </c>
      <c r="H980">
        <v>294926.46999999997</v>
      </c>
      <c r="I980">
        <v>294926.46999999997</v>
      </c>
      <c r="J980" t="s">
        <v>428</v>
      </c>
    </row>
    <row r="981" spans="1:10" x14ac:dyDescent="0.35">
      <c r="A981">
        <v>70</v>
      </c>
      <c r="B981" t="s">
        <v>199</v>
      </c>
      <c r="C981">
        <v>-314051.67</v>
      </c>
      <c r="D981">
        <v>0</v>
      </c>
      <c r="E981">
        <v>-314051.67</v>
      </c>
      <c r="F981">
        <v>6418.64</v>
      </c>
      <c r="G981">
        <v>6418.64</v>
      </c>
      <c r="H981">
        <v>-320470.31</v>
      </c>
      <c r="I981">
        <v>-320470.31</v>
      </c>
      <c r="J981" t="s">
        <v>428</v>
      </c>
    </row>
    <row r="982" spans="1:10" x14ac:dyDescent="0.35">
      <c r="A982">
        <v>80</v>
      </c>
      <c r="B982" t="s">
        <v>559</v>
      </c>
      <c r="C982">
        <v>27512143.309999999</v>
      </c>
      <c r="D982">
        <v>0</v>
      </c>
      <c r="E982">
        <v>27512143.309999999</v>
      </c>
      <c r="F982">
        <v>17918291.75</v>
      </c>
      <c r="G982">
        <v>17918291.75</v>
      </c>
      <c r="H982">
        <v>9593851.5600000005</v>
      </c>
      <c r="I982">
        <v>9593851.5600000005</v>
      </c>
      <c r="J982" t="s">
        <v>428</v>
      </c>
    </row>
    <row r="983" spans="1:10" x14ac:dyDescent="0.35">
      <c r="A983">
        <v>100</v>
      </c>
      <c r="B983" t="s">
        <v>546</v>
      </c>
      <c r="C983">
        <v>43843358.899999999</v>
      </c>
      <c r="D983">
        <v>0</v>
      </c>
      <c r="E983">
        <v>43843358.899999999</v>
      </c>
      <c r="F983">
        <v>20222527.52</v>
      </c>
      <c r="G983">
        <v>20222527.52</v>
      </c>
      <c r="H983">
        <v>23620831.379999999</v>
      </c>
      <c r="I983">
        <v>23620831.379999999</v>
      </c>
      <c r="J983" t="s">
        <v>428</v>
      </c>
    </row>
    <row r="984" spans="1:10" x14ac:dyDescent="0.35">
      <c r="A984">
        <v>110</v>
      </c>
      <c r="B984" t="s">
        <v>547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 t="s">
        <v>428</v>
      </c>
    </row>
    <row r="985" spans="1:10" x14ac:dyDescent="0.35">
      <c r="A985">
        <v>120</v>
      </c>
      <c r="B985" t="s">
        <v>203</v>
      </c>
      <c r="C985">
        <v>10000</v>
      </c>
      <c r="D985">
        <v>0</v>
      </c>
      <c r="E985">
        <v>10000</v>
      </c>
      <c r="F985">
        <v>0</v>
      </c>
      <c r="G985">
        <v>0</v>
      </c>
      <c r="H985">
        <v>10000</v>
      </c>
      <c r="I985">
        <v>10000</v>
      </c>
      <c r="J985" t="s">
        <v>428</v>
      </c>
    </row>
    <row r="986" spans="1:10" x14ac:dyDescent="0.35">
      <c r="A986">
        <v>130</v>
      </c>
      <c r="B986" t="s">
        <v>204</v>
      </c>
      <c r="C986">
        <v>8493350.3200000003</v>
      </c>
      <c r="D986">
        <v>0</v>
      </c>
      <c r="E986">
        <v>8493350.3200000003</v>
      </c>
      <c r="F986">
        <v>6500000</v>
      </c>
      <c r="G986">
        <v>6500000</v>
      </c>
      <c r="H986">
        <v>1993350.32</v>
      </c>
      <c r="I986">
        <v>1993350.32</v>
      </c>
      <c r="J986" t="s">
        <v>428</v>
      </c>
    </row>
    <row r="987" spans="1:10" x14ac:dyDescent="0.35">
      <c r="A987">
        <v>140</v>
      </c>
      <c r="B987" t="s">
        <v>205</v>
      </c>
      <c r="C987">
        <v>1667628.58</v>
      </c>
      <c r="D987">
        <v>0</v>
      </c>
      <c r="E987">
        <v>1667628.58</v>
      </c>
      <c r="F987">
        <v>1480000</v>
      </c>
      <c r="G987">
        <v>1480000</v>
      </c>
      <c r="H987">
        <v>187628.58</v>
      </c>
      <c r="I987">
        <v>187628.58</v>
      </c>
      <c r="J987" t="s">
        <v>428</v>
      </c>
    </row>
    <row r="988" spans="1:10" x14ac:dyDescent="0.35">
      <c r="A988">
        <v>150</v>
      </c>
      <c r="B988" t="s">
        <v>206</v>
      </c>
      <c r="C988">
        <v>6996238.25</v>
      </c>
      <c r="D988">
        <v>0</v>
      </c>
      <c r="E988">
        <v>6996238.25</v>
      </c>
      <c r="F988">
        <v>6920000</v>
      </c>
      <c r="G988">
        <v>6920000</v>
      </c>
      <c r="H988">
        <v>76238.25</v>
      </c>
      <c r="I988">
        <v>76238.25</v>
      </c>
      <c r="J988" t="s">
        <v>428</v>
      </c>
    </row>
    <row r="989" spans="1:10" x14ac:dyDescent="0.35">
      <c r="A989">
        <v>160</v>
      </c>
      <c r="B989" t="s">
        <v>207</v>
      </c>
      <c r="C989">
        <v>26728550.530000001</v>
      </c>
      <c r="D989">
        <v>0</v>
      </c>
      <c r="E989">
        <v>26728550.530000001</v>
      </c>
      <c r="F989">
        <v>-137201.72</v>
      </c>
      <c r="G989">
        <v>-137201.72</v>
      </c>
      <c r="H989">
        <v>26865752.25</v>
      </c>
      <c r="I989">
        <v>26865752.25</v>
      </c>
      <c r="J989" t="s">
        <v>428</v>
      </c>
    </row>
    <row r="990" spans="1:10" x14ac:dyDescent="0.35">
      <c r="A990">
        <v>170</v>
      </c>
      <c r="B990" t="s">
        <v>208</v>
      </c>
      <c r="C990">
        <v>17622987.57</v>
      </c>
      <c r="D990">
        <v>0</v>
      </c>
      <c r="E990">
        <v>17622987.57</v>
      </c>
      <c r="F990">
        <v>14012076.310000001</v>
      </c>
      <c r="G990">
        <v>14012076.310000001</v>
      </c>
      <c r="H990">
        <v>3610911.26</v>
      </c>
      <c r="I990">
        <v>3610911.26</v>
      </c>
      <c r="J990" t="s">
        <v>428</v>
      </c>
    </row>
    <row r="991" spans="1:10" x14ac:dyDescent="0.35">
      <c r="A991">
        <v>180</v>
      </c>
      <c r="B991" t="s">
        <v>209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 t="s">
        <v>428</v>
      </c>
    </row>
    <row r="992" spans="1:10" x14ac:dyDescent="0.35">
      <c r="A992">
        <v>190</v>
      </c>
      <c r="B992" t="s">
        <v>210</v>
      </c>
      <c r="C992">
        <v>-27518819.420000002</v>
      </c>
      <c r="D992">
        <v>0</v>
      </c>
      <c r="E992">
        <v>-27518819.420000002</v>
      </c>
      <c r="F992">
        <v>-150673.94</v>
      </c>
      <c r="G992">
        <v>-150673.94</v>
      </c>
      <c r="H992">
        <v>-27368145.48</v>
      </c>
      <c r="I992">
        <v>-27368145.48</v>
      </c>
      <c r="J992" t="s">
        <v>428</v>
      </c>
    </row>
    <row r="993" spans="1:10" x14ac:dyDescent="0.35">
      <c r="A993">
        <v>200</v>
      </c>
      <c r="B993" t="s">
        <v>211</v>
      </c>
      <c r="C993">
        <v>33999935.829999998</v>
      </c>
      <c r="D993">
        <v>0</v>
      </c>
      <c r="E993">
        <v>33999935.829999998</v>
      </c>
      <c r="F993">
        <v>28624200.649999999</v>
      </c>
      <c r="G993">
        <v>28624200.649999999</v>
      </c>
      <c r="H993">
        <v>5375735.1799999997</v>
      </c>
      <c r="I993">
        <v>5375735.1799999997</v>
      </c>
      <c r="J993" t="s">
        <v>428</v>
      </c>
    </row>
    <row r="994" spans="1:10" x14ac:dyDescent="0.35">
      <c r="A994">
        <v>210</v>
      </c>
      <c r="B994" t="s">
        <v>548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 t="s">
        <v>428</v>
      </c>
    </row>
    <row r="995" spans="1:10" x14ac:dyDescent="0.35">
      <c r="A995">
        <v>220</v>
      </c>
      <c r="B995" t="s">
        <v>213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 t="s">
        <v>428</v>
      </c>
    </row>
    <row r="996" spans="1:10" x14ac:dyDescent="0.35">
      <c r="A996">
        <v>230</v>
      </c>
      <c r="B996" t="s">
        <v>214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 t="s">
        <v>428</v>
      </c>
    </row>
    <row r="997" spans="1:10" x14ac:dyDescent="0.35">
      <c r="A997">
        <v>240</v>
      </c>
      <c r="B997" t="s">
        <v>215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 t="s">
        <v>428</v>
      </c>
    </row>
    <row r="998" spans="1:10" x14ac:dyDescent="0.35">
      <c r="A998">
        <v>250</v>
      </c>
      <c r="B998" t="s">
        <v>216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 t="s">
        <v>428</v>
      </c>
    </row>
    <row r="999" spans="1:10" x14ac:dyDescent="0.35">
      <c r="A999">
        <v>260</v>
      </c>
      <c r="B999" t="s">
        <v>217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 t="s">
        <v>428</v>
      </c>
    </row>
    <row r="1000" spans="1:10" x14ac:dyDescent="0.35">
      <c r="A1000">
        <v>270</v>
      </c>
      <c r="B1000" t="s">
        <v>218</v>
      </c>
      <c r="C1000">
        <v>83614811</v>
      </c>
      <c r="D1000">
        <v>0</v>
      </c>
      <c r="E1000">
        <v>83614811</v>
      </c>
      <c r="F1000">
        <v>83614811</v>
      </c>
      <c r="G1000">
        <v>83614811</v>
      </c>
      <c r="H1000">
        <v>0</v>
      </c>
      <c r="I1000">
        <v>0</v>
      </c>
      <c r="J1000" t="s">
        <v>428</v>
      </c>
    </row>
    <row r="1001" spans="1:10" x14ac:dyDescent="0.35">
      <c r="A1001">
        <v>280</v>
      </c>
      <c r="B1001" t="s">
        <v>549</v>
      </c>
      <c r="C1001">
        <v>83614811</v>
      </c>
      <c r="D1001">
        <v>0</v>
      </c>
      <c r="E1001">
        <v>83614811</v>
      </c>
      <c r="F1001">
        <v>83614811</v>
      </c>
      <c r="G1001">
        <v>83614811</v>
      </c>
      <c r="H1001">
        <v>0</v>
      </c>
      <c r="I1001">
        <v>0</v>
      </c>
      <c r="J1001" t="s">
        <v>428</v>
      </c>
    </row>
    <row r="1002" spans="1:10" x14ac:dyDescent="0.35">
      <c r="A1002">
        <v>400</v>
      </c>
      <c r="B1002" t="s">
        <v>220</v>
      </c>
      <c r="C1002">
        <v>161458105.72999999</v>
      </c>
      <c r="D1002">
        <v>0</v>
      </c>
      <c r="E1002">
        <v>161458105.72999999</v>
      </c>
      <c r="F1002">
        <v>132461539.17</v>
      </c>
      <c r="G1002">
        <v>132461539.17</v>
      </c>
      <c r="H1002">
        <v>28996566.559999999</v>
      </c>
      <c r="I1002">
        <v>28996566.559999999</v>
      </c>
      <c r="J1002" t="s">
        <v>428</v>
      </c>
    </row>
    <row r="1003" spans="1:10" x14ac:dyDescent="0.35">
      <c r="A1003">
        <v>410</v>
      </c>
      <c r="B1003" t="s">
        <v>550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 t="s">
        <v>428</v>
      </c>
    </row>
    <row r="1004" spans="1:10" x14ac:dyDescent="0.35">
      <c r="A1004">
        <v>420</v>
      </c>
      <c r="B1004" t="s">
        <v>222</v>
      </c>
      <c r="C1004">
        <v>661275.11</v>
      </c>
      <c r="D1004">
        <v>0</v>
      </c>
      <c r="E1004">
        <v>661275.11</v>
      </c>
      <c r="F1004">
        <v>418665.86</v>
      </c>
      <c r="G1004">
        <v>418665.86</v>
      </c>
      <c r="H1004">
        <v>242609.25</v>
      </c>
      <c r="I1004">
        <v>242609.25</v>
      </c>
      <c r="J1004" t="s">
        <v>428</v>
      </c>
    </row>
    <row r="1005" spans="1:10" x14ac:dyDescent="0.35">
      <c r="A1005">
        <v>430</v>
      </c>
      <c r="B1005" t="s">
        <v>223</v>
      </c>
      <c r="C1005">
        <v>136614378.43000001</v>
      </c>
      <c r="D1005">
        <v>0</v>
      </c>
      <c r="E1005">
        <v>136614378.43000001</v>
      </c>
      <c r="F1005">
        <v>131825014.73</v>
      </c>
      <c r="G1005">
        <v>131825014.73</v>
      </c>
      <c r="H1005">
        <v>4789363.7</v>
      </c>
      <c r="I1005">
        <v>4789363.7</v>
      </c>
      <c r="J1005" t="s">
        <v>428</v>
      </c>
    </row>
    <row r="1006" spans="1:10" x14ac:dyDescent="0.35">
      <c r="A1006">
        <v>440</v>
      </c>
      <c r="B1006" t="s">
        <v>224</v>
      </c>
      <c r="C1006">
        <v>36467.25</v>
      </c>
      <c r="D1006">
        <v>0</v>
      </c>
      <c r="E1006">
        <v>36467.25</v>
      </c>
      <c r="F1006">
        <v>17457</v>
      </c>
      <c r="G1006">
        <v>17457</v>
      </c>
      <c r="H1006">
        <v>19010.25</v>
      </c>
      <c r="I1006">
        <v>19010.25</v>
      </c>
      <c r="J1006" t="s">
        <v>428</v>
      </c>
    </row>
    <row r="1007" spans="1:10" x14ac:dyDescent="0.35">
      <c r="A1007">
        <v>450</v>
      </c>
      <c r="B1007" t="s">
        <v>225</v>
      </c>
      <c r="C1007">
        <v>2795342.48</v>
      </c>
      <c r="D1007">
        <v>0</v>
      </c>
      <c r="E1007">
        <v>2795342.48</v>
      </c>
      <c r="F1007">
        <v>-157995.09</v>
      </c>
      <c r="G1007">
        <v>-157995.09</v>
      </c>
      <c r="H1007">
        <v>2953337.57</v>
      </c>
      <c r="I1007">
        <v>2953337.57</v>
      </c>
      <c r="J1007" t="s">
        <v>428</v>
      </c>
    </row>
    <row r="1008" spans="1:10" x14ac:dyDescent="0.35">
      <c r="A1008">
        <v>460</v>
      </c>
      <c r="B1008" t="s">
        <v>560</v>
      </c>
      <c r="C1008">
        <v>0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 t="s">
        <v>428</v>
      </c>
    </row>
    <row r="1009" spans="1:10" x14ac:dyDescent="0.35">
      <c r="A1009">
        <v>500</v>
      </c>
      <c r="B1009" t="s">
        <v>227</v>
      </c>
      <c r="C1009">
        <v>140107463.27000001</v>
      </c>
      <c r="D1009">
        <v>0</v>
      </c>
      <c r="E1009">
        <v>140107463.27000001</v>
      </c>
      <c r="F1009">
        <v>132103142.5</v>
      </c>
      <c r="G1009">
        <v>132103142.5</v>
      </c>
      <c r="H1009">
        <v>8004320.7699999996</v>
      </c>
      <c r="I1009">
        <v>8004320.7699999996</v>
      </c>
      <c r="J1009" t="s">
        <v>428</v>
      </c>
    </row>
    <row r="1010" spans="1:10" x14ac:dyDescent="0.35">
      <c r="A1010">
        <v>510</v>
      </c>
      <c r="B1010" t="s">
        <v>553</v>
      </c>
      <c r="C1010">
        <v>0</v>
      </c>
      <c r="D1010"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 t="s">
        <v>428</v>
      </c>
    </row>
    <row r="1011" spans="1:10" x14ac:dyDescent="0.35">
      <c r="A1011">
        <v>520</v>
      </c>
      <c r="B1011" t="s">
        <v>229</v>
      </c>
      <c r="C1011">
        <v>0</v>
      </c>
      <c r="D1011"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J1011" t="s">
        <v>428</v>
      </c>
    </row>
    <row r="1012" spans="1:10" x14ac:dyDescent="0.35">
      <c r="A1012">
        <v>530</v>
      </c>
      <c r="B1012" t="s">
        <v>230</v>
      </c>
      <c r="C1012">
        <v>0</v>
      </c>
      <c r="D1012"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 t="s">
        <v>428</v>
      </c>
    </row>
    <row r="1013" spans="1:10" x14ac:dyDescent="0.35">
      <c r="A1013">
        <v>540</v>
      </c>
      <c r="B1013" t="s">
        <v>231</v>
      </c>
      <c r="C1013">
        <v>0</v>
      </c>
      <c r="D1013">
        <v>0</v>
      </c>
      <c r="E1013">
        <v>0</v>
      </c>
      <c r="F1013">
        <v>0</v>
      </c>
      <c r="G1013">
        <v>0</v>
      </c>
      <c r="H1013">
        <v>0</v>
      </c>
      <c r="I1013">
        <v>0</v>
      </c>
      <c r="J1013" t="s">
        <v>428</v>
      </c>
    </row>
    <row r="1014" spans="1:10" x14ac:dyDescent="0.35">
      <c r="A1014">
        <v>600</v>
      </c>
      <c r="B1014" t="s">
        <v>232</v>
      </c>
      <c r="C1014">
        <v>0</v>
      </c>
      <c r="D1014">
        <v>0</v>
      </c>
      <c r="E1014">
        <v>0</v>
      </c>
      <c r="F1014">
        <v>0</v>
      </c>
      <c r="G1014">
        <v>0</v>
      </c>
      <c r="H1014">
        <v>0</v>
      </c>
      <c r="I1014">
        <v>0</v>
      </c>
      <c r="J1014" t="s">
        <v>428</v>
      </c>
    </row>
    <row r="1015" spans="1:10" x14ac:dyDescent="0.35">
      <c r="A1015">
        <v>610</v>
      </c>
      <c r="B1015" t="s">
        <v>555</v>
      </c>
      <c r="C1015">
        <v>0</v>
      </c>
      <c r="D1015">
        <v>0</v>
      </c>
      <c r="E1015">
        <v>0</v>
      </c>
      <c r="F1015">
        <v>0</v>
      </c>
      <c r="G1015">
        <v>0</v>
      </c>
      <c r="H1015">
        <v>0</v>
      </c>
      <c r="I1015">
        <v>0</v>
      </c>
      <c r="J1015" t="s">
        <v>428</v>
      </c>
    </row>
    <row r="1016" spans="1:10" x14ac:dyDescent="0.35">
      <c r="A1016">
        <v>620</v>
      </c>
      <c r="B1016" t="s">
        <v>234</v>
      </c>
      <c r="C1016">
        <v>0</v>
      </c>
      <c r="D1016">
        <v>0</v>
      </c>
      <c r="E1016">
        <v>0</v>
      </c>
      <c r="F1016">
        <v>0</v>
      </c>
      <c r="G1016">
        <v>0</v>
      </c>
      <c r="H1016">
        <v>0</v>
      </c>
      <c r="I1016">
        <v>0</v>
      </c>
      <c r="J1016" t="s">
        <v>428</v>
      </c>
    </row>
    <row r="1017" spans="1:10" x14ac:dyDescent="0.35">
      <c r="A1017">
        <v>700</v>
      </c>
      <c r="B1017" t="s">
        <v>556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J1017" t="s">
        <v>428</v>
      </c>
    </row>
    <row r="1018" spans="1:10" x14ac:dyDescent="0.35">
      <c r="A1018">
        <v>710</v>
      </c>
      <c r="B1018" t="s">
        <v>557</v>
      </c>
      <c r="C1018">
        <v>0</v>
      </c>
      <c r="D1018"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 t="s">
        <v>428</v>
      </c>
    </row>
    <row r="1019" spans="1:10" x14ac:dyDescent="0.35">
      <c r="A1019">
        <v>720</v>
      </c>
      <c r="B1019" t="s">
        <v>237</v>
      </c>
      <c r="C1019">
        <v>22380000</v>
      </c>
      <c r="D1019">
        <v>0</v>
      </c>
      <c r="E1019">
        <v>22380000</v>
      </c>
      <c r="F1019">
        <v>0</v>
      </c>
      <c r="G1019">
        <v>0</v>
      </c>
      <c r="H1019">
        <v>22380000</v>
      </c>
      <c r="I1019">
        <v>22380000</v>
      </c>
      <c r="J1019" t="s">
        <v>428</v>
      </c>
    </row>
    <row r="1020" spans="1:10" x14ac:dyDescent="0.35">
      <c r="A1020">
        <v>730</v>
      </c>
      <c r="B1020" t="s">
        <v>238</v>
      </c>
      <c r="C1020">
        <v>100000</v>
      </c>
      <c r="D1020">
        <v>0</v>
      </c>
      <c r="E1020">
        <v>100000</v>
      </c>
      <c r="F1020">
        <v>0</v>
      </c>
      <c r="G1020">
        <v>0</v>
      </c>
      <c r="H1020">
        <v>100000</v>
      </c>
      <c r="I1020">
        <v>100000</v>
      </c>
      <c r="J1020" t="s">
        <v>428</v>
      </c>
    </row>
    <row r="1021" spans="1:10" x14ac:dyDescent="0.35">
      <c r="A1021">
        <v>740</v>
      </c>
      <c r="B1021" t="s">
        <v>239</v>
      </c>
      <c r="C1021">
        <v>-1079254.21</v>
      </c>
      <c r="D1021">
        <v>0</v>
      </c>
      <c r="E1021">
        <v>-1079254.21</v>
      </c>
      <c r="F1021">
        <v>0</v>
      </c>
      <c r="G1021">
        <v>0</v>
      </c>
      <c r="H1021">
        <v>-5966077.0499999998</v>
      </c>
      <c r="I1021">
        <v>-1079254.21</v>
      </c>
      <c r="J1021" t="s">
        <v>428</v>
      </c>
    </row>
    <row r="1022" spans="1:10" x14ac:dyDescent="0.35">
      <c r="A1022">
        <v>750</v>
      </c>
      <c r="B1022" t="s">
        <v>240</v>
      </c>
      <c r="C1022">
        <v>358396.67</v>
      </c>
      <c r="D1022">
        <v>0</v>
      </c>
      <c r="E1022">
        <v>358396.67</v>
      </c>
      <c r="F1022">
        <v>358396.67</v>
      </c>
      <c r="G1022">
        <v>358396.67</v>
      </c>
      <c r="H1022">
        <v>4886822.84</v>
      </c>
      <c r="I1022">
        <v>0</v>
      </c>
      <c r="J1022" t="s">
        <v>428</v>
      </c>
    </row>
    <row r="1023" spans="1:10" x14ac:dyDescent="0.35">
      <c r="A1023">
        <v>760</v>
      </c>
      <c r="B1023" t="s">
        <v>241</v>
      </c>
      <c r="C1023">
        <v>-408500</v>
      </c>
      <c r="D1023">
        <v>0</v>
      </c>
      <c r="E1023">
        <v>-408500</v>
      </c>
      <c r="F1023">
        <v>0</v>
      </c>
      <c r="G1023">
        <v>0</v>
      </c>
      <c r="H1023">
        <v>-408500</v>
      </c>
      <c r="I1023">
        <v>-408500</v>
      </c>
      <c r="J1023" t="s">
        <v>428</v>
      </c>
    </row>
    <row r="1024" spans="1:10" x14ac:dyDescent="0.35">
      <c r="A1024">
        <v>770</v>
      </c>
      <c r="B1024" t="s">
        <v>242</v>
      </c>
      <c r="C1024">
        <v>0</v>
      </c>
      <c r="D1024"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 t="s">
        <v>428</v>
      </c>
    </row>
    <row r="1025" spans="1:10" x14ac:dyDescent="0.35">
      <c r="A1025">
        <v>800</v>
      </c>
      <c r="B1025" t="s">
        <v>243</v>
      </c>
      <c r="C1025">
        <v>21350642.460000001</v>
      </c>
      <c r="D1025">
        <v>0</v>
      </c>
      <c r="E1025">
        <v>21350642.460000001</v>
      </c>
      <c r="F1025">
        <v>358396.67</v>
      </c>
      <c r="G1025">
        <v>358396.67</v>
      </c>
      <c r="H1025">
        <v>20992245.789999999</v>
      </c>
      <c r="I1025">
        <v>20992245.789999999</v>
      </c>
      <c r="J1025" t="s">
        <v>428</v>
      </c>
    </row>
    <row r="1026" spans="1:10" x14ac:dyDescent="0.35">
      <c r="A1026">
        <v>900</v>
      </c>
      <c r="B1026" t="s">
        <v>244</v>
      </c>
      <c r="C1026">
        <v>161458105.72999999</v>
      </c>
      <c r="D1026">
        <v>0</v>
      </c>
      <c r="E1026">
        <v>161458105.72999999</v>
      </c>
      <c r="F1026">
        <v>132461539.17</v>
      </c>
      <c r="G1026">
        <v>132461539.17</v>
      </c>
      <c r="H1026">
        <v>28996566.559999999</v>
      </c>
      <c r="I1026">
        <v>28996566.559999999</v>
      </c>
      <c r="J1026" t="s">
        <v>428</v>
      </c>
    </row>
    <row r="1027" spans="1:10" x14ac:dyDescent="0.35">
      <c r="A1027">
        <v>1000</v>
      </c>
      <c r="B1027" t="s">
        <v>558</v>
      </c>
      <c r="C1027">
        <v>0</v>
      </c>
      <c r="D1027">
        <v>0</v>
      </c>
      <c r="E1027">
        <v>0</v>
      </c>
      <c r="F1027">
        <v>0</v>
      </c>
      <c r="G1027">
        <v>0</v>
      </c>
      <c r="H1027">
        <v>0</v>
      </c>
      <c r="I1027">
        <v>0</v>
      </c>
      <c r="J1027" t="s">
        <v>428</v>
      </c>
    </row>
    <row r="1028" spans="1:10" x14ac:dyDescent="0.35">
      <c r="A1028" t="s">
        <v>501</v>
      </c>
      <c r="B1028" t="s">
        <v>416</v>
      </c>
      <c r="C1028" t="s">
        <v>537</v>
      </c>
      <c r="D1028" t="s">
        <v>538</v>
      </c>
      <c r="E1028" t="s">
        <v>539</v>
      </c>
      <c r="F1028" t="s">
        <v>540</v>
      </c>
      <c r="G1028" t="s">
        <v>541</v>
      </c>
      <c r="H1028" t="s">
        <v>542</v>
      </c>
      <c r="I1028" t="s">
        <v>543</v>
      </c>
      <c r="J1028" t="s">
        <v>121</v>
      </c>
    </row>
    <row r="1029" spans="1:10" x14ac:dyDescent="0.35">
      <c r="A1029">
        <v>10</v>
      </c>
      <c r="B1029" t="s">
        <v>544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v>0</v>
      </c>
      <c r="I1029">
        <v>0</v>
      </c>
      <c r="J1029" t="s">
        <v>428</v>
      </c>
    </row>
    <row r="1030" spans="1:10" x14ac:dyDescent="0.35">
      <c r="A1030">
        <v>20</v>
      </c>
      <c r="B1030" t="s">
        <v>194</v>
      </c>
      <c r="C1030">
        <v>1459605.28</v>
      </c>
      <c r="D1030">
        <v>0</v>
      </c>
      <c r="E1030">
        <v>1459605.28</v>
      </c>
      <c r="F1030">
        <v>-396806.96</v>
      </c>
      <c r="G1030">
        <v>-396806.96</v>
      </c>
      <c r="H1030">
        <v>1856412.24</v>
      </c>
      <c r="I1030">
        <v>1856412.24</v>
      </c>
      <c r="J1030" t="s">
        <v>428</v>
      </c>
    </row>
    <row r="1031" spans="1:10" x14ac:dyDescent="0.35">
      <c r="A1031">
        <v>30</v>
      </c>
      <c r="B1031" t="s">
        <v>195</v>
      </c>
      <c r="C1031">
        <v>0</v>
      </c>
      <c r="D1031">
        <v>0</v>
      </c>
      <c r="E1031">
        <v>0</v>
      </c>
      <c r="F1031">
        <v>0</v>
      </c>
      <c r="G1031">
        <v>0</v>
      </c>
      <c r="H1031">
        <v>0</v>
      </c>
      <c r="I1031">
        <v>0</v>
      </c>
      <c r="J1031" t="s">
        <v>428</v>
      </c>
    </row>
    <row r="1032" spans="1:10" x14ac:dyDescent="0.35">
      <c r="A1032">
        <v>40</v>
      </c>
      <c r="B1032" t="s">
        <v>196</v>
      </c>
      <c r="C1032">
        <v>8555285.9000000004</v>
      </c>
      <c r="D1032">
        <v>0</v>
      </c>
      <c r="E1032">
        <v>8555285.9000000004</v>
      </c>
      <c r="F1032">
        <v>-1694507.51</v>
      </c>
      <c r="G1032">
        <v>-1694507.51</v>
      </c>
      <c r="H1032">
        <v>10249793.41</v>
      </c>
      <c r="I1032">
        <v>10249793.41</v>
      </c>
      <c r="J1032" t="s">
        <v>428</v>
      </c>
    </row>
    <row r="1033" spans="1:10" x14ac:dyDescent="0.35">
      <c r="A1033">
        <v>50</v>
      </c>
      <c r="B1033" t="s">
        <v>197</v>
      </c>
      <c r="C1033">
        <v>9913212.4499999993</v>
      </c>
      <c r="D1033">
        <v>0</v>
      </c>
      <c r="E1033">
        <v>9913212.4499999993</v>
      </c>
      <c r="F1033">
        <v>313699.08</v>
      </c>
      <c r="G1033">
        <v>313699.08</v>
      </c>
      <c r="H1033">
        <v>9599513.3699999992</v>
      </c>
      <c r="I1033">
        <v>9599513.3699999992</v>
      </c>
      <c r="J1033" t="s">
        <v>428</v>
      </c>
    </row>
    <row r="1034" spans="1:10" x14ac:dyDescent="0.35">
      <c r="A1034">
        <v>60</v>
      </c>
      <c r="B1034" t="s">
        <v>198</v>
      </c>
      <c r="C1034">
        <v>0</v>
      </c>
      <c r="D1034"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 t="s">
        <v>428</v>
      </c>
    </row>
    <row r="1035" spans="1:10" x14ac:dyDescent="0.35">
      <c r="A1035">
        <v>70</v>
      </c>
      <c r="B1035" t="s">
        <v>199</v>
      </c>
      <c r="C1035">
        <v>-406734.98</v>
      </c>
      <c r="D1035">
        <v>0</v>
      </c>
      <c r="E1035">
        <v>-406734.98</v>
      </c>
      <c r="F1035">
        <v>-44007.360000000001</v>
      </c>
      <c r="G1035">
        <v>-44007.360000000001</v>
      </c>
      <c r="H1035">
        <v>-362727.62</v>
      </c>
      <c r="I1035">
        <v>-362727.62</v>
      </c>
      <c r="J1035" t="s">
        <v>428</v>
      </c>
    </row>
    <row r="1036" spans="1:10" x14ac:dyDescent="0.35">
      <c r="A1036">
        <v>80</v>
      </c>
      <c r="B1036" t="s">
        <v>559</v>
      </c>
      <c r="C1036">
        <v>737234.63</v>
      </c>
      <c r="D1036">
        <v>0</v>
      </c>
      <c r="E1036">
        <v>737234.63</v>
      </c>
      <c r="F1036">
        <v>98156</v>
      </c>
      <c r="G1036">
        <v>98156</v>
      </c>
      <c r="H1036">
        <v>639078.63</v>
      </c>
      <c r="I1036">
        <v>639078.63</v>
      </c>
      <c r="J1036" t="s">
        <v>428</v>
      </c>
    </row>
    <row r="1037" spans="1:10" x14ac:dyDescent="0.35">
      <c r="A1037">
        <v>100</v>
      </c>
      <c r="B1037" t="s">
        <v>546</v>
      </c>
      <c r="C1037">
        <v>20258603.280000001</v>
      </c>
      <c r="D1037">
        <v>0</v>
      </c>
      <c r="E1037">
        <v>20258603.280000001</v>
      </c>
      <c r="F1037">
        <v>-1723466.75</v>
      </c>
      <c r="G1037">
        <v>-1723466.75</v>
      </c>
      <c r="H1037">
        <v>21982070.030000001</v>
      </c>
      <c r="I1037">
        <v>21982070.030000001</v>
      </c>
      <c r="J1037" t="s">
        <v>428</v>
      </c>
    </row>
    <row r="1038" spans="1:10" x14ac:dyDescent="0.35">
      <c r="A1038">
        <v>110</v>
      </c>
      <c r="B1038" t="s">
        <v>547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 t="s">
        <v>428</v>
      </c>
    </row>
    <row r="1039" spans="1:10" x14ac:dyDescent="0.35">
      <c r="A1039">
        <v>120</v>
      </c>
      <c r="B1039" t="s">
        <v>203</v>
      </c>
      <c r="C1039">
        <v>9566747.9499999993</v>
      </c>
      <c r="D1039">
        <v>0</v>
      </c>
      <c r="E1039">
        <v>9566747.9499999993</v>
      </c>
      <c r="F1039">
        <v>0</v>
      </c>
      <c r="G1039">
        <v>0</v>
      </c>
      <c r="H1039">
        <v>9566747.9499999993</v>
      </c>
      <c r="I1039">
        <v>9566747.9499999993</v>
      </c>
      <c r="J1039" t="s">
        <v>428</v>
      </c>
    </row>
    <row r="1040" spans="1:10" x14ac:dyDescent="0.35">
      <c r="A1040">
        <v>130</v>
      </c>
      <c r="B1040" t="s">
        <v>204</v>
      </c>
      <c r="C1040">
        <v>5283681.1100000003</v>
      </c>
      <c r="D1040">
        <v>0</v>
      </c>
      <c r="E1040">
        <v>5283681.1100000003</v>
      </c>
      <c r="F1040">
        <v>0</v>
      </c>
      <c r="G1040">
        <v>0</v>
      </c>
      <c r="H1040">
        <v>5283681.1100000003</v>
      </c>
      <c r="I1040">
        <v>5283681.1100000003</v>
      </c>
      <c r="J1040" t="s">
        <v>428</v>
      </c>
    </row>
    <row r="1041" spans="1:10" x14ac:dyDescent="0.35">
      <c r="A1041">
        <v>140</v>
      </c>
      <c r="B1041" t="s">
        <v>205</v>
      </c>
      <c r="C1041">
        <v>227435.68</v>
      </c>
      <c r="D1041">
        <v>0</v>
      </c>
      <c r="E1041">
        <v>227435.68</v>
      </c>
      <c r="F1041">
        <v>0</v>
      </c>
      <c r="G1041">
        <v>0</v>
      </c>
      <c r="H1041">
        <v>227435.68</v>
      </c>
      <c r="I1041">
        <v>227435.68</v>
      </c>
      <c r="J1041" t="s">
        <v>428</v>
      </c>
    </row>
    <row r="1042" spans="1:10" x14ac:dyDescent="0.35">
      <c r="A1042">
        <v>150</v>
      </c>
      <c r="B1042" t="s">
        <v>206</v>
      </c>
      <c r="C1042">
        <v>233232.83</v>
      </c>
      <c r="D1042">
        <v>0</v>
      </c>
      <c r="E1042">
        <v>233232.83</v>
      </c>
      <c r="F1042">
        <v>0</v>
      </c>
      <c r="G1042">
        <v>0</v>
      </c>
      <c r="H1042">
        <v>233232.83</v>
      </c>
      <c r="I1042">
        <v>233232.83</v>
      </c>
      <c r="J1042" t="s">
        <v>428</v>
      </c>
    </row>
    <row r="1043" spans="1:10" x14ac:dyDescent="0.35">
      <c r="A1043">
        <v>160</v>
      </c>
      <c r="B1043" t="s">
        <v>207</v>
      </c>
      <c r="C1043">
        <v>1242454.6000000001</v>
      </c>
      <c r="D1043">
        <v>0</v>
      </c>
      <c r="E1043">
        <v>1242454.6000000001</v>
      </c>
      <c r="F1043">
        <v>0</v>
      </c>
      <c r="G1043">
        <v>0</v>
      </c>
      <c r="H1043">
        <v>1242454.6000000001</v>
      </c>
      <c r="I1043">
        <v>1242454.6000000001</v>
      </c>
      <c r="J1043" t="s">
        <v>428</v>
      </c>
    </row>
    <row r="1044" spans="1:10" x14ac:dyDescent="0.35">
      <c r="A1044">
        <v>170</v>
      </c>
      <c r="B1044" t="s">
        <v>208</v>
      </c>
      <c r="C1044">
        <v>2028790.71</v>
      </c>
      <c r="D1044">
        <v>0</v>
      </c>
      <c r="E1044">
        <v>2028790.71</v>
      </c>
      <c r="F1044">
        <v>0</v>
      </c>
      <c r="G1044">
        <v>0</v>
      </c>
      <c r="H1044">
        <v>2028790.71</v>
      </c>
      <c r="I1044">
        <v>2028790.71</v>
      </c>
      <c r="J1044" t="s">
        <v>428</v>
      </c>
    </row>
    <row r="1045" spans="1:10" x14ac:dyDescent="0.35">
      <c r="A1045">
        <v>180</v>
      </c>
      <c r="B1045" t="s">
        <v>209</v>
      </c>
      <c r="C1045">
        <v>0</v>
      </c>
      <c r="D1045">
        <v>0</v>
      </c>
      <c r="E1045">
        <v>0</v>
      </c>
      <c r="F1045">
        <v>0</v>
      </c>
      <c r="G1045">
        <v>0</v>
      </c>
      <c r="H1045">
        <v>0</v>
      </c>
      <c r="I1045">
        <v>0</v>
      </c>
      <c r="J1045" t="s">
        <v>428</v>
      </c>
    </row>
    <row r="1046" spans="1:10" x14ac:dyDescent="0.35">
      <c r="A1046">
        <v>190</v>
      </c>
      <c r="B1046" t="s">
        <v>210</v>
      </c>
      <c r="C1046">
        <v>-2754859.12</v>
      </c>
      <c r="D1046">
        <v>0</v>
      </c>
      <c r="E1046">
        <v>-2754859.12</v>
      </c>
      <c r="F1046">
        <v>-25049.74</v>
      </c>
      <c r="G1046">
        <v>-25049.74</v>
      </c>
      <c r="H1046">
        <v>-2729809.38</v>
      </c>
      <c r="I1046">
        <v>-2729809.38</v>
      </c>
      <c r="J1046" t="s">
        <v>428</v>
      </c>
    </row>
    <row r="1047" spans="1:10" x14ac:dyDescent="0.35">
      <c r="A1047">
        <v>200</v>
      </c>
      <c r="B1047" t="s">
        <v>211</v>
      </c>
      <c r="C1047">
        <v>15827483.76</v>
      </c>
      <c r="D1047">
        <v>0</v>
      </c>
      <c r="E1047">
        <v>15827483.76</v>
      </c>
      <c r="F1047">
        <v>-25049.74</v>
      </c>
      <c r="G1047">
        <v>-25049.74</v>
      </c>
      <c r="H1047">
        <v>15852533.5</v>
      </c>
      <c r="I1047">
        <v>15852533.5</v>
      </c>
      <c r="J1047" t="s">
        <v>428</v>
      </c>
    </row>
    <row r="1048" spans="1:10" x14ac:dyDescent="0.35">
      <c r="A1048">
        <v>210</v>
      </c>
      <c r="B1048" t="s">
        <v>548</v>
      </c>
      <c r="C1048">
        <v>0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 t="s">
        <v>428</v>
      </c>
    </row>
    <row r="1049" spans="1:10" x14ac:dyDescent="0.35">
      <c r="A1049">
        <v>220</v>
      </c>
      <c r="B1049" t="s">
        <v>213</v>
      </c>
      <c r="C1049">
        <v>0</v>
      </c>
      <c r="D1049">
        <v>0</v>
      </c>
      <c r="E1049">
        <v>0</v>
      </c>
      <c r="F1049">
        <v>0</v>
      </c>
      <c r="G1049">
        <v>0</v>
      </c>
      <c r="H1049">
        <v>0</v>
      </c>
      <c r="I1049">
        <v>0</v>
      </c>
      <c r="J1049" t="s">
        <v>428</v>
      </c>
    </row>
    <row r="1050" spans="1:10" x14ac:dyDescent="0.35">
      <c r="A1050">
        <v>230</v>
      </c>
      <c r="B1050" t="s">
        <v>214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 t="s">
        <v>428</v>
      </c>
    </row>
    <row r="1051" spans="1:10" x14ac:dyDescent="0.35">
      <c r="A1051">
        <v>240</v>
      </c>
      <c r="B1051" t="s">
        <v>215</v>
      </c>
      <c r="C1051">
        <v>0</v>
      </c>
      <c r="D1051">
        <v>0</v>
      </c>
      <c r="E1051">
        <v>0</v>
      </c>
      <c r="F1051">
        <v>0</v>
      </c>
      <c r="G1051">
        <v>0</v>
      </c>
      <c r="H1051">
        <v>0</v>
      </c>
      <c r="I1051">
        <v>0</v>
      </c>
      <c r="J1051" t="s">
        <v>428</v>
      </c>
    </row>
    <row r="1052" spans="1:10" x14ac:dyDescent="0.35">
      <c r="A1052">
        <v>250</v>
      </c>
      <c r="B1052" t="s">
        <v>216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 t="s">
        <v>428</v>
      </c>
    </row>
    <row r="1053" spans="1:10" x14ac:dyDescent="0.35">
      <c r="A1053">
        <v>260</v>
      </c>
      <c r="B1053" t="s">
        <v>217</v>
      </c>
      <c r="C1053">
        <v>0</v>
      </c>
      <c r="D1053">
        <v>0</v>
      </c>
      <c r="E1053">
        <v>0</v>
      </c>
      <c r="F1053">
        <v>0</v>
      </c>
      <c r="G1053">
        <v>0</v>
      </c>
      <c r="H1053">
        <v>0</v>
      </c>
      <c r="I1053">
        <v>0</v>
      </c>
      <c r="J1053" t="s">
        <v>428</v>
      </c>
    </row>
    <row r="1054" spans="1:10" x14ac:dyDescent="0.35">
      <c r="A1054">
        <v>270</v>
      </c>
      <c r="B1054" t="s">
        <v>218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v>0</v>
      </c>
      <c r="I1054">
        <v>0</v>
      </c>
      <c r="J1054" t="s">
        <v>428</v>
      </c>
    </row>
    <row r="1055" spans="1:10" x14ac:dyDescent="0.35">
      <c r="A1055">
        <v>280</v>
      </c>
      <c r="B1055" t="s">
        <v>549</v>
      </c>
      <c r="C1055">
        <v>0</v>
      </c>
      <c r="D1055"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J1055" t="s">
        <v>428</v>
      </c>
    </row>
    <row r="1056" spans="1:10" x14ac:dyDescent="0.35">
      <c r="A1056">
        <v>400</v>
      </c>
      <c r="B1056" t="s">
        <v>220</v>
      </c>
      <c r="C1056">
        <v>36086087.039999999</v>
      </c>
      <c r="D1056">
        <v>0</v>
      </c>
      <c r="E1056">
        <v>36086087.039999999</v>
      </c>
      <c r="F1056">
        <v>-1748516.49</v>
      </c>
      <c r="G1056">
        <v>-1748516.49</v>
      </c>
      <c r="H1056">
        <v>37834603.530000001</v>
      </c>
      <c r="I1056">
        <v>37834603.530000001</v>
      </c>
      <c r="J1056" t="s">
        <v>428</v>
      </c>
    </row>
    <row r="1057" spans="1:10" x14ac:dyDescent="0.35">
      <c r="A1057">
        <v>410</v>
      </c>
      <c r="B1057" t="s">
        <v>550</v>
      </c>
      <c r="C1057">
        <v>0</v>
      </c>
      <c r="D1057">
        <v>0</v>
      </c>
      <c r="E1057">
        <v>0</v>
      </c>
      <c r="F1057">
        <v>0</v>
      </c>
      <c r="G1057">
        <v>0</v>
      </c>
      <c r="H1057">
        <v>0</v>
      </c>
      <c r="I1057">
        <v>0</v>
      </c>
      <c r="J1057" t="s">
        <v>428</v>
      </c>
    </row>
    <row r="1058" spans="1:10" x14ac:dyDescent="0.35">
      <c r="A1058">
        <v>420</v>
      </c>
      <c r="B1058" t="s">
        <v>222</v>
      </c>
      <c r="C1058">
        <v>1400000</v>
      </c>
      <c r="D1058">
        <v>0</v>
      </c>
      <c r="E1058">
        <v>1400000</v>
      </c>
      <c r="F1058">
        <v>-1457000</v>
      </c>
      <c r="G1058">
        <v>-1457000</v>
      </c>
      <c r="H1058">
        <v>2857000</v>
      </c>
      <c r="I1058">
        <v>2857000</v>
      </c>
      <c r="J1058" t="s">
        <v>428</v>
      </c>
    </row>
    <row r="1059" spans="1:10" x14ac:dyDescent="0.35">
      <c r="A1059">
        <v>430</v>
      </c>
      <c r="B1059" t="s">
        <v>223</v>
      </c>
      <c r="C1059">
        <v>2935451.17</v>
      </c>
      <c r="D1059">
        <v>0</v>
      </c>
      <c r="E1059">
        <v>2935451.17</v>
      </c>
      <c r="F1059">
        <v>-2900</v>
      </c>
      <c r="G1059">
        <v>-2900</v>
      </c>
      <c r="H1059">
        <v>2938351.17</v>
      </c>
      <c r="I1059">
        <v>2938351.17</v>
      </c>
      <c r="J1059" t="s">
        <v>428</v>
      </c>
    </row>
    <row r="1060" spans="1:10" x14ac:dyDescent="0.35">
      <c r="A1060">
        <v>440</v>
      </c>
      <c r="B1060" t="s">
        <v>224</v>
      </c>
      <c r="C1060">
        <v>0</v>
      </c>
      <c r="D1060"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 t="s">
        <v>428</v>
      </c>
    </row>
    <row r="1061" spans="1:10" x14ac:dyDescent="0.35">
      <c r="A1061">
        <v>450</v>
      </c>
      <c r="B1061" t="s">
        <v>225</v>
      </c>
      <c r="C1061">
        <v>805671.45</v>
      </c>
      <c r="D1061">
        <v>0</v>
      </c>
      <c r="E1061">
        <v>805671.45</v>
      </c>
      <c r="F1061">
        <v>-388678.92</v>
      </c>
      <c r="G1061">
        <v>-388678.92</v>
      </c>
      <c r="H1061">
        <v>1194350.3700000001</v>
      </c>
      <c r="I1061">
        <v>1194350.3700000001</v>
      </c>
      <c r="J1061" t="s">
        <v>428</v>
      </c>
    </row>
    <row r="1062" spans="1:10" x14ac:dyDescent="0.35">
      <c r="A1062">
        <v>460</v>
      </c>
      <c r="B1062" t="s">
        <v>552</v>
      </c>
      <c r="C1062">
        <v>0</v>
      </c>
      <c r="D1062"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 t="s">
        <v>428</v>
      </c>
    </row>
    <row r="1063" spans="1:10" x14ac:dyDescent="0.35">
      <c r="A1063">
        <v>500</v>
      </c>
      <c r="B1063" t="s">
        <v>227</v>
      </c>
      <c r="C1063">
        <v>5141122.62</v>
      </c>
      <c r="D1063">
        <v>0</v>
      </c>
      <c r="E1063">
        <v>5141122.62</v>
      </c>
      <c r="F1063">
        <v>-1848578.92</v>
      </c>
      <c r="G1063">
        <v>-1848578.92</v>
      </c>
      <c r="H1063">
        <v>6989701.54</v>
      </c>
      <c r="I1063">
        <v>6989701.54</v>
      </c>
      <c r="J1063" t="s">
        <v>428</v>
      </c>
    </row>
    <row r="1064" spans="1:10" x14ac:dyDescent="0.35">
      <c r="A1064">
        <v>510</v>
      </c>
      <c r="B1064" t="s">
        <v>553</v>
      </c>
      <c r="C1064">
        <v>0</v>
      </c>
      <c r="D1064"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 t="s">
        <v>428</v>
      </c>
    </row>
    <row r="1065" spans="1:10" x14ac:dyDescent="0.35">
      <c r="A1065">
        <v>520</v>
      </c>
      <c r="B1065" t="s">
        <v>229</v>
      </c>
      <c r="C1065">
        <v>0</v>
      </c>
      <c r="D1065">
        <v>0</v>
      </c>
      <c r="E1065">
        <v>0</v>
      </c>
      <c r="F1065">
        <v>0</v>
      </c>
      <c r="G1065">
        <v>0</v>
      </c>
      <c r="H1065">
        <v>0</v>
      </c>
      <c r="I1065">
        <v>0</v>
      </c>
      <c r="J1065" t="s">
        <v>428</v>
      </c>
    </row>
    <row r="1066" spans="1:10" x14ac:dyDescent="0.35">
      <c r="A1066">
        <v>530</v>
      </c>
      <c r="B1066" t="s">
        <v>230</v>
      </c>
      <c r="C1066">
        <v>0</v>
      </c>
      <c r="D1066"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 t="s">
        <v>428</v>
      </c>
    </row>
    <row r="1067" spans="1:10" x14ac:dyDescent="0.35">
      <c r="A1067">
        <v>540</v>
      </c>
      <c r="B1067" t="s">
        <v>231</v>
      </c>
      <c r="C1067">
        <v>0</v>
      </c>
      <c r="D1067"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 t="s">
        <v>428</v>
      </c>
    </row>
    <row r="1068" spans="1:10" x14ac:dyDescent="0.35">
      <c r="A1068">
        <v>600</v>
      </c>
      <c r="B1068" t="s">
        <v>232</v>
      </c>
      <c r="C1068">
        <v>0</v>
      </c>
      <c r="D1068">
        <v>0</v>
      </c>
      <c r="E1068">
        <v>0</v>
      </c>
      <c r="F1068">
        <v>0</v>
      </c>
      <c r="G1068">
        <v>0</v>
      </c>
      <c r="H1068">
        <v>0</v>
      </c>
      <c r="I1068">
        <v>0</v>
      </c>
      <c r="J1068" t="s">
        <v>428</v>
      </c>
    </row>
    <row r="1069" spans="1:10" x14ac:dyDescent="0.35">
      <c r="A1069">
        <v>610</v>
      </c>
      <c r="B1069" t="s">
        <v>555</v>
      </c>
      <c r="C1069">
        <v>0</v>
      </c>
      <c r="D1069">
        <v>0</v>
      </c>
      <c r="E1069">
        <v>0</v>
      </c>
      <c r="F1069">
        <v>0</v>
      </c>
      <c r="G1069">
        <v>0</v>
      </c>
      <c r="H1069">
        <v>0</v>
      </c>
      <c r="I1069">
        <v>0</v>
      </c>
      <c r="J1069" t="s">
        <v>428</v>
      </c>
    </row>
    <row r="1070" spans="1:10" x14ac:dyDescent="0.35">
      <c r="A1070">
        <v>620</v>
      </c>
      <c r="B1070" t="s">
        <v>234</v>
      </c>
      <c r="C1070">
        <v>0</v>
      </c>
      <c r="D1070"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 t="s">
        <v>428</v>
      </c>
    </row>
    <row r="1071" spans="1:10" x14ac:dyDescent="0.35">
      <c r="A1071">
        <v>700</v>
      </c>
      <c r="B1071" t="s">
        <v>556</v>
      </c>
      <c r="C1071">
        <v>0</v>
      </c>
      <c r="D1071">
        <v>0</v>
      </c>
      <c r="E1071">
        <v>0</v>
      </c>
      <c r="F1071">
        <v>0</v>
      </c>
      <c r="G1071">
        <v>0</v>
      </c>
      <c r="H1071">
        <v>0</v>
      </c>
      <c r="I1071">
        <v>0</v>
      </c>
      <c r="J1071" t="s">
        <v>428</v>
      </c>
    </row>
    <row r="1072" spans="1:10" x14ac:dyDescent="0.35">
      <c r="A1072">
        <v>710</v>
      </c>
      <c r="B1072" t="s">
        <v>557</v>
      </c>
      <c r="C1072">
        <v>0</v>
      </c>
      <c r="D1072"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 t="s">
        <v>428</v>
      </c>
    </row>
    <row r="1073" spans="1:10" x14ac:dyDescent="0.35">
      <c r="A1073">
        <v>720</v>
      </c>
      <c r="B1073" t="s">
        <v>237</v>
      </c>
      <c r="C1073">
        <v>8311752.3300000001</v>
      </c>
      <c r="D1073">
        <v>0</v>
      </c>
      <c r="E1073">
        <v>8311752.3300000001</v>
      </c>
      <c r="F1073">
        <v>0</v>
      </c>
      <c r="G1073">
        <v>0</v>
      </c>
      <c r="H1073">
        <v>8311752.3300000001</v>
      </c>
      <c r="I1073">
        <v>8311752.3300000001</v>
      </c>
      <c r="J1073" t="s">
        <v>428</v>
      </c>
    </row>
    <row r="1074" spans="1:10" x14ac:dyDescent="0.35">
      <c r="A1074">
        <v>730</v>
      </c>
      <c r="B1074" t="s">
        <v>238</v>
      </c>
      <c r="C1074">
        <v>8748.9599999999991</v>
      </c>
      <c r="D1074">
        <v>0</v>
      </c>
      <c r="E1074">
        <v>8748.9599999999991</v>
      </c>
      <c r="F1074">
        <v>0</v>
      </c>
      <c r="G1074">
        <v>0</v>
      </c>
      <c r="H1074">
        <v>8748.9599999999991</v>
      </c>
      <c r="I1074">
        <v>8748.9599999999991</v>
      </c>
      <c r="J1074" t="s">
        <v>428</v>
      </c>
    </row>
    <row r="1075" spans="1:10" x14ac:dyDescent="0.35">
      <c r="A1075">
        <v>740</v>
      </c>
      <c r="B1075" t="s">
        <v>239</v>
      </c>
      <c r="C1075">
        <v>22524400.699999999</v>
      </c>
      <c r="D1075">
        <v>0</v>
      </c>
      <c r="E1075">
        <v>22524400.699999999</v>
      </c>
      <c r="F1075">
        <v>0</v>
      </c>
      <c r="G1075">
        <v>0</v>
      </c>
      <c r="H1075">
        <v>19707056.940000001</v>
      </c>
      <c r="I1075">
        <v>22524400.699999999</v>
      </c>
      <c r="J1075" t="s">
        <v>428</v>
      </c>
    </row>
    <row r="1076" spans="1:10" x14ac:dyDescent="0.35">
      <c r="A1076">
        <v>750</v>
      </c>
      <c r="B1076" t="s">
        <v>240</v>
      </c>
      <c r="C1076">
        <v>100062.43</v>
      </c>
      <c r="D1076">
        <v>131515</v>
      </c>
      <c r="E1076">
        <v>-31452.57</v>
      </c>
      <c r="F1076">
        <v>100062.43</v>
      </c>
      <c r="G1076">
        <v>100062.43</v>
      </c>
      <c r="H1076">
        <v>2817343.76</v>
      </c>
      <c r="I1076">
        <v>0</v>
      </c>
      <c r="J1076" t="s">
        <v>428</v>
      </c>
    </row>
    <row r="1077" spans="1:10" x14ac:dyDescent="0.35">
      <c r="A1077">
        <v>760</v>
      </c>
      <c r="B1077" t="s">
        <v>241</v>
      </c>
      <c r="C1077">
        <v>0</v>
      </c>
      <c r="D1077">
        <v>0</v>
      </c>
      <c r="E1077">
        <v>0</v>
      </c>
      <c r="F1077">
        <v>0</v>
      </c>
      <c r="G1077">
        <v>0</v>
      </c>
      <c r="H1077">
        <v>0</v>
      </c>
      <c r="I1077">
        <v>0</v>
      </c>
      <c r="J1077" t="s">
        <v>428</v>
      </c>
    </row>
    <row r="1078" spans="1:10" x14ac:dyDescent="0.35">
      <c r="A1078">
        <v>770</v>
      </c>
      <c r="B1078" t="s">
        <v>242</v>
      </c>
      <c r="C1078">
        <v>0</v>
      </c>
      <c r="D1078"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 t="s">
        <v>428</v>
      </c>
    </row>
    <row r="1079" spans="1:10" x14ac:dyDescent="0.35">
      <c r="A1079">
        <v>800</v>
      </c>
      <c r="B1079" t="s">
        <v>243</v>
      </c>
      <c r="C1079">
        <v>30944964.420000002</v>
      </c>
      <c r="D1079">
        <v>131515</v>
      </c>
      <c r="E1079">
        <v>30813449.420000002</v>
      </c>
      <c r="F1079">
        <v>100062.43</v>
      </c>
      <c r="G1079">
        <v>100062.43</v>
      </c>
      <c r="H1079">
        <v>30844901.989999998</v>
      </c>
      <c r="I1079">
        <v>30844901.989999998</v>
      </c>
      <c r="J1079" t="s">
        <v>428</v>
      </c>
    </row>
    <row r="1080" spans="1:10" x14ac:dyDescent="0.35">
      <c r="A1080">
        <v>900</v>
      </c>
      <c r="B1080" t="s">
        <v>244</v>
      </c>
      <c r="C1080">
        <v>36086087.039999999</v>
      </c>
      <c r="D1080">
        <v>131515</v>
      </c>
      <c r="E1080">
        <v>35954572.039999999</v>
      </c>
      <c r="F1080">
        <v>-1748516.49</v>
      </c>
      <c r="G1080">
        <v>-1748516.49</v>
      </c>
      <c r="H1080">
        <v>37834603.530000001</v>
      </c>
      <c r="I1080">
        <v>37834603.530000001</v>
      </c>
      <c r="J1080" t="s">
        <v>428</v>
      </c>
    </row>
    <row r="1081" spans="1:10" x14ac:dyDescent="0.35">
      <c r="A1081">
        <v>1000</v>
      </c>
      <c r="B1081" t="s">
        <v>558</v>
      </c>
      <c r="C1081">
        <v>0</v>
      </c>
      <c r="D1081">
        <v>-131515</v>
      </c>
      <c r="E1081">
        <v>131515</v>
      </c>
      <c r="F1081">
        <v>0</v>
      </c>
      <c r="G1081">
        <v>0</v>
      </c>
      <c r="H1081">
        <v>0</v>
      </c>
      <c r="I1081">
        <v>0</v>
      </c>
      <c r="J1081" t="s">
        <v>428</v>
      </c>
    </row>
    <row r="1082" spans="1:10" x14ac:dyDescent="0.35">
      <c r="A1082" t="s">
        <v>502</v>
      </c>
      <c r="B1082" t="s">
        <v>416</v>
      </c>
      <c r="C1082" t="s">
        <v>537</v>
      </c>
      <c r="D1082" t="s">
        <v>538</v>
      </c>
      <c r="E1082" t="s">
        <v>539</v>
      </c>
      <c r="F1082" t="s">
        <v>540</v>
      </c>
      <c r="G1082" t="s">
        <v>541</v>
      </c>
      <c r="H1082" t="s">
        <v>542</v>
      </c>
      <c r="I1082" t="s">
        <v>543</v>
      </c>
      <c r="J1082" t="s">
        <v>121</v>
      </c>
    </row>
    <row r="1083" spans="1:10" x14ac:dyDescent="0.35">
      <c r="A1083">
        <v>10</v>
      </c>
      <c r="B1083" t="s">
        <v>544</v>
      </c>
      <c r="C1083">
        <v>0</v>
      </c>
      <c r="D1083">
        <v>0</v>
      </c>
      <c r="E1083">
        <v>0</v>
      </c>
      <c r="F1083">
        <v>0</v>
      </c>
      <c r="G1083">
        <v>0</v>
      </c>
      <c r="H1083">
        <v>0</v>
      </c>
      <c r="I1083">
        <v>0</v>
      </c>
      <c r="J1083" t="s">
        <v>428</v>
      </c>
    </row>
    <row r="1084" spans="1:10" x14ac:dyDescent="0.35">
      <c r="A1084">
        <v>20</v>
      </c>
      <c r="B1084" t="s">
        <v>194</v>
      </c>
      <c r="C1084">
        <v>9489328.7799999993</v>
      </c>
      <c r="D1084">
        <v>0</v>
      </c>
      <c r="E1084">
        <v>9489328.7799999993</v>
      </c>
      <c r="F1084">
        <v>-1101303.96</v>
      </c>
      <c r="G1084">
        <v>-1101303.96</v>
      </c>
      <c r="H1084">
        <v>10590632.74</v>
      </c>
      <c r="I1084">
        <v>10590632.74</v>
      </c>
      <c r="J1084" t="s">
        <v>428</v>
      </c>
    </row>
    <row r="1085" spans="1:10" x14ac:dyDescent="0.35">
      <c r="A1085">
        <v>30</v>
      </c>
      <c r="B1085" t="s">
        <v>195</v>
      </c>
      <c r="C1085">
        <v>0</v>
      </c>
      <c r="D1085">
        <v>0</v>
      </c>
      <c r="E1085">
        <v>0</v>
      </c>
      <c r="F1085">
        <v>0</v>
      </c>
      <c r="G1085">
        <v>0</v>
      </c>
      <c r="H1085">
        <v>0</v>
      </c>
      <c r="I1085">
        <v>0</v>
      </c>
      <c r="J1085" t="s">
        <v>428</v>
      </c>
    </row>
    <row r="1086" spans="1:10" x14ac:dyDescent="0.35">
      <c r="A1086">
        <v>40</v>
      </c>
      <c r="B1086" t="s">
        <v>196</v>
      </c>
      <c r="C1086">
        <v>188407438.53999999</v>
      </c>
      <c r="D1086">
        <v>0</v>
      </c>
      <c r="E1086">
        <v>188407438.53999999</v>
      </c>
      <c r="F1086">
        <v>3711474.67</v>
      </c>
      <c r="G1086">
        <v>3711474.67</v>
      </c>
      <c r="H1086">
        <v>184695963.87</v>
      </c>
      <c r="I1086">
        <v>184695963.87</v>
      </c>
      <c r="J1086" t="s">
        <v>428</v>
      </c>
    </row>
    <row r="1087" spans="1:10" x14ac:dyDescent="0.35">
      <c r="A1087">
        <v>50</v>
      </c>
      <c r="B1087" t="s">
        <v>197</v>
      </c>
      <c r="C1087">
        <v>13988375.529999999</v>
      </c>
      <c r="D1087">
        <v>0</v>
      </c>
      <c r="E1087">
        <v>13988375.529999999</v>
      </c>
      <c r="F1087">
        <v>1407058.42</v>
      </c>
      <c r="G1087">
        <v>1407058.42</v>
      </c>
      <c r="H1087">
        <v>12581317.109999999</v>
      </c>
      <c r="I1087">
        <v>12581317.109999999</v>
      </c>
      <c r="J1087" t="s">
        <v>428</v>
      </c>
    </row>
    <row r="1088" spans="1:10" x14ac:dyDescent="0.35">
      <c r="A1088">
        <v>60</v>
      </c>
      <c r="B1088" t="s">
        <v>198</v>
      </c>
      <c r="C1088">
        <v>123423026.54000001</v>
      </c>
      <c r="D1088">
        <v>0</v>
      </c>
      <c r="E1088">
        <v>123423026.54000001</v>
      </c>
      <c r="F1088">
        <v>-2154030.81</v>
      </c>
      <c r="G1088">
        <v>-2154030.81</v>
      </c>
      <c r="H1088">
        <v>125577057.34999999</v>
      </c>
      <c r="I1088">
        <v>125577057.34999999</v>
      </c>
      <c r="J1088" t="s">
        <v>428</v>
      </c>
    </row>
    <row r="1089" spans="1:10" x14ac:dyDescent="0.35">
      <c r="A1089">
        <v>70</v>
      </c>
      <c r="B1089" t="s">
        <v>199</v>
      </c>
      <c r="C1089">
        <v>5360871.33</v>
      </c>
      <c r="D1089">
        <v>0</v>
      </c>
      <c r="E1089">
        <v>5360871.33</v>
      </c>
      <c r="F1089">
        <v>305175</v>
      </c>
      <c r="G1089">
        <v>305175</v>
      </c>
      <c r="H1089">
        <v>5055696.33</v>
      </c>
      <c r="I1089">
        <v>5055696.33</v>
      </c>
      <c r="J1089" t="s">
        <v>428</v>
      </c>
    </row>
    <row r="1090" spans="1:10" x14ac:dyDescent="0.35">
      <c r="A1090">
        <v>80</v>
      </c>
      <c r="B1090" t="s">
        <v>559</v>
      </c>
      <c r="C1090">
        <v>0</v>
      </c>
      <c r="D1090"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 t="s">
        <v>428</v>
      </c>
    </row>
    <row r="1091" spans="1:10" x14ac:dyDescent="0.35">
      <c r="A1091">
        <v>100</v>
      </c>
      <c r="B1091" t="s">
        <v>546</v>
      </c>
      <c r="C1091">
        <v>340669040.72000003</v>
      </c>
      <c r="D1091">
        <v>0</v>
      </c>
      <c r="E1091">
        <v>340669040.72000003</v>
      </c>
      <c r="F1091">
        <v>2168373.3199999998</v>
      </c>
      <c r="G1091">
        <v>2168373.3199999998</v>
      </c>
      <c r="H1091">
        <v>338500667.39999998</v>
      </c>
      <c r="I1091">
        <v>338500667.39999998</v>
      </c>
      <c r="J1091" t="s">
        <v>428</v>
      </c>
    </row>
    <row r="1092" spans="1:10" x14ac:dyDescent="0.35">
      <c r="A1092">
        <v>110</v>
      </c>
      <c r="B1092" t="s">
        <v>547</v>
      </c>
      <c r="C1092">
        <v>0</v>
      </c>
      <c r="D1092"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 t="s">
        <v>428</v>
      </c>
    </row>
    <row r="1093" spans="1:10" x14ac:dyDescent="0.35">
      <c r="A1093">
        <v>120</v>
      </c>
      <c r="B1093" t="s">
        <v>203</v>
      </c>
      <c r="C1093">
        <v>0</v>
      </c>
      <c r="D1093">
        <v>0</v>
      </c>
      <c r="E1093">
        <v>0</v>
      </c>
      <c r="F1093">
        <v>0</v>
      </c>
      <c r="G1093">
        <v>0</v>
      </c>
      <c r="H1093">
        <v>0</v>
      </c>
      <c r="I1093">
        <v>0</v>
      </c>
      <c r="J1093" t="s">
        <v>428</v>
      </c>
    </row>
    <row r="1094" spans="1:10" x14ac:dyDescent="0.35">
      <c r="A1094">
        <v>130</v>
      </c>
      <c r="B1094" t="s">
        <v>204</v>
      </c>
      <c r="C1094">
        <v>0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 t="s">
        <v>428</v>
      </c>
    </row>
    <row r="1095" spans="1:10" x14ac:dyDescent="0.35">
      <c r="A1095">
        <v>140</v>
      </c>
      <c r="B1095" t="s">
        <v>205</v>
      </c>
      <c r="C1095">
        <v>51306.34</v>
      </c>
      <c r="D1095">
        <v>0</v>
      </c>
      <c r="E1095">
        <v>51306.34</v>
      </c>
      <c r="F1095">
        <v>0</v>
      </c>
      <c r="G1095">
        <v>0</v>
      </c>
      <c r="H1095">
        <v>51306.34</v>
      </c>
      <c r="I1095">
        <v>51306.34</v>
      </c>
      <c r="J1095" t="s">
        <v>428</v>
      </c>
    </row>
    <row r="1096" spans="1:10" x14ac:dyDescent="0.35">
      <c r="A1096">
        <v>150</v>
      </c>
      <c r="B1096" t="s">
        <v>206</v>
      </c>
      <c r="C1096">
        <v>130985.44</v>
      </c>
      <c r="D1096">
        <v>0</v>
      </c>
      <c r="E1096">
        <v>130985.44</v>
      </c>
      <c r="F1096">
        <v>0</v>
      </c>
      <c r="G1096">
        <v>0</v>
      </c>
      <c r="H1096">
        <v>130985.44</v>
      </c>
      <c r="I1096">
        <v>130985.44</v>
      </c>
      <c r="J1096" t="s">
        <v>428</v>
      </c>
    </row>
    <row r="1097" spans="1:10" x14ac:dyDescent="0.35">
      <c r="A1097">
        <v>160</v>
      </c>
      <c r="B1097" t="s">
        <v>207</v>
      </c>
      <c r="C1097">
        <v>776233</v>
      </c>
      <c r="D1097">
        <v>0</v>
      </c>
      <c r="E1097">
        <v>776233</v>
      </c>
      <c r="F1097">
        <v>0</v>
      </c>
      <c r="G1097">
        <v>0</v>
      </c>
      <c r="H1097">
        <v>776233</v>
      </c>
      <c r="I1097">
        <v>776233</v>
      </c>
      <c r="J1097" t="s">
        <v>428</v>
      </c>
    </row>
    <row r="1098" spans="1:10" x14ac:dyDescent="0.35">
      <c r="A1098">
        <v>170</v>
      </c>
      <c r="B1098" t="s">
        <v>208</v>
      </c>
      <c r="C1098">
        <v>169304.93</v>
      </c>
      <c r="D1098">
        <v>0</v>
      </c>
      <c r="E1098">
        <v>169304.93</v>
      </c>
      <c r="F1098">
        <v>0</v>
      </c>
      <c r="G1098">
        <v>0</v>
      </c>
      <c r="H1098">
        <v>169304.93</v>
      </c>
      <c r="I1098">
        <v>169304.93</v>
      </c>
      <c r="J1098" t="s">
        <v>428</v>
      </c>
    </row>
    <row r="1099" spans="1:10" x14ac:dyDescent="0.35">
      <c r="A1099">
        <v>180</v>
      </c>
      <c r="B1099" t="s">
        <v>209</v>
      </c>
      <c r="C1099">
        <v>0</v>
      </c>
      <c r="D1099">
        <v>0</v>
      </c>
      <c r="E1099">
        <v>0</v>
      </c>
      <c r="F1099">
        <v>0</v>
      </c>
      <c r="G1099">
        <v>0</v>
      </c>
      <c r="H1099">
        <v>0</v>
      </c>
      <c r="I1099">
        <v>0</v>
      </c>
      <c r="J1099" t="s">
        <v>428</v>
      </c>
    </row>
    <row r="1100" spans="1:10" x14ac:dyDescent="0.35">
      <c r="A1100">
        <v>190</v>
      </c>
      <c r="B1100" t="s">
        <v>210</v>
      </c>
      <c r="C1100">
        <v>-485714.28</v>
      </c>
      <c r="D1100">
        <v>0</v>
      </c>
      <c r="E1100">
        <v>-485714.28</v>
      </c>
      <c r="F1100">
        <v>-6875.67</v>
      </c>
      <c r="G1100">
        <v>-6875.67</v>
      </c>
      <c r="H1100">
        <v>-478838.61</v>
      </c>
      <c r="I1100">
        <v>-478838.61</v>
      </c>
      <c r="J1100" t="s">
        <v>428</v>
      </c>
    </row>
    <row r="1101" spans="1:10" x14ac:dyDescent="0.35">
      <c r="A1101">
        <v>200</v>
      </c>
      <c r="B1101" t="s">
        <v>211</v>
      </c>
      <c r="C1101">
        <v>642115.43000000005</v>
      </c>
      <c r="D1101">
        <v>0</v>
      </c>
      <c r="E1101">
        <v>642115.43000000005</v>
      </c>
      <c r="F1101">
        <v>-6875.67</v>
      </c>
      <c r="G1101">
        <v>-6875.67</v>
      </c>
      <c r="H1101">
        <v>648991.1</v>
      </c>
      <c r="I1101">
        <v>648991.1</v>
      </c>
      <c r="J1101" t="s">
        <v>428</v>
      </c>
    </row>
    <row r="1102" spans="1:10" x14ac:dyDescent="0.35">
      <c r="A1102">
        <v>210</v>
      </c>
      <c r="B1102" t="s">
        <v>548</v>
      </c>
      <c r="C1102">
        <v>0</v>
      </c>
      <c r="D1102"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 t="s">
        <v>428</v>
      </c>
    </row>
    <row r="1103" spans="1:10" x14ac:dyDescent="0.35">
      <c r="A1103">
        <v>220</v>
      </c>
      <c r="B1103" t="s">
        <v>213</v>
      </c>
      <c r="C1103">
        <v>29843.84</v>
      </c>
      <c r="D1103">
        <v>0</v>
      </c>
      <c r="E1103">
        <v>29843.84</v>
      </c>
      <c r="F1103">
        <v>0</v>
      </c>
      <c r="G1103">
        <v>0</v>
      </c>
      <c r="H1103">
        <v>29843.84</v>
      </c>
      <c r="I1103">
        <v>29843.84</v>
      </c>
      <c r="J1103" t="s">
        <v>428</v>
      </c>
    </row>
    <row r="1104" spans="1:10" x14ac:dyDescent="0.35">
      <c r="A1104">
        <v>230</v>
      </c>
      <c r="B1104" t="s">
        <v>214</v>
      </c>
      <c r="C1104">
        <v>35297829.619999997</v>
      </c>
      <c r="D1104">
        <v>0</v>
      </c>
      <c r="E1104">
        <v>35297829.619999997</v>
      </c>
      <c r="F1104">
        <v>0</v>
      </c>
      <c r="G1104">
        <v>0</v>
      </c>
      <c r="H1104">
        <v>35297829.619999997</v>
      </c>
      <c r="I1104">
        <v>35297829.619999997</v>
      </c>
      <c r="J1104" t="s">
        <v>428</v>
      </c>
    </row>
    <row r="1105" spans="1:10" x14ac:dyDescent="0.35">
      <c r="A1105">
        <v>240</v>
      </c>
      <c r="B1105" t="s">
        <v>215</v>
      </c>
      <c r="C1105">
        <v>0</v>
      </c>
      <c r="D1105">
        <v>0</v>
      </c>
      <c r="E1105">
        <v>0</v>
      </c>
      <c r="F1105">
        <v>0</v>
      </c>
      <c r="G1105">
        <v>0</v>
      </c>
      <c r="H1105">
        <v>0</v>
      </c>
      <c r="I1105">
        <v>0</v>
      </c>
      <c r="J1105" t="s">
        <v>428</v>
      </c>
    </row>
    <row r="1106" spans="1:10" x14ac:dyDescent="0.35">
      <c r="A1106">
        <v>250</v>
      </c>
      <c r="B1106" t="s">
        <v>216</v>
      </c>
      <c r="C1106">
        <v>35327673.460000001</v>
      </c>
      <c r="D1106">
        <v>0</v>
      </c>
      <c r="E1106">
        <v>35327673.460000001</v>
      </c>
      <c r="F1106">
        <v>0</v>
      </c>
      <c r="G1106">
        <v>0</v>
      </c>
      <c r="H1106">
        <v>35327673.460000001</v>
      </c>
      <c r="I1106">
        <v>35327673.460000001</v>
      </c>
      <c r="J1106" t="s">
        <v>428</v>
      </c>
    </row>
    <row r="1107" spans="1:10" x14ac:dyDescent="0.35">
      <c r="A1107">
        <v>260</v>
      </c>
      <c r="B1107" t="s">
        <v>217</v>
      </c>
      <c r="C1107">
        <v>0</v>
      </c>
      <c r="D1107">
        <v>0</v>
      </c>
      <c r="E1107">
        <v>0</v>
      </c>
      <c r="F1107">
        <v>0</v>
      </c>
      <c r="G1107">
        <v>0</v>
      </c>
      <c r="H1107">
        <v>0</v>
      </c>
      <c r="I1107">
        <v>0</v>
      </c>
      <c r="J1107" t="s">
        <v>428</v>
      </c>
    </row>
    <row r="1108" spans="1:10" x14ac:dyDescent="0.35">
      <c r="A1108">
        <v>270</v>
      </c>
      <c r="B1108" t="s">
        <v>218</v>
      </c>
      <c r="C1108">
        <v>0</v>
      </c>
      <c r="D1108"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 t="s">
        <v>428</v>
      </c>
    </row>
    <row r="1109" spans="1:10" x14ac:dyDescent="0.35">
      <c r="A1109">
        <v>280</v>
      </c>
      <c r="B1109" t="s">
        <v>549</v>
      </c>
      <c r="C1109">
        <v>0</v>
      </c>
      <c r="D1109">
        <v>0</v>
      </c>
      <c r="E1109">
        <v>0</v>
      </c>
      <c r="F1109">
        <v>0</v>
      </c>
      <c r="G1109">
        <v>0</v>
      </c>
      <c r="H1109">
        <v>0</v>
      </c>
      <c r="I1109">
        <v>0</v>
      </c>
      <c r="J1109" t="s">
        <v>428</v>
      </c>
    </row>
    <row r="1110" spans="1:10" x14ac:dyDescent="0.35">
      <c r="A1110">
        <v>400</v>
      </c>
      <c r="B1110" t="s">
        <v>220</v>
      </c>
      <c r="C1110">
        <v>376638829.61000001</v>
      </c>
      <c r="D1110">
        <v>0</v>
      </c>
      <c r="E1110">
        <v>376638829.61000001</v>
      </c>
      <c r="F1110">
        <v>2161497.65</v>
      </c>
      <c r="G1110">
        <v>2161497.65</v>
      </c>
      <c r="H1110">
        <v>374477331.95999998</v>
      </c>
      <c r="I1110">
        <v>374477331.95999998</v>
      </c>
      <c r="J1110" t="s">
        <v>428</v>
      </c>
    </row>
    <row r="1111" spans="1:10" x14ac:dyDescent="0.35">
      <c r="A1111">
        <v>410</v>
      </c>
      <c r="B1111" t="s">
        <v>550</v>
      </c>
      <c r="C1111">
        <v>0</v>
      </c>
      <c r="D1111">
        <v>0</v>
      </c>
      <c r="E1111">
        <v>0</v>
      </c>
      <c r="F1111">
        <v>0</v>
      </c>
      <c r="G1111">
        <v>0</v>
      </c>
      <c r="H1111">
        <v>0</v>
      </c>
      <c r="I1111">
        <v>0</v>
      </c>
      <c r="J1111" t="s">
        <v>428</v>
      </c>
    </row>
    <row r="1112" spans="1:10" x14ac:dyDescent="0.35">
      <c r="A1112">
        <v>420</v>
      </c>
      <c r="B1112" t="s">
        <v>222</v>
      </c>
      <c r="C1112">
        <v>0</v>
      </c>
      <c r="D1112">
        <v>0</v>
      </c>
      <c r="E1112">
        <v>0</v>
      </c>
      <c r="F1112">
        <v>0</v>
      </c>
      <c r="G1112">
        <v>0</v>
      </c>
      <c r="H1112">
        <v>0</v>
      </c>
      <c r="I1112">
        <v>0</v>
      </c>
      <c r="J1112" t="s">
        <v>428</v>
      </c>
    </row>
    <row r="1113" spans="1:10" x14ac:dyDescent="0.35">
      <c r="A1113">
        <v>430</v>
      </c>
      <c r="B1113" t="s">
        <v>223</v>
      </c>
      <c r="C1113">
        <v>8037980.5800000001</v>
      </c>
      <c r="D1113">
        <v>0</v>
      </c>
      <c r="E1113">
        <v>8037980.5800000001</v>
      </c>
      <c r="F1113">
        <v>-818623.21</v>
      </c>
      <c r="G1113">
        <v>-818623.21</v>
      </c>
      <c r="H1113">
        <v>8856603.7899999991</v>
      </c>
      <c r="I1113">
        <v>8856603.7899999991</v>
      </c>
      <c r="J1113" t="s">
        <v>428</v>
      </c>
    </row>
    <row r="1114" spans="1:10" x14ac:dyDescent="0.35">
      <c r="A1114">
        <v>440</v>
      </c>
      <c r="B1114" t="s">
        <v>224</v>
      </c>
      <c r="C1114">
        <v>0</v>
      </c>
      <c r="D1114"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 t="s">
        <v>428</v>
      </c>
    </row>
    <row r="1115" spans="1:10" x14ac:dyDescent="0.35">
      <c r="A1115">
        <v>450</v>
      </c>
      <c r="B1115" t="s">
        <v>225</v>
      </c>
      <c r="C1115">
        <v>2793341.73</v>
      </c>
      <c r="D1115">
        <v>0</v>
      </c>
      <c r="E1115">
        <v>2793341.73</v>
      </c>
      <c r="F1115">
        <v>-124893.18</v>
      </c>
      <c r="G1115">
        <v>-124893.18</v>
      </c>
      <c r="H1115">
        <v>2918234.91</v>
      </c>
      <c r="I1115">
        <v>2918234.91</v>
      </c>
      <c r="J1115" t="s">
        <v>428</v>
      </c>
    </row>
    <row r="1116" spans="1:10" x14ac:dyDescent="0.35">
      <c r="A1116">
        <v>460</v>
      </c>
      <c r="B1116" t="s">
        <v>552</v>
      </c>
      <c r="C1116">
        <v>0</v>
      </c>
      <c r="D1116"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 t="s">
        <v>428</v>
      </c>
    </row>
    <row r="1117" spans="1:10" x14ac:dyDescent="0.35">
      <c r="A1117">
        <v>500</v>
      </c>
      <c r="B1117" t="s">
        <v>227</v>
      </c>
      <c r="C1117">
        <v>10831322.310000001</v>
      </c>
      <c r="D1117">
        <v>0</v>
      </c>
      <c r="E1117">
        <v>10831322.310000001</v>
      </c>
      <c r="F1117">
        <v>-943516.39</v>
      </c>
      <c r="G1117">
        <v>-943516.39</v>
      </c>
      <c r="H1117">
        <v>11774838.699999999</v>
      </c>
      <c r="I1117">
        <v>11774838.699999999</v>
      </c>
      <c r="J1117" t="s">
        <v>428</v>
      </c>
    </row>
    <row r="1118" spans="1:10" x14ac:dyDescent="0.35">
      <c r="A1118">
        <v>510</v>
      </c>
      <c r="B1118" t="s">
        <v>553</v>
      </c>
      <c r="C1118">
        <v>0</v>
      </c>
      <c r="D1118"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 t="s">
        <v>428</v>
      </c>
    </row>
    <row r="1119" spans="1:10" x14ac:dyDescent="0.35">
      <c r="A1119">
        <v>520</v>
      </c>
      <c r="B1119" t="s">
        <v>229</v>
      </c>
      <c r="C1119">
        <v>0</v>
      </c>
      <c r="D1119">
        <v>0</v>
      </c>
      <c r="E1119">
        <v>0</v>
      </c>
      <c r="F1119">
        <v>0</v>
      </c>
      <c r="G1119">
        <v>0</v>
      </c>
      <c r="H1119">
        <v>0</v>
      </c>
      <c r="I1119">
        <v>0</v>
      </c>
      <c r="J1119" t="s">
        <v>428</v>
      </c>
    </row>
    <row r="1120" spans="1:10" x14ac:dyDescent="0.35">
      <c r="A1120">
        <v>530</v>
      </c>
      <c r="B1120" t="s">
        <v>230</v>
      </c>
      <c r="C1120">
        <v>0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 t="s">
        <v>428</v>
      </c>
    </row>
    <row r="1121" spans="1:10" x14ac:dyDescent="0.35">
      <c r="A1121">
        <v>540</v>
      </c>
      <c r="B1121" t="s">
        <v>231</v>
      </c>
      <c r="C1121">
        <v>0</v>
      </c>
      <c r="D1121">
        <v>0</v>
      </c>
      <c r="E1121">
        <v>0</v>
      </c>
      <c r="F1121">
        <v>0</v>
      </c>
      <c r="G1121">
        <v>0</v>
      </c>
      <c r="H1121">
        <v>0</v>
      </c>
      <c r="I1121">
        <v>0</v>
      </c>
      <c r="J1121" t="s">
        <v>428</v>
      </c>
    </row>
    <row r="1122" spans="1:10" x14ac:dyDescent="0.35">
      <c r="A1122">
        <v>600</v>
      </c>
      <c r="B1122" t="s">
        <v>232</v>
      </c>
      <c r="C1122">
        <v>0</v>
      </c>
      <c r="D1122"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 t="s">
        <v>428</v>
      </c>
    </row>
    <row r="1123" spans="1:10" x14ac:dyDescent="0.35">
      <c r="A1123">
        <v>610</v>
      </c>
      <c r="B1123" t="s">
        <v>555</v>
      </c>
      <c r="C1123">
        <v>0</v>
      </c>
      <c r="D1123">
        <v>0</v>
      </c>
      <c r="E1123">
        <v>0</v>
      </c>
      <c r="F1123">
        <v>0</v>
      </c>
      <c r="G1123">
        <v>0</v>
      </c>
      <c r="H1123">
        <v>0</v>
      </c>
      <c r="I1123">
        <v>0</v>
      </c>
      <c r="J1123" t="s">
        <v>428</v>
      </c>
    </row>
    <row r="1124" spans="1:10" x14ac:dyDescent="0.35">
      <c r="A1124">
        <v>620</v>
      </c>
      <c r="B1124" t="s">
        <v>234</v>
      </c>
      <c r="C1124">
        <v>61671976.850000001</v>
      </c>
      <c r="D1124">
        <v>0</v>
      </c>
      <c r="E1124">
        <v>61671976.850000001</v>
      </c>
      <c r="F1124">
        <v>667374.66</v>
      </c>
      <c r="G1124">
        <v>667374.66</v>
      </c>
      <c r="H1124">
        <v>61004602.189999998</v>
      </c>
      <c r="I1124">
        <v>61004602.189999998</v>
      </c>
      <c r="J1124" t="s">
        <v>428</v>
      </c>
    </row>
    <row r="1125" spans="1:10" x14ac:dyDescent="0.35">
      <c r="A1125">
        <v>700</v>
      </c>
      <c r="B1125" t="s">
        <v>556</v>
      </c>
      <c r="C1125">
        <v>61671976.850000001</v>
      </c>
      <c r="D1125">
        <v>0</v>
      </c>
      <c r="E1125">
        <v>61671976.850000001</v>
      </c>
      <c r="F1125">
        <v>667374.66</v>
      </c>
      <c r="G1125">
        <v>667374.66</v>
      </c>
      <c r="H1125">
        <v>61004602.189999998</v>
      </c>
      <c r="I1125">
        <v>61004602.189999998</v>
      </c>
      <c r="J1125" t="s">
        <v>428</v>
      </c>
    </row>
    <row r="1126" spans="1:10" x14ac:dyDescent="0.35">
      <c r="A1126">
        <v>710</v>
      </c>
      <c r="B1126" t="s">
        <v>557</v>
      </c>
      <c r="C1126">
        <v>0</v>
      </c>
      <c r="D1126"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J1126" t="s">
        <v>428</v>
      </c>
    </row>
    <row r="1127" spans="1:10" x14ac:dyDescent="0.35">
      <c r="A1127">
        <v>720</v>
      </c>
      <c r="B1127" t="s">
        <v>237</v>
      </c>
      <c r="C1127">
        <v>44066631.25</v>
      </c>
      <c r="D1127">
        <v>0</v>
      </c>
      <c r="E1127">
        <v>44066631.25</v>
      </c>
      <c r="F1127">
        <v>0</v>
      </c>
      <c r="G1127">
        <v>0</v>
      </c>
      <c r="H1127">
        <v>44066631.25</v>
      </c>
      <c r="I1127">
        <v>44066631.25</v>
      </c>
      <c r="J1127" t="s">
        <v>428</v>
      </c>
    </row>
    <row r="1128" spans="1:10" x14ac:dyDescent="0.35">
      <c r="A1128">
        <v>730</v>
      </c>
      <c r="B1128" t="s">
        <v>238</v>
      </c>
      <c r="C1128">
        <v>1417746.79</v>
      </c>
      <c r="D1128">
        <v>0</v>
      </c>
      <c r="E1128">
        <v>1417746.79</v>
      </c>
      <c r="F1128">
        <v>0</v>
      </c>
      <c r="G1128">
        <v>0</v>
      </c>
      <c r="H1128">
        <v>1417746.79</v>
      </c>
      <c r="I1128">
        <v>1417746.79</v>
      </c>
      <c r="J1128" t="s">
        <v>428</v>
      </c>
    </row>
    <row r="1129" spans="1:10" x14ac:dyDescent="0.35">
      <c r="A1129">
        <v>740</v>
      </c>
      <c r="B1129" t="s">
        <v>239</v>
      </c>
      <c r="C1129">
        <v>256254605.16999999</v>
      </c>
      <c r="D1129">
        <v>0</v>
      </c>
      <c r="E1129">
        <v>256254605.16999999</v>
      </c>
      <c r="F1129">
        <v>0</v>
      </c>
      <c r="G1129">
        <v>0</v>
      </c>
      <c r="H1129">
        <v>225520300.66999999</v>
      </c>
      <c r="I1129">
        <v>256254605.16999999</v>
      </c>
      <c r="J1129" t="s">
        <v>428</v>
      </c>
    </row>
    <row r="1130" spans="1:10" x14ac:dyDescent="0.35">
      <c r="A1130">
        <v>750</v>
      </c>
      <c r="B1130" t="s">
        <v>240</v>
      </c>
      <c r="C1130">
        <v>2437639.38</v>
      </c>
      <c r="D1130">
        <v>2516485</v>
      </c>
      <c r="E1130">
        <v>-78845.62</v>
      </c>
      <c r="F1130">
        <v>2437639.38</v>
      </c>
      <c r="G1130">
        <v>2437639.38</v>
      </c>
      <c r="H1130">
        <v>30734304.5</v>
      </c>
      <c r="I1130">
        <v>0</v>
      </c>
      <c r="J1130" t="s">
        <v>428</v>
      </c>
    </row>
    <row r="1131" spans="1:10" x14ac:dyDescent="0.35">
      <c r="A1131">
        <v>760</v>
      </c>
      <c r="B1131" t="s">
        <v>241</v>
      </c>
      <c r="C1131">
        <v>-41092.14</v>
      </c>
      <c r="D1131">
        <v>0</v>
      </c>
      <c r="E1131">
        <v>-41092.14</v>
      </c>
      <c r="F1131">
        <v>0</v>
      </c>
      <c r="G1131">
        <v>0</v>
      </c>
      <c r="H1131">
        <v>-41092.14</v>
      </c>
      <c r="I1131">
        <v>-41092.14</v>
      </c>
      <c r="J1131" t="s">
        <v>428</v>
      </c>
    </row>
    <row r="1132" spans="1:10" x14ac:dyDescent="0.35">
      <c r="A1132">
        <v>770</v>
      </c>
      <c r="B1132" t="s">
        <v>242</v>
      </c>
      <c r="C1132">
        <v>0</v>
      </c>
      <c r="D1132">
        <v>0</v>
      </c>
      <c r="E1132">
        <v>0</v>
      </c>
      <c r="F1132">
        <v>0</v>
      </c>
      <c r="G1132">
        <v>0</v>
      </c>
      <c r="H1132">
        <v>0</v>
      </c>
      <c r="I1132">
        <v>0</v>
      </c>
      <c r="J1132" t="s">
        <v>428</v>
      </c>
    </row>
    <row r="1133" spans="1:10" x14ac:dyDescent="0.35">
      <c r="A1133">
        <v>800</v>
      </c>
      <c r="B1133" t="s">
        <v>243</v>
      </c>
      <c r="C1133">
        <v>304135530.44999999</v>
      </c>
      <c r="D1133">
        <v>2516485</v>
      </c>
      <c r="E1133">
        <v>301619045.44999999</v>
      </c>
      <c r="F1133">
        <v>2437639.38</v>
      </c>
      <c r="G1133">
        <v>2437639.38</v>
      </c>
      <c r="H1133">
        <v>301697891.06999999</v>
      </c>
      <c r="I1133">
        <v>301697891.06999999</v>
      </c>
      <c r="J1133" t="s">
        <v>428</v>
      </c>
    </row>
    <row r="1134" spans="1:10" x14ac:dyDescent="0.35">
      <c r="A1134">
        <v>900</v>
      </c>
      <c r="B1134" t="s">
        <v>244</v>
      </c>
      <c r="C1134">
        <v>376638829.61000001</v>
      </c>
      <c r="D1134">
        <v>2516485</v>
      </c>
      <c r="E1134">
        <v>374122344.61000001</v>
      </c>
      <c r="F1134">
        <v>2161497.65</v>
      </c>
      <c r="G1134">
        <v>2161497.65</v>
      </c>
      <c r="H1134">
        <v>374477331.95999998</v>
      </c>
      <c r="I1134">
        <v>374477331.95999998</v>
      </c>
      <c r="J1134" t="s">
        <v>428</v>
      </c>
    </row>
    <row r="1135" spans="1:10" x14ac:dyDescent="0.35">
      <c r="A1135">
        <v>1000</v>
      </c>
      <c r="B1135" t="s">
        <v>558</v>
      </c>
      <c r="C1135">
        <v>0</v>
      </c>
      <c r="D1135">
        <v>-2516485</v>
      </c>
      <c r="E1135">
        <v>2516485</v>
      </c>
      <c r="F1135">
        <v>0</v>
      </c>
      <c r="G1135">
        <v>0</v>
      </c>
      <c r="H1135">
        <v>0</v>
      </c>
      <c r="I1135">
        <v>0</v>
      </c>
      <c r="J1135" t="s">
        <v>428</v>
      </c>
    </row>
    <row r="1136" spans="1:10" x14ac:dyDescent="0.35">
      <c r="A1136" t="s">
        <v>503</v>
      </c>
      <c r="B1136" t="s">
        <v>416</v>
      </c>
      <c r="C1136" t="s">
        <v>537</v>
      </c>
      <c r="D1136" t="s">
        <v>538</v>
      </c>
      <c r="E1136" t="s">
        <v>539</v>
      </c>
      <c r="F1136" t="s">
        <v>540</v>
      </c>
      <c r="G1136" t="s">
        <v>541</v>
      </c>
      <c r="H1136" t="s">
        <v>542</v>
      </c>
      <c r="I1136" t="s">
        <v>543</v>
      </c>
      <c r="J1136" t="s">
        <v>121</v>
      </c>
    </row>
    <row r="1137" spans="1:10" x14ac:dyDescent="0.35">
      <c r="A1137">
        <v>10</v>
      </c>
      <c r="B1137" t="s">
        <v>544</v>
      </c>
      <c r="C1137">
        <v>0</v>
      </c>
      <c r="D1137">
        <v>0</v>
      </c>
      <c r="E1137">
        <v>0</v>
      </c>
      <c r="F1137">
        <v>0</v>
      </c>
      <c r="G1137">
        <v>0</v>
      </c>
      <c r="H1137">
        <v>0</v>
      </c>
      <c r="I1137">
        <v>0</v>
      </c>
      <c r="J1137" t="s">
        <v>428</v>
      </c>
    </row>
    <row r="1138" spans="1:10" x14ac:dyDescent="0.35">
      <c r="A1138">
        <v>20</v>
      </c>
      <c r="B1138" t="s">
        <v>562</v>
      </c>
      <c r="C1138">
        <v>6898.14</v>
      </c>
      <c r="D1138">
        <v>266588</v>
      </c>
      <c r="E1138">
        <v>-259689.86</v>
      </c>
      <c r="F1138">
        <v>-286786.15999999997</v>
      </c>
      <c r="G1138">
        <v>-286786.15999999997</v>
      </c>
      <c r="H1138">
        <v>293684.3</v>
      </c>
      <c r="I1138">
        <v>293684.3</v>
      </c>
      <c r="J1138" t="s">
        <v>428</v>
      </c>
    </row>
    <row r="1139" spans="1:10" x14ac:dyDescent="0.35">
      <c r="A1139">
        <v>30</v>
      </c>
      <c r="B1139" t="s">
        <v>563</v>
      </c>
      <c r="C1139">
        <v>0</v>
      </c>
      <c r="D1139">
        <v>0</v>
      </c>
      <c r="E1139">
        <v>0</v>
      </c>
      <c r="F1139">
        <v>0</v>
      </c>
      <c r="G1139">
        <v>0</v>
      </c>
      <c r="H1139">
        <v>0</v>
      </c>
      <c r="I1139">
        <v>0</v>
      </c>
      <c r="J1139" t="s">
        <v>428</v>
      </c>
    </row>
    <row r="1140" spans="1:10" x14ac:dyDescent="0.35">
      <c r="A1140">
        <v>40</v>
      </c>
      <c r="B1140" t="s">
        <v>564</v>
      </c>
      <c r="C1140">
        <v>25712.32</v>
      </c>
      <c r="D1140">
        <v>22216</v>
      </c>
      <c r="E1140">
        <v>3496.32</v>
      </c>
      <c r="F1140">
        <v>14750.84</v>
      </c>
      <c r="G1140">
        <v>14750.84</v>
      </c>
      <c r="H1140">
        <v>10961.48</v>
      </c>
      <c r="I1140">
        <v>10961.48</v>
      </c>
      <c r="J1140" t="s">
        <v>428</v>
      </c>
    </row>
    <row r="1141" spans="1:10" x14ac:dyDescent="0.35">
      <c r="A1141">
        <v>50</v>
      </c>
      <c r="B1141" t="s">
        <v>565</v>
      </c>
      <c r="C1141">
        <v>0</v>
      </c>
      <c r="D1141"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J1141" t="s">
        <v>428</v>
      </c>
    </row>
    <row r="1142" spans="1:10" x14ac:dyDescent="0.35">
      <c r="A1142">
        <v>60</v>
      </c>
      <c r="B1142" t="s">
        <v>198</v>
      </c>
      <c r="C1142">
        <v>34482.82</v>
      </c>
      <c r="D1142">
        <v>41055</v>
      </c>
      <c r="E1142">
        <v>-6572.18</v>
      </c>
      <c r="F1142">
        <v>-2056.96</v>
      </c>
      <c r="G1142">
        <v>-2056.96</v>
      </c>
      <c r="H1142">
        <v>36539.78</v>
      </c>
      <c r="I1142">
        <v>36539.78</v>
      </c>
      <c r="J1142" t="s">
        <v>428</v>
      </c>
    </row>
    <row r="1143" spans="1:10" x14ac:dyDescent="0.35">
      <c r="A1143">
        <v>70</v>
      </c>
      <c r="B1143" t="s">
        <v>566</v>
      </c>
      <c r="C1143">
        <v>44789.17</v>
      </c>
      <c r="D1143">
        <v>0</v>
      </c>
      <c r="E1143">
        <v>44789.17</v>
      </c>
      <c r="F1143">
        <v>9344.57</v>
      </c>
      <c r="G1143">
        <v>9344.57</v>
      </c>
      <c r="H1143">
        <v>35444.6</v>
      </c>
      <c r="I1143">
        <v>35444.6</v>
      </c>
      <c r="J1143" t="s">
        <v>428</v>
      </c>
    </row>
    <row r="1144" spans="1:10" x14ac:dyDescent="0.35">
      <c r="A1144">
        <v>80</v>
      </c>
      <c r="B1144" t="s">
        <v>567</v>
      </c>
      <c r="C1144">
        <v>4408.3999999999996</v>
      </c>
      <c r="D1144">
        <v>53318</v>
      </c>
      <c r="E1144">
        <v>-48909.599999999999</v>
      </c>
      <c r="F1144">
        <v>0</v>
      </c>
      <c r="G1144">
        <v>0</v>
      </c>
      <c r="H1144">
        <v>4408.3999999999996</v>
      </c>
      <c r="I1144">
        <v>4408.3999999999996</v>
      </c>
      <c r="J1144" t="s">
        <v>428</v>
      </c>
    </row>
    <row r="1145" spans="1:10" x14ac:dyDescent="0.35">
      <c r="A1145">
        <v>100</v>
      </c>
      <c r="B1145" t="s">
        <v>568</v>
      </c>
      <c r="C1145">
        <v>116290.85</v>
      </c>
      <c r="D1145">
        <v>383177</v>
      </c>
      <c r="E1145">
        <v>-266886.15000000002</v>
      </c>
      <c r="F1145">
        <v>-264747.71000000002</v>
      </c>
      <c r="G1145">
        <v>-264747.71000000002</v>
      </c>
      <c r="H1145">
        <v>381038.56</v>
      </c>
      <c r="I1145">
        <v>381038.56</v>
      </c>
      <c r="J1145" t="s">
        <v>428</v>
      </c>
    </row>
    <row r="1146" spans="1:10" x14ac:dyDescent="0.35">
      <c r="A1146">
        <v>110</v>
      </c>
      <c r="B1146" t="s">
        <v>569</v>
      </c>
      <c r="C1146">
        <v>0</v>
      </c>
      <c r="D1146">
        <v>0</v>
      </c>
      <c r="E1146">
        <v>0</v>
      </c>
      <c r="F1146">
        <v>0</v>
      </c>
      <c r="G1146">
        <v>0</v>
      </c>
      <c r="H1146">
        <v>0</v>
      </c>
      <c r="I1146">
        <v>0</v>
      </c>
      <c r="J1146" t="s">
        <v>428</v>
      </c>
    </row>
    <row r="1147" spans="1:10" x14ac:dyDescent="0.35">
      <c r="A1147">
        <v>120</v>
      </c>
      <c r="B1147" t="s">
        <v>570</v>
      </c>
      <c r="C1147">
        <v>0</v>
      </c>
      <c r="D1147">
        <v>0</v>
      </c>
      <c r="E1147">
        <v>0</v>
      </c>
      <c r="F1147">
        <v>0</v>
      </c>
      <c r="G1147">
        <v>0</v>
      </c>
      <c r="H1147">
        <v>0</v>
      </c>
      <c r="I1147">
        <v>0</v>
      </c>
      <c r="J1147" t="s">
        <v>428</v>
      </c>
    </row>
    <row r="1148" spans="1:10" x14ac:dyDescent="0.35">
      <c r="A1148">
        <v>130</v>
      </c>
      <c r="B1148" t="s">
        <v>571</v>
      </c>
      <c r="C1148">
        <v>0</v>
      </c>
      <c r="D1148">
        <v>0</v>
      </c>
      <c r="E1148">
        <v>0</v>
      </c>
      <c r="F1148">
        <v>0</v>
      </c>
      <c r="G1148">
        <v>0</v>
      </c>
      <c r="H1148">
        <v>0</v>
      </c>
      <c r="I1148">
        <v>0</v>
      </c>
      <c r="J1148" t="s">
        <v>428</v>
      </c>
    </row>
    <row r="1149" spans="1:10" x14ac:dyDescent="0.35">
      <c r="A1149">
        <v>140</v>
      </c>
      <c r="B1149" t="s">
        <v>572</v>
      </c>
      <c r="C1149">
        <v>0</v>
      </c>
      <c r="D1149">
        <v>289123</v>
      </c>
      <c r="E1149">
        <v>-289123</v>
      </c>
      <c r="F1149">
        <v>0</v>
      </c>
      <c r="G1149">
        <v>0</v>
      </c>
      <c r="H1149">
        <v>0</v>
      </c>
      <c r="I1149">
        <v>0</v>
      </c>
      <c r="J1149" t="s">
        <v>428</v>
      </c>
    </row>
    <row r="1150" spans="1:10" x14ac:dyDescent="0.35">
      <c r="A1150">
        <v>150</v>
      </c>
      <c r="B1150" t="s">
        <v>573</v>
      </c>
      <c r="C1150">
        <v>0</v>
      </c>
      <c r="D1150">
        <v>0</v>
      </c>
      <c r="E1150">
        <v>0</v>
      </c>
      <c r="F1150">
        <v>0</v>
      </c>
      <c r="G1150">
        <v>0</v>
      </c>
      <c r="H1150">
        <v>0</v>
      </c>
      <c r="I1150">
        <v>0</v>
      </c>
      <c r="J1150" t="s">
        <v>428</v>
      </c>
    </row>
    <row r="1151" spans="1:10" x14ac:dyDescent="0.35">
      <c r="A1151">
        <v>160</v>
      </c>
      <c r="B1151" t="s">
        <v>574</v>
      </c>
      <c r="C1151">
        <v>0</v>
      </c>
      <c r="D1151">
        <v>29292</v>
      </c>
      <c r="E1151">
        <v>-29292</v>
      </c>
      <c r="F1151">
        <v>0</v>
      </c>
      <c r="G1151">
        <v>0</v>
      </c>
      <c r="H1151">
        <v>0</v>
      </c>
      <c r="I1151">
        <v>0</v>
      </c>
      <c r="J1151" t="s">
        <v>428</v>
      </c>
    </row>
    <row r="1152" spans="1:10" x14ac:dyDescent="0.35">
      <c r="A1152">
        <v>170</v>
      </c>
      <c r="B1152" t="s">
        <v>575</v>
      </c>
      <c r="C1152">
        <v>288122.84000000003</v>
      </c>
      <c r="D1152">
        <v>0</v>
      </c>
      <c r="E1152">
        <v>288122.84000000003</v>
      </c>
      <c r="F1152">
        <v>0</v>
      </c>
      <c r="G1152">
        <v>0</v>
      </c>
      <c r="H1152">
        <v>288122.84000000003</v>
      </c>
      <c r="I1152">
        <v>288122.84000000003</v>
      </c>
      <c r="J1152" t="s">
        <v>428</v>
      </c>
    </row>
    <row r="1153" spans="1:10" x14ac:dyDescent="0.35">
      <c r="A1153">
        <v>180</v>
      </c>
      <c r="B1153" t="s">
        <v>576</v>
      </c>
      <c r="C1153">
        <v>14041.23</v>
      </c>
      <c r="D1153">
        <v>59700</v>
      </c>
      <c r="E1153">
        <v>-45658.77</v>
      </c>
      <c r="F1153">
        <v>0</v>
      </c>
      <c r="G1153">
        <v>0</v>
      </c>
      <c r="H1153">
        <v>14041.23</v>
      </c>
      <c r="I1153">
        <v>14041.23</v>
      </c>
      <c r="J1153" t="s">
        <v>428</v>
      </c>
    </row>
    <row r="1154" spans="1:10" x14ac:dyDescent="0.35">
      <c r="A1154">
        <v>190</v>
      </c>
      <c r="B1154" t="s">
        <v>577</v>
      </c>
      <c r="C1154">
        <v>-428021.97</v>
      </c>
      <c r="D1154">
        <v>-220015</v>
      </c>
      <c r="E1154">
        <v>-208006.97</v>
      </c>
      <c r="F1154">
        <v>-1124.99</v>
      </c>
      <c r="G1154">
        <v>-1124.99</v>
      </c>
      <c r="H1154">
        <v>-426896.98</v>
      </c>
      <c r="I1154">
        <v>-426896.98</v>
      </c>
      <c r="J1154" t="s">
        <v>428</v>
      </c>
    </row>
    <row r="1155" spans="1:10" x14ac:dyDescent="0.35">
      <c r="A1155">
        <v>200</v>
      </c>
      <c r="B1155" t="s">
        <v>578</v>
      </c>
      <c r="C1155">
        <v>-125857.9</v>
      </c>
      <c r="D1155">
        <v>158100</v>
      </c>
      <c r="E1155">
        <v>-283957.90000000002</v>
      </c>
      <c r="F1155">
        <v>-1124.99</v>
      </c>
      <c r="G1155">
        <v>-1124.99</v>
      </c>
      <c r="H1155">
        <v>-124732.91</v>
      </c>
      <c r="I1155">
        <v>-124732.91</v>
      </c>
      <c r="J1155" t="s">
        <v>428</v>
      </c>
    </row>
    <row r="1156" spans="1:10" x14ac:dyDescent="0.35">
      <c r="A1156">
        <v>210</v>
      </c>
      <c r="B1156" t="s">
        <v>579</v>
      </c>
      <c r="C1156">
        <v>0</v>
      </c>
      <c r="D1156">
        <v>0</v>
      </c>
      <c r="E1156">
        <v>0</v>
      </c>
      <c r="F1156">
        <v>0</v>
      </c>
      <c r="G1156">
        <v>0</v>
      </c>
      <c r="H1156">
        <v>0</v>
      </c>
      <c r="I1156">
        <v>0</v>
      </c>
      <c r="J1156" t="s">
        <v>428</v>
      </c>
    </row>
    <row r="1157" spans="1:10" x14ac:dyDescent="0.35">
      <c r="A1157">
        <v>220</v>
      </c>
      <c r="B1157" t="s">
        <v>580</v>
      </c>
      <c r="C1157">
        <v>97000</v>
      </c>
      <c r="D1157">
        <v>97000</v>
      </c>
      <c r="E1157">
        <v>0</v>
      </c>
      <c r="F1157">
        <v>0</v>
      </c>
      <c r="G1157">
        <v>0</v>
      </c>
      <c r="H1157">
        <v>97000</v>
      </c>
      <c r="I1157">
        <v>97000</v>
      </c>
      <c r="J1157" t="s">
        <v>428</v>
      </c>
    </row>
    <row r="1158" spans="1:10" x14ac:dyDescent="0.35">
      <c r="A1158">
        <v>230</v>
      </c>
      <c r="B1158" t="s">
        <v>581</v>
      </c>
      <c r="C1158">
        <v>661089.19999999995</v>
      </c>
      <c r="D1158">
        <v>661089</v>
      </c>
      <c r="E1158">
        <v>0.2</v>
      </c>
      <c r="F1158">
        <v>0</v>
      </c>
      <c r="G1158">
        <v>0</v>
      </c>
      <c r="H1158">
        <v>661089.19999999995</v>
      </c>
      <c r="I1158">
        <v>661089.19999999995</v>
      </c>
      <c r="J1158" t="s">
        <v>428</v>
      </c>
    </row>
    <row r="1159" spans="1:10" x14ac:dyDescent="0.35">
      <c r="A1159">
        <v>240</v>
      </c>
      <c r="B1159" t="s">
        <v>582</v>
      </c>
      <c r="C1159">
        <v>-85883.28</v>
      </c>
      <c r="D1159">
        <v>-306910</v>
      </c>
      <c r="E1159">
        <v>221026.72</v>
      </c>
      <c r="F1159">
        <v>0</v>
      </c>
      <c r="G1159">
        <v>0</v>
      </c>
      <c r="H1159">
        <v>-85883.28</v>
      </c>
      <c r="I1159">
        <v>-85883.28</v>
      </c>
      <c r="J1159" t="s">
        <v>428</v>
      </c>
    </row>
    <row r="1160" spans="1:10" x14ac:dyDescent="0.35">
      <c r="A1160">
        <v>250</v>
      </c>
      <c r="B1160" t="s">
        <v>583</v>
      </c>
      <c r="C1160">
        <v>672205.92</v>
      </c>
      <c r="D1160">
        <v>451179</v>
      </c>
      <c r="E1160">
        <v>221026.92</v>
      </c>
      <c r="F1160">
        <v>0</v>
      </c>
      <c r="G1160">
        <v>0</v>
      </c>
      <c r="H1160">
        <v>672205.92</v>
      </c>
      <c r="I1160">
        <v>672205.92</v>
      </c>
      <c r="J1160" t="s">
        <v>428</v>
      </c>
    </row>
    <row r="1161" spans="1:10" x14ac:dyDescent="0.35">
      <c r="A1161">
        <v>260</v>
      </c>
      <c r="B1161" t="s">
        <v>584</v>
      </c>
      <c r="C1161">
        <v>0</v>
      </c>
      <c r="D1161">
        <v>0</v>
      </c>
      <c r="E1161">
        <v>0</v>
      </c>
      <c r="F1161">
        <v>0</v>
      </c>
      <c r="G1161">
        <v>0</v>
      </c>
      <c r="H1161">
        <v>0</v>
      </c>
      <c r="I1161">
        <v>0</v>
      </c>
      <c r="J1161" t="s">
        <v>428</v>
      </c>
    </row>
    <row r="1162" spans="1:10" x14ac:dyDescent="0.35">
      <c r="A1162">
        <v>270</v>
      </c>
      <c r="B1162" t="s">
        <v>585</v>
      </c>
      <c r="C1162">
        <v>58699.519999999997</v>
      </c>
      <c r="D1162">
        <v>0</v>
      </c>
      <c r="E1162">
        <v>58699.519999999997</v>
      </c>
      <c r="F1162">
        <v>0</v>
      </c>
      <c r="G1162">
        <v>0</v>
      </c>
      <c r="H1162">
        <v>58699.519999999997</v>
      </c>
      <c r="I1162">
        <v>58699.519999999997</v>
      </c>
      <c r="J1162" t="s">
        <v>428</v>
      </c>
    </row>
    <row r="1163" spans="1:10" x14ac:dyDescent="0.35">
      <c r="A1163">
        <v>280</v>
      </c>
      <c r="B1163" t="s">
        <v>586</v>
      </c>
      <c r="C1163">
        <v>58699.519999999997</v>
      </c>
      <c r="D1163">
        <v>0</v>
      </c>
      <c r="E1163">
        <v>58699.519999999997</v>
      </c>
      <c r="F1163">
        <v>0</v>
      </c>
      <c r="G1163">
        <v>0</v>
      </c>
      <c r="H1163">
        <v>58699.519999999997</v>
      </c>
      <c r="I1163">
        <v>58699.519999999997</v>
      </c>
      <c r="J1163" t="s">
        <v>428</v>
      </c>
    </row>
    <row r="1164" spans="1:10" x14ac:dyDescent="0.35">
      <c r="A1164">
        <v>400</v>
      </c>
      <c r="B1164" t="s">
        <v>587</v>
      </c>
      <c r="C1164">
        <v>721338.39</v>
      </c>
      <c r="D1164">
        <v>992456</v>
      </c>
      <c r="E1164">
        <v>-271117.61</v>
      </c>
      <c r="F1164">
        <v>-265872.7</v>
      </c>
      <c r="G1164">
        <v>-265872.7</v>
      </c>
      <c r="H1164">
        <v>987211.09</v>
      </c>
      <c r="I1164">
        <v>987211.09</v>
      </c>
      <c r="J1164" t="s">
        <v>428</v>
      </c>
    </row>
    <row r="1165" spans="1:10" x14ac:dyDescent="0.35">
      <c r="A1165">
        <v>410</v>
      </c>
      <c r="B1165" t="s">
        <v>588</v>
      </c>
      <c r="C1165">
        <v>0</v>
      </c>
      <c r="D1165">
        <v>0</v>
      </c>
      <c r="E1165">
        <v>0</v>
      </c>
      <c r="F1165">
        <v>0</v>
      </c>
      <c r="G1165">
        <v>0</v>
      </c>
      <c r="H1165">
        <v>0</v>
      </c>
      <c r="I1165">
        <v>0</v>
      </c>
      <c r="J1165" t="s">
        <v>428</v>
      </c>
    </row>
    <row r="1166" spans="1:10" x14ac:dyDescent="0.35">
      <c r="A1166">
        <v>420</v>
      </c>
      <c r="B1166" t="s">
        <v>589</v>
      </c>
      <c r="C1166">
        <v>49469.05</v>
      </c>
      <c r="D1166">
        <v>131428</v>
      </c>
      <c r="E1166">
        <v>-81958.95</v>
      </c>
      <c r="F1166">
        <v>27590.13</v>
      </c>
      <c r="G1166">
        <v>27590.13</v>
      </c>
      <c r="H1166">
        <v>21878.92</v>
      </c>
      <c r="I1166">
        <v>21878.92</v>
      </c>
      <c r="J1166" t="s">
        <v>428</v>
      </c>
    </row>
    <row r="1167" spans="1:10" x14ac:dyDescent="0.35">
      <c r="A1167">
        <v>430</v>
      </c>
      <c r="B1167" t="s">
        <v>590</v>
      </c>
      <c r="C1167">
        <v>22441.69</v>
      </c>
      <c r="D1167">
        <v>37145</v>
      </c>
      <c r="E1167">
        <v>-14703.31</v>
      </c>
      <c r="F1167">
        <v>-79076.37</v>
      </c>
      <c r="G1167">
        <v>-79076.37</v>
      </c>
      <c r="H1167">
        <v>101518.06</v>
      </c>
      <c r="I1167">
        <v>101518.06</v>
      </c>
      <c r="J1167" t="s">
        <v>428</v>
      </c>
    </row>
    <row r="1168" spans="1:10" x14ac:dyDescent="0.35">
      <c r="A1168">
        <v>440</v>
      </c>
      <c r="B1168" t="s">
        <v>591</v>
      </c>
      <c r="C1168">
        <v>0</v>
      </c>
      <c r="D1168">
        <v>12677</v>
      </c>
      <c r="E1168">
        <v>-12677</v>
      </c>
      <c r="F1168">
        <v>0</v>
      </c>
      <c r="G1168">
        <v>0</v>
      </c>
      <c r="H1168">
        <v>0</v>
      </c>
      <c r="I1168">
        <v>0</v>
      </c>
      <c r="J1168" t="s">
        <v>428</v>
      </c>
    </row>
    <row r="1169" spans="1:10" x14ac:dyDescent="0.35">
      <c r="A1169">
        <v>450</v>
      </c>
      <c r="B1169" t="s">
        <v>592</v>
      </c>
      <c r="C1169">
        <v>38321.9</v>
      </c>
      <c r="D1169">
        <v>0</v>
      </c>
      <c r="E1169">
        <v>38321.9</v>
      </c>
      <c r="F1169">
        <v>66.45</v>
      </c>
      <c r="G1169">
        <v>66.45</v>
      </c>
      <c r="H1169">
        <v>38255.449999999997</v>
      </c>
      <c r="I1169">
        <v>38255.449999999997</v>
      </c>
      <c r="J1169" t="s">
        <v>428</v>
      </c>
    </row>
    <row r="1170" spans="1:10" x14ac:dyDescent="0.35">
      <c r="A1170">
        <v>460</v>
      </c>
      <c r="B1170" t="s">
        <v>593</v>
      </c>
      <c r="C1170">
        <v>0</v>
      </c>
      <c r="D1170">
        <v>0</v>
      </c>
      <c r="E1170">
        <v>0</v>
      </c>
      <c r="F1170">
        <v>0</v>
      </c>
      <c r="G1170">
        <v>0</v>
      </c>
      <c r="H1170">
        <v>0</v>
      </c>
      <c r="I1170">
        <v>0</v>
      </c>
      <c r="J1170" t="s">
        <v>428</v>
      </c>
    </row>
    <row r="1171" spans="1:10" x14ac:dyDescent="0.35">
      <c r="A1171">
        <v>500</v>
      </c>
      <c r="B1171" t="s">
        <v>594</v>
      </c>
      <c r="C1171">
        <v>110232.64</v>
      </c>
      <c r="D1171">
        <v>181250</v>
      </c>
      <c r="E1171">
        <v>-71017.36</v>
      </c>
      <c r="F1171">
        <v>-51419.79</v>
      </c>
      <c r="G1171">
        <v>-51419.79</v>
      </c>
      <c r="H1171">
        <v>161652.43</v>
      </c>
      <c r="I1171">
        <v>161652.43</v>
      </c>
      <c r="J1171" t="s">
        <v>428</v>
      </c>
    </row>
    <row r="1172" spans="1:10" x14ac:dyDescent="0.35">
      <c r="A1172">
        <v>510</v>
      </c>
      <c r="B1172" t="s">
        <v>595</v>
      </c>
      <c r="C1172">
        <v>0</v>
      </c>
      <c r="D1172">
        <v>0</v>
      </c>
      <c r="E1172">
        <v>0</v>
      </c>
      <c r="F1172">
        <v>0</v>
      </c>
      <c r="G1172">
        <v>0</v>
      </c>
      <c r="H1172">
        <v>0</v>
      </c>
      <c r="I1172">
        <v>0</v>
      </c>
      <c r="J1172" t="s">
        <v>428</v>
      </c>
    </row>
    <row r="1173" spans="1:10" x14ac:dyDescent="0.35">
      <c r="A1173">
        <v>520</v>
      </c>
      <c r="B1173" t="s">
        <v>596</v>
      </c>
      <c r="C1173">
        <v>1463158.95</v>
      </c>
      <c r="D1173">
        <v>0</v>
      </c>
      <c r="E1173">
        <v>1463158.95</v>
      </c>
      <c r="F1173">
        <v>-230000</v>
      </c>
      <c r="G1173">
        <v>-230000</v>
      </c>
      <c r="H1173">
        <v>1693158.95</v>
      </c>
      <c r="I1173">
        <v>1693158.95</v>
      </c>
      <c r="J1173" t="s">
        <v>428</v>
      </c>
    </row>
    <row r="1174" spans="1:10" x14ac:dyDescent="0.35">
      <c r="A1174">
        <v>530</v>
      </c>
      <c r="B1174" t="s">
        <v>597</v>
      </c>
      <c r="C1174">
        <v>0</v>
      </c>
      <c r="D1174">
        <v>1935059</v>
      </c>
      <c r="E1174">
        <v>-1935059</v>
      </c>
      <c r="F1174">
        <v>0</v>
      </c>
      <c r="G1174">
        <v>0</v>
      </c>
      <c r="H1174">
        <v>0</v>
      </c>
      <c r="I1174">
        <v>0</v>
      </c>
      <c r="J1174" t="s">
        <v>428</v>
      </c>
    </row>
    <row r="1175" spans="1:10" x14ac:dyDescent="0.35">
      <c r="A1175">
        <v>540</v>
      </c>
      <c r="B1175" t="s">
        <v>598</v>
      </c>
      <c r="C1175">
        <v>216900</v>
      </c>
      <c r="D1175">
        <v>0</v>
      </c>
      <c r="E1175">
        <v>216900</v>
      </c>
      <c r="F1175">
        <v>0</v>
      </c>
      <c r="G1175">
        <v>0</v>
      </c>
      <c r="H1175">
        <v>216900</v>
      </c>
      <c r="I1175">
        <v>216900</v>
      </c>
      <c r="J1175" t="s">
        <v>428</v>
      </c>
    </row>
    <row r="1176" spans="1:10" x14ac:dyDescent="0.35">
      <c r="A1176">
        <v>600</v>
      </c>
      <c r="B1176" t="s">
        <v>599</v>
      </c>
      <c r="C1176">
        <v>1680058.95</v>
      </c>
      <c r="D1176">
        <v>1935059</v>
      </c>
      <c r="E1176">
        <v>-255000.05</v>
      </c>
      <c r="F1176">
        <v>-230000</v>
      </c>
      <c r="G1176">
        <v>-230000</v>
      </c>
      <c r="H1176">
        <v>1910058.95</v>
      </c>
      <c r="I1176">
        <v>1910058.95</v>
      </c>
      <c r="J1176" t="s">
        <v>428</v>
      </c>
    </row>
    <row r="1177" spans="1:10" x14ac:dyDescent="0.35">
      <c r="A1177">
        <v>610</v>
      </c>
      <c r="B1177" t="s">
        <v>600</v>
      </c>
      <c r="C1177">
        <v>0</v>
      </c>
      <c r="D1177">
        <v>0</v>
      </c>
      <c r="E1177">
        <v>0</v>
      </c>
      <c r="F1177">
        <v>0</v>
      </c>
      <c r="G1177">
        <v>0</v>
      </c>
      <c r="H1177">
        <v>0</v>
      </c>
      <c r="I1177">
        <v>0</v>
      </c>
      <c r="J1177" t="s">
        <v>428</v>
      </c>
    </row>
    <row r="1178" spans="1:10" x14ac:dyDescent="0.35">
      <c r="A1178">
        <v>620</v>
      </c>
      <c r="B1178"/>
      <c r="C1178">
        <v>0</v>
      </c>
      <c r="D1178">
        <v>0</v>
      </c>
      <c r="E1178">
        <v>0</v>
      </c>
      <c r="F1178">
        <v>0</v>
      </c>
      <c r="G1178">
        <v>0</v>
      </c>
      <c r="H1178">
        <v>0</v>
      </c>
      <c r="I1178">
        <v>0</v>
      </c>
      <c r="J1178" t="s">
        <v>428</v>
      </c>
    </row>
    <row r="1179" spans="1:10" x14ac:dyDescent="0.35">
      <c r="A1179">
        <v>700</v>
      </c>
      <c r="B1179" t="s">
        <v>601</v>
      </c>
      <c r="C1179">
        <v>0</v>
      </c>
      <c r="D1179">
        <v>0</v>
      </c>
      <c r="E1179">
        <v>0</v>
      </c>
      <c r="F1179">
        <v>0</v>
      </c>
      <c r="G1179">
        <v>0</v>
      </c>
      <c r="H1179">
        <v>0</v>
      </c>
      <c r="I1179">
        <v>0</v>
      </c>
      <c r="J1179" t="s">
        <v>428</v>
      </c>
    </row>
    <row r="1180" spans="1:10" x14ac:dyDescent="0.35">
      <c r="A1180">
        <v>710</v>
      </c>
      <c r="B1180" t="s">
        <v>557</v>
      </c>
      <c r="C1180">
        <v>0</v>
      </c>
      <c r="D1180">
        <v>0</v>
      </c>
      <c r="E1180">
        <v>0</v>
      </c>
      <c r="F1180">
        <v>0</v>
      </c>
      <c r="G1180">
        <v>0</v>
      </c>
      <c r="H1180">
        <v>0</v>
      </c>
      <c r="I1180">
        <v>0</v>
      </c>
      <c r="J1180" t="s">
        <v>428</v>
      </c>
    </row>
    <row r="1181" spans="1:10" x14ac:dyDescent="0.35">
      <c r="A1181">
        <v>720</v>
      </c>
      <c r="B1181" t="s">
        <v>602</v>
      </c>
      <c r="C1181">
        <v>1000</v>
      </c>
      <c r="D1181">
        <v>1000</v>
      </c>
      <c r="E1181">
        <v>0</v>
      </c>
      <c r="F1181">
        <v>0</v>
      </c>
      <c r="G1181">
        <v>0</v>
      </c>
      <c r="H1181">
        <v>1000</v>
      </c>
      <c r="I1181">
        <v>1000</v>
      </c>
      <c r="J1181" t="s">
        <v>428</v>
      </c>
    </row>
    <row r="1182" spans="1:10" x14ac:dyDescent="0.35">
      <c r="A1182">
        <v>730</v>
      </c>
      <c r="B1182" t="s">
        <v>603</v>
      </c>
      <c r="C1182">
        <v>0</v>
      </c>
      <c r="D1182">
        <v>0</v>
      </c>
      <c r="E1182">
        <v>0</v>
      </c>
      <c r="F1182">
        <v>0</v>
      </c>
      <c r="G1182">
        <v>0</v>
      </c>
      <c r="H1182">
        <v>0</v>
      </c>
      <c r="I1182">
        <v>0</v>
      </c>
      <c r="J1182" t="s">
        <v>428</v>
      </c>
    </row>
    <row r="1183" spans="1:10" x14ac:dyDescent="0.35">
      <c r="A1183">
        <v>740</v>
      </c>
      <c r="B1183" t="s">
        <v>604</v>
      </c>
      <c r="C1183">
        <v>-1085500.29</v>
      </c>
      <c r="D1183">
        <v>-1116035</v>
      </c>
      <c r="E1183">
        <v>30534.71</v>
      </c>
      <c r="F1183">
        <v>0</v>
      </c>
      <c r="G1183">
        <v>0</v>
      </c>
      <c r="H1183">
        <v>-1168087.8799999999</v>
      </c>
      <c r="I1183">
        <v>-1085500.29</v>
      </c>
      <c r="J1183" t="s">
        <v>428</v>
      </c>
    </row>
    <row r="1184" spans="1:10" x14ac:dyDescent="0.35">
      <c r="A1184">
        <v>750</v>
      </c>
      <c r="B1184" t="s">
        <v>522</v>
      </c>
      <c r="C1184">
        <v>15547.09</v>
      </c>
      <c r="D1184">
        <v>-8819</v>
      </c>
      <c r="E1184">
        <v>24366.09</v>
      </c>
      <c r="F1184">
        <v>15547.09</v>
      </c>
      <c r="G1184">
        <v>15547.09</v>
      </c>
      <c r="H1184">
        <v>82587.59</v>
      </c>
      <c r="I1184">
        <v>0</v>
      </c>
      <c r="J1184" t="s">
        <v>428</v>
      </c>
    </row>
    <row r="1185" spans="1:10" x14ac:dyDescent="0.35">
      <c r="A1185">
        <v>760</v>
      </c>
      <c r="B1185" t="s">
        <v>605</v>
      </c>
      <c r="C1185">
        <v>0</v>
      </c>
      <c r="D1185">
        <v>0</v>
      </c>
      <c r="E1185">
        <v>0</v>
      </c>
      <c r="F1185">
        <v>0</v>
      </c>
      <c r="G1185">
        <v>0</v>
      </c>
      <c r="H1185">
        <v>0</v>
      </c>
      <c r="I1185">
        <v>0</v>
      </c>
      <c r="J1185" t="s">
        <v>428</v>
      </c>
    </row>
    <row r="1186" spans="1:10" x14ac:dyDescent="0.35">
      <c r="A1186">
        <v>770</v>
      </c>
      <c r="B1186"/>
      <c r="C1186">
        <v>0</v>
      </c>
      <c r="D1186">
        <v>0</v>
      </c>
      <c r="E1186">
        <v>0</v>
      </c>
      <c r="F1186">
        <v>0</v>
      </c>
      <c r="G1186">
        <v>0</v>
      </c>
      <c r="H1186">
        <v>0</v>
      </c>
      <c r="I1186">
        <v>0</v>
      </c>
      <c r="J1186" t="s">
        <v>428</v>
      </c>
    </row>
    <row r="1187" spans="1:10" x14ac:dyDescent="0.35">
      <c r="A1187">
        <v>800</v>
      </c>
      <c r="B1187" t="s">
        <v>606</v>
      </c>
      <c r="C1187">
        <v>-1068953.2</v>
      </c>
      <c r="D1187">
        <v>-1123854</v>
      </c>
      <c r="E1187">
        <v>54900.800000000003</v>
      </c>
      <c r="F1187">
        <v>15547.09</v>
      </c>
      <c r="G1187">
        <v>15547.09</v>
      </c>
      <c r="H1187">
        <v>-1084500.29</v>
      </c>
      <c r="I1187">
        <v>-1084500.29</v>
      </c>
      <c r="J1187" t="s">
        <v>428</v>
      </c>
    </row>
    <row r="1188" spans="1:10" x14ac:dyDescent="0.35">
      <c r="A1188">
        <v>900</v>
      </c>
      <c r="B1188" t="s">
        <v>607</v>
      </c>
      <c r="C1188">
        <v>721338.39</v>
      </c>
      <c r="D1188">
        <v>992455</v>
      </c>
      <c r="E1188">
        <v>-271116.61</v>
      </c>
      <c r="F1188">
        <v>-265872.7</v>
      </c>
      <c r="G1188">
        <v>-265872.7</v>
      </c>
      <c r="H1188">
        <v>987211.09</v>
      </c>
      <c r="I1188">
        <v>987211.09</v>
      </c>
      <c r="J1188" t="s">
        <v>428</v>
      </c>
    </row>
    <row r="1189" spans="1:10" x14ac:dyDescent="0.35">
      <c r="A1189">
        <v>1000</v>
      </c>
      <c r="B1189" t="s">
        <v>558</v>
      </c>
      <c r="C1189">
        <v>0</v>
      </c>
      <c r="D1189">
        <v>1</v>
      </c>
      <c r="E1189">
        <v>-1</v>
      </c>
      <c r="F1189">
        <v>0</v>
      </c>
      <c r="G1189">
        <v>0</v>
      </c>
      <c r="H1189">
        <v>0</v>
      </c>
      <c r="I1189">
        <v>0</v>
      </c>
      <c r="J1189" t="s">
        <v>428</v>
      </c>
    </row>
    <row r="1190" spans="1:10" x14ac:dyDescent="0.35">
      <c r="A1190" t="s">
        <v>524</v>
      </c>
      <c r="B1190" t="s">
        <v>416</v>
      </c>
      <c r="C1190" t="s">
        <v>537</v>
      </c>
      <c r="D1190" t="s">
        <v>538</v>
      </c>
      <c r="E1190" t="s">
        <v>539</v>
      </c>
      <c r="F1190" t="s">
        <v>540</v>
      </c>
      <c r="G1190" t="s">
        <v>541</v>
      </c>
      <c r="H1190" t="s">
        <v>542</v>
      </c>
      <c r="I1190" t="s">
        <v>543</v>
      </c>
      <c r="J1190" t="s">
        <v>121</v>
      </c>
    </row>
    <row r="1191" spans="1:10" x14ac:dyDescent="0.35">
      <c r="A1191">
        <v>10</v>
      </c>
      <c r="B1191" t="s">
        <v>544</v>
      </c>
      <c r="C1191">
        <v>0</v>
      </c>
      <c r="D1191">
        <v>0</v>
      </c>
      <c r="E1191">
        <v>0</v>
      </c>
      <c r="F1191">
        <v>0</v>
      </c>
      <c r="G1191">
        <v>0</v>
      </c>
      <c r="H1191">
        <v>0</v>
      </c>
      <c r="I1191">
        <v>0</v>
      </c>
      <c r="J1191" t="s">
        <v>428</v>
      </c>
    </row>
    <row r="1192" spans="1:10" x14ac:dyDescent="0.35">
      <c r="A1192">
        <v>20</v>
      </c>
      <c r="B1192" t="s">
        <v>562</v>
      </c>
      <c r="C1192">
        <v>296696.53000000003</v>
      </c>
      <c r="D1192">
        <v>772318</v>
      </c>
      <c r="E1192">
        <v>-475621.47</v>
      </c>
      <c r="F1192">
        <v>-491616.07</v>
      </c>
      <c r="G1192">
        <v>-491616.07</v>
      </c>
      <c r="H1192">
        <v>788312.6</v>
      </c>
      <c r="I1192">
        <v>788312.6</v>
      </c>
      <c r="J1192" t="s">
        <v>428</v>
      </c>
    </row>
    <row r="1193" spans="1:10" x14ac:dyDescent="0.35">
      <c r="A1193">
        <v>30</v>
      </c>
      <c r="B1193" t="s">
        <v>563</v>
      </c>
      <c r="C1193">
        <v>0</v>
      </c>
      <c r="D1193">
        <v>0</v>
      </c>
      <c r="E1193">
        <v>0</v>
      </c>
      <c r="F1193">
        <v>0</v>
      </c>
      <c r="G1193">
        <v>0</v>
      </c>
      <c r="H1193">
        <v>0</v>
      </c>
      <c r="I1193">
        <v>0</v>
      </c>
      <c r="J1193" t="s">
        <v>428</v>
      </c>
    </row>
    <row r="1194" spans="1:10" x14ac:dyDescent="0.35">
      <c r="A1194">
        <v>40</v>
      </c>
      <c r="B1194" t="s">
        <v>564</v>
      </c>
      <c r="C1194">
        <v>137370.66</v>
      </c>
      <c r="D1194">
        <v>158695</v>
      </c>
      <c r="E1194">
        <v>-21324.34</v>
      </c>
      <c r="F1194">
        <v>-3386.32</v>
      </c>
      <c r="G1194">
        <v>-3386.32</v>
      </c>
      <c r="H1194">
        <v>140756.98000000001</v>
      </c>
      <c r="I1194">
        <v>140756.98000000001</v>
      </c>
      <c r="J1194" t="s">
        <v>428</v>
      </c>
    </row>
    <row r="1195" spans="1:10" x14ac:dyDescent="0.35">
      <c r="A1195">
        <v>50</v>
      </c>
      <c r="B1195" t="s">
        <v>565</v>
      </c>
      <c r="C1195">
        <v>0</v>
      </c>
      <c r="D1195">
        <v>0</v>
      </c>
      <c r="E1195">
        <v>0</v>
      </c>
      <c r="F1195">
        <v>0</v>
      </c>
      <c r="G1195">
        <v>0</v>
      </c>
      <c r="H1195">
        <v>0</v>
      </c>
      <c r="I1195">
        <v>0</v>
      </c>
      <c r="J1195" t="s">
        <v>428</v>
      </c>
    </row>
    <row r="1196" spans="1:10" x14ac:dyDescent="0.35">
      <c r="A1196">
        <v>60</v>
      </c>
      <c r="B1196" t="s">
        <v>198</v>
      </c>
      <c r="C1196">
        <v>50203.68</v>
      </c>
      <c r="D1196">
        <v>64536</v>
      </c>
      <c r="E1196">
        <v>-14332.32</v>
      </c>
      <c r="F1196">
        <v>-3576.84</v>
      </c>
      <c r="G1196">
        <v>-3576.84</v>
      </c>
      <c r="H1196">
        <v>53780.52</v>
      </c>
      <c r="I1196">
        <v>53780.52</v>
      </c>
      <c r="J1196" t="s">
        <v>428</v>
      </c>
    </row>
    <row r="1197" spans="1:10" x14ac:dyDescent="0.35">
      <c r="A1197">
        <v>70</v>
      </c>
      <c r="B1197" t="s">
        <v>566</v>
      </c>
      <c r="C1197">
        <v>40163.79</v>
      </c>
      <c r="D1197">
        <v>0</v>
      </c>
      <c r="E1197">
        <v>40163.79</v>
      </c>
      <c r="F1197">
        <v>12094.04</v>
      </c>
      <c r="G1197">
        <v>12094.04</v>
      </c>
      <c r="H1197">
        <v>28069.75</v>
      </c>
      <c r="I1197">
        <v>28069.75</v>
      </c>
      <c r="J1197" t="s">
        <v>428</v>
      </c>
    </row>
    <row r="1198" spans="1:10" x14ac:dyDescent="0.35">
      <c r="A1198">
        <v>80</v>
      </c>
      <c r="B1198" t="s">
        <v>567</v>
      </c>
      <c r="C1198">
        <v>0</v>
      </c>
      <c r="D1198">
        <v>42319</v>
      </c>
      <c r="E1198">
        <v>-42319</v>
      </c>
      <c r="F1198">
        <v>0</v>
      </c>
      <c r="G1198">
        <v>0</v>
      </c>
      <c r="H1198">
        <v>0</v>
      </c>
      <c r="I1198">
        <v>0</v>
      </c>
      <c r="J1198" t="s">
        <v>428</v>
      </c>
    </row>
    <row r="1199" spans="1:10" x14ac:dyDescent="0.35">
      <c r="A1199">
        <v>100</v>
      </c>
      <c r="B1199" t="s">
        <v>568</v>
      </c>
      <c r="C1199">
        <v>524434.66</v>
      </c>
      <c r="D1199">
        <v>1037868</v>
      </c>
      <c r="E1199">
        <v>-513433.34</v>
      </c>
      <c r="F1199">
        <v>-486485.19</v>
      </c>
      <c r="G1199">
        <v>-486485.19</v>
      </c>
      <c r="H1199">
        <v>1010919.85</v>
      </c>
      <c r="I1199">
        <v>1010919.85</v>
      </c>
      <c r="J1199" t="s">
        <v>428</v>
      </c>
    </row>
    <row r="1200" spans="1:10" x14ac:dyDescent="0.35">
      <c r="A1200">
        <v>110</v>
      </c>
      <c r="B1200" t="s">
        <v>569</v>
      </c>
      <c r="C1200">
        <v>0</v>
      </c>
      <c r="D1200">
        <v>0</v>
      </c>
      <c r="E1200">
        <v>0</v>
      </c>
      <c r="F1200">
        <v>0</v>
      </c>
      <c r="G1200">
        <v>0</v>
      </c>
      <c r="H1200">
        <v>0</v>
      </c>
      <c r="I1200">
        <v>0</v>
      </c>
      <c r="J1200" t="s">
        <v>428</v>
      </c>
    </row>
    <row r="1201" spans="1:10" x14ac:dyDescent="0.35">
      <c r="A1201">
        <v>120</v>
      </c>
      <c r="B1201" t="s">
        <v>570</v>
      </c>
      <c r="C1201">
        <v>0</v>
      </c>
      <c r="D1201">
        <v>0</v>
      </c>
      <c r="E1201">
        <v>0</v>
      </c>
      <c r="F1201">
        <v>0</v>
      </c>
      <c r="G1201">
        <v>0</v>
      </c>
      <c r="H1201">
        <v>0</v>
      </c>
      <c r="I1201">
        <v>0</v>
      </c>
      <c r="J1201" t="s">
        <v>428</v>
      </c>
    </row>
    <row r="1202" spans="1:10" x14ac:dyDescent="0.35">
      <c r="A1202">
        <v>130</v>
      </c>
      <c r="B1202" t="s">
        <v>571</v>
      </c>
      <c r="C1202">
        <v>602171</v>
      </c>
      <c r="D1202">
        <v>602171</v>
      </c>
      <c r="E1202">
        <v>0</v>
      </c>
      <c r="F1202">
        <v>0</v>
      </c>
      <c r="G1202">
        <v>0</v>
      </c>
      <c r="H1202">
        <v>602171</v>
      </c>
      <c r="I1202">
        <v>602171</v>
      </c>
      <c r="J1202" t="s">
        <v>428</v>
      </c>
    </row>
    <row r="1203" spans="1:10" x14ac:dyDescent="0.35">
      <c r="A1203">
        <v>140</v>
      </c>
      <c r="B1203" t="s">
        <v>572</v>
      </c>
      <c r="C1203">
        <v>0</v>
      </c>
      <c r="D1203">
        <v>1448638</v>
      </c>
      <c r="E1203">
        <v>-1448638</v>
      </c>
      <c r="F1203">
        <v>0</v>
      </c>
      <c r="G1203">
        <v>0</v>
      </c>
      <c r="H1203">
        <v>0</v>
      </c>
      <c r="I1203">
        <v>0</v>
      </c>
      <c r="J1203" t="s">
        <v>428</v>
      </c>
    </row>
    <row r="1204" spans="1:10" x14ac:dyDescent="0.35">
      <c r="A1204">
        <v>150</v>
      </c>
      <c r="B1204" t="s">
        <v>573</v>
      </c>
      <c r="C1204">
        <v>0</v>
      </c>
      <c r="D1204">
        <v>0</v>
      </c>
      <c r="E1204">
        <v>0</v>
      </c>
      <c r="F1204">
        <v>0</v>
      </c>
      <c r="G1204">
        <v>0</v>
      </c>
      <c r="H1204">
        <v>0</v>
      </c>
      <c r="I1204">
        <v>0</v>
      </c>
      <c r="J1204" t="s">
        <v>428</v>
      </c>
    </row>
    <row r="1205" spans="1:10" x14ac:dyDescent="0.35">
      <c r="A1205">
        <v>160</v>
      </c>
      <c r="B1205" t="s">
        <v>574</v>
      </c>
      <c r="C1205">
        <v>0</v>
      </c>
      <c r="D1205">
        <v>0</v>
      </c>
      <c r="E1205">
        <v>0</v>
      </c>
      <c r="F1205">
        <v>0</v>
      </c>
      <c r="G1205">
        <v>0</v>
      </c>
      <c r="H1205">
        <v>0</v>
      </c>
      <c r="I1205">
        <v>0</v>
      </c>
      <c r="J1205" t="s">
        <v>428</v>
      </c>
    </row>
    <row r="1206" spans="1:10" x14ac:dyDescent="0.35">
      <c r="A1206">
        <v>170</v>
      </c>
      <c r="B1206" t="s">
        <v>575</v>
      </c>
      <c r="C1206">
        <v>1443958.17</v>
      </c>
      <c r="D1206">
        <v>0</v>
      </c>
      <c r="E1206">
        <v>1443958.17</v>
      </c>
      <c r="F1206">
        <v>0</v>
      </c>
      <c r="G1206">
        <v>0</v>
      </c>
      <c r="H1206">
        <v>1443958.17</v>
      </c>
      <c r="I1206">
        <v>1443958.17</v>
      </c>
      <c r="J1206" t="s">
        <v>428</v>
      </c>
    </row>
    <row r="1207" spans="1:10" x14ac:dyDescent="0.35">
      <c r="A1207">
        <v>180</v>
      </c>
      <c r="B1207" t="s">
        <v>576</v>
      </c>
      <c r="C1207">
        <v>855126</v>
      </c>
      <c r="D1207">
        <v>918737</v>
      </c>
      <c r="E1207">
        <v>-63611</v>
      </c>
      <c r="F1207">
        <v>0</v>
      </c>
      <c r="G1207">
        <v>0</v>
      </c>
      <c r="H1207">
        <v>855126</v>
      </c>
      <c r="I1207">
        <v>855126</v>
      </c>
      <c r="J1207" t="s">
        <v>428</v>
      </c>
    </row>
    <row r="1208" spans="1:10" x14ac:dyDescent="0.35">
      <c r="A1208">
        <v>190</v>
      </c>
      <c r="B1208" t="s">
        <v>577</v>
      </c>
      <c r="C1208">
        <v>-1692039.32</v>
      </c>
      <c r="D1208">
        <v>-1863102</v>
      </c>
      <c r="E1208">
        <v>171062.68</v>
      </c>
      <c r="F1208">
        <v>-5063.4399999999996</v>
      </c>
      <c r="G1208">
        <v>-5063.4399999999996</v>
      </c>
      <c r="H1208">
        <v>-1686975.88</v>
      </c>
      <c r="I1208">
        <v>-1686975.88</v>
      </c>
      <c r="J1208" t="s">
        <v>428</v>
      </c>
    </row>
    <row r="1209" spans="1:10" x14ac:dyDescent="0.35">
      <c r="A1209">
        <v>200</v>
      </c>
      <c r="B1209" t="s">
        <v>578</v>
      </c>
      <c r="C1209">
        <v>1209215.8500000001</v>
      </c>
      <c r="D1209">
        <v>1106444</v>
      </c>
      <c r="E1209">
        <v>102771.85</v>
      </c>
      <c r="F1209">
        <v>-5063.4399999999996</v>
      </c>
      <c r="G1209">
        <v>-5063.4399999999996</v>
      </c>
      <c r="H1209">
        <v>1214279.29</v>
      </c>
      <c r="I1209">
        <v>1214279.29</v>
      </c>
      <c r="J1209" t="s">
        <v>428</v>
      </c>
    </row>
    <row r="1210" spans="1:10" x14ac:dyDescent="0.35">
      <c r="A1210">
        <v>210</v>
      </c>
      <c r="B1210" t="s">
        <v>579</v>
      </c>
      <c r="C1210">
        <v>0</v>
      </c>
      <c r="D1210">
        <v>0</v>
      </c>
      <c r="E1210">
        <v>0</v>
      </c>
      <c r="F1210">
        <v>0</v>
      </c>
      <c r="G1210">
        <v>0</v>
      </c>
      <c r="H1210">
        <v>0</v>
      </c>
      <c r="I1210">
        <v>0</v>
      </c>
      <c r="J1210" t="s">
        <v>428</v>
      </c>
    </row>
    <row r="1211" spans="1:10" x14ac:dyDescent="0.35">
      <c r="A1211">
        <v>220</v>
      </c>
      <c r="B1211" t="s">
        <v>580</v>
      </c>
      <c r="C1211">
        <v>194984</v>
      </c>
      <c r="D1211">
        <v>194984</v>
      </c>
      <c r="E1211">
        <v>0</v>
      </c>
      <c r="F1211">
        <v>0</v>
      </c>
      <c r="G1211">
        <v>0</v>
      </c>
      <c r="H1211">
        <v>194984</v>
      </c>
      <c r="I1211">
        <v>194984</v>
      </c>
      <c r="J1211" t="s">
        <v>428</v>
      </c>
    </row>
    <row r="1212" spans="1:10" x14ac:dyDescent="0.35">
      <c r="A1212">
        <v>230</v>
      </c>
      <c r="B1212" t="s">
        <v>581</v>
      </c>
      <c r="C1212">
        <v>2660172.04</v>
      </c>
      <c r="D1212">
        <v>2607770</v>
      </c>
      <c r="E1212">
        <v>52402.04</v>
      </c>
      <c r="F1212">
        <v>34902</v>
      </c>
      <c r="G1212">
        <v>34902</v>
      </c>
      <c r="H1212">
        <v>2625270.04</v>
      </c>
      <c r="I1212">
        <v>2625270.04</v>
      </c>
      <c r="J1212" t="s">
        <v>428</v>
      </c>
    </row>
    <row r="1213" spans="1:10" x14ac:dyDescent="0.35">
      <c r="A1213">
        <v>240</v>
      </c>
      <c r="B1213" t="s">
        <v>582</v>
      </c>
      <c r="C1213">
        <v>-846710.48</v>
      </c>
      <c r="D1213">
        <v>-665504</v>
      </c>
      <c r="E1213">
        <v>-181206.48</v>
      </c>
      <c r="F1213">
        <v>-999.96</v>
      </c>
      <c r="G1213">
        <v>-999.96</v>
      </c>
      <c r="H1213">
        <v>-845710.52</v>
      </c>
      <c r="I1213">
        <v>-845710.52</v>
      </c>
      <c r="J1213" t="s">
        <v>428</v>
      </c>
    </row>
    <row r="1214" spans="1:10" x14ac:dyDescent="0.35">
      <c r="A1214">
        <v>250</v>
      </c>
      <c r="B1214" t="s">
        <v>583</v>
      </c>
      <c r="C1214">
        <v>2008445.56</v>
      </c>
      <c r="D1214">
        <v>2137250</v>
      </c>
      <c r="E1214">
        <v>-128804.44</v>
      </c>
      <c r="F1214">
        <v>33902.04</v>
      </c>
      <c r="G1214">
        <v>33902.04</v>
      </c>
      <c r="H1214">
        <v>1974543.52</v>
      </c>
      <c r="I1214">
        <v>1974543.52</v>
      </c>
      <c r="J1214" t="s">
        <v>428</v>
      </c>
    </row>
    <row r="1215" spans="1:10" x14ac:dyDescent="0.35">
      <c r="A1215">
        <v>260</v>
      </c>
      <c r="B1215" t="s">
        <v>584</v>
      </c>
      <c r="C1215">
        <v>0</v>
      </c>
      <c r="D1215">
        <v>0</v>
      </c>
      <c r="E1215">
        <v>0</v>
      </c>
      <c r="F1215">
        <v>0</v>
      </c>
      <c r="G1215">
        <v>0</v>
      </c>
      <c r="H1215">
        <v>0</v>
      </c>
      <c r="I1215">
        <v>0</v>
      </c>
      <c r="J1215" t="s">
        <v>428</v>
      </c>
    </row>
    <row r="1216" spans="1:10" x14ac:dyDescent="0.35">
      <c r="A1216">
        <v>270</v>
      </c>
      <c r="B1216" t="s">
        <v>585</v>
      </c>
      <c r="C1216">
        <v>63611.34</v>
      </c>
      <c r="D1216">
        <v>0</v>
      </c>
      <c r="E1216">
        <v>63611.34</v>
      </c>
      <c r="F1216">
        <v>0</v>
      </c>
      <c r="G1216">
        <v>0</v>
      </c>
      <c r="H1216">
        <v>63611.34</v>
      </c>
      <c r="I1216">
        <v>63611.34</v>
      </c>
      <c r="J1216" t="s">
        <v>428</v>
      </c>
    </row>
    <row r="1217" spans="1:10" x14ac:dyDescent="0.35">
      <c r="A1217">
        <v>280</v>
      </c>
      <c r="B1217" t="s">
        <v>586</v>
      </c>
      <c r="C1217">
        <v>63611.34</v>
      </c>
      <c r="D1217">
        <v>0</v>
      </c>
      <c r="E1217">
        <v>63611.34</v>
      </c>
      <c r="F1217">
        <v>0</v>
      </c>
      <c r="G1217">
        <v>0</v>
      </c>
      <c r="H1217">
        <v>63611.34</v>
      </c>
      <c r="I1217">
        <v>63611.34</v>
      </c>
      <c r="J1217" t="s">
        <v>428</v>
      </c>
    </row>
    <row r="1218" spans="1:10" x14ac:dyDescent="0.35">
      <c r="A1218">
        <v>400</v>
      </c>
      <c r="B1218" t="s">
        <v>587</v>
      </c>
      <c r="C1218">
        <v>3805707.41</v>
      </c>
      <c r="D1218">
        <v>4281562</v>
      </c>
      <c r="E1218">
        <v>-475854.59</v>
      </c>
      <c r="F1218">
        <v>-457646.59</v>
      </c>
      <c r="G1218">
        <v>-457646.59</v>
      </c>
      <c r="H1218">
        <v>4263354</v>
      </c>
      <c r="I1218">
        <v>4263354</v>
      </c>
      <c r="J1218" t="s">
        <v>428</v>
      </c>
    </row>
    <row r="1219" spans="1:10" x14ac:dyDescent="0.35">
      <c r="A1219">
        <v>410</v>
      </c>
      <c r="B1219" t="s">
        <v>588</v>
      </c>
      <c r="C1219">
        <v>0</v>
      </c>
      <c r="D1219">
        <v>0</v>
      </c>
      <c r="E1219">
        <v>0</v>
      </c>
      <c r="F1219">
        <v>0</v>
      </c>
      <c r="G1219">
        <v>0</v>
      </c>
      <c r="H1219">
        <v>0</v>
      </c>
      <c r="I1219">
        <v>0</v>
      </c>
      <c r="J1219" t="s">
        <v>428</v>
      </c>
    </row>
    <row r="1220" spans="1:10" x14ac:dyDescent="0.35">
      <c r="A1220">
        <v>420</v>
      </c>
      <c r="B1220" t="s">
        <v>589</v>
      </c>
      <c r="C1220">
        <v>10894.25</v>
      </c>
      <c r="D1220">
        <v>23275</v>
      </c>
      <c r="E1220">
        <v>-12380.75</v>
      </c>
      <c r="F1220">
        <v>-16707.91</v>
      </c>
      <c r="G1220">
        <v>-16707.91</v>
      </c>
      <c r="H1220">
        <v>27602.16</v>
      </c>
      <c r="I1220">
        <v>27602.16</v>
      </c>
      <c r="J1220" t="s">
        <v>428</v>
      </c>
    </row>
    <row r="1221" spans="1:10" x14ac:dyDescent="0.35">
      <c r="A1221">
        <v>430</v>
      </c>
      <c r="B1221" t="s">
        <v>590</v>
      </c>
      <c r="C1221">
        <v>260.83</v>
      </c>
      <c r="D1221">
        <v>0</v>
      </c>
      <c r="E1221">
        <v>260.83</v>
      </c>
      <c r="F1221">
        <v>0</v>
      </c>
      <c r="G1221">
        <v>0</v>
      </c>
      <c r="H1221">
        <v>260.83</v>
      </c>
      <c r="I1221">
        <v>260.83</v>
      </c>
      <c r="J1221" t="s">
        <v>428</v>
      </c>
    </row>
    <row r="1222" spans="1:10" x14ac:dyDescent="0.35">
      <c r="A1222">
        <v>440</v>
      </c>
      <c r="B1222" t="s">
        <v>591</v>
      </c>
      <c r="C1222">
        <v>0</v>
      </c>
      <c r="D1222">
        <v>48349</v>
      </c>
      <c r="E1222">
        <v>-48349</v>
      </c>
      <c r="F1222">
        <v>0</v>
      </c>
      <c r="G1222">
        <v>0</v>
      </c>
      <c r="H1222">
        <v>0</v>
      </c>
      <c r="I1222">
        <v>0</v>
      </c>
      <c r="J1222" t="s">
        <v>428</v>
      </c>
    </row>
    <row r="1223" spans="1:10" x14ac:dyDescent="0.35">
      <c r="A1223">
        <v>450</v>
      </c>
      <c r="B1223" t="s">
        <v>592</v>
      </c>
      <c r="C1223">
        <v>149605.12</v>
      </c>
      <c r="D1223">
        <v>42319</v>
      </c>
      <c r="E1223">
        <v>107286.12</v>
      </c>
      <c r="F1223">
        <v>41930.800000000003</v>
      </c>
      <c r="G1223">
        <v>41930.800000000003</v>
      </c>
      <c r="H1223">
        <v>107674.32</v>
      </c>
      <c r="I1223">
        <v>107674.32</v>
      </c>
      <c r="J1223" t="s">
        <v>428</v>
      </c>
    </row>
    <row r="1224" spans="1:10" x14ac:dyDescent="0.35">
      <c r="A1224">
        <v>460</v>
      </c>
      <c r="B1224" t="s">
        <v>593</v>
      </c>
      <c r="C1224">
        <v>0</v>
      </c>
      <c r="D1224">
        <v>0</v>
      </c>
      <c r="E1224">
        <v>0</v>
      </c>
      <c r="F1224">
        <v>0</v>
      </c>
      <c r="G1224">
        <v>0</v>
      </c>
      <c r="H1224">
        <v>0</v>
      </c>
      <c r="I1224">
        <v>0</v>
      </c>
      <c r="J1224" t="s">
        <v>428</v>
      </c>
    </row>
    <row r="1225" spans="1:10" x14ac:dyDescent="0.35">
      <c r="A1225">
        <v>500</v>
      </c>
      <c r="B1225" t="s">
        <v>594</v>
      </c>
      <c r="C1225">
        <v>160760.20000000001</v>
      </c>
      <c r="D1225">
        <v>113943</v>
      </c>
      <c r="E1225">
        <v>46817.2</v>
      </c>
      <c r="F1225">
        <v>25222.89</v>
      </c>
      <c r="G1225">
        <v>25222.89</v>
      </c>
      <c r="H1225">
        <v>135537.31</v>
      </c>
      <c r="I1225">
        <v>135537.31</v>
      </c>
      <c r="J1225" t="s">
        <v>428</v>
      </c>
    </row>
    <row r="1226" spans="1:10" x14ac:dyDescent="0.35">
      <c r="A1226">
        <v>510</v>
      </c>
      <c r="B1226" t="s">
        <v>595</v>
      </c>
      <c r="C1226">
        <v>0</v>
      </c>
      <c r="D1226">
        <v>0</v>
      </c>
      <c r="E1226">
        <v>0</v>
      </c>
      <c r="F1226">
        <v>0</v>
      </c>
      <c r="G1226">
        <v>0</v>
      </c>
      <c r="H1226">
        <v>0</v>
      </c>
      <c r="I1226">
        <v>0</v>
      </c>
      <c r="J1226" t="s">
        <v>428</v>
      </c>
    </row>
    <row r="1227" spans="1:10" x14ac:dyDescent="0.35">
      <c r="A1227">
        <v>520</v>
      </c>
      <c r="B1227" t="s">
        <v>596</v>
      </c>
      <c r="C1227">
        <v>6357995.6799999997</v>
      </c>
      <c r="D1227">
        <v>0</v>
      </c>
      <c r="E1227">
        <v>6357995.6799999997</v>
      </c>
      <c r="F1227">
        <v>-506000</v>
      </c>
      <c r="G1227">
        <v>-506000</v>
      </c>
      <c r="H1227">
        <v>6863995.6799999997</v>
      </c>
      <c r="I1227">
        <v>6863995.6799999997</v>
      </c>
      <c r="J1227" t="s">
        <v>428</v>
      </c>
    </row>
    <row r="1228" spans="1:10" x14ac:dyDescent="0.35">
      <c r="A1228">
        <v>530</v>
      </c>
      <c r="B1228" t="s">
        <v>597</v>
      </c>
      <c r="C1228">
        <v>482500</v>
      </c>
      <c r="D1228">
        <v>7398496</v>
      </c>
      <c r="E1228">
        <v>-6915996</v>
      </c>
      <c r="F1228">
        <v>0</v>
      </c>
      <c r="G1228">
        <v>0</v>
      </c>
      <c r="H1228">
        <v>482500</v>
      </c>
      <c r="I1228">
        <v>482500</v>
      </c>
      <c r="J1228" t="s">
        <v>428</v>
      </c>
    </row>
    <row r="1229" spans="1:10" x14ac:dyDescent="0.35">
      <c r="A1229">
        <v>540</v>
      </c>
      <c r="B1229" t="s">
        <v>598</v>
      </c>
      <c r="C1229">
        <v>0</v>
      </c>
      <c r="D1229">
        <v>0</v>
      </c>
      <c r="E1229">
        <v>0</v>
      </c>
      <c r="F1229">
        <v>0</v>
      </c>
      <c r="G1229">
        <v>0</v>
      </c>
      <c r="H1229">
        <v>0</v>
      </c>
      <c r="I1229">
        <v>0</v>
      </c>
      <c r="J1229" t="s">
        <v>428</v>
      </c>
    </row>
    <row r="1230" spans="1:10" x14ac:dyDescent="0.35">
      <c r="A1230">
        <v>600</v>
      </c>
      <c r="B1230" t="s">
        <v>599</v>
      </c>
      <c r="C1230">
        <v>6840495.6799999997</v>
      </c>
      <c r="D1230">
        <v>7398496</v>
      </c>
      <c r="E1230">
        <v>-558000.31999999995</v>
      </c>
      <c r="F1230">
        <v>-506000</v>
      </c>
      <c r="G1230">
        <v>-506000</v>
      </c>
      <c r="H1230">
        <v>7346495.6799999997</v>
      </c>
      <c r="I1230">
        <v>7346495.6799999997</v>
      </c>
      <c r="J1230" t="s">
        <v>428</v>
      </c>
    </row>
    <row r="1231" spans="1:10" x14ac:dyDescent="0.35">
      <c r="A1231">
        <v>610</v>
      </c>
      <c r="B1231" t="s">
        <v>600</v>
      </c>
      <c r="C1231">
        <v>0</v>
      </c>
      <c r="D1231">
        <v>0</v>
      </c>
      <c r="E1231">
        <v>0</v>
      </c>
      <c r="F1231">
        <v>0</v>
      </c>
      <c r="G1231">
        <v>0</v>
      </c>
      <c r="H1231">
        <v>0</v>
      </c>
      <c r="I1231">
        <v>0</v>
      </c>
      <c r="J1231" t="s">
        <v>428</v>
      </c>
    </row>
    <row r="1232" spans="1:10" x14ac:dyDescent="0.35">
      <c r="A1232">
        <v>620</v>
      </c>
      <c r="B1232"/>
      <c r="C1232">
        <v>0</v>
      </c>
      <c r="D1232">
        <v>0</v>
      </c>
      <c r="E1232">
        <v>0</v>
      </c>
      <c r="F1232">
        <v>0</v>
      </c>
      <c r="G1232">
        <v>0</v>
      </c>
      <c r="H1232">
        <v>0</v>
      </c>
      <c r="I1232">
        <v>0</v>
      </c>
      <c r="J1232" t="s">
        <v>428</v>
      </c>
    </row>
    <row r="1233" spans="1:10" x14ac:dyDescent="0.35">
      <c r="A1233">
        <v>700</v>
      </c>
      <c r="B1233" t="s">
        <v>601</v>
      </c>
      <c r="C1233">
        <v>0</v>
      </c>
      <c r="D1233">
        <v>0</v>
      </c>
      <c r="E1233">
        <v>0</v>
      </c>
      <c r="F1233">
        <v>0</v>
      </c>
      <c r="G1233">
        <v>0</v>
      </c>
      <c r="H1233">
        <v>0</v>
      </c>
      <c r="I1233">
        <v>0</v>
      </c>
      <c r="J1233" t="s">
        <v>428</v>
      </c>
    </row>
    <row r="1234" spans="1:10" x14ac:dyDescent="0.35">
      <c r="A1234">
        <v>710</v>
      </c>
      <c r="B1234" t="s">
        <v>557</v>
      </c>
      <c r="C1234">
        <v>0</v>
      </c>
      <c r="D1234">
        <v>0</v>
      </c>
      <c r="E1234">
        <v>0</v>
      </c>
      <c r="F1234">
        <v>0</v>
      </c>
      <c r="G1234">
        <v>0</v>
      </c>
      <c r="H1234">
        <v>0</v>
      </c>
      <c r="I1234">
        <v>0</v>
      </c>
      <c r="J1234" t="s">
        <v>428</v>
      </c>
    </row>
    <row r="1235" spans="1:10" x14ac:dyDescent="0.35">
      <c r="A1235">
        <v>720</v>
      </c>
      <c r="B1235" t="s">
        <v>602</v>
      </c>
      <c r="C1235">
        <v>1000</v>
      </c>
      <c r="D1235">
        <v>1000</v>
      </c>
      <c r="E1235">
        <v>0</v>
      </c>
      <c r="F1235">
        <v>0</v>
      </c>
      <c r="G1235">
        <v>0</v>
      </c>
      <c r="H1235">
        <v>1000</v>
      </c>
      <c r="I1235">
        <v>1000</v>
      </c>
      <c r="J1235" t="s">
        <v>428</v>
      </c>
    </row>
    <row r="1236" spans="1:10" x14ac:dyDescent="0.35">
      <c r="A1236">
        <v>730</v>
      </c>
      <c r="B1236" t="s">
        <v>603</v>
      </c>
      <c r="C1236">
        <v>0</v>
      </c>
      <c r="D1236">
        <v>0</v>
      </c>
      <c r="E1236">
        <v>0</v>
      </c>
      <c r="F1236">
        <v>0</v>
      </c>
      <c r="G1236">
        <v>0</v>
      </c>
      <c r="H1236">
        <v>0</v>
      </c>
      <c r="I1236">
        <v>0</v>
      </c>
      <c r="J1236" t="s">
        <v>428</v>
      </c>
    </row>
    <row r="1237" spans="1:10" x14ac:dyDescent="0.35">
      <c r="A1237">
        <v>740</v>
      </c>
      <c r="B1237" t="s">
        <v>604</v>
      </c>
      <c r="C1237">
        <v>-3219678.99</v>
      </c>
      <c r="D1237">
        <v>-3278921</v>
      </c>
      <c r="E1237">
        <v>59242.01</v>
      </c>
      <c r="F1237">
        <v>0</v>
      </c>
      <c r="G1237">
        <v>0</v>
      </c>
      <c r="H1237">
        <v>-3607322.7</v>
      </c>
      <c r="I1237">
        <v>-3219678.99</v>
      </c>
      <c r="J1237" t="s">
        <v>428</v>
      </c>
    </row>
    <row r="1238" spans="1:10" x14ac:dyDescent="0.35">
      <c r="A1238">
        <v>750</v>
      </c>
      <c r="B1238" t="s">
        <v>522</v>
      </c>
      <c r="C1238">
        <v>23130.52</v>
      </c>
      <c r="D1238">
        <v>-5155</v>
      </c>
      <c r="E1238">
        <v>28285.52</v>
      </c>
      <c r="F1238">
        <v>23130.52</v>
      </c>
      <c r="G1238">
        <v>23130.52</v>
      </c>
      <c r="H1238">
        <v>387643.71</v>
      </c>
      <c r="I1238">
        <v>0</v>
      </c>
      <c r="J1238" t="s">
        <v>428</v>
      </c>
    </row>
    <row r="1239" spans="1:10" x14ac:dyDescent="0.35">
      <c r="A1239">
        <v>760</v>
      </c>
      <c r="B1239" t="s">
        <v>605</v>
      </c>
      <c r="C1239">
        <v>0</v>
      </c>
      <c r="D1239">
        <v>0</v>
      </c>
      <c r="E1239">
        <v>0</v>
      </c>
      <c r="F1239">
        <v>0</v>
      </c>
      <c r="G1239">
        <v>0</v>
      </c>
      <c r="H1239">
        <v>0</v>
      </c>
      <c r="I1239">
        <v>0</v>
      </c>
      <c r="J1239" t="s">
        <v>428</v>
      </c>
    </row>
    <row r="1240" spans="1:10" x14ac:dyDescent="0.35">
      <c r="A1240">
        <v>770</v>
      </c>
      <c r="B1240"/>
      <c r="C1240">
        <v>0</v>
      </c>
      <c r="D1240">
        <v>0</v>
      </c>
      <c r="E1240">
        <v>0</v>
      </c>
      <c r="F1240">
        <v>0</v>
      </c>
      <c r="G1240">
        <v>0</v>
      </c>
      <c r="H1240">
        <v>0</v>
      </c>
      <c r="I1240">
        <v>0</v>
      </c>
      <c r="J1240" t="s">
        <v>428</v>
      </c>
    </row>
    <row r="1241" spans="1:10" x14ac:dyDescent="0.35">
      <c r="A1241">
        <v>800</v>
      </c>
      <c r="B1241" t="s">
        <v>606</v>
      </c>
      <c r="C1241">
        <v>-3195548.47</v>
      </c>
      <c r="D1241">
        <v>-3283076</v>
      </c>
      <c r="E1241">
        <v>87527.53</v>
      </c>
      <c r="F1241">
        <v>23130.52</v>
      </c>
      <c r="G1241">
        <v>23130.52</v>
      </c>
      <c r="H1241">
        <v>-3218678.99</v>
      </c>
      <c r="I1241">
        <v>-3218678.99</v>
      </c>
      <c r="J1241" t="s">
        <v>428</v>
      </c>
    </row>
    <row r="1242" spans="1:10" x14ac:dyDescent="0.35">
      <c r="A1242">
        <v>900</v>
      </c>
      <c r="B1242" t="s">
        <v>607</v>
      </c>
      <c r="C1242">
        <v>3805707.41</v>
      </c>
      <c r="D1242">
        <v>4229363</v>
      </c>
      <c r="E1242">
        <v>-423655.59</v>
      </c>
      <c r="F1242">
        <v>-457646.59</v>
      </c>
      <c r="G1242">
        <v>-457646.59</v>
      </c>
      <c r="H1242">
        <v>4263354</v>
      </c>
      <c r="I1242">
        <v>4263354</v>
      </c>
      <c r="J1242" t="s">
        <v>428</v>
      </c>
    </row>
    <row r="1243" spans="1:10" x14ac:dyDescent="0.35">
      <c r="A1243">
        <v>1000</v>
      </c>
      <c r="B1243" t="s">
        <v>558</v>
      </c>
      <c r="C1243">
        <v>0</v>
      </c>
      <c r="D1243">
        <v>52199</v>
      </c>
      <c r="E1243">
        <v>-52199</v>
      </c>
      <c r="F1243">
        <v>0</v>
      </c>
      <c r="G1243">
        <v>0</v>
      </c>
      <c r="H1243">
        <v>0</v>
      </c>
      <c r="I1243">
        <v>0</v>
      </c>
      <c r="J1243" t="s">
        <v>428</v>
      </c>
    </row>
    <row r="1244" spans="1:10" x14ac:dyDescent="0.35">
      <c r="A1244" t="s">
        <v>526</v>
      </c>
      <c r="B1244" t="s">
        <v>416</v>
      </c>
      <c r="C1244" t="s">
        <v>537</v>
      </c>
      <c r="D1244" t="s">
        <v>538</v>
      </c>
      <c r="E1244" t="s">
        <v>539</v>
      </c>
      <c r="F1244" t="s">
        <v>540</v>
      </c>
      <c r="G1244" t="s">
        <v>541</v>
      </c>
      <c r="H1244" t="s">
        <v>542</v>
      </c>
      <c r="I1244" t="s">
        <v>543</v>
      </c>
      <c r="J1244" t="s">
        <v>121</v>
      </c>
    </row>
    <row r="1245" spans="1:10" x14ac:dyDescent="0.35">
      <c r="A1245">
        <v>10</v>
      </c>
      <c r="B1245" t="s">
        <v>544</v>
      </c>
      <c r="C1245">
        <v>0</v>
      </c>
      <c r="D1245">
        <v>0</v>
      </c>
      <c r="E1245">
        <v>0</v>
      </c>
      <c r="F1245">
        <v>0</v>
      </c>
      <c r="G1245">
        <v>0</v>
      </c>
      <c r="H1245">
        <v>0</v>
      </c>
      <c r="I1245">
        <v>0</v>
      </c>
      <c r="J1245" t="s">
        <v>428</v>
      </c>
    </row>
    <row r="1246" spans="1:10" x14ac:dyDescent="0.35">
      <c r="A1246">
        <v>20</v>
      </c>
      <c r="B1246" t="s">
        <v>562</v>
      </c>
      <c r="C1246">
        <v>39750.910000000003</v>
      </c>
      <c r="D1246">
        <v>0</v>
      </c>
      <c r="E1246">
        <v>39750.910000000003</v>
      </c>
      <c r="F1246">
        <v>-328550.53000000003</v>
      </c>
      <c r="G1246">
        <v>-328550.53000000003</v>
      </c>
      <c r="H1246">
        <v>368301.44</v>
      </c>
      <c r="I1246">
        <v>368301.44</v>
      </c>
      <c r="J1246" t="s">
        <v>428</v>
      </c>
    </row>
    <row r="1247" spans="1:10" x14ac:dyDescent="0.35">
      <c r="A1247">
        <v>30</v>
      </c>
      <c r="B1247" t="s">
        <v>563</v>
      </c>
      <c r="C1247">
        <v>0</v>
      </c>
      <c r="D1247">
        <v>0</v>
      </c>
      <c r="E1247">
        <v>0</v>
      </c>
      <c r="F1247">
        <v>0</v>
      </c>
      <c r="G1247">
        <v>0</v>
      </c>
      <c r="H1247">
        <v>0</v>
      </c>
      <c r="I1247">
        <v>0</v>
      </c>
      <c r="J1247" t="s">
        <v>428</v>
      </c>
    </row>
    <row r="1248" spans="1:10" x14ac:dyDescent="0.35">
      <c r="A1248">
        <v>40</v>
      </c>
      <c r="B1248" t="s">
        <v>564</v>
      </c>
      <c r="C1248">
        <v>9350</v>
      </c>
      <c r="D1248">
        <v>0</v>
      </c>
      <c r="E1248">
        <v>9350</v>
      </c>
      <c r="F1248">
        <v>0</v>
      </c>
      <c r="G1248">
        <v>0</v>
      </c>
      <c r="H1248">
        <v>9350</v>
      </c>
      <c r="I1248">
        <v>9350</v>
      </c>
      <c r="J1248" t="s">
        <v>428</v>
      </c>
    </row>
    <row r="1249" spans="1:10" x14ac:dyDescent="0.35">
      <c r="A1249">
        <v>50</v>
      </c>
      <c r="B1249" t="s">
        <v>565</v>
      </c>
      <c r="C1249">
        <v>187912</v>
      </c>
      <c r="D1249">
        <v>0</v>
      </c>
      <c r="E1249">
        <v>187912</v>
      </c>
      <c r="F1249">
        <v>165000</v>
      </c>
      <c r="G1249">
        <v>165000</v>
      </c>
      <c r="H1249">
        <v>22912</v>
      </c>
      <c r="I1249">
        <v>22912</v>
      </c>
      <c r="J1249" t="s">
        <v>428</v>
      </c>
    </row>
    <row r="1250" spans="1:10" x14ac:dyDescent="0.35">
      <c r="A1250">
        <v>60</v>
      </c>
      <c r="B1250" t="s">
        <v>198</v>
      </c>
      <c r="C1250">
        <v>0</v>
      </c>
      <c r="D1250">
        <v>0</v>
      </c>
      <c r="E1250">
        <v>0</v>
      </c>
      <c r="F1250">
        <v>0</v>
      </c>
      <c r="G1250">
        <v>0</v>
      </c>
      <c r="H1250">
        <v>0</v>
      </c>
      <c r="I1250">
        <v>0</v>
      </c>
      <c r="J1250" t="s">
        <v>428</v>
      </c>
    </row>
    <row r="1251" spans="1:10" x14ac:dyDescent="0.35">
      <c r="A1251">
        <v>70</v>
      </c>
      <c r="B1251" t="s">
        <v>566</v>
      </c>
      <c r="C1251">
        <v>0</v>
      </c>
      <c r="D1251">
        <v>0</v>
      </c>
      <c r="E1251">
        <v>0</v>
      </c>
      <c r="F1251">
        <v>0</v>
      </c>
      <c r="G1251">
        <v>0</v>
      </c>
      <c r="H1251">
        <v>0</v>
      </c>
      <c r="I1251">
        <v>0</v>
      </c>
      <c r="J1251" t="s">
        <v>428</v>
      </c>
    </row>
    <row r="1252" spans="1:10" x14ac:dyDescent="0.35">
      <c r="A1252">
        <v>80</v>
      </c>
      <c r="B1252" t="s">
        <v>567</v>
      </c>
      <c r="C1252">
        <v>0</v>
      </c>
      <c r="D1252">
        <v>0</v>
      </c>
      <c r="E1252">
        <v>0</v>
      </c>
      <c r="F1252">
        <v>0</v>
      </c>
      <c r="G1252">
        <v>0</v>
      </c>
      <c r="H1252">
        <v>0</v>
      </c>
      <c r="I1252">
        <v>0</v>
      </c>
      <c r="J1252" t="s">
        <v>428</v>
      </c>
    </row>
    <row r="1253" spans="1:10" x14ac:dyDescent="0.35">
      <c r="A1253">
        <v>100</v>
      </c>
      <c r="B1253" t="s">
        <v>568</v>
      </c>
      <c r="C1253">
        <v>237012.91</v>
      </c>
      <c r="D1253">
        <v>0</v>
      </c>
      <c r="E1253">
        <v>237012.91</v>
      </c>
      <c r="F1253">
        <v>-163550.53</v>
      </c>
      <c r="G1253">
        <v>-163550.53</v>
      </c>
      <c r="H1253">
        <v>400563.44</v>
      </c>
      <c r="I1253">
        <v>400563.44</v>
      </c>
      <c r="J1253" t="s">
        <v>428</v>
      </c>
    </row>
    <row r="1254" spans="1:10" x14ac:dyDescent="0.35">
      <c r="A1254">
        <v>110</v>
      </c>
      <c r="B1254" t="s">
        <v>569</v>
      </c>
      <c r="C1254">
        <v>0</v>
      </c>
      <c r="D1254">
        <v>0</v>
      </c>
      <c r="E1254">
        <v>0</v>
      </c>
      <c r="F1254">
        <v>0</v>
      </c>
      <c r="G1254">
        <v>0</v>
      </c>
      <c r="H1254">
        <v>0</v>
      </c>
      <c r="I1254">
        <v>0</v>
      </c>
      <c r="J1254" t="s">
        <v>428</v>
      </c>
    </row>
    <row r="1255" spans="1:10" x14ac:dyDescent="0.35">
      <c r="A1255">
        <v>120</v>
      </c>
      <c r="B1255" t="s">
        <v>570</v>
      </c>
      <c r="C1255">
        <v>2771479.07</v>
      </c>
      <c r="D1255">
        <v>0</v>
      </c>
      <c r="E1255">
        <v>2771479.07</v>
      </c>
      <c r="F1255">
        <v>0</v>
      </c>
      <c r="G1255">
        <v>0</v>
      </c>
      <c r="H1255">
        <v>2771479.07</v>
      </c>
      <c r="I1255">
        <v>2771479.07</v>
      </c>
      <c r="J1255" t="s">
        <v>428</v>
      </c>
    </row>
    <row r="1256" spans="1:10" x14ac:dyDescent="0.35">
      <c r="A1256">
        <v>130</v>
      </c>
      <c r="B1256" t="s">
        <v>571</v>
      </c>
      <c r="C1256">
        <v>4246982.17</v>
      </c>
      <c r="D1256">
        <v>0</v>
      </c>
      <c r="E1256">
        <v>4246982.17</v>
      </c>
      <c r="F1256">
        <v>0</v>
      </c>
      <c r="G1256">
        <v>0</v>
      </c>
      <c r="H1256">
        <v>4246982.17</v>
      </c>
      <c r="I1256">
        <v>4246982.17</v>
      </c>
      <c r="J1256" t="s">
        <v>428</v>
      </c>
    </row>
    <row r="1257" spans="1:10" x14ac:dyDescent="0.35">
      <c r="A1257">
        <v>140</v>
      </c>
      <c r="B1257" t="s">
        <v>572</v>
      </c>
      <c r="C1257">
        <v>0</v>
      </c>
      <c r="D1257">
        <v>0</v>
      </c>
      <c r="E1257">
        <v>0</v>
      </c>
      <c r="F1257">
        <v>0</v>
      </c>
      <c r="G1257">
        <v>0</v>
      </c>
      <c r="H1257">
        <v>0</v>
      </c>
      <c r="I1257">
        <v>0</v>
      </c>
      <c r="J1257" t="s">
        <v>428</v>
      </c>
    </row>
    <row r="1258" spans="1:10" x14ac:dyDescent="0.35">
      <c r="A1258">
        <v>150</v>
      </c>
      <c r="B1258" t="s">
        <v>573</v>
      </c>
      <c r="C1258">
        <v>0</v>
      </c>
      <c r="D1258">
        <v>0</v>
      </c>
      <c r="E1258">
        <v>0</v>
      </c>
      <c r="F1258">
        <v>0</v>
      </c>
      <c r="G1258">
        <v>0</v>
      </c>
      <c r="H1258">
        <v>0</v>
      </c>
      <c r="I1258">
        <v>0</v>
      </c>
      <c r="J1258" t="s">
        <v>428</v>
      </c>
    </row>
    <row r="1259" spans="1:10" x14ac:dyDescent="0.35">
      <c r="A1259">
        <v>160</v>
      </c>
      <c r="B1259" t="s">
        <v>574</v>
      </c>
      <c r="C1259">
        <v>0</v>
      </c>
      <c r="D1259">
        <v>0</v>
      </c>
      <c r="E1259">
        <v>0</v>
      </c>
      <c r="F1259">
        <v>0</v>
      </c>
      <c r="G1259">
        <v>0</v>
      </c>
      <c r="H1259">
        <v>0</v>
      </c>
      <c r="I1259">
        <v>0</v>
      </c>
      <c r="J1259" t="s">
        <v>428</v>
      </c>
    </row>
    <row r="1260" spans="1:10" x14ac:dyDescent="0.35">
      <c r="A1260">
        <v>170</v>
      </c>
      <c r="B1260" t="s">
        <v>575</v>
      </c>
      <c r="C1260">
        <v>669226.96</v>
      </c>
      <c r="D1260">
        <v>0</v>
      </c>
      <c r="E1260">
        <v>669226.96</v>
      </c>
      <c r="F1260">
        <v>0</v>
      </c>
      <c r="G1260">
        <v>0</v>
      </c>
      <c r="H1260">
        <v>669226.96</v>
      </c>
      <c r="I1260">
        <v>669226.96</v>
      </c>
      <c r="J1260" t="s">
        <v>428</v>
      </c>
    </row>
    <row r="1261" spans="1:10" x14ac:dyDescent="0.35">
      <c r="A1261">
        <v>180</v>
      </c>
      <c r="B1261" t="s">
        <v>576</v>
      </c>
      <c r="C1261">
        <v>47409.21</v>
      </c>
      <c r="D1261">
        <v>0</v>
      </c>
      <c r="E1261">
        <v>47409.21</v>
      </c>
      <c r="F1261">
        <v>0</v>
      </c>
      <c r="G1261">
        <v>0</v>
      </c>
      <c r="H1261">
        <v>47409.21</v>
      </c>
      <c r="I1261">
        <v>47409.21</v>
      </c>
      <c r="J1261" t="s">
        <v>428</v>
      </c>
    </row>
    <row r="1262" spans="1:10" x14ac:dyDescent="0.35">
      <c r="A1262">
        <v>190</v>
      </c>
      <c r="B1262" t="s">
        <v>577</v>
      </c>
      <c r="C1262">
        <v>-2342771.96</v>
      </c>
      <c r="D1262">
        <v>0</v>
      </c>
      <c r="E1262">
        <v>-2342771.96</v>
      </c>
      <c r="F1262">
        <v>-21016</v>
      </c>
      <c r="G1262">
        <v>-21016</v>
      </c>
      <c r="H1262">
        <v>-2321755.96</v>
      </c>
      <c r="I1262">
        <v>-2321755.96</v>
      </c>
      <c r="J1262" t="s">
        <v>428</v>
      </c>
    </row>
    <row r="1263" spans="1:10" x14ac:dyDescent="0.35">
      <c r="A1263">
        <v>200</v>
      </c>
      <c r="B1263" t="s">
        <v>578</v>
      </c>
      <c r="C1263">
        <v>5392325.4500000002</v>
      </c>
      <c r="D1263">
        <v>0</v>
      </c>
      <c r="E1263">
        <v>5392325.4500000002</v>
      </c>
      <c r="F1263">
        <v>-21016</v>
      </c>
      <c r="G1263">
        <v>-21016</v>
      </c>
      <c r="H1263">
        <v>5413341.4500000002</v>
      </c>
      <c r="I1263">
        <v>5413341.4500000002</v>
      </c>
      <c r="J1263" t="s">
        <v>428</v>
      </c>
    </row>
    <row r="1264" spans="1:10" x14ac:dyDescent="0.35">
      <c r="A1264">
        <v>210</v>
      </c>
      <c r="B1264" t="s">
        <v>579</v>
      </c>
      <c r="C1264">
        <v>0</v>
      </c>
      <c r="D1264">
        <v>0</v>
      </c>
      <c r="E1264">
        <v>0</v>
      </c>
      <c r="F1264">
        <v>0</v>
      </c>
      <c r="G1264">
        <v>0</v>
      </c>
      <c r="H1264">
        <v>0</v>
      </c>
      <c r="I1264">
        <v>0</v>
      </c>
      <c r="J1264" t="s">
        <v>428</v>
      </c>
    </row>
    <row r="1265" spans="1:10" x14ac:dyDescent="0.35">
      <c r="A1265">
        <v>220</v>
      </c>
      <c r="B1265" t="s">
        <v>580</v>
      </c>
      <c r="C1265">
        <v>0</v>
      </c>
      <c r="D1265">
        <v>0</v>
      </c>
      <c r="E1265">
        <v>0</v>
      </c>
      <c r="F1265">
        <v>0</v>
      </c>
      <c r="G1265">
        <v>0</v>
      </c>
      <c r="H1265">
        <v>0</v>
      </c>
      <c r="I1265">
        <v>0</v>
      </c>
      <c r="J1265" t="s">
        <v>428</v>
      </c>
    </row>
    <row r="1266" spans="1:10" x14ac:dyDescent="0.35">
      <c r="A1266">
        <v>230</v>
      </c>
      <c r="B1266" t="s">
        <v>581</v>
      </c>
      <c r="C1266">
        <v>0</v>
      </c>
      <c r="D1266">
        <v>0</v>
      </c>
      <c r="E1266">
        <v>0</v>
      </c>
      <c r="F1266">
        <v>0</v>
      </c>
      <c r="G1266">
        <v>0</v>
      </c>
      <c r="H1266">
        <v>0</v>
      </c>
      <c r="I1266">
        <v>0</v>
      </c>
      <c r="J1266" t="s">
        <v>428</v>
      </c>
    </row>
    <row r="1267" spans="1:10" x14ac:dyDescent="0.35">
      <c r="A1267">
        <v>240</v>
      </c>
      <c r="B1267" t="s">
        <v>582</v>
      </c>
      <c r="C1267">
        <v>-42767</v>
      </c>
      <c r="D1267">
        <v>0</v>
      </c>
      <c r="E1267">
        <v>-42767</v>
      </c>
      <c r="F1267">
        <v>0</v>
      </c>
      <c r="G1267">
        <v>0</v>
      </c>
      <c r="H1267">
        <v>-42767</v>
      </c>
      <c r="I1267">
        <v>-42767</v>
      </c>
      <c r="J1267" t="s">
        <v>428</v>
      </c>
    </row>
    <row r="1268" spans="1:10" x14ac:dyDescent="0.35">
      <c r="A1268">
        <v>250</v>
      </c>
      <c r="B1268" t="s">
        <v>583</v>
      </c>
      <c r="C1268">
        <v>-42767</v>
      </c>
      <c r="D1268">
        <v>0</v>
      </c>
      <c r="E1268">
        <v>-42767</v>
      </c>
      <c r="F1268">
        <v>0</v>
      </c>
      <c r="G1268">
        <v>0</v>
      </c>
      <c r="H1268">
        <v>-42767</v>
      </c>
      <c r="I1268">
        <v>-42767</v>
      </c>
      <c r="J1268" t="s">
        <v>428</v>
      </c>
    </row>
    <row r="1269" spans="1:10" x14ac:dyDescent="0.35">
      <c r="A1269">
        <v>260</v>
      </c>
      <c r="B1269" t="s">
        <v>584</v>
      </c>
      <c r="C1269">
        <v>0</v>
      </c>
      <c r="D1269">
        <v>0</v>
      </c>
      <c r="E1269">
        <v>0</v>
      </c>
      <c r="F1269">
        <v>0</v>
      </c>
      <c r="G1269">
        <v>0</v>
      </c>
      <c r="H1269">
        <v>0</v>
      </c>
      <c r="I1269">
        <v>0</v>
      </c>
      <c r="J1269" t="s">
        <v>428</v>
      </c>
    </row>
    <row r="1270" spans="1:10" x14ac:dyDescent="0.35">
      <c r="A1270">
        <v>270</v>
      </c>
      <c r="B1270" t="s">
        <v>585</v>
      </c>
      <c r="C1270">
        <v>10000</v>
      </c>
      <c r="D1270">
        <v>0</v>
      </c>
      <c r="E1270">
        <v>10000</v>
      </c>
      <c r="F1270">
        <v>0</v>
      </c>
      <c r="G1270">
        <v>0</v>
      </c>
      <c r="H1270">
        <v>10000</v>
      </c>
      <c r="I1270">
        <v>10000</v>
      </c>
      <c r="J1270" t="s">
        <v>428</v>
      </c>
    </row>
    <row r="1271" spans="1:10" x14ac:dyDescent="0.35">
      <c r="A1271">
        <v>280</v>
      </c>
      <c r="B1271" t="s">
        <v>586</v>
      </c>
      <c r="C1271">
        <v>10000</v>
      </c>
      <c r="D1271">
        <v>0</v>
      </c>
      <c r="E1271">
        <v>10000</v>
      </c>
      <c r="F1271">
        <v>0</v>
      </c>
      <c r="G1271">
        <v>0</v>
      </c>
      <c r="H1271">
        <v>10000</v>
      </c>
      <c r="I1271">
        <v>10000</v>
      </c>
      <c r="J1271" t="s">
        <v>428</v>
      </c>
    </row>
    <row r="1272" spans="1:10" x14ac:dyDescent="0.35">
      <c r="A1272">
        <v>400</v>
      </c>
      <c r="B1272" t="s">
        <v>587</v>
      </c>
      <c r="C1272">
        <v>5596571.3600000003</v>
      </c>
      <c r="D1272">
        <v>0</v>
      </c>
      <c r="E1272">
        <v>5596571.3600000003</v>
      </c>
      <c r="F1272">
        <v>-184566.53</v>
      </c>
      <c r="G1272">
        <v>-184566.53</v>
      </c>
      <c r="H1272">
        <v>5781137.8899999997</v>
      </c>
      <c r="I1272">
        <v>5781137.8899999997</v>
      </c>
      <c r="J1272" t="s">
        <v>428</v>
      </c>
    </row>
    <row r="1273" spans="1:10" x14ac:dyDescent="0.35">
      <c r="A1273">
        <v>410</v>
      </c>
      <c r="B1273" t="s">
        <v>588</v>
      </c>
      <c r="C1273">
        <v>0</v>
      </c>
      <c r="D1273">
        <v>0</v>
      </c>
      <c r="E1273">
        <v>0</v>
      </c>
      <c r="F1273">
        <v>0</v>
      </c>
      <c r="G1273">
        <v>0</v>
      </c>
      <c r="H1273">
        <v>0</v>
      </c>
      <c r="I1273">
        <v>0</v>
      </c>
      <c r="J1273" t="s">
        <v>428</v>
      </c>
    </row>
    <row r="1274" spans="1:10" x14ac:dyDescent="0.35">
      <c r="A1274">
        <v>420</v>
      </c>
      <c r="B1274" t="s">
        <v>589</v>
      </c>
      <c r="C1274">
        <v>10220</v>
      </c>
      <c r="D1274">
        <v>0</v>
      </c>
      <c r="E1274">
        <v>10220</v>
      </c>
      <c r="F1274">
        <v>0</v>
      </c>
      <c r="G1274">
        <v>0</v>
      </c>
      <c r="H1274">
        <v>10220</v>
      </c>
      <c r="I1274">
        <v>10220</v>
      </c>
      <c r="J1274" t="s">
        <v>428</v>
      </c>
    </row>
    <row r="1275" spans="1:10" x14ac:dyDescent="0.35">
      <c r="A1275">
        <v>430</v>
      </c>
      <c r="B1275" t="s">
        <v>590</v>
      </c>
      <c r="C1275">
        <v>1217765.42</v>
      </c>
      <c r="D1275">
        <v>0</v>
      </c>
      <c r="E1275">
        <v>1217765.42</v>
      </c>
      <c r="F1275">
        <v>-26673.119999999999</v>
      </c>
      <c r="G1275">
        <v>-26673.119999999999</v>
      </c>
      <c r="H1275">
        <v>1244438.54</v>
      </c>
      <c r="I1275">
        <v>1244438.54</v>
      </c>
      <c r="J1275" t="s">
        <v>428</v>
      </c>
    </row>
    <row r="1276" spans="1:10" x14ac:dyDescent="0.35">
      <c r="A1276">
        <v>440</v>
      </c>
      <c r="B1276" t="s">
        <v>591</v>
      </c>
      <c r="C1276">
        <v>0</v>
      </c>
      <c r="D1276">
        <v>0</v>
      </c>
      <c r="E1276">
        <v>0</v>
      </c>
      <c r="F1276">
        <v>0</v>
      </c>
      <c r="G1276">
        <v>0</v>
      </c>
      <c r="H1276">
        <v>0</v>
      </c>
      <c r="I1276">
        <v>0</v>
      </c>
      <c r="J1276" t="s">
        <v>428</v>
      </c>
    </row>
    <row r="1277" spans="1:10" x14ac:dyDescent="0.35">
      <c r="A1277">
        <v>450</v>
      </c>
      <c r="B1277" t="s">
        <v>592</v>
      </c>
      <c r="C1277">
        <v>0</v>
      </c>
      <c r="D1277">
        <v>0</v>
      </c>
      <c r="E1277">
        <v>0</v>
      </c>
      <c r="F1277">
        <v>0</v>
      </c>
      <c r="G1277">
        <v>0</v>
      </c>
      <c r="H1277">
        <v>0</v>
      </c>
      <c r="I1277">
        <v>0</v>
      </c>
      <c r="J1277" t="s">
        <v>428</v>
      </c>
    </row>
    <row r="1278" spans="1:10" x14ac:dyDescent="0.35">
      <c r="A1278">
        <v>460</v>
      </c>
      <c r="B1278" t="s">
        <v>593</v>
      </c>
      <c r="C1278">
        <v>0</v>
      </c>
      <c r="D1278">
        <v>0</v>
      </c>
      <c r="E1278">
        <v>0</v>
      </c>
      <c r="F1278">
        <v>0</v>
      </c>
      <c r="G1278">
        <v>0</v>
      </c>
      <c r="H1278">
        <v>0</v>
      </c>
      <c r="I1278">
        <v>0</v>
      </c>
      <c r="J1278" t="s">
        <v>428</v>
      </c>
    </row>
    <row r="1279" spans="1:10" x14ac:dyDescent="0.35">
      <c r="A1279">
        <v>500</v>
      </c>
      <c r="B1279" t="s">
        <v>594</v>
      </c>
      <c r="C1279">
        <v>1227985.42</v>
      </c>
      <c r="D1279">
        <v>0</v>
      </c>
      <c r="E1279">
        <v>1227985.42</v>
      </c>
      <c r="F1279">
        <v>-26673.119999999999</v>
      </c>
      <c r="G1279">
        <v>-26673.119999999999</v>
      </c>
      <c r="H1279">
        <v>1254658.54</v>
      </c>
      <c r="I1279">
        <v>1254658.54</v>
      </c>
      <c r="J1279" t="s">
        <v>428</v>
      </c>
    </row>
    <row r="1280" spans="1:10" x14ac:dyDescent="0.35">
      <c r="A1280">
        <v>510</v>
      </c>
      <c r="B1280" t="s">
        <v>595</v>
      </c>
      <c r="C1280">
        <v>0</v>
      </c>
      <c r="D1280">
        <v>0</v>
      </c>
      <c r="E1280">
        <v>0</v>
      </c>
      <c r="F1280">
        <v>0</v>
      </c>
      <c r="G1280">
        <v>0</v>
      </c>
      <c r="H1280">
        <v>0</v>
      </c>
      <c r="I1280">
        <v>0</v>
      </c>
      <c r="J1280" t="s">
        <v>428</v>
      </c>
    </row>
    <row r="1281" spans="1:10" x14ac:dyDescent="0.35">
      <c r="A1281">
        <v>520</v>
      </c>
      <c r="B1281" t="s">
        <v>596</v>
      </c>
      <c r="C1281">
        <v>164552</v>
      </c>
      <c r="D1281">
        <v>0</v>
      </c>
      <c r="E1281">
        <v>164552</v>
      </c>
      <c r="F1281">
        <v>-157000</v>
      </c>
      <c r="G1281">
        <v>-157000</v>
      </c>
      <c r="H1281">
        <v>321552</v>
      </c>
      <c r="I1281">
        <v>321552</v>
      </c>
      <c r="J1281" t="s">
        <v>428</v>
      </c>
    </row>
    <row r="1282" spans="1:10" x14ac:dyDescent="0.35">
      <c r="A1282">
        <v>530</v>
      </c>
      <c r="B1282" t="s">
        <v>597</v>
      </c>
      <c r="C1282">
        <v>1227149.57</v>
      </c>
      <c r="D1282">
        <v>0</v>
      </c>
      <c r="E1282">
        <v>1227149.57</v>
      </c>
      <c r="F1282">
        <v>-8440.44</v>
      </c>
      <c r="G1282">
        <v>-8440.44</v>
      </c>
      <c r="H1282">
        <v>1235590.01</v>
      </c>
      <c r="I1282">
        <v>1235590.01</v>
      </c>
      <c r="J1282" t="s">
        <v>428</v>
      </c>
    </row>
    <row r="1283" spans="1:10" x14ac:dyDescent="0.35">
      <c r="A1283">
        <v>540</v>
      </c>
      <c r="B1283" t="s">
        <v>598</v>
      </c>
      <c r="C1283">
        <v>0</v>
      </c>
      <c r="D1283">
        <v>0</v>
      </c>
      <c r="E1283">
        <v>0</v>
      </c>
      <c r="F1283">
        <v>0</v>
      </c>
      <c r="G1283">
        <v>0</v>
      </c>
      <c r="H1283">
        <v>0</v>
      </c>
      <c r="I1283">
        <v>0</v>
      </c>
      <c r="J1283" t="s">
        <v>428</v>
      </c>
    </row>
    <row r="1284" spans="1:10" x14ac:dyDescent="0.35">
      <c r="A1284">
        <v>600</v>
      </c>
      <c r="B1284" t="s">
        <v>599</v>
      </c>
      <c r="C1284">
        <v>1391701.57</v>
      </c>
      <c r="D1284">
        <v>0</v>
      </c>
      <c r="E1284">
        <v>1391701.57</v>
      </c>
      <c r="F1284">
        <v>-165440.44</v>
      </c>
      <c r="G1284">
        <v>-165440.44</v>
      </c>
      <c r="H1284">
        <v>1557142.01</v>
      </c>
      <c r="I1284">
        <v>1557142.01</v>
      </c>
      <c r="J1284" t="s">
        <v>428</v>
      </c>
    </row>
    <row r="1285" spans="1:10" x14ac:dyDescent="0.35">
      <c r="A1285">
        <v>610</v>
      </c>
      <c r="B1285" t="s">
        <v>600</v>
      </c>
      <c r="C1285">
        <v>0</v>
      </c>
      <c r="D1285">
        <v>0</v>
      </c>
      <c r="E1285">
        <v>0</v>
      </c>
      <c r="F1285">
        <v>0</v>
      </c>
      <c r="G1285">
        <v>0</v>
      </c>
      <c r="H1285">
        <v>0</v>
      </c>
      <c r="I1285">
        <v>0</v>
      </c>
      <c r="J1285" t="s">
        <v>428</v>
      </c>
    </row>
    <row r="1286" spans="1:10" x14ac:dyDescent="0.35">
      <c r="A1286">
        <v>620</v>
      </c>
      <c r="B1286"/>
      <c r="C1286">
        <v>0</v>
      </c>
      <c r="D1286">
        <v>0</v>
      </c>
      <c r="E1286">
        <v>0</v>
      </c>
      <c r="F1286">
        <v>0</v>
      </c>
      <c r="G1286">
        <v>0</v>
      </c>
      <c r="H1286">
        <v>0</v>
      </c>
      <c r="I1286">
        <v>0</v>
      </c>
      <c r="J1286" t="s">
        <v>428</v>
      </c>
    </row>
    <row r="1287" spans="1:10" x14ac:dyDescent="0.35">
      <c r="A1287">
        <v>700</v>
      </c>
      <c r="B1287" t="s">
        <v>601</v>
      </c>
      <c r="C1287">
        <v>2619686.9900000002</v>
      </c>
      <c r="D1287">
        <v>0</v>
      </c>
      <c r="E1287">
        <v>2619686.9900000002</v>
      </c>
      <c r="F1287">
        <v>-192113.56</v>
      </c>
      <c r="G1287">
        <v>-192113.56</v>
      </c>
      <c r="H1287">
        <v>2811800.55</v>
      </c>
      <c r="I1287">
        <v>2811800.55</v>
      </c>
      <c r="J1287" t="s">
        <v>428</v>
      </c>
    </row>
    <row r="1288" spans="1:10" x14ac:dyDescent="0.35">
      <c r="A1288">
        <v>710</v>
      </c>
      <c r="B1288" t="s">
        <v>557</v>
      </c>
      <c r="C1288">
        <v>0</v>
      </c>
      <c r="D1288">
        <v>0</v>
      </c>
      <c r="E1288">
        <v>0</v>
      </c>
      <c r="F1288">
        <v>0</v>
      </c>
      <c r="G1288">
        <v>0</v>
      </c>
      <c r="H1288">
        <v>0</v>
      </c>
      <c r="I1288">
        <v>0</v>
      </c>
      <c r="J1288" t="s">
        <v>428</v>
      </c>
    </row>
    <row r="1289" spans="1:10" x14ac:dyDescent="0.35">
      <c r="A1289">
        <v>720</v>
      </c>
      <c r="B1289" t="s">
        <v>602</v>
      </c>
      <c r="C1289">
        <v>2087847.04</v>
      </c>
      <c r="D1289">
        <v>0</v>
      </c>
      <c r="E1289">
        <v>2087847.04</v>
      </c>
      <c r="F1289">
        <v>0</v>
      </c>
      <c r="G1289">
        <v>0</v>
      </c>
      <c r="H1289">
        <v>2087847.04</v>
      </c>
      <c r="I1289">
        <v>2087847.04</v>
      </c>
      <c r="J1289" t="s">
        <v>428</v>
      </c>
    </row>
    <row r="1290" spans="1:10" x14ac:dyDescent="0.35">
      <c r="A1290">
        <v>730</v>
      </c>
      <c r="B1290" t="s">
        <v>603</v>
      </c>
      <c r="C1290">
        <v>0</v>
      </c>
      <c r="D1290">
        <v>0</v>
      </c>
      <c r="E1290">
        <v>0</v>
      </c>
      <c r="F1290">
        <v>0</v>
      </c>
      <c r="G1290">
        <v>0</v>
      </c>
      <c r="H1290">
        <v>0</v>
      </c>
      <c r="I1290">
        <v>0</v>
      </c>
      <c r="J1290" t="s">
        <v>428</v>
      </c>
    </row>
    <row r="1291" spans="1:10" x14ac:dyDescent="0.35">
      <c r="A1291">
        <v>740</v>
      </c>
      <c r="B1291" t="s">
        <v>604</v>
      </c>
      <c r="C1291">
        <v>881490.3</v>
      </c>
      <c r="D1291">
        <v>0</v>
      </c>
      <c r="E1291">
        <v>881490.3</v>
      </c>
      <c r="F1291">
        <v>0</v>
      </c>
      <c r="G1291">
        <v>0</v>
      </c>
      <c r="H1291">
        <v>691088.57</v>
      </c>
      <c r="I1291">
        <v>881490.3</v>
      </c>
      <c r="J1291" t="s">
        <v>428</v>
      </c>
    </row>
    <row r="1292" spans="1:10" x14ac:dyDescent="0.35">
      <c r="A1292">
        <v>750</v>
      </c>
      <c r="B1292" t="s">
        <v>522</v>
      </c>
      <c r="C1292">
        <v>7547.03</v>
      </c>
      <c r="D1292">
        <v>48277</v>
      </c>
      <c r="E1292">
        <v>-40729.97</v>
      </c>
      <c r="F1292">
        <v>7547.03</v>
      </c>
      <c r="G1292">
        <v>7547.03</v>
      </c>
      <c r="H1292">
        <v>190401.73</v>
      </c>
      <c r="I1292">
        <v>0</v>
      </c>
      <c r="J1292" t="s">
        <v>428</v>
      </c>
    </row>
    <row r="1293" spans="1:10" x14ac:dyDescent="0.35">
      <c r="A1293">
        <v>760</v>
      </c>
      <c r="B1293" t="s">
        <v>605</v>
      </c>
      <c r="C1293">
        <v>0</v>
      </c>
      <c r="D1293">
        <v>0</v>
      </c>
      <c r="E1293">
        <v>0</v>
      </c>
      <c r="F1293">
        <v>0</v>
      </c>
      <c r="G1293">
        <v>0</v>
      </c>
      <c r="H1293">
        <v>0</v>
      </c>
      <c r="I1293">
        <v>0</v>
      </c>
      <c r="J1293" t="s">
        <v>428</v>
      </c>
    </row>
    <row r="1294" spans="1:10" x14ac:dyDescent="0.35">
      <c r="A1294">
        <v>770</v>
      </c>
      <c r="B1294"/>
      <c r="C1294">
        <v>0</v>
      </c>
      <c r="D1294">
        <v>0</v>
      </c>
      <c r="E1294">
        <v>0</v>
      </c>
      <c r="F1294">
        <v>0</v>
      </c>
      <c r="G1294">
        <v>0</v>
      </c>
      <c r="H1294">
        <v>0</v>
      </c>
      <c r="I1294">
        <v>0</v>
      </c>
      <c r="J1294" t="s">
        <v>428</v>
      </c>
    </row>
    <row r="1295" spans="1:10" x14ac:dyDescent="0.35">
      <c r="A1295">
        <v>800</v>
      </c>
      <c r="B1295" t="s">
        <v>606</v>
      </c>
      <c r="C1295">
        <v>2976884.37</v>
      </c>
      <c r="D1295">
        <v>48277</v>
      </c>
      <c r="E1295">
        <v>2928607.37</v>
      </c>
      <c r="F1295">
        <v>7547.03</v>
      </c>
      <c r="G1295">
        <v>7547.03</v>
      </c>
      <c r="H1295">
        <v>2969337.34</v>
      </c>
      <c r="I1295">
        <v>2969337.34</v>
      </c>
      <c r="J1295" t="s">
        <v>428</v>
      </c>
    </row>
    <row r="1296" spans="1:10" x14ac:dyDescent="0.35">
      <c r="A1296">
        <v>900</v>
      </c>
      <c r="B1296" t="s">
        <v>607</v>
      </c>
      <c r="C1296">
        <v>5596571.3600000003</v>
      </c>
      <c r="D1296">
        <v>48277</v>
      </c>
      <c r="E1296">
        <v>5548294.3600000003</v>
      </c>
      <c r="F1296">
        <v>-184566.53</v>
      </c>
      <c r="G1296">
        <v>-184566.53</v>
      </c>
      <c r="H1296">
        <v>5781137.8899999997</v>
      </c>
      <c r="I1296">
        <v>5781137.8899999997</v>
      </c>
      <c r="J1296" t="s">
        <v>428</v>
      </c>
    </row>
    <row r="1297" spans="1:10" x14ac:dyDescent="0.35">
      <c r="A1297">
        <v>1000</v>
      </c>
      <c r="B1297" t="s">
        <v>558</v>
      </c>
      <c r="C1297">
        <v>0</v>
      </c>
      <c r="D1297">
        <v>-48277</v>
      </c>
      <c r="E1297">
        <v>48277</v>
      </c>
      <c r="F1297">
        <v>0</v>
      </c>
      <c r="G1297">
        <v>0</v>
      </c>
      <c r="H1297">
        <v>0</v>
      </c>
      <c r="I1297">
        <v>0</v>
      </c>
      <c r="J1297" t="s">
        <v>428</v>
      </c>
    </row>
    <row r="1298" spans="1:10" x14ac:dyDescent="0.35">
      <c r="A1298" t="s">
        <v>528</v>
      </c>
      <c r="B1298" t="s">
        <v>416</v>
      </c>
      <c r="C1298" t="s">
        <v>537</v>
      </c>
      <c r="D1298" t="s">
        <v>538</v>
      </c>
      <c r="E1298" t="s">
        <v>539</v>
      </c>
      <c r="F1298" t="s">
        <v>540</v>
      </c>
      <c r="G1298" t="s">
        <v>541</v>
      </c>
      <c r="H1298" t="s">
        <v>542</v>
      </c>
      <c r="I1298" t="s">
        <v>543</v>
      </c>
      <c r="J1298" t="s">
        <v>121</v>
      </c>
    </row>
    <row r="1299" spans="1:10" x14ac:dyDescent="0.35">
      <c r="A1299">
        <v>10</v>
      </c>
      <c r="B1299" t="s">
        <v>544</v>
      </c>
      <c r="C1299">
        <v>0</v>
      </c>
      <c r="D1299">
        <v>0</v>
      </c>
      <c r="E1299">
        <v>0</v>
      </c>
      <c r="F1299">
        <v>0</v>
      </c>
      <c r="G1299">
        <v>0</v>
      </c>
      <c r="H1299">
        <v>0</v>
      </c>
      <c r="I1299">
        <v>0</v>
      </c>
      <c r="J1299" t="s">
        <v>428</v>
      </c>
    </row>
    <row r="1300" spans="1:10" x14ac:dyDescent="0.35">
      <c r="A1300">
        <v>20</v>
      </c>
      <c r="B1300" t="s">
        <v>562</v>
      </c>
      <c r="C1300">
        <v>6659.61</v>
      </c>
      <c r="D1300">
        <v>0</v>
      </c>
      <c r="E1300">
        <v>6659.61</v>
      </c>
      <c r="F1300">
        <v>3727.8</v>
      </c>
      <c r="G1300">
        <v>3727.8</v>
      </c>
      <c r="H1300">
        <v>2931.81</v>
      </c>
      <c r="I1300">
        <v>2931.81</v>
      </c>
      <c r="J1300" t="s">
        <v>428</v>
      </c>
    </row>
    <row r="1301" spans="1:10" x14ac:dyDescent="0.35">
      <c r="A1301">
        <v>30</v>
      </c>
      <c r="B1301" t="s">
        <v>563</v>
      </c>
      <c r="C1301">
        <v>0</v>
      </c>
      <c r="D1301">
        <v>0</v>
      </c>
      <c r="E1301">
        <v>0</v>
      </c>
      <c r="F1301">
        <v>0</v>
      </c>
      <c r="G1301">
        <v>0</v>
      </c>
      <c r="H1301">
        <v>0</v>
      </c>
      <c r="I1301">
        <v>0</v>
      </c>
      <c r="J1301" t="s">
        <v>428</v>
      </c>
    </row>
    <row r="1302" spans="1:10" x14ac:dyDescent="0.35">
      <c r="A1302">
        <v>40</v>
      </c>
      <c r="B1302" t="s">
        <v>564</v>
      </c>
      <c r="C1302">
        <v>0</v>
      </c>
      <c r="D1302">
        <v>0</v>
      </c>
      <c r="E1302">
        <v>0</v>
      </c>
      <c r="F1302">
        <v>0</v>
      </c>
      <c r="G1302">
        <v>0</v>
      </c>
      <c r="H1302">
        <v>0</v>
      </c>
      <c r="I1302">
        <v>0</v>
      </c>
      <c r="J1302" t="s">
        <v>428</v>
      </c>
    </row>
    <row r="1303" spans="1:10" x14ac:dyDescent="0.35">
      <c r="A1303">
        <v>50</v>
      </c>
      <c r="B1303" t="s">
        <v>565</v>
      </c>
      <c r="C1303">
        <v>0</v>
      </c>
      <c r="D1303">
        <v>0</v>
      </c>
      <c r="E1303">
        <v>0</v>
      </c>
      <c r="F1303">
        <v>0</v>
      </c>
      <c r="G1303">
        <v>0</v>
      </c>
      <c r="H1303">
        <v>0</v>
      </c>
      <c r="I1303">
        <v>0</v>
      </c>
      <c r="J1303" t="s">
        <v>428</v>
      </c>
    </row>
    <row r="1304" spans="1:10" x14ac:dyDescent="0.35">
      <c r="A1304">
        <v>60</v>
      </c>
      <c r="B1304" t="s">
        <v>198</v>
      </c>
      <c r="C1304">
        <v>0</v>
      </c>
      <c r="D1304">
        <v>0</v>
      </c>
      <c r="E1304">
        <v>0</v>
      </c>
      <c r="F1304">
        <v>0</v>
      </c>
      <c r="G1304">
        <v>0</v>
      </c>
      <c r="H1304">
        <v>0</v>
      </c>
      <c r="I1304">
        <v>0</v>
      </c>
      <c r="J1304" t="s">
        <v>428</v>
      </c>
    </row>
    <row r="1305" spans="1:10" x14ac:dyDescent="0.35">
      <c r="A1305">
        <v>70</v>
      </c>
      <c r="B1305" t="s">
        <v>566</v>
      </c>
      <c r="C1305">
        <v>947.26</v>
      </c>
      <c r="D1305">
        <v>0</v>
      </c>
      <c r="E1305">
        <v>947.26</v>
      </c>
      <c r="F1305">
        <v>0</v>
      </c>
      <c r="G1305">
        <v>0</v>
      </c>
      <c r="H1305">
        <v>947.26</v>
      </c>
      <c r="I1305">
        <v>947.26</v>
      </c>
      <c r="J1305" t="s">
        <v>428</v>
      </c>
    </row>
    <row r="1306" spans="1:10" x14ac:dyDescent="0.35">
      <c r="A1306">
        <v>80</v>
      </c>
      <c r="B1306" t="s">
        <v>567</v>
      </c>
      <c r="C1306">
        <v>0</v>
      </c>
      <c r="D1306">
        <v>0</v>
      </c>
      <c r="E1306">
        <v>0</v>
      </c>
      <c r="F1306">
        <v>0</v>
      </c>
      <c r="G1306">
        <v>0</v>
      </c>
      <c r="H1306">
        <v>0</v>
      </c>
      <c r="I1306">
        <v>0</v>
      </c>
      <c r="J1306" t="s">
        <v>428</v>
      </c>
    </row>
    <row r="1307" spans="1:10" x14ac:dyDescent="0.35">
      <c r="A1307">
        <v>100</v>
      </c>
      <c r="B1307" t="s">
        <v>568</v>
      </c>
      <c r="C1307">
        <v>7606.87</v>
      </c>
      <c r="D1307">
        <v>0</v>
      </c>
      <c r="E1307">
        <v>7606.87</v>
      </c>
      <c r="F1307">
        <v>3727.8</v>
      </c>
      <c r="G1307">
        <v>3727.8</v>
      </c>
      <c r="H1307">
        <v>3879.07</v>
      </c>
      <c r="I1307">
        <v>3879.07</v>
      </c>
      <c r="J1307" t="s">
        <v>428</v>
      </c>
    </row>
    <row r="1308" spans="1:10" x14ac:dyDescent="0.35">
      <c r="A1308">
        <v>110</v>
      </c>
      <c r="B1308" t="s">
        <v>569</v>
      </c>
      <c r="C1308">
        <v>0</v>
      </c>
      <c r="D1308">
        <v>0</v>
      </c>
      <c r="E1308">
        <v>0</v>
      </c>
      <c r="F1308">
        <v>0</v>
      </c>
      <c r="G1308">
        <v>0</v>
      </c>
      <c r="H1308">
        <v>0</v>
      </c>
      <c r="I1308">
        <v>0</v>
      </c>
      <c r="J1308" t="s">
        <v>428</v>
      </c>
    </row>
    <row r="1309" spans="1:10" x14ac:dyDescent="0.35">
      <c r="A1309">
        <v>120</v>
      </c>
      <c r="B1309" t="s">
        <v>570</v>
      </c>
      <c r="C1309">
        <v>434385</v>
      </c>
      <c r="D1309">
        <v>0</v>
      </c>
      <c r="E1309">
        <v>434385</v>
      </c>
      <c r="F1309">
        <v>0</v>
      </c>
      <c r="G1309">
        <v>0</v>
      </c>
      <c r="H1309">
        <v>434385</v>
      </c>
      <c r="I1309">
        <v>434385</v>
      </c>
      <c r="J1309" t="s">
        <v>428</v>
      </c>
    </row>
    <row r="1310" spans="1:10" x14ac:dyDescent="0.35">
      <c r="A1310">
        <v>130</v>
      </c>
      <c r="B1310" t="s">
        <v>571</v>
      </c>
      <c r="C1310">
        <v>412623</v>
      </c>
      <c r="D1310">
        <v>0</v>
      </c>
      <c r="E1310">
        <v>412623</v>
      </c>
      <c r="F1310">
        <v>0</v>
      </c>
      <c r="G1310">
        <v>0</v>
      </c>
      <c r="H1310">
        <v>412623</v>
      </c>
      <c r="I1310">
        <v>412623</v>
      </c>
      <c r="J1310" t="s">
        <v>428</v>
      </c>
    </row>
    <row r="1311" spans="1:10" x14ac:dyDescent="0.35">
      <c r="A1311">
        <v>140</v>
      </c>
      <c r="B1311" t="s">
        <v>572</v>
      </c>
      <c r="C1311">
        <v>0</v>
      </c>
      <c r="D1311">
        <v>0</v>
      </c>
      <c r="E1311">
        <v>0</v>
      </c>
      <c r="F1311">
        <v>0</v>
      </c>
      <c r="G1311">
        <v>0</v>
      </c>
      <c r="H1311">
        <v>0</v>
      </c>
      <c r="I1311">
        <v>0</v>
      </c>
      <c r="J1311" t="s">
        <v>428</v>
      </c>
    </row>
    <row r="1312" spans="1:10" x14ac:dyDescent="0.35">
      <c r="A1312">
        <v>150</v>
      </c>
      <c r="B1312" t="s">
        <v>573</v>
      </c>
      <c r="C1312">
        <v>0</v>
      </c>
      <c r="D1312">
        <v>0</v>
      </c>
      <c r="E1312">
        <v>0</v>
      </c>
      <c r="F1312">
        <v>0</v>
      </c>
      <c r="G1312">
        <v>0</v>
      </c>
      <c r="H1312">
        <v>0</v>
      </c>
      <c r="I1312">
        <v>0</v>
      </c>
      <c r="J1312" t="s">
        <v>428</v>
      </c>
    </row>
    <row r="1313" spans="1:10" x14ac:dyDescent="0.35">
      <c r="A1313">
        <v>160</v>
      </c>
      <c r="B1313" t="s">
        <v>574</v>
      </c>
      <c r="C1313">
        <v>0</v>
      </c>
      <c r="D1313">
        <v>0</v>
      </c>
      <c r="E1313">
        <v>0</v>
      </c>
      <c r="F1313">
        <v>0</v>
      </c>
      <c r="G1313">
        <v>0</v>
      </c>
      <c r="H1313">
        <v>0</v>
      </c>
      <c r="I1313">
        <v>0</v>
      </c>
      <c r="J1313" t="s">
        <v>428</v>
      </c>
    </row>
    <row r="1314" spans="1:10" x14ac:dyDescent="0.35">
      <c r="A1314">
        <v>170</v>
      </c>
      <c r="B1314" t="s">
        <v>575</v>
      </c>
      <c r="C1314">
        <v>172975</v>
      </c>
      <c r="D1314">
        <v>0</v>
      </c>
      <c r="E1314">
        <v>172975</v>
      </c>
      <c r="F1314">
        <v>0</v>
      </c>
      <c r="G1314">
        <v>0</v>
      </c>
      <c r="H1314">
        <v>172975</v>
      </c>
      <c r="I1314">
        <v>172975</v>
      </c>
      <c r="J1314" t="s">
        <v>428</v>
      </c>
    </row>
    <row r="1315" spans="1:10" x14ac:dyDescent="0.35">
      <c r="A1315">
        <v>180</v>
      </c>
      <c r="B1315" t="s">
        <v>576</v>
      </c>
      <c r="C1315">
        <v>3450</v>
      </c>
      <c r="D1315">
        <v>0</v>
      </c>
      <c r="E1315">
        <v>3450</v>
      </c>
      <c r="F1315">
        <v>0</v>
      </c>
      <c r="G1315">
        <v>0</v>
      </c>
      <c r="H1315">
        <v>3450</v>
      </c>
      <c r="I1315">
        <v>3450</v>
      </c>
      <c r="J1315" t="s">
        <v>428</v>
      </c>
    </row>
    <row r="1316" spans="1:10" x14ac:dyDescent="0.35">
      <c r="A1316">
        <v>190</v>
      </c>
      <c r="B1316" t="s">
        <v>577</v>
      </c>
      <c r="C1316">
        <v>-352467.52</v>
      </c>
      <c r="D1316">
        <v>0</v>
      </c>
      <c r="E1316">
        <v>-352467.52</v>
      </c>
      <c r="F1316">
        <v>-3786.04</v>
      </c>
      <c r="G1316">
        <v>-3786.04</v>
      </c>
      <c r="H1316">
        <v>-348681.48</v>
      </c>
      <c r="I1316">
        <v>-348681.48</v>
      </c>
      <c r="J1316" t="s">
        <v>428</v>
      </c>
    </row>
    <row r="1317" spans="1:10" x14ac:dyDescent="0.35">
      <c r="A1317">
        <v>200</v>
      </c>
      <c r="B1317" t="s">
        <v>578</v>
      </c>
      <c r="C1317">
        <v>670965.48</v>
      </c>
      <c r="D1317">
        <v>0</v>
      </c>
      <c r="E1317">
        <v>670965.48</v>
      </c>
      <c r="F1317">
        <v>-3786.04</v>
      </c>
      <c r="G1317">
        <v>-3786.04</v>
      </c>
      <c r="H1317">
        <v>674751.52</v>
      </c>
      <c r="I1317">
        <v>674751.52</v>
      </c>
      <c r="J1317" t="s">
        <v>428</v>
      </c>
    </row>
    <row r="1318" spans="1:10" x14ac:dyDescent="0.35">
      <c r="A1318">
        <v>210</v>
      </c>
      <c r="B1318" t="s">
        <v>579</v>
      </c>
      <c r="C1318">
        <v>0</v>
      </c>
      <c r="D1318">
        <v>0</v>
      </c>
      <c r="E1318">
        <v>0</v>
      </c>
      <c r="F1318">
        <v>0</v>
      </c>
      <c r="G1318">
        <v>0</v>
      </c>
      <c r="H1318">
        <v>0</v>
      </c>
      <c r="I1318">
        <v>0</v>
      </c>
      <c r="J1318" t="s">
        <v>428</v>
      </c>
    </row>
    <row r="1319" spans="1:10" x14ac:dyDescent="0.35">
      <c r="A1319">
        <v>220</v>
      </c>
      <c r="B1319" t="s">
        <v>580</v>
      </c>
      <c r="C1319">
        <v>0</v>
      </c>
      <c r="D1319">
        <v>0</v>
      </c>
      <c r="E1319">
        <v>0</v>
      </c>
      <c r="F1319">
        <v>0</v>
      </c>
      <c r="G1319">
        <v>0</v>
      </c>
      <c r="H1319">
        <v>0</v>
      </c>
      <c r="I1319">
        <v>0</v>
      </c>
      <c r="J1319" t="s">
        <v>428</v>
      </c>
    </row>
    <row r="1320" spans="1:10" x14ac:dyDescent="0.35">
      <c r="A1320">
        <v>230</v>
      </c>
      <c r="B1320" t="s">
        <v>581</v>
      </c>
      <c r="C1320">
        <v>0</v>
      </c>
      <c r="D1320">
        <v>0</v>
      </c>
      <c r="E1320">
        <v>0</v>
      </c>
      <c r="F1320">
        <v>0</v>
      </c>
      <c r="G1320">
        <v>0</v>
      </c>
      <c r="H1320">
        <v>0</v>
      </c>
      <c r="I1320">
        <v>0</v>
      </c>
      <c r="J1320" t="s">
        <v>428</v>
      </c>
    </row>
    <row r="1321" spans="1:10" x14ac:dyDescent="0.35">
      <c r="A1321">
        <v>240</v>
      </c>
      <c r="B1321" t="s">
        <v>582</v>
      </c>
      <c r="C1321">
        <v>-3022</v>
      </c>
      <c r="D1321">
        <v>0</v>
      </c>
      <c r="E1321">
        <v>-3022</v>
      </c>
      <c r="F1321">
        <v>0</v>
      </c>
      <c r="G1321">
        <v>0</v>
      </c>
      <c r="H1321">
        <v>-3022</v>
      </c>
      <c r="I1321">
        <v>-3022</v>
      </c>
      <c r="J1321" t="s">
        <v>428</v>
      </c>
    </row>
    <row r="1322" spans="1:10" x14ac:dyDescent="0.35">
      <c r="A1322">
        <v>250</v>
      </c>
      <c r="B1322" t="s">
        <v>583</v>
      </c>
      <c r="C1322">
        <v>-3022</v>
      </c>
      <c r="D1322">
        <v>0</v>
      </c>
      <c r="E1322">
        <v>-3022</v>
      </c>
      <c r="F1322">
        <v>0</v>
      </c>
      <c r="G1322">
        <v>0</v>
      </c>
      <c r="H1322">
        <v>-3022</v>
      </c>
      <c r="I1322">
        <v>-3022</v>
      </c>
      <c r="J1322" t="s">
        <v>428</v>
      </c>
    </row>
    <row r="1323" spans="1:10" x14ac:dyDescent="0.35">
      <c r="A1323">
        <v>260</v>
      </c>
      <c r="B1323" t="s">
        <v>584</v>
      </c>
      <c r="C1323">
        <v>0</v>
      </c>
      <c r="D1323">
        <v>0</v>
      </c>
      <c r="E1323">
        <v>0</v>
      </c>
      <c r="F1323">
        <v>0</v>
      </c>
      <c r="G1323">
        <v>0</v>
      </c>
      <c r="H1323">
        <v>0</v>
      </c>
      <c r="I1323">
        <v>0</v>
      </c>
      <c r="J1323" t="s">
        <v>428</v>
      </c>
    </row>
    <row r="1324" spans="1:10" x14ac:dyDescent="0.35">
      <c r="A1324">
        <v>270</v>
      </c>
      <c r="B1324" t="s">
        <v>585</v>
      </c>
      <c r="C1324">
        <v>0</v>
      </c>
      <c r="D1324">
        <v>0</v>
      </c>
      <c r="E1324">
        <v>0</v>
      </c>
      <c r="F1324">
        <v>0</v>
      </c>
      <c r="G1324">
        <v>0</v>
      </c>
      <c r="H1324">
        <v>0</v>
      </c>
      <c r="I1324">
        <v>0</v>
      </c>
      <c r="J1324" t="s">
        <v>428</v>
      </c>
    </row>
    <row r="1325" spans="1:10" x14ac:dyDescent="0.35">
      <c r="A1325">
        <v>280</v>
      </c>
      <c r="B1325" t="s">
        <v>586</v>
      </c>
      <c r="C1325">
        <v>0</v>
      </c>
      <c r="D1325">
        <v>0</v>
      </c>
      <c r="E1325">
        <v>0</v>
      </c>
      <c r="F1325">
        <v>0</v>
      </c>
      <c r="G1325">
        <v>0</v>
      </c>
      <c r="H1325">
        <v>0</v>
      </c>
      <c r="I1325">
        <v>0</v>
      </c>
      <c r="J1325" t="s">
        <v>428</v>
      </c>
    </row>
    <row r="1326" spans="1:10" x14ac:dyDescent="0.35">
      <c r="A1326">
        <v>400</v>
      </c>
      <c r="B1326" t="s">
        <v>587</v>
      </c>
      <c r="C1326">
        <v>675550.35</v>
      </c>
      <c r="D1326">
        <v>0</v>
      </c>
      <c r="E1326">
        <v>675550.35</v>
      </c>
      <c r="F1326">
        <v>-58.24</v>
      </c>
      <c r="G1326">
        <v>-58.24</v>
      </c>
      <c r="H1326">
        <v>675608.59</v>
      </c>
      <c r="I1326">
        <v>675608.59</v>
      </c>
      <c r="J1326" t="s">
        <v>428</v>
      </c>
    </row>
    <row r="1327" spans="1:10" x14ac:dyDescent="0.35">
      <c r="A1327">
        <v>410</v>
      </c>
      <c r="B1327" t="s">
        <v>588</v>
      </c>
      <c r="C1327">
        <v>0</v>
      </c>
      <c r="D1327">
        <v>0</v>
      </c>
      <c r="E1327">
        <v>0</v>
      </c>
      <c r="F1327">
        <v>0</v>
      </c>
      <c r="G1327">
        <v>0</v>
      </c>
      <c r="H1327">
        <v>0</v>
      </c>
      <c r="I1327">
        <v>0</v>
      </c>
      <c r="J1327" t="s">
        <v>428</v>
      </c>
    </row>
    <row r="1328" spans="1:10" x14ac:dyDescent="0.35">
      <c r="A1328">
        <v>420</v>
      </c>
      <c r="B1328" t="s">
        <v>589</v>
      </c>
      <c r="C1328">
        <v>0</v>
      </c>
      <c r="D1328">
        <v>0</v>
      </c>
      <c r="E1328">
        <v>0</v>
      </c>
      <c r="F1328">
        <v>0</v>
      </c>
      <c r="G1328">
        <v>0</v>
      </c>
      <c r="H1328">
        <v>0</v>
      </c>
      <c r="I1328">
        <v>0</v>
      </c>
      <c r="J1328" t="s">
        <v>428</v>
      </c>
    </row>
    <row r="1329" spans="1:10" x14ac:dyDescent="0.35">
      <c r="A1329">
        <v>430</v>
      </c>
      <c r="B1329" t="s">
        <v>590</v>
      </c>
      <c r="C1329">
        <v>0</v>
      </c>
      <c r="D1329">
        <v>0</v>
      </c>
      <c r="E1329">
        <v>0</v>
      </c>
      <c r="F1329">
        <v>0</v>
      </c>
      <c r="G1329">
        <v>0</v>
      </c>
      <c r="H1329">
        <v>0</v>
      </c>
      <c r="I1329">
        <v>0</v>
      </c>
      <c r="J1329" t="s">
        <v>428</v>
      </c>
    </row>
    <row r="1330" spans="1:10" x14ac:dyDescent="0.35">
      <c r="A1330">
        <v>440</v>
      </c>
      <c r="B1330" t="s">
        <v>591</v>
      </c>
      <c r="C1330">
        <v>0</v>
      </c>
      <c r="D1330">
        <v>0</v>
      </c>
      <c r="E1330">
        <v>0</v>
      </c>
      <c r="F1330">
        <v>0</v>
      </c>
      <c r="G1330">
        <v>0</v>
      </c>
      <c r="H1330">
        <v>0</v>
      </c>
      <c r="I1330">
        <v>0</v>
      </c>
      <c r="J1330" t="s">
        <v>428</v>
      </c>
    </row>
    <row r="1331" spans="1:10" x14ac:dyDescent="0.35">
      <c r="A1331">
        <v>450</v>
      </c>
      <c r="B1331" t="s">
        <v>592</v>
      </c>
      <c r="C1331">
        <v>0</v>
      </c>
      <c r="D1331">
        <v>0</v>
      </c>
      <c r="E1331">
        <v>0</v>
      </c>
      <c r="F1331">
        <v>0</v>
      </c>
      <c r="G1331">
        <v>0</v>
      </c>
      <c r="H1331">
        <v>0</v>
      </c>
      <c r="I1331">
        <v>0</v>
      </c>
      <c r="J1331" t="s">
        <v>428</v>
      </c>
    </row>
    <row r="1332" spans="1:10" x14ac:dyDescent="0.35">
      <c r="A1332">
        <v>460</v>
      </c>
      <c r="B1332" t="s">
        <v>593</v>
      </c>
      <c r="C1332">
        <v>0</v>
      </c>
      <c r="D1332">
        <v>0</v>
      </c>
      <c r="E1332">
        <v>0</v>
      </c>
      <c r="F1332">
        <v>0</v>
      </c>
      <c r="G1332">
        <v>0</v>
      </c>
      <c r="H1332">
        <v>0</v>
      </c>
      <c r="I1332">
        <v>0</v>
      </c>
      <c r="J1332" t="s">
        <v>428</v>
      </c>
    </row>
    <row r="1333" spans="1:10" x14ac:dyDescent="0.35">
      <c r="A1333">
        <v>500</v>
      </c>
      <c r="B1333" t="s">
        <v>594</v>
      </c>
      <c r="C1333">
        <v>0</v>
      </c>
      <c r="D1333">
        <v>0</v>
      </c>
      <c r="E1333">
        <v>0</v>
      </c>
      <c r="F1333">
        <v>0</v>
      </c>
      <c r="G1333">
        <v>0</v>
      </c>
      <c r="H1333">
        <v>0</v>
      </c>
      <c r="I1333">
        <v>0</v>
      </c>
      <c r="J1333" t="s">
        <v>428</v>
      </c>
    </row>
    <row r="1334" spans="1:10" x14ac:dyDescent="0.35">
      <c r="A1334">
        <v>510</v>
      </c>
      <c r="B1334" t="s">
        <v>595</v>
      </c>
      <c r="C1334">
        <v>0</v>
      </c>
      <c r="D1334">
        <v>0</v>
      </c>
      <c r="E1334">
        <v>0</v>
      </c>
      <c r="F1334">
        <v>0</v>
      </c>
      <c r="G1334">
        <v>0</v>
      </c>
      <c r="H1334">
        <v>0</v>
      </c>
      <c r="I1334">
        <v>0</v>
      </c>
      <c r="J1334" t="s">
        <v>428</v>
      </c>
    </row>
    <row r="1335" spans="1:10" x14ac:dyDescent="0.35">
      <c r="A1335">
        <v>520</v>
      </c>
      <c r="B1335" t="s">
        <v>596</v>
      </c>
      <c r="C1335">
        <v>1133122.17</v>
      </c>
      <c r="D1335">
        <v>0</v>
      </c>
      <c r="E1335">
        <v>1133122.17</v>
      </c>
      <c r="F1335">
        <v>0</v>
      </c>
      <c r="G1335">
        <v>0</v>
      </c>
      <c r="H1335">
        <v>1133122.17</v>
      </c>
      <c r="I1335">
        <v>1133122.17</v>
      </c>
      <c r="J1335" t="s">
        <v>428</v>
      </c>
    </row>
    <row r="1336" spans="1:10" x14ac:dyDescent="0.35">
      <c r="A1336">
        <v>530</v>
      </c>
      <c r="B1336" t="s">
        <v>597</v>
      </c>
      <c r="C1336">
        <v>0</v>
      </c>
      <c r="D1336">
        <v>0</v>
      </c>
      <c r="E1336">
        <v>0</v>
      </c>
      <c r="F1336">
        <v>0</v>
      </c>
      <c r="G1336">
        <v>0</v>
      </c>
      <c r="H1336">
        <v>0</v>
      </c>
      <c r="I1336">
        <v>0</v>
      </c>
      <c r="J1336" t="s">
        <v>428</v>
      </c>
    </row>
    <row r="1337" spans="1:10" x14ac:dyDescent="0.35">
      <c r="A1337">
        <v>540</v>
      </c>
      <c r="B1337" t="s">
        <v>598</v>
      </c>
      <c r="C1337">
        <v>0</v>
      </c>
      <c r="D1337">
        <v>0</v>
      </c>
      <c r="E1337">
        <v>0</v>
      </c>
      <c r="F1337">
        <v>0</v>
      </c>
      <c r="G1337">
        <v>0</v>
      </c>
      <c r="H1337">
        <v>0</v>
      </c>
      <c r="I1337">
        <v>0</v>
      </c>
      <c r="J1337" t="s">
        <v>428</v>
      </c>
    </row>
    <row r="1338" spans="1:10" x14ac:dyDescent="0.35">
      <c r="A1338">
        <v>600</v>
      </c>
      <c r="B1338" t="s">
        <v>599</v>
      </c>
      <c r="C1338">
        <v>1133122.17</v>
      </c>
      <c r="D1338">
        <v>0</v>
      </c>
      <c r="E1338">
        <v>1133122.17</v>
      </c>
      <c r="F1338">
        <v>0</v>
      </c>
      <c r="G1338">
        <v>0</v>
      </c>
      <c r="H1338">
        <v>1133122.17</v>
      </c>
      <c r="I1338">
        <v>1133122.17</v>
      </c>
      <c r="J1338" t="s">
        <v>428</v>
      </c>
    </row>
    <row r="1339" spans="1:10" x14ac:dyDescent="0.35">
      <c r="A1339">
        <v>610</v>
      </c>
      <c r="B1339" t="s">
        <v>600</v>
      </c>
      <c r="C1339">
        <v>0</v>
      </c>
      <c r="D1339">
        <v>0</v>
      </c>
      <c r="E1339">
        <v>0</v>
      </c>
      <c r="F1339">
        <v>0</v>
      </c>
      <c r="G1339">
        <v>0</v>
      </c>
      <c r="H1339">
        <v>0</v>
      </c>
      <c r="I1339">
        <v>0</v>
      </c>
      <c r="J1339" t="s">
        <v>428</v>
      </c>
    </row>
    <row r="1340" spans="1:10" x14ac:dyDescent="0.35">
      <c r="A1340">
        <v>620</v>
      </c>
      <c r="B1340"/>
      <c r="C1340">
        <v>0</v>
      </c>
      <c r="D1340">
        <v>0</v>
      </c>
      <c r="E1340">
        <v>0</v>
      </c>
      <c r="F1340">
        <v>0</v>
      </c>
      <c r="G1340">
        <v>0</v>
      </c>
      <c r="H1340">
        <v>0</v>
      </c>
      <c r="I1340">
        <v>0</v>
      </c>
      <c r="J1340" t="s">
        <v>428</v>
      </c>
    </row>
    <row r="1341" spans="1:10" x14ac:dyDescent="0.35">
      <c r="A1341">
        <v>700</v>
      </c>
      <c r="B1341" t="s">
        <v>601</v>
      </c>
      <c r="C1341">
        <v>0</v>
      </c>
      <c r="D1341">
        <v>0</v>
      </c>
      <c r="E1341">
        <v>0</v>
      </c>
      <c r="F1341">
        <v>0</v>
      </c>
      <c r="G1341">
        <v>0</v>
      </c>
      <c r="H1341">
        <v>0</v>
      </c>
      <c r="I1341">
        <v>0</v>
      </c>
      <c r="J1341" t="s">
        <v>428</v>
      </c>
    </row>
    <row r="1342" spans="1:10" x14ac:dyDescent="0.35">
      <c r="A1342">
        <v>710</v>
      </c>
      <c r="B1342" t="s">
        <v>557</v>
      </c>
      <c r="C1342">
        <v>0</v>
      </c>
      <c r="D1342">
        <v>0</v>
      </c>
      <c r="E1342">
        <v>0</v>
      </c>
      <c r="F1342">
        <v>0</v>
      </c>
      <c r="G1342">
        <v>0</v>
      </c>
      <c r="H1342">
        <v>0</v>
      </c>
      <c r="I1342">
        <v>0</v>
      </c>
      <c r="J1342" t="s">
        <v>428</v>
      </c>
    </row>
    <row r="1343" spans="1:10" x14ac:dyDescent="0.35">
      <c r="A1343">
        <v>720</v>
      </c>
      <c r="B1343" t="s">
        <v>602</v>
      </c>
      <c r="C1343">
        <v>0</v>
      </c>
      <c r="D1343">
        <v>0</v>
      </c>
      <c r="E1343">
        <v>0</v>
      </c>
      <c r="F1343">
        <v>0</v>
      </c>
      <c r="G1343">
        <v>0</v>
      </c>
      <c r="H1343">
        <v>0</v>
      </c>
      <c r="I1343">
        <v>0</v>
      </c>
      <c r="J1343" t="s">
        <v>428</v>
      </c>
    </row>
    <row r="1344" spans="1:10" x14ac:dyDescent="0.35">
      <c r="A1344">
        <v>730</v>
      </c>
      <c r="B1344" t="s">
        <v>603</v>
      </c>
      <c r="C1344">
        <v>0</v>
      </c>
      <c r="D1344">
        <v>0</v>
      </c>
      <c r="E1344">
        <v>0</v>
      </c>
      <c r="F1344">
        <v>0</v>
      </c>
      <c r="G1344">
        <v>0</v>
      </c>
      <c r="H1344">
        <v>0</v>
      </c>
      <c r="I1344">
        <v>0</v>
      </c>
      <c r="J1344" t="s">
        <v>428</v>
      </c>
    </row>
    <row r="1345" spans="1:10" x14ac:dyDescent="0.35">
      <c r="A1345">
        <v>740</v>
      </c>
      <c r="B1345" t="s">
        <v>604</v>
      </c>
      <c r="C1345">
        <v>-339230.13</v>
      </c>
      <c r="D1345">
        <v>0</v>
      </c>
      <c r="E1345">
        <v>-339230.13</v>
      </c>
      <c r="F1345">
        <v>0</v>
      </c>
      <c r="G1345">
        <v>0</v>
      </c>
      <c r="H1345">
        <v>-334310.98</v>
      </c>
      <c r="I1345">
        <v>-339230.13</v>
      </c>
      <c r="J1345" t="s">
        <v>428</v>
      </c>
    </row>
    <row r="1346" spans="1:10" x14ac:dyDescent="0.35">
      <c r="A1346">
        <v>750</v>
      </c>
      <c r="B1346" t="s">
        <v>522</v>
      </c>
      <c r="C1346">
        <v>-58.24</v>
      </c>
      <c r="D1346">
        <v>0</v>
      </c>
      <c r="E1346">
        <v>-58.24</v>
      </c>
      <c r="F1346">
        <v>-58.24</v>
      </c>
      <c r="G1346">
        <v>-58.24</v>
      </c>
      <c r="H1346">
        <v>-4919.1499999999996</v>
      </c>
      <c r="I1346">
        <v>0</v>
      </c>
      <c r="J1346" t="s">
        <v>428</v>
      </c>
    </row>
    <row r="1347" spans="1:10" x14ac:dyDescent="0.35">
      <c r="A1347">
        <v>760</v>
      </c>
      <c r="B1347" t="s">
        <v>605</v>
      </c>
      <c r="C1347">
        <v>-118283.45</v>
      </c>
      <c r="D1347">
        <v>0</v>
      </c>
      <c r="E1347">
        <v>-118283.45</v>
      </c>
      <c r="F1347">
        <v>0</v>
      </c>
      <c r="G1347">
        <v>0</v>
      </c>
      <c r="H1347">
        <v>-118283.45</v>
      </c>
      <c r="I1347">
        <v>-118283.45</v>
      </c>
      <c r="J1347" t="s">
        <v>428</v>
      </c>
    </row>
    <row r="1348" spans="1:10" x14ac:dyDescent="0.35">
      <c r="A1348">
        <v>770</v>
      </c>
      <c r="B1348"/>
      <c r="C1348">
        <v>0</v>
      </c>
      <c r="D1348">
        <v>0</v>
      </c>
      <c r="E1348">
        <v>0</v>
      </c>
      <c r="F1348">
        <v>0</v>
      </c>
      <c r="G1348">
        <v>0</v>
      </c>
      <c r="H1348">
        <v>0</v>
      </c>
      <c r="I1348">
        <v>0</v>
      </c>
      <c r="J1348" t="s">
        <v>428</v>
      </c>
    </row>
    <row r="1349" spans="1:10" x14ac:dyDescent="0.35">
      <c r="A1349">
        <v>800</v>
      </c>
      <c r="B1349" t="s">
        <v>606</v>
      </c>
      <c r="C1349">
        <v>-457571.82</v>
      </c>
      <c r="D1349">
        <v>0</v>
      </c>
      <c r="E1349">
        <v>-457571.82</v>
      </c>
      <c r="F1349">
        <v>-58.24</v>
      </c>
      <c r="G1349">
        <v>-58.24</v>
      </c>
      <c r="H1349">
        <v>-457513.58</v>
      </c>
      <c r="I1349">
        <v>-457513.58</v>
      </c>
      <c r="J1349" t="s">
        <v>428</v>
      </c>
    </row>
    <row r="1350" spans="1:10" x14ac:dyDescent="0.35">
      <c r="A1350">
        <v>900</v>
      </c>
      <c r="B1350" t="s">
        <v>607</v>
      </c>
      <c r="C1350">
        <v>675550.35</v>
      </c>
      <c r="D1350">
        <v>0</v>
      </c>
      <c r="E1350">
        <v>675550.35</v>
      </c>
      <c r="F1350">
        <v>-58.24</v>
      </c>
      <c r="G1350">
        <v>-58.24</v>
      </c>
      <c r="H1350">
        <v>675608.59</v>
      </c>
      <c r="I1350">
        <v>675608.59</v>
      </c>
      <c r="J1350" t="s">
        <v>428</v>
      </c>
    </row>
    <row r="1351" spans="1:10" x14ac:dyDescent="0.35">
      <c r="A1351">
        <v>1000</v>
      </c>
      <c r="B1351" t="s">
        <v>558</v>
      </c>
      <c r="C1351">
        <v>0</v>
      </c>
      <c r="D1351">
        <v>0</v>
      </c>
      <c r="E1351">
        <v>0</v>
      </c>
      <c r="F1351">
        <v>0</v>
      </c>
      <c r="G1351">
        <v>0</v>
      </c>
      <c r="H1351">
        <v>0</v>
      </c>
      <c r="I1351">
        <v>0</v>
      </c>
      <c r="J1351" t="s">
        <v>428</v>
      </c>
    </row>
    <row r="1352" spans="1:10" x14ac:dyDescent="0.35">
      <c r="A1352" t="s">
        <v>531</v>
      </c>
      <c r="B1352" t="s">
        <v>416</v>
      </c>
      <c r="C1352" t="s">
        <v>537</v>
      </c>
      <c r="D1352" t="s">
        <v>538</v>
      </c>
      <c r="E1352" t="s">
        <v>539</v>
      </c>
      <c r="F1352" t="s">
        <v>540</v>
      </c>
      <c r="G1352" t="s">
        <v>541</v>
      </c>
      <c r="H1352" t="s">
        <v>542</v>
      </c>
      <c r="I1352" t="s">
        <v>543</v>
      </c>
      <c r="J1352" t="s">
        <v>121</v>
      </c>
    </row>
    <row r="1353" spans="1:10" x14ac:dyDescent="0.35">
      <c r="A1353">
        <v>10</v>
      </c>
      <c r="B1353" t="s">
        <v>544</v>
      </c>
      <c r="C1353">
        <v>0</v>
      </c>
      <c r="D1353">
        <v>0</v>
      </c>
      <c r="E1353">
        <v>0</v>
      </c>
      <c r="F1353">
        <v>0</v>
      </c>
      <c r="G1353">
        <v>0</v>
      </c>
      <c r="H1353">
        <v>0</v>
      </c>
      <c r="I1353">
        <v>0</v>
      </c>
      <c r="J1353" t="s">
        <v>428</v>
      </c>
    </row>
    <row r="1354" spans="1:10" x14ac:dyDescent="0.35">
      <c r="A1354">
        <v>20</v>
      </c>
      <c r="B1354" t="s">
        <v>562</v>
      </c>
      <c r="C1354">
        <v>146605.5</v>
      </c>
      <c r="D1354">
        <v>309511</v>
      </c>
      <c r="E1354">
        <v>-162905.5</v>
      </c>
      <c r="F1354">
        <v>-171385.57</v>
      </c>
      <c r="G1354">
        <v>-171385.57</v>
      </c>
      <c r="H1354">
        <v>317991.07</v>
      </c>
      <c r="I1354">
        <v>317991.07</v>
      </c>
      <c r="J1354" t="s">
        <v>428</v>
      </c>
    </row>
    <row r="1355" spans="1:10" x14ac:dyDescent="0.35">
      <c r="A1355">
        <v>30</v>
      </c>
      <c r="B1355" t="s">
        <v>563</v>
      </c>
      <c r="C1355">
        <v>0</v>
      </c>
      <c r="D1355">
        <v>0</v>
      </c>
      <c r="E1355">
        <v>0</v>
      </c>
      <c r="F1355">
        <v>0</v>
      </c>
      <c r="G1355">
        <v>0</v>
      </c>
      <c r="H1355">
        <v>0</v>
      </c>
      <c r="I1355">
        <v>0</v>
      </c>
      <c r="J1355" t="s">
        <v>428</v>
      </c>
    </row>
    <row r="1356" spans="1:10" x14ac:dyDescent="0.35">
      <c r="A1356">
        <v>40</v>
      </c>
      <c r="B1356" t="s">
        <v>564</v>
      </c>
      <c r="C1356">
        <v>180884.92</v>
      </c>
      <c r="D1356">
        <v>168212</v>
      </c>
      <c r="E1356">
        <v>12672.92</v>
      </c>
      <c r="F1356">
        <v>26540.12</v>
      </c>
      <c r="G1356">
        <v>26540.12</v>
      </c>
      <c r="H1356">
        <v>154344.79999999999</v>
      </c>
      <c r="I1356">
        <v>154344.79999999999</v>
      </c>
      <c r="J1356" t="s">
        <v>428</v>
      </c>
    </row>
    <row r="1357" spans="1:10" x14ac:dyDescent="0.35">
      <c r="A1357">
        <v>50</v>
      </c>
      <c r="B1357" t="s">
        <v>565</v>
      </c>
      <c r="C1357">
        <v>0</v>
      </c>
      <c r="D1357">
        <v>0</v>
      </c>
      <c r="E1357">
        <v>0</v>
      </c>
      <c r="F1357">
        <v>0</v>
      </c>
      <c r="G1357">
        <v>0</v>
      </c>
      <c r="H1357">
        <v>0</v>
      </c>
      <c r="I1357">
        <v>0</v>
      </c>
      <c r="J1357" t="s">
        <v>428</v>
      </c>
    </row>
    <row r="1358" spans="1:10" x14ac:dyDescent="0.35">
      <c r="A1358">
        <v>60</v>
      </c>
      <c r="B1358" t="s">
        <v>198</v>
      </c>
      <c r="C1358">
        <v>20130.57</v>
      </c>
      <c r="D1358">
        <v>18833</v>
      </c>
      <c r="E1358">
        <v>1297.57</v>
      </c>
      <c r="F1358">
        <v>2774.17</v>
      </c>
      <c r="G1358">
        <v>2774.17</v>
      </c>
      <c r="H1358">
        <v>17356.400000000001</v>
      </c>
      <c r="I1358">
        <v>17356.400000000001</v>
      </c>
      <c r="J1358" t="s">
        <v>428</v>
      </c>
    </row>
    <row r="1359" spans="1:10" x14ac:dyDescent="0.35">
      <c r="A1359">
        <v>70</v>
      </c>
      <c r="B1359" t="s">
        <v>566</v>
      </c>
      <c r="C1359">
        <v>46304.41</v>
      </c>
      <c r="D1359">
        <v>0</v>
      </c>
      <c r="E1359">
        <v>46304.41</v>
      </c>
      <c r="F1359">
        <v>-1227.1099999999999</v>
      </c>
      <c r="G1359">
        <v>-1227.1099999999999</v>
      </c>
      <c r="H1359">
        <v>47531.519999999997</v>
      </c>
      <c r="I1359">
        <v>47531.519999999997</v>
      </c>
      <c r="J1359" t="s">
        <v>428</v>
      </c>
    </row>
    <row r="1360" spans="1:10" x14ac:dyDescent="0.35">
      <c r="A1360">
        <v>80</v>
      </c>
      <c r="B1360" t="s">
        <v>567</v>
      </c>
      <c r="C1360">
        <v>1257.6099999999999</v>
      </c>
      <c r="D1360">
        <v>33642</v>
      </c>
      <c r="E1360">
        <v>-32384.39</v>
      </c>
      <c r="F1360">
        <v>0</v>
      </c>
      <c r="G1360">
        <v>0</v>
      </c>
      <c r="H1360">
        <v>1257.6099999999999</v>
      </c>
      <c r="I1360">
        <v>1257.6099999999999</v>
      </c>
      <c r="J1360" t="s">
        <v>428</v>
      </c>
    </row>
    <row r="1361" spans="1:10" x14ac:dyDescent="0.35">
      <c r="A1361">
        <v>100</v>
      </c>
      <c r="B1361" t="s">
        <v>568</v>
      </c>
      <c r="C1361">
        <v>395183.01</v>
      </c>
      <c r="D1361">
        <v>530198</v>
      </c>
      <c r="E1361">
        <v>-135014.99</v>
      </c>
      <c r="F1361">
        <v>-143298.39000000001</v>
      </c>
      <c r="G1361">
        <v>-143298.39000000001</v>
      </c>
      <c r="H1361">
        <v>538481.4</v>
      </c>
      <c r="I1361">
        <v>538481.4</v>
      </c>
      <c r="J1361" t="s">
        <v>428</v>
      </c>
    </row>
    <row r="1362" spans="1:10" x14ac:dyDescent="0.35">
      <c r="A1362">
        <v>110</v>
      </c>
      <c r="B1362" t="s">
        <v>569</v>
      </c>
      <c r="C1362">
        <v>0</v>
      </c>
      <c r="D1362">
        <v>0</v>
      </c>
      <c r="E1362">
        <v>0</v>
      </c>
      <c r="F1362">
        <v>0</v>
      </c>
      <c r="G1362">
        <v>0</v>
      </c>
      <c r="H1362">
        <v>0</v>
      </c>
      <c r="I1362">
        <v>0</v>
      </c>
      <c r="J1362" t="s">
        <v>428</v>
      </c>
    </row>
    <row r="1363" spans="1:10" x14ac:dyDescent="0.35">
      <c r="A1363">
        <v>120</v>
      </c>
      <c r="B1363" t="s">
        <v>570</v>
      </c>
      <c r="C1363">
        <v>0</v>
      </c>
      <c r="D1363">
        <v>0</v>
      </c>
      <c r="E1363">
        <v>0</v>
      </c>
      <c r="F1363">
        <v>0</v>
      </c>
      <c r="G1363">
        <v>0</v>
      </c>
      <c r="H1363">
        <v>0</v>
      </c>
      <c r="I1363">
        <v>0</v>
      </c>
      <c r="J1363" t="s">
        <v>428</v>
      </c>
    </row>
    <row r="1364" spans="1:10" x14ac:dyDescent="0.35">
      <c r="A1364">
        <v>130</v>
      </c>
      <c r="B1364" t="s">
        <v>571</v>
      </c>
      <c r="C1364">
        <v>0</v>
      </c>
      <c r="D1364">
        <v>0</v>
      </c>
      <c r="E1364">
        <v>0</v>
      </c>
      <c r="F1364">
        <v>0</v>
      </c>
      <c r="G1364">
        <v>0</v>
      </c>
      <c r="H1364">
        <v>0</v>
      </c>
      <c r="I1364">
        <v>0</v>
      </c>
      <c r="J1364" t="s">
        <v>428</v>
      </c>
    </row>
    <row r="1365" spans="1:10" x14ac:dyDescent="0.35">
      <c r="A1365">
        <v>140</v>
      </c>
      <c r="B1365" t="s">
        <v>572</v>
      </c>
      <c r="C1365">
        <v>0</v>
      </c>
      <c r="D1365">
        <v>509787</v>
      </c>
      <c r="E1365">
        <v>-509787</v>
      </c>
      <c r="F1365">
        <v>0</v>
      </c>
      <c r="G1365">
        <v>0</v>
      </c>
      <c r="H1365">
        <v>0</v>
      </c>
      <c r="I1365">
        <v>0</v>
      </c>
      <c r="J1365" t="s">
        <v>428</v>
      </c>
    </row>
    <row r="1366" spans="1:10" x14ac:dyDescent="0.35">
      <c r="A1366">
        <v>150</v>
      </c>
      <c r="B1366" t="s">
        <v>573</v>
      </c>
      <c r="C1366">
        <v>0</v>
      </c>
      <c r="D1366">
        <v>0</v>
      </c>
      <c r="E1366">
        <v>0</v>
      </c>
      <c r="F1366">
        <v>0</v>
      </c>
      <c r="G1366">
        <v>0</v>
      </c>
      <c r="H1366">
        <v>0</v>
      </c>
      <c r="I1366">
        <v>0</v>
      </c>
      <c r="J1366" t="s">
        <v>428</v>
      </c>
    </row>
    <row r="1367" spans="1:10" x14ac:dyDescent="0.35">
      <c r="A1367">
        <v>160</v>
      </c>
      <c r="B1367" t="s">
        <v>574</v>
      </c>
      <c r="C1367">
        <v>0</v>
      </c>
      <c r="D1367">
        <v>0</v>
      </c>
      <c r="E1367">
        <v>0</v>
      </c>
      <c r="F1367">
        <v>0</v>
      </c>
      <c r="G1367">
        <v>0</v>
      </c>
      <c r="H1367">
        <v>0</v>
      </c>
      <c r="I1367">
        <v>0</v>
      </c>
      <c r="J1367" t="s">
        <v>428</v>
      </c>
    </row>
    <row r="1368" spans="1:10" x14ac:dyDescent="0.35">
      <c r="A1368">
        <v>170</v>
      </c>
      <c r="B1368" t="s">
        <v>575</v>
      </c>
      <c r="C1368">
        <v>508287.14</v>
      </c>
      <c r="D1368">
        <v>0</v>
      </c>
      <c r="E1368">
        <v>508287.14</v>
      </c>
      <c r="F1368">
        <v>0</v>
      </c>
      <c r="G1368">
        <v>0</v>
      </c>
      <c r="H1368">
        <v>508287.14</v>
      </c>
      <c r="I1368">
        <v>508287.14</v>
      </c>
      <c r="J1368" t="s">
        <v>428</v>
      </c>
    </row>
    <row r="1369" spans="1:10" x14ac:dyDescent="0.35">
      <c r="A1369">
        <v>180</v>
      </c>
      <c r="B1369" t="s">
        <v>576</v>
      </c>
      <c r="C1369">
        <v>110187.01</v>
      </c>
      <c r="D1369">
        <v>188152</v>
      </c>
      <c r="E1369">
        <v>-77964.990000000005</v>
      </c>
      <c r="F1369">
        <v>500</v>
      </c>
      <c r="G1369">
        <v>500</v>
      </c>
      <c r="H1369">
        <v>109687.01</v>
      </c>
      <c r="I1369">
        <v>109687.01</v>
      </c>
      <c r="J1369" t="s">
        <v>428</v>
      </c>
    </row>
    <row r="1370" spans="1:10" x14ac:dyDescent="0.35">
      <c r="A1370">
        <v>190</v>
      </c>
      <c r="B1370" t="s">
        <v>577</v>
      </c>
      <c r="C1370">
        <v>-731671.83</v>
      </c>
      <c r="D1370">
        <v>-504895</v>
      </c>
      <c r="E1370">
        <v>-226776.83</v>
      </c>
      <c r="F1370">
        <v>-5887.62</v>
      </c>
      <c r="G1370">
        <v>-5887.62</v>
      </c>
      <c r="H1370">
        <v>-725784.21</v>
      </c>
      <c r="I1370">
        <v>-725784.21</v>
      </c>
      <c r="J1370" t="s">
        <v>428</v>
      </c>
    </row>
    <row r="1371" spans="1:10" x14ac:dyDescent="0.35">
      <c r="A1371">
        <v>200</v>
      </c>
      <c r="B1371" t="s">
        <v>578</v>
      </c>
      <c r="C1371">
        <v>-113197.68</v>
      </c>
      <c r="D1371">
        <v>193044</v>
      </c>
      <c r="E1371">
        <v>-306241.68</v>
      </c>
      <c r="F1371">
        <v>-5387.62</v>
      </c>
      <c r="G1371">
        <v>-5387.62</v>
      </c>
      <c r="H1371">
        <v>-107810.06</v>
      </c>
      <c r="I1371">
        <v>-107810.06</v>
      </c>
      <c r="J1371" t="s">
        <v>428</v>
      </c>
    </row>
    <row r="1372" spans="1:10" x14ac:dyDescent="0.35">
      <c r="A1372">
        <v>210</v>
      </c>
      <c r="B1372" t="s">
        <v>579</v>
      </c>
      <c r="C1372">
        <v>0</v>
      </c>
      <c r="D1372">
        <v>0</v>
      </c>
      <c r="E1372">
        <v>0</v>
      </c>
      <c r="F1372">
        <v>0</v>
      </c>
      <c r="G1372">
        <v>0</v>
      </c>
      <c r="H1372">
        <v>0</v>
      </c>
      <c r="I1372">
        <v>0</v>
      </c>
      <c r="J1372" t="s">
        <v>428</v>
      </c>
    </row>
    <row r="1373" spans="1:10" x14ac:dyDescent="0.35">
      <c r="A1373">
        <v>220</v>
      </c>
      <c r="B1373" t="s">
        <v>580</v>
      </c>
      <c r="C1373">
        <v>36210</v>
      </c>
      <c r="D1373">
        <v>36210</v>
      </c>
      <c r="E1373">
        <v>0</v>
      </c>
      <c r="F1373">
        <v>0</v>
      </c>
      <c r="G1373">
        <v>0</v>
      </c>
      <c r="H1373">
        <v>36210</v>
      </c>
      <c r="I1373">
        <v>36210</v>
      </c>
      <c r="J1373" t="s">
        <v>428</v>
      </c>
    </row>
    <row r="1374" spans="1:10" x14ac:dyDescent="0.35">
      <c r="A1374">
        <v>230</v>
      </c>
      <c r="B1374" t="s">
        <v>581</v>
      </c>
      <c r="C1374">
        <v>376367.66</v>
      </c>
      <c r="D1374">
        <v>365799</v>
      </c>
      <c r="E1374">
        <v>10568.66</v>
      </c>
      <c r="F1374">
        <v>580.64</v>
      </c>
      <c r="G1374">
        <v>580.64</v>
      </c>
      <c r="H1374">
        <v>375787.02</v>
      </c>
      <c r="I1374">
        <v>375787.02</v>
      </c>
      <c r="J1374" t="s">
        <v>428</v>
      </c>
    </row>
    <row r="1375" spans="1:10" x14ac:dyDescent="0.35">
      <c r="A1375">
        <v>240</v>
      </c>
      <c r="B1375" t="s">
        <v>582</v>
      </c>
      <c r="C1375">
        <v>-68074.03</v>
      </c>
      <c r="D1375">
        <v>-278926</v>
      </c>
      <c r="E1375">
        <v>210851.97</v>
      </c>
      <c r="F1375">
        <v>-416.66</v>
      </c>
      <c r="G1375">
        <v>-416.66</v>
      </c>
      <c r="H1375">
        <v>-67657.37</v>
      </c>
      <c r="I1375">
        <v>-67657.37</v>
      </c>
      <c r="J1375" t="s">
        <v>428</v>
      </c>
    </row>
    <row r="1376" spans="1:10" x14ac:dyDescent="0.35">
      <c r="A1376">
        <v>250</v>
      </c>
      <c r="B1376" t="s">
        <v>583</v>
      </c>
      <c r="C1376">
        <v>344503.63</v>
      </c>
      <c r="D1376">
        <v>123083</v>
      </c>
      <c r="E1376">
        <v>221420.63</v>
      </c>
      <c r="F1376">
        <v>163.98</v>
      </c>
      <c r="G1376">
        <v>163.98</v>
      </c>
      <c r="H1376">
        <v>344339.65</v>
      </c>
      <c r="I1376">
        <v>344339.65</v>
      </c>
      <c r="J1376" t="s">
        <v>428</v>
      </c>
    </row>
    <row r="1377" spans="1:10" x14ac:dyDescent="0.35">
      <c r="A1377">
        <v>260</v>
      </c>
      <c r="B1377" t="s">
        <v>584</v>
      </c>
      <c r="C1377">
        <v>0</v>
      </c>
      <c r="D1377">
        <v>0</v>
      </c>
      <c r="E1377">
        <v>0</v>
      </c>
      <c r="F1377">
        <v>0</v>
      </c>
      <c r="G1377">
        <v>0</v>
      </c>
      <c r="H1377">
        <v>0</v>
      </c>
      <c r="I1377">
        <v>0</v>
      </c>
      <c r="J1377" t="s">
        <v>428</v>
      </c>
    </row>
    <row r="1378" spans="1:10" x14ac:dyDescent="0.35">
      <c r="A1378">
        <v>270</v>
      </c>
      <c r="B1378" t="s">
        <v>585</v>
      </c>
      <c r="C1378">
        <v>71465</v>
      </c>
      <c r="D1378">
        <v>0</v>
      </c>
      <c r="E1378">
        <v>71465</v>
      </c>
      <c r="F1378">
        <v>0</v>
      </c>
      <c r="G1378">
        <v>0</v>
      </c>
      <c r="H1378">
        <v>71465</v>
      </c>
      <c r="I1378">
        <v>71465</v>
      </c>
      <c r="J1378" t="s">
        <v>428</v>
      </c>
    </row>
    <row r="1379" spans="1:10" x14ac:dyDescent="0.35">
      <c r="A1379">
        <v>280</v>
      </c>
      <c r="B1379" t="s">
        <v>586</v>
      </c>
      <c r="C1379">
        <v>71465</v>
      </c>
      <c r="D1379">
        <v>0</v>
      </c>
      <c r="E1379">
        <v>71465</v>
      </c>
      <c r="F1379">
        <v>0</v>
      </c>
      <c r="G1379">
        <v>0</v>
      </c>
      <c r="H1379">
        <v>71465</v>
      </c>
      <c r="I1379">
        <v>71465</v>
      </c>
      <c r="J1379" t="s">
        <v>428</v>
      </c>
    </row>
    <row r="1380" spans="1:10" x14ac:dyDescent="0.35">
      <c r="A1380">
        <v>400</v>
      </c>
      <c r="B1380" t="s">
        <v>587</v>
      </c>
      <c r="C1380">
        <v>697953.96</v>
      </c>
      <c r="D1380">
        <v>846325</v>
      </c>
      <c r="E1380">
        <v>-148371.04</v>
      </c>
      <c r="F1380">
        <v>-148522.03</v>
      </c>
      <c r="G1380">
        <v>-148522.03</v>
      </c>
      <c r="H1380">
        <v>846475.99</v>
      </c>
      <c r="I1380">
        <v>846475.99</v>
      </c>
      <c r="J1380" t="s">
        <v>428</v>
      </c>
    </row>
    <row r="1381" spans="1:10" x14ac:dyDescent="0.35">
      <c r="A1381">
        <v>410</v>
      </c>
      <c r="B1381" t="s">
        <v>588</v>
      </c>
      <c r="C1381">
        <v>0</v>
      </c>
      <c r="D1381">
        <v>0</v>
      </c>
      <c r="E1381">
        <v>0</v>
      </c>
      <c r="F1381">
        <v>0</v>
      </c>
      <c r="G1381">
        <v>0</v>
      </c>
      <c r="H1381">
        <v>0</v>
      </c>
      <c r="I1381">
        <v>0</v>
      </c>
      <c r="J1381" t="s">
        <v>428</v>
      </c>
    </row>
    <row r="1382" spans="1:10" x14ac:dyDescent="0.35">
      <c r="A1382">
        <v>420</v>
      </c>
      <c r="B1382" t="s">
        <v>589</v>
      </c>
      <c r="C1382">
        <v>11258.88</v>
      </c>
      <c r="D1382">
        <v>13457</v>
      </c>
      <c r="E1382">
        <v>-2198.12</v>
      </c>
      <c r="F1382">
        <v>5534.75</v>
      </c>
      <c r="G1382">
        <v>5534.75</v>
      </c>
      <c r="H1382">
        <v>5724.13</v>
      </c>
      <c r="I1382">
        <v>5724.13</v>
      </c>
      <c r="J1382" t="s">
        <v>428</v>
      </c>
    </row>
    <row r="1383" spans="1:10" x14ac:dyDescent="0.35">
      <c r="A1383">
        <v>430</v>
      </c>
      <c r="B1383" t="s">
        <v>590</v>
      </c>
      <c r="C1383">
        <v>51328.57</v>
      </c>
      <c r="D1383">
        <v>52942</v>
      </c>
      <c r="E1383">
        <v>-1613.43</v>
      </c>
      <c r="F1383">
        <v>9276.64</v>
      </c>
      <c r="G1383">
        <v>9276.64</v>
      </c>
      <c r="H1383">
        <v>42051.93</v>
      </c>
      <c r="I1383">
        <v>42051.93</v>
      </c>
      <c r="J1383" t="s">
        <v>428</v>
      </c>
    </row>
    <row r="1384" spans="1:10" x14ac:dyDescent="0.35">
      <c r="A1384">
        <v>440</v>
      </c>
      <c r="B1384" t="s">
        <v>591</v>
      </c>
      <c r="C1384">
        <v>0</v>
      </c>
      <c r="D1384">
        <v>6914</v>
      </c>
      <c r="E1384">
        <v>-6914</v>
      </c>
      <c r="F1384">
        <v>0</v>
      </c>
      <c r="G1384">
        <v>0</v>
      </c>
      <c r="H1384">
        <v>0</v>
      </c>
      <c r="I1384">
        <v>0</v>
      </c>
      <c r="J1384" t="s">
        <v>428</v>
      </c>
    </row>
    <row r="1385" spans="1:10" x14ac:dyDescent="0.35">
      <c r="A1385">
        <v>450</v>
      </c>
      <c r="B1385" t="s">
        <v>592</v>
      </c>
      <c r="C1385">
        <v>12073.18</v>
      </c>
      <c r="D1385">
        <v>0</v>
      </c>
      <c r="E1385">
        <v>12073.18</v>
      </c>
      <c r="F1385">
        <v>-2035.2</v>
      </c>
      <c r="G1385">
        <v>-2035.2</v>
      </c>
      <c r="H1385">
        <v>14108.38</v>
      </c>
      <c r="I1385">
        <v>14108.38</v>
      </c>
      <c r="J1385" t="s">
        <v>428</v>
      </c>
    </row>
    <row r="1386" spans="1:10" x14ac:dyDescent="0.35">
      <c r="A1386">
        <v>460</v>
      </c>
      <c r="B1386" t="s">
        <v>593</v>
      </c>
      <c r="C1386">
        <v>0</v>
      </c>
      <c r="D1386">
        <v>0</v>
      </c>
      <c r="E1386">
        <v>0</v>
      </c>
      <c r="F1386">
        <v>0</v>
      </c>
      <c r="G1386">
        <v>0</v>
      </c>
      <c r="H1386">
        <v>0</v>
      </c>
      <c r="I1386">
        <v>0</v>
      </c>
      <c r="J1386" t="s">
        <v>428</v>
      </c>
    </row>
    <row r="1387" spans="1:10" x14ac:dyDescent="0.35">
      <c r="A1387">
        <v>500</v>
      </c>
      <c r="B1387" t="s">
        <v>594</v>
      </c>
      <c r="C1387">
        <v>74660.63</v>
      </c>
      <c r="D1387">
        <v>73313</v>
      </c>
      <c r="E1387">
        <v>1347.63</v>
      </c>
      <c r="F1387">
        <v>12776.19</v>
      </c>
      <c r="G1387">
        <v>12776.19</v>
      </c>
      <c r="H1387">
        <v>61884.44</v>
      </c>
      <c r="I1387">
        <v>61884.44</v>
      </c>
      <c r="J1387" t="s">
        <v>428</v>
      </c>
    </row>
    <row r="1388" spans="1:10" x14ac:dyDescent="0.35">
      <c r="A1388">
        <v>510</v>
      </c>
      <c r="B1388" t="s">
        <v>595</v>
      </c>
      <c r="C1388">
        <v>0</v>
      </c>
      <c r="D1388">
        <v>0</v>
      </c>
      <c r="E1388">
        <v>0</v>
      </c>
      <c r="F1388">
        <v>0</v>
      </c>
      <c r="G1388">
        <v>0</v>
      </c>
      <c r="H1388">
        <v>0</v>
      </c>
      <c r="I1388">
        <v>0</v>
      </c>
      <c r="J1388" t="s">
        <v>428</v>
      </c>
    </row>
    <row r="1389" spans="1:10" x14ac:dyDescent="0.35">
      <c r="A1389">
        <v>520</v>
      </c>
      <c r="B1389" t="s">
        <v>596</v>
      </c>
      <c r="C1389">
        <v>1636315.46</v>
      </c>
      <c r="D1389">
        <v>0</v>
      </c>
      <c r="E1389">
        <v>1636315.46</v>
      </c>
      <c r="F1389">
        <v>-194595.45</v>
      </c>
      <c r="G1389">
        <v>-194595.45</v>
      </c>
      <c r="H1389">
        <v>1830910.91</v>
      </c>
      <c r="I1389">
        <v>1830910.91</v>
      </c>
      <c r="J1389" t="s">
        <v>428</v>
      </c>
    </row>
    <row r="1390" spans="1:10" x14ac:dyDescent="0.35">
      <c r="A1390">
        <v>530</v>
      </c>
      <c r="B1390" t="s">
        <v>597</v>
      </c>
      <c r="C1390">
        <v>0</v>
      </c>
      <c r="D1390">
        <v>2044327</v>
      </c>
      <c r="E1390">
        <v>-2044327</v>
      </c>
      <c r="F1390">
        <v>0</v>
      </c>
      <c r="G1390">
        <v>0</v>
      </c>
      <c r="H1390">
        <v>0</v>
      </c>
      <c r="I1390">
        <v>0</v>
      </c>
      <c r="J1390" t="s">
        <v>428</v>
      </c>
    </row>
    <row r="1391" spans="1:10" x14ac:dyDescent="0.35">
      <c r="A1391">
        <v>540</v>
      </c>
      <c r="B1391" t="s">
        <v>598</v>
      </c>
      <c r="C1391">
        <v>213700</v>
      </c>
      <c r="D1391">
        <v>0</v>
      </c>
      <c r="E1391">
        <v>213700</v>
      </c>
      <c r="F1391">
        <v>0</v>
      </c>
      <c r="G1391">
        <v>0</v>
      </c>
      <c r="H1391">
        <v>213700</v>
      </c>
      <c r="I1391">
        <v>213700</v>
      </c>
      <c r="J1391" t="s">
        <v>428</v>
      </c>
    </row>
    <row r="1392" spans="1:10" x14ac:dyDescent="0.35">
      <c r="A1392">
        <v>600</v>
      </c>
      <c r="B1392" t="s">
        <v>599</v>
      </c>
      <c r="C1392">
        <v>1850015.46</v>
      </c>
      <c r="D1392">
        <v>2044327</v>
      </c>
      <c r="E1392">
        <v>-194311.54</v>
      </c>
      <c r="F1392">
        <v>-194595.45</v>
      </c>
      <c r="G1392">
        <v>-194595.45</v>
      </c>
      <c r="H1392">
        <v>2044610.91</v>
      </c>
      <c r="I1392">
        <v>2044610.91</v>
      </c>
      <c r="J1392" t="s">
        <v>428</v>
      </c>
    </row>
    <row r="1393" spans="1:10" x14ac:dyDescent="0.35">
      <c r="A1393">
        <v>610</v>
      </c>
      <c r="B1393" t="s">
        <v>600</v>
      </c>
      <c r="C1393">
        <v>0</v>
      </c>
      <c r="D1393">
        <v>0</v>
      </c>
      <c r="E1393">
        <v>0</v>
      </c>
      <c r="F1393">
        <v>0</v>
      </c>
      <c r="G1393">
        <v>0</v>
      </c>
      <c r="H1393">
        <v>0</v>
      </c>
      <c r="I1393">
        <v>0</v>
      </c>
      <c r="J1393" t="s">
        <v>428</v>
      </c>
    </row>
    <row r="1394" spans="1:10" x14ac:dyDescent="0.35">
      <c r="A1394">
        <v>620</v>
      </c>
      <c r="B1394"/>
      <c r="C1394">
        <v>0</v>
      </c>
      <c r="D1394">
        <v>0</v>
      </c>
      <c r="E1394">
        <v>0</v>
      </c>
      <c r="F1394">
        <v>0</v>
      </c>
      <c r="G1394">
        <v>0</v>
      </c>
      <c r="H1394">
        <v>0</v>
      </c>
      <c r="I1394">
        <v>0</v>
      </c>
      <c r="J1394" t="s">
        <v>428</v>
      </c>
    </row>
    <row r="1395" spans="1:10" x14ac:dyDescent="0.35">
      <c r="A1395">
        <v>700</v>
      </c>
      <c r="B1395" t="s">
        <v>601</v>
      </c>
      <c r="C1395">
        <v>0</v>
      </c>
      <c r="D1395">
        <v>0</v>
      </c>
      <c r="E1395">
        <v>0</v>
      </c>
      <c r="F1395">
        <v>0</v>
      </c>
      <c r="G1395">
        <v>0</v>
      </c>
      <c r="H1395">
        <v>0</v>
      </c>
      <c r="I1395">
        <v>0</v>
      </c>
      <c r="J1395" t="s">
        <v>428</v>
      </c>
    </row>
    <row r="1396" spans="1:10" x14ac:dyDescent="0.35">
      <c r="A1396">
        <v>710</v>
      </c>
      <c r="B1396" t="s">
        <v>557</v>
      </c>
      <c r="C1396">
        <v>0</v>
      </c>
      <c r="D1396">
        <v>0</v>
      </c>
      <c r="E1396">
        <v>0</v>
      </c>
      <c r="F1396">
        <v>0</v>
      </c>
      <c r="G1396">
        <v>0</v>
      </c>
      <c r="H1396">
        <v>0</v>
      </c>
      <c r="I1396">
        <v>0</v>
      </c>
      <c r="J1396" t="s">
        <v>428</v>
      </c>
    </row>
    <row r="1397" spans="1:10" x14ac:dyDescent="0.35">
      <c r="A1397">
        <v>720</v>
      </c>
      <c r="B1397" t="s">
        <v>602</v>
      </c>
      <c r="C1397">
        <v>1000</v>
      </c>
      <c r="D1397">
        <v>1000</v>
      </c>
      <c r="E1397">
        <v>0</v>
      </c>
      <c r="F1397">
        <v>0</v>
      </c>
      <c r="G1397">
        <v>0</v>
      </c>
      <c r="H1397">
        <v>1000</v>
      </c>
      <c r="I1397">
        <v>1000</v>
      </c>
      <c r="J1397" t="s">
        <v>428</v>
      </c>
    </row>
    <row r="1398" spans="1:10" x14ac:dyDescent="0.35">
      <c r="A1398">
        <v>730</v>
      </c>
      <c r="B1398" t="s">
        <v>603</v>
      </c>
      <c r="C1398">
        <v>0</v>
      </c>
      <c r="D1398">
        <v>0</v>
      </c>
      <c r="E1398">
        <v>0</v>
      </c>
      <c r="F1398">
        <v>0</v>
      </c>
      <c r="G1398">
        <v>0</v>
      </c>
      <c r="H1398">
        <v>0</v>
      </c>
      <c r="I1398">
        <v>0</v>
      </c>
      <c r="J1398" t="s">
        <v>428</v>
      </c>
    </row>
    <row r="1399" spans="1:10" x14ac:dyDescent="0.35">
      <c r="A1399">
        <v>740</v>
      </c>
      <c r="B1399" t="s">
        <v>604</v>
      </c>
      <c r="C1399">
        <v>-1660519.36</v>
      </c>
      <c r="D1399">
        <v>-1666907</v>
      </c>
      <c r="E1399">
        <v>6387.64</v>
      </c>
      <c r="F1399">
        <v>0</v>
      </c>
      <c r="G1399">
        <v>0</v>
      </c>
      <c r="H1399">
        <v>-1712974.97</v>
      </c>
      <c r="I1399">
        <v>-1660519.36</v>
      </c>
      <c r="J1399" t="s">
        <v>428</v>
      </c>
    </row>
    <row r="1400" spans="1:10" x14ac:dyDescent="0.35">
      <c r="A1400">
        <v>750</v>
      </c>
      <c r="B1400" t="s">
        <v>522</v>
      </c>
      <c r="C1400">
        <v>33297.230000000003</v>
      </c>
      <c r="D1400">
        <v>-5314</v>
      </c>
      <c r="E1400">
        <v>38611.230000000003</v>
      </c>
      <c r="F1400">
        <v>33297.230000000003</v>
      </c>
      <c r="G1400">
        <v>33297.230000000003</v>
      </c>
      <c r="H1400">
        <v>52455.61</v>
      </c>
      <c r="I1400">
        <v>0</v>
      </c>
      <c r="J1400" t="s">
        <v>428</v>
      </c>
    </row>
    <row r="1401" spans="1:10" x14ac:dyDescent="0.35">
      <c r="A1401">
        <v>760</v>
      </c>
      <c r="B1401" t="s">
        <v>605</v>
      </c>
      <c r="C1401">
        <v>399500</v>
      </c>
      <c r="D1401">
        <v>0</v>
      </c>
      <c r="E1401">
        <v>399500</v>
      </c>
      <c r="F1401">
        <v>0</v>
      </c>
      <c r="G1401">
        <v>0</v>
      </c>
      <c r="H1401">
        <v>399500</v>
      </c>
      <c r="I1401">
        <v>399500</v>
      </c>
      <c r="J1401" t="s">
        <v>428</v>
      </c>
    </row>
    <row r="1402" spans="1:10" x14ac:dyDescent="0.35">
      <c r="A1402">
        <v>770</v>
      </c>
      <c r="B1402"/>
      <c r="C1402">
        <v>0</v>
      </c>
      <c r="D1402">
        <v>0</v>
      </c>
      <c r="E1402">
        <v>0</v>
      </c>
      <c r="F1402">
        <v>0</v>
      </c>
      <c r="G1402">
        <v>0</v>
      </c>
      <c r="H1402">
        <v>0</v>
      </c>
      <c r="I1402">
        <v>0</v>
      </c>
      <c r="J1402" t="s">
        <v>428</v>
      </c>
    </row>
    <row r="1403" spans="1:10" x14ac:dyDescent="0.35">
      <c r="A1403">
        <v>800</v>
      </c>
      <c r="B1403" t="s">
        <v>606</v>
      </c>
      <c r="C1403">
        <v>-1226722.1299999999</v>
      </c>
      <c r="D1403">
        <v>-1671221</v>
      </c>
      <c r="E1403">
        <v>444498.87</v>
      </c>
      <c r="F1403">
        <v>33297.230000000003</v>
      </c>
      <c r="G1403">
        <v>33297.230000000003</v>
      </c>
      <c r="H1403">
        <v>-1260019.3600000001</v>
      </c>
      <c r="I1403">
        <v>-1260019.3600000001</v>
      </c>
      <c r="J1403" t="s">
        <v>428</v>
      </c>
    </row>
    <row r="1404" spans="1:10" x14ac:dyDescent="0.35">
      <c r="A1404">
        <v>900</v>
      </c>
      <c r="B1404" t="s">
        <v>607</v>
      </c>
      <c r="C1404">
        <v>697953.96</v>
      </c>
      <c r="D1404">
        <v>446419</v>
      </c>
      <c r="E1404">
        <v>251534.96</v>
      </c>
      <c r="F1404">
        <v>-148522.03</v>
      </c>
      <c r="G1404">
        <v>-148522.03</v>
      </c>
      <c r="H1404">
        <v>846475.99</v>
      </c>
      <c r="I1404">
        <v>846475.99</v>
      </c>
      <c r="J1404" t="s">
        <v>428</v>
      </c>
    </row>
    <row r="1405" spans="1:10" x14ac:dyDescent="0.35">
      <c r="A1405">
        <v>1000</v>
      </c>
      <c r="B1405" t="s">
        <v>558</v>
      </c>
      <c r="C1405">
        <v>0</v>
      </c>
      <c r="D1405">
        <v>399906</v>
      </c>
      <c r="E1405">
        <v>-399906</v>
      </c>
      <c r="F1405">
        <v>0</v>
      </c>
      <c r="G1405">
        <v>0</v>
      </c>
      <c r="H1405">
        <v>0</v>
      </c>
      <c r="I1405">
        <v>0</v>
      </c>
      <c r="J1405" t="s">
        <v>428</v>
      </c>
    </row>
    <row r="1406" spans="1:10" x14ac:dyDescent="0.35">
      <c r="A1406" t="s">
        <v>532</v>
      </c>
      <c r="B1406" t="s">
        <v>416</v>
      </c>
      <c r="C1406" t="s">
        <v>537</v>
      </c>
      <c r="D1406" t="s">
        <v>538</v>
      </c>
      <c r="E1406" t="s">
        <v>539</v>
      </c>
      <c r="F1406" t="s">
        <v>540</v>
      </c>
      <c r="G1406" t="s">
        <v>541</v>
      </c>
      <c r="H1406" t="s">
        <v>542</v>
      </c>
      <c r="I1406" t="s">
        <v>543</v>
      </c>
      <c r="J1406" t="s">
        <v>121</v>
      </c>
    </row>
    <row r="1407" spans="1:10" x14ac:dyDescent="0.35">
      <c r="A1407">
        <v>10</v>
      </c>
      <c r="B1407" t="s">
        <v>544</v>
      </c>
      <c r="C1407">
        <v>0</v>
      </c>
      <c r="D1407">
        <v>0</v>
      </c>
      <c r="E1407">
        <v>0</v>
      </c>
      <c r="F1407">
        <v>0</v>
      </c>
      <c r="G1407">
        <v>0</v>
      </c>
      <c r="H1407">
        <v>0</v>
      </c>
      <c r="I1407">
        <v>0</v>
      </c>
      <c r="J1407" t="s">
        <v>428</v>
      </c>
    </row>
    <row r="1408" spans="1:10" x14ac:dyDescent="0.35">
      <c r="A1408">
        <v>20</v>
      </c>
      <c r="B1408" t="s">
        <v>562</v>
      </c>
      <c r="C1408">
        <v>52307.199999999997</v>
      </c>
      <c r="D1408">
        <v>0</v>
      </c>
      <c r="E1408">
        <v>52307.199999999997</v>
      </c>
      <c r="F1408">
        <v>-365904.98</v>
      </c>
      <c r="G1408">
        <v>-365904.98</v>
      </c>
      <c r="H1408">
        <v>418212.18</v>
      </c>
      <c r="I1408">
        <v>418212.18</v>
      </c>
      <c r="J1408" t="s">
        <v>428</v>
      </c>
    </row>
    <row r="1409" spans="1:10" x14ac:dyDescent="0.35">
      <c r="A1409">
        <v>30</v>
      </c>
      <c r="B1409" t="s">
        <v>563</v>
      </c>
      <c r="C1409">
        <v>0</v>
      </c>
      <c r="D1409">
        <v>0</v>
      </c>
      <c r="E1409">
        <v>0</v>
      </c>
      <c r="F1409">
        <v>0</v>
      </c>
      <c r="G1409">
        <v>0</v>
      </c>
      <c r="H1409">
        <v>0</v>
      </c>
      <c r="I1409">
        <v>0</v>
      </c>
      <c r="J1409" t="s">
        <v>428</v>
      </c>
    </row>
    <row r="1410" spans="1:10" x14ac:dyDescent="0.35">
      <c r="A1410">
        <v>40</v>
      </c>
      <c r="B1410" t="s">
        <v>564</v>
      </c>
      <c r="C1410">
        <v>0</v>
      </c>
      <c r="D1410">
        <v>0</v>
      </c>
      <c r="E1410">
        <v>0</v>
      </c>
      <c r="F1410">
        <v>0</v>
      </c>
      <c r="G1410">
        <v>0</v>
      </c>
      <c r="H1410">
        <v>0</v>
      </c>
      <c r="I1410">
        <v>0</v>
      </c>
      <c r="J1410" t="s">
        <v>428</v>
      </c>
    </row>
    <row r="1411" spans="1:10" x14ac:dyDescent="0.35">
      <c r="A1411">
        <v>50</v>
      </c>
      <c r="B1411" t="s">
        <v>565</v>
      </c>
      <c r="C1411">
        <v>4342478.1900000004</v>
      </c>
      <c r="D1411">
        <v>0</v>
      </c>
      <c r="E1411">
        <v>4342478.1900000004</v>
      </c>
      <c r="F1411">
        <v>55000</v>
      </c>
      <c r="G1411">
        <v>55000</v>
      </c>
      <c r="H1411">
        <v>4287478.1900000004</v>
      </c>
      <c r="I1411">
        <v>4287478.1900000004</v>
      </c>
      <c r="J1411" t="s">
        <v>428</v>
      </c>
    </row>
    <row r="1412" spans="1:10" x14ac:dyDescent="0.35">
      <c r="A1412">
        <v>60</v>
      </c>
      <c r="B1412" t="s">
        <v>198</v>
      </c>
      <c r="C1412">
        <v>0</v>
      </c>
      <c r="D1412">
        <v>0</v>
      </c>
      <c r="E1412">
        <v>0</v>
      </c>
      <c r="F1412">
        <v>0</v>
      </c>
      <c r="G1412">
        <v>0</v>
      </c>
      <c r="H1412">
        <v>0</v>
      </c>
      <c r="I1412">
        <v>0</v>
      </c>
      <c r="J1412" t="s">
        <v>428</v>
      </c>
    </row>
    <row r="1413" spans="1:10" x14ac:dyDescent="0.35">
      <c r="A1413">
        <v>70</v>
      </c>
      <c r="B1413" t="s">
        <v>566</v>
      </c>
      <c r="C1413">
        <v>14055.57</v>
      </c>
      <c r="D1413">
        <v>0</v>
      </c>
      <c r="E1413">
        <v>14055.57</v>
      </c>
      <c r="F1413">
        <v>-611.11</v>
      </c>
      <c r="G1413">
        <v>-611.11</v>
      </c>
      <c r="H1413">
        <v>14666.68</v>
      </c>
      <c r="I1413">
        <v>14666.68</v>
      </c>
      <c r="J1413" t="s">
        <v>428</v>
      </c>
    </row>
    <row r="1414" spans="1:10" x14ac:dyDescent="0.35">
      <c r="A1414">
        <v>80</v>
      </c>
      <c r="B1414" t="s">
        <v>567</v>
      </c>
      <c r="C1414">
        <v>0</v>
      </c>
      <c r="D1414">
        <v>0</v>
      </c>
      <c r="E1414">
        <v>0</v>
      </c>
      <c r="F1414">
        <v>0</v>
      </c>
      <c r="G1414">
        <v>0</v>
      </c>
      <c r="H1414">
        <v>0</v>
      </c>
      <c r="I1414">
        <v>0</v>
      </c>
      <c r="J1414" t="s">
        <v>428</v>
      </c>
    </row>
    <row r="1415" spans="1:10" x14ac:dyDescent="0.35">
      <c r="A1415">
        <v>100</v>
      </c>
      <c r="B1415" t="s">
        <v>568</v>
      </c>
      <c r="C1415">
        <v>4408840.96</v>
      </c>
      <c r="D1415">
        <v>0</v>
      </c>
      <c r="E1415">
        <v>4408840.96</v>
      </c>
      <c r="F1415">
        <v>-311516.09000000003</v>
      </c>
      <c r="G1415">
        <v>-311516.09000000003</v>
      </c>
      <c r="H1415">
        <v>4720357.05</v>
      </c>
      <c r="I1415">
        <v>4720357.05</v>
      </c>
      <c r="J1415" t="s">
        <v>428</v>
      </c>
    </row>
    <row r="1416" spans="1:10" x14ac:dyDescent="0.35">
      <c r="A1416">
        <v>110</v>
      </c>
      <c r="B1416" t="s">
        <v>569</v>
      </c>
      <c r="C1416">
        <v>0</v>
      </c>
      <c r="D1416">
        <v>0</v>
      </c>
      <c r="E1416">
        <v>0</v>
      </c>
      <c r="F1416">
        <v>0</v>
      </c>
      <c r="G1416">
        <v>0</v>
      </c>
      <c r="H1416">
        <v>0</v>
      </c>
      <c r="I1416">
        <v>0</v>
      </c>
      <c r="J1416" t="s">
        <v>428</v>
      </c>
    </row>
    <row r="1417" spans="1:10" x14ac:dyDescent="0.35">
      <c r="A1417">
        <v>120</v>
      </c>
      <c r="B1417" t="s">
        <v>570</v>
      </c>
      <c r="C1417">
        <v>1517486</v>
      </c>
      <c r="D1417">
        <v>0</v>
      </c>
      <c r="E1417">
        <v>1517486</v>
      </c>
      <c r="F1417">
        <v>0</v>
      </c>
      <c r="G1417">
        <v>0</v>
      </c>
      <c r="H1417">
        <v>1517486</v>
      </c>
      <c r="I1417">
        <v>1517486</v>
      </c>
      <c r="J1417" t="s">
        <v>428</v>
      </c>
    </row>
    <row r="1418" spans="1:10" x14ac:dyDescent="0.35">
      <c r="A1418">
        <v>130</v>
      </c>
      <c r="B1418" t="s">
        <v>571</v>
      </c>
      <c r="C1418">
        <v>2363637.8199999998</v>
      </c>
      <c r="D1418">
        <v>0</v>
      </c>
      <c r="E1418">
        <v>2363637.8199999998</v>
      </c>
      <c r="F1418">
        <v>0</v>
      </c>
      <c r="G1418">
        <v>0</v>
      </c>
      <c r="H1418">
        <v>2363637.8199999998</v>
      </c>
      <c r="I1418">
        <v>2363637.8199999998</v>
      </c>
      <c r="J1418" t="s">
        <v>428</v>
      </c>
    </row>
    <row r="1419" spans="1:10" x14ac:dyDescent="0.35">
      <c r="A1419">
        <v>140</v>
      </c>
      <c r="B1419" t="s">
        <v>572</v>
      </c>
      <c r="C1419">
        <v>0</v>
      </c>
      <c r="D1419">
        <v>0</v>
      </c>
      <c r="E1419">
        <v>0</v>
      </c>
      <c r="F1419">
        <v>0</v>
      </c>
      <c r="G1419">
        <v>0</v>
      </c>
      <c r="H1419">
        <v>0</v>
      </c>
      <c r="I1419">
        <v>0</v>
      </c>
      <c r="J1419" t="s">
        <v>428</v>
      </c>
    </row>
    <row r="1420" spans="1:10" x14ac:dyDescent="0.35">
      <c r="A1420">
        <v>150</v>
      </c>
      <c r="B1420" t="s">
        <v>573</v>
      </c>
      <c r="C1420">
        <v>0</v>
      </c>
      <c r="D1420">
        <v>0</v>
      </c>
      <c r="E1420">
        <v>0</v>
      </c>
      <c r="F1420">
        <v>0</v>
      </c>
      <c r="G1420">
        <v>0</v>
      </c>
      <c r="H1420">
        <v>0</v>
      </c>
      <c r="I1420">
        <v>0</v>
      </c>
      <c r="J1420" t="s">
        <v>428</v>
      </c>
    </row>
    <row r="1421" spans="1:10" x14ac:dyDescent="0.35">
      <c r="A1421">
        <v>160</v>
      </c>
      <c r="B1421" t="s">
        <v>574</v>
      </c>
      <c r="C1421">
        <v>0</v>
      </c>
      <c r="D1421">
        <v>0</v>
      </c>
      <c r="E1421">
        <v>0</v>
      </c>
      <c r="F1421">
        <v>0</v>
      </c>
      <c r="G1421">
        <v>0</v>
      </c>
      <c r="H1421">
        <v>0</v>
      </c>
      <c r="I1421">
        <v>0</v>
      </c>
      <c r="J1421" t="s">
        <v>428</v>
      </c>
    </row>
    <row r="1422" spans="1:10" x14ac:dyDescent="0.35">
      <c r="A1422">
        <v>170</v>
      </c>
      <c r="B1422" t="s">
        <v>575</v>
      </c>
      <c r="C1422">
        <v>0</v>
      </c>
      <c r="D1422">
        <v>0</v>
      </c>
      <c r="E1422">
        <v>0</v>
      </c>
      <c r="F1422">
        <v>0</v>
      </c>
      <c r="G1422">
        <v>0</v>
      </c>
      <c r="H1422">
        <v>0</v>
      </c>
      <c r="I1422">
        <v>0</v>
      </c>
      <c r="J1422" t="s">
        <v>428</v>
      </c>
    </row>
    <row r="1423" spans="1:10" x14ac:dyDescent="0.35">
      <c r="A1423">
        <v>180</v>
      </c>
      <c r="B1423" t="s">
        <v>576</v>
      </c>
      <c r="C1423">
        <v>6523.8</v>
      </c>
      <c r="D1423">
        <v>0</v>
      </c>
      <c r="E1423">
        <v>6523.8</v>
      </c>
      <c r="F1423">
        <v>0</v>
      </c>
      <c r="G1423">
        <v>0</v>
      </c>
      <c r="H1423">
        <v>6523.8</v>
      </c>
      <c r="I1423">
        <v>6523.8</v>
      </c>
      <c r="J1423" t="s">
        <v>428</v>
      </c>
    </row>
    <row r="1424" spans="1:10" x14ac:dyDescent="0.35">
      <c r="A1424">
        <v>190</v>
      </c>
      <c r="B1424" t="s">
        <v>577</v>
      </c>
      <c r="C1424">
        <v>-160889.21</v>
      </c>
      <c r="D1424">
        <v>0</v>
      </c>
      <c r="E1424">
        <v>-160889.21</v>
      </c>
      <c r="F1424">
        <v>-2513.17</v>
      </c>
      <c r="G1424">
        <v>-2513.17</v>
      </c>
      <c r="H1424">
        <v>-158376.04</v>
      </c>
      <c r="I1424">
        <v>-158376.04</v>
      </c>
      <c r="J1424" t="s">
        <v>428</v>
      </c>
    </row>
    <row r="1425" spans="1:10" x14ac:dyDescent="0.35">
      <c r="A1425">
        <v>200</v>
      </c>
      <c r="B1425" t="s">
        <v>578</v>
      </c>
      <c r="C1425">
        <v>3726758.41</v>
      </c>
      <c r="D1425">
        <v>0</v>
      </c>
      <c r="E1425">
        <v>3726758.41</v>
      </c>
      <c r="F1425">
        <v>-2513.17</v>
      </c>
      <c r="G1425">
        <v>-2513.17</v>
      </c>
      <c r="H1425">
        <v>3729271.58</v>
      </c>
      <c r="I1425">
        <v>3729271.58</v>
      </c>
      <c r="J1425" t="s">
        <v>428</v>
      </c>
    </row>
    <row r="1426" spans="1:10" x14ac:dyDescent="0.35">
      <c r="A1426">
        <v>210</v>
      </c>
      <c r="B1426" t="s">
        <v>579</v>
      </c>
      <c r="C1426">
        <v>0</v>
      </c>
      <c r="D1426">
        <v>0</v>
      </c>
      <c r="E1426">
        <v>0</v>
      </c>
      <c r="F1426">
        <v>0</v>
      </c>
      <c r="G1426">
        <v>0</v>
      </c>
      <c r="H1426">
        <v>0</v>
      </c>
      <c r="I1426">
        <v>0</v>
      </c>
      <c r="J1426" t="s">
        <v>428</v>
      </c>
    </row>
    <row r="1427" spans="1:10" x14ac:dyDescent="0.35">
      <c r="A1427">
        <v>220</v>
      </c>
      <c r="B1427" t="s">
        <v>580</v>
      </c>
      <c r="C1427">
        <v>0</v>
      </c>
      <c r="D1427">
        <v>0</v>
      </c>
      <c r="E1427">
        <v>0</v>
      </c>
      <c r="F1427">
        <v>0</v>
      </c>
      <c r="G1427">
        <v>0</v>
      </c>
      <c r="H1427">
        <v>0</v>
      </c>
      <c r="I1427">
        <v>0</v>
      </c>
      <c r="J1427" t="s">
        <v>428</v>
      </c>
    </row>
    <row r="1428" spans="1:10" x14ac:dyDescent="0.35">
      <c r="A1428">
        <v>230</v>
      </c>
      <c r="B1428" t="s">
        <v>581</v>
      </c>
      <c r="C1428">
        <v>-3786943</v>
      </c>
      <c r="D1428">
        <v>0</v>
      </c>
      <c r="E1428">
        <v>-3786943</v>
      </c>
      <c r="F1428">
        <v>0</v>
      </c>
      <c r="G1428">
        <v>0</v>
      </c>
      <c r="H1428">
        <v>-3786943</v>
      </c>
      <c r="I1428">
        <v>-3786943</v>
      </c>
      <c r="J1428" t="s">
        <v>428</v>
      </c>
    </row>
    <row r="1429" spans="1:10" x14ac:dyDescent="0.35">
      <c r="A1429">
        <v>240</v>
      </c>
      <c r="B1429" t="s">
        <v>582</v>
      </c>
      <c r="C1429">
        <v>-6523.8</v>
      </c>
      <c r="D1429">
        <v>0</v>
      </c>
      <c r="E1429">
        <v>-6523.8</v>
      </c>
      <c r="F1429">
        <v>0</v>
      </c>
      <c r="G1429">
        <v>0</v>
      </c>
      <c r="H1429">
        <v>-6523.8</v>
      </c>
      <c r="I1429">
        <v>-6523.8</v>
      </c>
      <c r="J1429" t="s">
        <v>428</v>
      </c>
    </row>
    <row r="1430" spans="1:10" x14ac:dyDescent="0.35">
      <c r="A1430">
        <v>250</v>
      </c>
      <c r="B1430" t="s">
        <v>583</v>
      </c>
      <c r="C1430">
        <v>-3793466.8</v>
      </c>
      <c r="D1430">
        <v>0</v>
      </c>
      <c r="E1430">
        <v>-3793466.8</v>
      </c>
      <c r="F1430">
        <v>0</v>
      </c>
      <c r="G1430">
        <v>0</v>
      </c>
      <c r="H1430">
        <v>-3793466.8</v>
      </c>
      <c r="I1430">
        <v>-3793466.8</v>
      </c>
      <c r="J1430" t="s">
        <v>428</v>
      </c>
    </row>
    <row r="1431" spans="1:10" x14ac:dyDescent="0.35">
      <c r="A1431">
        <v>260</v>
      </c>
      <c r="B1431" t="s">
        <v>584</v>
      </c>
      <c r="C1431">
        <v>0</v>
      </c>
      <c r="D1431">
        <v>0</v>
      </c>
      <c r="E1431">
        <v>0</v>
      </c>
      <c r="F1431">
        <v>0</v>
      </c>
      <c r="G1431">
        <v>0</v>
      </c>
      <c r="H1431">
        <v>0</v>
      </c>
      <c r="I1431">
        <v>0</v>
      </c>
      <c r="J1431" t="s">
        <v>428</v>
      </c>
    </row>
    <row r="1432" spans="1:10" x14ac:dyDescent="0.35">
      <c r="A1432">
        <v>270</v>
      </c>
      <c r="B1432" t="s">
        <v>585</v>
      </c>
      <c r="C1432">
        <v>480463</v>
      </c>
      <c r="D1432">
        <v>0</v>
      </c>
      <c r="E1432">
        <v>480463</v>
      </c>
      <c r="F1432">
        <v>325000</v>
      </c>
      <c r="G1432">
        <v>325000</v>
      </c>
      <c r="H1432">
        <v>155463</v>
      </c>
      <c r="I1432">
        <v>155463</v>
      </c>
      <c r="J1432" t="s">
        <v>428</v>
      </c>
    </row>
    <row r="1433" spans="1:10" x14ac:dyDescent="0.35">
      <c r="A1433">
        <v>280</v>
      </c>
      <c r="B1433" t="s">
        <v>586</v>
      </c>
      <c r="C1433">
        <v>480463</v>
      </c>
      <c r="D1433">
        <v>0</v>
      </c>
      <c r="E1433">
        <v>480463</v>
      </c>
      <c r="F1433">
        <v>325000</v>
      </c>
      <c r="G1433">
        <v>325000</v>
      </c>
      <c r="H1433">
        <v>155463</v>
      </c>
      <c r="I1433">
        <v>155463</v>
      </c>
      <c r="J1433" t="s">
        <v>428</v>
      </c>
    </row>
    <row r="1434" spans="1:10" x14ac:dyDescent="0.35">
      <c r="A1434">
        <v>400</v>
      </c>
      <c r="B1434" t="s">
        <v>587</v>
      </c>
      <c r="C1434">
        <v>4822595.57</v>
      </c>
      <c r="D1434">
        <v>0</v>
      </c>
      <c r="E1434">
        <v>4822595.57</v>
      </c>
      <c r="F1434">
        <v>10970.74</v>
      </c>
      <c r="G1434">
        <v>10970.74</v>
      </c>
      <c r="H1434">
        <v>4811624.83</v>
      </c>
      <c r="I1434">
        <v>4811624.83</v>
      </c>
      <c r="J1434" t="s">
        <v>428</v>
      </c>
    </row>
    <row r="1435" spans="1:10" x14ac:dyDescent="0.35">
      <c r="A1435">
        <v>410</v>
      </c>
      <c r="B1435" t="s">
        <v>588</v>
      </c>
      <c r="C1435">
        <v>0</v>
      </c>
      <c r="D1435">
        <v>0</v>
      </c>
      <c r="E1435">
        <v>0</v>
      </c>
      <c r="F1435">
        <v>0</v>
      </c>
      <c r="G1435">
        <v>0</v>
      </c>
      <c r="H1435">
        <v>0</v>
      </c>
      <c r="I1435">
        <v>0</v>
      </c>
      <c r="J1435" t="s">
        <v>428</v>
      </c>
    </row>
    <row r="1436" spans="1:10" x14ac:dyDescent="0.35">
      <c r="A1436">
        <v>420</v>
      </c>
      <c r="B1436" t="s">
        <v>589</v>
      </c>
      <c r="C1436">
        <v>386.53</v>
      </c>
      <c r="D1436">
        <v>0</v>
      </c>
      <c r="E1436">
        <v>386.53</v>
      </c>
      <c r="F1436">
        <v>0</v>
      </c>
      <c r="G1436">
        <v>0</v>
      </c>
      <c r="H1436">
        <v>386.53</v>
      </c>
      <c r="I1436">
        <v>386.53</v>
      </c>
      <c r="J1436" t="s">
        <v>428</v>
      </c>
    </row>
    <row r="1437" spans="1:10" x14ac:dyDescent="0.35">
      <c r="A1437">
        <v>430</v>
      </c>
      <c r="B1437" t="s">
        <v>590</v>
      </c>
      <c r="C1437">
        <v>0</v>
      </c>
      <c r="D1437">
        <v>0</v>
      </c>
      <c r="E1437">
        <v>0</v>
      </c>
      <c r="F1437">
        <v>0</v>
      </c>
      <c r="G1437">
        <v>0</v>
      </c>
      <c r="H1437">
        <v>0</v>
      </c>
      <c r="I1437">
        <v>0</v>
      </c>
      <c r="J1437" t="s">
        <v>428</v>
      </c>
    </row>
    <row r="1438" spans="1:10" x14ac:dyDescent="0.35">
      <c r="A1438">
        <v>440</v>
      </c>
      <c r="B1438" t="s">
        <v>591</v>
      </c>
      <c r="C1438">
        <v>0</v>
      </c>
      <c r="D1438">
        <v>0</v>
      </c>
      <c r="E1438">
        <v>0</v>
      </c>
      <c r="F1438">
        <v>0</v>
      </c>
      <c r="G1438">
        <v>0</v>
      </c>
      <c r="H1438">
        <v>0</v>
      </c>
      <c r="I1438">
        <v>0</v>
      </c>
      <c r="J1438" t="s">
        <v>428</v>
      </c>
    </row>
    <row r="1439" spans="1:10" x14ac:dyDescent="0.35">
      <c r="A1439">
        <v>450</v>
      </c>
      <c r="B1439" t="s">
        <v>592</v>
      </c>
      <c r="C1439">
        <v>2246479.7400000002</v>
      </c>
      <c r="D1439">
        <v>0</v>
      </c>
      <c r="E1439">
        <v>2246479.7400000002</v>
      </c>
      <c r="F1439">
        <v>0</v>
      </c>
      <c r="G1439">
        <v>0</v>
      </c>
      <c r="H1439">
        <v>2246479.7400000002</v>
      </c>
      <c r="I1439">
        <v>2246479.7400000002</v>
      </c>
      <c r="J1439" t="s">
        <v>428</v>
      </c>
    </row>
    <row r="1440" spans="1:10" x14ac:dyDescent="0.35">
      <c r="A1440">
        <v>460</v>
      </c>
      <c r="B1440" t="s">
        <v>593</v>
      </c>
      <c r="C1440">
        <v>0</v>
      </c>
      <c r="D1440">
        <v>0</v>
      </c>
      <c r="E1440">
        <v>0</v>
      </c>
      <c r="F1440">
        <v>0</v>
      </c>
      <c r="G1440">
        <v>0</v>
      </c>
      <c r="H1440">
        <v>0</v>
      </c>
      <c r="I1440">
        <v>0</v>
      </c>
      <c r="J1440" t="s">
        <v>428</v>
      </c>
    </row>
    <row r="1441" spans="1:10" x14ac:dyDescent="0.35">
      <c r="A1441">
        <v>500</v>
      </c>
      <c r="B1441" t="s">
        <v>594</v>
      </c>
      <c r="C1441">
        <v>2246866.27</v>
      </c>
      <c r="D1441">
        <v>0</v>
      </c>
      <c r="E1441">
        <v>2246866.27</v>
      </c>
      <c r="F1441">
        <v>0</v>
      </c>
      <c r="G1441">
        <v>0</v>
      </c>
      <c r="H1441">
        <v>2246866.27</v>
      </c>
      <c r="I1441">
        <v>2246866.27</v>
      </c>
      <c r="J1441" t="s">
        <v>428</v>
      </c>
    </row>
    <row r="1442" spans="1:10" x14ac:dyDescent="0.35">
      <c r="A1442">
        <v>510</v>
      </c>
      <c r="B1442" t="s">
        <v>595</v>
      </c>
      <c r="C1442">
        <v>0</v>
      </c>
      <c r="D1442">
        <v>0</v>
      </c>
      <c r="E1442">
        <v>0</v>
      </c>
      <c r="F1442">
        <v>0</v>
      </c>
      <c r="G1442">
        <v>0</v>
      </c>
      <c r="H1442">
        <v>0</v>
      </c>
      <c r="I1442">
        <v>0</v>
      </c>
      <c r="J1442" t="s">
        <v>428</v>
      </c>
    </row>
    <row r="1443" spans="1:10" x14ac:dyDescent="0.35">
      <c r="A1443">
        <v>520</v>
      </c>
      <c r="B1443" t="s">
        <v>596</v>
      </c>
      <c r="C1443">
        <v>0</v>
      </c>
      <c r="D1443">
        <v>0</v>
      </c>
      <c r="E1443">
        <v>0</v>
      </c>
      <c r="F1443">
        <v>0</v>
      </c>
      <c r="G1443">
        <v>0</v>
      </c>
      <c r="H1443">
        <v>0</v>
      </c>
      <c r="I1443">
        <v>0</v>
      </c>
      <c r="J1443" t="s">
        <v>428</v>
      </c>
    </row>
    <row r="1444" spans="1:10" x14ac:dyDescent="0.35">
      <c r="A1444">
        <v>530</v>
      </c>
      <c r="B1444" t="s">
        <v>597</v>
      </c>
      <c r="C1444">
        <v>688129.53</v>
      </c>
      <c r="D1444">
        <v>0</v>
      </c>
      <c r="E1444">
        <v>688129.53</v>
      </c>
      <c r="F1444">
        <v>-4462.63</v>
      </c>
      <c r="G1444">
        <v>-4462.63</v>
      </c>
      <c r="H1444">
        <v>692592.16</v>
      </c>
      <c r="I1444">
        <v>692592.16</v>
      </c>
      <c r="J1444" t="s">
        <v>428</v>
      </c>
    </row>
    <row r="1445" spans="1:10" x14ac:dyDescent="0.35">
      <c r="A1445">
        <v>540</v>
      </c>
      <c r="B1445" t="s">
        <v>598</v>
      </c>
      <c r="C1445">
        <v>0</v>
      </c>
      <c r="D1445">
        <v>0</v>
      </c>
      <c r="E1445">
        <v>0</v>
      </c>
      <c r="F1445">
        <v>0</v>
      </c>
      <c r="G1445">
        <v>0</v>
      </c>
      <c r="H1445">
        <v>0</v>
      </c>
      <c r="I1445">
        <v>0</v>
      </c>
      <c r="J1445" t="s">
        <v>428</v>
      </c>
    </row>
    <row r="1446" spans="1:10" x14ac:dyDescent="0.35">
      <c r="A1446">
        <v>600</v>
      </c>
      <c r="B1446" t="s">
        <v>599</v>
      </c>
      <c r="C1446">
        <v>688129.53</v>
      </c>
      <c r="D1446">
        <v>0</v>
      </c>
      <c r="E1446">
        <v>688129.53</v>
      </c>
      <c r="F1446">
        <v>-4462.63</v>
      </c>
      <c r="G1446">
        <v>-4462.63</v>
      </c>
      <c r="H1446">
        <v>692592.16</v>
      </c>
      <c r="I1446">
        <v>692592.16</v>
      </c>
      <c r="J1446" t="s">
        <v>428</v>
      </c>
    </row>
    <row r="1447" spans="1:10" x14ac:dyDescent="0.35">
      <c r="A1447">
        <v>610</v>
      </c>
      <c r="B1447" t="s">
        <v>600</v>
      </c>
      <c r="C1447">
        <v>0</v>
      </c>
      <c r="D1447">
        <v>0</v>
      </c>
      <c r="E1447">
        <v>0</v>
      </c>
      <c r="F1447">
        <v>0</v>
      </c>
      <c r="G1447">
        <v>0</v>
      </c>
      <c r="H1447">
        <v>0</v>
      </c>
      <c r="I1447">
        <v>0</v>
      </c>
      <c r="J1447" t="s">
        <v>428</v>
      </c>
    </row>
    <row r="1448" spans="1:10" x14ac:dyDescent="0.35">
      <c r="A1448">
        <v>620</v>
      </c>
      <c r="B1448"/>
      <c r="C1448">
        <v>0</v>
      </c>
      <c r="D1448">
        <v>0</v>
      </c>
      <c r="E1448">
        <v>0</v>
      </c>
      <c r="F1448">
        <v>0</v>
      </c>
      <c r="G1448">
        <v>0</v>
      </c>
      <c r="H1448">
        <v>0</v>
      </c>
      <c r="I1448">
        <v>0</v>
      </c>
      <c r="J1448" t="s">
        <v>428</v>
      </c>
    </row>
    <row r="1449" spans="1:10" x14ac:dyDescent="0.35">
      <c r="A1449">
        <v>700</v>
      </c>
      <c r="B1449" t="s">
        <v>601</v>
      </c>
      <c r="C1449">
        <v>0</v>
      </c>
      <c r="D1449">
        <v>0</v>
      </c>
      <c r="E1449">
        <v>0</v>
      </c>
      <c r="F1449">
        <v>0</v>
      </c>
      <c r="G1449">
        <v>0</v>
      </c>
      <c r="H1449">
        <v>0</v>
      </c>
      <c r="I1449">
        <v>0</v>
      </c>
      <c r="J1449" t="s">
        <v>428</v>
      </c>
    </row>
    <row r="1450" spans="1:10" x14ac:dyDescent="0.35">
      <c r="A1450">
        <v>710</v>
      </c>
      <c r="B1450" t="s">
        <v>557</v>
      </c>
      <c r="C1450">
        <v>0</v>
      </c>
      <c r="D1450">
        <v>0</v>
      </c>
      <c r="E1450">
        <v>0</v>
      </c>
      <c r="F1450">
        <v>0</v>
      </c>
      <c r="G1450">
        <v>0</v>
      </c>
      <c r="H1450">
        <v>0</v>
      </c>
      <c r="I1450">
        <v>0</v>
      </c>
      <c r="J1450" t="s">
        <v>428</v>
      </c>
    </row>
    <row r="1451" spans="1:10" x14ac:dyDescent="0.35">
      <c r="A1451">
        <v>720</v>
      </c>
      <c r="B1451" t="s">
        <v>602</v>
      </c>
      <c r="C1451">
        <v>50000</v>
      </c>
      <c r="D1451">
        <v>0</v>
      </c>
      <c r="E1451">
        <v>50000</v>
      </c>
      <c r="F1451">
        <v>0</v>
      </c>
      <c r="G1451">
        <v>0</v>
      </c>
      <c r="H1451">
        <v>50000</v>
      </c>
      <c r="I1451">
        <v>50000</v>
      </c>
      <c r="J1451" t="s">
        <v>428</v>
      </c>
    </row>
    <row r="1452" spans="1:10" x14ac:dyDescent="0.35">
      <c r="A1452">
        <v>730</v>
      </c>
      <c r="B1452" t="s">
        <v>603</v>
      </c>
      <c r="C1452">
        <v>0</v>
      </c>
      <c r="D1452">
        <v>0</v>
      </c>
      <c r="E1452">
        <v>0</v>
      </c>
      <c r="F1452">
        <v>0</v>
      </c>
      <c r="G1452">
        <v>0</v>
      </c>
      <c r="H1452">
        <v>0</v>
      </c>
      <c r="I1452">
        <v>0</v>
      </c>
      <c r="J1452" t="s">
        <v>428</v>
      </c>
    </row>
    <row r="1453" spans="1:10" x14ac:dyDescent="0.35">
      <c r="A1453">
        <v>740</v>
      </c>
      <c r="B1453" t="s">
        <v>604</v>
      </c>
      <c r="C1453">
        <v>1235979.47</v>
      </c>
      <c r="D1453">
        <v>0</v>
      </c>
      <c r="E1453">
        <v>1235979.47</v>
      </c>
      <c r="F1453">
        <v>0</v>
      </c>
      <c r="G1453">
        <v>0</v>
      </c>
      <c r="H1453">
        <v>983413.61</v>
      </c>
      <c r="I1453">
        <v>1235979.47</v>
      </c>
      <c r="J1453" t="s">
        <v>428</v>
      </c>
    </row>
    <row r="1454" spans="1:10" x14ac:dyDescent="0.35">
      <c r="A1454">
        <v>750</v>
      </c>
      <c r="B1454" t="s">
        <v>522</v>
      </c>
      <c r="C1454">
        <v>15433.37</v>
      </c>
      <c r="D1454">
        <v>0</v>
      </c>
      <c r="E1454">
        <v>15433.37</v>
      </c>
      <c r="F1454">
        <v>15433.37</v>
      </c>
      <c r="G1454">
        <v>15433.37</v>
      </c>
      <c r="H1454">
        <v>252565.86</v>
      </c>
      <c r="I1454">
        <v>0</v>
      </c>
      <c r="J1454" t="s">
        <v>428</v>
      </c>
    </row>
    <row r="1455" spans="1:10" x14ac:dyDescent="0.35">
      <c r="A1455">
        <v>760</v>
      </c>
      <c r="B1455" t="s">
        <v>605</v>
      </c>
      <c r="C1455">
        <v>586186.93000000005</v>
      </c>
      <c r="D1455">
        <v>0</v>
      </c>
      <c r="E1455">
        <v>586186.93000000005</v>
      </c>
      <c r="F1455">
        <v>0</v>
      </c>
      <c r="G1455">
        <v>0</v>
      </c>
      <c r="H1455">
        <v>586186.93000000005</v>
      </c>
      <c r="I1455">
        <v>586186.93000000005</v>
      </c>
      <c r="J1455" t="s">
        <v>428</v>
      </c>
    </row>
    <row r="1456" spans="1:10" x14ac:dyDescent="0.35">
      <c r="A1456">
        <v>770</v>
      </c>
      <c r="B1456"/>
      <c r="C1456">
        <v>0</v>
      </c>
      <c r="D1456">
        <v>0</v>
      </c>
      <c r="E1456">
        <v>0</v>
      </c>
      <c r="F1456">
        <v>0</v>
      </c>
      <c r="G1456">
        <v>0</v>
      </c>
      <c r="H1456">
        <v>0</v>
      </c>
      <c r="I1456">
        <v>0</v>
      </c>
      <c r="J1456" t="s">
        <v>428</v>
      </c>
    </row>
    <row r="1457" spans="1:10" x14ac:dyDescent="0.35">
      <c r="A1457">
        <v>800</v>
      </c>
      <c r="B1457" t="s">
        <v>606</v>
      </c>
      <c r="C1457">
        <v>1887599.77</v>
      </c>
      <c r="D1457">
        <v>0</v>
      </c>
      <c r="E1457">
        <v>1887599.77</v>
      </c>
      <c r="F1457">
        <v>15433.37</v>
      </c>
      <c r="G1457">
        <v>15433.37</v>
      </c>
      <c r="H1457">
        <v>1872166.4</v>
      </c>
      <c r="I1457">
        <v>1872166.4</v>
      </c>
      <c r="J1457" t="s">
        <v>428</v>
      </c>
    </row>
    <row r="1458" spans="1:10" x14ac:dyDescent="0.35">
      <c r="A1458">
        <v>900</v>
      </c>
      <c r="B1458" t="s">
        <v>607</v>
      </c>
      <c r="C1458">
        <v>4822595.57</v>
      </c>
      <c r="D1458">
        <v>0</v>
      </c>
      <c r="E1458">
        <v>4822595.57</v>
      </c>
      <c r="F1458">
        <v>10970.74</v>
      </c>
      <c r="G1458">
        <v>10970.74</v>
      </c>
      <c r="H1458">
        <v>4811624.83</v>
      </c>
      <c r="I1458">
        <v>4811624.83</v>
      </c>
      <c r="J1458" t="s">
        <v>428</v>
      </c>
    </row>
    <row r="1459" spans="1:10" x14ac:dyDescent="0.35">
      <c r="A1459">
        <v>1000</v>
      </c>
      <c r="B1459" t="s">
        <v>558</v>
      </c>
      <c r="C1459">
        <v>0</v>
      </c>
      <c r="D1459">
        <v>0</v>
      </c>
      <c r="E1459">
        <v>0</v>
      </c>
      <c r="F1459">
        <v>0</v>
      </c>
      <c r="G1459">
        <v>0</v>
      </c>
      <c r="H1459">
        <v>0</v>
      </c>
      <c r="I1459">
        <v>0</v>
      </c>
      <c r="J1459" t="s">
        <v>428</v>
      </c>
    </row>
    <row r="1460" spans="1:10" x14ac:dyDescent="0.35">
      <c r="A1460" t="s">
        <v>533</v>
      </c>
      <c r="B1460" t="s">
        <v>416</v>
      </c>
      <c r="C1460" t="s">
        <v>537</v>
      </c>
      <c r="D1460" t="s">
        <v>538</v>
      </c>
      <c r="E1460" t="s">
        <v>539</v>
      </c>
      <c r="F1460" t="s">
        <v>540</v>
      </c>
      <c r="G1460" t="s">
        <v>541</v>
      </c>
      <c r="H1460" t="s">
        <v>542</v>
      </c>
      <c r="I1460" t="s">
        <v>543</v>
      </c>
      <c r="J1460" t="s">
        <v>121</v>
      </c>
    </row>
    <row r="1461" spans="1:10" x14ac:dyDescent="0.35">
      <c r="A1461">
        <v>10</v>
      </c>
      <c r="B1461" t="s">
        <v>544</v>
      </c>
      <c r="C1461">
        <v>0</v>
      </c>
      <c r="D1461">
        <v>0</v>
      </c>
      <c r="E1461">
        <v>0</v>
      </c>
      <c r="F1461">
        <v>0</v>
      </c>
      <c r="G1461">
        <v>0</v>
      </c>
      <c r="H1461">
        <v>0</v>
      </c>
      <c r="I1461">
        <v>0</v>
      </c>
      <c r="J1461" t="s">
        <v>428</v>
      </c>
    </row>
    <row r="1462" spans="1:10" x14ac:dyDescent="0.35">
      <c r="A1462">
        <v>20</v>
      </c>
      <c r="B1462" t="s">
        <v>562</v>
      </c>
      <c r="C1462">
        <v>69398.899999999994</v>
      </c>
      <c r="D1462">
        <v>54512</v>
      </c>
      <c r="E1462">
        <v>14886.9</v>
      </c>
      <c r="F1462">
        <v>-292670.81</v>
      </c>
      <c r="G1462">
        <v>-292670.81</v>
      </c>
      <c r="H1462">
        <v>362069.71</v>
      </c>
      <c r="I1462">
        <v>362069.71</v>
      </c>
      <c r="J1462" t="s">
        <v>428</v>
      </c>
    </row>
    <row r="1463" spans="1:10" x14ac:dyDescent="0.35">
      <c r="A1463">
        <v>30</v>
      </c>
      <c r="B1463" t="s">
        <v>563</v>
      </c>
      <c r="C1463">
        <v>0</v>
      </c>
      <c r="D1463">
        <v>0</v>
      </c>
      <c r="E1463">
        <v>0</v>
      </c>
      <c r="F1463">
        <v>0</v>
      </c>
      <c r="G1463">
        <v>0</v>
      </c>
      <c r="H1463">
        <v>0</v>
      </c>
      <c r="I1463">
        <v>0</v>
      </c>
      <c r="J1463" t="s">
        <v>428</v>
      </c>
    </row>
    <row r="1464" spans="1:10" x14ac:dyDescent="0.35">
      <c r="A1464">
        <v>40</v>
      </c>
      <c r="B1464" t="s">
        <v>564</v>
      </c>
      <c r="C1464">
        <v>203507.62</v>
      </c>
      <c r="D1464">
        <v>203179</v>
      </c>
      <c r="E1464">
        <v>328.62</v>
      </c>
      <c r="F1464">
        <v>19706.080000000002</v>
      </c>
      <c r="G1464">
        <v>19706.080000000002</v>
      </c>
      <c r="H1464">
        <v>183801.54</v>
      </c>
      <c r="I1464">
        <v>183801.54</v>
      </c>
      <c r="J1464" t="s">
        <v>428</v>
      </c>
    </row>
    <row r="1465" spans="1:10" x14ac:dyDescent="0.35">
      <c r="A1465">
        <v>50</v>
      </c>
      <c r="B1465" t="s">
        <v>565</v>
      </c>
      <c r="C1465">
        <v>0</v>
      </c>
      <c r="D1465">
        <v>0</v>
      </c>
      <c r="E1465">
        <v>0</v>
      </c>
      <c r="F1465">
        <v>0</v>
      </c>
      <c r="G1465">
        <v>0</v>
      </c>
      <c r="H1465">
        <v>0</v>
      </c>
      <c r="I1465">
        <v>0</v>
      </c>
      <c r="J1465" t="s">
        <v>428</v>
      </c>
    </row>
    <row r="1466" spans="1:10" x14ac:dyDescent="0.35">
      <c r="A1466">
        <v>60</v>
      </c>
      <c r="B1466" t="s">
        <v>198</v>
      </c>
      <c r="C1466">
        <v>30591.48</v>
      </c>
      <c r="D1466">
        <v>21854</v>
      </c>
      <c r="E1466">
        <v>8737.48</v>
      </c>
      <c r="F1466">
        <v>-2658.37</v>
      </c>
      <c r="G1466">
        <v>-2658.37</v>
      </c>
      <c r="H1466">
        <v>33249.85</v>
      </c>
      <c r="I1466">
        <v>33249.85</v>
      </c>
      <c r="J1466" t="s">
        <v>428</v>
      </c>
    </row>
    <row r="1467" spans="1:10" x14ac:dyDescent="0.35">
      <c r="A1467">
        <v>70</v>
      </c>
      <c r="B1467" t="s">
        <v>566</v>
      </c>
      <c r="C1467">
        <v>52147.519999999997</v>
      </c>
      <c r="D1467">
        <v>0</v>
      </c>
      <c r="E1467">
        <v>52147.519999999997</v>
      </c>
      <c r="F1467">
        <v>-699.12</v>
      </c>
      <c r="G1467">
        <v>-699.12</v>
      </c>
      <c r="H1467">
        <v>52846.64</v>
      </c>
      <c r="I1467">
        <v>52846.64</v>
      </c>
      <c r="J1467" t="s">
        <v>428</v>
      </c>
    </row>
    <row r="1468" spans="1:10" x14ac:dyDescent="0.35">
      <c r="A1468">
        <v>80</v>
      </c>
      <c r="B1468" t="s">
        <v>567</v>
      </c>
      <c r="C1468">
        <v>129183.34</v>
      </c>
      <c r="D1468">
        <v>138757</v>
      </c>
      <c r="E1468">
        <v>-9573.66</v>
      </c>
      <c r="F1468">
        <v>310404.55</v>
      </c>
      <c r="G1468">
        <v>310404.55</v>
      </c>
      <c r="H1468">
        <v>-181221.21</v>
      </c>
      <c r="I1468">
        <v>-181221.21</v>
      </c>
      <c r="J1468" t="s">
        <v>428</v>
      </c>
    </row>
    <row r="1469" spans="1:10" x14ac:dyDescent="0.35">
      <c r="A1469">
        <v>100</v>
      </c>
      <c r="B1469" t="s">
        <v>568</v>
      </c>
      <c r="C1469">
        <v>484828.86</v>
      </c>
      <c r="D1469">
        <v>418302</v>
      </c>
      <c r="E1469">
        <v>66526.86</v>
      </c>
      <c r="F1469">
        <v>34082.33</v>
      </c>
      <c r="G1469">
        <v>34082.33</v>
      </c>
      <c r="H1469">
        <v>450746.53</v>
      </c>
      <c r="I1469">
        <v>450746.53</v>
      </c>
      <c r="J1469" t="s">
        <v>428</v>
      </c>
    </row>
    <row r="1470" spans="1:10" x14ac:dyDescent="0.35">
      <c r="A1470">
        <v>110</v>
      </c>
      <c r="B1470" t="s">
        <v>569</v>
      </c>
      <c r="C1470">
        <v>0</v>
      </c>
      <c r="D1470">
        <v>0</v>
      </c>
      <c r="E1470">
        <v>0</v>
      </c>
      <c r="F1470">
        <v>0</v>
      </c>
      <c r="G1470">
        <v>0</v>
      </c>
      <c r="H1470">
        <v>0</v>
      </c>
      <c r="I1470">
        <v>0</v>
      </c>
      <c r="J1470" t="s">
        <v>428</v>
      </c>
    </row>
    <row r="1471" spans="1:10" x14ac:dyDescent="0.35">
      <c r="A1471">
        <v>120</v>
      </c>
      <c r="B1471" t="s">
        <v>570</v>
      </c>
      <c r="C1471">
        <v>0</v>
      </c>
      <c r="D1471">
        <v>0</v>
      </c>
      <c r="E1471">
        <v>0</v>
      </c>
      <c r="F1471">
        <v>0</v>
      </c>
      <c r="G1471">
        <v>0</v>
      </c>
      <c r="H1471">
        <v>0</v>
      </c>
      <c r="I1471">
        <v>0</v>
      </c>
      <c r="J1471" t="s">
        <v>428</v>
      </c>
    </row>
    <row r="1472" spans="1:10" x14ac:dyDescent="0.35">
      <c r="A1472">
        <v>130</v>
      </c>
      <c r="B1472" t="s">
        <v>571</v>
      </c>
      <c r="C1472">
        <v>0</v>
      </c>
      <c r="D1472">
        <v>0</v>
      </c>
      <c r="E1472">
        <v>0</v>
      </c>
      <c r="F1472">
        <v>0</v>
      </c>
      <c r="G1472">
        <v>0</v>
      </c>
      <c r="H1472">
        <v>0</v>
      </c>
      <c r="I1472">
        <v>0</v>
      </c>
      <c r="J1472" t="s">
        <v>428</v>
      </c>
    </row>
    <row r="1473" spans="1:10" x14ac:dyDescent="0.35">
      <c r="A1473">
        <v>140</v>
      </c>
      <c r="B1473" t="s">
        <v>572</v>
      </c>
      <c r="C1473">
        <v>0</v>
      </c>
      <c r="D1473">
        <v>449996</v>
      </c>
      <c r="E1473">
        <v>-449996</v>
      </c>
      <c r="F1473">
        <v>0</v>
      </c>
      <c r="G1473">
        <v>0</v>
      </c>
      <c r="H1473">
        <v>0</v>
      </c>
      <c r="I1473">
        <v>0</v>
      </c>
      <c r="J1473" t="s">
        <v>428</v>
      </c>
    </row>
    <row r="1474" spans="1:10" x14ac:dyDescent="0.35">
      <c r="A1474">
        <v>150</v>
      </c>
      <c r="B1474" t="s">
        <v>573</v>
      </c>
      <c r="C1474">
        <v>0</v>
      </c>
      <c r="D1474">
        <v>0</v>
      </c>
      <c r="E1474">
        <v>0</v>
      </c>
      <c r="F1474">
        <v>0</v>
      </c>
      <c r="G1474">
        <v>0</v>
      </c>
      <c r="H1474">
        <v>0</v>
      </c>
      <c r="I1474">
        <v>0</v>
      </c>
      <c r="J1474" t="s">
        <v>428</v>
      </c>
    </row>
    <row r="1475" spans="1:10" x14ac:dyDescent="0.35">
      <c r="A1475">
        <v>160</v>
      </c>
      <c r="B1475" t="s">
        <v>574</v>
      </c>
      <c r="C1475">
        <v>0</v>
      </c>
      <c r="D1475">
        <v>26859</v>
      </c>
      <c r="E1475">
        <v>-26859</v>
      </c>
      <c r="F1475">
        <v>0</v>
      </c>
      <c r="G1475">
        <v>0</v>
      </c>
      <c r="H1475">
        <v>0</v>
      </c>
      <c r="I1475">
        <v>0</v>
      </c>
      <c r="J1475" t="s">
        <v>428</v>
      </c>
    </row>
    <row r="1476" spans="1:10" x14ac:dyDescent="0.35">
      <c r="A1476">
        <v>170</v>
      </c>
      <c r="B1476" t="s">
        <v>575</v>
      </c>
      <c r="C1476">
        <v>460486.93</v>
      </c>
      <c r="D1476">
        <v>0</v>
      </c>
      <c r="E1476">
        <v>460486.93</v>
      </c>
      <c r="F1476">
        <v>9107.4599999999991</v>
      </c>
      <c r="G1476">
        <v>9107.4599999999991</v>
      </c>
      <c r="H1476">
        <v>451379.47</v>
      </c>
      <c r="I1476">
        <v>451379.47</v>
      </c>
      <c r="J1476" t="s">
        <v>428</v>
      </c>
    </row>
    <row r="1477" spans="1:10" x14ac:dyDescent="0.35">
      <c r="A1477">
        <v>180</v>
      </c>
      <c r="B1477" t="s">
        <v>576</v>
      </c>
      <c r="C1477">
        <v>366496</v>
      </c>
      <c r="D1477">
        <v>441615</v>
      </c>
      <c r="E1477">
        <v>-75119</v>
      </c>
      <c r="F1477">
        <v>0</v>
      </c>
      <c r="G1477">
        <v>0</v>
      </c>
      <c r="H1477">
        <v>366496</v>
      </c>
      <c r="I1477">
        <v>366496</v>
      </c>
      <c r="J1477" t="s">
        <v>428</v>
      </c>
    </row>
    <row r="1478" spans="1:10" x14ac:dyDescent="0.35">
      <c r="A1478">
        <v>190</v>
      </c>
      <c r="B1478" t="s">
        <v>577</v>
      </c>
      <c r="C1478">
        <v>-808445.26</v>
      </c>
      <c r="D1478">
        <v>-893163</v>
      </c>
      <c r="E1478">
        <v>84717.74</v>
      </c>
      <c r="F1478">
        <v>-5119.0200000000004</v>
      </c>
      <c r="G1478">
        <v>-5119.0200000000004</v>
      </c>
      <c r="H1478">
        <v>-803326.24</v>
      </c>
      <c r="I1478">
        <v>-803326.24</v>
      </c>
      <c r="J1478" t="s">
        <v>428</v>
      </c>
    </row>
    <row r="1479" spans="1:10" x14ac:dyDescent="0.35">
      <c r="A1479">
        <v>200</v>
      </c>
      <c r="B1479" t="s">
        <v>578</v>
      </c>
      <c r="C1479">
        <v>18537.669999999998</v>
      </c>
      <c r="D1479">
        <v>25307</v>
      </c>
      <c r="E1479">
        <v>-6769.33</v>
      </c>
      <c r="F1479">
        <v>3988.44</v>
      </c>
      <c r="G1479">
        <v>3988.44</v>
      </c>
      <c r="H1479">
        <v>14549.23</v>
      </c>
      <c r="I1479">
        <v>14549.23</v>
      </c>
      <c r="J1479" t="s">
        <v>428</v>
      </c>
    </row>
    <row r="1480" spans="1:10" x14ac:dyDescent="0.35">
      <c r="A1480">
        <v>210</v>
      </c>
      <c r="B1480" t="s">
        <v>579</v>
      </c>
      <c r="C1480">
        <v>0</v>
      </c>
      <c r="D1480">
        <v>0</v>
      </c>
      <c r="E1480">
        <v>0</v>
      </c>
      <c r="F1480">
        <v>0</v>
      </c>
      <c r="G1480">
        <v>0</v>
      </c>
      <c r="H1480">
        <v>0</v>
      </c>
      <c r="I1480">
        <v>0</v>
      </c>
      <c r="J1480" t="s">
        <v>428</v>
      </c>
    </row>
    <row r="1481" spans="1:10" x14ac:dyDescent="0.35">
      <c r="A1481">
        <v>220</v>
      </c>
      <c r="B1481" t="s">
        <v>580</v>
      </c>
      <c r="C1481">
        <v>0</v>
      </c>
      <c r="D1481">
        <v>0</v>
      </c>
      <c r="E1481">
        <v>0</v>
      </c>
      <c r="F1481">
        <v>0</v>
      </c>
      <c r="G1481">
        <v>0</v>
      </c>
      <c r="H1481">
        <v>0</v>
      </c>
      <c r="I1481">
        <v>0</v>
      </c>
      <c r="J1481" t="s">
        <v>428</v>
      </c>
    </row>
    <row r="1482" spans="1:10" x14ac:dyDescent="0.35">
      <c r="A1482">
        <v>230</v>
      </c>
      <c r="B1482" t="s">
        <v>581</v>
      </c>
      <c r="C1482">
        <v>473030.51</v>
      </c>
      <c r="D1482">
        <v>444010</v>
      </c>
      <c r="E1482">
        <v>29020.51</v>
      </c>
      <c r="F1482">
        <v>0</v>
      </c>
      <c r="G1482">
        <v>0</v>
      </c>
      <c r="H1482">
        <v>473030.51</v>
      </c>
      <c r="I1482">
        <v>473030.51</v>
      </c>
      <c r="J1482" t="s">
        <v>428</v>
      </c>
    </row>
    <row r="1483" spans="1:10" x14ac:dyDescent="0.35">
      <c r="A1483">
        <v>240</v>
      </c>
      <c r="B1483" t="s">
        <v>582</v>
      </c>
      <c r="C1483">
        <v>-370010.89</v>
      </c>
      <c r="D1483">
        <v>-288485</v>
      </c>
      <c r="E1483">
        <v>-81525.89</v>
      </c>
      <c r="F1483">
        <v>0</v>
      </c>
      <c r="G1483">
        <v>0</v>
      </c>
      <c r="H1483">
        <v>-370010.89</v>
      </c>
      <c r="I1483">
        <v>-370010.89</v>
      </c>
      <c r="J1483" t="s">
        <v>428</v>
      </c>
    </row>
    <row r="1484" spans="1:10" x14ac:dyDescent="0.35">
      <c r="A1484">
        <v>250</v>
      </c>
      <c r="B1484" t="s">
        <v>583</v>
      </c>
      <c r="C1484">
        <v>103019.62</v>
      </c>
      <c r="D1484">
        <v>155525</v>
      </c>
      <c r="E1484">
        <v>-52505.38</v>
      </c>
      <c r="F1484">
        <v>0</v>
      </c>
      <c r="G1484">
        <v>0</v>
      </c>
      <c r="H1484">
        <v>103019.62</v>
      </c>
      <c r="I1484">
        <v>103019.62</v>
      </c>
      <c r="J1484" t="s">
        <v>428</v>
      </c>
    </row>
    <row r="1485" spans="1:10" x14ac:dyDescent="0.35">
      <c r="A1485">
        <v>260</v>
      </c>
      <c r="B1485" t="s">
        <v>584</v>
      </c>
      <c r="C1485">
        <v>0</v>
      </c>
      <c r="D1485">
        <v>0</v>
      </c>
      <c r="E1485">
        <v>0</v>
      </c>
      <c r="F1485">
        <v>0</v>
      </c>
      <c r="G1485">
        <v>0</v>
      </c>
      <c r="H1485">
        <v>0</v>
      </c>
      <c r="I1485">
        <v>0</v>
      </c>
      <c r="J1485" t="s">
        <v>428</v>
      </c>
    </row>
    <row r="1486" spans="1:10" x14ac:dyDescent="0.35">
      <c r="A1486">
        <v>270</v>
      </c>
      <c r="B1486" t="s">
        <v>585</v>
      </c>
      <c r="C1486">
        <v>59118.67</v>
      </c>
      <c r="D1486">
        <v>0</v>
      </c>
      <c r="E1486">
        <v>59118.67</v>
      </c>
      <c r="F1486">
        <v>0</v>
      </c>
      <c r="G1486">
        <v>0</v>
      </c>
      <c r="H1486">
        <v>59118.67</v>
      </c>
      <c r="I1486">
        <v>59118.67</v>
      </c>
      <c r="J1486" t="s">
        <v>428</v>
      </c>
    </row>
    <row r="1487" spans="1:10" x14ac:dyDescent="0.35">
      <c r="A1487">
        <v>280</v>
      </c>
      <c r="B1487" t="s">
        <v>586</v>
      </c>
      <c r="C1487">
        <v>59118.67</v>
      </c>
      <c r="D1487">
        <v>0</v>
      </c>
      <c r="E1487">
        <v>59118.67</v>
      </c>
      <c r="F1487">
        <v>0</v>
      </c>
      <c r="G1487">
        <v>0</v>
      </c>
      <c r="H1487">
        <v>59118.67</v>
      </c>
      <c r="I1487">
        <v>59118.67</v>
      </c>
      <c r="J1487" t="s">
        <v>428</v>
      </c>
    </row>
    <row r="1488" spans="1:10" x14ac:dyDescent="0.35">
      <c r="A1488">
        <v>400</v>
      </c>
      <c r="B1488" t="s">
        <v>587</v>
      </c>
      <c r="C1488">
        <v>665504.81999999995</v>
      </c>
      <c r="D1488">
        <v>599134</v>
      </c>
      <c r="E1488">
        <v>66370.820000000007</v>
      </c>
      <c r="F1488">
        <v>38070.769999999997</v>
      </c>
      <c r="G1488">
        <v>38070.769999999997</v>
      </c>
      <c r="H1488">
        <v>627434.05000000005</v>
      </c>
      <c r="I1488">
        <v>627434.05000000005</v>
      </c>
      <c r="J1488" t="s">
        <v>428</v>
      </c>
    </row>
    <row r="1489" spans="1:10" x14ac:dyDescent="0.35">
      <c r="A1489">
        <v>410</v>
      </c>
      <c r="B1489" t="s">
        <v>588</v>
      </c>
      <c r="C1489">
        <v>0</v>
      </c>
      <c r="D1489">
        <v>0</v>
      </c>
      <c r="E1489">
        <v>0</v>
      </c>
      <c r="F1489">
        <v>0</v>
      </c>
      <c r="G1489">
        <v>0</v>
      </c>
      <c r="H1489">
        <v>0</v>
      </c>
      <c r="I1489">
        <v>0</v>
      </c>
      <c r="J1489" t="s">
        <v>428</v>
      </c>
    </row>
    <row r="1490" spans="1:10" x14ac:dyDescent="0.35">
      <c r="A1490">
        <v>420</v>
      </c>
      <c r="B1490" t="s">
        <v>589</v>
      </c>
      <c r="C1490">
        <v>21050.32</v>
      </c>
      <c r="D1490">
        <v>38555</v>
      </c>
      <c r="E1490">
        <v>-17504.68</v>
      </c>
      <c r="F1490">
        <v>3894.04</v>
      </c>
      <c r="G1490">
        <v>3894.04</v>
      </c>
      <c r="H1490">
        <v>17156.28</v>
      </c>
      <c r="I1490">
        <v>17156.28</v>
      </c>
      <c r="J1490" t="s">
        <v>428</v>
      </c>
    </row>
    <row r="1491" spans="1:10" x14ac:dyDescent="0.35">
      <c r="A1491">
        <v>430</v>
      </c>
      <c r="B1491" t="s">
        <v>590</v>
      </c>
      <c r="C1491">
        <v>34891.19</v>
      </c>
      <c r="D1491">
        <v>78865</v>
      </c>
      <c r="E1491">
        <v>-43973.81</v>
      </c>
      <c r="F1491">
        <v>7698.37</v>
      </c>
      <c r="G1491">
        <v>7698.37</v>
      </c>
      <c r="H1491">
        <v>27192.82</v>
      </c>
      <c r="I1491">
        <v>27192.82</v>
      </c>
      <c r="J1491" t="s">
        <v>428</v>
      </c>
    </row>
    <row r="1492" spans="1:10" x14ac:dyDescent="0.35">
      <c r="A1492">
        <v>440</v>
      </c>
      <c r="B1492" t="s">
        <v>591</v>
      </c>
      <c r="C1492">
        <v>0</v>
      </c>
      <c r="D1492">
        <v>1444</v>
      </c>
      <c r="E1492">
        <v>-1444</v>
      </c>
      <c r="F1492">
        <v>0</v>
      </c>
      <c r="G1492">
        <v>0</v>
      </c>
      <c r="H1492">
        <v>0</v>
      </c>
      <c r="I1492">
        <v>0</v>
      </c>
      <c r="J1492" t="s">
        <v>428</v>
      </c>
    </row>
    <row r="1493" spans="1:10" x14ac:dyDescent="0.35">
      <c r="A1493">
        <v>450</v>
      </c>
      <c r="B1493" t="s">
        <v>592</v>
      </c>
      <c r="C1493">
        <v>78113.67</v>
      </c>
      <c r="D1493">
        <v>0</v>
      </c>
      <c r="E1493">
        <v>78113.67</v>
      </c>
      <c r="F1493">
        <v>-779.72</v>
      </c>
      <c r="G1493">
        <v>-779.72</v>
      </c>
      <c r="H1493">
        <v>78893.39</v>
      </c>
      <c r="I1493">
        <v>78893.39</v>
      </c>
      <c r="J1493" t="s">
        <v>428</v>
      </c>
    </row>
    <row r="1494" spans="1:10" x14ac:dyDescent="0.35">
      <c r="A1494">
        <v>460</v>
      </c>
      <c r="B1494" t="s">
        <v>593</v>
      </c>
      <c r="C1494">
        <v>0</v>
      </c>
      <c r="D1494">
        <v>0</v>
      </c>
      <c r="E1494">
        <v>0</v>
      </c>
      <c r="F1494">
        <v>0</v>
      </c>
      <c r="G1494">
        <v>0</v>
      </c>
      <c r="H1494">
        <v>0</v>
      </c>
      <c r="I1494">
        <v>0</v>
      </c>
      <c r="J1494" t="s">
        <v>428</v>
      </c>
    </row>
    <row r="1495" spans="1:10" x14ac:dyDescent="0.35">
      <c r="A1495">
        <v>500</v>
      </c>
      <c r="B1495" t="s">
        <v>594</v>
      </c>
      <c r="C1495">
        <v>134055.18</v>
      </c>
      <c r="D1495">
        <v>118864</v>
      </c>
      <c r="E1495">
        <v>15191.18</v>
      </c>
      <c r="F1495">
        <v>10812.69</v>
      </c>
      <c r="G1495">
        <v>10812.69</v>
      </c>
      <c r="H1495">
        <v>123242.49</v>
      </c>
      <c r="I1495">
        <v>123242.49</v>
      </c>
      <c r="J1495" t="s">
        <v>428</v>
      </c>
    </row>
    <row r="1496" spans="1:10" x14ac:dyDescent="0.35">
      <c r="A1496">
        <v>510</v>
      </c>
      <c r="B1496" t="s">
        <v>595</v>
      </c>
      <c r="C1496">
        <v>0</v>
      </c>
      <c r="D1496">
        <v>0</v>
      </c>
      <c r="E1496">
        <v>0</v>
      </c>
      <c r="F1496">
        <v>0</v>
      </c>
      <c r="G1496">
        <v>0</v>
      </c>
      <c r="H1496">
        <v>0</v>
      </c>
      <c r="I1496">
        <v>0</v>
      </c>
      <c r="J1496" t="s">
        <v>428</v>
      </c>
    </row>
    <row r="1497" spans="1:10" x14ac:dyDescent="0.35">
      <c r="A1497">
        <v>520</v>
      </c>
      <c r="B1497" t="s">
        <v>596</v>
      </c>
      <c r="C1497">
        <v>-17201.39</v>
      </c>
      <c r="D1497">
        <v>0</v>
      </c>
      <c r="E1497">
        <v>-17201.39</v>
      </c>
      <c r="F1497">
        <v>0</v>
      </c>
      <c r="G1497">
        <v>0</v>
      </c>
      <c r="H1497">
        <v>-17201.39</v>
      </c>
      <c r="I1497">
        <v>-17201.39</v>
      </c>
      <c r="J1497" t="s">
        <v>428</v>
      </c>
    </row>
    <row r="1498" spans="1:10" x14ac:dyDescent="0.35">
      <c r="A1498">
        <v>530</v>
      </c>
      <c r="B1498" t="s">
        <v>597</v>
      </c>
      <c r="C1498">
        <v>0</v>
      </c>
      <c r="D1498">
        <v>284958</v>
      </c>
      <c r="E1498">
        <v>-284958</v>
      </c>
      <c r="F1498">
        <v>0</v>
      </c>
      <c r="G1498">
        <v>0</v>
      </c>
      <c r="H1498">
        <v>0</v>
      </c>
      <c r="I1498">
        <v>0</v>
      </c>
      <c r="J1498" t="s">
        <v>428</v>
      </c>
    </row>
    <row r="1499" spans="1:10" x14ac:dyDescent="0.35">
      <c r="A1499">
        <v>540</v>
      </c>
      <c r="B1499" t="s">
        <v>598</v>
      </c>
      <c r="C1499">
        <v>283700</v>
      </c>
      <c r="D1499">
        <v>0</v>
      </c>
      <c r="E1499">
        <v>283700</v>
      </c>
      <c r="F1499">
        <v>0</v>
      </c>
      <c r="G1499">
        <v>0</v>
      </c>
      <c r="H1499">
        <v>283700</v>
      </c>
      <c r="I1499">
        <v>283700</v>
      </c>
      <c r="J1499" t="s">
        <v>428</v>
      </c>
    </row>
    <row r="1500" spans="1:10" x14ac:dyDescent="0.35">
      <c r="A1500">
        <v>600</v>
      </c>
      <c r="B1500" t="s">
        <v>599</v>
      </c>
      <c r="C1500">
        <v>266498.61</v>
      </c>
      <c r="D1500">
        <v>284958</v>
      </c>
      <c r="E1500">
        <v>-18459.39</v>
      </c>
      <c r="F1500">
        <v>0</v>
      </c>
      <c r="G1500">
        <v>0</v>
      </c>
      <c r="H1500">
        <v>266498.61</v>
      </c>
      <c r="I1500">
        <v>266498.61</v>
      </c>
      <c r="J1500" t="s">
        <v>428</v>
      </c>
    </row>
    <row r="1501" spans="1:10" x14ac:dyDescent="0.35">
      <c r="A1501">
        <v>610</v>
      </c>
      <c r="B1501" t="s">
        <v>600</v>
      </c>
      <c r="C1501">
        <v>0</v>
      </c>
      <c r="D1501">
        <v>0</v>
      </c>
      <c r="E1501">
        <v>0</v>
      </c>
      <c r="F1501">
        <v>0</v>
      </c>
      <c r="G1501">
        <v>0</v>
      </c>
      <c r="H1501">
        <v>0</v>
      </c>
      <c r="I1501">
        <v>0</v>
      </c>
      <c r="J1501" t="s">
        <v>428</v>
      </c>
    </row>
    <row r="1502" spans="1:10" x14ac:dyDescent="0.35">
      <c r="A1502">
        <v>620</v>
      </c>
      <c r="B1502"/>
      <c r="C1502">
        <v>0</v>
      </c>
      <c r="D1502">
        <v>0</v>
      </c>
      <c r="E1502">
        <v>0</v>
      </c>
      <c r="F1502">
        <v>0</v>
      </c>
      <c r="G1502">
        <v>0</v>
      </c>
      <c r="H1502">
        <v>0</v>
      </c>
      <c r="I1502">
        <v>0</v>
      </c>
      <c r="J1502" t="s">
        <v>428</v>
      </c>
    </row>
    <row r="1503" spans="1:10" x14ac:dyDescent="0.35">
      <c r="A1503">
        <v>700</v>
      </c>
      <c r="B1503" t="s">
        <v>601</v>
      </c>
      <c r="C1503">
        <v>0</v>
      </c>
      <c r="D1503">
        <v>0</v>
      </c>
      <c r="E1503">
        <v>0</v>
      </c>
      <c r="F1503">
        <v>0</v>
      </c>
      <c r="G1503">
        <v>0</v>
      </c>
      <c r="H1503">
        <v>0</v>
      </c>
      <c r="I1503">
        <v>0</v>
      </c>
      <c r="J1503" t="s">
        <v>428</v>
      </c>
    </row>
    <row r="1504" spans="1:10" x14ac:dyDescent="0.35">
      <c r="A1504">
        <v>710</v>
      </c>
      <c r="B1504" t="s">
        <v>557</v>
      </c>
      <c r="C1504">
        <v>0</v>
      </c>
      <c r="D1504">
        <v>0</v>
      </c>
      <c r="E1504">
        <v>0</v>
      </c>
      <c r="F1504">
        <v>0</v>
      </c>
      <c r="G1504">
        <v>0</v>
      </c>
      <c r="H1504">
        <v>0</v>
      </c>
      <c r="I1504">
        <v>0</v>
      </c>
      <c r="J1504" t="s">
        <v>428</v>
      </c>
    </row>
    <row r="1505" spans="1:10" x14ac:dyDescent="0.35">
      <c r="A1505">
        <v>720</v>
      </c>
      <c r="B1505" t="s">
        <v>602</v>
      </c>
      <c r="C1505">
        <v>1000</v>
      </c>
      <c r="D1505">
        <v>1000</v>
      </c>
      <c r="E1505">
        <v>0</v>
      </c>
      <c r="F1505">
        <v>0</v>
      </c>
      <c r="G1505">
        <v>0</v>
      </c>
      <c r="H1505">
        <v>1000</v>
      </c>
      <c r="I1505">
        <v>1000</v>
      </c>
      <c r="J1505" t="s">
        <v>428</v>
      </c>
    </row>
    <row r="1506" spans="1:10" x14ac:dyDescent="0.35">
      <c r="A1506">
        <v>730</v>
      </c>
      <c r="B1506" t="s">
        <v>603</v>
      </c>
      <c r="C1506">
        <v>0</v>
      </c>
      <c r="D1506">
        <v>0</v>
      </c>
      <c r="E1506">
        <v>0</v>
      </c>
      <c r="F1506">
        <v>0</v>
      </c>
      <c r="G1506">
        <v>0</v>
      </c>
      <c r="H1506">
        <v>0</v>
      </c>
      <c r="I1506">
        <v>0</v>
      </c>
      <c r="J1506" t="s">
        <v>428</v>
      </c>
    </row>
    <row r="1507" spans="1:10" x14ac:dyDescent="0.35">
      <c r="A1507">
        <v>740</v>
      </c>
      <c r="B1507" t="s">
        <v>604</v>
      </c>
      <c r="C1507">
        <v>232692.95</v>
      </c>
      <c r="D1507">
        <v>207788</v>
      </c>
      <c r="E1507">
        <v>24904.95</v>
      </c>
      <c r="F1507">
        <v>0</v>
      </c>
      <c r="G1507">
        <v>0</v>
      </c>
      <c r="H1507">
        <v>-3841.27</v>
      </c>
      <c r="I1507">
        <v>232692.95</v>
      </c>
      <c r="J1507" t="s">
        <v>428</v>
      </c>
    </row>
    <row r="1508" spans="1:10" x14ac:dyDescent="0.35">
      <c r="A1508">
        <v>750</v>
      </c>
      <c r="B1508" t="s">
        <v>522</v>
      </c>
      <c r="C1508">
        <v>27258.080000000002</v>
      </c>
      <c r="D1508">
        <v>-16255</v>
      </c>
      <c r="E1508">
        <v>43513.08</v>
      </c>
      <c r="F1508">
        <v>27258.080000000002</v>
      </c>
      <c r="G1508">
        <v>27258.080000000002</v>
      </c>
      <c r="H1508">
        <v>236534.22</v>
      </c>
      <c r="I1508">
        <v>0</v>
      </c>
      <c r="J1508" t="s">
        <v>428</v>
      </c>
    </row>
    <row r="1509" spans="1:10" x14ac:dyDescent="0.35">
      <c r="A1509">
        <v>760</v>
      </c>
      <c r="B1509" t="s">
        <v>605</v>
      </c>
      <c r="C1509">
        <v>4000</v>
      </c>
      <c r="D1509">
        <v>0</v>
      </c>
      <c r="E1509">
        <v>4000</v>
      </c>
      <c r="F1509">
        <v>0</v>
      </c>
      <c r="G1509">
        <v>0</v>
      </c>
      <c r="H1509">
        <v>4000</v>
      </c>
      <c r="I1509">
        <v>4000</v>
      </c>
      <c r="J1509" t="s">
        <v>428</v>
      </c>
    </row>
    <row r="1510" spans="1:10" x14ac:dyDescent="0.35">
      <c r="A1510">
        <v>770</v>
      </c>
      <c r="B1510"/>
      <c r="C1510">
        <v>0</v>
      </c>
      <c r="D1510">
        <v>0</v>
      </c>
      <c r="E1510">
        <v>0</v>
      </c>
      <c r="F1510">
        <v>0</v>
      </c>
      <c r="G1510">
        <v>0</v>
      </c>
      <c r="H1510">
        <v>0</v>
      </c>
      <c r="I1510">
        <v>0</v>
      </c>
      <c r="J1510" t="s">
        <v>428</v>
      </c>
    </row>
    <row r="1511" spans="1:10" x14ac:dyDescent="0.35">
      <c r="A1511">
        <v>800</v>
      </c>
      <c r="B1511" t="s">
        <v>606</v>
      </c>
      <c r="C1511">
        <v>264951.03000000003</v>
      </c>
      <c r="D1511">
        <v>192533</v>
      </c>
      <c r="E1511">
        <v>72418.03</v>
      </c>
      <c r="F1511">
        <v>27258.080000000002</v>
      </c>
      <c r="G1511">
        <v>27258.080000000002</v>
      </c>
      <c r="H1511">
        <v>237692.95</v>
      </c>
      <c r="I1511">
        <v>237692.95</v>
      </c>
      <c r="J1511" t="s">
        <v>428</v>
      </c>
    </row>
    <row r="1512" spans="1:10" x14ac:dyDescent="0.35">
      <c r="A1512">
        <v>900</v>
      </c>
      <c r="B1512" t="s">
        <v>607</v>
      </c>
      <c r="C1512">
        <v>665504.81999999995</v>
      </c>
      <c r="D1512">
        <v>596355</v>
      </c>
      <c r="E1512">
        <v>69149.820000000007</v>
      </c>
      <c r="F1512">
        <v>38070.769999999997</v>
      </c>
      <c r="G1512">
        <v>38070.769999999997</v>
      </c>
      <c r="H1512">
        <v>627434.05000000005</v>
      </c>
      <c r="I1512">
        <v>627434.05000000005</v>
      </c>
      <c r="J1512" t="s">
        <v>428</v>
      </c>
    </row>
    <row r="1513" spans="1:10" x14ac:dyDescent="0.35">
      <c r="A1513">
        <v>1000</v>
      </c>
      <c r="B1513" t="s">
        <v>558</v>
      </c>
      <c r="C1513">
        <v>0</v>
      </c>
      <c r="D1513">
        <v>2779</v>
      </c>
      <c r="E1513">
        <v>-2779</v>
      </c>
      <c r="F1513">
        <v>0</v>
      </c>
      <c r="G1513">
        <v>0</v>
      </c>
      <c r="H1513">
        <v>0</v>
      </c>
      <c r="I1513">
        <v>0</v>
      </c>
      <c r="J1513" t="s">
        <v>428</v>
      </c>
    </row>
    <row r="1514" spans="1:10" x14ac:dyDescent="0.35">
      <c r="A1514" t="s">
        <v>534</v>
      </c>
      <c r="B1514" t="s">
        <v>416</v>
      </c>
      <c r="C1514" t="s">
        <v>537</v>
      </c>
      <c r="D1514" t="s">
        <v>538</v>
      </c>
      <c r="E1514" t="s">
        <v>539</v>
      </c>
      <c r="F1514" t="s">
        <v>540</v>
      </c>
      <c r="G1514" t="s">
        <v>541</v>
      </c>
      <c r="H1514" t="s">
        <v>542</v>
      </c>
      <c r="I1514" t="s">
        <v>543</v>
      </c>
      <c r="J1514" t="s">
        <v>121</v>
      </c>
    </row>
    <row r="1515" spans="1:10" x14ac:dyDescent="0.35">
      <c r="A1515">
        <v>10</v>
      </c>
      <c r="B1515" t="s">
        <v>544</v>
      </c>
      <c r="C1515">
        <v>0</v>
      </c>
      <c r="D1515">
        <v>0</v>
      </c>
      <c r="E1515">
        <v>0</v>
      </c>
      <c r="F1515">
        <v>0</v>
      </c>
      <c r="G1515">
        <v>0</v>
      </c>
      <c r="H1515">
        <v>0</v>
      </c>
      <c r="I1515">
        <v>0</v>
      </c>
      <c r="J1515" t="s">
        <v>428</v>
      </c>
    </row>
    <row r="1516" spans="1:10" x14ac:dyDescent="0.35">
      <c r="A1516">
        <v>20</v>
      </c>
      <c r="B1516" t="s">
        <v>562</v>
      </c>
      <c r="C1516">
        <v>3744.01</v>
      </c>
      <c r="D1516">
        <v>0</v>
      </c>
      <c r="E1516">
        <v>3744.01</v>
      </c>
      <c r="F1516">
        <v>-40516.25</v>
      </c>
      <c r="G1516">
        <v>-40516.25</v>
      </c>
      <c r="H1516">
        <v>44260.26</v>
      </c>
      <c r="I1516">
        <v>44260.26</v>
      </c>
      <c r="J1516" t="s">
        <v>428</v>
      </c>
    </row>
    <row r="1517" spans="1:10" x14ac:dyDescent="0.35">
      <c r="A1517">
        <v>30</v>
      </c>
      <c r="B1517" t="s">
        <v>563</v>
      </c>
      <c r="C1517">
        <v>0</v>
      </c>
      <c r="D1517">
        <v>0</v>
      </c>
      <c r="E1517">
        <v>0</v>
      </c>
      <c r="F1517">
        <v>0</v>
      </c>
      <c r="G1517">
        <v>0</v>
      </c>
      <c r="H1517">
        <v>0</v>
      </c>
      <c r="I1517">
        <v>0</v>
      </c>
      <c r="J1517" t="s">
        <v>428</v>
      </c>
    </row>
    <row r="1518" spans="1:10" x14ac:dyDescent="0.35">
      <c r="A1518">
        <v>40</v>
      </c>
      <c r="B1518" t="s">
        <v>564</v>
      </c>
      <c r="C1518">
        <v>30000</v>
      </c>
      <c r="D1518">
        <v>0</v>
      </c>
      <c r="E1518">
        <v>30000</v>
      </c>
      <c r="F1518">
        <v>0</v>
      </c>
      <c r="G1518">
        <v>0</v>
      </c>
      <c r="H1518">
        <v>30000</v>
      </c>
      <c r="I1518">
        <v>30000</v>
      </c>
      <c r="J1518" t="s">
        <v>428</v>
      </c>
    </row>
    <row r="1519" spans="1:10" x14ac:dyDescent="0.35">
      <c r="A1519">
        <v>50</v>
      </c>
      <c r="B1519" t="s">
        <v>565</v>
      </c>
      <c r="C1519">
        <v>0</v>
      </c>
      <c r="D1519">
        <v>0</v>
      </c>
      <c r="E1519">
        <v>0</v>
      </c>
      <c r="F1519">
        <v>0</v>
      </c>
      <c r="G1519">
        <v>0</v>
      </c>
      <c r="H1519">
        <v>0</v>
      </c>
      <c r="I1519">
        <v>0</v>
      </c>
      <c r="J1519" t="s">
        <v>428</v>
      </c>
    </row>
    <row r="1520" spans="1:10" x14ac:dyDescent="0.35">
      <c r="A1520">
        <v>60</v>
      </c>
      <c r="B1520" t="s">
        <v>198</v>
      </c>
      <c r="C1520">
        <v>0</v>
      </c>
      <c r="D1520">
        <v>0</v>
      </c>
      <c r="E1520">
        <v>0</v>
      </c>
      <c r="F1520">
        <v>0</v>
      </c>
      <c r="G1520">
        <v>0</v>
      </c>
      <c r="H1520">
        <v>0</v>
      </c>
      <c r="I1520">
        <v>0</v>
      </c>
      <c r="J1520" t="s">
        <v>428</v>
      </c>
    </row>
    <row r="1521" spans="1:10" x14ac:dyDescent="0.35">
      <c r="A1521">
        <v>70</v>
      </c>
      <c r="B1521" t="s">
        <v>566</v>
      </c>
      <c r="C1521">
        <v>55119.57</v>
      </c>
      <c r="D1521">
        <v>0</v>
      </c>
      <c r="E1521">
        <v>55119.57</v>
      </c>
      <c r="F1521">
        <v>-611.11</v>
      </c>
      <c r="G1521">
        <v>-611.11</v>
      </c>
      <c r="H1521">
        <v>55730.68</v>
      </c>
      <c r="I1521">
        <v>55730.68</v>
      </c>
      <c r="J1521" t="s">
        <v>428</v>
      </c>
    </row>
    <row r="1522" spans="1:10" x14ac:dyDescent="0.35">
      <c r="A1522">
        <v>80</v>
      </c>
      <c r="B1522" t="s">
        <v>567</v>
      </c>
      <c r="C1522">
        <v>3296893.57</v>
      </c>
      <c r="D1522">
        <v>0</v>
      </c>
      <c r="E1522">
        <v>3296893.57</v>
      </c>
      <c r="F1522">
        <v>431375</v>
      </c>
      <c r="G1522">
        <v>431375</v>
      </c>
      <c r="H1522">
        <v>2865518.57</v>
      </c>
      <c r="I1522">
        <v>2865518.57</v>
      </c>
      <c r="J1522" t="s">
        <v>428</v>
      </c>
    </row>
    <row r="1523" spans="1:10" x14ac:dyDescent="0.35">
      <c r="A1523">
        <v>100</v>
      </c>
      <c r="B1523" t="s">
        <v>568</v>
      </c>
      <c r="C1523">
        <v>3385757.15</v>
      </c>
      <c r="D1523">
        <v>0</v>
      </c>
      <c r="E1523">
        <v>3385757.15</v>
      </c>
      <c r="F1523">
        <v>390247.64</v>
      </c>
      <c r="G1523">
        <v>390247.64</v>
      </c>
      <c r="H1523">
        <v>2995509.51</v>
      </c>
      <c r="I1523">
        <v>2995509.51</v>
      </c>
      <c r="J1523" t="s">
        <v>428</v>
      </c>
    </row>
    <row r="1524" spans="1:10" x14ac:dyDescent="0.35">
      <c r="A1524">
        <v>110</v>
      </c>
      <c r="B1524" t="s">
        <v>569</v>
      </c>
      <c r="C1524">
        <v>0</v>
      </c>
      <c r="D1524">
        <v>0</v>
      </c>
      <c r="E1524">
        <v>0</v>
      </c>
      <c r="F1524">
        <v>0</v>
      </c>
      <c r="G1524">
        <v>0</v>
      </c>
      <c r="H1524">
        <v>0</v>
      </c>
      <c r="I1524">
        <v>0</v>
      </c>
      <c r="J1524" t="s">
        <v>428</v>
      </c>
    </row>
    <row r="1525" spans="1:10" x14ac:dyDescent="0.35">
      <c r="A1525">
        <v>120</v>
      </c>
      <c r="B1525" t="s">
        <v>570</v>
      </c>
      <c r="C1525">
        <v>320037</v>
      </c>
      <c r="D1525">
        <v>0</v>
      </c>
      <c r="E1525">
        <v>320037</v>
      </c>
      <c r="F1525">
        <v>0</v>
      </c>
      <c r="G1525">
        <v>0</v>
      </c>
      <c r="H1525">
        <v>320037</v>
      </c>
      <c r="I1525">
        <v>320037</v>
      </c>
      <c r="J1525" t="s">
        <v>428</v>
      </c>
    </row>
    <row r="1526" spans="1:10" x14ac:dyDescent="0.35">
      <c r="A1526">
        <v>130</v>
      </c>
      <c r="B1526" t="s">
        <v>571</v>
      </c>
      <c r="C1526">
        <v>1122489.3999999999</v>
      </c>
      <c r="D1526">
        <v>0</v>
      </c>
      <c r="E1526">
        <v>1122489.3999999999</v>
      </c>
      <c r="F1526">
        <v>0</v>
      </c>
      <c r="G1526">
        <v>0</v>
      </c>
      <c r="H1526">
        <v>1122489.3999999999</v>
      </c>
      <c r="I1526">
        <v>1122489.3999999999</v>
      </c>
      <c r="J1526" t="s">
        <v>428</v>
      </c>
    </row>
    <row r="1527" spans="1:10" x14ac:dyDescent="0.35">
      <c r="A1527">
        <v>140</v>
      </c>
      <c r="B1527" t="s">
        <v>572</v>
      </c>
      <c r="C1527">
        <v>0</v>
      </c>
      <c r="D1527">
        <v>0</v>
      </c>
      <c r="E1527">
        <v>0</v>
      </c>
      <c r="F1527">
        <v>0</v>
      </c>
      <c r="G1527">
        <v>0</v>
      </c>
      <c r="H1527">
        <v>0</v>
      </c>
      <c r="I1527">
        <v>0</v>
      </c>
      <c r="J1527" t="s">
        <v>428</v>
      </c>
    </row>
    <row r="1528" spans="1:10" x14ac:dyDescent="0.35">
      <c r="A1528">
        <v>150</v>
      </c>
      <c r="B1528" t="s">
        <v>573</v>
      </c>
      <c r="C1528">
        <v>0</v>
      </c>
      <c r="D1528">
        <v>0</v>
      </c>
      <c r="E1528">
        <v>0</v>
      </c>
      <c r="F1528">
        <v>0</v>
      </c>
      <c r="G1528">
        <v>0</v>
      </c>
      <c r="H1528">
        <v>0</v>
      </c>
      <c r="I1528">
        <v>0</v>
      </c>
      <c r="J1528" t="s">
        <v>428</v>
      </c>
    </row>
    <row r="1529" spans="1:10" x14ac:dyDescent="0.35">
      <c r="A1529">
        <v>160</v>
      </c>
      <c r="B1529" t="s">
        <v>574</v>
      </c>
      <c r="C1529">
        <v>0</v>
      </c>
      <c r="D1529">
        <v>0</v>
      </c>
      <c r="E1529">
        <v>0</v>
      </c>
      <c r="F1529">
        <v>0</v>
      </c>
      <c r="G1529">
        <v>0</v>
      </c>
      <c r="H1529">
        <v>0</v>
      </c>
      <c r="I1529">
        <v>0</v>
      </c>
      <c r="J1529" t="s">
        <v>428</v>
      </c>
    </row>
    <row r="1530" spans="1:10" x14ac:dyDescent="0.35">
      <c r="A1530">
        <v>170</v>
      </c>
      <c r="B1530" t="s">
        <v>575</v>
      </c>
      <c r="C1530">
        <v>0</v>
      </c>
      <c r="D1530">
        <v>0</v>
      </c>
      <c r="E1530">
        <v>0</v>
      </c>
      <c r="F1530">
        <v>0</v>
      </c>
      <c r="G1530">
        <v>0</v>
      </c>
      <c r="H1530">
        <v>0</v>
      </c>
      <c r="I1530">
        <v>0</v>
      </c>
      <c r="J1530" t="s">
        <v>428</v>
      </c>
    </row>
    <row r="1531" spans="1:10" x14ac:dyDescent="0.35">
      <c r="A1531">
        <v>180</v>
      </c>
      <c r="B1531" t="s">
        <v>576</v>
      </c>
      <c r="C1531">
        <v>0</v>
      </c>
      <c r="D1531">
        <v>0</v>
      </c>
      <c r="E1531">
        <v>0</v>
      </c>
      <c r="F1531">
        <v>0</v>
      </c>
      <c r="G1531">
        <v>0</v>
      </c>
      <c r="H1531">
        <v>0</v>
      </c>
      <c r="I1531">
        <v>0</v>
      </c>
      <c r="J1531" t="s">
        <v>428</v>
      </c>
    </row>
    <row r="1532" spans="1:10" x14ac:dyDescent="0.35">
      <c r="A1532">
        <v>190</v>
      </c>
      <c r="B1532" t="s">
        <v>577</v>
      </c>
      <c r="C1532">
        <v>-128487.56</v>
      </c>
      <c r="D1532">
        <v>0</v>
      </c>
      <c r="E1532">
        <v>-128487.56</v>
      </c>
      <c r="F1532">
        <v>-2809.12</v>
      </c>
      <c r="G1532">
        <v>-2809.12</v>
      </c>
      <c r="H1532">
        <v>-125678.44</v>
      </c>
      <c r="I1532">
        <v>-125678.44</v>
      </c>
      <c r="J1532" t="s">
        <v>428</v>
      </c>
    </row>
    <row r="1533" spans="1:10" x14ac:dyDescent="0.35">
      <c r="A1533">
        <v>200</v>
      </c>
      <c r="B1533" t="s">
        <v>578</v>
      </c>
      <c r="C1533">
        <v>1314038.8400000001</v>
      </c>
      <c r="D1533">
        <v>0</v>
      </c>
      <c r="E1533">
        <v>1314038.8400000001</v>
      </c>
      <c r="F1533">
        <v>-2809.12</v>
      </c>
      <c r="G1533">
        <v>-2809.12</v>
      </c>
      <c r="H1533">
        <v>1316847.96</v>
      </c>
      <c r="I1533">
        <v>1316847.96</v>
      </c>
      <c r="J1533" t="s">
        <v>428</v>
      </c>
    </row>
    <row r="1534" spans="1:10" x14ac:dyDescent="0.35">
      <c r="A1534">
        <v>210</v>
      </c>
      <c r="B1534" t="s">
        <v>579</v>
      </c>
      <c r="C1534">
        <v>0</v>
      </c>
      <c r="D1534">
        <v>0</v>
      </c>
      <c r="E1534">
        <v>0</v>
      </c>
      <c r="F1534">
        <v>0</v>
      </c>
      <c r="G1534">
        <v>0</v>
      </c>
      <c r="H1534">
        <v>0</v>
      </c>
      <c r="I1534">
        <v>0</v>
      </c>
      <c r="J1534" t="s">
        <v>428</v>
      </c>
    </row>
    <row r="1535" spans="1:10" x14ac:dyDescent="0.35">
      <c r="A1535">
        <v>220</v>
      </c>
      <c r="B1535" t="s">
        <v>580</v>
      </c>
      <c r="C1535">
        <v>400</v>
      </c>
      <c r="D1535">
        <v>0</v>
      </c>
      <c r="E1535">
        <v>400</v>
      </c>
      <c r="F1535">
        <v>0</v>
      </c>
      <c r="G1535">
        <v>0</v>
      </c>
      <c r="H1535">
        <v>400</v>
      </c>
      <c r="I1535">
        <v>400</v>
      </c>
      <c r="J1535" t="s">
        <v>428</v>
      </c>
    </row>
    <row r="1536" spans="1:10" x14ac:dyDescent="0.35">
      <c r="A1536">
        <v>230</v>
      </c>
      <c r="B1536" t="s">
        <v>581</v>
      </c>
      <c r="C1536">
        <v>0</v>
      </c>
      <c r="D1536">
        <v>0</v>
      </c>
      <c r="E1536">
        <v>0</v>
      </c>
      <c r="F1536">
        <v>0</v>
      </c>
      <c r="G1536">
        <v>0</v>
      </c>
      <c r="H1536">
        <v>0</v>
      </c>
      <c r="I1536">
        <v>0</v>
      </c>
      <c r="J1536" t="s">
        <v>428</v>
      </c>
    </row>
    <row r="1537" spans="1:10" x14ac:dyDescent="0.35">
      <c r="A1537">
        <v>240</v>
      </c>
      <c r="B1537" t="s">
        <v>582</v>
      </c>
      <c r="C1537">
        <v>-2461</v>
      </c>
      <c r="D1537">
        <v>0</v>
      </c>
      <c r="E1537">
        <v>-2461</v>
      </c>
      <c r="F1537">
        <v>0</v>
      </c>
      <c r="G1537">
        <v>0</v>
      </c>
      <c r="H1537">
        <v>-2461</v>
      </c>
      <c r="I1537">
        <v>-2461</v>
      </c>
      <c r="J1537" t="s">
        <v>428</v>
      </c>
    </row>
    <row r="1538" spans="1:10" x14ac:dyDescent="0.35">
      <c r="A1538">
        <v>250</v>
      </c>
      <c r="B1538" t="s">
        <v>583</v>
      </c>
      <c r="C1538">
        <v>-2061</v>
      </c>
      <c r="D1538">
        <v>0</v>
      </c>
      <c r="E1538">
        <v>-2061</v>
      </c>
      <c r="F1538">
        <v>0</v>
      </c>
      <c r="G1538">
        <v>0</v>
      </c>
      <c r="H1538">
        <v>-2061</v>
      </c>
      <c r="I1538">
        <v>-2061</v>
      </c>
      <c r="J1538" t="s">
        <v>428</v>
      </c>
    </row>
    <row r="1539" spans="1:10" x14ac:dyDescent="0.35">
      <c r="A1539">
        <v>260</v>
      </c>
      <c r="B1539" t="s">
        <v>584</v>
      </c>
      <c r="C1539">
        <v>0</v>
      </c>
      <c r="D1539">
        <v>0</v>
      </c>
      <c r="E1539">
        <v>0</v>
      </c>
      <c r="F1539">
        <v>0</v>
      </c>
      <c r="G1539">
        <v>0</v>
      </c>
      <c r="H1539">
        <v>0</v>
      </c>
      <c r="I1539">
        <v>0</v>
      </c>
      <c r="J1539" t="s">
        <v>428</v>
      </c>
    </row>
    <row r="1540" spans="1:10" x14ac:dyDescent="0.35">
      <c r="A1540">
        <v>270</v>
      </c>
      <c r="B1540" t="s">
        <v>585</v>
      </c>
      <c r="C1540">
        <v>0</v>
      </c>
      <c r="D1540">
        <v>0</v>
      </c>
      <c r="E1540">
        <v>0</v>
      </c>
      <c r="F1540">
        <v>0</v>
      </c>
      <c r="G1540">
        <v>0</v>
      </c>
      <c r="H1540">
        <v>0</v>
      </c>
      <c r="I1540">
        <v>0</v>
      </c>
      <c r="J1540" t="s">
        <v>428</v>
      </c>
    </row>
    <row r="1541" spans="1:10" x14ac:dyDescent="0.35">
      <c r="A1541">
        <v>280</v>
      </c>
      <c r="B1541" t="s">
        <v>586</v>
      </c>
      <c r="C1541">
        <v>0</v>
      </c>
      <c r="D1541">
        <v>0</v>
      </c>
      <c r="E1541">
        <v>0</v>
      </c>
      <c r="F1541">
        <v>0</v>
      </c>
      <c r="G1541">
        <v>0</v>
      </c>
      <c r="H1541">
        <v>0</v>
      </c>
      <c r="I1541">
        <v>0</v>
      </c>
      <c r="J1541" t="s">
        <v>428</v>
      </c>
    </row>
    <row r="1542" spans="1:10" x14ac:dyDescent="0.35">
      <c r="A1542">
        <v>400</v>
      </c>
      <c r="B1542" t="s">
        <v>587</v>
      </c>
      <c r="C1542">
        <v>4697734.99</v>
      </c>
      <c r="D1542">
        <v>0</v>
      </c>
      <c r="E1542">
        <v>4697734.99</v>
      </c>
      <c r="F1542">
        <v>387438.52</v>
      </c>
      <c r="G1542">
        <v>387438.52</v>
      </c>
      <c r="H1542">
        <v>4310296.47</v>
      </c>
      <c r="I1542">
        <v>4310296.47</v>
      </c>
      <c r="J1542" t="s">
        <v>428</v>
      </c>
    </row>
    <row r="1543" spans="1:10" x14ac:dyDescent="0.35">
      <c r="A1543">
        <v>410</v>
      </c>
      <c r="B1543" t="s">
        <v>588</v>
      </c>
      <c r="C1543">
        <v>0</v>
      </c>
      <c r="D1543">
        <v>0</v>
      </c>
      <c r="E1543">
        <v>0</v>
      </c>
      <c r="F1543">
        <v>0</v>
      </c>
      <c r="G1543">
        <v>0</v>
      </c>
      <c r="H1543">
        <v>0</v>
      </c>
      <c r="I1543">
        <v>0</v>
      </c>
      <c r="J1543" t="s">
        <v>428</v>
      </c>
    </row>
    <row r="1544" spans="1:10" x14ac:dyDescent="0.35">
      <c r="A1544">
        <v>420</v>
      </c>
      <c r="B1544" t="s">
        <v>589</v>
      </c>
      <c r="C1544">
        <v>0</v>
      </c>
      <c r="D1544">
        <v>0</v>
      </c>
      <c r="E1544">
        <v>0</v>
      </c>
      <c r="F1544">
        <v>0</v>
      </c>
      <c r="G1544">
        <v>0</v>
      </c>
      <c r="H1544">
        <v>0</v>
      </c>
      <c r="I1544">
        <v>0</v>
      </c>
      <c r="J1544" t="s">
        <v>428</v>
      </c>
    </row>
    <row r="1545" spans="1:10" x14ac:dyDescent="0.35">
      <c r="A1545">
        <v>430</v>
      </c>
      <c r="B1545" t="s">
        <v>590</v>
      </c>
      <c r="C1545">
        <v>0</v>
      </c>
      <c r="D1545">
        <v>0</v>
      </c>
      <c r="E1545">
        <v>0</v>
      </c>
      <c r="F1545">
        <v>0</v>
      </c>
      <c r="G1545">
        <v>0</v>
      </c>
      <c r="H1545">
        <v>0</v>
      </c>
      <c r="I1545">
        <v>0</v>
      </c>
      <c r="J1545" t="s">
        <v>428</v>
      </c>
    </row>
    <row r="1546" spans="1:10" x14ac:dyDescent="0.35">
      <c r="A1546">
        <v>440</v>
      </c>
      <c r="B1546" t="s">
        <v>591</v>
      </c>
      <c r="C1546">
        <v>0</v>
      </c>
      <c r="D1546">
        <v>0</v>
      </c>
      <c r="E1546">
        <v>0</v>
      </c>
      <c r="F1546">
        <v>0</v>
      </c>
      <c r="G1546">
        <v>0</v>
      </c>
      <c r="H1546">
        <v>0</v>
      </c>
      <c r="I1546">
        <v>0</v>
      </c>
      <c r="J1546" t="s">
        <v>428</v>
      </c>
    </row>
    <row r="1547" spans="1:10" x14ac:dyDescent="0.35">
      <c r="A1547">
        <v>450</v>
      </c>
      <c r="B1547" t="s">
        <v>592</v>
      </c>
      <c r="C1547">
        <v>1552916.67</v>
      </c>
      <c r="D1547">
        <v>0</v>
      </c>
      <c r="E1547">
        <v>1552916.67</v>
      </c>
      <c r="F1547">
        <v>-19087.22</v>
      </c>
      <c r="G1547">
        <v>-19087.22</v>
      </c>
      <c r="H1547">
        <v>1572003.89</v>
      </c>
      <c r="I1547">
        <v>1572003.89</v>
      </c>
      <c r="J1547" t="s">
        <v>428</v>
      </c>
    </row>
    <row r="1548" spans="1:10" x14ac:dyDescent="0.35">
      <c r="A1548">
        <v>460</v>
      </c>
      <c r="B1548" t="s">
        <v>593</v>
      </c>
      <c r="C1548">
        <v>0</v>
      </c>
      <c r="D1548">
        <v>0</v>
      </c>
      <c r="E1548">
        <v>0</v>
      </c>
      <c r="F1548">
        <v>0</v>
      </c>
      <c r="G1548">
        <v>0</v>
      </c>
      <c r="H1548">
        <v>0</v>
      </c>
      <c r="I1548">
        <v>0</v>
      </c>
      <c r="J1548" t="s">
        <v>428</v>
      </c>
    </row>
    <row r="1549" spans="1:10" x14ac:dyDescent="0.35">
      <c r="A1549">
        <v>500</v>
      </c>
      <c r="B1549" t="s">
        <v>594</v>
      </c>
      <c r="C1549">
        <v>1552916.67</v>
      </c>
      <c r="D1549">
        <v>0</v>
      </c>
      <c r="E1549">
        <v>1552916.67</v>
      </c>
      <c r="F1549">
        <v>-19087.22</v>
      </c>
      <c r="G1549">
        <v>-19087.22</v>
      </c>
      <c r="H1549">
        <v>1572003.89</v>
      </c>
      <c r="I1549">
        <v>1572003.89</v>
      </c>
      <c r="J1549" t="s">
        <v>428</v>
      </c>
    </row>
    <row r="1550" spans="1:10" x14ac:dyDescent="0.35">
      <c r="A1550">
        <v>510</v>
      </c>
      <c r="B1550" t="s">
        <v>595</v>
      </c>
      <c r="C1550">
        <v>0</v>
      </c>
      <c r="D1550">
        <v>0</v>
      </c>
      <c r="E1550">
        <v>0</v>
      </c>
      <c r="F1550">
        <v>0</v>
      </c>
      <c r="G1550">
        <v>0</v>
      </c>
      <c r="H1550">
        <v>0</v>
      </c>
      <c r="I1550">
        <v>0</v>
      </c>
      <c r="J1550" t="s">
        <v>428</v>
      </c>
    </row>
    <row r="1551" spans="1:10" x14ac:dyDescent="0.35">
      <c r="A1551">
        <v>520</v>
      </c>
      <c r="B1551" t="s">
        <v>596</v>
      </c>
      <c r="C1551">
        <v>0</v>
      </c>
      <c r="D1551">
        <v>0</v>
      </c>
      <c r="E1551">
        <v>0</v>
      </c>
      <c r="F1551">
        <v>0</v>
      </c>
      <c r="G1551">
        <v>0</v>
      </c>
      <c r="H1551">
        <v>0</v>
      </c>
      <c r="I1551">
        <v>0</v>
      </c>
      <c r="J1551" t="s">
        <v>428</v>
      </c>
    </row>
    <row r="1552" spans="1:10" x14ac:dyDescent="0.35">
      <c r="A1552">
        <v>530</v>
      </c>
      <c r="B1552" t="s">
        <v>597</v>
      </c>
      <c r="C1552">
        <v>2192825.7799999998</v>
      </c>
      <c r="D1552">
        <v>0</v>
      </c>
      <c r="E1552">
        <v>2192825.7799999998</v>
      </c>
      <c r="F1552">
        <v>392224.9</v>
      </c>
      <c r="G1552">
        <v>392224.9</v>
      </c>
      <c r="H1552">
        <v>1800600.88</v>
      </c>
      <c r="I1552">
        <v>1800600.88</v>
      </c>
      <c r="J1552" t="s">
        <v>428</v>
      </c>
    </row>
    <row r="1553" spans="1:10" x14ac:dyDescent="0.35">
      <c r="A1553">
        <v>540</v>
      </c>
      <c r="B1553" t="s">
        <v>598</v>
      </c>
      <c r="C1553">
        <v>0</v>
      </c>
      <c r="D1553">
        <v>0</v>
      </c>
      <c r="E1553">
        <v>0</v>
      </c>
      <c r="F1553">
        <v>0</v>
      </c>
      <c r="G1553">
        <v>0</v>
      </c>
      <c r="H1553">
        <v>0</v>
      </c>
      <c r="I1553">
        <v>0</v>
      </c>
      <c r="J1553" t="s">
        <v>428</v>
      </c>
    </row>
    <row r="1554" spans="1:10" x14ac:dyDescent="0.35">
      <c r="A1554">
        <v>600</v>
      </c>
      <c r="B1554" t="s">
        <v>599</v>
      </c>
      <c r="C1554">
        <v>2192825.7799999998</v>
      </c>
      <c r="D1554">
        <v>0</v>
      </c>
      <c r="E1554">
        <v>2192825.7799999998</v>
      </c>
      <c r="F1554">
        <v>392224.9</v>
      </c>
      <c r="G1554">
        <v>392224.9</v>
      </c>
      <c r="H1554">
        <v>1800600.88</v>
      </c>
      <c r="I1554">
        <v>1800600.88</v>
      </c>
      <c r="J1554" t="s">
        <v>428</v>
      </c>
    </row>
    <row r="1555" spans="1:10" x14ac:dyDescent="0.35">
      <c r="A1555">
        <v>610</v>
      </c>
      <c r="B1555" t="s">
        <v>600</v>
      </c>
      <c r="C1555">
        <v>0</v>
      </c>
      <c r="D1555">
        <v>0</v>
      </c>
      <c r="E1555">
        <v>0</v>
      </c>
      <c r="F1555">
        <v>0</v>
      </c>
      <c r="G1555">
        <v>0</v>
      </c>
      <c r="H1555">
        <v>0</v>
      </c>
      <c r="I1555">
        <v>0</v>
      </c>
      <c r="J1555" t="s">
        <v>428</v>
      </c>
    </row>
    <row r="1556" spans="1:10" x14ac:dyDescent="0.35">
      <c r="A1556">
        <v>620</v>
      </c>
      <c r="B1556"/>
      <c r="C1556">
        <v>0</v>
      </c>
      <c r="D1556">
        <v>0</v>
      </c>
      <c r="E1556">
        <v>0</v>
      </c>
      <c r="F1556">
        <v>0</v>
      </c>
      <c r="G1556">
        <v>0</v>
      </c>
      <c r="H1556">
        <v>0</v>
      </c>
      <c r="I1556">
        <v>0</v>
      </c>
      <c r="J1556" t="s">
        <v>428</v>
      </c>
    </row>
    <row r="1557" spans="1:10" x14ac:dyDescent="0.35">
      <c r="A1557">
        <v>700</v>
      </c>
      <c r="B1557" t="s">
        <v>601</v>
      </c>
      <c r="C1557">
        <v>0</v>
      </c>
      <c r="D1557">
        <v>0</v>
      </c>
      <c r="E1557">
        <v>0</v>
      </c>
      <c r="F1557">
        <v>0</v>
      </c>
      <c r="G1557">
        <v>0</v>
      </c>
      <c r="H1557">
        <v>0</v>
      </c>
      <c r="I1557">
        <v>0</v>
      </c>
      <c r="J1557" t="s">
        <v>428</v>
      </c>
    </row>
    <row r="1558" spans="1:10" x14ac:dyDescent="0.35">
      <c r="A1558">
        <v>710</v>
      </c>
      <c r="B1558" t="s">
        <v>557</v>
      </c>
      <c r="C1558">
        <v>0</v>
      </c>
      <c r="D1558">
        <v>0</v>
      </c>
      <c r="E1558">
        <v>0</v>
      </c>
      <c r="F1558">
        <v>0</v>
      </c>
      <c r="G1558">
        <v>0</v>
      </c>
      <c r="H1558">
        <v>0</v>
      </c>
      <c r="I1558">
        <v>0</v>
      </c>
      <c r="J1558" t="s">
        <v>428</v>
      </c>
    </row>
    <row r="1559" spans="1:10" x14ac:dyDescent="0.35">
      <c r="A1559">
        <v>720</v>
      </c>
      <c r="B1559" t="s">
        <v>602</v>
      </c>
      <c r="C1559">
        <v>0</v>
      </c>
      <c r="D1559">
        <v>0</v>
      </c>
      <c r="E1559">
        <v>0</v>
      </c>
      <c r="F1559">
        <v>0</v>
      </c>
      <c r="G1559">
        <v>0</v>
      </c>
      <c r="H1559">
        <v>0</v>
      </c>
      <c r="I1559">
        <v>0</v>
      </c>
      <c r="J1559" t="s">
        <v>428</v>
      </c>
    </row>
    <row r="1560" spans="1:10" x14ac:dyDescent="0.35">
      <c r="A1560">
        <v>730</v>
      </c>
      <c r="B1560" t="s">
        <v>603</v>
      </c>
      <c r="C1560">
        <v>0</v>
      </c>
      <c r="D1560">
        <v>0</v>
      </c>
      <c r="E1560">
        <v>0</v>
      </c>
      <c r="F1560">
        <v>0</v>
      </c>
      <c r="G1560">
        <v>0</v>
      </c>
      <c r="H1560">
        <v>0</v>
      </c>
      <c r="I1560">
        <v>0</v>
      </c>
      <c r="J1560" t="s">
        <v>428</v>
      </c>
    </row>
    <row r="1561" spans="1:10" x14ac:dyDescent="0.35">
      <c r="A1561">
        <v>740</v>
      </c>
      <c r="B1561" t="s">
        <v>604</v>
      </c>
      <c r="C1561">
        <v>1735082.39</v>
      </c>
      <c r="D1561">
        <v>0</v>
      </c>
      <c r="E1561">
        <v>1735082.39</v>
      </c>
      <c r="F1561">
        <v>0</v>
      </c>
      <c r="G1561">
        <v>0</v>
      </c>
      <c r="H1561">
        <v>1612989.72</v>
      </c>
      <c r="I1561">
        <v>1735082.39</v>
      </c>
      <c r="J1561" t="s">
        <v>428</v>
      </c>
    </row>
    <row r="1562" spans="1:10" x14ac:dyDescent="0.35">
      <c r="A1562">
        <v>750</v>
      </c>
      <c r="B1562" t="s">
        <v>522</v>
      </c>
      <c r="C1562">
        <v>14300.84</v>
      </c>
      <c r="D1562">
        <v>0</v>
      </c>
      <c r="E1562">
        <v>14300.84</v>
      </c>
      <c r="F1562">
        <v>14300.84</v>
      </c>
      <c r="G1562">
        <v>14300.84</v>
      </c>
      <c r="H1562">
        <v>122092.67</v>
      </c>
      <c r="I1562">
        <v>0</v>
      </c>
      <c r="J1562" t="s">
        <v>428</v>
      </c>
    </row>
    <row r="1563" spans="1:10" x14ac:dyDescent="0.35">
      <c r="A1563">
        <v>760</v>
      </c>
      <c r="B1563" t="s">
        <v>605</v>
      </c>
      <c r="C1563">
        <v>-797390.69</v>
      </c>
      <c r="D1563">
        <v>0</v>
      </c>
      <c r="E1563">
        <v>-797390.69</v>
      </c>
      <c r="F1563">
        <v>0</v>
      </c>
      <c r="G1563">
        <v>0</v>
      </c>
      <c r="H1563">
        <v>-797390.69</v>
      </c>
      <c r="I1563">
        <v>-797390.69</v>
      </c>
      <c r="J1563" t="s">
        <v>428</v>
      </c>
    </row>
    <row r="1564" spans="1:10" x14ac:dyDescent="0.35">
      <c r="A1564">
        <v>770</v>
      </c>
      <c r="B1564"/>
      <c r="C1564">
        <v>0</v>
      </c>
      <c r="D1564">
        <v>0</v>
      </c>
      <c r="E1564">
        <v>0</v>
      </c>
      <c r="F1564">
        <v>0</v>
      </c>
      <c r="G1564">
        <v>0</v>
      </c>
      <c r="H1564">
        <v>0</v>
      </c>
      <c r="I1564">
        <v>0</v>
      </c>
      <c r="J1564" t="s">
        <v>428</v>
      </c>
    </row>
    <row r="1565" spans="1:10" x14ac:dyDescent="0.35">
      <c r="A1565">
        <v>800</v>
      </c>
      <c r="B1565" t="s">
        <v>606</v>
      </c>
      <c r="C1565">
        <v>951992.54</v>
      </c>
      <c r="D1565">
        <v>0</v>
      </c>
      <c r="E1565">
        <v>951992.54</v>
      </c>
      <c r="F1565">
        <v>14300.84</v>
      </c>
      <c r="G1565">
        <v>14300.84</v>
      </c>
      <c r="H1565">
        <v>937691.7</v>
      </c>
      <c r="I1565">
        <v>937691.7</v>
      </c>
      <c r="J1565" t="s">
        <v>428</v>
      </c>
    </row>
    <row r="1566" spans="1:10" x14ac:dyDescent="0.35">
      <c r="A1566">
        <v>900</v>
      </c>
      <c r="B1566" t="s">
        <v>607</v>
      </c>
      <c r="C1566">
        <v>4697734.99</v>
      </c>
      <c r="D1566">
        <v>0</v>
      </c>
      <c r="E1566">
        <v>4697734.99</v>
      </c>
      <c r="F1566">
        <v>387438.52</v>
      </c>
      <c r="G1566">
        <v>387438.52</v>
      </c>
      <c r="H1566">
        <v>4310296.47</v>
      </c>
      <c r="I1566">
        <v>4310296.47</v>
      </c>
      <c r="J1566" t="s">
        <v>428</v>
      </c>
    </row>
    <row r="1567" spans="1:10" x14ac:dyDescent="0.35">
      <c r="A1567">
        <v>1000</v>
      </c>
      <c r="B1567" t="s">
        <v>558</v>
      </c>
      <c r="C1567">
        <v>0</v>
      </c>
      <c r="D1567">
        <v>0</v>
      </c>
      <c r="E1567">
        <v>0</v>
      </c>
      <c r="F1567">
        <v>0</v>
      </c>
      <c r="G1567">
        <v>0</v>
      </c>
      <c r="H1567">
        <v>0</v>
      </c>
      <c r="I1567">
        <v>0</v>
      </c>
      <c r="J1567" t="s">
        <v>428</v>
      </c>
    </row>
    <row r="1568" spans="1:10" x14ac:dyDescent="0.35">
      <c r="A1568" t="s">
        <v>535</v>
      </c>
      <c r="B1568" t="s">
        <v>416</v>
      </c>
      <c r="C1568" t="s">
        <v>537</v>
      </c>
      <c r="D1568" t="s">
        <v>538</v>
      </c>
      <c r="E1568" t="s">
        <v>539</v>
      </c>
      <c r="F1568" t="s">
        <v>540</v>
      </c>
      <c r="G1568" t="s">
        <v>541</v>
      </c>
      <c r="H1568" t="s">
        <v>542</v>
      </c>
      <c r="I1568" t="s">
        <v>543</v>
      </c>
      <c r="J1568" t="s">
        <v>121</v>
      </c>
    </row>
    <row r="1569" spans="1:10" x14ac:dyDescent="0.35">
      <c r="A1569">
        <v>10</v>
      </c>
      <c r="B1569" t="s">
        <v>544</v>
      </c>
      <c r="C1569">
        <v>0</v>
      </c>
      <c r="D1569">
        <v>0</v>
      </c>
      <c r="E1569">
        <v>0</v>
      </c>
      <c r="F1569">
        <v>0</v>
      </c>
      <c r="G1569">
        <v>0</v>
      </c>
      <c r="H1569">
        <v>0</v>
      </c>
      <c r="I1569">
        <v>0</v>
      </c>
      <c r="J1569" t="s">
        <v>428</v>
      </c>
    </row>
    <row r="1570" spans="1:10" x14ac:dyDescent="0.35">
      <c r="A1570">
        <v>20</v>
      </c>
      <c r="B1570" t="s">
        <v>562</v>
      </c>
      <c r="C1570">
        <v>587.97</v>
      </c>
      <c r="D1570">
        <v>0</v>
      </c>
      <c r="E1570">
        <v>587.97</v>
      </c>
      <c r="F1570">
        <v>2559.61</v>
      </c>
      <c r="G1570">
        <v>2559.61</v>
      </c>
      <c r="H1570">
        <v>-1971.64</v>
      </c>
      <c r="I1570">
        <v>-1971.64</v>
      </c>
      <c r="J1570" t="s">
        <v>428</v>
      </c>
    </row>
    <row r="1571" spans="1:10" x14ac:dyDescent="0.35">
      <c r="A1571">
        <v>30</v>
      </c>
      <c r="B1571" t="s">
        <v>563</v>
      </c>
      <c r="C1571">
        <v>0</v>
      </c>
      <c r="D1571">
        <v>0</v>
      </c>
      <c r="E1571">
        <v>0</v>
      </c>
      <c r="F1571">
        <v>0</v>
      </c>
      <c r="G1571">
        <v>0</v>
      </c>
      <c r="H1571">
        <v>0</v>
      </c>
      <c r="I1571">
        <v>0</v>
      </c>
      <c r="J1571" t="s">
        <v>428</v>
      </c>
    </row>
    <row r="1572" spans="1:10" x14ac:dyDescent="0.35">
      <c r="A1572">
        <v>40</v>
      </c>
      <c r="B1572" t="s">
        <v>564</v>
      </c>
      <c r="C1572">
        <v>0</v>
      </c>
      <c r="D1572">
        <v>0</v>
      </c>
      <c r="E1572">
        <v>0</v>
      </c>
      <c r="F1572">
        <v>0</v>
      </c>
      <c r="G1572">
        <v>0</v>
      </c>
      <c r="H1572">
        <v>0</v>
      </c>
      <c r="I1572">
        <v>0</v>
      </c>
      <c r="J1572" t="s">
        <v>428</v>
      </c>
    </row>
    <row r="1573" spans="1:10" x14ac:dyDescent="0.35">
      <c r="A1573">
        <v>50</v>
      </c>
      <c r="B1573" t="s">
        <v>565</v>
      </c>
      <c r="C1573">
        <v>892191.76</v>
      </c>
      <c r="D1573">
        <v>0</v>
      </c>
      <c r="E1573">
        <v>892191.76</v>
      </c>
      <c r="F1573">
        <v>-5000</v>
      </c>
      <c r="G1573">
        <v>-5000</v>
      </c>
      <c r="H1573">
        <v>897191.76</v>
      </c>
      <c r="I1573">
        <v>897191.76</v>
      </c>
      <c r="J1573" t="s">
        <v>428</v>
      </c>
    </row>
    <row r="1574" spans="1:10" x14ac:dyDescent="0.35">
      <c r="A1574">
        <v>60</v>
      </c>
      <c r="B1574" t="s">
        <v>198</v>
      </c>
      <c r="C1574">
        <v>0</v>
      </c>
      <c r="D1574">
        <v>0</v>
      </c>
      <c r="E1574">
        <v>0</v>
      </c>
      <c r="F1574">
        <v>0</v>
      </c>
      <c r="G1574">
        <v>0</v>
      </c>
      <c r="H1574">
        <v>0</v>
      </c>
      <c r="I1574">
        <v>0</v>
      </c>
      <c r="J1574" t="s">
        <v>428</v>
      </c>
    </row>
    <row r="1575" spans="1:10" x14ac:dyDescent="0.35">
      <c r="A1575">
        <v>70</v>
      </c>
      <c r="B1575" t="s">
        <v>566</v>
      </c>
      <c r="C1575">
        <v>462</v>
      </c>
      <c r="D1575">
        <v>0</v>
      </c>
      <c r="E1575">
        <v>462</v>
      </c>
      <c r="F1575">
        <v>0</v>
      </c>
      <c r="G1575">
        <v>0</v>
      </c>
      <c r="H1575">
        <v>462</v>
      </c>
      <c r="I1575">
        <v>462</v>
      </c>
      <c r="J1575" t="s">
        <v>428</v>
      </c>
    </row>
    <row r="1576" spans="1:10" x14ac:dyDescent="0.35">
      <c r="A1576">
        <v>80</v>
      </c>
      <c r="B1576" t="s">
        <v>567</v>
      </c>
      <c r="C1576">
        <v>0</v>
      </c>
      <c r="D1576">
        <v>0</v>
      </c>
      <c r="E1576">
        <v>0</v>
      </c>
      <c r="F1576">
        <v>0</v>
      </c>
      <c r="G1576">
        <v>0</v>
      </c>
      <c r="H1576">
        <v>0</v>
      </c>
      <c r="I1576">
        <v>0</v>
      </c>
      <c r="J1576" t="s">
        <v>428</v>
      </c>
    </row>
    <row r="1577" spans="1:10" x14ac:dyDescent="0.35">
      <c r="A1577">
        <v>100</v>
      </c>
      <c r="B1577" t="s">
        <v>568</v>
      </c>
      <c r="C1577">
        <v>893241.73</v>
      </c>
      <c r="D1577">
        <v>0</v>
      </c>
      <c r="E1577">
        <v>893241.73</v>
      </c>
      <c r="F1577">
        <v>-2440.39</v>
      </c>
      <c r="G1577">
        <v>-2440.39</v>
      </c>
      <c r="H1577">
        <v>895682.12</v>
      </c>
      <c r="I1577">
        <v>895682.12</v>
      </c>
      <c r="J1577" t="s">
        <v>428</v>
      </c>
    </row>
    <row r="1578" spans="1:10" x14ac:dyDescent="0.35">
      <c r="A1578">
        <v>110</v>
      </c>
      <c r="B1578" t="s">
        <v>569</v>
      </c>
      <c r="C1578">
        <v>0</v>
      </c>
      <c r="D1578">
        <v>0</v>
      </c>
      <c r="E1578">
        <v>0</v>
      </c>
      <c r="F1578">
        <v>0</v>
      </c>
      <c r="G1578">
        <v>0</v>
      </c>
      <c r="H1578">
        <v>0</v>
      </c>
      <c r="I1578">
        <v>0</v>
      </c>
      <c r="J1578" t="s">
        <v>428</v>
      </c>
    </row>
    <row r="1579" spans="1:10" x14ac:dyDescent="0.35">
      <c r="A1579">
        <v>120</v>
      </c>
      <c r="B1579" t="s">
        <v>570</v>
      </c>
      <c r="C1579">
        <v>420443.5</v>
      </c>
      <c r="D1579">
        <v>0</v>
      </c>
      <c r="E1579">
        <v>420443.5</v>
      </c>
      <c r="F1579">
        <v>0</v>
      </c>
      <c r="G1579">
        <v>0</v>
      </c>
      <c r="H1579">
        <v>420443.5</v>
      </c>
      <c r="I1579">
        <v>420443.5</v>
      </c>
      <c r="J1579" t="s">
        <v>428</v>
      </c>
    </row>
    <row r="1580" spans="1:10" x14ac:dyDescent="0.35">
      <c r="A1580">
        <v>130</v>
      </c>
      <c r="B1580" t="s">
        <v>571</v>
      </c>
      <c r="C1580">
        <v>0</v>
      </c>
      <c r="D1580">
        <v>0</v>
      </c>
      <c r="E1580">
        <v>0</v>
      </c>
      <c r="F1580">
        <v>0</v>
      </c>
      <c r="G1580">
        <v>0</v>
      </c>
      <c r="H1580">
        <v>0</v>
      </c>
      <c r="I1580">
        <v>0</v>
      </c>
      <c r="J1580" t="s">
        <v>428</v>
      </c>
    </row>
    <row r="1581" spans="1:10" x14ac:dyDescent="0.35">
      <c r="A1581">
        <v>140</v>
      </c>
      <c r="B1581" t="s">
        <v>572</v>
      </c>
      <c r="C1581">
        <v>0</v>
      </c>
      <c r="D1581">
        <v>0</v>
      </c>
      <c r="E1581">
        <v>0</v>
      </c>
      <c r="F1581">
        <v>0</v>
      </c>
      <c r="G1581">
        <v>0</v>
      </c>
      <c r="H1581">
        <v>0</v>
      </c>
      <c r="I1581">
        <v>0</v>
      </c>
      <c r="J1581" t="s">
        <v>428</v>
      </c>
    </row>
    <row r="1582" spans="1:10" x14ac:dyDescent="0.35">
      <c r="A1582">
        <v>150</v>
      </c>
      <c r="B1582" t="s">
        <v>573</v>
      </c>
      <c r="C1582">
        <v>0</v>
      </c>
      <c r="D1582">
        <v>0</v>
      </c>
      <c r="E1582">
        <v>0</v>
      </c>
      <c r="F1582">
        <v>0</v>
      </c>
      <c r="G1582">
        <v>0</v>
      </c>
      <c r="H1582">
        <v>0</v>
      </c>
      <c r="I1582">
        <v>0</v>
      </c>
      <c r="J1582" t="s">
        <v>428</v>
      </c>
    </row>
    <row r="1583" spans="1:10" x14ac:dyDescent="0.35">
      <c r="A1583">
        <v>160</v>
      </c>
      <c r="B1583" t="s">
        <v>574</v>
      </c>
      <c r="C1583">
        <v>0</v>
      </c>
      <c r="D1583">
        <v>0</v>
      </c>
      <c r="E1583">
        <v>0</v>
      </c>
      <c r="F1583">
        <v>0</v>
      </c>
      <c r="G1583">
        <v>0</v>
      </c>
      <c r="H1583">
        <v>0</v>
      </c>
      <c r="I1583">
        <v>0</v>
      </c>
      <c r="J1583" t="s">
        <v>428</v>
      </c>
    </row>
    <row r="1584" spans="1:10" x14ac:dyDescent="0.35">
      <c r="A1584">
        <v>170</v>
      </c>
      <c r="B1584" t="s">
        <v>575</v>
      </c>
      <c r="C1584">
        <v>0</v>
      </c>
      <c r="D1584">
        <v>0</v>
      </c>
      <c r="E1584">
        <v>0</v>
      </c>
      <c r="F1584">
        <v>0</v>
      </c>
      <c r="G1584">
        <v>0</v>
      </c>
      <c r="H1584">
        <v>0</v>
      </c>
      <c r="I1584">
        <v>0</v>
      </c>
      <c r="J1584" t="s">
        <v>428</v>
      </c>
    </row>
    <row r="1585" spans="1:10" x14ac:dyDescent="0.35">
      <c r="A1585">
        <v>180</v>
      </c>
      <c r="B1585" t="s">
        <v>576</v>
      </c>
      <c r="C1585">
        <v>0</v>
      </c>
      <c r="D1585">
        <v>0</v>
      </c>
      <c r="E1585">
        <v>0</v>
      </c>
      <c r="F1585">
        <v>0</v>
      </c>
      <c r="G1585">
        <v>0</v>
      </c>
      <c r="H1585">
        <v>0</v>
      </c>
      <c r="I1585">
        <v>0</v>
      </c>
      <c r="J1585" t="s">
        <v>428</v>
      </c>
    </row>
    <row r="1586" spans="1:10" x14ac:dyDescent="0.35">
      <c r="A1586">
        <v>190</v>
      </c>
      <c r="B1586" t="s">
        <v>577</v>
      </c>
      <c r="C1586">
        <v>0</v>
      </c>
      <c r="D1586">
        <v>0</v>
      </c>
      <c r="E1586">
        <v>0</v>
      </c>
      <c r="F1586">
        <v>0</v>
      </c>
      <c r="G1586">
        <v>0</v>
      </c>
      <c r="H1586">
        <v>0</v>
      </c>
      <c r="I1586">
        <v>0</v>
      </c>
      <c r="J1586" t="s">
        <v>428</v>
      </c>
    </row>
    <row r="1587" spans="1:10" x14ac:dyDescent="0.35">
      <c r="A1587">
        <v>200</v>
      </c>
      <c r="B1587" t="s">
        <v>578</v>
      </c>
      <c r="C1587">
        <v>420443.5</v>
      </c>
      <c r="D1587">
        <v>0</v>
      </c>
      <c r="E1587">
        <v>420443.5</v>
      </c>
      <c r="F1587">
        <v>0</v>
      </c>
      <c r="G1587">
        <v>0</v>
      </c>
      <c r="H1587">
        <v>420443.5</v>
      </c>
      <c r="I1587">
        <v>420443.5</v>
      </c>
      <c r="J1587" t="s">
        <v>428</v>
      </c>
    </row>
    <row r="1588" spans="1:10" x14ac:dyDescent="0.35">
      <c r="A1588">
        <v>210</v>
      </c>
      <c r="B1588" t="s">
        <v>579</v>
      </c>
      <c r="C1588">
        <v>0</v>
      </c>
      <c r="D1588">
        <v>0</v>
      </c>
      <c r="E1588">
        <v>0</v>
      </c>
      <c r="F1588">
        <v>0</v>
      </c>
      <c r="G1588">
        <v>0</v>
      </c>
      <c r="H1588">
        <v>0</v>
      </c>
      <c r="I1588">
        <v>0</v>
      </c>
      <c r="J1588" t="s">
        <v>428</v>
      </c>
    </row>
    <row r="1589" spans="1:10" x14ac:dyDescent="0.35">
      <c r="A1589">
        <v>220</v>
      </c>
      <c r="B1589" t="s">
        <v>580</v>
      </c>
      <c r="C1589">
        <v>0</v>
      </c>
      <c r="D1589">
        <v>0</v>
      </c>
      <c r="E1589">
        <v>0</v>
      </c>
      <c r="F1589">
        <v>0</v>
      </c>
      <c r="G1589">
        <v>0</v>
      </c>
      <c r="H1589">
        <v>0</v>
      </c>
      <c r="I1589">
        <v>0</v>
      </c>
      <c r="J1589" t="s">
        <v>428</v>
      </c>
    </row>
    <row r="1590" spans="1:10" x14ac:dyDescent="0.35">
      <c r="A1590">
        <v>230</v>
      </c>
      <c r="B1590" t="s">
        <v>581</v>
      </c>
      <c r="C1590">
        <v>0</v>
      </c>
      <c r="D1590">
        <v>0</v>
      </c>
      <c r="E1590">
        <v>0</v>
      </c>
      <c r="F1590">
        <v>0</v>
      </c>
      <c r="G1590">
        <v>0</v>
      </c>
      <c r="H1590">
        <v>0</v>
      </c>
      <c r="I1590">
        <v>0</v>
      </c>
      <c r="J1590" t="s">
        <v>428</v>
      </c>
    </row>
    <row r="1591" spans="1:10" x14ac:dyDescent="0.35">
      <c r="A1591">
        <v>240</v>
      </c>
      <c r="B1591" t="s">
        <v>582</v>
      </c>
      <c r="C1591">
        <v>0</v>
      </c>
      <c r="D1591">
        <v>0</v>
      </c>
      <c r="E1591">
        <v>0</v>
      </c>
      <c r="F1591">
        <v>0</v>
      </c>
      <c r="G1591">
        <v>0</v>
      </c>
      <c r="H1591">
        <v>0</v>
      </c>
      <c r="I1591">
        <v>0</v>
      </c>
      <c r="J1591" t="s">
        <v>428</v>
      </c>
    </row>
    <row r="1592" spans="1:10" x14ac:dyDescent="0.35">
      <c r="A1592">
        <v>250</v>
      </c>
      <c r="B1592" t="s">
        <v>583</v>
      </c>
      <c r="C1592">
        <v>0</v>
      </c>
      <c r="D1592">
        <v>0</v>
      </c>
      <c r="E1592">
        <v>0</v>
      </c>
      <c r="F1592">
        <v>0</v>
      </c>
      <c r="G1592">
        <v>0</v>
      </c>
      <c r="H1592">
        <v>0</v>
      </c>
      <c r="I1592">
        <v>0</v>
      </c>
      <c r="J1592" t="s">
        <v>428</v>
      </c>
    </row>
    <row r="1593" spans="1:10" x14ac:dyDescent="0.35">
      <c r="A1593">
        <v>260</v>
      </c>
      <c r="B1593" t="s">
        <v>584</v>
      </c>
      <c r="C1593">
        <v>0</v>
      </c>
      <c r="D1593">
        <v>0</v>
      </c>
      <c r="E1593">
        <v>0</v>
      </c>
      <c r="F1593">
        <v>0</v>
      </c>
      <c r="G1593">
        <v>0</v>
      </c>
      <c r="H1593">
        <v>0</v>
      </c>
      <c r="I1593">
        <v>0</v>
      </c>
      <c r="J1593" t="s">
        <v>428</v>
      </c>
    </row>
    <row r="1594" spans="1:10" x14ac:dyDescent="0.35">
      <c r="A1594">
        <v>270</v>
      </c>
      <c r="B1594" t="s">
        <v>585</v>
      </c>
      <c r="C1594">
        <v>0</v>
      </c>
      <c r="D1594">
        <v>0</v>
      </c>
      <c r="E1594">
        <v>0</v>
      </c>
      <c r="F1594">
        <v>0</v>
      </c>
      <c r="G1594">
        <v>0</v>
      </c>
      <c r="H1594">
        <v>0</v>
      </c>
      <c r="I1594">
        <v>0</v>
      </c>
      <c r="J1594" t="s">
        <v>428</v>
      </c>
    </row>
    <row r="1595" spans="1:10" x14ac:dyDescent="0.35">
      <c r="A1595">
        <v>280</v>
      </c>
      <c r="B1595" t="s">
        <v>586</v>
      </c>
      <c r="C1595">
        <v>0</v>
      </c>
      <c r="D1595">
        <v>0</v>
      </c>
      <c r="E1595">
        <v>0</v>
      </c>
      <c r="F1595">
        <v>0</v>
      </c>
      <c r="G1595">
        <v>0</v>
      </c>
      <c r="H1595">
        <v>0</v>
      </c>
      <c r="I1595">
        <v>0</v>
      </c>
      <c r="J1595" t="s">
        <v>428</v>
      </c>
    </row>
    <row r="1596" spans="1:10" x14ac:dyDescent="0.35">
      <c r="A1596">
        <v>400</v>
      </c>
      <c r="B1596" t="s">
        <v>587</v>
      </c>
      <c r="C1596">
        <v>1313685.23</v>
      </c>
      <c r="D1596">
        <v>0</v>
      </c>
      <c r="E1596">
        <v>1313685.23</v>
      </c>
      <c r="F1596">
        <v>-2440.39</v>
      </c>
      <c r="G1596">
        <v>-2440.39</v>
      </c>
      <c r="H1596">
        <v>1316125.6200000001</v>
      </c>
      <c r="I1596">
        <v>1316125.6200000001</v>
      </c>
      <c r="J1596" t="s">
        <v>428</v>
      </c>
    </row>
    <row r="1597" spans="1:10" x14ac:dyDescent="0.35">
      <c r="A1597">
        <v>410</v>
      </c>
      <c r="B1597" t="s">
        <v>588</v>
      </c>
      <c r="C1597">
        <v>0</v>
      </c>
      <c r="D1597">
        <v>0</v>
      </c>
      <c r="E1597">
        <v>0</v>
      </c>
      <c r="F1597">
        <v>0</v>
      </c>
      <c r="G1597">
        <v>0</v>
      </c>
      <c r="H1597">
        <v>0</v>
      </c>
      <c r="I1597">
        <v>0</v>
      </c>
      <c r="J1597" t="s">
        <v>428</v>
      </c>
    </row>
    <row r="1598" spans="1:10" x14ac:dyDescent="0.35">
      <c r="A1598">
        <v>420</v>
      </c>
      <c r="B1598" t="s">
        <v>589</v>
      </c>
      <c r="C1598">
        <v>0</v>
      </c>
      <c r="D1598">
        <v>0</v>
      </c>
      <c r="E1598">
        <v>0</v>
      </c>
      <c r="F1598">
        <v>0</v>
      </c>
      <c r="G1598">
        <v>0</v>
      </c>
      <c r="H1598">
        <v>0</v>
      </c>
      <c r="I1598">
        <v>0</v>
      </c>
      <c r="J1598" t="s">
        <v>428</v>
      </c>
    </row>
    <row r="1599" spans="1:10" x14ac:dyDescent="0.35">
      <c r="A1599">
        <v>430</v>
      </c>
      <c r="B1599" t="s">
        <v>590</v>
      </c>
      <c r="C1599">
        <v>0</v>
      </c>
      <c r="D1599">
        <v>0</v>
      </c>
      <c r="E1599">
        <v>0</v>
      </c>
      <c r="F1599">
        <v>0</v>
      </c>
      <c r="G1599">
        <v>0</v>
      </c>
      <c r="H1599">
        <v>0</v>
      </c>
      <c r="I1599">
        <v>0</v>
      </c>
      <c r="J1599" t="s">
        <v>428</v>
      </c>
    </row>
    <row r="1600" spans="1:10" x14ac:dyDescent="0.35">
      <c r="A1600">
        <v>440</v>
      </c>
      <c r="B1600" t="s">
        <v>591</v>
      </c>
      <c r="C1600">
        <v>0</v>
      </c>
      <c r="D1600">
        <v>0</v>
      </c>
      <c r="E1600">
        <v>0</v>
      </c>
      <c r="F1600">
        <v>0</v>
      </c>
      <c r="G1600">
        <v>0</v>
      </c>
      <c r="H1600">
        <v>0</v>
      </c>
      <c r="I1600">
        <v>0</v>
      </c>
      <c r="J1600" t="s">
        <v>428</v>
      </c>
    </row>
    <row r="1601" spans="1:10" x14ac:dyDescent="0.35">
      <c r="A1601">
        <v>450</v>
      </c>
      <c r="B1601" t="s">
        <v>592</v>
      </c>
      <c r="C1601">
        <v>0</v>
      </c>
      <c r="D1601">
        <v>0</v>
      </c>
      <c r="E1601">
        <v>0</v>
      </c>
      <c r="F1601">
        <v>0</v>
      </c>
      <c r="G1601">
        <v>0</v>
      </c>
      <c r="H1601">
        <v>0</v>
      </c>
      <c r="I1601">
        <v>0</v>
      </c>
      <c r="J1601" t="s">
        <v>428</v>
      </c>
    </row>
    <row r="1602" spans="1:10" x14ac:dyDescent="0.35">
      <c r="A1602">
        <v>460</v>
      </c>
      <c r="B1602" t="s">
        <v>593</v>
      </c>
      <c r="C1602">
        <v>0</v>
      </c>
      <c r="D1602">
        <v>0</v>
      </c>
      <c r="E1602">
        <v>0</v>
      </c>
      <c r="F1602">
        <v>0</v>
      </c>
      <c r="G1602">
        <v>0</v>
      </c>
      <c r="H1602">
        <v>0</v>
      </c>
      <c r="I1602">
        <v>0</v>
      </c>
      <c r="J1602" t="s">
        <v>428</v>
      </c>
    </row>
    <row r="1603" spans="1:10" x14ac:dyDescent="0.35">
      <c r="A1603">
        <v>500</v>
      </c>
      <c r="B1603" t="s">
        <v>594</v>
      </c>
      <c r="C1603">
        <v>0</v>
      </c>
      <c r="D1603">
        <v>0</v>
      </c>
      <c r="E1603">
        <v>0</v>
      </c>
      <c r="F1603">
        <v>0</v>
      </c>
      <c r="G1603">
        <v>0</v>
      </c>
      <c r="H1603">
        <v>0</v>
      </c>
      <c r="I1603">
        <v>0</v>
      </c>
      <c r="J1603" t="s">
        <v>428</v>
      </c>
    </row>
    <row r="1604" spans="1:10" x14ac:dyDescent="0.35">
      <c r="A1604">
        <v>510</v>
      </c>
      <c r="B1604" t="s">
        <v>595</v>
      </c>
      <c r="C1604">
        <v>0</v>
      </c>
      <c r="D1604">
        <v>0</v>
      </c>
      <c r="E1604">
        <v>0</v>
      </c>
      <c r="F1604">
        <v>0</v>
      </c>
      <c r="G1604">
        <v>0</v>
      </c>
      <c r="H1604">
        <v>0</v>
      </c>
      <c r="I1604">
        <v>0</v>
      </c>
      <c r="J1604" t="s">
        <v>428</v>
      </c>
    </row>
    <row r="1605" spans="1:10" x14ac:dyDescent="0.35">
      <c r="A1605">
        <v>520</v>
      </c>
      <c r="B1605" t="s">
        <v>596</v>
      </c>
      <c r="C1605">
        <v>0</v>
      </c>
      <c r="D1605">
        <v>0</v>
      </c>
      <c r="E1605">
        <v>0</v>
      </c>
      <c r="F1605">
        <v>0</v>
      </c>
      <c r="G1605">
        <v>0</v>
      </c>
      <c r="H1605">
        <v>0</v>
      </c>
      <c r="I1605">
        <v>0</v>
      </c>
      <c r="J1605" t="s">
        <v>428</v>
      </c>
    </row>
    <row r="1606" spans="1:10" x14ac:dyDescent="0.35">
      <c r="A1606">
        <v>530</v>
      </c>
      <c r="B1606" t="s">
        <v>597</v>
      </c>
      <c r="C1606">
        <v>790496.94</v>
      </c>
      <c r="D1606">
        <v>0</v>
      </c>
      <c r="E1606">
        <v>790496.94</v>
      </c>
      <c r="F1606">
        <v>-4684.79</v>
      </c>
      <c r="G1606">
        <v>-4684.79</v>
      </c>
      <c r="H1606">
        <v>795181.73</v>
      </c>
      <c r="I1606">
        <v>795181.73</v>
      </c>
      <c r="J1606" t="s">
        <v>428</v>
      </c>
    </row>
    <row r="1607" spans="1:10" x14ac:dyDescent="0.35">
      <c r="A1607">
        <v>540</v>
      </c>
      <c r="B1607" t="s">
        <v>598</v>
      </c>
      <c r="C1607">
        <v>0</v>
      </c>
      <c r="D1607">
        <v>0</v>
      </c>
      <c r="E1607">
        <v>0</v>
      </c>
      <c r="F1607">
        <v>0</v>
      </c>
      <c r="G1607">
        <v>0</v>
      </c>
      <c r="H1607">
        <v>0</v>
      </c>
      <c r="I1607">
        <v>0</v>
      </c>
      <c r="J1607" t="s">
        <v>428</v>
      </c>
    </row>
    <row r="1608" spans="1:10" x14ac:dyDescent="0.35">
      <c r="A1608">
        <v>600</v>
      </c>
      <c r="B1608" t="s">
        <v>599</v>
      </c>
      <c r="C1608">
        <v>790496.94</v>
      </c>
      <c r="D1608">
        <v>0</v>
      </c>
      <c r="E1608">
        <v>790496.94</v>
      </c>
      <c r="F1608">
        <v>-4684.79</v>
      </c>
      <c r="G1608">
        <v>-4684.79</v>
      </c>
      <c r="H1608">
        <v>795181.73</v>
      </c>
      <c r="I1608">
        <v>795181.73</v>
      </c>
      <c r="J1608" t="s">
        <v>428</v>
      </c>
    </row>
    <row r="1609" spans="1:10" x14ac:dyDescent="0.35">
      <c r="A1609">
        <v>610</v>
      </c>
      <c r="B1609" t="s">
        <v>600</v>
      </c>
      <c r="C1609">
        <v>0</v>
      </c>
      <c r="D1609">
        <v>0</v>
      </c>
      <c r="E1609">
        <v>0</v>
      </c>
      <c r="F1609">
        <v>0</v>
      </c>
      <c r="G1609">
        <v>0</v>
      </c>
      <c r="H1609">
        <v>0</v>
      </c>
      <c r="I1609">
        <v>0</v>
      </c>
      <c r="J1609" t="s">
        <v>428</v>
      </c>
    </row>
    <row r="1610" spans="1:10" x14ac:dyDescent="0.35">
      <c r="A1610">
        <v>620</v>
      </c>
      <c r="B1610"/>
      <c r="C1610">
        <v>0</v>
      </c>
      <c r="D1610">
        <v>0</v>
      </c>
      <c r="E1610">
        <v>0</v>
      </c>
      <c r="F1610">
        <v>0</v>
      </c>
      <c r="G1610">
        <v>0</v>
      </c>
      <c r="H1610">
        <v>0</v>
      </c>
      <c r="I1610">
        <v>0</v>
      </c>
      <c r="J1610" t="s">
        <v>428</v>
      </c>
    </row>
    <row r="1611" spans="1:10" x14ac:dyDescent="0.35">
      <c r="A1611">
        <v>700</v>
      </c>
      <c r="B1611" t="s">
        <v>601</v>
      </c>
      <c r="C1611">
        <v>0</v>
      </c>
      <c r="D1611">
        <v>0</v>
      </c>
      <c r="E1611">
        <v>0</v>
      </c>
      <c r="F1611">
        <v>0</v>
      </c>
      <c r="G1611">
        <v>0</v>
      </c>
      <c r="H1611">
        <v>0</v>
      </c>
      <c r="I1611">
        <v>0</v>
      </c>
      <c r="J1611" t="s">
        <v>428</v>
      </c>
    </row>
    <row r="1612" spans="1:10" x14ac:dyDescent="0.35">
      <c r="A1612">
        <v>710</v>
      </c>
      <c r="B1612" t="s">
        <v>557</v>
      </c>
      <c r="C1612">
        <v>0</v>
      </c>
      <c r="D1612">
        <v>0</v>
      </c>
      <c r="E1612">
        <v>0</v>
      </c>
      <c r="F1612">
        <v>0</v>
      </c>
      <c r="G1612">
        <v>0</v>
      </c>
      <c r="H1612">
        <v>0</v>
      </c>
      <c r="I1612">
        <v>0</v>
      </c>
      <c r="J1612" t="s">
        <v>428</v>
      </c>
    </row>
    <row r="1613" spans="1:10" x14ac:dyDescent="0.35">
      <c r="A1613">
        <v>720</v>
      </c>
      <c r="B1613" t="s">
        <v>602</v>
      </c>
      <c r="C1613">
        <v>0</v>
      </c>
      <c r="D1613">
        <v>0</v>
      </c>
      <c r="E1613">
        <v>0</v>
      </c>
      <c r="F1613">
        <v>0</v>
      </c>
      <c r="G1613">
        <v>0</v>
      </c>
      <c r="H1613">
        <v>0</v>
      </c>
      <c r="I1613">
        <v>0</v>
      </c>
      <c r="J1613" t="s">
        <v>428</v>
      </c>
    </row>
    <row r="1614" spans="1:10" x14ac:dyDescent="0.35">
      <c r="A1614">
        <v>730</v>
      </c>
      <c r="B1614" t="s">
        <v>603</v>
      </c>
      <c r="C1614">
        <v>0</v>
      </c>
      <c r="D1614">
        <v>0</v>
      </c>
      <c r="E1614">
        <v>0</v>
      </c>
      <c r="F1614">
        <v>0</v>
      </c>
      <c r="G1614">
        <v>0</v>
      </c>
      <c r="H1614">
        <v>0</v>
      </c>
      <c r="I1614">
        <v>0</v>
      </c>
      <c r="J1614" t="s">
        <v>428</v>
      </c>
    </row>
    <row r="1615" spans="1:10" x14ac:dyDescent="0.35">
      <c r="A1615">
        <v>740</v>
      </c>
      <c r="B1615" t="s">
        <v>604</v>
      </c>
      <c r="C1615">
        <v>34349.74</v>
      </c>
      <c r="D1615">
        <v>0</v>
      </c>
      <c r="E1615">
        <v>34349.74</v>
      </c>
      <c r="F1615">
        <v>0</v>
      </c>
      <c r="G1615">
        <v>0</v>
      </c>
      <c r="H1615">
        <v>10267.33</v>
      </c>
      <c r="I1615">
        <v>34349.74</v>
      </c>
      <c r="J1615" t="s">
        <v>428</v>
      </c>
    </row>
    <row r="1616" spans="1:10" x14ac:dyDescent="0.35">
      <c r="A1616">
        <v>750</v>
      </c>
      <c r="B1616" t="s">
        <v>522</v>
      </c>
      <c r="C1616">
        <v>2244.4</v>
      </c>
      <c r="D1616">
        <v>0</v>
      </c>
      <c r="E1616">
        <v>2244.4</v>
      </c>
      <c r="F1616">
        <v>2244.4</v>
      </c>
      <c r="G1616">
        <v>2244.4</v>
      </c>
      <c r="H1616">
        <v>24082.41</v>
      </c>
      <c r="I1616">
        <v>0</v>
      </c>
      <c r="J1616" t="s">
        <v>428</v>
      </c>
    </row>
    <row r="1617" spans="1:10" x14ac:dyDescent="0.35">
      <c r="A1617">
        <v>760</v>
      </c>
      <c r="B1617" t="s">
        <v>605</v>
      </c>
      <c r="C1617">
        <v>486594.15</v>
      </c>
      <c r="D1617">
        <v>0</v>
      </c>
      <c r="E1617">
        <v>486594.15</v>
      </c>
      <c r="F1617">
        <v>0</v>
      </c>
      <c r="G1617">
        <v>0</v>
      </c>
      <c r="H1617">
        <v>486594.15</v>
      </c>
      <c r="I1617">
        <v>486594.15</v>
      </c>
      <c r="J1617" t="s">
        <v>428</v>
      </c>
    </row>
    <row r="1618" spans="1:10" x14ac:dyDescent="0.35">
      <c r="A1618">
        <v>770</v>
      </c>
      <c r="B1618"/>
      <c r="C1618">
        <v>0</v>
      </c>
      <c r="D1618">
        <v>0</v>
      </c>
      <c r="E1618">
        <v>0</v>
      </c>
      <c r="F1618">
        <v>0</v>
      </c>
      <c r="G1618">
        <v>0</v>
      </c>
      <c r="H1618">
        <v>0</v>
      </c>
      <c r="I1618">
        <v>0</v>
      </c>
      <c r="J1618" t="s">
        <v>428</v>
      </c>
    </row>
    <row r="1619" spans="1:10" x14ac:dyDescent="0.35">
      <c r="A1619">
        <v>800</v>
      </c>
      <c r="B1619" t="s">
        <v>606</v>
      </c>
      <c r="C1619">
        <v>523188.29</v>
      </c>
      <c r="D1619">
        <v>0</v>
      </c>
      <c r="E1619">
        <v>523188.29</v>
      </c>
      <c r="F1619">
        <v>2244.4</v>
      </c>
      <c r="G1619">
        <v>2244.4</v>
      </c>
      <c r="H1619">
        <v>520943.89</v>
      </c>
      <c r="I1619">
        <v>520943.89</v>
      </c>
      <c r="J1619" t="s">
        <v>428</v>
      </c>
    </row>
    <row r="1620" spans="1:10" x14ac:dyDescent="0.35">
      <c r="A1620">
        <v>900</v>
      </c>
      <c r="B1620" t="s">
        <v>607</v>
      </c>
      <c r="C1620">
        <v>1313685.23</v>
      </c>
      <c r="D1620">
        <v>0</v>
      </c>
      <c r="E1620">
        <v>1313685.23</v>
      </c>
      <c r="F1620">
        <v>-2440.39</v>
      </c>
      <c r="G1620">
        <v>-2440.39</v>
      </c>
      <c r="H1620">
        <v>1316125.6200000001</v>
      </c>
      <c r="I1620">
        <v>1316125.6200000001</v>
      </c>
      <c r="J1620" t="s">
        <v>428</v>
      </c>
    </row>
    <row r="1621" spans="1:10" x14ac:dyDescent="0.35">
      <c r="A1621">
        <v>1000</v>
      </c>
      <c r="B1621" t="s">
        <v>558</v>
      </c>
      <c r="C1621">
        <v>0</v>
      </c>
      <c r="D1621">
        <v>0</v>
      </c>
      <c r="E1621">
        <v>0</v>
      </c>
      <c r="F1621">
        <v>0</v>
      </c>
      <c r="G1621">
        <v>0</v>
      </c>
      <c r="H1621">
        <v>0</v>
      </c>
      <c r="I1621">
        <v>0</v>
      </c>
      <c r="J1621" t="s">
        <v>428</v>
      </c>
    </row>
    <row r="1622" spans="1:10" x14ac:dyDescent="0.35">
      <c r="A1622" t="s">
        <v>536</v>
      </c>
      <c r="B1622" t="s">
        <v>416</v>
      </c>
      <c r="C1622" t="s">
        <v>537</v>
      </c>
      <c r="D1622" t="s">
        <v>538</v>
      </c>
      <c r="E1622" t="s">
        <v>539</v>
      </c>
      <c r="F1622" t="s">
        <v>540</v>
      </c>
      <c r="G1622" t="s">
        <v>541</v>
      </c>
      <c r="H1622" t="s">
        <v>542</v>
      </c>
      <c r="I1622" t="s">
        <v>543</v>
      </c>
      <c r="J1622" t="s">
        <v>121</v>
      </c>
    </row>
    <row r="1623" spans="1:10" x14ac:dyDescent="0.35">
      <c r="A1623">
        <v>10</v>
      </c>
      <c r="B1623" t="s">
        <v>544</v>
      </c>
      <c r="C1623">
        <v>0</v>
      </c>
      <c r="D1623">
        <v>0</v>
      </c>
      <c r="E1623">
        <v>0</v>
      </c>
      <c r="F1623">
        <v>0</v>
      </c>
      <c r="G1623">
        <v>0</v>
      </c>
      <c r="H1623">
        <v>0</v>
      </c>
      <c r="I1623">
        <v>0</v>
      </c>
      <c r="J1623" t="s">
        <v>428</v>
      </c>
    </row>
    <row r="1624" spans="1:10" x14ac:dyDescent="0.35">
      <c r="A1624">
        <v>20</v>
      </c>
      <c r="B1624" t="s">
        <v>562</v>
      </c>
      <c r="C1624">
        <v>5367.68</v>
      </c>
      <c r="D1624">
        <v>0</v>
      </c>
      <c r="E1624">
        <v>5367.68</v>
      </c>
      <c r="F1624">
        <v>-10</v>
      </c>
      <c r="G1624">
        <v>-10</v>
      </c>
      <c r="H1624">
        <v>5377.68</v>
      </c>
      <c r="I1624">
        <v>5377.68</v>
      </c>
      <c r="J1624" t="s">
        <v>428</v>
      </c>
    </row>
    <row r="1625" spans="1:10" x14ac:dyDescent="0.35">
      <c r="A1625">
        <v>30</v>
      </c>
      <c r="B1625" t="s">
        <v>563</v>
      </c>
      <c r="C1625">
        <v>0</v>
      </c>
      <c r="D1625">
        <v>0</v>
      </c>
      <c r="E1625">
        <v>0</v>
      </c>
      <c r="F1625">
        <v>0</v>
      </c>
      <c r="G1625">
        <v>0</v>
      </c>
      <c r="H1625">
        <v>0</v>
      </c>
      <c r="I1625">
        <v>0</v>
      </c>
      <c r="J1625" t="s">
        <v>428</v>
      </c>
    </row>
    <row r="1626" spans="1:10" x14ac:dyDescent="0.35">
      <c r="A1626">
        <v>40</v>
      </c>
      <c r="B1626" t="s">
        <v>564</v>
      </c>
      <c r="C1626">
        <v>0</v>
      </c>
      <c r="D1626">
        <v>0</v>
      </c>
      <c r="E1626">
        <v>0</v>
      </c>
      <c r="F1626">
        <v>0</v>
      </c>
      <c r="G1626">
        <v>0</v>
      </c>
      <c r="H1626">
        <v>0</v>
      </c>
      <c r="I1626">
        <v>0</v>
      </c>
      <c r="J1626" t="s">
        <v>428</v>
      </c>
    </row>
    <row r="1627" spans="1:10" x14ac:dyDescent="0.35">
      <c r="A1627">
        <v>50</v>
      </c>
      <c r="B1627" t="s">
        <v>565</v>
      </c>
      <c r="C1627">
        <v>0</v>
      </c>
      <c r="D1627">
        <v>0</v>
      </c>
      <c r="E1627">
        <v>0</v>
      </c>
      <c r="F1627">
        <v>0</v>
      </c>
      <c r="G1627">
        <v>0</v>
      </c>
      <c r="H1627">
        <v>0</v>
      </c>
      <c r="I1627">
        <v>0</v>
      </c>
      <c r="J1627" t="s">
        <v>428</v>
      </c>
    </row>
    <row r="1628" spans="1:10" x14ac:dyDescent="0.35">
      <c r="A1628">
        <v>60</v>
      </c>
      <c r="B1628" t="s">
        <v>198</v>
      </c>
      <c r="C1628">
        <v>0</v>
      </c>
      <c r="D1628">
        <v>0</v>
      </c>
      <c r="E1628">
        <v>0</v>
      </c>
      <c r="F1628">
        <v>0</v>
      </c>
      <c r="G1628">
        <v>0</v>
      </c>
      <c r="H1628">
        <v>0</v>
      </c>
      <c r="I1628">
        <v>0</v>
      </c>
      <c r="J1628" t="s">
        <v>428</v>
      </c>
    </row>
    <row r="1629" spans="1:10" x14ac:dyDescent="0.35">
      <c r="A1629">
        <v>70</v>
      </c>
      <c r="B1629" t="s">
        <v>566</v>
      </c>
      <c r="C1629">
        <v>0</v>
      </c>
      <c r="D1629">
        <v>0</v>
      </c>
      <c r="E1629">
        <v>0</v>
      </c>
      <c r="F1629">
        <v>0</v>
      </c>
      <c r="G1629">
        <v>0</v>
      </c>
      <c r="H1629">
        <v>0</v>
      </c>
      <c r="I1629">
        <v>0</v>
      </c>
      <c r="J1629" t="s">
        <v>428</v>
      </c>
    </row>
    <row r="1630" spans="1:10" x14ac:dyDescent="0.35">
      <c r="A1630">
        <v>80</v>
      </c>
      <c r="B1630" t="s">
        <v>567</v>
      </c>
      <c r="C1630">
        <v>0</v>
      </c>
      <c r="D1630">
        <v>0</v>
      </c>
      <c r="E1630">
        <v>0</v>
      </c>
      <c r="F1630">
        <v>0</v>
      </c>
      <c r="G1630">
        <v>0</v>
      </c>
      <c r="H1630">
        <v>0</v>
      </c>
      <c r="I1630">
        <v>0</v>
      </c>
      <c r="J1630" t="s">
        <v>428</v>
      </c>
    </row>
    <row r="1631" spans="1:10" x14ac:dyDescent="0.35">
      <c r="A1631">
        <v>100</v>
      </c>
      <c r="B1631" t="s">
        <v>568</v>
      </c>
      <c r="C1631">
        <v>5367.68</v>
      </c>
      <c r="D1631">
        <v>0</v>
      </c>
      <c r="E1631">
        <v>5367.68</v>
      </c>
      <c r="F1631">
        <v>-10</v>
      </c>
      <c r="G1631">
        <v>-10</v>
      </c>
      <c r="H1631">
        <v>5377.68</v>
      </c>
      <c r="I1631">
        <v>5377.68</v>
      </c>
      <c r="J1631" t="s">
        <v>428</v>
      </c>
    </row>
    <row r="1632" spans="1:10" x14ac:dyDescent="0.35">
      <c r="A1632">
        <v>110</v>
      </c>
      <c r="B1632" t="s">
        <v>569</v>
      </c>
      <c r="C1632">
        <v>0</v>
      </c>
      <c r="D1632">
        <v>0</v>
      </c>
      <c r="E1632">
        <v>0</v>
      </c>
      <c r="F1632">
        <v>0</v>
      </c>
      <c r="G1632">
        <v>0</v>
      </c>
      <c r="H1632">
        <v>0</v>
      </c>
      <c r="I1632">
        <v>0</v>
      </c>
      <c r="J1632" t="s">
        <v>428</v>
      </c>
    </row>
    <row r="1633" spans="1:10" x14ac:dyDescent="0.35">
      <c r="A1633">
        <v>120</v>
      </c>
      <c r="B1633" t="s">
        <v>570</v>
      </c>
      <c r="C1633">
        <v>0</v>
      </c>
      <c r="D1633">
        <v>0</v>
      </c>
      <c r="E1633">
        <v>0</v>
      </c>
      <c r="F1633">
        <v>0</v>
      </c>
      <c r="G1633">
        <v>0</v>
      </c>
      <c r="H1633">
        <v>0</v>
      </c>
      <c r="I1633">
        <v>0</v>
      </c>
      <c r="J1633" t="s">
        <v>428</v>
      </c>
    </row>
    <row r="1634" spans="1:10" x14ac:dyDescent="0.35">
      <c r="A1634">
        <v>130</v>
      </c>
      <c r="B1634" t="s">
        <v>571</v>
      </c>
      <c r="C1634">
        <v>0</v>
      </c>
      <c r="D1634">
        <v>0</v>
      </c>
      <c r="E1634">
        <v>0</v>
      </c>
      <c r="F1634">
        <v>0</v>
      </c>
      <c r="G1634">
        <v>0</v>
      </c>
      <c r="H1634">
        <v>0</v>
      </c>
      <c r="I1634">
        <v>0</v>
      </c>
      <c r="J1634" t="s">
        <v>428</v>
      </c>
    </row>
    <row r="1635" spans="1:10" x14ac:dyDescent="0.35">
      <c r="A1635">
        <v>140</v>
      </c>
      <c r="B1635" t="s">
        <v>572</v>
      </c>
      <c r="C1635">
        <v>0</v>
      </c>
      <c r="D1635">
        <v>0</v>
      </c>
      <c r="E1635">
        <v>0</v>
      </c>
      <c r="F1635">
        <v>0</v>
      </c>
      <c r="G1635">
        <v>0</v>
      </c>
      <c r="H1635">
        <v>0</v>
      </c>
      <c r="I1635">
        <v>0</v>
      </c>
      <c r="J1635" t="s">
        <v>428</v>
      </c>
    </row>
    <row r="1636" spans="1:10" x14ac:dyDescent="0.35">
      <c r="A1636">
        <v>150</v>
      </c>
      <c r="B1636" t="s">
        <v>573</v>
      </c>
      <c r="C1636">
        <v>0</v>
      </c>
      <c r="D1636">
        <v>0</v>
      </c>
      <c r="E1636">
        <v>0</v>
      </c>
      <c r="F1636">
        <v>0</v>
      </c>
      <c r="G1636">
        <v>0</v>
      </c>
      <c r="H1636">
        <v>0</v>
      </c>
      <c r="I1636">
        <v>0</v>
      </c>
      <c r="J1636" t="s">
        <v>428</v>
      </c>
    </row>
    <row r="1637" spans="1:10" x14ac:dyDescent="0.35">
      <c r="A1637">
        <v>160</v>
      </c>
      <c r="B1637" t="s">
        <v>574</v>
      </c>
      <c r="C1637">
        <v>0</v>
      </c>
      <c r="D1637">
        <v>0</v>
      </c>
      <c r="E1637">
        <v>0</v>
      </c>
      <c r="F1637">
        <v>0</v>
      </c>
      <c r="G1637">
        <v>0</v>
      </c>
      <c r="H1637">
        <v>0</v>
      </c>
      <c r="I1637">
        <v>0</v>
      </c>
      <c r="J1637" t="s">
        <v>428</v>
      </c>
    </row>
    <row r="1638" spans="1:10" x14ac:dyDescent="0.35">
      <c r="A1638">
        <v>170</v>
      </c>
      <c r="B1638" t="s">
        <v>575</v>
      </c>
      <c r="C1638">
        <v>0</v>
      </c>
      <c r="D1638">
        <v>0</v>
      </c>
      <c r="E1638">
        <v>0</v>
      </c>
      <c r="F1638">
        <v>0</v>
      </c>
      <c r="G1638">
        <v>0</v>
      </c>
      <c r="H1638">
        <v>0</v>
      </c>
      <c r="I1638">
        <v>0</v>
      </c>
      <c r="J1638" t="s">
        <v>428</v>
      </c>
    </row>
    <row r="1639" spans="1:10" x14ac:dyDescent="0.35">
      <c r="A1639">
        <v>180</v>
      </c>
      <c r="B1639" t="s">
        <v>576</v>
      </c>
      <c r="C1639">
        <v>0</v>
      </c>
      <c r="D1639">
        <v>0</v>
      </c>
      <c r="E1639">
        <v>0</v>
      </c>
      <c r="F1639">
        <v>0</v>
      </c>
      <c r="G1639">
        <v>0</v>
      </c>
      <c r="H1639">
        <v>0</v>
      </c>
      <c r="I1639">
        <v>0</v>
      </c>
      <c r="J1639" t="s">
        <v>428</v>
      </c>
    </row>
    <row r="1640" spans="1:10" x14ac:dyDescent="0.35">
      <c r="A1640">
        <v>190</v>
      </c>
      <c r="B1640" t="s">
        <v>577</v>
      </c>
      <c r="C1640">
        <v>-23171</v>
      </c>
      <c r="D1640">
        <v>0</v>
      </c>
      <c r="E1640">
        <v>-23171</v>
      </c>
      <c r="F1640">
        <v>0</v>
      </c>
      <c r="G1640">
        <v>0</v>
      </c>
      <c r="H1640">
        <v>-23171</v>
      </c>
      <c r="I1640">
        <v>-23171</v>
      </c>
      <c r="J1640" t="s">
        <v>428</v>
      </c>
    </row>
    <row r="1641" spans="1:10" x14ac:dyDescent="0.35">
      <c r="A1641">
        <v>200</v>
      </c>
      <c r="B1641" t="s">
        <v>578</v>
      </c>
      <c r="C1641">
        <v>-23171</v>
      </c>
      <c r="D1641">
        <v>0</v>
      </c>
      <c r="E1641">
        <v>-23171</v>
      </c>
      <c r="F1641">
        <v>0</v>
      </c>
      <c r="G1641">
        <v>0</v>
      </c>
      <c r="H1641">
        <v>-23171</v>
      </c>
      <c r="I1641">
        <v>-23171</v>
      </c>
      <c r="J1641" t="s">
        <v>428</v>
      </c>
    </row>
    <row r="1642" spans="1:10" x14ac:dyDescent="0.35">
      <c r="A1642">
        <v>210</v>
      </c>
      <c r="B1642" t="s">
        <v>579</v>
      </c>
      <c r="C1642">
        <v>0</v>
      </c>
      <c r="D1642">
        <v>0</v>
      </c>
      <c r="E1642">
        <v>0</v>
      </c>
      <c r="F1642">
        <v>0</v>
      </c>
      <c r="G1642">
        <v>0</v>
      </c>
      <c r="H1642">
        <v>0</v>
      </c>
      <c r="I1642">
        <v>0</v>
      </c>
      <c r="J1642" t="s">
        <v>428</v>
      </c>
    </row>
    <row r="1643" spans="1:10" x14ac:dyDescent="0.35">
      <c r="A1643">
        <v>220</v>
      </c>
      <c r="B1643" t="s">
        <v>580</v>
      </c>
      <c r="C1643">
        <v>61457.63</v>
      </c>
      <c r="D1643">
        <v>0</v>
      </c>
      <c r="E1643">
        <v>61457.63</v>
      </c>
      <c r="F1643">
        <v>0</v>
      </c>
      <c r="G1643">
        <v>0</v>
      </c>
      <c r="H1643">
        <v>61457.63</v>
      </c>
      <c r="I1643">
        <v>61457.63</v>
      </c>
      <c r="J1643" t="s">
        <v>428</v>
      </c>
    </row>
    <row r="1644" spans="1:10" x14ac:dyDescent="0.35">
      <c r="A1644">
        <v>230</v>
      </c>
      <c r="B1644" t="s">
        <v>581</v>
      </c>
      <c r="C1644">
        <v>255096</v>
      </c>
      <c r="D1644">
        <v>0</v>
      </c>
      <c r="E1644">
        <v>255096</v>
      </c>
      <c r="F1644">
        <v>0</v>
      </c>
      <c r="G1644">
        <v>0</v>
      </c>
      <c r="H1644">
        <v>255096</v>
      </c>
      <c r="I1644">
        <v>255096</v>
      </c>
      <c r="J1644" t="s">
        <v>428</v>
      </c>
    </row>
    <row r="1645" spans="1:10" x14ac:dyDescent="0.35">
      <c r="A1645">
        <v>240</v>
      </c>
      <c r="B1645" t="s">
        <v>582</v>
      </c>
      <c r="C1645">
        <v>-61457.63</v>
      </c>
      <c r="D1645">
        <v>0</v>
      </c>
      <c r="E1645">
        <v>-61457.63</v>
      </c>
      <c r="F1645">
        <v>0</v>
      </c>
      <c r="G1645">
        <v>0</v>
      </c>
      <c r="H1645">
        <v>-61457.63</v>
      </c>
      <c r="I1645">
        <v>-61457.63</v>
      </c>
      <c r="J1645" t="s">
        <v>428</v>
      </c>
    </row>
    <row r="1646" spans="1:10" x14ac:dyDescent="0.35">
      <c r="A1646">
        <v>250</v>
      </c>
      <c r="B1646" t="s">
        <v>583</v>
      </c>
      <c r="C1646">
        <v>255096</v>
      </c>
      <c r="D1646">
        <v>0</v>
      </c>
      <c r="E1646">
        <v>255096</v>
      </c>
      <c r="F1646">
        <v>0</v>
      </c>
      <c r="G1646">
        <v>0</v>
      </c>
      <c r="H1646">
        <v>255096</v>
      </c>
      <c r="I1646">
        <v>255096</v>
      </c>
      <c r="J1646" t="s">
        <v>428</v>
      </c>
    </row>
    <row r="1647" spans="1:10" x14ac:dyDescent="0.35">
      <c r="A1647">
        <v>260</v>
      </c>
      <c r="B1647" t="s">
        <v>584</v>
      </c>
      <c r="C1647">
        <v>0</v>
      </c>
      <c r="D1647">
        <v>0</v>
      </c>
      <c r="E1647">
        <v>0</v>
      </c>
      <c r="F1647">
        <v>0</v>
      </c>
      <c r="G1647">
        <v>0</v>
      </c>
      <c r="H1647">
        <v>0</v>
      </c>
      <c r="I1647">
        <v>0</v>
      </c>
      <c r="J1647" t="s">
        <v>428</v>
      </c>
    </row>
    <row r="1648" spans="1:10" x14ac:dyDescent="0.35">
      <c r="A1648">
        <v>270</v>
      </c>
      <c r="B1648" t="s">
        <v>585</v>
      </c>
      <c r="C1648">
        <v>151384</v>
      </c>
      <c r="D1648">
        <v>0</v>
      </c>
      <c r="E1648">
        <v>151384</v>
      </c>
      <c r="F1648">
        <v>0</v>
      </c>
      <c r="G1648">
        <v>0</v>
      </c>
      <c r="H1648">
        <v>151384</v>
      </c>
      <c r="I1648">
        <v>151384</v>
      </c>
      <c r="J1648" t="s">
        <v>428</v>
      </c>
    </row>
    <row r="1649" spans="1:10" x14ac:dyDescent="0.35">
      <c r="A1649">
        <v>280</v>
      </c>
      <c r="B1649" t="s">
        <v>586</v>
      </c>
      <c r="C1649">
        <v>151384</v>
      </c>
      <c r="D1649">
        <v>0</v>
      </c>
      <c r="E1649">
        <v>151384</v>
      </c>
      <c r="F1649">
        <v>0</v>
      </c>
      <c r="G1649">
        <v>0</v>
      </c>
      <c r="H1649">
        <v>151384</v>
      </c>
      <c r="I1649">
        <v>151384</v>
      </c>
      <c r="J1649" t="s">
        <v>428</v>
      </c>
    </row>
    <row r="1650" spans="1:10" x14ac:dyDescent="0.35">
      <c r="A1650">
        <v>400</v>
      </c>
      <c r="B1650" t="s">
        <v>587</v>
      </c>
      <c r="C1650">
        <v>388676.68</v>
      </c>
      <c r="D1650">
        <v>0</v>
      </c>
      <c r="E1650">
        <v>388676.68</v>
      </c>
      <c r="F1650">
        <v>-10</v>
      </c>
      <c r="G1650">
        <v>-10</v>
      </c>
      <c r="H1650">
        <v>388686.68</v>
      </c>
      <c r="I1650">
        <v>388686.68</v>
      </c>
      <c r="J1650" t="s">
        <v>428</v>
      </c>
    </row>
    <row r="1651" spans="1:10" x14ac:dyDescent="0.35">
      <c r="A1651">
        <v>410</v>
      </c>
      <c r="B1651" t="s">
        <v>588</v>
      </c>
      <c r="C1651">
        <v>0</v>
      </c>
      <c r="D1651">
        <v>0</v>
      </c>
      <c r="E1651">
        <v>0</v>
      </c>
      <c r="F1651">
        <v>0</v>
      </c>
      <c r="G1651">
        <v>0</v>
      </c>
      <c r="H1651">
        <v>0</v>
      </c>
      <c r="I1651">
        <v>0</v>
      </c>
      <c r="J1651" t="s">
        <v>428</v>
      </c>
    </row>
    <row r="1652" spans="1:10" x14ac:dyDescent="0.35">
      <c r="A1652">
        <v>420</v>
      </c>
      <c r="B1652" t="s">
        <v>589</v>
      </c>
      <c r="C1652">
        <v>0</v>
      </c>
      <c r="D1652">
        <v>0</v>
      </c>
      <c r="E1652">
        <v>0</v>
      </c>
      <c r="F1652">
        <v>0</v>
      </c>
      <c r="G1652">
        <v>0</v>
      </c>
      <c r="H1652">
        <v>0</v>
      </c>
      <c r="I1652">
        <v>0</v>
      </c>
      <c r="J1652" t="s">
        <v>428</v>
      </c>
    </row>
    <row r="1653" spans="1:10" x14ac:dyDescent="0.35">
      <c r="A1653">
        <v>430</v>
      </c>
      <c r="B1653" t="s">
        <v>590</v>
      </c>
      <c r="C1653">
        <v>0</v>
      </c>
      <c r="D1653">
        <v>0</v>
      </c>
      <c r="E1653">
        <v>0</v>
      </c>
      <c r="F1653">
        <v>0</v>
      </c>
      <c r="G1653">
        <v>0</v>
      </c>
      <c r="H1653">
        <v>0</v>
      </c>
      <c r="I1653">
        <v>0</v>
      </c>
      <c r="J1653" t="s">
        <v>428</v>
      </c>
    </row>
    <row r="1654" spans="1:10" x14ac:dyDescent="0.35">
      <c r="A1654">
        <v>440</v>
      </c>
      <c r="B1654" t="s">
        <v>591</v>
      </c>
      <c r="C1654">
        <v>0</v>
      </c>
      <c r="D1654">
        <v>0</v>
      </c>
      <c r="E1654">
        <v>0</v>
      </c>
      <c r="F1654">
        <v>0</v>
      </c>
      <c r="G1654">
        <v>0</v>
      </c>
      <c r="H1654">
        <v>0</v>
      </c>
      <c r="I1654">
        <v>0</v>
      </c>
      <c r="J1654" t="s">
        <v>428</v>
      </c>
    </row>
    <row r="1655" spans="1:10" x14ac:dyDescent="0.35">
      <c r="A1655">
        <v>450</v>
      </c>
      <c r="B1655" t="s">
        <v>592</v>
      </c>
      <c r="C1655">
        <v>0</v>
      </c>
      <c r="D1655">
        <v>0</v>
      </c>
      <c r="E1655">
        <v>0</v>
      </c>
      <c r="F1655">
        <v>0</v>
      </c>
      <c r="G1655">
        <v>0</v>
      </c>
      <c r="H1655">
        <v>0</v>
      </c>
      <c r="I1655">
        <v>0</v>
      </c>
      <c r="J1655" t="s">
        <v>428</v>
      </c>
    </row>
    <row r="1656" spans="1:10" x14ac:dyDescent="0.35">
      <c r="A1656">
        <v>460</v>
      </c>
      <c r="B1656" t="s">
        <v>593</v>
      </c>
      <c r="C1656">
        <v>0</v>
      </c>
      <c r="D1656">
        <v>0</v>
      </c>
      <c r="E1656">
        <v>0</v>
      </c>
      <c r="F1656">
        <v>0</v>
      </c>
      <c r="G1656">
        <v>0</v>
      </c>
      <c r="H1656">
        <v>0</v>
      </c>
      <c r="I1656">
        <v>0</v>
      </c>
      <c r="J1656" t="s">
        <v>428</v>
      </c>
    </row>
    <row r="1657" spans="1:10" x14ac:dyDescent="0.35">
      <c r="A1657">
        <v>500</v>
      </c>
      <c r="B1657" t="s">
        <v>594</v>
      </c>
      <c r="C1657">
        <v>0</v>
      </c>
      <c r="D1657">
        <v>0</v>
      </c>
      <c r="E1657">
        <v>0</v>
      </c>
      <c r="F1657">
        <v>0</v>
      </c>
      <c r="G1657">
        <v>0</v>
      </c>
      <c r="H1657">
        <v>0</v>
      </c>
      <c r="I1657">
        <v>0</v>
      </c>
      <c r="J1657" t="s">
        <v>428</v>
      </c>
    </row>
    <row r="1658" spans="1:10" x14ac:dyDescent="0.35">
      <c r="A1658">
        <v>510</v>
      </c>
      <c r="B1658" t="s">
        <v>595</v>
      </c>
      <c r="C1658">
        <v>0</v>
      </c>
      <c r="D1658">
        <v>0</v>
      </c>
      <c r="E1658">
        <v>0</v>
      </c>
      <c r="F1658">
        <v>0</v>
      </c>
      <c r="G1658">
        <v>0</v>
      </c>
      <c r="H1658">
        <v>0</v>
      </c>
      <c r="I1658">
        <v>0</v>
      </c>
      <c r="J1658" t="s">
        <v>428</v>
      </c>
    </row>
    <row r="1659" spans="1:10" x14ac:dyDescent="0.35">
      <c r="A1659">
        <v>520</v>
      </c>
      <c r="B1659" t="s">
        <v>596</v>
      </c>
      <c r="C1659">
        <v>5249626.68</v>
      </c>
      <c r="D1659">
        <v>0</v>
      </c>
      <c r="E1659">
        <v>5249626.68</v>
      </c>
      <c r="F1659">
        <v>0</v>
      </c>
      <c r="G1659">
        <v>0</v>
      </c>
      <c r="H1659">
        <v>5249626.68</v>
      </c>
      <c r="I1659">
        <v>5249626.68</v>
      </c>
      <c r="J1659" t="s">
        <v>428</v>
      </c>
    </row>
    <row r="1660" spans="1:10" x14ac:dyDescent="0.35">
      <c r="A1660">
        <v>530</v>
      </c>
      <c r="B1660" t="s">
        <v>597</v>
      </c>
      <c r="C1660">
        <v>0</v>
      </c>
      <c r="D1660">
        <v>0</v>
      </c>
      <c r="E1660">
        <v>0</v>
      </c>
      <c r="F1660">
        <v>0</v>
      </c>
      <c r="G1660">
        <v>0</v>
      </c>
      <c r="H1660">
        <v>0</v>
      </c>
      <c r="I1660">
        <v>0</v>
      </c>
      <c r="J1660" t="s">
        <v>428</v>
      </c>
    </row>
    <row r="1661" spans="1:10" x14ac:dyDescent="0.35">
      <c r="A1661">
        <v>540</v>
      </c>
      <c r="B1661" t="s">
        <v>598</v>
      </c>
      <c r="C1661">
        <v>0</v>
      </c>
      <c r="D1661">
        <v>0</v>
      </c>
      <c r="E1661">
        <v>0</v>
      </c>
      <c r="F1661">
        <v>0</v>
      </c>
      <c r="G1661">
        <v>0</v>
      </c>
      <c r="H1661">
        <v>0</v>
      </c>
      <c r="I1661">
        <v>0</v>
      </c>
      <c r="J1661" t="s">
        <v>428</v>
      </c>
    </row>
    <row r="1662" spans="1:10" x14ac:dyDescent="0.35">
      <c r="A1662">
        <v>600</v>
      </c>
      <c r="B1662" t="s">
        <v>599</v>
      </c>
      <c r="C1662">
        <v>5249626.68</v>
      </c>
      <c r="D1662">
        <v>0</v>
      </c>
      <c r="E1662">
        <v>5249626.68</v>
      </c>
      <c r="F1662">
        <v>0</v>
      </c>
      <c r="G1662">
        <v>0</v>
      </c>
      <c r="H1662">
        <v>5249626.68</v>
      </c>
      <c r="I1662">
        <v>5249626.68</v>
      </c>
      <c r="J1662" t="s">
        <v>428</v>
      </c>
    </row>
    <row r="1663" spans="1:10" x14ac:dyDescent="0.35">
      <c r="A1663">
        <v>610</v>
      </c>
      <c r="B1663" t="s">
        <v>600</v>
      </c>
      <c r="C1663">
        <v>0</v>
      </c>
      <c r="D1663">
        <v>0</v>
      </c>
      <c r="E1663">
        <v>0</v>
      </c>
      <c r="F1663">
        <v>0</v>
      </c>
      <c r="G1663">
        <v>0</v>
      </c>
      <c r="H1663">
        <v>0</v>
      </c>
      <c r="I1663">
        <v>0</v>
      </c>
      <c r="J1663" t="s">
        <v>428</v>
      </c>
    </row>
    <row r="1664" spans="1:10" x14ac:dyDescent="0.35">
      <c r="A1664">
        <v>620</v>
      </c>
      <c r="B1664"/>
      <c r="C1664">
        <v>0</v>
      </c>
      <c r="D1664">
        <v>0</v>
      </c>
      <c r="E1664">
        <v>0</v>
      </c>
      <c r="F1664">
        <v>0</v>
      </c>
      <c r="G1664">
        <v>0</v>
      </c>
      <c r="H1664">
        <v>0</v>
      </c>
      <c r="I1664">
        <v>0</v>
      </c>
      <c r="J1664" t="s">
        <v>428</v>
      </c>
    </row>
    <row r="1665" spans="1:10" x14ac:dyDescent="0.35">
      <c r="A1665">
        <v>700</v>
      </c>
      <c r="B1665" t="s">
        <v>601</v>
      </c>
      <c r="C1665">
        <v>0</v>
      </c>
      <c r="D1665">
        <v>0</v>
      </c>
      <c r="E1665">
        <v>0</v>
      </c>
      <c r="F1665">
        <v>0</v>
      </c>
      <c r="G1665">
        <v>0</v>
      </c>
      <c r="H1665">
        <v>0</v>
      </c>
      <c r="I1665">
        <v>0</v>
      </c>
      <c r="J1665" t="s">
        <v>428</v>
      </c>
    </row>
    <row r="1666" spans="1:10" x14ac:dyDescent="0.35">
      <c r="A1666">
        <v>710</v>
      </c>
      <c r="B1666" t="s">
        <v>557</v>
      </c>
      <c r="C1666">
        <v>0</v>
      </c>
      <c r="D1666">
        <v>0</v>
      </c>
      <c r="E1666">
        <v>0</v>
      </c>
      <c r="F1666">
        <v>0</v>
      </c>
      <c r="G1666">
        <v>0</v>
      </c>
      <c r="H1666">
        <v>0</v>
      </c>
      <c r="I1666">
        <v>0</v>
      </c>
      <c r="J1666" t="s">
        <v>428</v>
      </c>
    </row>
    <row r="1667" spans="1:10" x14ac:dyDescent="0.35">
      <c r="A1667">
        <v>720</v>
      </c>
      <c r="B1667" t="s">
        <v>602</v>
      </c>
      <c r="C1667">
        <v>2000</v>
      </c>
      <c r="D1667">
        <v>0</v>
      </c>
      <c r="E1667">
        <v>2000</v>
      </c>
      <c r="F1667">
        <v>0</v>
      </c>
      <c r="G1667">
        <v>0</v>
      </c>
      <c r="H1667">
        <v>2000</v>
      </c>
      <c r="I1667">
        <v>2000</v>
      </c>
      <c r="J1667" t="s">
        <v>428</v>
      </c>
    </row>
    <row r="1668" spans="1:10" x14ac:dyDescent="0.35">
      <c r="A1668">
        <v>730</v>
      </c>
      <c r="B1668" t="s">
        <v>603</v>
      </c>
      <c r="C1668">
        <v>0</v>
      </c>
      <c r="D1668">
        <v>0</v>
      </c>
      <c r="E1668">
        <v>0</v>
      </c>
      <c r="F1668">
        <v>0</v>
      </c>
      <c r="G1668">
        <v>0</v>
      </c>
      <c r="H1668">
        <v>0</v>
      </c>
      <c r="I1668">
        <v>0</v>
      </c>
      <c r="J1668" t="s">
        <v>428</v>
      </c>
    </row>
    <row r="1669" spans="1:10" x14ac:dyDescent="0.35">
      <c r="A1669">
        <v>740</v>
      </c>
      <c r="B1669" t="s">
        <v>604</v>
      </c>
      <c r="C1669">
        <v>-8457687.5299999993</v>
      </c>
      <c r="D1669">
        <v>0</v>
      </c>
      <c r="E1669">
        <v>-8457687.5299999993</v>
      </c>
      <c r="F1669">
        <v>0</v>
      </c>
      <c r="G1669">
        <v>0</v>
      </c>
      <c r="H1669">
        <v>-8393314.75</v>
      </c>
      <c r="I1669">
        <v>-8457687.5299999993</v>
      </c>
      <c r="J1669" t="s">
        <v>428</v>
      </c>
    </row>
    <row r="1670" spans="1:10" x14ac:dyDescent="0.35">
      <c r="A1670">
        <v>750</v>
      </c>
      <c r="B1670" t="s">
        <v>522</v>
      </c>
      <c r="C1670">
        <v>-10</v>
      </c>
      <c r="D1670">
        <v>0</v>
      </c>
      <c r="E1670">
        <v>-10</v>
      </c>
      <c r="F1670">
        <v>-10</v>
      </c>
      <c r="G1670">
        <v>-10</v>
      </c>
      <c r="H1670">
        <v>-64372.78</v>
      </c>
      <c r="I1670">
        <v>0</v>
      </c>
      <c r="J1670" t="s">
        <v>428</v>
      </c>
    </row>
    <row r="1671" spans="1:10" x14ac:dyDescent="0.35">
      <c r="A1671">
        <v>760</v>
      </c>
      <c r="B1671" t="s">
        <v>605</v>
      </c>
      <c r="C1671">
        <v>3594747.53</v>
      </c>
      <c r="D1671">
        <v>0</v>
      </c>
      <c r="E1671">
        <v>3594747.53</v>
      </c>
      <c r="F1671">
        <v>0</v>
      </c>
      <c r="G1671">
        <v>0</v>
      </c>
      <c r="H1671">
        <v>3594747.53</v>
      </c>
      <c r="I1671">
        <v>3594747.53</v>
      </c>
      <c r="J1671" t="s">
        <v>428</v>
      </c>
    </row>
    <row r="1672" spans="1:10" x14ac:dyDescent="0.35">
      <c r="A1672">
        <v>770</v>
      </c>
      <c r="B1672"/>
      <c r="C1672">
        <v>0</v>
      </c>
      <c r="D1672">
        <v>0</v>
      </c>
      <c r="E1672">
        <v>0</v>
      </c>
      <c r="F1672">
        <v>0</v>
      </c>
      <c r="G1672">
        <v>0</v>
      </c>
      <c r="H1672">
        <v>0</v>
      </c>
      <c r="I1672">
        <v>0</v>
      </c>
      <c r="J1672" t="s">
        <v>428</v>
      </c>
    </row>
    <row r="1673" spans="1:10" x14ac:dyDescent="0.35">
      <c r="A1673">
        <v>800</v>
      </c>
      <c r="B1673" t="s">
        <v>606</v>
      </c>
      <c r="C1673">
        <v>-4860950</v>
      </c>
      <c r="D1673">
        <v>0</v>
      </c>
      <c r="E1673">
        <v>-4860950</v>
      </c>
      <c r="F1673">
        <v>-10</v>
      </c>
      <c r="G1673">
        <v>-10</v>
      </c>
      <c r="H1673">
        <v>-4860940</v>
      </c>
      <c r="I1673">
        <v>-4860940</v>
      </c>
      <c r="J1673" t="s">
        <v>428</v>
      </c>
    </row>
    <row r="1674" spans="1:10" x14ac:dyDescent="0.35">
      <c r="A1674">
        <v>900</v>
      </c>
      <c r="B1674" t="s">
        <v>607</v>
      </c>
      <c r="C1674">
        <v>388676.68</v>
      </c>
      <c r="D1674">
        <v>0</v>
      </c>
      <c r="E1674">
        <v>388676.68</v>
      </c>
      <c r="F1674">
        <v>-10</v>
      </c>
      <c r="G1674">
        <v>-10</v>
      </c>
      <c r="H1674">
        <v>388686.68</v>
      </c>
      <c r="I1674">
        <v>388686.68</v>
      </c>
      <c r="J1674" t="s">
        <v>428</v>
      </c>
    </row>
    <row r="1675" spans="1:10" x14ac:dyDescent="0.35">
      <c r="A1675">
        <v>1000</v>
      </c>
      <c r="B1675" t="s">
        <v>558</v>
      </c>
      <c r="C1675">
        <v>0</v>
      </c>
      <c r="D1675">
        <v>0</v>
      </c>
      <c r="E1675">
        <v>0</v>
      </c>
      <c r="F1675">
        <v>0</v>
      </c>
      <c r="G1675">
        <v>0</v>
      </c>
      <c r="H1675">
        <v>0</v>
      </c>
      <c r="I1675">
        <v>0</v>
      </c>
      <c r="J1675" t="s">
        <v>428</v>
      </c>
    </row>
    <row r="1676" spans="1:10" x14ac:dyDescent="0.35">
      <c r="A1676"/>
      <c r="B1676"/>
      <c r="C1676"/>
      <c r="D1676"/>
      <c r="E1676"/>
      <c r="F1676"/>
      <c r="G1676"/>
      <c r="H1676"/>
      <c r="I1676"/>
      <c r="J1676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DFE"/>
  <dimension ref="A1:I2005"/>
  <sheetViews>
    <sheetView zoomScale="90" zoomScaleNormal="90" workbookViewId="0">
      <selection sqref="A1:G2005"/>
    </sheetView>
  </sheetViews>
  <sheetFormatPr baseColWidth="10" defaultColWidth="8.7265625" defaultRowHeight="14.5" x14ac:dyDescent="0.35"/>
  <cols>
    <col min="1" max="1" width="19.26953125" style="178" bestFit="1" customWidth="1"/>
    <col min="2" max="2" width="24.54296875" style="178" customWidth="1"/>
    <col min="3" max="3" width="8.7265625" style="178"/>
    <col min="4" max="4" width="11.54296875" style="178" bestFit="1" customWidth="1"/>
    <col min="5" max="16384" width="8.7265625" style="178"/>
  </cols>
  <sheetData>
    <row r="1" spans="1:7" x14ac:dyDescent="0.35">
      <c r="A1" t="s">
        <v>415</v>
      </c>
      <c r="B1" t="s">
        <v>416</v>
      </c>
      <c r="C1" t="s">
        <v>608</v>
      </c>
      <c r="D1" t="s">
        <v>609</v>
      </c>
      <c r="E1" t="s">
        <v>610</v>
      </c>
      <c r="F1" t="s">
        <v>611</v>
      </c>
      <c r="G1" t="s">
        <v>121</v>
      </c>
    </row>
    <row r="2" spans="1:7" x14ac:dyDescent="0.35">
      <c r="A2">
        <v>10</v>
      </c>
      <c r="B2" t="s">
        <v>612</v>
      </c>
      <c r="C2">
        <v>0</v>
      </c>
      <c r="D2">
        <v>0</v>
      </c>
      <c r="E2">
        <v>0</v>
      </c>
      <c r="F2">
        <v>0</v>
      </c>
      <c r="G2" t="s">
        <v>428</v>
      </c>
    </row>
    <row r="3" spans="1:7" x14ac:dyDescent="0.35">
      <c r="A3">
        <v>20</v>
      </c>
      <c r="B3" t="s">
        <v>427</v>
      </c>
      <c r="C3">
        <v>29520115.260000002</v>
      </c>
      <c r="D3">
        <v>0</v>
      </c>
      <c r="E3">
        <v>29520115.260000002</v>
      </c>
      <c r="F3">
        <v>29520115.260000002</v>
      </c>
      <c r="G3" t="s">
        <v>428</v>
      </c>
    </row>
    <row r="4" spans="1:7" x14ac:dyDescent="0.35">
      <c r="A4">
        <v>30</v>
      </c>
      <c r="B4" t="s">
        <v>613</v>
      </c>
      <c r="C4">
        <v>0</v>
      </c>
      <c r="D4">
        <v>0</v>
      </c>
      <c r="E4">
        <v>0</v>
      </c>
      <c r="F4">
        <v>0</v>
      </c>
      <c r="G4" t="s">
        <v>428</v>
      </c>
    </row>
    <row r="5" spans="1:7" x14ac:dyDescent="0.35">
      <c r="A5">
        <v>35</v>
      </c>
      <c r="B5" t="s">
        <v>614</v>
      </c>
      <c r="C5">
        <v>29520115.260000002</v>
      </c>
      <c r="D5">
        <v>0</v>
      </c>
      <c r="E5">
        <v>29520115.260000002</v>
      </c>
      <c r="F5">
        <v>29520115.260000002</v>
      </c>
      <c r="G5" t="s">
        <v>428</v>
      </c>
    </row>
    <row r="6" spans="1:7" x14ac:dyDescent="0.35">
      <c r="A6">
        <v>40</v>
      </c>
      <c r="B6" t="s">
        <v>615</v>
      </c>
      <c r="C6">
        <v>10010619.52</v>
      </c>
      <c r="D6">
        <v>0</v>
      </c>
      <c r="E6">
        <v>10010619.52</v>
      </c>
      <c r="F6">
        <v>10010619.52</v>
      </c>
      <c r="G6" t="s">
        <v>428</v>
      </c>
    </row>
    <row r="7" spans="1:7" x14ac:dyDescent="0.35">
      <c r="A7">
        <v>50</v>
      </c>
      <c r="B7" t="s">
        <v>616</v>
      </c>
      <c r="C7">
        <v>0</v>
      </c>
      <c r="D7">
        <v>0</v>
      </c>
      <c r="E7">
        <v>0</v>
      </c>
      <c r="F7">
        <v>0</v>
      </c>
      <c r="G7" t="s">
        <v>428</v>
      </c>
    </row>
    <row r="8" spans="1:7" x14ac:dyDescent="0.35">
      <c r="A8">
        <v>60</v>
      </c>
      <c r="B8" t="s">
        <v>617</v>
      </c>
      <c r="C8">
        <v>19509495.739999998</v>
      </c>
      <c r="D8">
        <v>0</v>
      </c>
      <c r="E8">
        <v>19509495.739999998</v>
      </c>
      <c r="F8">
        <v>19509495.739999998</v>
      </c>
      <c r="G8" t="s">
        <v>428</v>
      </c>
    </row>
    <row r="9" spans="1:7" x14ac:dyDescent="0.35">
      <c r="A9">
        <v>70</v>
      </c>
      <c r="B9" t="s">
        <v>433</v>
      </c>
      <c r="C9">
        <v>11909221.09</v>
      </c>
      <c r="D9">
        <v>0</v>
      </c>
      <c r="E9">
        <v>11909221.09</v>
      </c>
      <c r="F9">
        <v>11909221.09</v>
      </c>
      <c r="G9" t="s">
        <v>428</v>
      </c>
    </row>
    <row r="10" spans="1:7" x14ac:dyDescent="0.35">
      <c r="A10">
        <v>80</v>
      </c>
      <c r="B10" t="s">
        <v>434</v>
      </c>
      <c r="C10">
        <v>3264716.18</v>
      </c>
      <c r="D10">
        <v>0</v>
      </c>
      <c r="E10">
        <v>3264716.18</v>
      </c>
      <c r="F10">
        <v>3264716.18</v>
      </c>
      <c r="G10" t="s">
        <v>428</v>
      </c>
    </row>
    <row r="11" spans="1:7" x14ac:dyDescent="0.35">
      <c r="A11">
        <v>90</v>
      </c>
      <c r="B11" t="s">
        <v>618</v>
      </c>
      <c r="C11">
        <v>708436.15</v>
      </c>
      <c r="D11">
        <v>0</v>
      </c>
      <c r="E11">
        <v>708436.15</v>
      </c>
      <c r="F11">
        <v>708436.15</v>
      </c>
      <c r="G11" t="s">
        <v>428</v>
      </c>
    </row>
    <row r="12" spans="1:7" x14ac:dyDescent="0.35">
      <c r="A12">
        <v>100</v>
      </c>
      <c r="B12" t="s">
        <v>619</v>
      </c>
      <c r="C12">
        <v>3627122.32</v>
      </c>
      <c r="D12">
        <v>0</v>
      </c>
      <c r="E12">
        <v>3627122.32</v>
      </c>
      <c r="F12">
        <v>3627122.32</v>
      </c>
      <c r="G12" t="s">
        <v>428</v>
      </c>
    </row>
    <row r="13" spans="1:7" x14ac:dyDescent="0.35">
      <c r="A13">
        <v>110</v>
      </c>
      <c r="B13" t="s">
        <v>620</v>
      </c>
      <c r="C13">
        <v>26300.68</v>
      </c>
      <c r="D13">
        <v>0</v>
      </c>
      <c r="E13">
        <v>26300.68</v>
      </c>
      <c r="F13">
        <v>26300.68</v>
      </c>
      <c r="G13" t="s">
        <v>428</v>
      </c>
    </row>
    <row r="14" spans="1:7" x14ac:dyDescent="0.35">
      <c r="A14">
        <v>120</v>
      </c>
      <c r="B14" t="s">
        <v>621</v>
      </c>
      <c r="C14">
        <v>-263649.8</v>
      </c>
      <c r="D14">
        <v>0</v>
      </c>
      <c r="E14">
        <v>-263649.8</v>
      </c>
      <c r="F14">
        <v>-263649.8</v>
      </c>
      <c r="G14" t="s">
        <v>428</v>
      </c>
    </row>
    <row r="15" spans="1:7" x14ac:dyDescent="0.35">
      <c r="A15">
        <v>130</v>
      </c>
      <c r="B15" t="s">
        <v>622</v>
      </c>
      <c r="C15">
        <v>713413.55</v>
      </c>
      <c r="D15">
        <v>0</v>
      </c>
      <c r="E15">
        <v>713413.55</v>
      </c>
      <c r="F15">
        <v>713413.55</v>
      </c>
      <c r="G15" t="s">
        <v>428</v>
      </c>
    </row>
    <row r="16" spans="1:7" x14ac:dyDescent="0.35">
      <c r="A16">
        <v>140</v>
      </c>
      <c r="B16" t="s">
        <v>623</v>
      </c>
      <c r="C16">
        <v>18106.25</v>
      </c>
      <c r="D16">
        <v>0</v>
      </c>
      <c r="E16">
        <v>18106.25</v>
      </c>
      <c r="F16">
        <v>18106.25</v>
      </c>
      <c r="G16" t="s">
        <v>428</v>
      </c>
    </row>
    <row r="17" spans="1:7" x14ac:dyDescent="0.35">
      <c r="A17">
        <v>145</v>
      </c>
      <c r="B17" t="s">
        <v>443</v>
      </c>
      <c r="C17">
        <v>457958.18</v>
      </c>
      <c r="D17">
        <v>0</v>
      </c>
      <c r="E17">
        <v>457958.18</v>
      </c>
      <c r="F17">
        <v>457958.18</v>
      </c>
      <c r="G17" t="s">
        <v>428</v>
      </c>
    </row>
    <row r="18" spans="1:7" x14ac:dyDescent="0.35">
      <c r="A18">
        <v>150</v>
      </c>
      <c r="B18" t="s">
        <v>624</v>
      </c>
      <c r="C18">
        <v>3169164.14</v>
      </c>
      <c r="D18">
        <v>0</v>
      </c>
      <c r="E18">
        <v>3169164.14</v>
      </c>
      <c r="F18">
        <v>3169164.14</v>
      </c>
      <c r="G18" t="s">
        <v>428</v>
      </c>
    </row>
    <row r="19" spans="1:7" x14ac:dyDescent="0.35">
      <c r="A19">
        <v>160</v>
      </c>
      <c r="B19" t="s">
        <v>625</v>
      </c>
      <c r="C19">
        <v>697855.26</v>
      </c>
      <c r="D19">
        <v>0</v>
      </c>
      <c r="E19">
        <v>697855.26</v>
      </c>
      <c r="F19">
        <v>697855.26</v>
      </c>
      <c r="G19" t="s">
        <v>428</v>
      </c>
    </row>
    <row r="20" spans="1:7" x14ac:dyDescent="0.35">
      <c r="A20">
        <v>170</v>
      </c>
      <c r="B20" t="s">
        <v>447</v>
      </c>
      <c r="C20">
        <v>2471308.88</v>
      </c>
      <c r="D20">
        <v>0</v>
      </c>
      <c r="E20">
        <v>2471308.88</v>
      </c>
      <c r="F20">
        <v>2471308.88</v>
      </c>
      <c r="G20" t="s">
        <v>428</v>
      </c>
    </row>
    <row r="21" spans="1:7" x14ac:dyDescent="0.35">
      <c r="A21">
        <v>190</v>
      </c>
      <c r="B21" t="s">
        <v>626</v>
      </c>
      <c r="C21">
        <v>0</v>
      </c>
      <c r="D21">
        <v>0</v>
      </c>
      <c r="E21">
        <v>0</v>
      </c>
      <c r="F21">
        <v>0</v>
      </c>
      <c r="G21" t="s">
        <v>428</v>
      </c>
    </row>
    <row r="22" spans="1:7" x14ac:dyDescent="0.35">
      <c r="A22">
        <v>200</v>
      </c>
      <c r="B22" t="s">
        <v>447</v>
      </c>
      <c r="C22">
        <v>2471308.88</v>
      </c>
      <c r="D22">
        <v>0</v>
      </c>
      <c r="E22">
        <v>2471308.88</v>
      </c>
      <c r="F22">
        <v>2471308.88</v>
      </c>
      <c r="G22" t="s">
        <v>428</v>
      </c>
    </row>
    <row r="23" spans="1:7" x14ac:dyDescent="0.35">
      <c r="A23">
        <v>210</v>
      </c>
      <c r="B23" t="s">
        <v>247</v>
      </c>
      <c r="C23">
        <v>2471308.88</v>
      </c>
      <c r="D23">
        <v>0</v>
      </c>
      <c r="E23">
        <v>2471308.88</v>
      </c>
      <c r="F23">
        <v>2471308.88</v>
      </c>
      <c r="G23" t="s">
        <v>428</v>
      </c>
    </row>
    <row r="24" spans="1:7" x14ac:dyDescent="0.35">
      <c r="A24">
        <v>220</v>
      </c>
      <c r="B24" t="s">
        <v>627</v>
      </c>
      <c r="C24">
        <v>0</v>
      </c>
      <c r="D24">
        <v>0</v>
      </c>
      <c r="E24">
        <v>0</v>
      </c>
      <c r="F24">
        <v>0</v>
      </c>
      <c r="G24" t="s">
        <v>428</v>
      </c>
    </row>
    <row r="25" spans="1:7" x14ac:dyDescent="0.35">
      <c r="A25">
        <v>230</v>
      </c>
      <c r="B25" t="s">
        <v>196</v>
      </c>
      <c r="C25">
        <v>0</v>
      </c>
      <c r="D25">
        <v>0</v>
      </c>
      <c r="E25">
        <v>0</v>
      </c>
      <c r="F25">
        <v>0</v>
      </c>
      <c r="G25" t="s">
        <v>428</v>
      </c>
    </row>
    <row r="26" spans="1:7" x14ac:dyDescent="0.35">
      <c r="A26">
        <v>235</v>
      </c>
      <c r="B26" t="s">
        <v>628</v>
      </c>
      <c r="C26">
        <v>-14011.43</v>
      </c>
      <c r="D26">
        <v>-42802.77</v>
      </c>
      <c r="E26">
        <v>-56814.2</v>
      </c>
      <c r="F26">
        <v>-14011.43</v>
      </c>
      <c r="G26" t="s">
        <v>428</v>
      </c>
    </row>
    <row r="27" spans="1:7" x14ac:dyDescent="0.35">
      <c r="A27">
        <v>240</v>
      </c>
      <c r="B27" t="s">
        <v>197</v>
      </c>
      <c r="C27">
        <v>-4835491</v>
      </c>
      <c r="D27">
        <v>-63813870.100000001</v>
      </c>
      <c r="E27">
        <v>-68649361.099999994</v>
      </c>
      <c r="F27">
        <v>-4835491</v>
      </c>
      <c r="G27" t="s">
        <v>428</v>
      </c>
    </row>
    <row r="28" spans="1:7" x14ac:dyDescent="0.35">
      <c r="A28">
        <v>250</v>
      </c>
      <c r="B28" t="s">
        <v>198</v>
      </c>
      <c r="C28">
        <v>437242.31</v>
      </c>
      <c r="D28">
        <v>-5680864.2199999997</v>
      </c>
      <c r="E28">
        <v>-5243621.91</v>
      </c>
      <c r="F28">
        <v>437242.31</v>
      </c>
      <c r="G28" t="s">
        <v>428</v>
      </c>
    </row>
    <row r="29" spans="1:7" x14ac:dyDescent="0.35">
      <c r="A29">
        <v>260</v>
      </c>
      <c r="B29" t="s">
        <v>629</v>
      </c>
      <c r="C29">
        <v>-100004.36</v>
      </c>
      <c r="D29">
        <v>-11626137.66</v>
      </c>
      <c r="E29">
        <v>-11726142.02</v>
      </c>
      <c r="F29">
        <v>-100004.36</v>
      </c>
      <c r="G29" t="s">
        <v>428</v>
      </c>
    </row>
    <row r="30" spans="1:7" x14ac:dyDescent="0.35">
      <c r="A30">
        <v>270</v>
      </c>
      <c r="B30" t="s">
        <v>199</v>
      </c>
      <c r="C30">
        <v>1563254.88</v>
      </c>
      <c r="D30">
        <v>-1357916.75</v>
      </c>
      <c r="E30">
        <v>205338.13</v>
      </c>
      <c r="F30">
        <v>1563254.88</v>
      </c>
      <c r="G30" t="s">
        <v>428</v>
      </c>
    </row>
    <row r="31" spans="1:7" x14ac:dyDescent="0.35">
      <c r="A31">
        <v>300</v>
      </c>
      <c r="B31" t="s">
        <v>222</v>
      </c>
      <c r="C31">
        <v>-2596975</v>
      </c>
      <c r="D31">
        <v>506182.08</v>
      </c>
      <c r="E31">
        <v>-2090792.92</v>
      </c>
      <c r="F31">
        <v>-2596975</v>
      </c>
      <c r="G31" t="s">
        <v>428</v>
      </c>
    </row>
    <row r="32" spans="1:7" x14ac:dyDescent="0.35">
      <c r="A32">
        <v>310</v>
      </c>
      <c r="B32" t="s">
        <v>630</v>
      </c>
      <c r="C32">
        <v>-8875.02</v>
      </c>
      <c r="D32">
        <v>-55843.22</v>
      </c>
      <c r="E32">
        <v>-64718.239999999998</v>
      </c>
      <c r="F32">
        <v>-8875.02</v>
      </c>
      <c r="G32" t="s">
        <v>428</v>
      </c>
    </row>
    <row r="33" spans="1:7" x14ac:dyDescent="0.35">
      <c r="A33">
        <v>320</v>
      </c>
      <c r="B33" t="s">
        <v>248</v>
      </c>
      <c r="C33">
        <v>-1925673.92</v>
      </c>
      <c r="D33">
        <v>78305527.209999993</v>
      </c>
      <c r="E33">
        <v>76379853.290000007</v>
      </c>
      <c r="F33">
        <v>-1925673.92</v>
      </c>
      <c r="G33" t="s">
        <v>428</v>
      </c>
    </row>
    <row r="34" spans="1:7" x14ac:dyDescent="0.35">
      <c r="A34">
        <v>325</v>
      </c>
      <c r="B34" t="s">
        <v>249</v>
      </c>
      <c r="C34">
        <v>-4066.73</v>
      </c>
      <c r="D34">
        <v>7448517.04</v>
      </c>
      <c r="E34">
        <v>7444450.3099999996</v>
      </c>
      <c r="F34">
        <v>-4066.73</v>
      </c>
      <c r="G34" t="s">
        <v>428</v>
      </c>
    </row>
    <row r="35" spans="1:7" x14ac:dyDescent="0.35">
      <c r="A35">
        <v>330</v>
      </c>
      <c r="B35" t="s">
        <v>631</v>
      </c>
      <c r="C35">
        <v>-617635.25</v>
      </c>
      <c r="D35">
        <v>7820817.8200000003</v>
      </c>
      <c r="E35">
        <v>7203182.5700000003</v>
      </c>
      <c r="F35">
        <v>-617635.25</v>
      </c>
      <c r="G35" t="s">
        <v>428</v>
      </c>
    </row>
    <row r="36" spans="1:7" x14ac:dyDescent="0.35">
      <c r="A36">
        <v>340</v>
      </c>
      <c r="B36" t="s">
        <v>632</v>
      </c>
      <c r="C36">
        <v>-905223.02</v>
      </c>
      <c r="D36">
        <v>3263151.57</v>
      </c>
      <c r="E36">
        <v>2357928.5499999998</v>
      </c>
      <c r="F36">
        <v>-905223.02</v>
      </c>
      <c r="G36" t="s">
        <v>428</v>
      </c>
    </row>
    <row r="37" spans="1:7" x14ac:dyDescent="0.35">
      <c r="A37">
        <v>380</v>
      </c>
      <c r="B37" t="s">
        <v>633</v>
      </c>
      <c r="C37">
        <v>-9007458.5399999991</v>
      </c>
      <c r="D37">
        <v>14766761</v>
      </c>
      <c r="E37">
        <v>5759302.46</v>
      </c>
      <c r="F37">
        <v>-9007458.5399999991</v>
      </c>
      <c r="G37" t="s">
        <v>428</v>
      </c>
    </row>
    <row r="38" spans="1:7" x14ac:dyDescent="0.35">
      <c r="A38">
        <v>390</v>
      </c>
      <c r="B38" t="s">
        <v>250</v>
      </c>
      <c r="C38">
        <v>0</v>
      </c>
      <c r="D38">
        <v>0</v>
      </c>
      <c r="E38">
        <v>0</v>
      </c>
      <c r="F38">
        <v>0</v>
      </c>
      <c r="G38" t="s">
        <v>428</v>
      </c>
    </row>
    <row r="39" spans="1:7" x14ac:dyDescent="0.35">
      <c r="A39">
        <v>400</v>
      </c>
      <c r="B39" t="s">
        <v>251</v>
      </c>
      <c r="C39">
        <v>3748957.78</v>
      </c>
      <c r="D39">
        <v>6492691.2199999997</v>
      </c>
      <c r="E39">
        <v>10241649</v>
      </c>
      <c r="F39">
        <v>3748957.78</v>
      </c>
      <c r="G39" t="s">
        <v>428</v>
      </c>
    </row>
    <row r="40" spans="1:7" x14ac:dyDescent="0.35">
      <c r="A40">
        <v>405</v>
      </c>
      <c r="B40" t="s">
        <v>252</v>
      </c>
      <c r="C40">
        <v>-0.24</v>
      </c>
      <c r="D40">
        <v>178685.07</v>
      </c>
      <c r="E40">
        <v>178684.83</v>
      </c>
      <c r="F40">
        <v>-0.24</v>
      </c>
      <c r="G40" t="s">
        <v>428</v>
      </c>
    </row>
    <row r="41" spans="1:7" x14ac:dyDescent="0.35">
      <c r="A41">
        <v>410</v>
      </c>
      <c r="B41" t="s">
        <v>237</v>
      </c>
      <c r="C41">
        <v>0</v>
      </c>
      <c r="D41">
        <v>7683650</v>
      </c>
      <c r="E41">
        <v>7683650</v>
      </c>
      <c r="F41">
        <v>0</v>
      </c>
      <c r="G41" t="s">
        <v>428</v>
      </c>
    </row>
    <row r="42" spans="1:7" x14ac:dyDescent="0.35">
      <c r="A42">
        <v>420</v>
      </c>
      <c r="B42" t="s">
        <v>253</v>
      </c>
      <c r="C42">
        <v>0</v>
      </c>
      <c r="D42">
        <v>-4906411.97</v>
      </c>
      <c r="E42">
        <v>-4906411.97</v>
      </c>
      <c r="F42">
        <v>0</v>
      </c>
      <c r="G42" t="s">
        <v>428</v>
      </c>
    </row>
    <row r="43" spans="1:7" x14ac:dyDescent="0.35">
      <c r="A43">
        <v>425</v>
      </c>
      <c r="B43" t="s">
        <v>634</v>
      </c>
      <c r="C43">
        <v>0</v>
      </c>
      <c r="D43">
        <v>868230.6</v>
      </c>
      <c r="E43">
        <v>868230.6</v>
      </c>
      <c r="F43">
        <v>0</v>
      </c>
      <c r="G43" t="s">
        <v>428</v>
      </c>
    </row>
    <row r="44" spans="1:7" x14ac:dyDescent="0.35">
      <c r="A44">
        <v>427</v>
      </c>
      <c r="B44" t="s">
        <v>635</v>
      </c>
      <c r="C44">
        <v>0</v>
      </c>
      <c r="D44">
        <v>25647.4</v>
      </c>
      <c r="E44">
        <v>25647.4</v>
      </c>
      <c r="F44">
        <v>0</v>
      </c>
      <c r="G44" t="s">
        <v>428</v>
      </c>
    </row>
    <row r="45" spans="1:7" x14ac:dyDescent="0.35">
      <c r="A45">
        <v>430</v>
      </c>
      <c r="B45" t="s">
        <v>254</v>
      </c>
      <c r="C45">
        <v>0</v>
      </c>
      <c r="D45">
        <v>82090119.420000002</v>
      </c>
      <c r="E45">
        <v>82090119.420000002</v>
      </c>
      <c r="F45">
        <v>0</v>
      </c>
      <c r="G45" t="s">
        <v>428</v>
      </c>
    </row>
    <row r="46" spans="1:7" x14ac:dyDescent="0.35">
      <c r="A46">
        <v>440</v>
      </c>
      <c r="B46" t="s">
        <v>255</v>
      </c>
      <c r="C46">
        <v>3748957.54</v>
      </c>
      <c r="D46">
        <v>92432611.739999995</v>
      </c>
      <c r="E46">
        <v>96181569.280000001</v>
      </c>
      <c r="F46">
        <v>3748957.54</v>
      </c>
      <c r="G46" t="s">
        <v>428</v>
      </c>
    </row>
    <row r="47" spans="1:7" x14ac:dyDescent="0.35">
      <c r="A47">
        <v>450</v>
      </c>
      <c r="B47" t="s">
        <v>256</v>
      </c>
      <c r="C47">
        <v>0</v>
      </c>
      <c r="D47">
        <v>0</v>
      </c>
      <c r="E47">
        <v>0</v>
      </c>
      <c r="F47">
        <v>0</v>
      </c>
      <c r="G47" t="s">
        <v>428</v>
      </c>
    </row>
    <row r="48" spans="1:7" x14ac:dyDescent="0.35">
      <c r="A48">
        <v>455</v>
      </c>
      <c r="B48" t="s">
        <v>204</v>
      </c>
      <c r="C48">
        <v>0</v>
      </c>
      <c r="D48">
        <v>-22996599.93</v>
      </c>
      <c r="E48">
        <v>-22996599.93</v>
      </c>
      <c r="F48">
        <v>0</v>
      </c>
      <c r="G48" t="s">
        <v>428</v>
      </c>
    </row>
    <row r="49" spans="1:7" x14ac:dyDescent="0.35">
      <c r="A49">
        <v>456</v>
      </c>
      <c r="B49" t="s">
        <v>636</v>
      </c>
      <c r="C49">
        <v>67468.62</v>
      </c>
      <c r="D49">
        <v>13868499.439999999</v>
      </c>
      <c r="E49">
        <v>13935968.060000001</v>
      </c>
      <c r="F49">
        <v>67468.62</v>
      </c>
      <c r="G49" t="s">
        <v>428</v>
      </c>
    </row>
    <row r="50" spans="1:7" x14ac:dyDescent="0.35">
      <c r="A50">
        <v>460</v>
      </c>
      <c r="B50" t="s">
        <v>208</v>
      </c>
      <c r="C50">
        <v>-12680</v>
      </c>
      <c r="D50">
        <v>-114534791.65000001</v>
      </c>
      <c r="E50">
        <v>-114547471.65000001</v>
      </c>
      <c r="F50">
        <v>-12680</v>
      </c>
      <c r="G50" t="s">
        <v>428</v>
      </c>
    </row>
    <row r="51" spans="1:7" x14ac:dyDescent="0.35">
      <c r="A51">
        <v>470</v>
      </c>
      <c r="B51" t="s">
        <v>637</v>
      </c>
      <c r="C51">
        <v>457056.83</v>
      </c>
      <c r="D51">
        <v>93457937.739999995</v>
      </c>
      <c r="E51">
        <v>93914994.569999993</v>
      </c>
      <c r="F51">
        <v>457056.83</v>
      </c>
      <c r="G51" t="s">
        <v>428</v>
      </c>
    </row>
    <row r="52" spans="1:7" x14ac:dyDescent="0.35">
      <c r="A52">
        <v>480</v>
      </c>
      <c r="B52" t="s">
        <v>207</v>
      </c>
      <c r="C52">
        <v>-85965.51</v>
      </c>
      <c r="D52">
        <v>-21146648.609999999</v>
      </c>
      <c r="E52">
        <v>-21232614.120000001</v>
      </c>
      <c r="F52">
        <v>-85965.51</v>
      </c>
      <c r="G52" t="s">
        <v>428</v>
      </c>
    </row>
    <row r="53" spans="1:7" x14ac:dyDescent="0.35">
      <c r="A53">
        <v>490</v>
      </c>
      <c r="B53" t="s">
        <v>638</v>
      </c>
      <c r="C53">
        <v>61711.6</v>
      </c>
      <c r="D53">
        <v>15248693.85</v>
      </c>
      <c r="E53">
        <v>15310405.449999999</v>
      </c>
      <c r="F53">
        <v>61711.6</v>
      </c>
      <c r="G53" t="s">
        <v>428</v>
      </c>
    </row>
    <row r="54" spans="1:7" x14ac:dyDescent="0.35">
      <c r="A54">
        <v>500</v>
      </c>
      <c r="B54" t="s">
        <v>206</v>
      </c>
      <c r="C54">
        <v>0</v>
      </c>
      <c r="D54">
        <v>-25515944.93</v>
      </c>
      <c r="E54">
        <v>-25515944.93</v>
      </c>
      <c r="F54">
        <v>0</v>
      </c>
      <c r="G54" t="s">
        <v>428</v>
      </c>
    </row>
    <row r="55" spans="1:7" x14ac:dyDescent="0.35">
      <c r="A55">
        <v>510</v>
      </c>
      <c r="B55" t="s">
        <v>639</v>
      </c>
      <c r="C55">
        <v>118925.7</v>
      </c>
      <c r="D55">
        <v>15292846.869999999</v>
      </c>
      <c r="E55">
        <v>15411772.57</v>
      </c>
      <c r="F55">
        <v>118925.7</v>
      </c>
      <c r="G55" t="s">
        <v>428</v>
      </c>
    </row>
    <row r="56" spans="1:7" x14ac:dyDescent="0.35">
      <c r="A56">
        <v>512</v>
      </c>
      <c r="B56" t="s">
        <v>257</v>
      </c>
      <c r="C56">
        <v>0</v>
      </c>
      <c r="D56">
        <v>-1788829.5</v>
      </c>
      <c r="E56">
        <v>-1788829.5</v>
      </c>
      <c r="F56">
        <v>0</v>
      </c>
      <c r="G56" t="s">
        <v>428</v>
      </c>
    </row>
    <row r="57" spans="1:7" x14ac:dyDescent="0.35">
      <c r="A57">
        <v>514</v>
      </c>
      <c r="B57" t="s">
        <v>640</v>
      </c>
      <c r="C57">
        <v>3273.4</v>
      </c>
      <c r="D57">
        <v>4720187.2</v>
      </c>
      <c r="E57">
        <v>4723460.5999999996</v>
      </c>
      <c r="F57">
        <v>3273.4</v>
      </c>
      <c r="G57" t="s">
        <v>428</v>
      </c>
    </row>
    <row r="58" spans="1:7" x14ac:dyDescent="0.35">
      <c r="A58">
        <v>520</v>
      </c>
      <c r="B58" t="s">
        <v>641</v>
      </c>
      <c r="C58">
        <v>0</v>
      </c>
      <c r="D58">
        <v>-1242880.1499999999</v>
      </c>
      <c r="E58">
        <v>-1242880.1499999999</v>
      </c>
      <c r="F58">
        <v>0</v>
      </c>
      <c r="G58" t="s">
        <v>428</v>
      </c>
    </row>
    <row r="59" spans="1:7" x14ac:dyDescent="0.35">
      <c r="A59">
        <v>530</v>
      </c>
      <c r="B59" t="s">
        <v>642</v>
      </c>
      <c r="C59">
        <v>0</v>
      </c>
      <c r="D59">
        <v>0</v>
      </c>
      <c r="E59">
        <v>0</v>
      </c>
      <c r="F59">
        <v>0</v>
      </c>
      <c r="G59" t="s">
        <v>428</v>
      </c>
    </row>
    <row r="60" spans="1:7" x14ac:dyDescent="0.35">
      <c r="A60">
        <v>540</v>
      </c>
      <c r="B60" t="s">
        <v>643</v>
      </c>
      <c r="C60">
        <v>0</v>
      </c>
      <c r="D60">
        <v>-536164.56999999995</v>
      </c>
      <c r="E60">
        <v>-536164.56999999995</v>
      </c>
      <c r="F60">
        <v>0</v>
      </c>
      <c r="G60" t="s">
        <v>428</v>
      </c>
    </row>
    <row r="61" spans="1:7" x14ac:dyDescent="0.35">
      <c r="A61">
        <v>550</v>
      </c>
      <c r="B61" t="s">
        <v>644</v>
      </c>
      <c r="C61">
        <v>0</v>
      </c>
      <c r="D61">
        <v>1775864.44</v>
      </c>
      <c r="E61">
        <v>1775864.44</v>
      </c>
      <c r="F61">
        <v>0</v>
      </c>
      <c r="G61" t="s">
        <v>428</v>
      </c>
    </row>
    <row r="62" spans="1:7" x14ac:dyDescent="0.35">
      <c r="A62">
        <v>560</v>
      </c>
      <c r="B62" t="s">
        <v>645</v>
      </c>
      <c r="C62">
        <v>20957.86</v>
      </c>
      <c r="D62">
        <v>-3758667.06</v>
      </c>
      <c r="E62">
        <v>-3737709.2</v>
      </c>
      <c r="F62">
        <v>20957.86</v>
      </c>
      <c r="G62" t="s">
        <v>428</v>
      </c>
    </row>
    <row r="63" spans="1:7" x14ac:dyDescent="0.35">
      <c r="A63">
        <v>570</v>
      </c>
      <c r="B63" t="s">
        <v>646</v>
      </c>
      <c r="C63">
        <v>0</v>
      </c>
      <c r="D63">
        <v>0</v>
      </c>
      <c r="E63">
        <v>0</v>
      </c>
      <c r="F63">
        <v>0</v>
      </c>
      <c r="G63" t="s">
        <v>428</v>
      </c>
    </row>
    <row r="64" spans="1:7" x14ac:dyDescent="0.35">
      <c r="A64">
        <v>580</v>
      </c>
      <c r="B64" t="s">
        <v>258</v>
      </c>
      <c r="C64">
        <v>0</v>
      </c>
      <c r="D64">
        <v>-45528.08</v>
      </c>
      <c r="E64">
        <v>-45528.08</v>
      </c>
      <c r="F64">
        <v>0</v>
      </c>
      <c r="G64" t="s">
        <v>428</v>
      </c>
    </row>
    <row r="65" spans="1:7" x14ac:dyDescent="0.35">
      <c r="A65">
        <v>590</v>
      </c>
      <c r="B65" t="s">
        <v>647</v>
      </c>
      <c r="C65">
        <v>0</v>
      </c>
      <c r="D65">
        <v>0</v>
      </c>
      <c r="E65">
        <v>0</v>
      </c>
      <c r="F65">
        <v>0</v>
      </c>
      <c r="G65" t="s">
        <v>428</v>
      </c>
    </row>
    <row r="66" spans="1:7" x14ac:dyDescent="0.35">
      <c r="A66">
        <v>600</v>
      </c>
      <c r="B66" t="s">
        <v>259</v>
      </c>
      <c r="C66">
        <v>0</v>
      </c>
      <c r="D66">
        <v>-48384340.93</v>
      </c>
      <c r="E66">
        <v>-48384340.93</v>
      </c>
      <c r="F66">
        <v>0</v>
      </c>
      <c r="G66" t="s">
        <v>428</v>
      </c>
    </row>
    <row r="67" spans="1:7" x14ac:dyDescent="0.35">
      <c r="A67">
        <v>610</v>
      </c>
      <c r="B67" t="s">
        <v>648</v>
      </c>
      <c r="C67">
        <v>0</v>
      </c>
      <c r="D67">
        <v>16990144.239999998</v>
      </c>
      <c r="E67">
        <v>16990144.239999998</v>
      </c>
      <c r="F67">
        <v>0</v>
      </c>
      <c r="G67" t="s">
        <v>428</v>
      </c>
    </row>
    <row r="68" spans="1:7" x14ac:dyDescent="0.35">
      <c r="A68">
        <v>620</v>
      </c>
      <c r="B68" t="s">
        <v>260</v>
      </c>
      <c r="C68">
        <v>0</v>
      </c>
      <c r="D68">
        <v>-5100000</v>
      </c>
      <c r="E68">
        <v>-5100000</v>
      </c>
      <c r="F68">
        <v>0</v>
      </c>
      <c r="G68" t="s">
        <v>428</v>
      </c>
    </row>
    <row r="69" spans="1:7" x14ac:dyDescent="0.35">
      <c r="A69">
        <v>630</v>
      </c>
      <c r="B69" t="s">
        <v>261</v>
      </c>
      <c r="C69">
        <v>0</v>
      </c>
      <c r="D69">
        <v>0</v>
      </c>
      <c r="E69">
        <v>0</v>
      </c>
      <c r="F69">
        <v>0</v>
      </c>
      <c r="G69" t="s">
        <v>428</v>
      </c>
    </row>
    <row r="70" spans="1:7" x14ac:dyDescent="0.35">
      <c r="A70">
        <v>640</v>
      </c>
      <c r="B70" t="s">
        <v>262</v>
      </c>
      <c r="C70">
        <v>630748.5</v>
      </c>
      <c r="D70">
        <v>-83696221.629999995</v>
      </c>
      <c r="E70">
        <v>-83065473.129999995</v>
      </c>
      <c r="F70">
        <v>630748.5</v>
      </c>
      <c r="G70" t="s">
        <v>428</v>
      </c>
    </row>
    <row r="71" spans="1:7" x14ac:dyDescent="0.35">
      <c r="A71">
        <v>650</v>
      </c>
      <c r="B71" t="s">
        <v>263</v>
      </c>
      <c r="C71">
        <v>-2156443.62</v>
      </c>
      <c r="D71">
        <v>23503151.109999999</v>
      </c>
      <c r="E71">
        <v>21346707.489999998</v>
      </c>
      <c r="F71">
        <v>-2156443.62</v>
      </c>
      <c r="G71" t="s">
        <v>428</v>
      </c>
    </row>
    <row r="72" spans="1:7" x14ac:dyDescent="0.35">
      <c r="A72" t="s">
        <v>449</v>
      </c>
      <c r="B72" t="s">
        <v>416</v>
      </c>
      <c r="C72" t="s">
        <v>608</v>
      </c>
      <c r="D72" t="s">
        <v>609</v>
      </c>
      <c r="E72" t="s">
        <v>610</v>
      </c>
      <c r="F72" t="s">
        <v>611</v>
      </c>
      <c r="G72" t="s">
        <v>121</v>
      </c>
    </row>
    <row r="73" spans="1:7" x14ac:dyDescent="0.35">
      <c r="A73">
        <v>10</v>
      </c>
      <c r="B73" t="s">
        <v>612</v>
      </c>
      <c r="C73">
        <v>0</v>
      </c>
      <c r="D73">
        <v>0</v>
      </c>
      <c r="E73">
        <v>0</v>
      </c>
      <c r="F73">
        <v>0</v>
      </c>
      <c r="G73" t="s">
        <v>428</v>
      </c>
    </row>
    <row r="74" spans="1:7" x14ac:dyDescent="0.35">
      <c r="A74">
        <v>20</v>
      </c>
      <c r="B74" t="s">
        <v>427</v>
      </c>
      <c r="C74">
        <v>6267746.3200000003</v>
      </c>
      <c r="D74">
        <v>0</v>
      </c>
      <c r="E74">
        <v>6267746.3200000003</v>
      </c>
      <c r="F74">
        <v>6267746.3200000003</v>
      </c>
      <c r="G74" t="s">
        <v>428</v>
      </c>
    </row>
    <row r="75" spans="1:7" x14ac:dyDescent="0.35">
      <c r="A75">
        <v>30</v>
      </c>
      <c r="B75" t="s">
        <v>613</v>
      </c>
      <c r="C75">
        <v>2080</v>
      </c>
      <c r="D75">
        <v>0</v>
      </c>
      <c r="E75">
        <v>2080</v>
      </c>
      <c r="F75">
        <v>2080</v>
      </c>
      <c r="G75" t="s">
        <v>428</v>
      </c>
    </row>
    <row r="76" spans="1:7" x14ac:dyDescent="0.35">
      <c r="A76">
        <v>35</v>
      </c>
      <c r="B76" t="s">
        <v>614</v>
      </c>
      <c r="C76">
        <v>6265666.3200000003</v>
      </c>
      <c r="D76">
        <v>0</v>
      </c>
      <c r="E76">
        <v>6265666.3200000003</v>
      </c>
      <c r="F76">
        <v>6265666.3200000003</v>
      </c>
      <c r="G76" t="s">
        <v>428</v>
      </c>
    </row>
    <row r="77" spans="1:7" x14ac:dyDescent="0.35">
      <c r="A77">
        <v>40</v>
      </c>
      <c r="B77" t="s">
        <v>615</v>
      </c>
      <c r="C77">
        <v>3392028.75</v>
      </c>
      <c r="D77">
        <v>0</v>
      </c>
      <c r="E77">
        <v>3392028.75</v>
      </c>
      <c r="F77">
        <v>3392028.75</v>
      </c>
      <c r="G77" t="s">
        <v>428</v>
      </c>
    </row>
    <row r="78" spans="1:7" x14ac:dyDescent="0.35">
      <c r="A78">
        <v>50</v>
      </c>
      <c r="B78" t="s">
        <v>616</v>
      </c>
      <c r="C78">
        <v>0</v>
      </c>
      <c r="D78">
        <v>0</v>
      </c>
      <c r="E78">
        <v>0</v>
      </c>
      <c r="F78">
        <v>0</v>
      </c>
      <c r="G78" t="s">
        <v>428</v>
      </c>
    </row>
    <row r="79" spans="1:7" x14ac:dyDescent="0.35">
      <c r="A79">
        <v>60</v>
      </c>
      <c r="B79" t="s">
        <v>617</v>
      </c>
      <c r="C79">
        <v>2873637.57</v>
      </c>
      <c r="D79">
        <v>0</v>
      </c>
      <c r="E79">
        <v>2873637.57</v>
      </c>
      <c r="F79">
        <v>2873637.57</v>
      </c>
      <c r="G79" t="s">
        <v>428</v>
      </c>
    </row>
    <row r="80" spans="1:7" x14ac:dyDescent="0.35">
      <c r="A80">
        <v>70</v>
      </c>
      <c r="B80" t="s">
        <v>433</v>
      </c>
      <c r="C80">
        <v>0</v>
      </c>
      <c r="D80">
        <v>0</v>
      </c>
      <c r="E80">
        <v>0</v>
      </c>
      <c r="F80">
        <v>0</v>
      </c>
      <c r="G80" t="s">
        <v>428</v>
      </c>
    </row>
    <row r="81" spans="1:7" x14ac:dyDescent="0.35">
      <c r="A81">
        <v>80</v>
      </c>
      <c r="B81" t="s">
        <v>434</v>
      </c>
      <c r="C81">
        <v>1410237.4</v>
      </c>
      <c r="D81">
        <v>0</v>
      </c>
      <c r="E81">
        <v>1410237.4</v>
      </c>
      <c r="F81">
        <v>1410237.4</v>
      </c>
      <c r="G81" t="s">
        <v>428</v>
      </c>
    </row>
    <row r="82" spans="1:7" x14ac:dyDescent="0.35">
      <c r="A82">
        <v>90</v>
      </c>
      <c r="B82" t="s">
        <v>618</v>
      </c>
      <c r="C82">
        <v>0</v>
      </c>
      <c r="D82">
        <v>0</v>
      </c>
      <c r="E82">
        <v>0</v>
      </c>
      <c r="F82">
        <v>0</v>
      </c>
      <c r="G82" t="s">
        <v>428</v>
      </c>
    </row>
    <row r="83" spans="1:7" x14ac:dyDescent="0.35">
      <c r="A83">
        <v>100</v>
      </c>
      <c r="B83" t="s">
        <v>619</v>
      </c>
      <c r="C83">
        <v>1463400.17</v>
      </c>
      <c r="D83">
        <v>0</v>
      </c>
      <c r="E83">
        <v>1463400.17</v>
      </c>
      <c r="F83">
        <v>1463400.17</v>
      </c>
      <c r="G83" t="s">
        <v>428</v>
      </c>
    </row>
    <row r="84" spans="1:7" x14ac:dyDescent="0.35">
      <c r="A84">
        <v>110</v>
      </c>
      <c r="B84" t="s">
        <v>620</v>
      </c>
      <c r="C84">
        <v>140814.06</v>
      </c>
      <c r="D84">
        <v>0</v>
      </c>
      <c r="E84">
        <v>140814.06</v>
      </c>
      <c r="F84">
        <v>140814.06</v>
      </c>
      <c r="G84" t="s">
        <v>428</v>
      </c>
    </row>
    <row r="85" spans="1:7" x14ac:dyDescent="0.35">
      <c r="A85">
        <v>120</v>
      </c>
      <c r="B85" t="s">
        <v>621</v>
      </c>
      <c r="C85">
        <v>16521.96</v>
      </c>
      <c r="D85">
        <v>0</v>
      </c>
      <c r="E85">
        <v>16521.96</v>
      </c>
      <c r="F85">
        <v>16521.96</v>
      </c>
      <c r="G85" t="s">
        <v>428</v>
      </c>
    </row>
    <row r="86" spans="1:7" x14ac:dyDescent="0.35">
      <c r="A86">
        <v>130</v>
      </c>
      <c r="B86" t="s">
        <v>622</v>
      </c>
      <c r="C86">
        <v>1076.8</v>
      </c>
      <c r="D86">
        <v>0</v>
      </c>
      <c r="E86">
        <v>1076.8</v>
      </c>
      <c r="F86">
        <v>1076.8</v>
      </c>
      <c r="G86" t="s">
        <v>428</v>
      </c>
    </row>
    <row r="87" spans="1:7" x14ac:dyDescent="0.35">
      <c r="A87">
        <v>140</v>
      </c>
      <c r="B87" t="s">
        <v>623</v>
      </c>
      <c r="C87">
        <v>8283.99</v>
      </c>
      <c r="D87">
        <v>0</v>
      </c>
      <c r="E87">
        <v>8283.99</v>
      </c>
      <c r="F87">
        <v>8283.99</v>
      </c>
      <c r="G87" t="s">
        <v>428</v>
      </c>
    </row>
    <row r="88" spans="1:7" x14ac:dyDescent="0.35">
      <c r="A88">
        <v>145</v>
      </c>
      <c r="B88" t="s">
        <v>443</v>
      </c>
      <c r="C88">
        <v>150128.82999999999</v>
      </c>
      <c r="D88">
        <v>0</v>
      </c>
      <c r="E88">
        <v>150128.82999999999</v>
      </c>
      <c r="F88">
        <v>150128.82999999999</v>
      </c>
      <c r="G88" t="s">
        <v>428</v>
      </c>
    </row>
    <row r="89" spans="1:7" x14ac:dyDescent="0.35">
      <c r="A89">
        <v>150</v>
      </c>
      <c r="B89" t="s">
        <v>624</v>
      </c>
      <c r="C89">
        <v>1313271.3400000001</v>
      </c>
      <c r="D89">
        <v>0</v>
      </c>
      <c r="E89">
        <v>1313271.3400000001</v>
      </c>
      <c r="F89">
        <v>1313271.3400000001</v>
      </c>
      <c r="G89" t="s">
        <v>428</v>
      </c>
    </row>
    <row r="90" spans="1:7" x14ac:dyDescent="0.35">
      <c r="A90">
        <v>160</v>
      </c>
      <c r="B90" t="s">
        <v>625</v>
      </c>
      <c r="C90">
        <v>183954</v>
      </c>
      <c r="D90">
        <v>0</v>
      </c>
      <c r="E90">
        <v>183954</v>
      </c>
      <c r="F90">
        <v>183954</v>
      </c>
      <c r="G90" t="s">
        <v>428</v>
      </c>
    </row>
    <row r="91" spans="1:7" x14ac:dyDescent="0.35">
      <c r="A91">
        <v>170</v>
      </c>
      <c r="B91" t="s">
        <v>447</v>
      </c>
      <c r="C91">
        <v>1129317.3400000001</v>
      </c>
      <c r="D91">
        <v>0</v>
      </c>
      <c r="E91">
        <v>1129317.3400000001</v>
      </c>
      <c r="F91">
        <v>1129317.3400000001</v>
      </c>
      <c r="G91" t="s">
        <v>428</v>
      </c>
    </row>
    <row r="92" spans="1:7" x14ac:dyDescent="0.35">
      <c r="A92">
        <v>190</v>
      </c>
      <c r="B92" t="s">
        <v>626</v>
      </c>
      <c r="C92">
        <v>0</v>
      </c>
      <c r="D92">
        <v>0</v>
      </c>
      <c r="E92">
        <v>0</v>
      </c>
      <c r="F92">
        <v>0</v>
      </c>
      <c r="G92" t="s">
        <v>428</v>
      </c>
    </row>
    <row r="93" spans="1:7" x14ac:dyDescent="0.35">
      <c r="A93">
        <v>200</v>
      </c>
      <c r="B93" t="s">
        <v>447</v>
      </c>
      <c r="C93">
        <v>1129317.3400000001</v>
      </c>
      <c r="D93">
        <v>0</v>
      </c>
      <c r="E93">
        <v>1129317.3400000001</v>
      </c>
      <c r="F93">
        <v>1129317.3400000001</v>
      </c>
      <c r="G93" t="s">
        <v>428</v>
      </c>
    </row>
    <row r="94" spans="1:7" x14ac:dyDescent="0.35">
      <c r="A94">
        <v>210</v>
      </c>
      <c r="B94" t="s">
        <v>247</v>
      </c>
      <c r="C94">
        <v>1129317.3400000001</v>
      </c>
      <c r="D94">
        <v>0</v>
      </c>
      <c r="E94">
        <v>1129317.3400000001</v>
      </c>
      <c r="F94">
        <v>1129317.3400000001</v>
      </c>
      <c r="G94" t="s">
        <v>428</v>
      </c>
    </row>
    <row r="95" spans="1:7" x14ac:dyDescent="0.35">
      <c r="A95">
        <v>220</v>
      </c>
      <c r="B95" t="s">
        <v>627</v>
      </c>
      <c r="C95">
        <v>0</v>
      </c>
      <c r="D95">
        <v>0</v>
      </c>
      <c r="E95">
        <v>0</v>
      </c>
      <c r="F95">
        <v>0</v>
      </c>
      <c r="G95" t="s">
        <v>428</v>
      </c>
    </row>
    <row r="96" spans="1:7" x14ac:dyDescent="0.35">
      <c r="A96">
        <v>230</v>
      </c>
      <c r="B96" t="s">
        <v>196</v>
      </c>
      <c r="C96">
        <v>482560.85</v>
      </c>
      <c r="D96">
        <v>-10809508.35</v>
      </c>
      <c r="E96">
        <v>-10326947.5</v>
      </c>
      <c r="F96">
        <v>482560.85</v>
      </c>
      <c r="G96" t="s">
        <v>428</v>
      </c>
    </row>
    <row r="97" spans="1:7" x14ac:dyDescent="0.35">
      <c r="A97">
        <v>235</v>
      </c>
      <c r="B97" t="s">
        <v>628</v>
      </c>
      <c r="C97">
        <v>0</v>
      </c>
      <c r="D97">
        <v>0</v>
      </c>
      <c r="E97">
        <v>0</v>
      </c>
      <c r="F97">
        <v>0</v>
      </c>
      <c r="G97" t="s">
        <v>428</v>
      </c>
    </row>
    <row r="98" spans="1:7" x14ac:dyDescent="0.35">
      <c r="A98">
        <v>240</v>
      </c>
      <c r="B98" t="s">
        <v>197</v>
      </c>
      <c r="C98">
        <v>172107.72</v>
      </c>
      <c r="D98">
        <v>-10045919.189999999</v>
      </c>
      <c r="E98">
        <v>-9873811.4700000007</v>
      </c>
      <c r="F98">
        <v>172107.72</v>
      </c>
      <c r="G98" t="s">
        <v>428</v>
      </c>
    </row>
    <row r="99" spans="1:7" x14ac:dyDescent="0.35">
      <c r="A99">
        <v>250</v>
      </c>
      <c r="B99" t="s">
        <v>198</v>
      </c>
      <c r="C99">
        <v>0</v>
      </c>
      <c r="D99">
        <v>0</v>
      </c>
      <c r="E99">
        <v>0</v>
      </c>
      <c r="F99">
        <v>0</v>
      </c>
      <c r="G99" t="s">
        <v>428</v>
      </c>
    </row>
    <row r="100" spans="1:7" x14ac:dyDescent="0.35">
      <c r="A100">
        <v>260</v>
      </c>
      <c r="B100" t="s">
        <v>629</v>
      </c>
      <c r="C100">
        <v>-21392.89</v>
      </c>
      <c r="D100">
        <v>-140981.26</v>
      </c>
      <c r="E100">
        <v>-162374.15</v>
      </c>
      <c r="F100">
        <v>-21392.89</v>
      </c>
      <c r="G100" t="s">
        <v>428</v>
      </c>
    </row>
    <row r="101" spans="1:7" x14ac:dyDescent="0.35">
      <c r="A101">
        <v>270</v>
      </c>
      <c r="B101" t="s">
        <v>199</v>
      </c>
      <c r="C101">
        <v>-1617096.83</v>
      </c>
      <c r="D101">
        <v>-6370286.5800000001</v>
      </c>
      <c r="E101">
        <v>-7987383.4100000001</v>
      </c>
      <c r="F101">
        <v>-1617096.83</v>
      </c>
      <c r="G101" t="s">
        <v>428</v>
      </c>
    </row>
    <row r="102" spans="1:7" x14ac:dyDescent="0.35">
      <c r="A102">
        <v>300</v>
      </c>
      <c r="B102" t="s">
        <v>222</v>
      </c>
      <c r="C102">
        <v>0</v>
      </c>
      <c r="D102">
        <v>0</v>
      </c>
      <c r="E102">
        <v>0</v>
      </c>
      <c r="F102">
        <v>0</v>
      </c>
      <c r="G102" t="s">
        <v>428</v>
      </c>
    </row>
    <row r="103" spans="1:7" x14ac:dyDescent="0.35">
      <c r="A103">
        <v>310</v>
      </c>
      <c r="B103" t="s">
        <v>630</v>
      </c>
      <c r="C103">
        <v>12205.8</v>
      </c>
      <c r="D103">
        <v>145121.15</v>
      </c>
      <c r="E103">
        <v>157326.95000000001</v>
      </c>
      <c r="F103">
        <v>12205.8</v>
      </c>
      <c r="G103" t="s">
        <v>428</v>
      </c>
    </row>
    <row r="104" spans="1:7" x14ac:dyDescent="0.35">
      <c r="A104">
        <v>320</v>
      </c>
      <c r="B104" t="s">
        <v>248</v>
      </c>
      <c r="C104">
        <v>1858204.97</v>
      </c>
      <c r="D104">
        <v>28410600.359999999</v>
      </c>
      <c r="E104">
        <v>30268805.329999998</v>
      </c>
      <c r="F104">
        <v>1858204.97</v>
      </c>
      <c r="G104" t="s">
        <v>428</v>
      </c>
    </row>
    <row r="105" spans="1:7" x14ac:dyDescent="0.35">
      <c r="A105">
        <v>325</v>
      </c>
      <c r="B105" t="s">
        <v>249</v>
      </c>
      <c r="C105">
        <v>0</v>
      </c>
      <c r="D105">
        <v>0</v>
      </c>
      <c r="E105">
        <v>0</v>
      </c>
      <c r="F105">
        <v>0</v>
      </c>
      <c r="G105" t="s">
        <v>428</v>
      </c>
    </row>
    <row r="106" spans="1:7" x14ac:dyDescent="0.35">
      <c r="A106">
        <v>330</v>
      </c>
      <c r="B106" t="s">
        <v>631</v>
      </c>
      <c r="C106">
        <v>44596.15</v>
      </c>
      <c r="D106">
        <v>1708557.35</v>
      </c>
      <c r="E106">
        <v>1753153.5</v>
      </c>
      <c r="F106">
        <v>44596.15</v>
      </c>
      <c r="G106" t="s">
        <v>428</v>
      </c>
    </row>
    <row r="107" spans="1:7" x14ac:dyDescent="0.35">
      <c r="A107">
        <v>340</v>
      </c>
      <c r="B107" t="s">
        <v>632</v>
      </c>
      <c r="C107">
        <v>-256761.46</v>
      </c>
      <c r="D107">
        <v>583335.84</v>
      </c>
      <c r="E107">
        <v>326574.38</v>
      </c>
      <c r="F107">
        <v>-256761.46</v>
      </c>
      <c r="G107" t="s">
        <v>428</v>
      </c>
    </row>
    <row r="108" spans="1:7" x14ac:dyDescent="0.35">
      <c r="A108">
        <v>380</v>
      </c>
      <c r="B108" t="s">
        <v>633</v>
      </c>
      <c r="C108">
        <v>674424.31</v>
      </c>
      <c r="D108">
        <v>3480919.32</v>
      </c>
      <c r="E108">
        <v>4155343.63</v>
      </c>
      <c r="F108">
        <v>674424.31</v>
      </c>
      <c r="G108" t="s">
        <v>428</v>
      </c>
    </row>
    <row r="109" spans="1:7" x14ac:dyDescent="0.35">
      <c r="A109">
        <v>390</v>
      </c>
      <c r="B109" t="s">
        <v>250</v>
      </c>
      <c r="C109">
        <v>0</v>
      </c>
      <c r="D109">
        <v>0</v>
      </c>
      <c r="E109">
        <v>0</v>
      </c>
      <c r="F109">
        <v>0</v>
      </c>
      <c r="G109" t="s">
        <v>428</v>
      </c>
    </row>
    <row r="110" spans="1:7" x14ac:dyDescent="0.35">
      <c r="A110">
        <v>400</v>
      </c>
      <c r="B110" t="s">
        <v>251</v>
      </c>
      <c r="C110">
        <v>0</v>
      </c>
      <c r="D110">
        <v>0</v>
      </c>
      <c r="E110">
        <v>0</v>
      </c>
      <c r="F110">
        <v>0</v>
      </c>
      <c r="G110" t="s">
        <v>428</v>
      </c>
    </row>
    <row r="111" spans="1:7" x14ac:dyDescent="0.35">
      <c r="A111">
        <v>405</v>
      </c>
      <c r="B111" t="s">
        <v>252</v>
      </c>
      <c r="C111">
        <v>0</v>
      </c>
      <c r="D111">
        <v>0</v>
      </c>
      <c r="E111">
        <v>0</v>
      </c>
      <c r="F111">
        <v>0</v>
      </c>
      <c r="G111" t="s">
        <v>428</v>
      </c>
    </row>
    <row r="112" spans="1:7" x14ac:dyDescent="0.35">
      <c r="A112">
        <v>410</v>
      </c>
      <c r="B112" t="s">
        <v>237</v>
      </c>
      <c r="C112">
        <v>0</v>
      </c>
      <c r="D112">
        <v>392000</v>
      </c>
      <c r="E112">
        <v>392000</v>
      </c>
      <c r="F112">
        <v>0</v>
      </c>
      <c r="G112" t="s">
        <v>428</v>
      </c>
    </row>
    <row r="113" spans="1:7" x14ac:dyDescent="0.35">
      <c r="A113">
        <v>420</v>
      </c>
      <c r="B113" t="s">
        <v>253</v>
      </c>
      <c r="C113">
        <v>0</v>
      </c>
      <c r="D113">
        <v>-4212938.0999999996</v>
      </c>
      <c r="E113">
        <v>-4212938.0999999996</v>
      </c>
      <c r="F113">
        <v>0</v>
      </c>
      <c r="G113" t="s">
        <v>428</v>
      </c>
    </row>
    <row r="114" spans="1:7" x14ac:dyDescent="0.35">
      <c r="A114">
        <v>425</v>
      </c>
      <c r="B114" t="s">
        <v>634</v>
      </c>
      <c r="C114">
        <v>0</v>
      </c>
      <c r="D114">
        <v>74207.199999999997</v>
      </c>
      <c r="E114">
        <v>74207.199999999997</v>
      </c>
      <c r="F114">
        <v>0</v>
      </c>
      <c r="G114" t="s">
        <v>428</v>
      </c>
    </row>
    <row r="115" spans="1:7" x14ac:dyDescent="0.35">
      <c r="A115">
        <v>427</v>
      </c>
      <c r="B115" t="s">
        <v>635</v>
      </c>
      <c r="C115">
        <v>0</v>
      </c>
      <c r="D115">
        <v>0</v>
      </c>
      <c r="E115">
        <v>0</v>
      </c>
      <c r="F115">
        <v>0</v>
      </c>
      <c r="G115" t="s">
        <v>428</v>
      </c>
    </row>
    <row r="116" spans="1:7" x14ac:dyDescent="0.35">
      <c r="A116">
        <v>430</v>
      </c>
      <c r="B116" t="s">
        <v>254</v>
      </c>
      <c r="C116">
        <v>0</v>
      </c>
      <c r="D116">
        <v>9433286.0399999991</v>
      </c>
      <c r="E116">
        <v>9433286.0399999991</v>
      </c>
      <c r="F116">
        <v>0</v>
      </c>
      <c r="G116" t="s">
        <v>428</v>
      </c>
    </row>
    <row r="117" spans="1:7" x14ac:dyDescent="0.35">
      <c r="A117">
        <v>440</v>
      </c>
      <c r="B117" t="s">
        <v>255</v>
      </c>
      <c r="C117">
        <v>0</v>
      </c>
      <c r="D117">
        <v>5686555.1399999997</v>
      </c>
      <c r="E117">
        <v>5686555.1399999997</v>
      </c>
      <c r="F117">
        <v>0</v>
      </c>
      <c r="G117" t="s">
        <v>428</v>
      </c>
    </row>
    <row r="118" spans="1:7" x14ac:dyDescent="0.35">
      <c r="A118">
        <v>450</v>
      </c>
      <c r="B118" t="s">
        <v>256</v>
      </c>
      <c r="C118">
        <v>0</v>
      </c>
      <c r="D118">
        <v>0</v>
      </c>
      <c r="E118">
        <v>0</v>
      </c>
      <c r="F118">
        <v>0</v>
      </c>
      <c r="G118" t="s">
        <v>428</v>
      </c>
    </row>
    <row r="119" spans="1:7" x14ac:dyDescent="0.35">
      <c r="A119">
        <v>455</v>
      </c>
      <c r="B119" t="s">
        <v>204</v>
      </c>
      <c r="C119">
        <v>0</v>
      </c>
      <c r="D119">
        <v>0</v>
      </c>
      <c r="E119">
        <v>0</v>
      </c>
      <c r="F119">
        <v>0</v>
      </c>
      <c r="G119" t="s">
        <v>428</v>
      </c>
    </row>
    <row r="120" spans="1:7" x14ac:dyDescent="0.35">
      <c r="A120">
        <v>456</v>
      </c>
      <c r="B120" t="s">
        <v>636</v>
      </c>
      <c r="C120">
        <v>0</v>
      </c>
      <c r="D120">
        <v>0</v>
      </c>
      <c r="E120">
        <v>0</v>
      </c>
      <c r="F120">
        <v>0</v>
      </c>
      <c r="G120" t="s">
        <v>428</v>
      </c>
    </row>
    <row r="121" spans="1:7" x14ac:dyDescent="0.35">
      <c r="A121">
        <v>460</v>
      </c>
      <c r="B121" t="s">
        <v>208</v>
      </c>
      <c r="C121">
        <v>0</v>
      </c>
      <c r="D121">
        <v>0</v>
      </c>
      <c r="E121">
        <v>0</v>
      </c>
      <c r="F121">
        <v>0</v>
      </c>
      <c r="G121" t="s">
        <v>428</v>
      </c>
    </row>
    <row r="122" spans="1:7" x14ac:dyDescent="0.35">
      <c r="A122">
        <v>470</v>
      </c>
      <c r="B122" t="s">
        <v>637</v>
      </c>
      <c r="C122">
        <v>0</v>
      </c>
      <c r="D122">
        <v>0</v>
      </c>
      <c r="E122">
        <v>0</v>
      </c>
      <c r="F122">
        <v>0</v>
      </c>
      <c r="G122" t="s">
        <v>428</v>
      </c>
    </row>
    <row r="123" spans="1:7" x14ac:dyDescent="0.35">
      <c r="A123">
        <v>480</v>
      </c>
      <c r="B123" t="s">
        <v>207</v>
      </c>
      <c r="C123">
        <v>0</v>
      </c>
      <c r="D123">
        <v>0</v>
      </c>
      <c r="E123">
        <v>0</v>
      </c>
      <c r="F123">
        <v>0</v>
      </c>
      <c r="G123" t="s">
        <v>428</v>
      </c>
    </row>
    <row r="124" spans="1:7" x14ac:dyDescent="0.35">
      <c r="A124">
        <v>490</v>
      </c>
      <c r="B124" t="s">
        <v>638</v>
      </c>
      <c r="C124">
        <v>0</v>
      </c>
      <c r="D124">
        <v>0</v>
      </c>
      <c r="E124">
        <v>0</v>
      </c>
      <c r="F124">
        <v>0</v>
      </c>
      <c r="G124" t="s">
        <v>428</v>
      </c>
    </row>
    <row r="125" spans="1:7" x14ac:dyDescent="0.35">
      <c r="A125">
        <v>500</v>
      </c>
      <c r="B125" t="s">
        <v>206</v>
      </c>
      <c r="C125">
        <v>0</v>
      </c>
      <c r="D125">
        <v>0</v>
      </c>
      <c r="E125">
        <v>0</v>
      </c>
      <c r="F125">
        <v>0</v>
      </c>
      <c r="G125" t="s">
        <v>428</v>
      </c>
    </row>
    <row r="126" spans="1:7" x14ac:dyDescent="0.35">
      <c r="A126">
        <v>510</v>
      </c>
      <c r="B126" t="s">
        <v>639</v>
      </c>
      <c r="C126">
        <v>0</v>
      </c>
      <c r="D126">
        <v>0</v>
      </c>
      <c r="E126">
        <v>0</v>
      </c>
      <c r="F126">
        <v>0</v>
      </c>
      <c r="G126" t="s">
        <v>428</v>
      </c>
    </row>
    <row r="127" spans="1:7" x14ac:dyDescent="0.35">
      <c r="A127">
        <v>512</v>
      </c>
      <c r="B127" t="s">
        <v>257</v>
      </c>
      <c r="C127">
        <v>0</v>
      </c>
      <c r="D127">
        <v>-10822.51</v>
      </c>
      <c r="E127">
        <v>-10822.51</v>
      </c>
      <c r="F127">
        <v>0</v>
      </c>
      <c r="G127" t="s">
        <v>428</v>
      </c>
    </row>
    <row r="128" spans="1:7" x14ac:dyDescent="0.35">
      <c r="A128">
        <v>514</v>
      </c>
      <c r="B128" t="s">
        <v>640</v>
      </c>
      <c r="C128">
        <v>0</v>
      </c>
      <c r="D128">
        <v>10822.51</v>
      </c>
      <c r="E128">
        <v>10822.51</v>
      </c>
      <c r="F128">
        <v>0</v>
      </c>
      <c r="G128" t="s">
        <v>428</v>
      </c>
    </row>
    <row r="129" spans="1:7" x14ac:dyDescent="0.35">
      <c r="A129">
        <v>520</v>
      </c>
      <c r="B129" t="s">
        <v>641</v>
      </c>
      <c r="C129">
        <v>0</v>
      </c>
      <c r="D129">
        <v>0</v>
      </c>
      <c r="E129">
        <v>0</v>
      </c>
      <c r="F129">
        <v>0</v>
      </c>
      <c r="G129" t="s">
        <v>428</v>
      </c>
    </row>
    <row r="130" spans="1:7" x14ac:dyDescent="0.35">
      <c r="A130">
        <v>530</v>
      </c>
      <c r="B130" t="s">
        <v>642</v>
      </c>
      <c r="C130">
        <v>0</v>
      </c>
      <c r="D130">
        <v>0</v>
      </c>
      <c r="E130">
        <v>0</v>
      </c>
      <c r="F130">
        <v>0</v>
      </c>
      <c r="G130" t="s">
        <v>428</v>
      </c>
    </row>
    <row r="131" spans="1:7" x14ac:dyDescent="0.35">
      <c r="A131">
        <v>540</v>
      </c>
      <c r="B131" t="s">
        <v>643</v>
      </c>
      <c r="C131">
        <v>0</v>
      </c>
      <c r="D131">
        <v>-1390.38</v>
      </c>
      <c r="E131">
        <v>-1390.38</v>
      </c>
      <c r="F131">
        <v>0</v>
      </c>
      <c r="G131" t="s">
        <v>428</v>
      </c>
    </row>
    <row r="132" spans="1:7" x14ac:dyDescent="0.35">
      <c r="A132">
        <v>550</v>
      </c>
      <c r="B132" t="s">
        <v>644</v>
      </c>
      <c r="C132">
        <v>0</v>
      </c>
      <c r="D132">
        <v>1390.38</v>
      </c>
      <c r="E132">
        <v>1390.38</v>
      </c>
      <c r="F132">
        <v>0</v>
      </c>
      <c r="G132" t="s">
        <v>428</v>
      </c>
    </row>
    <row r="133" spans="1:7" x14ac:dyDescent="0.35">
      <c r="A133">
        <v>560</v>
      </c>
      <c r="B133" t="s">
        <v>645</v>
      </c>
      <c r="C133">
        <v>0</v>
      </c>
      <c r="D133">
        <v>-8519250.5</v>
      </c>
      <c r="E133">
        <v>-8519250.5</v>
      </c>
      <c r="F133">
        <v>0</v>
      </c>
      <c r="G133" t="s">
        <v>428</v>
      </c>
    </row>
    <row r="134" spans="1:7" x14ac:dyDescent="0.35">
      <c r="A134">
        <v>570</v>
      </c>
      <c r="B134" t="s">
        <v>646</v>
      </c>
      <c r="C134">
        <v>0</v>
      </c>
      <c r="D134">
        <v>482296</v>
      </c>
      <c r="E134">
        <v>482296</v>
      </c>
      <c r="F134">
        <v>0</v>
      </c>
      <c r="G134" t="s">
        <v>428</v>
      </c>
    </row>
    <row r="135" spans="1:7" x14ac:dyDescent="0.35">
      <c r="A135">
        <v>580</v>
      </c>
      <c r="B135" t="s">
        <v>258</v>
      </c>
      <c r="C135">
        <v>0</v>
      </c>
      <c r="D135">
        <v>0</v>
      </c>
      <c r="E135">
        <v>0</v>
      </c>
      <c r="F135">
        <v>0</v>
      </c>
      <c r="G135" t="s">
        <v>428</v>
      </c>
    </row>
    <row r="136" spans="1:7" x14ac:dyDescent="0.35">
      <c r="A136">
        <v>590</v>
      </c>
      <c r="B136" t="s">
        <v>647</v>
      </c>
      <c r="C136">
        <v>0</v>
      </c>
      <c r="D136">
        <v>0</v>
      </c>
      <c r="E136">
        <v>0</v>
      </c>
      <c r="F136">
        <v>0</v>
      </c>
      <c r="G136" t="s">
        <v>428</v>
      </c>
    </row>
    <row r="137" spans="1:7" x14ac:dyDescent="0.35">
      <c r="A137">
        <v>600</v>
      </c>
      <c r="B137" t="s">
        <v>259</v>
      </c>
      <c r="C137">
        <v>0</v>
      </c>
      <c r="D137">
        <v>0</v>
      </c>
      <c r="E137">
        <v>0</v>
      </c>
      <c r="F137">
        <v>0</v>
      </c>
      <c r="G137" t="s">
        <v>428</v>
      </c>
    </row>
    <row r="138" spans="1:7" x14ac:dyDescent="0.35">
      <c r="A138">
        <v>610</v>
      </c>
      <c r="B138" t="s">
        <v>648</v>
      </c>
      <c r="C138">
        <v>0</v>
      </c>
      <c r="D138">
        <v>0</v>
      </c>
      <c r="E138">
        <v>0</v>
      </c>
      <c r="F138">
        <v>0</v>
      </c>
      <c r="G138" t="s">
        <v>428</v>
      </c>
    </row>
    <row r="139" spans="1:7" x14ac:dyDescent="0.35">
      <c r="A139">
        <v>620</v>
      </c>
      <c r="B139" t="s">
        <v>260</v>
      </c>
      <c r="C139">
        <v>0</v>
      </c>
      <c r="D139">
        <v>0</v>
      </c>
      <c r="E139">
        <v>0</v>
      </c>
      <c r="F139">
        <v>0</v>
      </c>
      <c r="G139" t="s">
        <v>428</v>
      </c>
    </row>
    <row r="140" spans="1:7" x14ac:dyDescent="0.35">
      <c r="A140">
        <v>630</v>
      </c>
      <c r="B140" t="s">
        <v>261</v>
      </c>
      <c r="C140">
        <v>0</v>
      </c>
      <c r="D140">
        <v>0</v>
      </c>
      <c r="E140">
        <v>0</v>
      </c>
      <c r="F140">
        <v>0</v>
      </c>
      <c r="G140" t="s">
        <v>428</v>
      </c>
    </row>
    <row r="141" spans="1:7" x14ac:dyDescent="0.35">
      <c r="A141">
        <v>640</v>
      </c>
      <c r="B141" t="s">
        <v>262</v>
      </c>
      <c r="C141">
        <v>0</v>
      </c>
      <c r="D141">
        <v>-8036954.5</v>
      </c>
      <c r="E141">
        <v>-8036954.5</v>
      </c>
      <c r="F141">
        <v>0</v>
      </c>
      <c r="G141" t="s">
        <v>428</v>
      </c>
    </row>
    <row r="142" spans="1:7" x14ac:dyDescent="0.35">
      <c r="A142">
        <v>650</v>
      </c>
      <c r="B142" t="s">
        <v>263</v>
      </c>
      <c r="C142">
        <v>1803741.65</v>
      </c>
      <c r="D142">
        <v>1130519.96</v>
      </c>
      <c r="E142">
        <v>2934261.61</v>
      </c>
      <c r="F142">
        <v>1803741.65</v>
      </c>
      <c r="G142" t="s">
        <v>428</v>
      </c>
    </row>
    <row r="143" spans="1:7" x14ac:dyDescent="0.35">
      <c r="A143" t="s">
        <v>456</v>
      </c>
      <c r="B143" t="s">
        <v>416</v>
      </c>
      <c r="C143" t="s">
        <v>608</v>
      </c>
      <c r="D143" t="s">
        <v>609</v>
      </c>
      <c r="E143" t="s">
        <v>610</v>
      </c>
      <c r="F143" t="s">
        <v>611</v>
      </c>
      <c r="G143" t="s">
        <v>121</v>
      </c>
    </row>
    <row r="144" spans="1:7" x14ac:dyDescent="0.35">
      <c r="A144">
        <v>10</v>
      </c>
      <c r="B144" t="s">
        <v>612</v>
      </c>
      <c r="C144">
        <v>0</v>
      </c>
      <c r="D144">
        <v>0</v>
      </c>
      <c r="E144">
        <v>0</v>
      </c>
      <c r="F144">
        <v>0</v>
      </c>
      <c r="G144" t="s">
        <v>428</v>
      </c>
    </row>
    <row r="145" spans="1:7" x14ac:dyDescent="0.35">
      <c r="A145">
        <v>20</v>
      </c>
      <c r="B145" t="s">
        <v>427</v>
      </c>
      <c r="C145">
        <v>28088569.600000001</v>
      </c>
      <c r="D145">
        <v>0</v>
      </c>
      <c r="E145">
        <v>28088569.600000001</v>
      </c>
      <c r="F145">
        <v>28088569.600000001</v>
      </c>
      <c r="G145" t="s">
        <v>428</v>
      </c>
    </row>
    <row r="146" spans="1:7" x14ac:dyDescent="0.35">
      <c r="A146">
        <v>30</v>
      </c>
      <c r="B146" t="s">
        <v>613</v>
      </c>
      <c r="C146">
        <v>218538.83</v>
      </c>
      <c r="D146">
        <v>0</v>
      </c>
      <c r="E146">
        <v>218538.83</v>
      </c>
      <c r="F146">
        <v>218538.83</v>
      </c>
      <c r="G146" t="s">
        <v>428</v>
      </c>
    </row>
    <row r="147" spans="1:7" x14ac:dyDescent="0.35">
      <c r="A147">
        <v>35</v>
      </c>
      <c r="B147" t="s">
        <v>614</v>
      </c>
      <c r="C147">
        <v>27870030.77</v>
      </c>
      <c r="D147">
        <v>0</v>
      </c>
      <c r="E147">
        <v>27870030.77</v>
      </c>
      <c r="F147">
        <v>27870030.77</v>
      </c>
      <c r="G147" t="s">
        <v>428</v>
      </c>
    </row>
    <row r="148" spans="1:7" x14ac:dyDescent="0.35">
      <c r="A148">
        <v>40</v>
      </c>
      <c r="B148" t="s">
        <v>615</v>
      </c>
      <c r="C148">
        <v>22942538.609999999</v>
      </c>
      <c r="D148">
        <v>0</v>
      </c>
      <c r="E148">
        <v>22942538.609999999</v>
      </c>
      <c r="F148">
        <v>22942538.609999999</v>
      </c>
      <c r="G148" t="s">
        <v>428</v>
      </c>
    </row>
    <row r="149" spans="1:7" x14ac:dyDescent="0.35">
      <c r="A149">
        <v>50</v>
      </c>
      <c r="B149" t="s">
        <v>616</v>
      </c>
      <c r="C149">
        <v>0</v>
      </c>
      <c r="D149">
        <v>0</v>
      </c>
      <c r="E149">
        <v>0</v>
      </c>
      <c r="F149">
        <v>0</v>
      </c>
      <c r="G149" t="s">
        <v>428</v>
      </c>
    </row>
    <row r="150" spans="1:7" x14ac:dyDescent="0.35">
      <c r="A150">
        <v>60</v>
      </c>
      <c r="B150" t="s">
        <v>617</v>
      </c>
      <c r="C150">
        <v>4927492.16</v>
      </c>
      <c r="D150">
        <v>0</v>
      </c>
      <c r="E150">
        <v>4927492.16</v>
      </c>
      <c r="F150">
        <v>4927492.16</v>
      </c>
      <c r="G150" t="s">
        <v>428</v>
      </c>
    </row>
    <row r="151" spans="1:7" x14ac:dyDescent="0.35">
      <c r="A151">
        <v>70</v>
      </c>
      <c r="B151" t="s">
        <v>433</v>
      </c>
      <c r="C151">
        <v>2705382.64</v>
      </c>
      <c r="D151">
        <v>0</v>
      </c>
      <c r="E151">
        <v>2705382.64</v>
      </c>
      <c r="F151">
        <v>2705382.64</v>
      </c>
      <c r="G151" t="s">
        <v>428</v>
      </c>
    </row>
    <row r="152" spans="1:7" x14ac:dyDescent="0.35">
      <c r="A152">
        <v>80</v>
      </c>
      <c r="B152" t="s">
        <v>434</v>
      </c>
      <c r="C152">
        <v>1099526.8899999999</v>
      </c>
      <c r="D152">
        <v>0</v>
      </c>
      <c r="E152">
        <v>1099526.8899999999</v>
      </c>
      <c r="F152">
        <v>1099526.8899999999</v>
      </c>
      <c r="G152" t="s">
        <v>428</v>
      </c>
    </row>
    <row r="153" spans="1:7" x14ac:dyDescent="0.35">
      <c r="A153">
        <v>90</v>
      </c>
      <c r="B153" t="s">
        <v>618</v>
      </c>
      <c r="C153">
        <v>110029.08</v>
      </c>
      <c r="D153">
        <v>0</v>
      </c>
      <c r="E153">
        <v>110029.08</v>
      </c>
      <c r="F153">
        <v>110029.08</v>
      </c>
      <c r="G153" t="s">
        <v>428</v>
      </c>
    </row>
    <row r="154" spans="1:7" x14ac:dyDescent="0.35">
      <c r="A154">
        <v>100</v>
      </c>
      <c r="B154" t="s">
        <v>619</v>
      </c>
      <c r="C154">
        <v>1012553.55</v>
      </c>
      <c r="D154">
        <v>0</v>
      </c>
      <c r="E154">
        <v>1012553.55</v>
      </c>
      <c r="F154">
        <v>1012553.55</v>
      </c>
      <c r="G154" t="s">
        <v>428</v>
      </c>
    </row>
    <row r="155" spans="1:7" x14ac:dyDescent="0.35">
      <c r="A155">
        <v>110</v>
      </c>
      <c r="B155" t="s">
        <v>620</v>
      </c>
      <c r="C155">
        <v>1519.42</v>
      </c>
      <c r="D155">
        <v>0</v>
      </c>
      <c r="E155">
        <v>1519.42</v>
      </c>
      <c r="F155">
        <v>1519.42</v>
      </c>
      <c r="G155" t="s">
        <v>428</v>
      </c>
    </row>
    <row r="156" spans="1:7" x14ac:dyDescent="0.35">
      <c r="A156">
        <v>120</v>
      </c>
      <c r="B156" t="s">
        <v>621</v>
      </c>
      <c r="C156">
        <v>2000</v>
      </c>
      <c r="D156">
        <v>0</v>
      </c>
      <c r="E156">
        <v>2000</v>
      </c>
      <c r="F156">
        <v>2000</v>
      </c>
      <c r="G156" t="s">
        <v>428</v>
      </c>
    </row>
    <row r="157" spans="1:7" x14ac:dyDescent="0.35">
      <c r="A157">
        <v>130</v>
      </c>
      <c r="B157" t="s">
        <v>622</v>
      </c>
      <c r="C157">
        <v>187720.45</v>
      </c>
      <c r="D157">
        <v>0</v>
      </c>
      <c r="E157">
        <v>187720.45</v>
      </c>
      <c r="F157">
        <v>187720.45</v>
      </c>
      <c r="G157" t="s">
        <v>428</v>
      </c>
    </row>
    <row r="158" spans="1:7" x14ac:dyDescent="0.35">
      <c r="A158">
        <v>140</v>
      </c>
      <c r="B158" t="s">
        <v>623</v>
      </c>
      <c r="C158">
        <v>5332.4</v>
      </c>
      <c r="D158">
        <v>0</v>
      </c>
      <c r="E158">
        <v>5332.4</v>
      </c>
      <c r="F158">
        <v>5332.4</v>
      </c>
      <c r="G158" t="s">
        <v>428</v>
      </c>
    </row>
    <row r="159" spans="1:7" x14ac:dyDescent="0.35">
      <c r="A159">
        <v>145</v>
      </c>
      <c r="B159" t="s">
        <v>443</v>
      </c>
      <c r="C159">
        <v>185907.47</v>
      </c>
      <c r="D159">
        <v>0</v>
      </c>
      <c r="E159">
        <v>185907.47</v>
      </c>
      <c r="F159">
        <v>185907.47</v>
      </c>
      <c r="G159" t="s">
        <v>428</v>
      </c>
    </row>
    <row r="160" spans="1:7" x14ac:dyDescent="0.35">
      <c r="A160">
        <v>150</v>
      </c>
      <c r="B160" t="s">
        <v>624</v>
      </c>
      <c r="C160">
        <v>826646.08</v>
      </c>
      <c r="D160">
        <v>0</v>
      </c>
      <c r="E160">
        <v>826646.08</v>
      </c>
      <c r="F160">
        <v>826646.08</v>
      </c>
      <c r="G160" t="s">
        <v>428</v>
      </c>
    </row>
    <row r="161" spans="1:7" x14ac:dyDescent="0.35">
      <c r="A161">
        <v>160</v>
      </c>
      <c r="B161" t="s">
        <v>625</v>
      </c>
      <c r="C161">
        <v>541000</v>
      </c>
      <c r="D161">
        <v>0</v>
      </c>
      <c r="E161">
        <v>541000</v>
      </c>
      <c r="F161">
        <v>541000</v>
      </c>
      <c r="G161" t="s">
        <v>428</v>
      </c>
    </row>
    <row r="162" spans="1:7" x14ac:dyDescent="0.35">
      <c r="A162">
        <v>170</v>
      </c>
      <c r="B162" t="s">
        <v>447</v>
      </c>
      <c r="C162">
        <v>285646.08000000002</v>
      </c>
      <c r="D162">
        <v>0</v>
      </c>
      <c r="E162">
        <v>285646.08000000002</v>
      </c>
      <c r="F162">
        <v>285646.08000000002</v>
      </c>
      <c r="G162" t="s">
        <v>428</v>
      </c>
    </row>
    <row r="163" spans="1:7" x14ac:dyDescent="0.35">
      <c r="A163">
        <v>190</v>
      </c>
      <c r="B163" t="s">
        <v>626</v>
      </c>
      <c r="C163">
        <v>0</v>
      </c>
      <c r="D163">
        <v>0</v>
      </c>
      <c r="E163">
        <v>0</v>
      </c>
      <c r="F163">
        <v>0</v>
      </c>
      <c r="G163" t="s">
        <v>428</v>
      </c>
    </row>
    <row r="164" spans="1:7" x14ac:dyDescent="0.35">
      <c r="A164">
        <v>200</v>
      </c>
      <c r="B164" t="s">
        <v>447</v>
      </c>
      <c r="C164">
        <v>285646.08000000002</v>
      </c>
      <c r="D164">
        <v>0</v>
      </c>
      <c r="E164">
        <v>285646.08000000002</v>
      </c>
      <c r="F164">
        <v>285646.08000000002</v>
      </c>
      <c r="G164" t="s">
        <v>428</v>
      </c>
    </row>
    <row r="165" spans="1:7" x14ac:dyDescent="0.35">
      <c r="A165">
        <v>210</v>
      </c>
      <c r="B165" t="s">
        <v>247</v>
      </c>
      <c r="C165">
        <v>285646.08000000002</v>
      </c>
      <c r="D165">
        <v>0</v>
      </c>
      <c r="E165">
        <v>285646.08000000002</v>
      </c>
      <c r="F165">
        <v>285646.08000000002</v>
      </c>
      <c r="G165" t="s">
        <v>428</v>
      </c>
    </row>
    <row r="166" spans="1:7" x14ac:dyDescent="0.35">
      <c r="A166">
        <v>220</v>
      </c>
      <c r="B166" t="s">
        <v>627</v>
      </c>
      <c r="C166">
        <v>0</v>
      </c>
      <c r="D166">
        <v>0</v>
      </c>
      <c r="E166">
        <v>0</v>
      </c>
      <c r="F166">
        <v>0</v>
      </c>
      <c r="G166" t="s">
        <v>428</v>
      </c>
    </row>
    <row r="167" spans="1:7" x14ac:dyDescent="0.35">
      <c r="A167">
        <v>230</v>
      </c>
      <c r="B167" t="s">
        <v>196</v>
      </c>
      <c r="C167">
        <v>5765409.9299999997</v>
      </c>
      <c r="D167">
        <v>-17542810.93</v>
      </c>
      <c r="E167">
        <v>-11777401</v>
      </c>
      <c r="F167">
        <v>5765409.9299999997</v>
      </c>
      <c r="G167" t="s">
        <v>428</v>
      </c>
    </row>
    <row r="168" spans="1:7" x14ac:dyDescent="0.35">
      <c r="A168">
        <v>235</v>
      </c>
      <c r="B168" t="s">
        <v>628</v>
      </c>
      <c r="C168">
        <v>8523.81</v>
      </c>
      <c r="D168">
        <v>-33481.24</v>
      </c>
      <c r="E168">
        <v>-24957.43</v>
      </c>
      <c r="F168">
        <v>8523.81</v>
      </c>
      <c r="G168" t="s">
        <v>428</v>
      </c>
    </row>
    <row r="169" spans="1:7" x14ac:dyDescent="0.35">
      <c r="A169">
        <v>240</v>
      </c>
      <c r="B169" t="s">
        <v>197</v>
      </c>
      <c r="C169">
        <v>-507932.49</v>
      </c>
      <c r="D169">
        <v>-18407468.489999998</v>
      </c>
      <c r="E169">
        <v>-18915400.98</v>
      </c>
      <c r="F169">
        <v>-507932.49</v>
      </c>
      <c r="G169" t="s">
        <v>428</v>
      </c>
    </row>
    <row r="170" spans="1:7" x14ac:dyDescent="0.35">
      <c r="A170">
        <v>250</v>
      </c>
      <c r="B170" t="s">
        <v>198</v>
      </c>
      <c r="C170">
        <v>1038806.73</v>
      </c>
      <c r="D170">
        <v>-12663395.59</v>
      </c>
      <c r="E170">
        <v>-11624588.859999999</v>
      </c>
      <c r="F170">
        <v>1038806.73</v>
      </c>
      <c r="G170" t="s">
        <v>428</v>
      </c>
    </row>
    <row r="171" spans="1:7" x14ac:dyDescent="0.35">
      <c r="A171">
        <v>260</v>
      </c>
      <c r="B171" t="s">
        <v>629</v>
      </c>
      <c r="C171">
        <v>-387919.08</v>
      </c>
      <c r="D171">
        <v>-14889298.630000001</v>
      </c>
      <c r="E171">
        <v>-15277217.710000001</v>
      </c>
      <c r="F171">
        <v>-387919.08</v>
      </c>
      <c r="G171" t="s">
        <v>428</v>
      </c>
    </row>
    <row r="172" spans="1:7" x14ac:dyDescent="0.35">
      <c r="A172">
        <v>270</v>
      </c>
      <c r="B172" t="s">
        <v>199</v>
      </c>
      <c r="C172">
        <v>-2894345.04</v>
      </c>
      <c r="D172">
        <v>-29307656.41</v>
      </c>
      <c r="E172">
        <v>-32202001.449999999</v>
      </c>
      <c r="F172">
        <v>-2894345.04</v>
      </c>
      <c r="G172" t="s">
        <v>428</v>
      </c>
    </row>
    <row r="173" spans="1:7" x14ac:dyDescent="0.35">
      <c r="A173">
        <v>300</v>
      </c>
      <c r="B173" t="s">
        <v>222</v>
      </c>
      <c r="C173">
        <v>-3857805.34</v>
      </c>
      <c r="D173">
        <v>3373918.13</v>
      </c>
      <c r="E173">
        <v>-483887.21</v>
      </c>
      <c r="F173">
        <v>-3857805.34</v>
      </c>
      <c r="G173" t="s">
        <v>428</v>
      </c>
    </row>
    <row r="174" spans="1:7" x14ac:dyDescent="0.35">
      <c r="A174">
        <v>310</v>
      </c>
      <c r="B174" t="s">
        <v>630</v>
      </c>
      <c r="C174">
        <v>-269820.07</v>
      </c>
      <c r="D174">
        <v>-146950.17000000001</v>
      </c>
      <c r="E174">
        <v>-416770.24</v>
      </c>
      <c r="F174">
        <v>-269820.07</v>
      </c>
      <c r="G174" t="s">
        <v>428</v>
      </c>
    </row>
    <row r="175" spans="1:7" x14ac:dyDescent="0.35">
      <c r="A175">
        <v>320</v>
      </c>
      <c r="B175" t="s">
        <v>248</v>
      </c>
      <c r="C175">
        <v>5286268.28</v>
      </c>
      <c r="D175">
        <v>36862059.079999998</v>
      </c>
      <c r="E175">
        <v>42148327.359999999</v>
      </c>
      <c r="F175">
        <v>5286268.28</v>
      </c>
      <c r="G175" t="s">
        <v>428</v>
      </c>
    </row>
    <row r="176" spans="1:7" x14ac:dyDescent="0.35">
      <c r="A176">
        <v>325</v>
      </c>
      <c r="B176" t="s">
        <v>249</v>
      </c>
      <c r="C176">
        <v>-564697.89</v>
      </c>
      <c r="D176">
        <v>34970.92</v>
      </c>
      <c r="E176">
        <v>-529726.97</v>
      </c>
      <c r="F176">
        <v>-564697.89</v>
      </c>
      <c r="G176" t="s">
        <v>428</v>
      </c>
    </row>
    <row r="177" spans="1:7" x14ac:dyDescent="0.35">
      <c r="A177">
        <v>330</v>
      </c>
      <c r="B177" t="s">
        <v>631</v>
      </c>
      <c r="C177">
        <v>-1217100.08</v>
      </c>
      <c r="D177">
        <v>22322231.960000001</v>
      </c>
      <c r="E177">
        <v>21105131.879999999</v>
      </c>
      <c r="F177">
        <v>-1217100.08</v>
      </c>
      <c r="G177" t="s">
        <v>428</v>
      </c>
    </row>
    <row r="178" spans="1:7" x14ac:dyDescent="0.35">
      <c r="A178">
        <v>340</v>
      </c>
      <c r="B178" t="s">
        <v>632</v>
      </c>
      <c r="C178">
        <v>-127703.18</v>
      </c>
      <c r="D178">
        <v>183326.92</v>
      </c>
      <c r="E178">
        <v>55623.74</v>
      </c>
      <c r="F178">
        <v>-127703.18</v>
      </c>
      <c r="G178" t="s">
        <v>428</v>
      </c>
    </row>
    <row r="179" spans="1:7" x14ac:dyDescent="0.35">
      <c r="A179">
        <v>380</v>
      </c>
      <c r="B179" t="s">
        <v>633</v>
      </c>
      <c r="C179">
        <v>2271685.58</v>
      </c>
      <c r="D179">
        <v>-30214554.449999999</v>
      </c>
      <c r="E179">
        <v>-27942868.870000001</v>
      </c>
      <c r="F179">
        <v>2271685.58</v>
      </c>
      <c r="G179" t="s">
        <v>428</v>
      </c>
    </row>
    <row r="180" spans="1:7" x14ac:dyDescent="0.35">
      <c r="A180">
        <v>390</v>
      </c>
      <c r="B180" t="s">
        <v>250</v>
      </c>
      <c r="C180">
        <v>0</v>
      </c>
      <c r="D180">
        <v>0</v>
      </c>
      <c r="E180">
        <v>0</v>
      </c>
      <c r="F180">
        <v>0</v>
      </c>
      <c r="G180" t="s">
        <v>428</v>
      </c>
    </row>
    <row r="181" spans="1:7" x14ac:dyDescent="0.35">
      <c r="A181">
        <v>400</v>
      </c>
      <c r="B181" t="s">
        <v>649</v>
      </c>
      <c r="C181">
        <v>-107661.46</v>
      </c>
      <c r="D181">
        <v>12838765.42</v>
      </c>
      <c r="E181">
        <v>12731103.960000001</v>
      </c>
      <c r="F181">
        <v>-107661.46</v>
      </c>
      <c r="G181" t="s">
        <v>428</v>
      </c>
    </row>
    <row r="182" spans="1:7" x14ac:dyDescent="0.35">
      <c r="A182">
        <v>405</v>
      </c>
      <c r="B182" t="s">
        <v>252</v>
      </c>
      <c r="C182">
        <v>0</v>
      </c>
      <c r="D182">
        <v>20956.3</v>
      </c>
      <c r="E182">
        <v>20956.3</v>
      </c>
      <c r="F182">
        <v>0</v>
      </c>
      <c r="G182" t="s">
        <v>428</v>
      </c>
    </row>
    <row r="183" spans="1:7" x14ac:dyDescent="0.35">
      <c r="A183">
        <v>410</v>
      </c>
      <c r="B183" t="s">
        <v>237</v>
      </c>
      <c r="C183">
        <v>0</v>
      </c>
      <c r="D183">
        <v>22536000</v>
      </c>
      <c r="E183">
        <v>22536000</v>
      </c>
      <c r="F183">
        <v>0</v>
      </c>
      <c r="G183" t="s">
        <v>428</v>
      </c>
    </row>
    <row r="184" spans="1:7" x14ac:dyDescent="0.35">
      <c r="A184">
        <v>420</v>
      </c>
      <c r="B184" t="s">
        <v>253</v>
      </c>
      <c r="C184">
        <v>0</v>
      </c>
      <c r="D184">
        <v>-8796584.5199999996</v>
      </c>
      <c r="E184">
        <v>-8796584.5199999996</v>
      </c>
      <c r="F184">
        <v>0</v>
      </c>
      <c r="G184" t="s">
        <v>428</v>
      </c>
    </row>
    <row r="185" spans="1:7" x14ac:dyDescent="0.35">
      <c r="A185">
        <v>425</v>
      </c>
      <c r="B185" t="s">
        <v>634</v>
      </c>
      <c r="C185">
        <v>0</v>
      </c>
      <c r="D185">
        <v>99793</v>
      </c>
      <c r="E185">
        <v>99793</v>
      </c>
      <c r="F185">
        <v>0</v>
      </c>
      <c r="G185" t="s">
        <v>428</v>
      </c>
    </row>
    <row r="186" spans="1:7" x14ac:dyDescent="0.35">
      <c r="A186">
        <v>427</v>
      </c>
      <c r="B186" t="s">
        <v>635</v>
      </c>
      <c r="C186">
        <v>0</v>
      </c>
      <c r="D186">
        <v>0</v>
      </c>
      <c r="E186">
        <v>0</v>
      </c>
      <c r="F186">
        <v>0</v>
      </c>
      <c r="G186" t="s">
        <v>428</v>
      </c>
    </row>
    <row r="187" spans="1:7" x14ac:dyDescent="0.35">
      <c r="A187">
        <v>430</v>
      </c>
      <c r="B187" t="s">
        <v>254</v>
      </c>
      <c r="C187">
        <v>0</v>
      </c>
      <c r="D187">
        <v>35136839.729999997</v>
      </c>
      <c r="E187">
        <v>35136839.729999997</v>
      </c>
      <c r="F187">
        <v>0</v>
      </c>
      <c r="G187" t="s">
        <v>428</v>
      </c>
    </row>
    <row r="188" spans="1:7" x14ac:dyDescent="0.35">
      <c r="A188">
        <v>440</v>
      </c>
      <c r="B188" t="s">
        <v>255</v>
      </c>
      <c r="C188">
        <v>-107661.46</v>
      </c>
      <c r="D188">
        <v>61835769.93</v>
      </c>
      <c r="E188">
        <v>61728108.469999999</v>
      </c>
      <c r="F188">
        <v>-107661.46</v>
      </c>
      <c r="G188" t="s">
        <v>428</v>
      </c>
    </row>
    <row r="189" spans="1:7" x14ac:dyDescent="0.35">
      <c r="A189">
        <v>450</v>
      </c>
      <c r="B189" t="s">
        <v>256</v>
      </c>
      <c r="C189">
        <v>0</v>
      </c>
      <c r="D189">
        <v>0</v>
      </c>
      <c r="E189">
        <v>0</v>
      </c>
      <c r="F189">
        <v>0</v>
      </c>
      <c r="G189" t="s">
        <v>428</v>
      </c>
    </row>
    <row r="190" spans="1:7" x14ac:dyDescent="0.35">
      <c r="A190">
        <v>455</v>
      </c>
      <c r="B190" t="s">
        <v>204</v>
      </c>
      <c r="C190">
        <v>0</v>
      </c>
      <c r="D190">
        <v>-1700068.36</v>
      </c>
      <c r="E190">
        <v>-1700068.36</v>
      </c>
      <c r="F190">
        <v>0</v>
      </c>
      <c r="G190" t="s">
        <v>428</v>
      </c>
    </row>
    <row r="191" spans="1:7" x14ac:dyDescent="0.35">
      <c r="A191">
        <v>456</v>
      </c>
      <c r="B191" t="s">
        <v>636</v>
      </c>
      <c r="C191">
        <v>3057.82</v>
      </c>
      <c r="D191">
        <v>2935468.57</v>
      </c>
      <c r="E191">
        <v>2938526.39</v>
      </c>
      <c r="F191">
        <v>3057.82</v>
      </c>
      <c r="G191" t="s">
        <v>428</v>
      </c>
    </row>
    <row r="192" spans="1:7" x14ac:dyDescent="0.35">
      <c r="A192">
        <v>460</v>
      </c>
      <c r="B192" t="s">
        <v>208</v>
      </c>
      <c r="C192">
        <v>0</v>
      </c>
      <c r="D192">
        <v>-15742713.869999999</v>
      </c>
      <c r="E192">
        <v>-15742713.869999999</v>
      </c>
      <c r="F192">
        <v>0</v>
      </c>
      <c r="G192" t="s">
        <v>428</v>
      </c>
    </row>
    <row r="193" spans="1:7" x14ac:dyDescent="0.35">
      <c r="A193">
        <v>470</v>
      </c>
      <c r="B193" t="s">
        <v>637</v>
      </c>
      <c r="C193">
        <v>8144.5</v>
      </c>
      <c r="D193">
        <v>2968185.76</v>
      </c>
      <c r="E193">
        <v>2976330.26</v>
      </c>
      <c r="F193">
        <v>8144.5</v>
      </c>
      <c r="G193" t="s">
        <v>428</v>
      </c>
    </row>
    <row r="194" spans="1:7" x14ac:dyDescent="0.35">
      <c r="A194">
        <v>480</v>
      </c>
      <c r="B194" t="s">
        <v>207</v>
      </c>
      <c r="C194">
        <v>0</v>
      </c>
      <c r="D194">
        <v>-18678105.41</v>
      </c>
      <c r="E194">
        <v>-18678105.41</v>
      </c>
      <c r="F194">
        <v>0</v>
      </c>
      <c r="G194" t="s">
        <v>428</v>
      </c>
    </row>
    <row r="195" spans="1:7" x14ac:dyDescent="0.35">
      <c r="A195">
        <v>490</v>
      </c>
      <c r="B195" t="s">
        <v>638</v>
      </c>
      <c r="C195">
        <v>55041.4</v>
      </c>
      <c r="D195">
        <v>9738388.5</v>
      </c>
      <c r="E195">
        <v>9793429.9000000004</v>
      </c>
      <c r="F195">
        <v>55041.4</v>
      </c>
      <c r="G195" t="s">
        <v>428</v>
      </c>
    </row>
    <row r="196" spans="1:7" x14ac:dyDescent="0.35">
      <c r="A196">
        <v>500</v>
      </c>
      <c r="B196" t="s">
        <v>206</v>
      </c>
      <c r="C196">
        <v>0</v>
      </c>
      <c r="D196">
        <v>-1018435.99</v>
      </c>
      <c r="E196">
        <v>-1018435.99</v>
      </c>
      <c r="F196">
        <v>0</v>
      </c>
      <c r="G196" t="s">
        <v>428</v>
      </c>
    </row>
    <row r="197" spans="1:7" x14ac:dyDescent="0.35">
      <c r="A197">
        <v>510</v>
      </c>
      <c r="B197" t="s">
        <v>639</v>
      </c>
      <c r="C197">
        <v>5780.3</v>
      </c>
      <c r="D197">
        <v>724256.94</v>
      </c>
      <c r="E197">
        <v>730037.24</v>
      </c>
      <c r="F197">
        <v>5780.3</v>
      </c>
      <c r="G197" t="s">
        <v>428</v>
      </c>
    </row>
    <row r="198" spans="1:7" x14ac:dyDescent="0.35">
      <c r="A198">
        <v>512</v>
      </c>
      <c r="B198" t="s">
        <v>257</v>
      </c>
      <c r="C198">
        <v>0</v>
      </c>
      <c r="D198">
        <v>-818596.08</v>
      </c>
      <c r="E198">
        <v>-818596.08</v>
      </c>
      <c r="F198">
        <v>0</v>
      </c>
      <c r="G198" t="s">
        <v>428</v>
      </c>
    </row>
    <row r="199" spans="1:7" x14ac:dyDescent="0.35">
      <c r="A199">
        <v>514</v>
      </c>
      <c r="B199" t="s">
        <v>640</v>
      </c>
      <c r="C199">
        <v>4880.3900000000003</v>
      </c>
      <c r="D199">
        <v>1120622.95</v>
      </c>
      <c r="E199">
        <v>1125503.3400000001</v>
      </c>
      <c r="F199">
        <v>4880.3900000000003</v>
      </c>
      <c r="G199" t="s">
        <v>428</v>
      </c>
    </row>
    <row r="200" spans="1:7" x14ac:dyDescent="0.35">
      <c r="A200">
        <v>520</v>
      </c>
      <c r="B200" t="s">
        <v>641</v>
      </c>
      <c r="C200">
        <v>0</v>
      </c>
      <c r="D200">
        <v>-151045.79999999999</v>
      </c>
      <c r="E200">
        <v>-151045.79999999999</v>
      </c>
      <c r="F200">
        <v>0</v>
      </c>
      <c r="G200" t="s">
        <v>428</v>
      </c>
    </row>
    <row r="201" spans="1:7" x14ac:dyDescent="0.35">
      <c r="A201">
        <v>530</v>
      </c>
      <c r="B201" t="s">
        <v>642</v>
      </c>
      <c r="C201">
        <v>0</v>
      </c>
      <c r="D201">
        <v>0</v>
      </c>
      <c r="E201">
        <v>0</v>
      </c>
      <c r="F201">
        <v>0</v>
      </c>
      <c r="G201" t="s">
        <v>428</v>
      </c>
    </row>
    <row r="202" spans="1:7" x14ac:dyDescent="0.35">
      <c r="A202">
        <v>540</v>
      </c>
      <c r="B202" t="s">
        <v>643</v>
      </c>
      <c r="C202">
        <v>0</v>
      </c>
      <c r="D202">
        <v>-9013.7900000000009</v>
      </c>
      <c r="E202">
        <v>-9013.7900000000009</v>
      </c>
      <c r="F202">
        <v>0</v>
      </c>
      <c r="G202" t="s">
        <v>428</v>
      </c>
    </row>
    <row r="203" spans="1:7" x14ac:dyDescent="0.35">
      <c r="A203">
        <v>550</v>
      </c>
      <c r="B203" t="s">
        <v>644</v>
      </c>
      <c r="C203">
        <v>21.9</v>
      </c>
      <c r="D203">
        <v>47432.31</v>
      </c>
      <c r="E203">
        <v>47454.21</v>
      </c>
      <c r="F203">
        <v>21.9</v>
      </c>
      <c r="G203" t="s">
        <v>428</v>
      </c>
    </row>
    <row r="204" spans="1:7" x14ac:dyDescent="0.35">
      <c r="A204">
        <v>560</v>
      </c>
      <c r="B204" t="s">
        <v>645</v>
      </c>
      <c r="C204">
        <v>5313.49</v>
      </c>
      <c r="D204">
        <v>-293593.99</v>
      </c>
      <c r="E204">
        <v>-288280.5</v>
      </c>
      <c r="F204">
        <v>5313.49</v>
      </c>
      <c r="G204" t="s">
        <v>428</v>
      </c>
    </row>
    <row r="205" spans="1:7" x14ac:dyDescent="0.35">
      <c r="A205">
        <v>570</v>
      </c>
      <c r="B205" t="s">
        <v>646</v>
      </c>
      <c r="C205">
        <v>1434.55</v>
      </c>
      <c r="D205">
        <v>336387.07</v>
      </c>
      <c r="E205">
        <v>337821.62</v>
      </c>
      <c r="F205">
        <v>1434.55</v>
      </c>
      <c r="G205" t="s">
        <v>428</v>
      </c>
    </row>
    <row r="206" spans="1:7" x14ac:dyDescent="0.35">
      <c r="A206">
        <v>580</v>
      </c>
      <c r="B206" t="s">
        <v>258</v>
      </c>
      <c r="C206">
        <v>0</v>
      </c>
      <c r="D206">
        <v>-13991196.58</v>
      </c>
      <c r="E206">
        <v>-13991196.58</v>
      </c>
      <c r="F206">
        <v>0</v>
      </c>
      <c r="G206" t="s">
        <v>428</v>
      </c>
    </row>
    <row r="207" spans="1:7" x14ac:dyDescent="0.35">
      <c r="A207">
        <v>590</v>
      </c>
      <c r="B207" t="s">
        <v>647</v>
      </c>
      <c r="C207">
        <v>28270.11</v>
      </c>
      <c r="D207">
        <v>4748753.37</v>
      </c>
      <c r="E207">
        <v>4777023.4800000004</v>
      </c>
      <c r="F207">
        <v>28270.11</v>
      </c>
      <c r="G207" t="s">
        <v>428</v>
      </c>
    </row>
    <row r="208" spans="1:7" x14ac:dyDescent="0.35">
      <c r="A208">
        <v>600</v>
      </c>
      <c r="B208" t="s">
        <v>259</v>
      </c>
      <c r="C208">
        <v>-570536.12</v>
      </c>
      <c r="D208">
        <v>-3416607.97</v>
      </c>
      <c r="E208">
        <v>-3987144.09</v>
      </c>
      <c r="F208">
        <v>-570536.12</v>
      </c>
      <c r="G208" t="s">
        <v>428</v>
      </c>
    </row>
    <row r="209" spans="1:7" x14ac:dyDescent="0.35">
      <c r="A209">
        <v>610</v>
      </c>
      <c r="B209" t="s">
        <v>648</v>
      </c>
      <c r="C209">
        <v>3398.11</v>
      </c>
      <c r="D209">
        <v>1592197.38</v>
      </c>
      <c r="E209">
        <v>1595595.49</v>
      </c>
      <c r="F209">
        <v>3398.11</v>
      </c>
      <c r="G209" t="s">
        <v>428</v>
      </c>
    </row>
    <row r="210" spans="1:7" x14ac:dyDescent="0.35">
      <c r="A210">
        <v>620</v>
      </c>
      <c r="B210" t="s">
        <v>260</v>
      </c>
      <c r="C210">
        <v>0</v>
      </c>
      <c r="D210">
        <v>0</v>
      </c>
      <c r="E210">
        <v>0</v>
      </c>
      <c r="F210">
        <v>0</v>
      </c>
      <c r="G210" t="s">
        <v>428</v>
      </c>
    </row>
    <row r="211" spans="1:7" x14ac:dyDescent="0.35">
      <c r="A211">
        <v>630</v>
      </c>
      <c r="B211" t="s">
        <v>261</v>
      </c>
      <c r="C211">
        <v>0</v>
      </c>
      <c r="D211">
        <v>0</v>
      </c>
      <c r="E211">
        <v>0</v>
      </c>
      <c r="F211">
        <v>0</v>
      </c>
      <c r="G211" t="s">
        <v>428</v>
      </c>
    </row>
    <row r="212" spans="1:7" x14ac:dyDescent="0.35">
      <c r="A212">
        <v>640</v>
      </c>
      <c r="B212" t="s">
        <v>262</v>
      </c>
      <c r="C212">
        <v>-455193.55</v>
      </c>
      <c r="D212">
        <v>-31607684.989999998</v>
      </c>
      <c r="E212">
        <v>-32062878.539999999</v>
      </c>
      <c r="F212">
        <v>-455193.55</v>
      </c>
      <c r="G212" t="s">
        <v>428</v>
      </c>
    </row>
    <row r="213" spans="1:7" x14ac:dyDescent="0.35">
      <c r="A213">
        <v>650</v>
      </c>
      <c r="B213" t="s">
        <v>263</v>
      </c>
      <c r="C213">
        <v>1994476.65</v>
      </c>
      <c r="D213">
        <v>13530.49</v>
      </c>
      <c r="E213">
        <v>2008007.14</v>
      </c>
      <c r="F213">
        <v>1994476.65</v>
      </c>
      <c r="G213" t="s">
        <v>428</v>
      </c>
    </row>
    <row r="214" spans="1:7" x14ac:dyDescent="0.35">
      <c r="A214" t="s">
        <v>463</v>
      </c>
      <c r="B214" t="s">
        <v>416</v>
      </c>
      <c r="C214" t="s">
        <v>608</v>
      </c>
      <c r="D214" t="s">
        <v>609</v>
      </c>
      <c r="E214" t="s">
        <v>610</v>
      </c>
      <c r="F214" t="s">
        <v>611</v>
      </c>
      <c r="G214" t="s">
        <v>121</v>
      </c>
    </row>
    <row r="215" spans="1:7" x14ac:dyDescent="0.35">
      <c r="A215">
        <v>10</v>
      </c>
      <c r="B215" t="s">
        <v>612</v>
      </c>
      <c r="C215">
        <v>0</v>
      </c>
      <c r="D215">
        <v>0</v>
      </c>
      <c r="E215">
        <v>0</v>
      </c>
      <c r="F215">
        <v>0</v>
      </c>
      <c r="G215" t="s">
        <v>428</v>
      </c>
    </row>
    <row r="216" spans="1:7" x14ac:dyDescent="0.35">
      <c r="A216">
        <v>20</v>
      </c>
      <c r="B216" t="s">
        <v>427</v>
      </c>
      <c r="C216">
        <v>3454255.34</v>
      </c>
      <c r="D216">
        <v>0</v>
      </c>
      <c r="E216">
        <v>3454255.34</v>
      </c>
      <c r="F216">
        <v>3454255.34</v>
      </c>
      <c r="G216" t="s">
        <v>428</v>
      </c>
    </row>
    <row r="217" spans="1:7" x14ac:dyDescent="0.35">
      <c r="A217">
        <v>30</v>
      </c>
      <c r="B217" t="s">
        <v>613</v>
      </c>
      <c r="C217">
        <v>0</v>
      </c>
      <c r="D217">
        <v>0</v>
      </c>
      <c r="E217">
        <v>0</v>
      </c>
      <c r="F217">
        <v>0</v>
      </c>
      <c r="G217" t="s">
        <v>428</v>
      </c>
    </row>
    <row r="218" spans="1:7" x14ac:dyDescent="0.35">
      <c r="A218">
        <v>35</v>
      </c>
      <c r="B218" t="s">
        <v>614</v>
      </c>
      <c r="C218">
        <v>3454255.34</v>
      </c>
      <c r="D218">
        <v>0</v>
      </c>
      <c r="E218">
        <v>3454255.34</v>
      </c>
      <c r="F218">
        <v>3454255.34</v>
      </c>
      <c r="G218" t="s">
        <v>428</v>
      </c>
    </row>
    <row r="219" spans="1:7" x14ac:dyDescent="0.35">
      <c r="A219">
        <v>40</v>
      </c>
      <c r="B219" t="s">
        <v>615</v>
      </c>
      <c r="C219">
        <v>0</v>
      </c>
      <c r="D219">
        <v>0</v>
      </c>
      <c r="E219">
        <v>0</v>
      </c>
      <c r="F219">
        <v>0</v>
      </c>
      <c r="G219" t="s">
        <v>428</v>
      </c>
    </row>
    <row r="220" spans="1:7" x14ac:dyDescent="0.35">
      <c r="A220">
        <v>50</v>
      </c>
      <c r="B220" t="s">
        <v>616</v>
      </c>
      <c r="C220">
        <v>0</v>
      </c>
      <c r="D220">
        <v>0</v>
      </c>
      <c r="E220">
        <v>0</v>
      </c>
      <c r="F220">
        <v>0</v>
      </c>
      <c r="G220" t="s">
        <v>428</v>
      </c>
    </row>
    <row r="221" spans="1:7" x14ac:dyDescent="0.35">
      <c r="A221">
        <v>60</v>
      </c>
      <c r="B221" t="s">
        <v>617</v>
      </c>
      <c r="C221">
        <v>3454255.34</v>
      </c>
      <c r="D221">
        <v>0</v>
      </c>
      <c r="E221">
        <v>3454255.34</v>
      </c>
      <c r="F221">
        <v>3454255.34</v>
      </c>
      <c r="G221" t="s">
        <v>428</v>
      </c>
    </row>
    <row r="222" spans="1:7" x14ac:dyDescent="0.35">
      <c r="A222">
        <v>70</v>
      </c>
      <c r="B222" t="s">
        <v>433</v>
      </c>
      <c r="C222">
        <v>0</v>
      </c>
      <c r="D222">
        <v>0</v>
      </c>
      <c r="E222">
        <v>0</v>
      </c>
      <c r="F222">
        <v>0</v>
      </c>
      <c r="G222" t="s">
        <v>428</v>
      </c>
    </row>
    <row r="223" spans="1:7" x14ac:dyDescent="0.35">
      <c r="A223">
        <v>80</v>
      </c>
      <c r="B223" t="s">
        <v>434</v>
      </c>
      <c r="C223">
        <v>3161437.66</v>
      </c>
      <c r="D223">
        <v>0</v>
      </c>
      <c r="E223">
        <v>3161437.66</v>
      </c>
      <c r="F223">
        <v>3161437.66</v>
      </c>
      <c r="G223" t="s">
        <v>428</v>
      </c>
    </row>
    <row r="224" spans="1:7" x14ac:dyDescent="0.35">
      <c r="A224">
        <v>90</v>
      </c>
      <c r="B224" t="s">
        <v>618</v>
      </c>
      <c r="C224">
        <v>45176.32</v>
      </c>
      <c r="D224">
        <v>0</v>
      </c>
      <c r="E224">
        <v>45176.32</v>
      </c>
      <c r="F224">
        <v>45176.32</v>
      </c>
      <c r="G224" t="s">
        <v>428</v>
      </c>
    </row>
    <row r="225" spans="1:7" x14ac:dyDescent="0.35">
      <c r="A225">
        <v>100</v>
      </c>
      <c r="B225" t="s">
        <v>619</v>
      </c>
      <c r="C225">
        <v>247641.36</v>
      </c>
      <c r="D225">
        <v>0</v>
      </c>
      <c r="E225">
        <v>247641.36</v>
      </c>
      <c r="F225">
        <v>247641.36</v>
      </c>
      <c r="G225" t="s">
        <v>428</v>
      </c>
    </row>
    <row r="226" spans="1:7" x14ac:dyDescent="0.35">
      <c r="A226">
        <v>110</v>
      </c>
      <c r="B226" t="s">
        <v>620</v>
      </c>
      <c r="C226">
        <v>-2191.96</v>
      </c>
      <c r="D226">
        <v>0</v>
      </c>
      <c r="E226">
        <v>-2191.96</v>
      </c>
      <c r="F226">
        <v>-2191.96</v>
      </c>
      <c r="G226" t="s">
        <v>428</v>
      </c>
    </row>
    <row r="227" spans="1:7" x14ac:dyDescent="0.35">
      <c r="A227">
        <v>120</v>
      </c>
      <c r="B227" t="s">
        <v>621</v>
      </c>
      <c r="C227">
        <v>0</v>
      </c>
      <c r="D227">
        <v>0</v>
      </c>
      <c r="E227">
        <v>0</v>
      </c>
      <c r="F227">
        <v>0</v>
      </c>
      <c r="G227" t="s">
        <v>428</v>
      </c>
    </row>
    <row r="228" spans="1:7" x14ac:dyDescent="0.35">
      <c r="A228">
        <v>130</v>
      </c>
      <c r="B228" t="s">
        <v>622</v>
      </c>
      <c r="C228">
        <v>4559.41</v>
      </c>
      <c r="D228">
        <v>0</v>
      </c>
      <c r="E228">
        <v>4559.41</v>
      </c>
      <c r="F228">
        <v>4559.41</v>
      </c>
      <c r="G228" t="s">
        <v>428</v>
      </c>
    </row>
    <row r="229" spans="1:7" x14ac:dyDescent="0.35">
      <c r="A229">
        <v>140</v>
      </c>
      <c r="B229" t="s">
        <v>623</v>
      </c>
      <c r="C229">
        <v>0</v>
      </c>
      <c r="D229">
        <v>0</v>
      </c>
      <c r="E229">
        <v>0</v>
      </c>
      <c r="F229">
        <v>0</v>
      </c>
      <c r="G229" t="s">
        <v>428</v>
      </c>
    </row>
    <row r="230" spans="1:7" x14ac:dyDescent="0.35">
      <c r="A230">
        <v>145</v>
      </c>
      <c r="B230" t="s">
        <v>443</v>
      </c>
      <c r="C230">
        <v>2367.4499999999998</v>
      </c>
      <c r="D230">
        <v>0</v>
      </c>
      <c r="E230">
        <v>2367.4499999999998</v>
      </c>
      <c r="F230">
        <v>2367.4499999999998</v>
      </c>
      <c r="G230" t="s">
        <v>428</v>
      </c>
    </row>
    <row r="231" spans="1:7" x14ac:dyDescent="0.35">
      <c r="A231">
        <v>150</v>
      </c>
      <c r="B231" t="s">
        <v>624</v>
      </c>
      <c r="C231">
        <v>245273.91</v>
      </c>
      <c r="D231">
        <v>0</v>
      </c>
      <c r="E231">
        <v>245273.91</v>
      </c>
      <c r="F231">
        <v>245273.91</v>
      </c>
      <c r="G231" t="s">
        <v>428</v>
      </c>
    </row>
    <row r="232" spans="1:7" x14ac:dyDescent="0.35">
      <c r="A232">
        <v>160</v>
      </c>
      <c r="B232" t="s">
        <v>625</v>
      </c>
      <c r="C232">
        <v>74197.399999999994</v>
      </c>
      <c r="D232">
        <v>0</v>
      </c>
      <c r="E232">
        <v>74197.399999999994</v>
      </c>
      <c r="F232">
        <v>74197.399999999994</v>
      </c>
      <c r="G232" t="s">
        <v>428</v>
      </c>
    </row>
    <row r="233" spans="1:7" x14ac:dyDescent="0.35">
      <c r="A233">
        <v>170</v>
      </c>
      <c r="B233" t="s">
        <v>447</v>
      </c>
      <c r="C233">
        <v>171076.51</v>
      </c>
      <c r="D233">
        <v>0</v>
      </c>
      <c r="E233">
        <v>171076.51</v>
      </c>
      <c r="F233">
        <v>171076.51</v>
      </c>
      <c r="G233" t="s">
        <v>428</v>
      </c>
    </row>
    <row r="234" spans="1:7" x14ac:dyDescent="0.35">
      <c r="A234">
        <v>190</v>
      </c>
      <c r="B234" t="s">
        <v>626</v>
      </c>
      <c r="C234">
        <v>0</v>
      </c>
      <c r="D234">
        <v>0</v>
      </c>
      <c r="E234">
        <v>0</v>
      </c>
      <c r="F234">
        <v>0</v>
      </c>
      <c r="G234" t="s">
        <v>428</v>
      </c>
    </row>
    <row r="235" spans="1:7" x14ac:dyDescent="0.35">
      <c r="A235">
        <v>200</v>
      </c>
      <c r="B235" t="s">
        <v>447</v>
      </c>
      <c r="C235">
        <v>171076.51</v>
      </c>
      <c r="D235">
        <v>0</v>
      </c>
      <c r="E235">
        <v>171076.51</v>
      </c>
      <c r="F235">
        <v>171076.51</v>
      </c>
      <c r="G235" t="s">
        <v>428</v>
      </c>
    </row>
    <row r="236" spans="1:7" x14ac:dyDescent="0.35">
      <c r="A236">
        <v>210</v>
      </c>
      <c r="B236" t="s">
        <v>247</v>
      </c>
      <c r="C236">
        <v>171076.51</v>
      </c>
      <c r="D236">
        <v>0</v>
      </c>
      <c r="E236">
        <v>171076.51</v>
      </c>
      <c r="F236">
        <v>171076.51</v>
      </c>
      <c r="G236" t="s">
        <v>428</v>
      </c>
    </row>
    <row r="237" spans="1:7" x14ac:dyDescent="0.35">
      <c r="A237">
        <v>220</v>
      </c>
      <c r="B237" t="s">
        <v>627</v>
      </c>
      <c r="C237">
        <v>0</v>
      </c>
      <c r="D237">
        <v>0</v>
      </c>
      <c r="E237">
        <v>0</v>
      </c>
      <c r="F237">
        <v>0</v>
      </c>
      <c r="G237" t="s">
        <v>428</v>
      </c>
    </row>
    <row r="238" spans="1:7" x14ac:dyDescent="0.35">
      <c r="A238">
        <v>230</v>
      </c>
      <c r="B238" t="s">
        <v>196</v>
      </c>
      <c r="C238">
        <v>304691.58</v>
      </c>
      <c r="D238">
        <v>-4526504.5199999996</v>
      </c>
      <c r="E238">
        <v>-4221812.9400000004</v>
      </c>
      <c r="F238">
        <v>304691.58</v>
      </c>
      <c r="G238" t="s">
        <v>428</v>
      </c>
    </row>
    <row r="239" spans="1:7" x14ac:dyDescent="0.35">
      <c r="A239">
        <v>235</v>
      </c>
      <c r="B239" t="s">
        <v>628</v>
      </c>
      <c r="C239">
        <v>-14633.17</v>
      </c>
      <c r="D239">
        <v>-12038</v>
      </c>
      <c r="E239">
        <v>-26671.17</v>
      </c>
      <c r="F239">
        <v>-14633.17</v>
      </c>
      <c r="G239" t="s">
        <v>428</v>
      </c>
    </row>
    <row r="240" spans="1:7" x14ac:dyDescent="0.35">
      <c r="A240">
        <v>240</v>
      </c>
      <c r="B240" t="s">
        <v>197</v>
      </c>
      <c r="C240">
        <v>1484015.79</v>
      </c>
      <c r="D240">
        <v>-2136550</v>
      </c>
      <c r="E240">
        <v>-652534.21</v>
      </c>
      <c r="F240">
        <v>1484015.79</v>
      </c>
      <c r="G240" t="s">
        <v>428</v>
      </c>
    </row>
    <row r="241" spans="1:7" x14ac:dyDescent="0.35">
      <c r="A241">
        <v>250</v>
      </c>
      <c r="B241" t="s">
        <v>198</v>
      </c>
      <c r="C241">
        <v>0</v>
      </c>
      <c r="D241">
        <v>0</v>
      </c>
      <c r="E241">
        <v>0</v>
      </c>
      <c r="F241">
        <v>0</v>
      </c>
      <c r="G241" t="s">
        <v>428</v>
      </c>
    </row>
    <row r="242" spans="1:7" x14ac:dyDescent="0.35">
      <c r="A242">
        <v>260</v>
      </c>
      <c r="B242" t="s">
        <v>629</v>
      </c>
      <c r="C242">
        <v>-350116.48</v>
      </c>
      <c r="D242">
        <v>-744176.2</v>
      </c>
      <c r="E242">
        <v>-1094292.68</v>
      </c>
      <c r="F242">
        <v>-350116.48</v>
      </c>
      <c r="G242" t="s">
        <v>428</v>
      </c>
    </row>
    <row r="243" spans="1:7" x14ac:dyDescent="0.35">
      <c r="A243">
        <v>270</v>
      </c>
      <c r="B243" t="s">
        <v>199</v>
      </c>
      <c r="C243">
        <v>18325.38</v>
      </c>
      <c r="D243">
        <v>-259276.28</v>
      </c>
      <c r="E243">
        <v>-240950.9</v>
      </c>
      <c r="F243">
        <v>18325.38</v>
      </c>
      <c r="G243" t="s">
        <v>428</v>
      </c>
    </row>
    <row r="244" spans="1:7" x14ac:dyDescent="0.35">
      <c r="A244">
        <v>300</v>
      </c>
      <c r="B244" t="s">
        <v>222</v>
      </c>
      <c r="C244">
        <v>0</v>
      </c>
      <c r="D244">
        <v>0</v>
      </c>
      <c r="E244">
        <v>0</v>
      </c>
      <c r="F244">
        <v>0</v>
      </c>
      <c r="G244" t="s">
        <v>428</v>
      </c>
    </row>
    <row r="245" spans="1:7" x14ac:dyDescent="0.35">
      <c r="A245">
        <v>310</v>
      </c>
      <c r="B245" t="s">
        <v>630</v>
      </c>
      <c r="C245">
        <v>-2214.9899999999998</v>
      </c>
      <c r="D245">
        <v>10961.58</v>
      </c>
      <c r="E245">
        <v>8746.59</v>
      </c>
      <c r="F245">
        <v>-2214.9899999999998</v>
      </c>
      <c r="G245" t="s">
        <v>428</v>
      </c>
    </row>
    <row r="246" spans="1:7" x14ac:dyDescent="0.35">
      <c r="A246">
        <v>320</v>
      </c>
      <c r="B246" t="s">
        <v>248</v>
      </c>
      <c r="C246">
        <v>-334442.78000000003</v>
      </c>
      <c r="D246">
        <v>6340478.8499999996</v>
      </c>
      <c r="E246">
        <v>6006036.0700000003</v>
      </c>
      <c r="F246">
        <v>-334442.78000000003</v>
      </c>
      <c r="G246" t="s">
        <v>428</v>
      </c>
    </row>
    <row r="247" spans="1:7" x14ac:dyDescent="0.35">
      <c r="A247">
        <v>325</v>
      </c>
      <c r="B247" t="s">
        <v>249</v>
      </c>
      <c r="C247">
        <v>-1083851.45</v>
      </c>
      <c r="D247">
        <v>1698692.01</v>
      </c>
      <c r="E247">
        <v>614840.56000000006</v>
      </c>
      <c r="F247">
        <v>-1083851.45</v>
      </c>
      <c r="G247" t="s">
        <v>428</v>
      </c>
    </row>
    <row r="248" spans="1:7" x14ac:dyDescent="0.35">
      <c r="A248">
        <v>330</v>
      </c>
      <c r="B248" t="s">
        <v>631</v>
      </c>
      <c r="C248">
        <v>344464.25</v>
      </c>
      <c r="D248">
        <v>267172.8</v>
      </c>
      <c r="E248">
        <v>611637.05000000005</v>
      </c>
      <c r="F248">
        <v>344464.25</v>
      </c>
      <c r="G248" t="s">
        <v>428</v>
      </c>
    </row>
    <row r="249" spans="1:7" x14ac:dyDescent="0.35">
      <c r="A249">
        <v>340</v>
      </c>
      <c r="B249" t="s">
        <v>632</v>
      </c>
      <c r="C249">
        <v>-425973.98</v>
      </c>
      <c r="D249">
        <v>1069057.46</v>
      </c>
      <c r="E249">
        <v>643083.48</v>
      </c>
      <c r="F249">
        <v>-425973.98</v>
      </c>
      <c r="G249" t="s">
        <v>428</v>
      </c>
    </row>
    <row r="250" spans="1:7" x14ac:dyDescent="0.35">
      <c r="A250">
        <v>380</v>
      </c>
      <c r="B250" t="s">
        <v>633</v>
      </c>
      <c r="C250">
        <v>-59735.85</v>
      </c>
      <c r="D250">
        <v>1707817.7</v>
      </c>
      <c r="E250">
        <v>1648081.85</v>
      </c>
      <c r="F250">
        <v>-59735.85</v>
      </c>
      <c r="G250" t="s">
        <v>428</v>
      </c>
    </row>
    <row r="251" spans="1:7" x14ac:dyDescent="0.35">
      <c r="A251">
        <v>390</v>
      </c>
      <c r="B251" t="s">
        <v>250</v>
      </c>
      <c r="C251">
        <v>0</v>
      </c>
      <c r="D251">
        <v>0</v>
      </c>
      <c r="E251">
        <v>0</v>
      </c>
      <c r="F251">
        <v>0</v>
      </c>
      <c r="G251" t="s">
        <v>428</v>
      </c>
    </row>
    <row r="252" spans="1:7" x14ac:dyDescent="0.35">
      <c r="A252">
        <v>400</v>
      </c>
      <c r="B252" t="s">
        <v>251</v>
      </c>
      <c r="C252">
        <v>0</v>
      </c>
      <c r="D252">
        <v>0</v>
      </c>
      <c r="E252">
        <v>0</v>
      </c>
      <c r="F252">
        <v>0</v>
      </c>
      <c r="G252" t="s">
        <v>428</v>
      </c>
    </row>
    <row r="253" spans="1:7" x14ac:dyDescent="0.35">
      <c r="A253">
        <v>405</v>
      </c>
      <c r="B253" t="s">
        <v>252</v>
      </c>
      <c r="C253">
        <v>0</v>
      </c>
      <c r="D253">
        <v>0</v>
      </c>
      <c r="E253">
        <v>0</v>
      </c>
      <c r="F253">
        <v>0</v>
      </c>
      <c r="G253" t="s">
        <v>428</v>
      </c>
    </row>
    <row r="254" spans="1:7" x14ac:dyDescent="0.35">
      <c r="A254">
        <v>410</v>
      </c>
      <c r="B254" t="s">
        <v>237</v>
      </c>
      <c r="C254">
        <v>0</v>
      </c>
      <c r="D254">
        <v>4581000</v>
      </c>
      <c r="E254">
        <v>4581000</v>
      </c>
      <c r="F254">
        <v>0</v>
      </c>
      <c r="G254" t="s">
        <v>428</v>
      </c>
    </row>
    <row r="255" spans="1:7" x14ac:dyDescent="0.35">
      <c r="A255">
        <v>420</v>
      </c>
      <c r="B255" t="s">
        <v>253</v>
      </c>
      <c r="C255">
        <v>0</v>
      </c>
      <c r="D255">
        <v>-789455.2</v>
      </c>
      <c r="E255">
        <v>-789455.2</v>
      </c>
      <c r="F255">
        <v>0</v>
      </c>
      <c r="G255" t="s">
        <v>428</v>
      </c>
    </row>
    <row r="256" spans="1:7" x14ac:dyDescent="0.35">
      <c r="A256">
        <v>425</v>
      </c>
      <c r="B256" t="s">
        <v>634</v>
      </c>
      <c r="C256">
        <v>0</v>
      </c>
      <c r="D256">
        <v>1087.0999999999999</v>
      </c>
      <c r="E256">
        <v>1087.0999999999999</v>
      </c>
      <c r="F256">
        <v>0</v>
      </c>
      <c r="G256" t="s">
        <v>428</v>
      </c>
    </row>
    <row r="257" spans="1:7" x14ac:dyDescent="0.35">
      <c r="A257">
        <v>427</v>
      </c>
      <c r="B257" t="s">
        <v>635</v>
      </c>
      <c r="C257">
        <v>0</v>
      </c>
      <c r="D257">
        <v>0</v>
      </c>
      <c r="E257">
        <v>0</v>
      </c>
      <c r="F257">
        <v>0</v>
      </c>
      <c r="G257" t="s">
        <v>428</v>
      </c>
    </row>
    <row r="258" spans="1:7" x14ac:dyDescent="0.35">
      <c r="A258">
        <v>430</v>
      </c>
      <c r="B258" t="s">
        <v>254</v>
      </c>
      <c r="C258">
        <v>0</v>
      </c>
      <c r="D258">
        <v>-8020589.8399999999</v>
      </c>
      <c r="E258">
        <v>-8020589.8399999999</v>
      </c>
      <c r="F258">
        <v>0</v>
      </c>
      <c r="G258" t="s">
        <v>428</v>
      </c>
    </row>
    <row r="259" spans="1:7" x14ac:dyDescent="0.35">
      <c r="A259">
        <v>440</v>
      </c>
      <c r="B259" t="s">
        <v>255</v>
      </c>
      <c r="C259">
        <v>0</v>
      </c>
      <c r="D259">
        <v>-4227957.9400000004</v>
      </c>
      <c r="E259">
        <v>-4227957.9400000004</v>
      </c>
      <c r="F259">
        <v>0</v>
      </c>
      <c r="G259" t="s">
        <v>428</v>
      </c>
    </row>
    <row r="260" spans="1:7" x14ac:dyDescent="0.35">
      <c r="A260">
        <v>450</v>
      </c>
      <c r="B260" t="s">
        <v>256</v>
      </c>
      <c r="C260">
        <v>0</v>
      </c>
      <c r="D260">
        <v>0</v>
      </c>
      <c r="E260">
        <v>0</v>
      </c>
      <c r="F260">
        <v>0</v>
      </c>
      <c r="G260" t="s">
        <v>428</v>
      </c>
    </row>
    <row r="261" spans="1:7" x14ac:dyDescent="0.35">
      <c r="A261">
        <v>455</v>
      </c>
      <c r="B261" t="s">
        <v>204</v>
      </c>
      <c r="C261">
        <v>0</v>
      </c>
      <c r="D261">
        <v>0</v>
      </c>
      <c r="E261">
        <v>0</v>
      </c>
      <c r="F261">
        <v>0</v>
      </c>
      <c r="G261" t="s">
        <v>428</v>
      </c>
    </row>
    <row r="262" spans="1:7" x14ac:dyDescent="0.35">
      <c r="A262">
        <v>456</v>
      </c>
      <c r="B262" t="s">
        <v>636</v>
      </c>
      <c r="C262">
        <v>0</v>
      </c>
      <c r="D262">
        <v>0</v>
      </c>
      <c r="E262">
        <v>0</v>
      </c>
      <c r="F262">
        <v>0</v>
      </c>
      <c r="G262" t="s">
        <v>428</v>
      </c>
    </row>
    <row r="263" spans="1:7" x14ac:dyDescent="0.35">
      <c r="A263">
        <v>460</v>
      </c>
      <c r="B263" t="s">
        <v>208</v>
      </c>
      <c r="C263">
        <v>-12904.63</v>
      </c>
      <c r="D263">
        <v>-9454.14</v>
      </c>
      <c r="E263">
        <v>-22358.77</v>
      </c>
      <c r="F263">
        <v>-12904.63</v>
      </c>
      <c r="G263" t="s">
        <v>428</v>
      </c>
    </row>
    <row r="264" spans="1:7" x14ac:dyDescent="0.35">
      <c r="A264">
        <v>470</v>
      </c>
      <c r="B264" t="s">
        <v>637</v>
      </c>
      <c r="C264">
        <v>0</v>
      </c>
      <c r="D264">
        <v>4988.6400000000003</v>
      </c>
      <c r="E264">
        <v>4988.6400000000003</v>
      </c>
      <c r="F264">
        <v>0</v>
      </c>
      <c r="G264" t="s">
        <v>428</v>
      </c>
    </row>
    <row r="265" spans="1:7" x14ac:dyDescent="0.35">
      <c r="A265">
        <v>480</v>
      </c>
      <c r="B265" t="s">
        <v>207</v>
      </c>
      <c r="C265">
        <v>0</v>
      </c>
      <c r="D265">
        <v>-2246853.4700000002</v>
      </c>
      <c r="E265">
        <v>-2246853.4700000002</v>
      </c>
      <c r="F265">
        <v>0</v>
      </c>
      <c r="G265" t="s">
        <v>428</v>
      </c>
    </row>
    <row r="266" spans="1:7" x14ac:dyDescent="0.35">
      <c r="A266">
        <v>490</v>
      </c>
      <c r="B266" t="s">
        <v>638</v>
      </c>
      <c r="C266">
        <v>27550.48</v>
      </c>
      <c r="D266">
        <v>2282166.36</v>
      </c>
      <c r="E266">
        <v>2309716.84</v>
      </c>
      <c r="F266">
        <v>27550.48</v>
      </c>
      <c r="G266" t="s">
        <v>428</v>
      </c>
    </row>
    <row r="267" spans="1:7" x14ac:dyDescent="0.35">
      <c r="A267">
        <v>500</v>
      </c>
      <c r="B267" t="s">
        <v>206</v>
      </c>
      <c r="C267">
        <v>0</v>
      </c>
      <c r="D267">
        <v>-2492292.5099999998</v>
      </c>
      <c r="E267">
        <v>-2492292.5099999998</v>
      </c>
      <c r="F267">
        <v>0</v>
      </c>
      <c r="G267" t="s">
        <v>428</v>
      </c>
    </row>
    <row r="268" spans="1:7" x14ac:dyDescent="0.35">
      <c r="A268">
        <v>510</v>
      </c>
      <c r="B268" t="s">
        <v>639</v>
      </c>
      <c r="C268">
        <v>14584.6</v>
      </c>
      <c r="D268">
        <v>2127191.17</v>
      </c>
      <c r="E268">
        <v>2141775.77</v>
      </c>
      <c r="F268">
        <v>14584.6</v>
      </c>
      <c r="G268" t="s">
        <v>428</v>
      </c>
    </row>
    <row r="269" spans="1:7" x14ac:dyDescent="0.35">
      <c r="A269">
        <v>512</v>
      </c>
      <c r="B269" t="s">
        <v>257</v>
      </c>
      <c r="C269">
        <v>0</v>
      </c>
      <c r="D269">
        <v>-734490.79</v>
      </c>
      <c r="E269">
        <v>-734490.79</v>
      </c>
      <c r="F269">
        <v>0</v>
      </c>
      <c r="G269" t="s">
        <v>428</v>
      </c>
    </row>
    <row r="270" spans="1:7" x14ac:dyDescent="0.35">
      <c r="A270">
        <v>514</v>
      </c>
      <c r="B270" t="s">
        <v>640</v>
      </c>
      <c r="C270">
        <v>3041.24</v>
      </c>
      <c r="D270">
        <v>519187.04</v>
      </c>
      <c r="E270">
        <v>522228.28</v>
      </c>
      <c r="F270">
        <v>3041.24</v>
      </c>
      <c r="G270" t="s">
        <v>428</v>
      </c>
    </row>
    <row r="271" spans="1:7" x14ac:dyDescent="0.35">
      <c r="A271">
        <v>520</v>
      </c>
      <c r="B271" t="s">
        <v>641</v>
      </c>
      <c r="C271">
        <v>0</v>
      </c>
      <c r="D271">
        <v>-94916</v>
      </c>
      <c r="E271">
        <v>-94916</v>
      </c>
      <c r="F271">
        <v>0</v>
      </c>
      <c r="G271" t="s">
        <v>428</v>
      </c>
    </row>
    <row r="272" spans="1:7" x14ac:dyDescent="0.35">
      <c r="A272">
        <v>530</v>
      </c>
      <c r="B272" t="s">
        <v>642</v>
      </c>
      <c r="C272">
        <v>0</v>
      </c>
      <c r="D272">
        <v>0</v>
      </c>
      <c r="E272">
        <v>0</v>
      </c>
      <c r="F272">
        <v>0</v>
      </c>
      <c r="G272" t="s">
        <v>428</v>
      </c>
    </row>
    <row r="273" spans="1:7" x14ac:dyDescent="0.35">
      <c r="A273">
        <v>540</v>
      </c>
      <c r="B273" t="s">
        <v>643</v>
      </c>
      <c r="C273">
        <v>0</v>
      </c>
      <c r="D273">
        <v>-19159.32</v>
      </c>
      <c r="E273">
        <v>-19159.32</v>
      </c>
      <c r="F273">
        <v>0</v>
      </c>
      <c r="G273" t="s">
        <v>428</v>
      </c>
    </row>
    <row r="274" spans="1:7" x14ac:dyDescent="0.35">
      <c r="A274">
        <v>550</v>
      </c>
      <c r="B274" t="s">
        <v>644</v>
      </c>
      <c r="C274">
        <v>0</v>
      </c>
      <c r="D274">
        <v>0</v>
      </c>
      <c r="E274">
        <v>0</v>
      </c>
      <c r="F274">
        <v>0</v>
      </c>
      <c r="G274" t="s">
        <v>428</v>
      </c>
    </row>
    <row r="275" spans="1:7" x14ac:dyDescent="0.35">
      <c r="A275">
        <v>560</v>
      </c>
      <c r="B275" t="s">
        <v>645</v>
      </c>
      <c r="C275">
        <v>0</v>
      </c>
      <c r="D275">
        <v>-84993.67</v>
      </c>
      <c r="E275">
        <v>-84993.67</v>
      </c>
      <c r="F275">
        <v>0</v>
      </c>
      <c r="G275" t="s">
        <v>428</v>
      </c>
    </row>
    <row r="276" spans="1:7" x14ac:dyDescent="0.35">
      <c r="A276">
        <v>570</v>
      </c>
      <c r="B276" t="s">
        <v>646</v>
      </c>
      <c r="C276">
        <v>0</v>
      </c>
      <c r="D276">
        <v>26215.95</v>
      </c>
      <c r="E276">
        <v>26215.95</v>
      </c>
      <c r="F276">
        <v>0</v>
      </c>
      <c r="G276" t="s">
        <v>428</v>
      </c>
    </row>
    <row r="277" spans="1:7" x14ac:dyDescent="0.35">
      <c r="A277">
        <v>580</v>
      </c>
      <c r="B277" t="s">
        <v>258</v>
      </c>
      <c r="C277">
        <v>0</v>
      </c>
      <c r="D277">
        <v>0</v>
      </c>
      <c r="E277">
        <v>0</v>
      </c>
      <c r="F277">
        <v>0</v>
      </c>
      <c r="G277" t="s">
        <v>428</v>
      </c>
    </row>
    <row r="278" spans="1:7" x14ac:dyDescent="0.35">
      <c r="A278">
        <v>590</v>
      </c>
      <c r="B278" t="s">
        <v>647</v>
      </c>
      <c r="C278">
        <v>0</v>
      </c>
      <c r="D278">
        <v>0</v>
      </c>
      <c r="E278">
        <v>0</v>
      </c>
      <c r="F278">
        <v>0</v>
      </c>
      <c r="G278" t="s">
        <v>428</v>
      </c>
    </row>
    <row r="279" spans="1:7" x14ac:dyDescent="0.35">
      <c r="A279">
        <v>600</v>
      </c>
      <c r="B279" t="s">
        <v>259</v>
      </c>
      <c r="C279">
        <v>0</v>
      </c>
      <c r="D279">
        <v>-53858.17</v>
      </c>
      <c r="E279">
        <v>-53858.17</v>
      </c>
      <c r="F279">
        <v>0</v>
      </c>
      <c r="G279" t="s">
        <v>428</v>
      </c>
    </row>
    <row r="280" spans="1:7" x14ac:dyDescent="0.35">
      <c r="A280">
        <v>610</v>
      </c>
      <c r="B280" t="s">
        <v>648</v>
      </c>
      <c r="C280">
        <v>0</v>
      </c>
      <c r="D280">
        <v>0</v>
      </c>
      <c r="E280">
        <v>0</v>
      </c>
      <c r="F280">
        <v>0</v>
      </c>
      <c r="G280" t="s">
        <v>428</v>
      </c>
    </row>
    <row r="281" spans="1:7" x14ac:dyDescent="0.35">
      <c r="A281">
        <v>620</v>
      </c>
      <c r="B281" t="s">
        <v>260</v>
      </c>
      <c r="C281">
        <v>0</v>
      </c>
      <c r="D281">
        <v>0</v>
      </c>
      <c r="E281">
        <v>0</v>
      </c>
      <c r="F281">
        <v>0</v>
      </c>
      <c r="G281" t="s">
        <v>428</v>
      </c>
    </row>
    <row r="282" spans="1:7" x14ac:dyDescent="0.35">
      <c r="A282">
        <v>630</v>
      </c>
      <c r="B282" t="s">
        <v>261</v>
      </c>
      <c r="C282">
        <v>0</v>
      </c>
      <c r="D282">
        <v>0</v>
      </c>
      <c r="E282">
        <v>0</v>
      </c>
      <c r="F282">
        <v>0</v>
      </c>
      <c r="G282" t="s">
        <v>428</v>
      </c>
    </row>
    <row r="283" spans="1:7" x14ac:dyDescent="0.35">
      <c r="A283">
        <v>640</v>
      </c>
      <c r="B283" t="s">
        <v>262</v>
      </c>
      <c r="C283">
        <v>32271.69</v>
      </c>
      <c r="D283">
        <v>-776268.91</v>
      </c>
      <c r="E283">
        <v>-743997.22</v>
      </c>
      <c r="F283">
        <v>32271.69</v>
      </c>
      <c r="G283" t="s">
        <v>428</v>
      </c>
    </row>
    <row r="284" spans="1:7" x14ac:dyDescent="0.35">
      <c r="A284">
        <v>650</v>
      </c>
      <c r="B284" t="s">
        <v>263</v>
      </c>
      <c r="C284">
        <v>143612.35</v>
      </c>
      <c r="D284">
        <v>-3296409.15</v>
      </c>
      <c r="E284">
        <v>-3152796.8</v>
      </c>
      <c r="F284">
        <v>143612.35</v>
      </c>
      <c r="G284" t="s">
        <v>428</v>
      </c>
    </row>
    <row r="285" spans="1:7" x14ac:dyDescent="0.35">
      <c r="A285" t="s">
        <v>467</v>
      </c>
      <c r="B285" t="s">
        <v>416</v>
      </c>
      <c r="C285" t="s">
        <v>608</v>
      </c>
      <c r="D285" t="s">
        <v>609</v>
      </c>
      <c r="E285" t="s">
        <v>610</v>
      </c>
      <c r="F285" t="s">
        <v>611</v>
      </c>
      <c r="G285" t="s">
        <v>121</v>
      </c>
    </row>
    <row r="286" spans="1:7" x14ac:dyDescent="0.35">
      <c r="A286">
        <v>10</v>
      </c>
      <c r="B286" t="s">
        <v>612</v>
      </c>
      <c r="C286">
        <v>0</v>
      </c>
      <c r="D286">
        <v>0</v>
      </c>
      <c r="E286">
        <v>0</v>
      </c>
      <c r="F286">
        <v>0</v>
      </c>
      <c r="G286" t="s">
        <v>428</v>
      </c>
    </row>
    <row r="287" spans="1:7" x14ac:dyDescent="0.35">
      <c r="A287">
        <v>20</v>
      </c>
      <c r="B287" t="s">
        <v>427</v>
      </c>
      <c r="C287">
        <v>325869.59999999998</v>
      </c>
      <c r="D287">
        <v>0</v>
      </c>
      <c r="E287">
        <v>325869.59999999998</v>
      </c>
      <c r="F287">
        <v>325869.59999999998</v>
      </c>
      <c r="G287" t="s">
        <v>428</v>
      </c>
    </row>
    <row r="288" spans="1:7" x14ac:dyDescent="0.35">
      <c r="A288">
        <v>30</v>
      </c>
      <c r="B288" t="s">
        <v>613</v>
      </c>
      <c r="C288">
        <v>0</v>
      </c>
      <c r="D288">
        <v>0</v>
      </c>
      <c r="E288">
        <v>0</v>
      </c>
      <c r="F288">
        <v>0</v>
      </c>
      <c r="G288" t="s">
        <v>428</v>
      </c>
    </row>
    <row r="289" spans="1:7" x14ac:dyDescent="0.35">
      <c r="A289">
        <v>35</v>
      </c>
      <c r="B289" t="s">
        <v>614</v>
      </c>
      <c r="C289">
        <v>325869.59999999998</v>
      </c>
      <c r="D289">
        <v>0</v>
      </c>
      <c r="E289">
        <v>325869.59999999998</v>
      </c>
      <c r="F289">
        <v>325869.59999999998</v>
      </c>
      <c r="G289" t="s">
        <v>428</v>
      </c>
    </row>
    <row r="290" spans="1:7" x14ac:dyDescent="0.35">
      <c r="A290">
        <v>40</v>
      </c>
      <c r="B290" t="s">
        <v>615</v>
      </c>
      <c r="C290">
        <v>210039.06</v>
      </c>
      <c r="D290">
        <v>0</v>
      </c>
      <c r="E290">
        <v>210039.06</v>
      </c>
      <c r="F290">
        <v>210039.06</v>
      </c>
      <c r="G290" t="s">
        <v>428</v>
      </c>
    </row>
    <row r="291" spans="1:7" x14ac:dyDescent="0.35">
      <c r="A291">
        <v>50</v>
      </c>
      <c r="B291" t="s">
        <v>616</v>
      </c>
      <c r="C291">
        <v>0</v>
      </c>
      <c r="D291">
        <v>0</v>
      </c>
      <c r="E291">
        <v>0</v>
      </c>
      <c r="F291">
        <v>0</v>
      </c>
      <c r="G291" t="s">
        <v>428</v>
      </c>
    </row>
    <row r="292" spans="1:7" x14ac:dyDescent="0.35">
      <c r="A292">
        <v>60</v>
      </c>
      <c r="B292" t="s">
        <v>617</v>
      </c>
      <c r="C292">
        <v>115830.54</v>
      </c>
      <c r="D292">
        <v>0</v>
      </c>
      <c r="E292">
        <v>115830.54</v>
      </c>
      <c r="F292">
        <v>115830.54</v>
      </c>
      <c r="G292" t="s">
        <v>428</v>
      </c>
    </row>
    <row r="293" spans="1:7" x14ac:dyDescent="0.35">
      <c r="A293">
        <v>70</v>
      </c>
      <c r="B293" t="s">
        <v>433</v>
      </c>
      <c r="C293">
        <v>0</v>
      </c>
      <c r="D293">
        <v>0</v>
      </c>
      <c r="E293">
        <v>0</v>
      </c>
      <c r="F293">
        <v>0</v>
      </c>
      <c r="G293" t="s">
        <v>428</v>
      </c>
    </row>
    <row r="294" spans="1:7" x14ac:dyDescent="0.35">
      <c r="A294">
        <v>80</v>
      </c>
      <c r="B294" t="s">
        <v>434</v>
      </c>
      <c r="C294">
        <v>155484.88</v>
      </c>
      <c r="D294">
        <v>0</v>
      </c>
      <c r="E294">
        <v>155484.88</v>
      </c>
      <c r="F294">
        <v>155484.88</v>
      </c>
      <c r="G294" t="s">
        <v>428</v>
      </c>
    </row>
    <row r="295" spans="1:7" x14ac:dyDescent="0.35">
      <c r="A295">
        <v>90</v>
      </c>
      <c r="B295" t="s">
        <v>618</v>
      </c>
      <c r="C295">
        <v>0</v>
      </c>
      <c r="D295">
        <v>0</v>
      </c>
      <c r="E295">
        <v>0</v>
      </c>
      <c r="F295">
        <v>0</v>
      </c>
      <c r="G295" t="s">
        <v>428</v>
      </c>
    </row>
    <row r="296" spans="1:7" x14ac:dyDescent="0.35">
      <c r="A296">
        <v>100</v>
      </c>
      <c r="B296" t="s">
        <v>619</v>
      </c>
      <c r="C296">
        <v>-39654.339999999997</v>
      </c>
      <c r="D296">
        <v>0</v>
      </c>
      <c r="E296">
        <v>-39654.339999999997</v>
      </c>
      <c r="F296">
        <v>-39654.339999999997</v>
      </c>
      <c r="G296" t="s">
        <v>428</v>
      </c>
    </row>
    <row r="297" spans="1:7" x14ac:dyDescent="0.35">
      <c r="A297">
        <v>110</v>
      </c>
      <c r="B297" t="s">
        <v>620</v>
      </c>
      <c r="C297">
        <v>12.02</v>
      </c>
      <c r="D297">
        <v>0</v>
      </c>
      <c r="E297">
        <v>12.02</v>
      </c>
      <c r="F297">
        <v>12.02</v>
      </c>
      <c r="G297" t="s">
        <v>428</v>
      </c>
    </row>
    <row r="298" spans="1:7" x14ac:dyDescent="0.35">
      <c r="A298">
        <v>120</v>
      </c>
      <c r="B298" t="s">
        <v>621</v>
      </c>
      <c r="C298">
        <v>-5595.84</v>
      </c>
      <c r="D298">
        <v>0</v>
      </c>
      <c r="E298">
        <v>-5595.84</v>
      </c>
      <c r="F298">
        <v>-5595.84</v>
      </c>
      <c r="G298" t="s">
        <v>428</v>
      </c>
    </row>
    <row r="299" spans="1:7" x14ac:dyDescent="0.35">
      <c r="A299">
        <v>130</v>
      </c>
      <c r="B299" t="s">
        <v>622</v>
      </c>
      <c r="C299">
        <v>867.77</v>
      </c>
      <c r="D299">
        <v>0</v>
      </c>
      <c r="E299">
        <v>867.77</v>
      </c>
      <c r="F299">
        <v>867.77</v>
      </c>
      <c r="G299" t="s">
        <v>428</v>
      </c>
    </row>
    <row r="300" spans="1:7" x14ac:dyDescent="0.35">
      <c r="A300">
        <v>140</v>
      </c>
      <c r="B300" t="s">
        <v>623</v>
      </c>
      <c r="C300">
        <v>0</v>
      </c>
      <c r="D300">
        <v>0</v>
      </c>
      <c r="E300">
        <v>0</v>
      </c>
      <c r="F300">
        <v>0</v>
      </c>
      <c r="G300" t="s">
        <v>428</v>
      </c>
    </row>
    <row r="301" spans="1:7" x14ac:dyDescent="0.35">
      <c r="A301">
        <v>145</v>
      </c>
      <c r="B301" t="s">
        <v>443</v>
      </c>
      <c r="C301">
        <v>-4716.05</v>
      </c>
      <c r="D301">
        <v>0</v>
      </c>
      <c r="E301">
        <v>-4716.05</v>
      </c>
      <c r="F301">
        <v>-4716.05</v>
      </c>
      <c r="G301" t="s">
        <v>428</v>
      </c>
    </row>
    <row r="302" spans="1:7" x14ac:dyDescent="0.35">
      <c r="A302">
        <v>150</v>
      </c>
      <c r="B302" t="s">
        <v>624</v>
      </c>
      <c r="C302">
        <v>-34938.29</v>
      </c>
      <c r="D302">
        <v>0</v>
      </c>
      <c r="E302">
        <v>-34938.29</v>
      </c>
      <c r="F302">
        <v>-34938.29</v>
      </c>
      <c r="G302" t="s">
        <v>428</v>
      </c>
    </row>
    <row r="303" spans="1:7" x14ac:dyDescent="0.35">
      <c r="A303">
        <v>160</v>
      </c>
      <c r="B303" t="s">
        <v>625</v>
      </c>
      <c r="C303">
        <v>9463</v>
      </c>
      <c r="D303">
        <v>0</v>
      </c>
      <c r="E303">
        <v>9463</v>
      </c>
      <c r="F303">
        <v>9463</v>
      </c>
      <c r="G303" t="s">
        <v>428</v>
      </c>
    </row>
    <row r="304" spans="1:7" x14ac:dyDescent="0.35">
      <c r="A304">
        <v>170</v>
      </c>
      <c r="B304" t="s">
        <v>447</v>
      </c>
      <c r="C304">
        <v>-44401.29</v>
      </c>
      <c r="D304">
        <v>0</v>
      </c>
      <c r="E304">
        <v>-44401.29</v>
      </c>
      <c r="F304">
        <v>-44401.29</v>
      </c>
      <c r="G304" t="s">
        <v>428</v>
      </c>
    </row>
    <row r="305" spans="1:7" x14ac:dyDescent="0.35">
      <c r="A305">
        <v>190</v>
      </c>
      <c r="B305" t="s">
        <v>626</v>
      </c>
      <c r="C305">
        <v>0</v>
      </c>
      <c r="D305">
        <v>0</v>
      </c>
      <c r="E305">
        <v>0</v>
      </c>
      <c r="F305">
        <v>0</v>
      </c>
      <c r="G305" t="s">
        <v>428</v>
      </c>
    </row>
    <row r="306" spans="1:7" x14ac:dyDescent="0.35">
      <c r="A306">
        <v>200</v>
      </c>
      <c r="B306" t="s">
        <v>447</v>
      </c>
      <c r="C306">
        <v>-44401.29</v>
      </c>
      <c r="D306">
        <v>0</v>
      </c>
      <c r="E306">
        <v>-44401.29</v>
      </c>
      <c r="F306">
        <v>-44401.29</v>
      </c>
      <c r="G306" t="s">
        <v>428</v>
      </c>
    </row>
    <row r="307" spans="1:7" x14ac:dyDescent="0.35">
      <c r="A307">
        <v>210</v>
      </c>
      <c r="B307" t="s">
        <v>247</v>
      </c>
      <c r="C307">
        <v>-44401.29</v>
      </c>
      <c r="D307">
        <v>0</v>
      </c>
      <c r="E307">
        <v>-44401.29</v>
      </c>
      <c r="F307">
        <v>-44401.29</v>
      </c>
      <c r="G307" t="s">
        <v>428</v>
      </c>
    </row>
    <row r="308" spans="1:7" x14ac:dyDescent="0.35">
      <c r="A308">
        <v>220</v>
      </c>
      <c r="B308" t="s">
        <v>627</v>
      </c>
      <c r="C308">
        <v>0</v>
      </c>
      <c r="D308">
        <v>0</v>
      </c>
      <c r="E308">
        <v>0</v>
      </c>
      <c r="F308">
        <v>0</v>
      </c>
      <c r="G308" t="s">
        <v>428</v>
      </c>
    </row>
    <row r="309" spans="1:7" x14ac:dyDescent="0.35">
      <c r="A309">
        <v>230</v>
      </c>
      <c r="B309" t="s">
        <v>196</v>
      </c>
      <c r="C309">
        <v>164983.35999999999</v>
      </c>
      <c r="D309">
        <v>-834765.74</v>
      </c>
      <c r="E309">
        <v>-669782.38</v>
      </c>
      <c r="F309">
        <v>164983.35999999999</v>
      </c>
      <c r="G309" t="s">
        <v>428</v>
      </c>
    </row>
    <row r="310" spans="1:7" x14ac:dyDescent="0.35">
      <c r="A310">
        <v>235</v>
      </c>
      <c r="B310" t="s">
        <v>628</v>
      </c>
      <c r="C310">
        <v>0</v>
      </c>
      <c r="D310">
        <v>0</v>
      </c>
      <c r="E310">
        <v>0</v>
      </c>
      <c r="F310">
        <v>0</v>
      </c>
      <c r="G310" t="s">
        <v>428</v>
      </c>
    </row>
    <row r="311" spans="1:7" x14ac:dyDescent="0.35">
      <c r="A311">
        <v>240</v>
      </c>
      <c r="B311" t="s">
        <v>197</v>
      </c>
      <c r="C311">
        <v>0.28000000000000003</v>
      </c>
      <c r="D311">
        <v>-851891.77</v>
      </c>
      <c r="E311">
        <v>-851891.49</v>
      </c>
      <c r="F311">
        <v>0.28000000000000003</v>
      </c>
      <c r="G311" t="s">
        <v>428</v>
      </c>
    </row>
    <row r="312" spans="1:7" x14ac:dyDescent="0.35">
      <c r="A312">
        <v>250</v>
      </c>
      <c r="B312" t="s">
        <v>198</v>
      </c>
      <c r="C312">
        <v>0</v>
      </c>
      <c r="D312">
        <v>0</v>
      </c>
      <c r="E312">
        <v>0</v>
      </c>
      <c r="F312">
        <v>0</v>
      </c>
      <c r="G312" t="s">
        <v>428</v>
      </c>
    </row>
    <row r="313" spans="1:7" x14ac:dyDescent="0.35">
      <c r="A313">
        <v>260</v>
      </c>
      <c r="B313" t="s">
        <v>629</v>
      </c>
      <c r="C313">
        <v>-11930.39</v>
      </c>
      <c r="D313">
        <v>-1292538.21</v>
      </c>
      <c r="E313">
        <v>-1304468.6000000001</v>
      </c>
      <c r="F313">
        <v>-11930.39</v>
      </c>
      <c r="G313" t="s">
        <v>428</v>
      </c>
    </row>
    <row r="314" spans="1:7" x14ac:dyDescent="0.35">
      <c r="A314">
        <v>270</v>
      </c>
      <c r="B314" t="s">
        <v>199</v>
      </c>
      <c r="C314">
        <v>-19773</v>
      </c>
      <c r="D314">
        <v>-2059279.92</v>
      </c>
      <c r="E314">
        <v>-2079052.92</v>
      </c>
      <c r="F314">
        <v>-19773</v>
      </c>
      <c r="G314" t="s">
        <v>428</v>
      </c>
    </row>
    <row r="315" spans="1:7" x14ac:dyDescent="0.35">
      <c r="A315">
        <v>300</v>
      </c>
      <c r="B315" t="s">
        <v>222</v>
      </c>
      <c r="C315">
        <v>0</v>
      </c>
      <c r="D315">
        <v>0</v>
      </c>
      <c r="E315">
        <v>0</v>
      </c>
      <c r="F315">
        <v>0</v>
      </c>
      <c r="G315" t="s">
        <v>428</v>
      </c>
    </row>
    <row r="316" spans="1:7" x14ac:dyDescent="0.35">
      <c r="A316">
        <v>310</v>
      </c>
      <c r="B316" t="s">
        <v>630</v>
      </c>
      <c r="C316">
        <v>0</v>
      </c>
      <c r="D316">
        <v>546935.85</v>
      </c>
      <c r="E316">
        <v>546935.85</v>
      </c>
      <c r="F316">
        <v>0</v>
      </c>
      <c r="G316" t="s">
        <v>428</v>
      </c>
    </row>
    <row r="317" spans="1:7" x14ac:dyDescent="0.35">
      <c r="A317">
        <v>320</v>
      </c>
      <c r="B317" t="s">
        <v>248</v>
      </c>
      <c r="C317">
        <v>-57430.95</v>
      </c>
      <c r="D317">
        <v>6054579.7999999998</v>
      </c>
      <c r="E317">
        <v>5997148.8499999996</v>
      </c>
      <c r="F317">
        <v>-57430.95</v>
      </c>
      <c r="G317" t="s">
        <v>428</v>
      </c>
    </row>
    <row r="318" spans="1:7" x14ac:dyDescent="0.35">
      <c r="A318">
        <v>325</v>
      </c>
      <c r="B318" t="s">
        <v>249</v>
      </c>
      <c r="C318">
        <v>0</v>
      </c>
      <c r="D318">
        <v>0</v>
      </c>
      <c r="E318">
        <v>0</v>
      </c>
      <c r="F318">
        <v>0</v>
      </c>
      <c r="G318" t="s">
        <v>428</v>
      </c>
    </row>
    <row r="319" spans="1:7" x14ac:dyDescent="0.35">
      <c r="A319">
        <v>330</v>
      </c>
      <c r="B319" t="s">
        <v>631</v>
      </c>
      <c r="C319">
        <v>-16059.78</v>
      </c>
      <c r="D319">
        <v>1261212.1000000001</v>
      </c>
      <c r="E319">
        <v>1245152.32</v>
      </c>
      <c r="F319">
        <v>-16059.78</v>
      </c>
      <c r="G319" t="s">
        <v>428</v>
      </c>
    </row>
    <row r="320" spans="1:7" x14ac:dyDescent="0.35">
      <c r="A320">
        <v>340</v>
      </c>
      <c r="B320" t="s">
        <v>632</v>
      </c>
      <c r="C320">
        <v>9463.4</v>
      </c>
      <c r="D320">
        <v>3137266.99</v>
      </c>
      <c r="E320">
        <v>3146730.39</v>
      </c>
      <c r="F320">
        <v>9463.4</v>
      </c>
      <c r="G320" t="s">
        <v>428</v>
      </c>
    </row>
    <row r="321" spans="1:7" x14ac:dyDescent="0.35">
      <c r="A321">
        <v>380</v>
      </c>
      <c r="B321" t="s">
        <v>633</v>
      </c>
      <c r="C321">
        <v>69252.92</v>
      </c>
      <c r="D321">
        <v>5961519.0999999996</v>
      </c>
      <c r="E321">
        <v>6030772.0199999996</v>
      </c>
      <c r="F321">
        <v>69252.92</v>
      </c>
      <c r="G321" t="s">
        <v>428</v>
      </c>
    </row>
    <row r="322" spans="1:7" x14ac:dyDescent="0.35">
      <c r="A322">
        <v>390</v>
      </c>
      <c r="B322" t="s">
        <v>250</v>
      </c>
      <c r="C322">
        <v>0</v>
      </c>
      <c r="D322">
        <v>0</v>
      </c>
      <c r="E322">
        <v>0</v>
      </c>
      <c r="F322">
        <v>0</v>
      </c>
      <c r="G322" t="s">
        <v>428</v>
      </c>
    </row>
    <row r="323" spans="1:7" x14ac:dyDescent="0.35">
      <c r="A323">
        <v>400</v>
      </c>
      <c r="B323" t="s">
        <v>251</v>
      </c>
      <c r="C323">
        <v>0</v>
      </c>
      <c r="D323">
        <v>0</v>
      </c>
      <c r="E323">
        <v>0</v>
      </c>
      <c r="F323">
        <v>0</v>
      </c>
      <c r="G323" t="s">
        <v>428</v>
      </c>
    </row>
    <row r="324" spans="1:7" x14ac:dyDescent="0.35">
      <c r="A324">
        <v>405</v>
      </c>
      <c r="B324" t="s">
        <v>252</v>
      </c>
      <c r="C324">
        <v>0</v>
      </c>
      <c r="D324">
        <v>0</v>
      </c>
      <c r="E324">
        <v>0</v>
      </c>
      <c r="F324">
        <v>0</v>
      </c>
      <c r="G324" t="s">
        <v>428</v>
      </c>
    </row>
    <row r="325" spans="1:7" x14ac:dyDescent="0.35">
      <c r="A325">
        <v>410</v>
      </c>
      <c r="B325" t="s">
        <v>237</v>
      </c>
      <c r="C325">
        <v>0</v>
      </c>
      <c r="D325">
        <v>53000</v>
      </c>
      <c r="E325">
        <v>53000</v>
      </c>
      <c r="F325">
        <v>0</v>
      </c>
      <c r="G325" t="s">
        <v>428</v>
      </c>
    </row>
    <row r="326" spans="1:7" x14ac:dyDescent="0.35">
      <c r="A326">
        <v>420</v>
      </c>
      <c r="B326" t="s">
        <v>253</v>
      </c>
      <c r="C326">
        <v>0</v>
      </c>
      <c r="D326">
        <v>-3573015.27</v>
      </c>
      <c r="E326">
        <v>-3573015.27</v>
      </c>
      <c r="F326">
        <v>0</v>
      </c>
      <c r="G326" t="s">
        <v>428</v>
      </c>
    </row>
    <row r="327" spans="1:7" x14ac:dyDescent="0.35">
      <c r="A327">
        <v>425</v>
      </c>
      <c r="B327" t="s">
        <v>634</v>
      </c>
      <c r="C327">
        <v>0</v>
      </c>
      <c r="D327">
        <v>0</v>
      </c>
      <c r="E327">
        <v>0</v>
      </c>
      <c r="F327">
        <v>0</v>
      </c>
      <c r="G327" t="s">
        <v>428</v>
      </c>
    </row>
    <row r="328" spans="1:7" x14ac:dyDescent="0.35">
      <c r="A328">
        <v>427</v>
      </c>
      <c r="B328" t="s">
        <v>635</v>
      </c>
      <c r="C328">
        <v>0</v>
      </c>
      <c r="D328">
        <v>0</v>
      </c>
      <c r="E328">
        <v>0</v>
      </c>
      <c r="F328">
        <v>0</v>
      </c>
      <c r="G328" t="s">
        <v>428</v>
      </c>
    </row>
    <row r="329" spans="1:7" x14ac:dyDescent="0.35">
      <c r="A329">
        <v>430</v>
      </c>
      <c r="B329" t="s">
        <v>254</v>
      </c>
      <c r="C329">
        <v>0</v>
      </c>
      <c r="D329">
        <v>-2139254.09</v>
      </c>
      <c r="E329">
        <v>-2139254.09</v>
      </c>
      <c r="F329">
        <v>0</v>
      </c>
      <c r="G329" t="s">
        <v>428</v>
      </c>
    </row>
    <row r="330" spans="1:7" x14ac:dyDescent="0.35">
      <c r="A330">
        <v>440</v>
      </c>
      <c r="B330" t="s">
        <v>255</v>
      </c>
      <c r="C330">
        <v>0</v>
      </c>
      <c r="D330">
        <v>-5659269.3600000003</v>
      </c>
      <c r="E330">
        <v>-5659269.3600000003</v>
      </c>
      <c r="F330">
        <v>0</v>
      </c>
      <c r="G330" t="s">
        <v>428</v>
      </c>
    </row>
    <row r="331" spans="1:7" x14ac:dyDescent="0.35">
      <c r="A331">
        <v>450</v>
      </c>
      <c r="B331" t="s">
        <v>256</v>
      </c>
      <c r="C331">
        <v>0</v>
      </c>
      <c r="D331">
        <v>0</v>
      </c>
      <c r="E331">
        <v>0</v>
      </c>
      <c r="F331">
        <v>0</v>
      </c>
      <c r="G331" t="s">
        <v>428</v>
      </c>
    </row>
    <row r="332" spans="1:7" x14ac:dyDescent="0.35">
      <c r="A332">
        <v>455</v>
      </c>
      <c r="B332" t="s">
        <v>204</v>
      </c>
      <c r="C332">
        <v>0</v>
      </c>
      <c r="D332">
        <v>0</v>
      </c>
      <c r="E332">
        <v>0</v>
      </c>
      <c r="F332">
        <v>0</v>
      </c>
      <c r="G332" t="s">
        <v>428</v>
      </c>
    </row>
    <row r="333" spans="1:7" x14ac:dyDescent="0.35">
      <c r="A333">
        <v>456</v>
      </c>
      <c r="B333" t="s">
        <v>636</v>
      </c>
      <c r="C333">
        <v>0</v>
      </c>
      <c r="D333">
        <v>0</v>
      </c>
      <c r="E333">
        <v>0</v>
      </c>
      <c r="F333">
        <v>0</v>
      </c>
      <c r="G333" t="s">
        <v>428</v>
      </c>
    </row>
    <row r="334" spans="1:7" x14ac:dyDescent="0.35">
      <c r="A334">
        <v>460</v>
      </c>
      <c r="B334" t="s">
        <v>208</v>
      </c>
      <c r="C334">
        <v>0</v>
      </c>
      <c r="D334">
        <v>0</v>
      </c>
      <c r="E334">
        <v>0</v>
      </c>
      <c r="F334">
        <v>0</v>
      </c>
      <c r="G334" t="s">
        <v>428</v>
      </c>
    </row>
    <row r="335" spans="1:7" x14ac:dyDescent="0.35">
      <c r="A335">
        <v>470</v>
      </c>
      <c r="B335" t="s">
        <v>637</v>
      </c>
      <c r="C335">
        <v>0</v>
      </c>
      <c r="D335">
        <v>0</v>
      </c>
      <c r="E335">
        <v>0</v>
      </c>
      <c r="F335">
        <v>0</v>
      </c>
      <c r="G335" t="s">
        <v>428</v>
      </c>
    </row>
    <row r="336" spans="1:7" x14ac:dyDescent="0.35">
      <c r="A336">
        <v>480</v>
      </c>
      <c r="B336" t="s">
        <v>207</v>
      </c>
      <c r="C336">
        <v>0</v>
      </c>
      <c r="D336">
        <v>0</v>
      </c>
      <c r="E336">
        <v>0</v>
      </c>
      <c r="F336">
        <v>0</v>
      </c>
      <c r="G336" t="s">
        <v>428</v>
      </c>
    </row>
    <row r="337" spans="1:7" x14ac:dyDescent="0.35">
      <c r="A337">
        <v>490</v>
      </c>
      <c r="B337" t="s">
        <v>638</v>
      </c>
      <c r="C337">
        <v>0</v>
      </c>
      <c r="D337">
        <v>0</v>
      </c>
      <c r="E337">
        <v>0</v>
      </c>
      <c r="F337">
        <v>0</v>
      </c>
      <c r="G337" t="s">
        <v>428</v>
      </c>
    </row>
    <row r="338" spans="1:7" x14ac:dyDescent="0.35">
      <c r="A338">
        <v>500</v>
      </c>
      <c r="B338" t="s">
        <v>206</v>
      </c>
      <c r="C338">
        <v>0</v>
      </c>
      <c r="D338">
        <v>0</v>
      </c>
      <c r="E338">
        <v>0</v>
      </c>
      <c r="F338">
        <v>0</v>
      </c>
      <c r="G338" t="s">
        <v>428</v>
      </c>
    </row>
    <row r="339" spans="1:7" x14ac:dyDescent="0.35">
      <c r="A339">
        <v>510</v>
      </c>
      <c r="B339" t="s">
        <v>639</v>
      </c>
      <c r="C339">
        <v>0</v>
      </c>
      <c r="D339">
        <v>0</v>
      </c>
      <c r="E339">
        <v>0</v>
      </c>
      <c r="F339">
        <v>0</v>
      </c>
      <c r="G339" t="s">
        <v>428</v>
      </c>
    </row>
    <row r="340" spans="1:7" x14ac:dyDescent="0.35">
      <c r="A340">
        <v>512</v>
      </c>
      <c r="B340" t="s">
        <v>257</v>
      </c>
      <c r="C340">
        <v>0</v>
      </c>
      <c r="D340">
        <v>-52937.3</v>
      </c>
      <c r="E340">
        <v>-52937.3</v>
      </c>
      <c r="F340">
        <v>0</v>
      </c>
      <c r="G340" t="s">
        <v>428</v>
      </c>
    </row>
    <row r="341" spans="1:7" x14ac:dyDescent="0.35">
      <c r="A341">
        <v>514</v>
      </c>
      <c r="B341" t="s">
        <v>640</v>
      </c>
      <c r="C341">
        <v>0</v>
      </c>
      <c r="D341">
        <v>12263.73</v>
      </c>
      <c r="E341">
        <v>12263.73</v>
      </c>
      <c r="F341">
        <v>0</v>
      </c>
      <c r="G341" t="s">
        <v>428</v>
      </c>
    </row>
    <row r="342" spans="1:7" x14ac:dyDescent="0.35">
      <c r="A342">
        <v>520</v>
      </c>
      <c r="B342" t="s">
        <v>641</v>
      </c>
      <c r="C342">
        <v>0</v>
      </c>
      <c r="D342">
        <v>0</v>
      </c>
      <c r="E342">
        <v>0</v>
      </c>
      <c r="F342">
        <v>0</v>
      </c>
      <c r="G342" t="s">
        <v>428</v>
      </c>
    </row>
    <row r="343" spans="1:7" x14ac:dyDescent="0.35">
      <c r="A343">
        <v>530</v>
      </c>
      <c r="B343" t="s">
        <v>642</v>
      </c>
      <c r="C343">
        <v>0</v>
      </c>
      <c r="D343">
        <v>0</v>
      </c>
      <c r="E343">
        <v>0</v>
      </c>
      <c r="F343">
        <v>0</v>
      </c>
      <c r="G343" t="s">
        <v>428</v>
      </c>
    </row>
    <row r="344" spans="1:7" x14ac:dyDescent="0.35">
      <c r="A344">
        <v>540</v>
      </c>
      <c r="B344" t="s">
        <v>643</v>
      </c>
      <c r="C344">
        <v>0</v>
      </c>
      <c r="D344">
        <v>0</v>
      </c>
      <c r="E344">
        <v>0</v>
      </c>
      <c r="F344">
        <v>0</v>
      </c>
      <c r="G344" t="s">
        <v>428</v>
      </c>
    </row>
    <row r="345" spans="1:7" x14ac:dyDescent="0.35">
      <c r="A345">
        <v>550</v>
      </c>
      <c r="B345" t="s">
        <v>644</v>
      </c>
      <c r="C345">
        <v>0</v>
      </c>
      <c r="D345">
        <v>0</v>
      </c>
      <c r="E345">
        <v>0</v>
      </c>
      <c r="F345">
        <v>0</v>
      </c>
      <c r="G345" t="s">
        <v>428</v>
      </c>
    </row>
    <row r="346" spans="1:7" x14ac:dyDescent="0.35">
      <c r="A346">
        <v>560</v>
      </c>
      <c r="B346" t="s">
        <v>645</v>
      </c>
      <c r="C346">
        <v>0</v>
      </c>
      <c r="D346">
        <v>0</v>
      </c>
      <c r="E346">
        <v>0</v>
      </c>
      <c r="F346">
        <v>0</v>
      </c>
      <c r="G346" t="s">
        <v>428</v>
      </c>
    </row>
    <row r="347" spans="1:7" x14ac:dyDescent="0.35">
      <c r="A347">
        <v>570</v>
      </c>
      <c r="B347" t="s">
        <v>646</v>
      </c>
      <c r="C347">
        <v>0</v>
      </c>
      <c r="D347">
        <v>0</v>
      </c>
      <c r="E347">
        <v>0</v>
      </c>
      <c r="F347">
        <v>0</v>
      </c>
      <c r="G347" t="s">
        <v>428</v>
      </c>
    </row>
    <row r="348" spans="1:7" x14ac:dyDescent="0.35">
      <c r="A348">
        <v>580</v>
      </c>
      <c r="B348" t="s">
        <v>258</v>
      </c>
      <c r="C348">
        <v>0</v>
      </c>
      <c r="D348">
        <v>0</v>
      </c>
      <c r="E348">
        <v>0</v>
      </c>
      <c r="F348">
        <v>0</v>
      </c>
      <c r="G348" t="s">
        <v>428</v>
      </c>
    </row>
    <row r="349" spans="1:7" x14ac:dyDescent="0.35">
      <c r="A349">
        <v>590</v>
      </c>
      <c r="B349" t="s">
        <v>647</v>
      </c>
      <c r="C349">
        <v>0</v>
      </c>
      <c r="D349">
        <v>0</v>
      </c>
      <c r="E349">
        <v>0</v>
      </c>
      <c r="F349">
        <v>0</v>
      </c>
      <c r="G349" t="s">
        <v>428</v>
      </c>
    </row>
    <row r="350" spans="1:7" x14ac:dyDescent="0.35">
      <c r="A350">
        <v>600</v>
      </c>
      <c r="B350" t="s">
        <v>259</v>
      </c>
      <c r="C350">
        <v>0</v>
      </c>
      <c r="D350">
        <v>0</v>
      </c>
      <c r="E350">
        <v>0</v>
      </c>
      <c r="F350">
        <v>0</v>
      </c>
      <c r="G350" t="s">
        <v>428</v>
      </c>
    </row>
    <row r="351" spans="1:7" x14ac:dyDescent="0.35">
      <c r="A351">
        <v>610</v>
      </c>
      <c r="B351" t="s">
        <v>648</v>
      </c>
      <c r="C351">
        <v>0</v>
      </c>
      <c r="D351">
        <v>0</v>
      </c>
      <c r="E351">
        <v>0</v>
      </c>
      <c r="F351">
        <v>0</v>
      </c>
      <c r="G351" t="s">
        <v>428</v>
      </c>
    </row>
    <row r="352" spans="1:7" x14ac:dyDescent="0.35">
      <c r="A352">
        <v>620</v>
      </c>
      <c r="B352" t="s">
        <v>260</v>
      </c>
      <c r="C352">
        <v>0</v>
      </c>
      <c r="D352">
        <v>0</v>
      </c>
      <c r="E352">
        <v>0</v>
      </c>
      <c r="F352">
        <v>0</v>
      </c>
      <c r="G352" t="s">
        <v>428</v>
      </c>
    </row>
    <row r="353" spans="1:7" x14ac:dyDescent="0.35">
      <c r="A353">
        <v>630</v>
      </c>
      <c r="B353" t="s">
        <v>261</v>
      </c>
      <c r="C353">
        <v>0</v>
      </c>
      <c r="D353">
        <v>0</v>
      </c>
      <c r="E353">
        <v>0</v>
      </c>
      <c r="F353">
        <v>0</v>
      </c>
      <c r="G353" t="s">
        <v>428</v>
      </c>
    </row>
    <row r="354" spans="1:7" x14ac:dyDescent="0.35">
      <c r="A354">
        <v>640</v>
      </c>
      <c r="B354" t="s">
        <v>262</v>
      </c>
      <c r="C354">
        <v>0</v>
      </c>
      <c r="D354">
        <v>-40673.57</v>
      </c>
      <c r="E354">
        <v>-40673.57</v>
      </c>
      <c r="F354">
        <v>0</v>
      </c>
      <c r="G354" t="s">
        <v>428</v>
      </c>
    </row>
    <row r="355" spans="1:7" x14ac:dyDescent="0.35">
      <c r="A355">
        <v>650</v>
      </c>
      <c r="B355" t="s">
        <v>263</v>
      </c>
      <c r="C355">
        <v>24851.63</v>
      </c>
      <c r="D355">
        <v>261576.17</v>
      </c>
      <c r="E355">
        <v>286427.8</v>
      </c>
      <c r="F355">
        <v>24851.63</v>
      </c>
      <c r="G355" t="s">
        <v>428</v>
      </c>
    </row>
    <row r="356" spans="1:7" x14ac:dyDescent="0.35">
      <c r="A356" t="s">
        <v>468</v>
      </c>
      <c r="B356" t="s">
        <v>416</v>
      </c>
      <c r="C356" t="s">
        <v>608</v>
      </c>
      <c r="D356" t="s">
        <v>609</v>
      </c>
      <c r="E356" t="s">
        <v>610</v>
      </c>
      <c r="F356" t="s">
        <v>611</v>
      </c>
      <c r="G356" t="s">
        <v>121</v>
      </c>
    </row>
    <row r="357" spans="1:7" x14ac:dyDescent="0.35">
      <c r="A357">
        <v>10</v>
      </c>
      <c r="B357" t="s">
        <v>612</v>
      </c>
      <c r="C357">
        <v>0</v>
      </c>
      <c r="D357">
        <v>0</v>
      </c>
      <c r="E357">
        <v>0</v>
      </c>
      <c r="F357">
        <v>0</v>
      </c>
      <c r="G357" t="s">
        <v>428</v>
      </c>
    </row>
    <row r="358" spans="1:7" x14ac:dyDescent="0.35">
      <c r="A358">
        <v>20</v>
      </c>
      <c r="B358" t="s">
        <v>427</v>
      </c>
      <c r="C358">
        <v>264060</v>
      </c>
      <c r="D358">
        <v>0</v>
      </c>
      <c r="E358">
        <v>264060</v>
      </c>
      <c r="F358">
        <v>264060</v>
      </c>
      <c r="G358" t="s">
        <v>428</v>
      </c>
    </row>
    <row r="359" spans="1:7" x14ac:dyDescent="0.35">
      <c r="A359">
        <v>30</v>
      </c>
      <c r="B359" t="s">
        <v>613</v>
      </c>
      <c r="C359">
        <v>0</v>
      </c>
      <c r="D359">
        <v>0</v>
      </c>
      <c r="E359">
        <v>0</v>
      </c>
      <c r="F359">
        <v>0</v>
      </c>
      <c r="G359" t="s">
        <v>428</v>
      </c>
    </row>
    <row r="360" spans="1:7" x14ac:dyDescent="0.35">
      <c r="A360">
        <v>35</v>
      </c>
      <c r="B360" t="s">
        <v>614</v>
      </c>
      <c r="C360">
        <v>264060</v>
      </c>
      <c r="D360">
        <v>0</v>
      </c>
      <c r="E360">
        <v>264060</v>
      </c>
      <c r="F360">
        <v>264060</v>
      </c>
      <c r="G360" t="s">
        <v>428</v>
      </c>
    </row>
    <row r="361" spans="1:7" x14ac:dyDescent="0.35">
      <c r="A361">
        <v>40</v>
      </c>
      <c r="B361" t="s">
        <v>615</v>
      </c>
      <c r="C361">
        <v>0</v>
      </c>
      <c r="D361">
        <v>0</v>
      </c>
      <c r="E361">
        <v>0</v>
      </c>
      <c r="F361">
        <v>0</v>
      </c>
      <c r="G361" t="s">
        <v>428</v>
      </c>
    </row>
    <row r="362" spans="1:7" x14ac:dyDescent="0.35">
      <c r="A362">
        <v>50</v>
      </c>
      <c r="B362" t="s">
        <v>616</v>
      </c>
      <c r="C362">
        <v>0</v>
      </c>
      <c r="D362">
        <v>0</v>
      </c>
      <c r="E362">
        <v>0</v>
      </c>
      <c r="F362">
        <v>0</v>
      </c>
      <c r="G362" t="s">
        <v>428</v>
      </c>
    </row>
    <row r="363" spans="1:7" x14ac:dyDescent="0.35">
      <c r="A363">
        <v>60</v>
      </c>
      <c r="B363" t="s">
        <v>617</v>
      </c>
      <c r="C363">
        <v>264060</v>
      </c>
      <c r="D363">
        <v>0</v>
      </c>
      <c r="E363">
        <v>264060</v>
      </c>
      <c r="F363">
        <v>264060</v>
      </c>
      <c r="G363" t="s">
        <v>428</v>
      </c>
    </row>
    <row r="364" spans="1:7" x14ac:dyDescent="0.35">
      <c r="A364">
        <v>70</v>
      </c>
      <c r="B364" t="s">
        <v>433</v>
      </c>
      <c r="C364">
        <v>0</v>
      </c>
      <c r="D364">
        <v>0</v>
      </c>
      <c r="E364">
        <v>0</v>
      </c>
      <c r="F364">
        <v>0</v>
      </c>
      <c r="G364" t="s">
        <v>428</v>
      </c>
    </row>
    <row r="365" spans="1:7" x14ac:dyDescent="0.35">
      <c r="A365">
        <v>80</v>
      </c>
      <c r="B365" t="s">
        <v>434</v>
      </c>
      <c r="C365">
        <v>168234.55</v>
      </c>
      <c r="D365">
        <v>0</v>
      </c>
      <c r="E365">
        <v>168234.55</v>
      </c>
      <c r="F365">
        <v>168234.55</v>
      </c>
      <c r="G365" t="s">
        <v>428</v>
      </c>
    </row>
    <row r="366" spans="1:7" x14ac:dyDescent="0.35">
      <c r="A366">
        <v>90</v>
      </c>
      <c r="B366" t="s">
        <v>618</v>
      </c>
      <c r="C366">
        <v>46872.08</v>
      </c>
      <c r="D366">
        <v>0</v>
      </c>
      <c r="E366">
        <v>46872.08</v>
      </c>
      <c r="F366">
        <v>46872.08</v>
      </c>
      <c r="G366" t="s">
        <v>428</v>
      </c>
    </row>
    <row r="367" spans="1:7" x14ac:dyDescent="0.35">
      <c r="A367">
        <v>100</v>
      </c>
      <c r="B367" t="s">
        <v>619</v>
      </c>
      <c r="C367">
        <v>48953.37</v>
      </c>
      <c r="D367">
        <v>0</v>
      </c>
      <c r="E367">
        <v>48953.37</v>
      </c>
      <c r="F367">
        <v>48953.37</v>
      </c>
      <c r="G367" t="s">
        <v>428</v>
      </c>
    </row>
    <row r="368" spans="1:7" x14ac:dyDescent="0.35">
      <c r="A368">
        <v>110</v>
      </c>
      <c r="B368" t="s">
        <v>620</v>
      </c>
      <c r="C368">
        <v>-130.09</v>
      </c>
      <c r="D368">
        <v>0</v>
      </c>
      <c r="E368">
        <v>-130.09</v>
      </c>
      <c r="F368">
        <v>-130.09</v>
      </c>
      <c r="G368" t="s">
        <v>428</v>
      </c>
    </row>
    <row r="369" spans="1:7" x14ac:dyDescent="0.35">
      <c r="A369">
        <v>120</v>
      </c>
      <c r="B369" t="s">
        <v>621</v>
      </c>
      <c r="C369">
        <v>0</v>
      </c>
      <c r="D369">
        <v>0</v>
      </c>
      <c r="E369">
        <v>0</v>
      </c>
      <c r="F369">
        <v>0</v>
      </c>
      <c r="G369" t="s">
        <v>428</v>
      </c>
    </row>
    <row r="370" spans="1:7" x14ac:dyDescent="0.35">
      <c r="A370">
        <v>130</v>
      </c>
      <c r="B370" t="s">
        <v>622</v>
      </c>
      <c r="C370">
        <v>1534.25</v>
      </c>
      <c r="D370">
        <v>0</v>
      </c>
      <c r="E370">
        <v>1534.25</v>
      </c>
      <c r="F370">
        <v>1534.25</v>
      </c>
      <c r="G370" t="s">
        <v>428</v>
      </c>
    </row>
    <row r="371" spans="1:7" x14ac:dyDescent="0.35">
      <c r="A371">
        <v>140</v>
      </c>
      <c r="B371" t="s">
        <v>623</v>
      </c>
      <c r="C371">
        <v>0.08</v>
      </c>
      <c r="D371">
        <v>0</v>
      </c>
      <c r="E371">
        <v>0.08</v>
      </c>
      <c r="F371">
        <v>0.08</v>
      </c>
      <c r="G371" t="s">
        <v>428</v>
      </c>
    </row>
    <row r="372" spans="1:7" x14ac:dyDescent="0.35">
      <c r="A372">
        <v>145</v>
      </c>
      <c r="B372" t="s">
        <v>443</v>
      </c>
      <c r="C372">
        <v>1404.08</v>
      </c>
      <c r="D372">
        <v>0</v>
      </c>
      <c r="E372">
        <v>1404.08</v>
      </c>
      <c r="F372">
        <v>1404.08</v>
      </c>
      <c r="G372" t="s">
        <v>428</v>
      </c>
    </row>
    <row r="373" spans="1:7" x14ac:dyDescent="0.35">
      <c r="A373">
        <v>150</v>
      </c>
      <c r="B373" t="s">
        <v>624</v>
      </c>
      <c r="C373">
        <v>47549.29</v>
      </c>
      <c r="D373">
        <v>0</v>
      </c>
      <c r="E373">
        <v>47549.29</v>
      </c>
      <c r="F373">
        <v>47549.29</v>
      </c>
      <c r="G373" t="s">
        <v>428</v>
      </c>
    </row>
    <row r="374" spans="1:7" x14ac:dyDescent="0.35">
      <c r="A374">
        <v>160</v>
      </c>
      <c r="B374" t="s">
        <v>625</v>
      </c>
      <c r="C374">
        <v>30776</v>
      </c>
      <c r="D374">
        <v>0</v>
      </c>
      <c r="E374">
        <v>30776</v>
      </c>
      <c r="F374">
        <v>30776</v>
      </c>
      <c r="G374" t="s">
        <v>428</v>
      </c>
    </row>
    <row r="375" spans="1:7" x14ac:dyDescent="0.35">
      <c r="A375">
        <v>170</v>
      </c>
      <c r="B375" t="s">
        <v>447</v>
      </c>
      <c r="C375">
        <v>16773.29</v>
      </c>
      <c r="D375">
        <v>0</v>
      </c>
      <c r="E375">
        <v>16773.29</v>
      </c>
      <c r="F375">
        <v>16773.29</v>
      </c>
      <c r="G375" t="s">
        <v>428</v>
      </c>
    </row>
    <row r="376" spans="1:7" x14ac:dyDescent="0.35">
      <c r="A376">
        <v>190</v>
      </c>
      <c r="B376" t="s">
        <v>626</v>
      </c>
      <c r="C376">
        <v>0</v>
      </c>
      <c r="D376">
        <v>0</v>
      </c>
      <c r="E376">
        <v>0</v>
      </c>
      <c r="F376">
        <v>0</v>
      </c>
      <c r="G376" t="s">
        <v>428</v>
      </c>
    </row>
    <row r="377" spans="1:7" x14ac:dyDescent="0.35">
      <c r="A377">
        <v>200</v>
      </c>
      <c r="B377" t="s">
        <v>447</v>
      </c>
      <c r="C377">
        <v>16773.29</v>
      </c>
      <c r="D377">
        <v>0</v>
      </c>
      <c r="E377">
        <v>16773.29</v>
      </c>
      <c r="F377">
        <v>16773.29</v>
      </c>
      <c r="G377" t="s">
        <v>428</v>
      </c>
    </row>
    <row r="378" spans="1:7" x14ac:dyDescent="0.35">
      <c r="A378">
        <v>210</v>
      </c>
      <c r="B378" t="s">
        <v>247</v>
      </c>
      <c r="C378">
        <v>16773.29</v>
      </c>
      <c r="D378">
        <v>0</v>
      </c>
      <c r="E378">
        <v>16773.29</v>
      </c>
      <c r="F378">
        <v>16773.29</v>
      </c>
      <c r="G378" t="s">
        <v>428</v>
      </c>
    </row>
    <row r="379" spans="1:7" x14ac:dyDescent="0.35">
      <c r="A379">
        <v>220</v>
      </c>
      <c r="B379" t="s">
        <v>627</v>
      </c>
      <c r="C379">
        <v>0</v>
      </c>
      <c r="D379">
        <v>0</v>
      </c>
      <c r="E379">
        <v>0</v>
      </c>
      <c r="F379">
        <v>0</v>
      </c>
      <c r="G379" t="s">
        <v>428</v>
      </c>
    </row>
    <row r="380" spans="1:7" x14ac:dyDescent="0.35">
      <c r="A380">
        <v>230</v>
      </c>
      <c r="B380" t="s">
        <v>196</v>
      </c>
      <c r="C380">
        <v>-38522.32</v>
      </c>
      <c r="D380">
        <v>-1297332.26</v>
      </c>
      <c r="E380">
        <v>-1335854.58</v>
      </c>
      <c r="F380">
        <v>-38522.32</v>
      </c>
      <c r="G380" t="s">
        <v>428</v>
      </c>
    </row>
    <row r="381" spans="1:7" x14ac:dyDescent="0.35">
      <c r="A381">
        <v>235</v>
      </c>
      <c r="B381" t="s">
        <v>628</v>
      </c>
      <c r="C381">
        <v>0</v>
      </c>
      <c r="D381">
        <v>0</v>
      </c>
      <c r="E381">
        <v>0</v>
      </c>
      <c r="F381">
        <v>0</v>
      </c>
      <c r="G381" t="s">
        <v>428</v>
      </c>
    </row>
    <row r="382" spans="1:7" x14ac:dyDescent="0.35">
      <c r="A382">
        <v>240</v>
      </c>
      <c r="B382" t="s">
        <v>197</v>
      </c>
      <c r="C382">
        <v>0</v>
      </c>
      <c r="D382">
        <v>-1247491</v>
      </c>
      <c r="E382">
        <v>-1247491</v>
      </c>
      <c r="F382">
        <v>0</v>
      </c>
      <c r="G382" t="s">
        <v>428</v>
      </c>
    </row>
    <row r="383" spans="1:7" x14ac:dyDescent="0.35">
      <c r="A383">
        <v>250</v>
      </c>
      <c r="B383" t="s">
        <v>198</v>
      </c>
      <c r="C383">
        <v>0</v>
      </c>
      <c r="D383">
        <v>0</v>
      </c>
      <c r="E383">
        <v>0</v>
      </c>
      <c r="F383">
        <v>0</v>
      </c>
      <c r="G383" t="s">
        <v>428</v>
      </c>
    </row>
    <row r="384" spans="1:7" x14ac:dyDescent="0.35">
      <c r="A384">
        <v>260</v>
      </c>
      <c r="B384" t="s">
        <v>629</v>
      </c>
      <c r="C384">
        <v>-1958.32</v>
      </c>
      <c r="D384">
        <v>-791259.01</v>
      </c>
      <c r="E384">
        <v>-793217.33</v>
      </c>
      <c r="F384">
        <v>-1958.32</v>
      </c>
      <c r="G384" t="s">
        <v>428</v>
      </c>
    </row>
    <row r="385" spans="1:7" x14ac:dyDescent="0.35">
      <c r="A385">
        <v>270</v>
      </c>
      <c r="B385" t="s">
        <v>199</v>
      </c>
      <c r="C385">
        <v>-25906.080000000002</v>
      </c>
      <c r="D385">
        <v>-1858379.94</v>
      </c>
      <c r="E385">
        <v>-1884286.02</v>
      </c>
      <c r="F385">
        <v>-25906.080000000002</v>
      </c>
      <c r="G385" t="s">
        <v>428</v>
      </c>
    </row>
    <row r="386" spans="1:7" x14ac:dyDescent="0.35">
      <c r="A386">
        <v>300</v>
      </c>
      <c r="B386" t="s">
        <v>222</v>
      </c>
      <c r="C386">
        <v>0</v>
      </c>
      <c r="D386">
        <v>0</v>
      </c>
      <c r="E386">
        <v>0</v>
      </c>
      <c r="F386">
        <v>0</v>
      </c>
      <c r="G386" t="s">
        <v>428</v>
      </c>
    </row>
    <row r="387" spans="1:7" x14ac:dyDescent="0.35">
      <c r="A387">
        <v>310</v>
      </c>
      <c r="B387" t="s">
        <v>630</v>
      </c>
      <c r="C387">
        <v>0</v>
      </c>
      <c r="D387">
        <v>13186.42</v>
      </c>
      <c r="E387">
        <v>13186.42</v>
      </c>
      <c r="F387">
        <v>0</v>
      </c>
      <c r="G387" t="s">
        <v>428</v>
      </c>
    </row>
    <row r="388" spans="1:7" x14ac:dyDescent="0.35">
      <c r="A388">
        <v>320</v>
      </c>
      <c r="B388" t="s">
        <v>248</v>
      </c>
      <c r="C388">
        <v>40533.78</v>
      </c>
      <c r="D388">
        <v>4709200.46</v>
      </c>
      <c r="E388">
        <v>4749734.24</v>
      </c>
      <c r="F388">
        <v>40533.78</v>
      </c>
      <c r="G388" t="s">
        <v>428</v>
      </c>
    </row>
    <row r="389" spans="1:7" x14ac:dyDescent="0.35">
      <c r="A389">
        <v>325</v>
      </c>
      <c r="B389" t="s">
        <v>249</v>
      </c>
      <c r="C389">
        <v>0</v>
      </c>
      <c r="D389">
        <v>0</v>
      </c>
      <c r="E389">
        <v>0</v>
      </c>
      <c r="F389">
        <v>0</v>
      </c>
      <c r="G389" t="s">
        <v>428</v>
      </c>
    </row>
    <row r="390" spans="1:7" x14ac:dyDescent="0.35">
      <c r="A390">
        <v>330</v>
      </c>
      <c r="B390" t="s">
        <v>631</v>
      </c>
      <c r="C390">
        <v>411.13</v>
      </c>
      <c r="D390">
        <v>1079423.1399999999</v>
      </c>
      <c r="E390">
        <v>1079834.27</v>
      </c>
      <c r="F390">
        <v>411.13</v>
      </c>
      <c r="G390" t="s">
        <v>428</v>
      </c>
    </row>
    <row r="391" spans="1:7" x14ac:dyDescent="0.35">
      <c r="A391">
        <v>340</v>
      </c>
      <c r="B391" t="s">
        <v>632</v>
      </c>
      <c r="C391">
        <v>15912.59</v>
      </c>
      <c r="D391">
        <v>789689.65</v>
      </c>
      <c r="E391">
        <v>805602.24</v>
      </c>
      <c r="F391">
        <v>15912.59</v>
      </c>
      <c r="G391" t="s">
        <v>428</v>
      </c>
    </row>
    <row r="392" spans="1:7" x14ac:dyDescent="0.35">
      <c r="A392">
        <v>380</v>
      </c>
      <c r="B392" t="s">
        <v>633</v>
      </c>
      <c r="C392">
        <v>-9529.2199999999993</v>
      </c>
      <c r="D392">
        <v>1397037.46</v>
      </c>
      <c r="E392">
        <v>1387508.24</v>
      </c>
      <c r="F392">
        <v>-9529.2199999999993</v>
      </c>
      <c r="G392" t="s">
        <v>428</v>
      </c>
    </row>
    <row r="393" spans="1:7" x14ac:dyDescent="0.35">
      <c r="A393">
        <v>390</v>
      </c>
      <c r="B393" t="s">
        <v>250</v>
      </c>
      <c r="C393">
        <v>0</v>
      </c>
      <c r="D393">
        <v>0</v>
      </c>
      <c r="E393">
        <v>0</v>
      </c>
      <c r="F393">
        <v>0</v>
      </c>
      <c r="G393" t="s">
        <v>428</v>
      </c>
    </row>
    <row r="394" spans="1:7" x14ac:dyDescent="0.35">
      <c r="A394">
        <v>400</v>
      </c>
      <c r="B394" t="s">
        <v>251</v>
      </c>
      <c r="C394">
        <v>0</v>
      </c>
      <c r="D394">
        <v>0</v>
      </c>
      <c r="E394">
        <v>0</v>
      </c>
      <c r="F394">
        <v>0</v>
      </c>
      <c r="G394" t="s">
        <v>428</v>
      </c>
    </row>
    <row r="395" spans="1:7" x14ac:dyDescent="0.35">
      <c r="A395">
        <v>405</v>
      </c>
      <c r="B395" t="s">
        <v>252</v>
      </c>
      <c r="C395">
        <v>0</v>
      </c>
      <c r="D395">
        <v>0</v>
      </c>
      <c r="E395">
        <v>0</v>
      </c>
      <c r="F395">
        <v>0</v>
      </c>
      <c r="G395" t="s">
        <v>428</v>
      </c>
    </row>
    <row r="396" spans="1:7" x14ac:dyDescent="0.35">
      <c r="A396">
        <v>410</v>
      </c>
      <c r="B396" t="s">
        <v>237</v>
      </c>
      <c r="C396">
        <v>0</v>
      </c>
      <c r="D396">
        <v>13466589.050000001</v>
      </c>
      <c r="E396">
        <v>13466589.050000001</v>
      </c>
      <c r="F396">
        <v>0</v>
      </c>
      <c r="G396" t="s">
        <v>428</v>
      </c>
    </row>
    <row r="397" spans="1:7" x14ac:dyDescent="0.35">
      <c r="A397">
        <v>420</v>
      </c>
      <c r="B397" t="s">
        <v>253</v>
      </c>
      <c r="C397">
        <v>0</v>
      </c>
      <c r="D397">
        <v>5649693.6399999997</v>
      </c>
      <c r="E397">
        <v>5649693.6399999997</v>
      </c>
      <c r="F397">
        <v>0</v>
      </c>
      <c r="G397" t="s">
        <v>428</v>
      </c>
    </row>
    <row r="398" spans="1:7" x14ac:dyDescent="0.35">
      <c r="A398">
        <v>425</v>
      </c>
      <c r="B398" t="s">
        <v>634</v>
      </c>
      <c r="C398">
        <v>0</v>
      </c>
      <c r="D398">
        <v>55554</v>
      </c>
      <c r="E398">
        <v>55554</v>
      </c>
      <c r="F398">
        <v>0</v>
      </c>
      <c r="G398" t="s">
        <v>428</v>
      </c>
    </row>
    <row r="399" spans="1:7" x14ac:dyDescent="0.35">
      <c r="A399">
        <v>427</v>
      </c>
      <c r="B399" t="s">
        <v>635</v>
      </c>
      <c r="C399">
        <v>0</v>
      </c>
      <c r="D399">
        <v>0</v>
      </c>
      <c r="E399">
        <v>0</v>
      </c>
      <c r="F399">
        <v>0</v>
      </c>
      <c r="G399" t="s">
        <v>428</v>
      </c>
    </row>
    <row r="400" spans="1:7" x14ac:dyDescent="0.35">
      <c r="A400">
        <v>430</v>
      </c>
      <c r="B400" t="s">
        <v>254</v>
      </c>
      <c r="C400">
        <v>0</v>
      </c>
      <c r="D400">
        <v>52026247.920000002</v>
      </c>
      <c r="E400">
        <v>52026247.920000002</v>
      </c>
      <c r="F400">
        <v>0</v>
      </c>
      <c r="G400" t="s">
        <v>428</v>
      </c>
    </row>
    <row r="401" spans="1:7" x14ac:dyDescent="0.35">
      <c r="A401">
        <v>440</v>
      </c>
      <c r="B401" t="s">
        <v>255</v>
      </c>
      <c r="C401">
        <v>0</v>
      </c>
      <c r="D401">
        <v>71198084.609999999</v>
      </c>
      <c r="E401">
        <v>71198084.609999999</v>
      </c>
      <c r="F401">
        <v>0</v>
      </c>
      <c r="G401" t="s">
        <v>428</v>
      </c>
    </row>
    <row r="402" spans="1:7" x14ac:dyDescent="0.35">
      <c r="A402">
        <v>450</v>
      </c>
      <c r="B402" t="s">
        <v>256</v>
      </c>
      <c r="C402">
        <v>0</v>
      </c>
      <c r="D402">
        <v>0</v>
      </c>
      <c r="E402">
        <v>0</v>
      </c>
      <c r="F402">
        <v>0</v>
      </c>
      <c r="G402" t="s">
        <v>428</v>
      </c>
    </row>
    <row r="403" spans="1:7" x14ac:dyDescent="0.35">
      <c r="A403">
        <v>455</v>
      </c>
      <c r="B403" t="s">
        <v>204</v>
      </c>
      <c r="C403">
        <v>0</v>
      </c>
      <c r="D403">
        <v>-54881446.18</v>
      </c>
      <c r="E403">
        <v>-54881446.18</v>
      </c>
      <c r="F403">
        <v>0</v>
      </c>
      <c r="G403" t="s">
        <v>428</v>
      </c>
    </row>
    <row r="404" spans="1:7" x14ac:dyDescent="0.35">
      <c r="A404">
        <v>456</v>
      </c>
      <c r="B404" t="s">
        <v>636</v>
      </c>
      <c r="C404">
        <v>46872.08</v>
      </c>
      <c r="D404">
        <v>12409829.050000001</v>
      </c>
      <c r="E404">
        <v>12456701.130000001</v>
      </c>
      <c r="F404">
        <v>46872.08</v>
      </c>
      <c r="G404" t="s">
        <v>428</v>
      </c>
    </row>
    <row r="405" spans="1:7" x14ac:dyDescent="0.35">
      <c r="A405">
        <v>460</v>
      </c>
      <c r="B405" t="s">
        <v>208</v>
      </c>
      <c r="C405">
        <v>0</v>
      </c>
      <c r="D405">
        <v>0</v>
      </c>
      <c r="E405">
        <v>0</v>
      </c>
      <c r="F405">
        <v>0</v>
      </c>
      <c r="G405" t="s">
        <v>428</v>
      </c>
    </row>
    <row r="406" spans="1:7" x14ac:dyDescent="0.35">
      <c r="A406">
        <v>470</v>
      </c>
      <c r="B406" t="s">
        <v>637</v>
      </c>
      <c r="C406">
        <v>0</v>
      </c>
      <c r="D406">
        <v>0</v>
      </c>
      <c r="E406">
        <v>0</v>
      </c>
      <c r="F406">
        <v>0</v>
      </c>
      <c r="G406" t="s">
        <v>428</v>
      </c>
    </row>
    <row r="407" spans="1:7" x14ac:dyDescent="0.35">
      <c r="A407">
        <v>480</v>
      </c>
      <c r="B407" t="s">
        <v>207</v>
      </c>
      <c r="C407">
        <v>0</v>
      </c>
      <c r="D407">
        <v>0</v>
      </c>
      <c r="E407">
        <v>0</v>
      </c>
      <c r="F407">
        <v>0</v>
      </c>
      <c r="G407" t="s">
        <v>428</v>
      </c>
    </row>
    <row r="408" spans="1:7" x14ac:dyDescent="0.35">
      <c r="A408">
        <v>490</v>
      </c>
      <c r="B408" t="s">
        <v>638</v>
      </c>
      <c r="C408">
        <v>0</v>
      </c>
      <c r="D408">
        <v>0</v>
      </c>
      <c r="E408">
        <v>0</v>
      </c>
      <c r="F408">
        <v>0</v>
      </c>
      <c r="G408" t="s">
        <v>428</v>
      </c>
    </row>
    <row r="409" spans="1:7" x14ac:dyDescent="0.35">
      <c r="A409">
        <v>500</v>
      </c>
      <c r="B409" t="s">
        <v>206</v>
      </c>
      <c r="C409">
        <v>0</v>
      </c>
      <c r="D409">
        <v>0</v>
      </c>
      <c r="E409">
        <v>0</v>
      </c>
      <c r="F409">
        <v>0</v>
      </c>
      <c r="G409" t="s">
        <v>428</v>
      </c>
    </row>
    <row r="410" spans="1:7" x14ac:dyDescent="0.35">
      <c r="A410">
        <v>510</v>
      </c>
      <c r="B410" t="s">
        <v>639</v>
      </c>
      <c r="C410">
        <v>0</v>
      </c>
      <c r="D410">
        <v>0</v>
      </c>
      <c r="E410">
        <v>0</v>
      </c>
      <c r="F410">
        <v>0</v>
      </c>
      <c r="G410" t="s">
        <v>428</v>
      </c>
    </row>
    <row r="411" spans="1:7" x14ac:dyDescent="0.35">
      <c r="A411">
        <v>512</v>
      </c>
      <c r="B411" t="s">
        <v>257</v>
      </c>
      <c r="C411">
        <v>0</v>
      </c>
      <c r="D411">
        <v>0</v>
      </c>
      <c r="E411">
        <v>0</v>
      </c>
      <c r="F411">
        <v>0</v>
      </c>
      <c r="G411" t="s">
        <v>428</v>
      </c>
    </row>
    <row r="412" spans="1:7" x14ac:dyDescent="0.35">
      <c r="A412">
        <v>514</v>
      </c>
      <c r="B412" t="s">
        <v>640</v>
      </c>
      <c r="C412">
        <v>0</v>
      </c>
      <c r="D412">
        <v>0</v>
      </c>
      <c r="E412">
        <v>0</v>
      </c>
      <c r="F412">
        <v>0</v>
      </c>
      <c r="G412" t="s">
        <v>428</v>
      </c>
    </row>
    <row r="413" spans="1:7" x14ac:dyDescent="0.35">
      <c r="A413">
        <v>520</v>
      </c>
      <c r="B413" t="s">
        <v>641</v>
      </c>
      <c r="C413">
        <v>0</v>
      </c>
      <c r="D413">
        <v>0</v>
      </c>
      <c r="E413">
        <v>0</v>
      </c>
      <c r="F413">
        <v>0</v>
      </c>
      <c r="G413" t="s">
        <v>428</v>
      </c>
    </row>
    <row r="414" spans="1:7" x14ac:dyDescent="0.35">
      <c r="A414">
        <v>530</v>
      </c>
      <c r="B414" t="s">
        <v>642</v>
      </c>
      <c r="C414">
        <v>0</v>
      </c>
      <c r="D414">
        <v>0</v>
      </c>
      <c r="E414">
        <v>0</v>
      </c>
      <c r="F414">
        <v>0</v>
      </c>
      <c r="G414" t="s">
        <v>428</v>
      </c>
    </row>
    <row r="415" spans="1:7" x14ac:dyDescent="0.35">
      <c r="A415">
        <v>540</v>
      </c>
      <c r="B415" t="s">
        <v>643</v>
      </c>
      <c r="C415">
        <v>0</v>
      </c>
      <c r="D415">
        <v>0</v>
      </c>
      <c r="E415">
        <v>0</v>
      </c>
      <c r="F415">
        <v>0</v>
      </c>
      <c r="G415" t="s">
        <v>428</v>
      </c>
    </row>
    <row r="416" spans="1:7" x14ac:dyDescent="0.35">
      <c r="A416">
        <v>550</v>
      </c>
      <c r="B416" t="s">
        <v>644</v>
      </c>
      <c r="C416">
        <v>0</v>
      </c>
      <c r="D416">
        <v>0</v>
      </c>
      <c r="E416">
        <v>0</v>
      </c>
      <c r="F416">
        <v>0</v>
      </c>
      <c r="G416" t="s">
        <v>428</v>
      </c>
    </row>
    <row r="417" spans="1:7" x14ac:dyDescent="0.35">
      <c r="A417">
        <v>560</v>
      </c>
      <c r="B417" t="s">
        <v>645</v>
      </c>
      <c r="C417">
        <v>0</v>
      </c>
      <c r="D417">
        <v>0</v>
      </c>
      <c r="E417">
        <v>0</v>
      </c>
      <c r="F417">
        <v>0</v>
      </c>
      <c r="G417" t="s">
        <v>428</v>
      </c>
    </row>
    <row r="418" spans="1:7" x14ac:dyDescent="0.35">
      <c r="A418">
        <v>570</v>
      </c>
      <c r="B418" t="s">
        <v>646</v>
      </c>
      <c r="C418">
        <v>0</v>
      </c>
      <c r="D418">
        <v>0</v>
      </c>
      <c r="E418">
        <v>0</v>
      </c>
      <c r="F418">
        <v>0</v>
      </c>
      <c r="G418" t="s">
        <v>428</v>
      </c>
    </row>
    <row r="419" spans="1:7" x14ac:dyDescent="0.35">
      <c r="A419">
        <v>580</v>
      </c>
      <c r="B419" t="s">
        <v>258</v>
      </c>
      <c r="C419">
        <v>0</v>
      </c>
      <c r="D419">
        <v>0</v>
      </c>
      <c r="E419">
        <v>0</v>
      </c>
      <c r="F419">
        <v>0</v>
      </c>
      <c r="G419" t="s">
        <v>428</v>
      </c>
    </row>
    <row r="420" spans="1:7" x14ac:dyDescent="0.35">
      <c r="A420">
        <v>590</v>
      </c>
      <c r="B420" t="s">
        <v>647</v>
      </c>
      <c r="C420">
        <v>0</v>
      </c>
      <c r="D420">
        <v>0</v>
      </c>
      <c r="E420">
        <v>0</v>
      </c>
      <c r="F420">
        <v>0</v>
      </c>
      <c r="G420" t="s">
        <v>428</v>
      </c>
    </row>
    <row r="421" spans="1:7" x14ac:dyDescent="0.35">
      <c r="A421">
        <v>600</v>
      </c>
      <c r="B421" t="s">
        <v>259</v>
      </c>
      <c r="C421">
        <v>0</v>
      </c>
      <c r="D421">
        <v>0</v>
      </c>
      <c r="E421">
        <v>0</v>
      </c>
      <c r="F421">
        <v>0</v>
      </c>
      <c r="G421" t="s">
        <v>428</v>
      </c>
    </row>
    <row r="422" spans="1:7" x14ac:dyDescent="0.35">
      <c r="A422">
        <v>610</v>
      </c>
      <c r="B422" t="s">
        <v>648</v>
      </c>
      <c r="C422">
        <v>0</v>
      </c>
      <c r="D422">
        <v>0</v>
      </c>
      <c r="E422">
        <v>0</v>
      </c>
      <c r="F422">
        <v>0</v>
      </c>
      <c r="G422" t="s">
        <v>428</v>
      </c>
    </row>
    <row r="423" spans="1:7" x14ac:dyDescent="0.35">
      <c r="A423">
        <v>620</v>
      </c>
      <c r="B423" t="s">
        <v>260</v>
      </c>
      <c r="C423">
        <v>0</v>
      </c>
      <c r="D423">
        <v>0</v>
      </c>
      <c r="E423">
        <v>0</v>
      </c>
      <c r="F423">
        <v>0</v>
      </c>
      <c r="G423" t="s">
        <v>428</v>
      </c>
    </row>
    <row r="424" spans="1:7" x14ac:dyDescent="0.35">
      <c r="A424">
        <v>630</v>
      </c>
      <c r="B424" t="s">
        <v>261</v>
      </c>
      <c r="C424">
        <v>0</v>
      </c>
      <c r="D424">
        <v>0</v>
      </c>
      <c r="E424">
        <v>0</v>
      </c>
      <c r="F424">
        <v>0</v>
      </c>
      <c r="G424" t="s">
        <v>428</v>
      </c>
    </row>
    <row r="425" spans="1:7" x14ac:dyDescent="0.35">
      <c r="A425">
        <v>640</v>
      </c>
      <c r="B425" t="s">
        <v>262</v>
      </c>
      <c r="C425">
        <v>46872.08</v>
      </c>
      <c r="D425">
        <v>-42471617.130000003</v>
      </c>
      <c r="E425">
        <v>-42424745.049999997</v>
      </c>
      <c r="F425">
        <v>46872.08</v>
      </c>
      <c r="G425" t="s">
        <v>428</v>
      </c>
    </row>
    <row r="426" spans="1:7" x14ac:dyDescent="0.35">
      <c r="A426">
        <v>650</v>
      </c>
      <c r="B426" t="s">
        <v>263</v>
      </c>
      <c r="C426">
        <v>54116.15</v>
      </c>
      <c r="D426">
        <v>30123504.940000001</v>
      </c>
      <c r="E426">
        <v>30177621.09</v>
      </c>
      <c r="F426">
        <v>54116.15</v>
      </c>
      <c r="G426" t="s">
        <v>428</v>
      </c>
    </row>
    <row r="427" spans="1:7" x14ac:dyDescent="0.35">
      <c r="A427" t="s">
        <v>478</v>
      </c>
      <c r="B427" t="s">
        <v>416</v>
      </c>
      <c r="C427" t="s">
        <v>650</v>
      </c>
      <c r="D427" t="s">
        <v>651</v>
      </c>
      <c r="E427" t="s">
        <v>652</v>
      </c>
      <c r="F427" t="s">
        <v>653</v>
      </c>
      <c r="G427" t="s">
        <v>121</v>
      </c>
    </row>
    <row r="428" spans="1:7" x14ac:dyDescent="0.35">
      <c r="A428">
        <v>30</v>
      </c>
      <c r="B428" t="s">
        <v>427</v>
      </c>
      <c r="C428">
        <v>0</v>
      </c>
      <c r="D428">
        <v>0</v>
      </c>
      <c r="E428">
        <v>0</v>
      </c>
      <c r="F428">
        <v>0</v>
      </c>
      <c r="G428" t="s">
        <v>428</v>
      </c>
    </row>
    <row r="429" spans="1:7" x14ac:dyDescent="0.35">
      <c r="A429">
        <v>40</v>
      </c>
      <c r="B429" t="s">
        <v>654</v>
      </c>
      <c r="C429">
        <v>0</v>
      </c>
      <c r="D429">
        <v>0</v>
      </c>
      <c r="E429">
        <v>0</v>
      </c>
      <c r="F429">
        <v>0</v>
      </c>
      <c r="G429" t="s">
        <v>428</v>
      </c>
    </row>
    <row r="430" spans="1:7" x14ac:dyDescent="0.35">
      <c r="A430">
        <v>50</v>
      </c>
      <c r="B430" t="s">
        <v>430</v>
      </c>
      <c r="C430">
        <v>0</v>
      </c>
      <c r="D430">
        <v>0</v>
      </c>
      <c r="E430">
        <v>0</v>
      </c>
      <c r="F430">
        <v>0</v>
      </c>
      <c r="G430" t="s">
        <v>428</v>
      </c>
    </row>
    <row r="431" spans="1:7" x14ac:dyDescent="0.35">
      <c r="A431">
        <v>60</v>
      </c>
      <c r="B431" t="s">
        <v>655</v>
      </c>
      <c r="C431">
        <v>0</v>
      </c>
      <c r="D431">
        <v>0</v>
      </c>
      <c r="E431">
        <v>0</v>
      </c>
      <c r="F431">
        <v>0</v>
      </c>
      <c r="G431" t="s">
        <v>428</v>
      </c>
    </row>
    <row r="432" spans="1:7" x14ac:dyDescent="0.35">
      <c r="A432">
        <v>70</v>
      </c>
      <c r="B432" t="s">
        <v>617</v>
      </c>
      <c r="C432">
        <v>0</v>
      </c>
      <c r="D432">
        <v>0</v>
      </c>
      <c r="E432">
        <v>0</v>
      </c>
      <c r="F432">
        <v>0</v>
      </c>
      <c r="G432" t="s">
        <v>428</v>
      </c>
    </row>
    <row r="433" spans="1:7" x14ac:dyDescent="0.35">
      <c r="A433">
        <v>80</v>
      </c>
      <c r="B433" t="s">
        <v>433</v>
      </c>
      <c r="C433">
        <v>675</v>
      </c>
      <c r="D433">
        <v>0</v>
      </c>
      <c r="E433">
        <v>675</v>
      </c>
      <c r="F433">
        <v>675</v>
      </c>
      <c r="G433" t="s">
        <v>428</v>
      </c>
    </row>
    <row r="434" spans="1:7" x14ac:dyDescent="0.35">
      <c r="A434">
        <v>90</v>
      </c>
      <c r="B434" t="s">
        <v>434</v>
      </c>
      <c r="C434">
        <v>20104.099999999999</v>
      </c>
      <c r="D434">
        <v>0</v>
      </c>
      <c r="E434">
        <v>20104.099999999999</v>
      </c>
      <c r="F434">
        <v>20104.099999999999</v>
      </c>
      <c r="G434" t="s">
        <v>428</v>
      </c>
    </row>
    <row r="435" spans="1:7" x14ac:dyDescent="0.35">
      <c r="A435">
        <v>100</v>
      </c>
      <c r="B435" t="s">
        <v>435</v>
      </c>
      <c r="C435">
        <v>0</v>
      </c>
      <c r="D435">
        <v>0</v>
      </c>
      <c r="E435">
        <v>0</v>
      </c>
      <c r="F435">
        <v>0</v>
      </c>
      <c r="G435" t="s">
        <v>428</v>
      </c>
    </row>
    <row r="436" spans="1:7" x14ac:dyDescent="0.35">
      <c r="A436">
        <v>120</v>
      </c>
      <c r="B436" t="s">
        <v>437</v>
      </c>
      <c r="C436">
        <v>-20779.099999999999</v>
      </c>
      <c r="D436">
        <v>0</v>
      </c>
      <c r="E436">
        <v>-20779.099999999999</v>
      </c>
      <c r="F436">
        <v>-20779.099999999999</v>
      </c>
      <c r="G436" t="s">
        <v>428</v>
      </c>
    </row>
    <row r="437" spans="1:7" x14ac:dyDescent="0.35">
      <c r="A437">
        <v>130</v>
      </c>
      <c r="B437" t="s">
        <v>620</v>
      </c>
      <c r="C437">
        <v>0</v>
      </c>
      <c r="D437">
        <v>0</v>
      </c>
      <c r="E437">
        <v>0</v>
      </c>
      <c r="F437">
        <v>0</v>
      </c>
      <c r="G437" t="s">
        <v>428</v>
      </c>
    </row>
    <row r="438" spans="1:7" x14ac:dyDescent="0.35">
      <c r="A438">
        <v>135</v>
      </c>
      <c r="B438" t="s">
        <v>656</v>
      </c>
      <c r="C438">
        <v>0</v>
      </c>
      <c r="D438">
        <v>0</v>
      </c>
      <c r="E438">
        <v>0</v>
      </c>
      <c r="F438">
        <v>0</v>
      </c>
      <c r="G438" t="s">
        <v>428</v>
      </c>
    </row>
    <row r="439" spans="1:7" x14ac:dyDescent="0.35">
      <c r="A439">
        <v>140</v>
      </c>
      <c r="B439" t="s">
        <v>440</v>
      </c>
      <c r="C439">
        <v>0</v>
      </c>
      <c r="D439">
        <v>0</v>
      </c>
      <c r="E439">
        <v>0</v>
      </c>
      <c r="F439">
        <v>0</v>
      </c>
      <c r="G439" t="s">
        <v>428</v>
      </c>
    </row>
    <row r="440" spans="1:7" x14ac:dyDescent="0.35">
      <c r="A440">
        <v>150</v>
      </c>
      <c r="B440" t="s">
        <v>441</v>
      </c>
      <c r="C440">
        <v>0</v>
      </c>
      <c r="D440">
        <v>0</v>
      </c>
      <c r="E440">
        <v>0</v>
      </c>
      <c r="F440">
        <v>0</v>
      </c>
      <c r="G440" t="s">
        <v>428</v>
      </c>
    </row>
    <row r="441" spans="1:7" x14ac:dyDescent="0.35">
      <c r="A441">
        <v>160</v>
      </c>
      <c r="B441" t="s">
        <v>443</v>
      </c>
      <c r="C441">
        <v>0</v>
      </c>
      <c r="D441">
        <v>0</v>
      </c>
      <c r="E441">
        <v>0</v>
      </c>
      <c r="F441">
        <v>0</v>
      </c>
      <c r="G441" t="s">
        <v>428</v>
      </c>
    </row>
    <row r="442" spans="1:7" x14ac:dyDescent="0.35">
      <c r="A442">
        <v>170</v>
      </c>
      <c r="B442" t="s">
        <v>444</v>
      </c>
      <c r="C442">
        <v>-20779.099999999999</v>
      </c>
      <c r="D442">
        <v>0</v>
      </c>
      <c r="E442">
        <v>-20779.099999999999</v>
      </c>
      <c r="F442">
        <v>-20779.099999999999</v>
      </c>
      <c r="G442" t="s">
        <v>428</v>
      </c>
    </row>
    <row r="443" spans="1:7" x14ac:dyDescent="0.35">
      <c r="A443">
        <v>180</v>
      </c>
      <c r="B443" t="s">
        <v>625</v>
      </c>
      <c r="C443">
        <v>0</v>
      </c>
      <c r="D443">
        <v>0</v>
      </c>
      <c r="E443">
        <v>0</v>
      </c>
      <c r="F443">
        <v>0</v>
      </c>
      <c r="G443" t="s">
        <v>428</v>
      </c>
    </row>
    <row r="444" spans="1:7" x14ac:dyDescent="0.35">
      <c r="A444">
        <v>200</v>
      </c>
      <c r="B444" t="s">
        <v>447</v>
      </c>
      <c r="C444">
        <v>-20779.099999999999</v>
      </c>
      <c r="D444">
        <v>0</v>
      </c>
      <c r="E444">
        <v>-20779.099999999999</v>
      </c>
      <c r="F444">
        <v>-20779.099999999999</v>
      </c>
      <c r="G444" t="s">
        <v>428</v>
      </c>
    </row>
    <row r="445" spans="1:7" x14ac:dyDescent="0.35">
      <c r="A445">
        <v>220</v>
      </c>
      <c r="B445" t="s">
        <v>627</v>
      </c>
      <c r="C445">
        <v>0</v>
      </c>
      <c r="D445">
        <v>0</v>
      </c>
      <c r="E445">
        <v>0</v>
      </c>
      <c r="F445">
        <v>0</v>
      </c>
      <c r="G445" t="s">
        <v>428</v>
      </c>
    </row>
    <row r="446" spans="1:7" x14ac:dyDescent="0.35">
      <c r="A446">
        <v>230</v>
      </c>
      <c r="B446" t="s">
        <v>196</v>
      </c>
      <c r="C446">
        <v>0</v>
      </c>
      <c r="D446">
        <v>0</v>
      </c>
      <c r="E446">
        <v>0</v>
      </c>
      <c r="F446">
        <v>0</v>
      </c>
      <c r="G446" t="s">
        <v>428</v>
      </c>
    </row>
    <row r="447" spans="1:7" x14ac:dyDescent="0.35">
      <c r="A447">
        <v>235</v>
      </c>
      <c r="B447" t="s">
        <v>628</v>
      </c>
      <c r="C447">
        <v>0</v>
      </c>
      <c r="D447">
        <v>0</v>
      </c>
      <c r="E447">
        <v>0</v>
      </c>
      <c r="F447">
        <v>0</v>
      </c>
      <c r="G447" t="s">
        <v>428</v>
      </c>
    </row>
    <row r="448" spans="1:7" x14ac:dyDescent="0.35">
      <c r="A448">
        <v>237</v>
      </c>
      <c r="B448" t="s">
        <v>657</v>
      </c>
      <c r="C448">
        <v>0</v>
      </c>
      <c r="D448">
        <v>0</v>
      </c>
      <c r="E448">
        <v>0</v>
      </c>
      <c r="F448">
        <v>0</v>
      </c>
      <c r="G448" t="s">
        <v>428</v>
      </c>
    </row>
    <row r="449" spans="1:7" x14ac:dyDescent="0.35">
      <c r="A449">
        <v>240</v>
      </c>
      <c r="B449" t="s">
        <v>658</v>
      </c>
      <c r="C449">
        <v>0</v>
      </c>
      <c r="D449">
        <v>0</v>
      </c>
      <c r="E449">
        <v>0</v>
      </c>
      <c r="F449">
        <v>0</v>
      </c>
      <c r="G449" t="s">
        <v>428</v>
      </c>
    </row>
    <row r="450" spans="1:7" x14ac:dyDescent="0.35">
      <c r="A450">
        <v>250</v>
      </c>
      <c r="B450" t="s">
        <v>198</v>
      </c>
      <c r="C450">
        <v>0</v>
      </c>
      <c r="D450">
        <v>0</v>
      </c>
      <c r="E450">
        <v>0</v>
      </c>
      <c r="F450">
        <v>0</v>
      </c>
      <c r="G450" t="s">
        <v>428</v>
      </c>
    </row>
    <row r="451" spans="1:7" x14ac:dyDescent="0.35">
      <c r="A451">
        <v>260</v>
      </c>
      <c r="B451" t="s">
        <v>629</v>
      </c>
      <c r="C451">
        <v>-3324.6</v>
      </c>
      <c r="D451">
        <v>0</v>
      </c>
      <c r="E451">
        <v>-3324.6</v>
      </c>
      <c r="F451">
        <v>-3324.6</v>
      </c>
      <c r="G451" t="s">
        <v>428</v>
      </c>
    </row>
    <row r="452" spans="1:7" x14ac:dyDescent="0.35">
      <c r="A452">
        <v>270</v>
      </c>
      <c r="B452" t="s">
        <v>199</v>
      </c>
      <c r="C452">
        <v>0</v>
      </c>
      <c r="D452">
        <v>-904572.29</v>
      </c>
      <c r="E452">
        <v>-904572.29</v>
      </c>
      <c r="F452">
        <v>0</v>
      </c>
      <c r="G452" t="s">
        <v>428</v>
      </c>
    </row>
    <row r="453" spans="1:7" x14ac:dyDescent="0.35">
      <c r="A453">
        <v>300</v>
      </c>
      <c r="B453" t="s">
        <v>222</v>
      </c>
      <c r="C453">
        <v>0</v>
      </c>
      <c r="D453">
        <v>0</v>
      </c>
      <c r="E453">
        <v>0</v>
      </c>
      <c r="F453">
        <v>0</v>
      </c>
      <c r="G453" t="s">
        <v>428</v>
      </c>
    </row>
    <row r="454" spans="1:7" x14ac:dyDescent="0.35">
      <c r="A454">
        <v>310</v>
      </c>
      <c r="B454" t="s">
        <v>630</v>
      </c>
      <c r="C454">
        <v>0</v>
      </c>
      <c r="D454">
        <v>0</v>
      </c>
      <c r="E454">
        <v>0</v>
      </c>
      <c r="F454">
        <v>0</v>
      </c>
      <c r="G454" t="s">
        <v>428</v>
      </c>
    </row>
    <row r="455" spans="1:7" x14ac:dyDescent="0.35">
      <c r="A455">
        <v>320</v>
      </c>
      <c r="B455" t="s">
        <v>248</v>
      </c>
      <c r="C455">
        <v>0</v>
      </c>
      <c r="D455">
        <v>0</v>
      </c>
      <c r="E455">
        <v>0</v>
      </c>
      <c r="F455">
        <v>0</v>
      </c>
      <c r="G455" t="s">
        <v>428</v>
      </c>
    </row>
    <row r="456" spans="1:7" x14ac:dyDescent="0.35">
      <c r="A456">
        <v>325</v>
      </c>
      <c r="B456" t="s">
        <v>249</v>
      </c>
      <c r="C456">
        <v>0</v>
      </c>
      <c r="D456">
        <v>0</v>
      </c>
      <c r="E456">
        <v>0</v>
      </c>
      <c r="F456">
        <v>0</v>
      </c>
      <c r="G456" t="s">
        <v>428</v>
      </c>
    </row>
    <row r="457" spans="1:7" x14ac:dyDescent="0.35">
      <c r="A457">
        <v>330</v>
      </c>
      <c r="B457" t="s">
        <v>631</v>
      </c>
      <c r="C457">
        <v>0</v>
      </c>
      <c r="D457">
        <v>0</v>
      </c>
      <c r="E457">
        <v>0</v>
      </c>
      <c r="F457">
        <v>0</v>
      </c>
      <c r="G457" t="s">
        <v>428</v>
      </c>
    </row>
    <row r="458" spans="1:7" x14ac:dyDescent="0.35">
      <c r="A458">
        <v>340</v>
      </c>
      <c r="B458" t="s">
        <v>632</v>
      </c>
      <c r="C458">
        <v>35.700000000000003</v>
      </c>
      <c r="D458">
        <v>0</v>
      </c>
      <c r="E458">
        <v>35.700000000000003</v>
      </c>
      <c r="F458">
        <v>35.700000000000003</v>
      </c>
      <c r="G458" t="s">
        <v>428</v>
      </c>
    </row>
    <row r="459" spans="1:7" x14ac:dyDescent="0.35">
      <c r="A459">
        <v>350</v>
      </c>
      <c r="B459" t="s">
        <v>659</v>
      </c>
      <c r="C459">
        <v>0</v>
      </c>
      <c r="D459">
        <v>0</v>
      </c>
      <c r="E459">
        <v>0</v>
      </c>
      <c r="F459">
        <v>0</v>
      </c>
      <c r="G459" t="s">
        <v>428</v>
      </c>
    </row>
    <row r="460" spans="1:7" x14ac:dyDescent="0.35">
      <c r="A460">
        <v>380</v>
      </c>
      <c r="B460" t="s">
        <v>660</v>
      </c>
      <c r="C460">
        <v>-3288.9</v>
      </c>
      <c r="D460">
        <v>-904572.29</v>
      </c>
      <c r="E460">
        <v>-907861.19</v>
      </c>
      <c r="F460">
        <v>-3288.9</v>
      </c>
      <c r="G460" t="s">
        <v>428</v>
      </c>
    </row>
    <row r="461" spans="1:7" x14ac:dyDescent="0.35">
      <c r="A461">
        <v>390</v>
      </c>
      <c r="B461" t="s">
        <v>250</v>
      </c>
      <c r="C461">
        <v>0</v>
      </c>
      <c r="D461">
        <v>0</v>
      </c>
      <c r="E461">
        <v>0</v>
      </c>
      <c r="F461">
        <v>0</v>
      </c>
      <c r="G461" t="s">
        <v>428</v>
      </c>
    </row>
    <row r="462" spans="1:7" x14ac:dyDescent="0.35">
      <c r="A462">
        <v>400</v>
      </c>
      <c r="B462" t="s">
        <v>251</v>
      </c>
      <c r="C462">
        <v>0</v>
      </c>
      <c r="D462">
        <v>0</v>
      </c>
      <c r="E462">
        <v>0</v>
      </c>
      <c r="F462">
        <v>0</v>
      </c>
      <c r="G462" t="s">
        <v>428</v>
      </c>
    </row>
    <row r="463" spans="1:7" x14ac:dyDescent="0.35">
      <c r="A463">
        <v>405</v>
      </c>
      <c r="B463" t="s">
        <v>252</v>
      </c>
      <c r="C463">
        <v>33000</v>
      </c>
      <c r="D463">
        <v>-1719663.35</v>
      </c>
      <c r="E463">
        <v>-1686663.35</v>
      </c>
      <c r="F463">
        <v>33000</v>
      </c>
      <c r="G463" t="s">
        <v>428</v>
      </c>
    </row>
    <row r="464" spans="1:7" x14ac:dyDescent="0.35">
      <c r="A464">
        <v>410</v>
      </c>
      <c r="B464" t="s">
        <v>237</v>
      </c>
      <c r="C464">
        <v>0</v>
      </c>
      <c r="D464">
        <v>10560000</v>
      </c>
      <c r="E464">
        <v>10560000</v>
      </c>
      <c r="F464">
        <v>0</v>
      </c>
      <c r="G464" t="s">
        <v>428</v>
      </c>
    </row>
    <row r="465" spans="1:7" x14ac:dyDescent="0.35">
      <c r="A465">
        <v>420</v>
      </c>
      <c r="B465" t="s">
        <v>661</v>
      </c>
      <c r="C465">
        <v>0</v>
      </c>
      <c r="D465">
        <v>0</v>
      </c>
      <c r="E465">
        <v>0</v>
      </c>
      <c r="F465">
        <v>0</v>
      </c>
      <c r="G465" t="s">
        <v>428</v>
      </c>
    </row>
    <row r="466" spans="1:7" x14ac:dyDescent="0.35">
      <c r="A466">
        <v>425</v>
      </c>
      <c r="B466" t="s">
        <v>634</v>
      </c>
      <c r="C466">
        <v>0</v>
      </c>
      <c r="D466">
        <v>36757.64</v>
      </c>
      <c r="E466">
        <v>36757.64</v>
      </c>
      <c r="F466">
        <v>0</v>
      </c>
      <c r="G466" t="s">
        <v>428</v>
      </c>
    </row>
    <row r="467" spans="1:7" x14ac:dyDescent="0.35">
      <c r="A467">
        <v>427</v>
      </c>
      <c r="B467" t="s">
        <v>662</v>
      </c>
      <c r="C467">
        <v>0</v>
      </c>
      <c r="D467">
        <v>0</v>
      </c>
      <c r="E467">
        <v>0</v>
      </c>
      <c r="F467">
        <v>0</v>
      </c>
      <c r="G467" t="s">
        <v>428</v>
      </c>
    </row>
    <row r="468" spans="1:7" x14ac:dyDescent="0.35">
      <c r="A468">
        <v>430</v>
      </c>
      <c r="B468" t="s">
        <v>254</v>
      </c>
      <c r="C468">
        <v>0</v>
      </c>
      <c r="D468">
        <v>-7965386.75</v>
      </c>
      <c r="E468">
        <v>-7965386.75</v>
      </c>
      <c r="F468">
        <v>0</v>
      </c>
      <c r="G468" t="s">
        <v>428</v>
      </c>
    </row>
    <row r="469" spans="1:7" x14ac:dyDescent="0.35">
      <c r="A469">
        <v>440</v>
      </c>
      <c r="B469" t="s">
        <v>255</v>
      </c>
      <c r="C469">
        <v>33000</v>
      </c>
      <c r="D469">
        <v>911707.54</v>
      </c>
      <c r="E469">
        <v>944707.54</v>
      </c>
      <c r="F469">
        <v>33000</v>
      </c>
      <c r="G469" t="s">
        <v>428</v>
      </c>
    </row>
    <row r="470" spans="1:7" x14ac:dyDescent="0.35">
      <c r="A470">
        <v>450</v>
      </c>
      <c r="B470" t="s">
        <v>256</v>
      </c>
      <c r="C470">
        <v>0</v>
      </c>
      <c r="D470">
        <v>0</v>
      </c>
      <c r="E470">
        <v>0</v>
      </c>
      <c r="F470">
        <v>0</v>
      </c>
      <c r="G470" t="s">
        <v>428</v>
      </c>
    </row>
    <row r="471" spans="1:7" x14ac:dyDescent="0.35">
      <c r="A471">
        <v>455</v>
      </c>
      <c r="B471" t="s">
        <v>663</v>
      </c>
      <c r="C471">
        <v>0</v>
      </c>
      <c r="D471">
        <v>-1</v>
      </c>
      <c r="E471">
        <v>-1</v>
      </c>
      <c r="F471">
        <v>0</v>
      </c>
      <c r="G471" t="s">
        <v>428</v>
      </c>
    </row>
    <row r="472" spans="1:7" x14ac:dyDescent="0.35">
      <c r="A472">
        <v>456</v>
      </c>
      <c r="B472" t="s">
        <v>636</v>
      </c>
      <c r="C472">
        <v>0</v>
      </c>
      <c r="D472">
        <v>0</v>
      </c>
      <c r="E472">
        <v>0</v>
      </c>
      <c r="F472">
        <v>0</v>
      </c>
      <c r="G472" t="s">
        <v>428</v>
      </c>
    </row>
    <row r="473" spans="1:7" x14ac:dyDescent="0.35">
      <c r="A473">
        <v>460</v>
      </c>
      <c r="B473" t="s">
        <v>208</v>
      </c>
      <c r="C473">
        <v>0</v>
      </c>
      <c r="D473">
        <v>-1</v>
      </c>
      <c r="E473">
        <v>-1</v>
      </c>
      <c r="F473">
        <v>0</v>
      </c>
      <c r="G473" t="s">
        <v>428</v>
      </c>
    </row>
    <row r="474" spans="1:7" x14ac:dyDescent="0.35">
      <c r="A474">
        <v>470</v>
      </c>
      <c r="B474" t="s">
        <v>664</v>
      </c>
      <c r="C474">
        <v>0</v>
      </c>
      <c r="D474">
        <v>0</v>
      </c>
      <c r="E474">
        <v>0</v>
      </c>
      <c r="F474">
        <v>0</v>
      </c>
      <c r="G474" t="s">
        <v>428</v>
      </c>
    </row>
    <row r="475" spans="1:7" x14ac:dyDescent="0.35">
      <c r="A475">
        <v>480</v>
      </c>
      <c r="B475" t="s">
        <v>207</v>
      </c>
      <c r="C475">
        <v>0</v>
      </c>
      <c r="D475">
        <v>0</v>
      </c>
      <c r="E475">
        <v>0</v>
      </c>
      <c r="F475">
        <v>0</v>
      </c>
      <c r="G475" t="s">
        <v>428</v>
      </c>
    </row>
    <row r="476" spans="1:7" x14ac:dyDescent="0.35">
      <c r="A476">
        <v>490</v>
      </c>
      <c r="B476" t="s">
        <v>665</v>
      </c>
      <c r="C476">
        <v>0</v>
      </c>
      <c r="D476">
        <v>0</v>
      </c>
      <c r="E476">
        <v>0</v>
      </c>
      <c r="F476">
        <v>0</v>
      </c>
      <c r="G476" t="s">
        <v>428</v>
      </c>
    </row>
    <row r="477" spans="1:7" x14ac:dyDescent="0.35">
      <c r="A477">
        <v>500</v>
      </c>
      <c r="B477" t="s">
        <v>206</v>
      </c>
      <c r="C477">
        <v>0</v>
      </c>
      <c r="D477">
        <v>-1</v>
      </c>
      <c r="E477">
        <v>-1</v>
      </c>
      <c r="F477">
        <v>0</v>
      </c>
      <c r="G477" t="s">
        <v>428</v>
      </c>
    </row>
    <row r="478" spans="1:7" x14ac:dyDescent="0.35">
      <c r="A478">
        <v>510</v>
      </c>
      <c r="B478" t="s">
        <v>639</v>
      </c>
      <c r="C478">
        <v>0</v>
      </c>
      <c r="D478">
        <v>0</v>
      </c>
      <c r="E478">
        <v>0</v>
      </c>
      <c r="F478">
        <v>0</v>
      </c>
      <c r="G478" t="s">
        <v>428</v>
      </c>
    </row>
    <row r="479" spans="1:7" x14ac:dyDescent="0.35">
      <c r="A479">
        <v>512</v>
      </c>
      <c r="B479" t="s">
        <v>666</v>
      </c>
      <c r="C479">
        <v>0</v>
      </c>
      <c r="D479">
        <v>-1</v>
      </c>
      <c r="E479">
        <v>-1</v>
      </c>
      <c r="F479">
        <v>0</v>
      </c>
      <c r="G479" t="s">
        <v>428</v>
      </c>
    </row>
    <row r="480" spans="1:7" x14ac:dyDescent="0.35">
      <c r="A480">
        <v>514</v>
      </c>
      <c r="B480" t="s">
        <v>640</v>
      </c>
      <c r="C480">
        <v>0</v>
      </c>
      <c r="D480">
        <v>0</v>
      </c>
      <c r="E480">
        <v>0</v>
      </c>
      <c r="F480">
        <v>0</v>
      </c>
      <c r="G480" t="s">
        <v>428</v>
      </c>
    </row>
    <row r="481" spans="1:7" x14ac:dyDescent="0.35">
      <c r="A481">
        <v>520</v>
      </c>
      <c r="B481" t="s">
        <v>667</v>
      </c>
      <c r="C481">
        <v>0</v>
      </c>
      <c r="D481">
        <v>0</v>
      </c>
      <c r="E481">
        <v>0</v>
      </c>
      <c r="F481">
        <v>0</v>
      </c>
      <c r="G481" t="s">
        <v>428</v>
      </c>
    </row>
    <row r="482" spans="1:7" x14ac:dyDescent="0.35">
      <c r="A482">
        <v>530</v>
      </c>
      <c r="B482" t="s">
        <v>642</v>
      </c>
      <c r="C482">
        <v>0</v>
      </c>
      <c r="D482">
        <v>0</v>
      </c>
      <c r="E482">
        <v>0</v>
      </c>
      <c r="F482">
        <v>0</v>
      </c>
      <c r="G482" t="s">
        <v>428</v>
      </c>
    </row>
    <row r="483" spans="1:7" x14ac:dyDescent="0.35">
      <c r="A483">
        <v>540</v>
      </c>
      <c r="B483" t="s">
        <v>668</v>
      </c>
      <c r="C483">
        <v>0</v>
      </c>
      <c r="D483">
        <v>-1</v>
      </c>
      <c r="E483">
        <v>-1</v>
      </c>
      <c r="F483">
        <v>0</v>
      </c>
      <c r="G483" t="s">
        <v>428</v>
      </c>
    </row>
    <row r="484" spans="1:7" x14ac:dyDescent="0.35">
      <c r="A484">
        <v>550</v>
      </c>
      <c r="B484" t="s">
        <v>669</v>
      </c>
      <c r="C484">
        <v>0</v>
      </c>
      <c r="D484">
        <v>0</v>
      </c>
      <c r="E484">
        <v>0</v>
      </c>
      <c r="F484">
        <v>0</v>
      </c>
      <c r="G484" t="s">
        <v>428</v>
      </c>
    </row>
    <row r="485" spans="1:7" x14ac:dyDescent="0.35">
      <c r="A485">
        <v>560</v>
      </c>
      <c r="B485" t="s">
        <v>645</v>
      </c>
      <c r="C485">
        <v>0</v>
      </c>
      <c r="D485">
        <v>0</v>
      </c>
      <c r="E485">
        <v>0</v>
      </c>
      <c r="F485">
        <v>0</v>
      </c>
      <c r="G485" t="s">
        <v>428</v>
      </c>
    </row>
    <row r="486" spans="1:7" x14ac:dyDescent="0.35">
      <c r="A486">
        <v>570</v>
      </c>
      <c r="B486" t="s">
        <v>646</v>
      </c>
      <c r="C486">
        <v>0</v>
      </c>
      <c r="D486">
        <v>0</v>
      </c>
      <c r="E486">
        <v>0</v>
      </c>
      <c r="F486">
        <v>0</v>
      </c>
      <c r="G486" t="s">
        <v>428</v>
      </c>
    </row>
    <row r="487" spans="1:7" x14ac:dyDescent="0.35">
      <c r="A487">
        <v>580</v>
      </c>
      <c r="B487" t="s">
        <v>258</v>
      </c>
      <c r="C487">
        <v>0</v>
      </c>
      <c r="D487">
        <v>0</v>
      </c>
      <c r="E487">
        <v>0</v>
      </c>
      <c r="F487">
        <v>0</v>
      </c>
      <c r="G487" t="s">
        <v>428</v>
      </c>
    </row>
    <row r="488" spans="1:7" x14ac:dyDescent="0.35">
      <c r="A488">
        <v>590</v>
      </c>
      <c r="B488" t="s">
        <v>670</v>
      </c>
      <c r="C488">
        <v>0</v>
      </c>
      <c r="D488">
        <v>0</v>
      </c>
      <c r="E488">
        <v>0</v>
      </c>
      <c r="F488">
        <v>0</v>
      </c>
      <c r="G488" t="s">
        <v>428</v>
      </c>
    </row>
    <row r="489" spans="1:7" x14ac:dyDescent="0.35">
      <c r="A489">
        <v>600</v>
      </c>
      <c r="B489" t="s">
        <v>671</v>
      </c>
      <c r="C489">
        <v>0</v>
      </c>
      <c r="D489">
        <v>0</v>
      </c>
      <c r="E489">
        <v>0</v>
      </c>
      <c r="F489">
        <v>0</v>
      </c>
      <c r="G489" t="s">
        <v>428</v>
      </c>
    </row>
    <row r="490" spans="1:7" x14ac:dyDescent="0.35">
      <c r="A490">
        <v>610</v>
      </c>
      <c r="B490" t="s">
        <v>672</v>
      </c>
      <c r="C490">
        <v>0</v>
      </c>
      <c r="D490">
        <v>0</v>
      </c>
      <c r="E490">
        <v>0</v>
      </c>
      <c r="F490">
        <v>0</v>
      </c>
      <c r="G490" t="s">
        <v>428</v>
      </c>
    </row>
    <row r="491" spans="1:7" x14ac:dyDescent="0.35">
      <c r="A491">
        <v>615</v>
      </c>
      <c r="B491" t="s">
        <v>673</v>
      </c>
      <c r="C491">
        <v>0</v>
      </c>
      <c r="D491">
        <v>0</v>
      </c>
      <c r="E491">
        <v>0</v>
      </c>
      <c r="F491">
        <v>0</v>
      </c>
      <c r="G491" t="s">
        <v>428</v>
      </c>
    </row>
    <row r="492" spans="1:7" x14ac:dyDescent="0.35">
      <c r="A492">
        <v>620</v>
      </c>
      <c r="B492" t="s">
        <v>260</v>
      </c>
      <c r="C492">
        <v>0</v>
      </c>
      <c r="D492">
        <v>0</v>
      </c>
      <c r="E492">
        <v>0</v>
      </c>
      <c r="F492">
        <v>0</v>
      </c>
      <c r="G492" t="s">
        <v>428</v>
      </c>
    </row>
    <row r="493" spans="1:7" x14ac:dyDescent="0.35">
      <c r="A493">
        <v>630</v>
      </c>
      <c r="B493" t="s">
        <v>261</v>
      </c>
      <c r="C493">
        <v>0</v>
      </c>
      <c r="D493">
        <v>0</v>
      </c>
      <c r="E493">
        <v>0</v>
      </c>
      <c r="F493">
        <v>0</v>
      </c>
      <c r="G493" t="s">
        <v>428</v>
      </c>
    </row>
    <row r="494" spans="1:7" x14ac:dyDescent="0.35">
      <c r="A494">
        <v>635</v>
      </c>
      <c r="B494" t="s">
        <v>674</v>
      </c>
      <c r="C494">
        <v>0</v>
      </c>
      <c r="D494">
        <v>0</v>
      </c>
      <c r="E494">
        <v>0</v>
      </c>
      <c r="F494">
        <v>0</v>
      </c>
      <c r="G494" t="s">
        <v>428</v>
      </c>
    </row>
    <row r="495" spans="1:7" x14ac:dyDescent="0.35">
      <c r="A495">
        <v>640</v>
      </c>
      <c r="B495" t="s">
        <v>262</v>
      </c>
      <c r="C495">
        <v>0</v>
      </c>
      <c r="D495">
        <v>-5</v>
      </c>
      <c r="E495">
        <v>-5</v>
      </c>
      <c r="F495">
        <v>0</v>
      </c>
      <c r="G495" t="s">
        <v>428</v>
      </c>
    </row>
    <row r="496" spans="1:7" x14ac:dyDescent="0.35">
      <c r="A496">
        <v>650</v>
      </c>
      <c r="B496" t="s">
        <v>263</v>
      </c>
      <c r="C496">
        <v>8932</v>
      </c>
      <c r="D496">
        <v>7130.25</v>
      </c>
      <c r="E496">
        <v>16062.25</v>
      </c>
      <c r="F496">
        <v>8932</v>
      </c>
      <c r="G496" t="s">
        <v>428</v>
      </c>
    </row>
    <row r="497" spans="1:7" x14ac:dyDescent="0.35">
      <c r="A497" t="s">
        <v>486</v>
      </c>
      <c r="B497" t="s">
        <v>416</v>
      </c>
      <c r="C497" t="s">
        <v>650</v>
      </c>
      <c r="D497" t="s">
        <v>651</v>
      </c>
      <c r="E497" t="s">
        <v>652</v>
      </c>
      <c r="F497" t="s">
        <v>653</v>
      </c>
      <c r="G497" t="s">
        <v>121</v>
      </c>
    </row>
    <row r="498" spans="1:7" x14ac:dyDescent="0.35">
      <c r="A498">
        <v>30</v>
      </c>
      <c r="B498" t="s">
        <v>427</v>
      </c>
      <c r="C498">
        <v>0</v>
      </c>
      <c r="D498">
        <v>0</v>
      </c>
      <c r="E498">
        <v>0</v>
      </c>
      <c r="F498">
        <v>0</v>
      </c>
      <c r="G498" t="s">
        <v>428</v>
      </c>
    </row>
    <row r="499" spans="1:7" x14ac:dyDescent="0.35">
      <c r="A499">
        <v>40</v>
      </c>
      <c r="B499" t="s">
        <v>654</v>
      </c>
      <c r="C499">
        <v>0</v>
      </c>
      <c r="D499">
        <v>0</v>
      </c>
      <c r="E499">
        <v>0</v>
      </c>
      <c r="F499">
        <v>0</v>
      </c>
      <c r="G499" t="s">
        <v>428</v>
      </c>
    </row>
    <row r="500" spans="1:7" x14ac:dyDescent="0.35">
      <c r="A500">
        <v>50</v>
      </c>
      <c r="B500" t="s">
        <v>430</v>
      </c>
      <c r="C500">
        <v>0</v>
      </c>
      <c r="D500">
        <v>0</v>
      </c>
      <c r="E500">
        <v>0</v>
      </c>
      <c r="F500">
        <v>0</v>
      </c>
      <c r="G500" t="s">
        <v>428</v>
      </c>
    </row>
    <row r="501" spans="1:7" x14ac:dyDescent="0.35">
      <c r="A501">
        <v>60</v>
      </c>
      <c r="B501" t="s">
        <v>655</v>
      </c>
      <c r="C501">
        <v>0</v>
      </c>
      <c r="D501">
        <v>0</v>
      </c>
      <c r="E501">
        <v>0</v>
      </c>
      <c r="F501">
        <v>0</v>
      </c>
      <c r="G501" t="s">
        <v>428</v>
      </c>
    </row>
    <row r="502" spans="1:7" x14ac:dyDescent="0.35">
      <c r="A502">
        <v>70</v>
      </c>
      <c r="B502" t="s">
        <v>617</v>
      </c>
      <c r="C502">
        <v>0</v>
      </c>
      <c r="D502">
        <v>0</v>
      </c>
      <c r="E502">
        <v>0</v>
      </c>
      <c r="F502">
        <v>0</v>
      </c>
      <c r="G502" t="s">
        <v>428</v>
      </c>
    </row>
    <row r="503" spans="1:7" x14ac:dyDescent="0.35">
      <c r="A503">
        <v>80</v>
      </c>
      <c r="B503" t="s">
        <v>433</v>
      </c>
      <c r="C503">
        <v>0</v>
      </c>
      <c r="D503">
        <v>0</v>
      </c>
      <c r="E503">
        <v>0</v>
      </c>
      <c r="F503">
        <v>0</v>
      </c>
      <c r="G503" t="s">
        <v>428</v>
      </c>
    </row>
    <row r="504" spans="1:7" x14ac:dyDescent="0.35">
      <c r="A504">
        <v>90</v>
      </c>
      <c r="B504" t="s">
        <v>434</v>
      </c>
      <c r="C504">
        <v>53631.16</v>
      </c>
      <c r="D504">
        <v>0</v>
      </c>
      <c r="E504">
        <v>53631.16</v>
      </c>
      <c r="F504">
        <v>53631.16</v>
      </c>
      <c r="G504" t="s">
        <v>428</v>
      </c>
    </row>
    <row r="505" spans="1:7" x14ac:dyDescent="0.35">
      <c r="A505">
        <v>100</v>
      </c>
      <c r="B505" t="s">
        <v>435</v>
      </c>
      <c r="C505">
        <v>0</v>
      </c>
      <c r="D505">
        <v>0</v>
      </c>
      <c r="E505">
        <v>0</v>
      </c>
      <c r="F505">
        <v>0</v>
      </c>
      <c r="G505" t="s">
        <v>428</v>
      </c>
    </row>
    <row r="506" spans="1:7" x14ac:dyDescent="0.35">
      <c r="A506">
        <v>120</v>
      </c>
      <c r="B506" t="s">
        <v>437</v>
      </c>
      <c r="C506">
        <v>-53631.16</v>
      </c>
      <c r="D506">
        <v>0</v>
      </c>
      <c r="E506">
        <v>-53631.16</v>
      </c>
      <c r="F506">
        <v>-53631.16</v>
      </c>
      <c r="G506" t="s">
        <v>428</v>
      </c>
    </row>
    <row r="507" spans="1:7" x14ac:dyDescent="0.35">
      <c r="A507">
        <v>130</v>
      </c>
      <c r="B507" t="s">
        <v>620</v>
      </c>
      <c r="C507">
        <v>0</v>
      </c>
      <c r="D507">
        <v>0</v>
      </c>
      <c r="E507">
        <v>0</v>
      </c>
      <c r="F507">
        <v>0</v>
      </c>
      <c r="G507" t="s">
        <v>428</v>
      </c>
    </row>
    <row r="508" spans="1:7" x14ac:dyDescent="0.35">
      <c r="A508">
        <v>135</v>
      </c>
      <c r="B508" t="s">
        <v>656</v>
      </c>
      <c r="C508">
        <v>0</v>
      </c>
      <c r="D508">
        <v>0</v>
      </c>
      <c r="E508">
        <v>0</v>
      </c>
      <c r="F508">
        <v>0</v>
      </c>
      <c r="G508" t="s">
        <v>428</v>
      </c>
    </row>
    <row r="509" spans="1:7" x14ac:dyDescent="0.35">
      <c r="A509">
        <v>140</v>
      </c>
      <c r="B509" t="s">
        <v>440</v>
      </c>
      <c r="C509">
        <v>0</v>
      </c>
      <c r="D509">
        <v>0</v>
      </c>
      <c r="E509">
        <v>0</v>
      </c>
      <c r="F509">
        <v>0</v>
      </c>
      <c r="G509" t="s">
        <v>428</v>
      </c>
    </row>
    <row r="510" spans="1:7" x14ac:dyDescent="0.35">
      <c r="A510">
        <v>150</v>
      </c>
      <c r="B510" t="s">
        <v>441</v>
      </c>
      <c r="C510">
        <v>0</v>
      </c>
      <c r="D510">
        <v>0</v>
      </c>
      <c r="E510">
        <v>0</v>
      </c>
      <c r="F510">
        <v>0</v>
      </c>
      <c r="G510" t="s">
        <v>428</v>
      </c>
    </row>
    <row r="511" spans="1:7" x14ac:dyDescent="0.35">
      <c r="A511">
        <v>160</v>
      </c>
      <c r="B511" t="s">
        <v>443</v>
      </c>
      <c r="C511">
        <v>0</v>
      </c>
      <c r="D511">
        <v>0</v>
      </c>
      <c r="E511">
        <v>0</v>
      </c>
      <c r="F511">
        <v>0</v>
      </c>
      <c r="G511" t="s">
        <v>428</v>
      </c>
    </row>
    <row r="512" spans="1:7" x14ac:dyDescent="0.35">
      <c r="A512">
        <v>170</v>
      </c>
      <c r="B512" t="s">
        <v>444</v>
      </c>
      <c r="C512">
        <v>-53631.16</v>
      </c>
      <c r="D512">
        <v>0</v>
      </c>
      <c r="E512">
        <v>-53631.16</v>
      </c>
      <c r="F512">
        <v>-53631.16</v>
      </c>
      <c r="G512" t="s">
        <v>428</v>
      </c>
    </row>
    <row r="513" spans="1:7" x14ac:dyDescent="0.35">
      <c r="A513">
        <v>180</v>
      </c>
      <c r="B513" t="s">
        <v>625</v>
      </c>
      <c r="C513">
        <v>0</v>
      </c>
      <c r="D513">
        <v>0</v>
      </c>
      <c r="E513">
        <v>0</v>
      </c>
      <c r="F513">
        <v>0</v>
      </c>
      <c r="G513" t="s">
        <v>428</v>
      </c>
    </row>
    <row r="514" spans="1:7" x14ac:dyDescent="0.35">
      <c r="A514">
        <v>200</v>
      </c>
      <c r="B514" t="s">
        <v>447</v>
      </c>
      <c r="C514">
        <v>-53631.16</v>
      </c>
      <c r="D514">
        <v>0</v>
      </c>
      <c r="E514">
        <v>-53631.16</v>
      </c>
      <c r="F514">
        <v>-53631.16</v>
      </c>
      <c r="G514" t="s">
        <v>428</v>
      </c>
    </row>
    <row r="515" spans="1:7" x14ac:dyDescent="0.35">
      <c r="A515">
        <v>220</v>
      </c>
      <c r="B515" t="s">
        <v>627</v>
      </c>
      <c r="C515">
        <v>0</v>
      </c>
      <c r="D515">
        <v>0</v>
      </c>
      <c r="E515">
        <v>0</v>
      </c>
      <c r="F515">
        <v>0</v>
      </c>
      <c r="G515" t="s">
        <v>428</v>
      </c>
    </row>
    <row r="516" spans="1:7" x14ac:dyDescent="0.35">
      <c r="A516">
        <v>230</v>
      </c>
      <c r="B516" t="s">
        <v>196</v>
      </c>
      <c r="C516">
        <v>-15000.01</v>
      </c>
      <c r="D516">
        <v>-2203671.02</v>
      </c>
      <c r="E516">
        <v>-2218671.0299999998</v>
      </c>
      <c r="F516">
        <v>-15000.01</v>
      </c>
      <c r="G516" t="s">
        <v>428</v>
      </c>
    </row>
    <row r="517" spans="1:7" x14ac:dyDescent="0.35">
      <c r="A517">
        <v>235</v>
      </c>
      <c r="B517" t="s">
        <v>628</v>
      </c>
      <c r="C517">
        <v>0</v>
      </c>
      <c r="D517">
        <v>0</v>
      </c>
      <c r="E517">
        <v>0</v>
      </c>
      <c r="F517">
        <v>0</v>
      </c>
      <c r="G517" t="s">
        <v>428</v>
      </c>
    </row>
    <row r="518" spans="1:7" x14ac:dyDescent="0.35">
      <c r="A518">
        <v>237</v>
      </c>
      <c r="B518" t="s">
        <v>657</v>
      </c>
      <c r="C518">
        <v>0</v>
      </c>
      <c r="D518">
        <v>0</v>
      </c>
      <c r="E518">
        <v>0</v>
      </c>
      <c r="F518">
        <v>0</v>
      </c>
      <c r="G518" t="s">
        <v>428</v>
      </c>
    </row>
    <row r="519" spans="1:7" x14ac:dyDescent="0.35">
      <c r="A519">
        <v>240</v>
      </c>
      <c r="B519" t="s">
        <v>658</v>
      </c>
      <c r="C519">
        <v>0</v>
      </c>
      <c r="D519">
        <v>0</v>
      </c>
      <c r="E519">
        <v>0</v>
      </c>
      <c r="F519">
        <v>0</v>
      </c>
      <c r="G519" t="s">
        <v>428</v>
      </c>
    </row>
    <row r="520" spans="1:7" x14ac:dyDescent="0.35">
      <c r="A520">
        <v>250</v>
      </c>
      <c r="B520" t="s">
        <v>198</v>
      </c>
      <c r="C520">
        <v>0</v>
      </c>
      <c r="D520">
        <v>-1155393.71</v>
      </c>
      <c r="E520">
        <v>-1155393.71</v>
      </c>
      <c r="F520">
        <v>0</v>
      </c>
      <c r="G520" t="s">
        <v>428</v>
      </c>
    </row>
    <row r="521" spans="1:7" x14ac:dyDescent="0.35">
      <c r="A521">
        <v>260</v>
      </c>
      <c r="B521" t="s">
        <v>629</v>
      </c>
      <c r="C521">
        <v>25802.52</v>
      </c>
      <c r="D521">
        <v>0</v>
      </c>
      <c r="E521">
        <v>25802.52</v>
      </c>
      <c r="F521">
        <v>25802.52</v>
      </c>
      <c r="G521" t="s">
        <v>428</v>
      </c>
    </row>
    <row r="522" spans="1:7" x14ac:dyDescent="0.35">
      <c r="A522">
        <v>270</v>
      </c>
      <c r="B522" t="s">
        <v>199</v>
      </c>
      <c r="C522">
        <v>0</v>
      </c>
      <c r="D522">
        <v>-2196408.34</v>
      </c>
      <c r="E522">
        <v>-2196408.34</v>
      </c>
      <c r="F522">
        <v>0</v>
      </c>
      <c r="G522" t="s">
        <v>428</v>
      </c>
    </row>
    <row r="523" spans="1:7" x14ac:dyDescent="0.35">
      <c r="A523">
        <v>300</v>
      </c>
      <c r="B523" t="s">
        <v>222</v>
      </c>
      <c r="C523">
        <v>36880.49</v>
      </c>
      <c r="D523">
        <v>13164121.66</v>
      </c>
      <c r="E523">
        <v>13201002.15</v>
      </c>
      <c r="F523">
        <v>36880.49</v>
      </c>
      <c r="G523" t="s">
        <v>428</v>
      </c>
    </row>
    <row r="524" spans="1:7" x14ac:dyDescent="0.35">
      <c r="A524">
        <v>310</v>
      </c>
      <c r="B524" t="s">
        <v>630</v>
      </c>
      <c r="C524">
        <v>0</v>
      </c>
      <c r="D524">
        <v>0</v>
      </c>
      <c r="E524">
        <v>0</v>
      </c>
      <c r="F524">
        <v>0</v>
      </c>
      <c r="G524" t="s">
        <v>428</v>
      </c>
    </row>
    <row r="525" spans="1:7" x14ac:dyDescent="0.35">
      <c r="A525">
        <v>320</v>
      </c>
      <c r="B525" t="s">
        <v>248</v>
      </c>
      <c r="C525">
        <v>0</v>
      </c>
      <c r="D525">
        <v>0</v>
      </c>
      <c r="E525">
        <v>0</v>
      </c>
      <c r="F525">
        <v>0</v>
      </c>
      <c r="G525" t="s">
        <v>428</v>
      </c>
    </row>
    <row r="526" spans="1:7" x14ac:dyDescent="0.35">
      <c r="A526">
        <v>325</v>
      </c>
      <c r="B526" t="s">
        <v>249</v>
      </c>
      <c r="C526">
        <v>34.72</v>
      </c>
      <c r="D526">
        <v>0</v>
      </c>
      <c r="E526">
        <v>34.72</v>
      </c>
      <c r="F526">
        <v>34.72</v>
      </c>
      <c r="G526" t="s">
        <v>428</v>
      </c>
    </row>
    <row r="527" spans="1:7" x14ac:dyDescent="0.35">
      <c r="A527">
        <v>330</v>
      </c>
      <c r="B527" t="s">
        <v>631</v>
      </c>
      <c r="C527">
        <v>-18236.599999999999</v>
      </c>
      <c r="D527">
        <v>-0.14000000000000001</v>
      </c>
      <c r="E527">
        <v>-18236.740000000002</v>
      </c>
      <c r="F527">
        <v>-18236.599999999999</v>
      </c>
      <c r="G527" t="s">
        <v>428</v>
      </c>
    </row>
    <row r="528" spans="1:7" x14ac:dyDescent="0.35">
      <c r="A528">
        <v>340</v>
      </c>
      <c r="B528" t="s">
        <v>632</v>
      </c>
      <c r="C528">
        <v>0</v>
      </c>
      <c r="D528">
        <v>0</v>
      </c>
      <c r="E528">
        <v>0</v>
      </c>
      <c r="F528">
        <v>0</v>
      </c>
      <c r="G528" t="s">
        <v>428</v>
      </c>
    </row>
    <row r="529" spans="1:7" x14ac:dyDescent="0.35">
      <c r="A529">
        <v>350</v>
      </c>
      <c r="B529" t="s">
        <v>659</v>
      </c>
      <c r="C529">
        <v>0</v>
      </c>
      <c r="D529">
        <v>0</v>
      </c>
      <c r="E529">
        <v>0</v>
      </c>
      <c r="F529">
        <v>0</v>
      </c>
      <c r="G529" t="s">
        <v>428</v>
      </c>
    </row>
    <row r="530" spans="1:7" x14ac:dyDescent="0.35">
      <c r="A530">
        <v>380</v>
      </c>
      <c r="B530" t="s">
        <v>660</v>
      </c>
      <c r="C530">
        <v>29481.119999999999</v>
      </c>
      <c r="D530">
        <v>7608648.4500000002</v>
      </c>
      <c r="E530">
        <v>7638129.5700000003</v>
      </c>
      <c r="F530">
        <v>29481.119999999999</v>
      </c>
      <c r="G530" t="s">
        <v>428</v>
      </c>
    </row>
    <row r="531" spans="1:7" x14ac:dyDescent="0.35">
      <c r="A531">
        <v>390</v>
      </c>
      <c r="B531" t="s">
        <v>250</v>
      </c>
      <c r="C531">
        <v>0</v>
      </c>
      <c r="D531">
        <v>0</v>
      </c>
      <c r="E531">
        <v>0</v>
      </c>
      <c r="F531">
        <v>0</v>
      </c>
      <c r="G531" t="s">
        <v>428</v>
      </c>
    </row>
    <row r="532" spans="1:7" x14ac:dyDescent="0.35">
      <c r="A532">
        <v>400</v>
      </c>
      <c r="B532" t="s">
        <v>251</v>
      </c>
      <c r="C532">
        <v>0</v>
      </c>
      <c r="D532">
        <v>0</v>
      </c>
      <c r="E532">
        <v>0</v>
      </c>
      <c r="F532">
        <v>0</v>
      </c>
      <c r="G532" t="s">
        <v>428</v>
      </c>
    </row>
    <row r="533" spans="1:7" x14ac:dyDescent="0.35">
      <c r="A533">
        <v>405</v>
      </c>
      <c r="B533" t="s">
        <v>252</v>
      </c>
      <c r="C533">
        <v>0</v>
      </c>
      <c r="D533">
        <v>0</v>
      </c>
      <c r="E533">
        <v>0</v>
      </c>
      <c r="F533">
        <v>0</v>
      </c>
      <c r="G533" t="s">
        <v>428</v>
      </c>
    </row>
    <row r="534" spans="1:7" x14ac:dyDescent="0.35">
      <c r="A534">
        <v>410</v>
      </c>
      <c r="B534" t="s">
        <v>237</v>
      </c>
      <c r="C534">
        <v>0</v>
      </c>
      <c r="D534">
        <v>29232882</v>
      </c>
      <c r="E534">
        <v>29232882</v>
      </c>
      <c r="F534">
        <v>0</v>
      </c>
      <c r="G534" t="s">
        <v>428</v>
      </c>
    </row>
    <row r="535" spans="1:7" x14ac:dyDescent="0.35">
      <c r="A535">
        <v>420</v>
      </c>
      <c r="B535" t="s">
        <v>661</v>
      </c>
      <c r="C535">
        <v>0</v>
      </c>
      <c r="D535">
        <v>0</v>
      </c>
      <c r="E535">
        <v>0</v>
      </c>
      <c r="F535">
        <v>0</v>
      </c>
      <c r="G535" t="s">
        <v>428</v>
      </c>
    </row>
    <row r="536" spans="1:7" x14ac:dyDescent="0.35">
      <c r="A536">
        <v>425</v>
      </c>
      <c r="B536" t="s">
        <v>634</v>
      </c>
      <c r="C536">
        <v>0</v>
      </c>
      <c r="D536">
        <v>57195.99</v>
      </c>
      <c r="E536">
        <v>57195.99</v>
      </c>
      <c r="F536">
        <v>0</v>
      </c>
      <c r="G536" t="s">
        <v>428</v>
      </c>
    </row>
    <row r="537" spans="1:7" x14ac:dyDescent="0.35">
      <c r="A537">
        <v>427</v>
      </c>
      <c r="B537" t="s">
        <v>662</v>
      </c>
      <c r="C537">
        <v>0</v>
      </c>
      <c r="D537">
        <v>0</v>
      </c>
      <c r="E537">
        <v>0</v>
      </c>
      <c r="F537">
        <v>0</v>
      </c>
      <c r="G537" t="s">
        <v>428</v>
      </c>
    </row>
    <row r="538" spans="1:7" x14ac:dyDescent="0.35">
      <c r="A538">
        <v>430</v>
      </c>
      <c r="B538" t="s">
        <v>254</v>
      </c>
      <c r="C538">
        <v>0</v>
      </c>
      <c r="D538">
        <v>-127724.93</v>
      </c>
      <c r="E538">
        <v>-127724.93</v>
      </c>
      <c r="F538">
        <v>0</v>
      </c>
      <c r="G538" t="s">
        <v>428</v>
      </c>
    </row>
    <row r="539" spans="1:7" x14ac:dyDescent="0.35">
      <c r="A539">
        <v>440</v>
      </c>
      <c r="B539" t="s">
        <v>255</v>
      </c>
      <c r="C539">
        <v>0</v>
      </c>
      <c r="D539">
        <v>29162353.059999999</v>
      </c>
      <c r="E539">
        <v>29162353.059999999</v>
      </c>
      <c r="F539">
        <v>0</v>
      </c>
      <c r="G539" t="s">
        <v>428</v>
      </c>
    </row>
    <row r="540" spans="1:7" x14ac:dyDescent="0.35">
      <c r="A540">
        <v>450</v>
      </c>
      <c r="B540" t="s">
        <v>256</v>
      </c>
      <c r="C540">
        <v>0</v>
      </c>
      <c r="D540">
        <v>0</v>
      </c>
      <c r="E540">
        <v>0</v>
      </c>
      <c r="F540">
        <v>0</v>
      </c>
      <c r="G540" t="s">
        <v>428</v>
      </c>
    </row>
    <row r="541" spans="1:7" x14ac:dyDescent="0.35">
      <c r="A541">
        <v>455</v>
      </c>
      <c r="B541" t="s">
        <v>663</v>
      </c>
      <c r="C541">
        <v>0</v>
      </c>
      <c r="D541">
        <v>-1</v>
      </c>
      <c r="E541">
        <v>-1</v>
      </c>
      <c r="F541">
        <v>0</v>
      </c>
      <c r="G541" t="s">
        <v>428</v>
      </c>
    </row>
    <row r="542" spans="1:7" x14ac:dyDescent="0.35">
      <c r="A542">
        <v>456</v>
      </c>
      <c r="B542" t="s">
        <v>636</v>
      </c>
      <c r="C542">
        <v>0</v>
      </c>
      <c r="D542">
        <v>14787044.74</v>
      </c>
      <c r="E542">
        <v>14787044.74</v>
      </c>
      <c r="F542">
        <v>0</v>
      </c>
      <c r="G542" t="s">
        <v>428</v>
      </c>
    </row>
    <row r="543" spans="1:7" x14ac:dyDescent="0.35">
      <c r="A543">
        <v>460</v>
      </c>
      <c r="B543" t="s">
        <v>208</v>
      </c>
      <c r="C543">
        <v>0</v>
      </c>
      <c r="D543">
        <v>-1</v>
      </c>
      <c r="E543">
        <v>-1</v>
      </c>
      <c r="F543">
        <v>0</v>
      </c>
      <c r="G543" t="s">
        <v>428</v>
      </c>
    </row>
    <row r="544" spans="1:7" x14ac:dyDescent="0.35">
      <c r="A544">
        <v>470</v>
      </c>
      <c r="B544" t="s">
        <v>664</v>
      </c>
      <c r="C544">
        <v>0</v>
      </c>
      <c r="D544">
        <v>2514039.7400000002</v>
      </c>
      <c r="E544">
        <v>2514039.7400000002</v>
      </c>
      <c r="F544">
        <v>0</v>
      </c>
      <c r="G544" t="s">
        <v>428</v>
      </c>
    </row>
    <row r="545" spans="1:7" x14ac:dyDescent="0.35">
      <c r="A545">
        <v>480</v>
      </c>
      <c r="B545" t="s">
        <v>207</v>
      </c>
      <c r="C545">
        <v>0</v>
      </c>
      <c r="D545">
        <v>-1</v>
      </c>
      <c r="E545">
        <v>-1</v>
      </c>
      <c r="F545">
        <v>0</v>
      </c>
      <c r="G545" t="s">
        <v>428</v>
      </c>
    </row>
    <row r="546" spans="1:7" x14ac:dyDescent="0.35">
      <c r="A546">
        <v>490</v>
      </c>
      <c r="B546" t="s">
        <v>665</v>
      </c>
      <c r="C546">
        <v>0</v>
      </c>
      <c r="D546">
        <v>8596028.1600000001</v>
      </c>
      <c r="E546">
        <v>8596028.1600000001</v>
      </c>
      <c r="F546">
        <v>0</v>
      </c>
      <c r="G546" t="s">
        <v>428</v>
      </c>
    </row>
    <row r="547" spans="1:7" x14ac:dyDescent="0.35">
      <c r="A547">
        <v>500</v>
      </c>
      <c r="B547" t="s">
        <v>206</v>
      </c>
      <c r="C547">
        <v>0</v>
      </c>
      <c r="D547">
        <v>-1</v>
      </c>
      <c r="E547">
        <v>-1</v>
      </c>
      <c r="F547">
        <v>0</v>
      </c>
      <c r="G547" t="s">
        <v>428</v>
      </c>
    </row>
    <row r="548" spans="1:7" x14ac:dyDescent="0.35">
      <c r="A548">
        <v>510</v>
      </c>
      <c r="B548" t="s">
        <v>639</v>
      </c>
      <c r="C548">
        <v>0</v>
      </c>
      <c r="D548">
        <v>1734026.56</v>
      </c>
      <c r="E548">
        <v>1734026.56</v>
      </c>
      <c r="F548">
        <v>0</v>
      </c>
      <c r="G548" t="s">
        <v>428</v>
      </c>
    </row>
    <row r="549" spans="1:7" x14ac:dyDescent="0.35">
      <c r="A549">
        <v>512</v>
      </c>
      <c r="B549" t="s">
        <v>666</v>
      </c>
      <c r="C549">
        <v>0</v>
      </c>
      <c r="D549">
        <v>-1</v>
      </c>
      <c r="E549">
        <v>-1</v>
      </c>
      <c r="F549">
        <v>0</v>
      </c>
      <c r="G549" t="s">
        <v>428</v>
      </c>
    </row>
    <row r="550" spans="1:7" x14ac:dyDescent="0.35">
      <c r="A550">
        <v>514</v>
      </c>
      <c r="B550" t="s">
        <v>675</v>
      </c>
      <c r="C550">
        <v>0</v>
      </c>
      <c r="D550">
        <v>2633682.66</v>
      </c>
      <c r="E550">
        <v>2633682.66</v>
      </c>
      <c r="F550">
        <v>0</v>
      </c>
      <c r="G550" t="s">
        <v>428</v>
      </c>
    </row>
    <row r="551" spans="1:7" x14ac:dyDescent="0.35">
      <c r="A551">
        <v>520</v>
      </c>
      <c r="B551" t="s">
        <v>667</v>
      </c>
      <c r="C551">
        <v>0</v>
      </c>
      <c r="D551">
        <v>0</v>
      </c>
      <c r="E551">
        <v>0</v>
      </c>
      <c r="F551">
        <v>0</v>
      </c>
      <c r="G551" t="s">
        <v>428</v>
      </c>
    </row>
    <row r="552" spans="1:7" x14ac:dyDescent="0.35">
      <c r="A552">
        <v>530</v>
      </c>
      <c r="B552" t="s">
        <v>642</v>
      </c>
      <c r="C552">
        <v>0</v>
      </c>
      <c r="D552">
        <v>0</v>
      </c>
      <c r="E552">
        <v>0</v>
      </c>
      <c r="F552">
        <v>0</v>
      </c>
      <c r="G552" t="s">
        <v>428</v>
      </c>
    </row>
    <row r="553" spans="1:7" x14ac:dyDescent="0.35">
      <c r="A553">
        <v>540</v>
      </c>
      <c r="B553" t="s">
        <v>643</v>
      </c>
      <c r="C553">
        <v>0</v>
      </c>
      <c r="D553">
        <v>0</v>
      </c>
      <c r="E553">
        <v>0</v>
      </c>
      <c r="F553">
        <v>0</v>
      </c>
      <c r="G553" t="s">
        <v>428</v>
      </c>
    </row>
    <row r="554" spans="1:7" x14ac:dyDescent="0.35">
      <c r="A554">
        <v>550</v>
      </c>
      <c r="B554" t="s">
        <v>644</v>
      </c>
      <c r="C554">
        <v>0</v>
      </c>
      <c r="D554">
        <v>0</v>
      </c>
      <c r="E554">
        <v>0</v>
      </c>
      <c r="F554">
        <v>0</v>
      </c>
      <c r="G554" t="s">
        <v>428</v>
      </c>
    </row>
    <row r="555" spans="1:7" x14ac:dyDescent="0.35">
      <c r="A555">
        <v>560</v>
      </c>
      <c r="B555" t="s">
        <v>676</v>
      </c>
      <c r="C555">
        <v>0</v>
      </c>
      <c r="D555">
        <v>0</v>
      </c>
      <c r="E555">
        <v>0</v>
      </c>
      <c r="F555">
        <v>0</v>
      </c>
      <c r="G555" t="s">
        <v>428</v>
      </c>
    </row>
    <row r="556" spans="1:7" x14ac:dyDescent="0.35">
      <c r="A556">
        <v>570</v>
      </c>
      <c r="B556" t="s">
        <v>646</v>
      </c>
      <c r="C556">
        <v>0</v>
      </c>
      <c r="D556">
        <v>0</v>
      </c>
      <c r="E556">
        <v>0</v>
      </c>
      <c r="F556">
        <v>0</v>
      </c>
      <c r="G556" t="s">
        <v>428</v>
      </c>
    </row>
    <row r="557" spans="1:7" x14ac:dyDescent="0.35">
      <c r="A557">
        <v>580</v>
      </c>
      <c r="B557" t="s">
        <v>258</v>
      </c>
      <c r="C557">
        <v>0</v>
      </c>
      <c r="D557">
        <v>0</v>
      </c>
      <c r="E557">
        <v>0</v>
      </c>
      <c r="F557">
        <v>0</v>
      </c>
      <c r="G557" t="s">
        <v>428</v>
      </c>
    </row>
    <row r="558" spans="1:7" x14ac:dyDescent="0.35">
      <c r="A558">
        <v>590</v>
      </c>
      <c r="B558" t="s">
        <v>670</v>
      </c>
      <c r="C558">
        <v>0</v>
      </c>
      <c r="D558">
        <v>0</v>
      </c>
      <c r="E558">
        <v>0</v>
      </c>
      <c r="F558">
        <v>0</v>
      </c>
      <c r="G558" t="s">
        <v>428</v>
      </c>
    </row>
    <row r="559" spans="1:7" x14ac:dyDescent="0.35">
      <c r="A559">
        <v>600</v>
      </c>
      <c r="B559" t="s">
        <v>671</v>
      </c>
      <c r="C559">
        <v>0</v>
      </c>
      <c r="D559">
        <v>0</v>
      </c>
      <c r="E559">
        <v>0</v>
      </c>
      <c r="F559">
        <v>0</v>
      </c>
      <c r="G559" t="s">
        <v>428</v>
      </c>
    </row>
    <row r="560" spans="1:7" x14ac:dyDescent="0.35">
      <c r="A560">
        <v>610</v>
      </c>
      <c r="B560" t="s">
        <v>648</v>
      </c>
      <c r="C560">
        <v>0</v>
      </c>
      <c r="D560">
        <v>0</v>
      </c>
      <c r="E560">
        <v>0</v>
      </c>
      <c r="F560">
        <v>0</v>
      </c>
      <c r="G560" t="s">
        <v>428</v>
      </c>
    </row>
    <row r="561" spans="1:7" x14ac:dyDescent="0.35">
      <c r="A561">
        <v>615</v>
      </c>
      <c r="B561" t="s">
        <v>673</v>
      </c>
      <c r="C561">
        <v>0</v>
      </c>
      <c r="D561">
        <v>0</v>
      </c>
      <c r="E561">
        <v>0</v>
      </c>
      <c r="F561">
        <v>0</v>
      </c>
      <c r="G561" t="s">
        <v>428</v>
      </c>
    </row>
    <row r="562" spans="1:7" x14ac:dyDescent="0.35">
      <c r="A562">
        <v>620</v>
      </c>
      <c r="B562" t="s">
        <v>260</v>
      </c>
      <c r="C562">
        <v>0</v>
      </c>
      <c r="D562">
        <v>0</v>
      </c>
      <c r="E562">
        <v>0</v>
      </c>
      <c r="F562">
        <v>0</v>
      </c>
      <c r="G562" t="s">
        <v>428</v>
      </c>
    </row>
    <row r="563" spans="1:7" x14ac:dyDescent="0.35">
      <c r="A563">
        <v>630</v>
      </c>
      <c r="B563" t="s">
        <v>261</v>
      </c>
      <c r="C563">
        <v>0</v>
      </c>
      <c r="D563">
        <v>-14180747.4</v>
      </c>
      <c r="E563">
        <v>-14180747.4</v>
      </c>
      <c r="F563">
        <v>0</v>
      </c>
      <c r="G563" t="s">
        <v>428</v>
      </c>
    </row>
    <row r="564" spans="1:7" x14ac:dyDescent="0.35">
      <c r="A564">
        <v>635</v>
      </c>
      <c r="B564" t="s">
        <v>674</v>
      </c>
      <c r="C564">
        <v>0</v>
      </c>
      <c r="D564">
        <v>0</v>
      </c>
      <c r="E564">
        <v>0</v>
      </c>
      <c r="F564">
        <v>0</v>
      </c>
      <c r="G564" t="s">
        <v>428</v>
      </c>
    </row>
    <row r="565" spans="1:7" x14ac:dyDescent="0.35">
      <c r="A565">
        <v>640</v>
      </c>
      <c r="B565" t="s">
        <v>262</v>
      </c>
      <c r="C565">
        <v>0</v>
      </c>
      <c r="D565">
        <v>16084069.460000001</v>
      </c>
      <c r="E565">
        <v>16084069.460000001</v>
      </c>
      <c r="F565">
        <v>0</v>
      </c>
      <c r="G565" t="s">
        <v>428</v>
      </c>
    </row>
    <row r="566" spans="1:7" x14ac:dyDescent="0.35">
      <c r="A566">
        <v>650</v>
      </c>
      <c r="B566" t="s">
        <v>263</v>
      </c>
      <c r="C566">
        <v>-24150.04</v>
      </c>
      <c r="D566">
        <v>52855070.969999999</v>
      </c>
      <c r="E566">
        <v>52830920.93</v>
      </c>
      <c r="F566">
        <v>-24150.04</v>
      </c>
      <c r="G566" t="s">
        <v>428</v>
      </c>
    </row>
    <row r="567" spans="1:7" x14ac:dyDescent="0.35">
      <c r="A567" t="s">
        <v>487</v>
      </c>
      <c r="B567" t="s">
        <v>416</v>
      </c>
      <c r="C567" t="s">
        <v>650</v>
      </c>
      <c r="D567" t="s">
        <v>651</v>
      </c>
      <c r="E567" t="s">
        <v>652</v>
      </c>
      <c r="F567" t="s">
        <v>653</v>
      </c>
      <c r="G567" t="s">
        <v>121</v>
      </c>
    </row>
    <row r="568" spans="1:7" x14ac:dyDescent="0.35">
      <c r="A568">
        <v>30</v>
      </c>
      <c r="B568" t="s">
        <v>427</v>
      </c>
      <c r="C568">
        <v>0</v>
      </c>
      <c r="D568">
        <v>0</v>
      </c>
      <c r="E568">
        <v>0</v>
      </c>
      <c r="F568">
        <v>0</v>
      </c>
      <c r="G568" t="s">
        <v>428</v>
      </c>
    </row>
    <row r="569" spans="1:7" x14ac:dyDescent="0.35">
      <c r="A569">
        <v>40</v>
      </c>
      <c r="B569" t="s">
        <v>654</v>
      </c>
      <c r="C569">
        <v>0</v>
      </c>
      <c r="D569">
        <v>0</v>
      </c>
      <c r="E569">
        <v>0</v>
      </c>
      <c r="F569">
        <v>0</v>
      </c>
      <c r="G569" t="s">
        <v>428</v>
      </c>
    </row>
    <row r="570" spans="1:7" x14ac:dyDescent="0.35">
      <c r="A570">
        <v>50</v>
      </c>
      <c r="B570" t="s">
        <v>430</v>
      </c>
      <c r="C570">
        <v>0</v>
      </c>
      <c r="D570">
        <v>0</v>
      </c>
      <c r="E570">
        <v>0</v>
      </c>
      <c r="F570">
        <v>0</v>
      </c>
      <c r="G570" t="s">
        <v>428</v>
      </c>
    </row>
    <row r="571" spans="1:7" x14ac:dyDescent="0.35">
      <c r="A571">
        <v>60</v>
      </c>
      <c r="B571" t="s">
        <v>655</v>
      </c>
      <c r="C571">
        <v>0</v>
      </c>
      <c r="D571">
        <v>0</v>
      </c>
      <c r="E571">
        <v>0</v>
      </c>
      <c r="F571">
        <v>0</v>
      </c>
      <c r="G571" t="s">
        <v>428</v>
      </c>
    </row>
    <row r="572" spans="1:7" x14ac:dyDescent="0.35">
      <c r="A572">
        <v>70</v>
      </c>
      <c r="B572" t="s">
        <v>617</v>
      </c>
      <c r="C572">
        <v>0</v>
      </c>
      <c r="D572">
        <v>0</v>
      </c>
      <c r="E572">
        <v>0</v>
      </c>
      <c r="F572">
        <v>0</v>
      </c>
      <c r="G572" t="s">
        <v>428</v>
      </c>
    </row>
    <row r="573" spans="1:7" x14ac:dyDescent="0.35">
      <c r="A573">
        <v>80</v>
      </c>
      <c r="B573" t="s">
        <v>433</v>
      </c>
      <c r="C573">
        <v>0</v>
      </c>
      <c r="D573">
        <v>0</v>
      </c>
      <c r="E573">
        <v>0</v>
      </c>
      <c r="F573">
        <v>0</v>
      </c>
      <c r="G573" t="s">
        <v>428</v>
      </c>
    </row>
    <row r="574" spans="1:7" x14ac:dyDescent="0.35">
      <c r="A574">
        <v>90</v>
      </c>
      <c r="B574" t="s">
        <v>434</v>
      </c>
      <c r="C574">
        <v>975</v>
      </c>
      <c r="D574">
        <v>0</v>
      </c>
      <c r="E574">
        <v>975</v>
      </c>
      <c r="F574">
        <v>975</v>
      </c>
      <c r="G574" t="s">
        <v>428</v>
      </c>
    </row>
    <row r="575" spans="1:7" x14ac:dyDescent="0.35">
      <c r="A575">
        <v>100</v>
      </c>
      <c r="B575" t="s">
        <v>435</v>
      </c>
      <c r="C575">
        <v>0</v>
      </c>
      <c r="D575">
        <v>0</v>
      </c>
      <c r="E575">
        <v>0</v>
      </c>
      <c r="F575">
        <v>0</v>
      </c>
      <c r="G575" t="s">
        <v>428</v>
      </c>
    </row>
    <row r="576" spans="1:7" x14ac:dyDescent="0.35">
      <c r="A576">
        <v>120</v>
      </c>
      <c r="B576" t="s">
        <v>437</v>
      </c>
      <c r="C576">
        <v>-975</v>
      </c>
      <c r="D576">
        <v>0</v>
      </c>
      <c r="E576">
        <v>-975</v>
      </c>
      <c r="F576">
        <v>-975</v>
      </c>
      <c r="G576" t="s">
        <v>428</v>
      </c>
    </row>
    <row r="577" spans="1:7" x14ac:dyDescent="0.35">
      <c r="A577">
        <v>130</v>
      </c>
      <c r="B577" t="s">
        <v>620</v>
      </c>
      <c r="C577">
        <v>0</v>
      </c>
      <c r="D577">
        <v>0</v>
      </c>
      <c r="E577">
        <v>0</v>
      </c>
      <c r="F577">
        <v>0</v>
      </c>
      <c r="G577" t="s">
        <v>428</v>
      </c>
    </row>
    <row r="578" spans="1:7" x14ac:dyDescent="0.35">
      <c r="A578">
        <v>135</v>
      </c>
      <c r="B578" t="s">
        <v>656</v>
      </c>
      <c r="C578">
        <v>0</v>
      </c>
      <c r="D578">
        <v>0</v>
      </c>
      <c r="E578">
        <v>0</v>
      </c>
      <c r="F578">
        <v>0</v>
      </c>
      <c r="G578" t="s">
        <v>428</v>
      </c>
    </row>
    <row r="579" spans="1:7" x14ac:dyDescent="0.35">
      <c r="A579">
        <v>140</v>
      </c>
      <c r="B579" t="s">
        <v>440</v>
      </c>
      <c r="C579">
        <v>0</v>
      </c>
      <c r="D579">
        <v>0</v>
      </c>
      <c r="E579">
        <v>0</v>
      </c>
      <c r="F579">
        <v>0</v>
      </c>
      <c r="G579" t="s">
        <v>428</v>
      </c>
    </row>
    <row r="580" spans="1:7" x14ac:dyDescent="0.35">
      <c r="A580">
        <v>150</v>
      </c>
      <c r="B580" t="s">
        <v>441</v>
      </c>
      <c r="C580">
        <v>0</v>
      </c>
      <c r="D580">
        <v>0</v>
      </c>
      <c r="E580">
        <v>0</v>
      </c>
      <c r="F580">
        <v>0</v>
      </c>
      <c r="G580" t="s">
        <v>428</v>
      </c>
    </row>
    <row r="581" spans="1:7" x14ac:dyDescent="0.35">
      <c r="A581">
        <v>160</v>
      </c>
      <c r="B581" t="s">
        <v>443</v>
      </c>
      <c r="C581">
        <v>0</v>
      </c>
      <c r="D581">
        <v>0</v>
      </c>
      <c r="E581">
        <v>0</v>
      </c>
      <c r="F581">
        <v>0</v>
      </c>
      <c r="G581" t="s">
        <v>428</v>
      </c>
    </row>
    <row r="582" spans="1:7" x14ac:dyDescent="0.35">
      <c r="A582">
        <v>170</v>
      </c>
      <c r="B582" t="s">
        <v>444</v>
      </c>
      <c r="C582">
        <v>-975</v>
      </c>
      <c r="D582">
        <v>0</v>
      </c>
      <c r="E582">
        <v>-975</v>
      </c>
      <c r="F582">
        <v>-975</v>
      </c>
      <c r="G582" t="s">
        <v>428</v>
      </c>
    </row>
    <row r="583" spans="1:7" x14ac:dyDescent="0.35">
      <c r="A583">
        <v>180</v>
      </c>
      <c r="B583" t="s">
        <v>625</v>
      </c>
      <c r="C583">
        <v>0</v>
      </c>
      <c r="D583">
        <v>0</v>
      </c>
      <c r="E583">
        <v>0</v>
      </c>
      <c r="F583">
        <v>0</v>
      </c>
      <c r="G583" t="s">
        <v>428</v>
      </c>
    </row>
    <row r="584" spans="1:7" x14ac:dyDescent="0.35">
      <c r="A584">
        <v>200</v>
      </c>
      <c r="B584" t="s">
        <v>447</v>
      </c>
      <c r="C584">
        <v>-975</v>
      </c>
      <c r="D584">
        <v>0</v>
      </c>
      <c r="E584">
        <v>-975</v>
      </c>
      <c r="F584">
        <v>-975</v>
      </c>
      <c r="G584" t="s">
        <v>428</v>
      </c>
    </row>
    <row r="585" spans="1:7" x14ac:dyDescent="0.35">
      <c r="A585">
        <v>220</v>
      </c>
      <c r="B585" t="s">
        <v>627</v>
      </c>
      <c r="C585">
        <v>0</v>
      </c>
      <c r="D585">
        <v>0</v>
      </c>
      <c r="E585">
        <v>0</v>
      </c>
      <c r="F585">
        <v>0</v>
      </c>
      <c r="G585" t="s">
        <v>428</v>
      </c>
    </row>
    <row r="586" spans="1:7" x14ac:dyDescent="0.35">
      <c r="A586">
        <v>230</v>
      </c>
      <c r="B586" t="s">
        <v>196</v>
      </c>
      <c r="C586">
        <v>0</v>
      </c>
      <c r="D586">
        <v>-252072.92</v>
      </c>
      <c r="E586">
        <v>-252072.92</v>
      </c>
      <c r="F586">
        <v>0</v>
      </c>
      <c r="G586" t="s">
        <v>428</v>
      </c>
    </row>
    <row r="587" spans="1:7" x14ac:dyDescent="0.35">
      <c r="A587">
        <v>235</v>
      </c>
      <c r="B587" t="s">
        <v>628</v>
      </c>
      <c r="C587">
        <v>0</v>
      </c>
      <c r="D587">
        <v>0</v>
      </c>
      <c r="E587">
        <v>0</v>
      </c>
      <c r="F587">
        <v>0</v>
      </c>
      <c r="G587" t="s">
        <v>428</v>
      </c>
    </row>
    <row r="588" spans="1:7" x14ac:dyDescent="0.35">
      <c r="A588">
        <v>237</v>
      </c>
      <c r="B588" t="s">
        <v>657</v>
      </c>
      <c r="C588">
        <v>0</v>
      </c>
      <c r="D588">
        <v>-4148643.25</v>
      </c>
      <c r="E588">
        <v>-4148643.25</v>
      </c>
      <c r="F588">
        <v>0</v>
      </c>
      <c r="G588" t="s">
        <v>428</v>
      </c>
    </row>
    <row r="589" spans="1:7" x14ac:dyDescent="0.35">
      <c r="A589">
        <v>240</v>
      </c>
      <c r="B589" t="s">
        <v>658</v>
      </c>
      <c r="C589">
        <v>0</v>
      </c>
      <c r="D589">
        <v>0</v>
      </c>
      <c r="E589">
        <v>0</v>
      </c>
      <c r="F589">
        <v>0</v>
      </c>
      <c r="G589" t="s">
        <v>428</v>
      </c>
    </row>
    <row r="590" spans="1:7" x14ac:dyDescent="0.35">
      <c r="A590">
        <v>250</v>
      </c>
      <c r="B590" t="s">
        <v>198</v>
      </c>
      <c r="C590">
        <v>0</v>
      </c>
      <c r="D590">
        <v>-790926.23</v>
      </c>
      <c r="E590">
        <v>-790926.23</v>
      </c>
      <c r="F590">
        <v>0</v>
      </c>
      <c r="G590" t="s">
        <v>428</v>
      </c>
    </row>
    <row r="591" spans="1:7" x14ac:dyDescent="0.35">
      <c r="A591">
        <v>260</v>
      </c>
      <c r="B591" t="s">
        <v>629</v>
      </c>
      <c r="C591">
        <v>0</v>
      </c>
      <c r="D591">
        <v>0</v>
      </c>
      <c r="E591">
        <v>0</v>
      </c>
      <c r="F591">
        <v>0</v>
      </c>
      <c r="G591" t="s">
        <v>428</v>
      </c>
    </row>
    <row r="592" spans="1:7" x14ac:dyDescent="0.35">
      <c r="A592">
        <v>270</v>
      </c>
      <c r="B592" t="s">
        <v>199</v>
      </c>
      <c r="C592">
        <v>0</v>
      </c>
      <c r="D592">
        <v>0</v>
      </c>
      <c r="E592">
        <v>0</v>
      </c>
      <c r="F592">
        <v>0</v>
      </c>
      <c r="G592" t="s">
        <v>428</v>
      </c>
    </row>
    <row r="593" spans="1:7" x14ac:dyDescent="0.35">
      <c r="A593">
        <v>300</v>
      </c>
      <c r="B593" t="s">
        <v>222</v>
      </c>
      <c r="C593">
        <v>0</v>
      </c>
      <c r="D593">
        <v>790926.23</v>
      </c>
      <c r="E593">
        <v>790926.23</v>
      </c>
      <c r="F593">
        <v>0</v>
      </c>
      <c r="G593" t="s">
        <v>428</v>
      </c>
    </row>
    <row r="594" spans="1:7" x14ac:dyDescent="0.35">
      <c r="A594">
        <v>310</v>
      </c>
      <c r="B594" t="s">
        <v>630</v>
      </c>
      <c r="C594">
        <v>0</v>
      </c>
      <c r="D594">
        <v>0</v>
      </c>
      <c r="E594">
        <v>0</v>
      </c>
      <c r="F594">
        <v>0</v>
      </c>
      <c r="G594" t="s">
        <v>428</v>
      </c>
    </row>
    <row r="595" spans="1:7" x14ac:dyDescent="0.35">
      <c r="A595">
        <v>320</v>
      </c>
      <c r="B595" t="s">
        <v>248</v>
      </c>
      <c r="C595">
        <v>3700</v>
      </c>
      <c r="D595">
        <v>0</v>
      </c>
      <c r="E595">
        <v>3700</v>
      </c>
      <c r="F595">
        <v>3700</v>
      </c>
      <c r="G595" t="s">
        <v>428</v>
      </c>
    </row>
    <row r="596" spans="1:7" x14ac:dyDescent="0.35">
      <c r="A596">
        <v>325</v>
      </c>
      <c r="B596" t="s">
        <v>249</v>
      </c>
      <c r="C596">
        <v>0</v>
      </c>
      <c r="D596">
        <v>0</v>
      </c>
      <c r="E596">
        <v>0</v>
      </c>
      <c r="F596">
        <v>0</v>
      </c>
      <c r="G596" t="s">
        <v>428</v>
      </c>
    </row>
    <row r="597" spans="1:7" x14ac:dyDescent="0.35">
      <c r="A597">
        <v>330</v>
      </c>
      <c r="B597" t="s">
        <v>631</v>
      </c>
      <c r="C597">
        <v>0</v>
      </c>
      <c r="D597">
        <v>0</v>
      </c>
      <c r="E597">
        <v>0</v>
      </c>
      <c r="F597">
        <v>0</v>
      </c>
      <c r="G597" t="s">
        <v>428</v>
      </c>
    </row>
    <row r="598" spans="1:7" x14ac:dyDescent="0.35">
      <c r="A598">
        <v>340</v>
      </c>
      <c r="B598" t="s">
        <v>632</v>
      </c>
      <c r="C598">
        <v>0</v>
      </c>
      <c r="D598">
        <v>0</v>
      </c>
      <c r="E598">
        <v>0</v>
      </c>
      <c r="F598">
        <v>0</v>
      </c>
      <c r="G598" t="s">
        <v>428</v>
      </c>
    </row>
    <row r="599" spans="1:7" x14ac:dyDescent="0.35">
      <c r="A599">
        <v>350</v>
      </c>
      <c r="B599" t="s">
        <v>659</v>
      </c>
      <c r="C599">
        <v>0</v>
      </c>
      <c r="D599">
        <v>0</v>
      </c>
      <c r="E599">
        <v>0</v>
      </c>
      <c r="F599">
        <v>0</v>
      </c>
      <c r="G599" t="s">
        <v>428</v>
      </c>
    </row>
    <row r="600" spans="1:7" x14ac:dyDescent="0.35">
      <c r="A600">
        <v>380</v>
      </c>
      <c r="B600" t="s">
        <v>660</v>
      </c>
      <c r="C600">
        <v>3700</v>
      </c>
      <c r="D600">
        <v>-4400716.17</v>
      </c>
      <c r="E600">
        <v>-4397016.17</v>
      </c>
      <c r="F600">
        <v>3700</v>
      </c>
      <c r="G600" t="s">
        <v>428</v>
      </c>
    </row>
    <row r="601" spans="1:7" x14ac:dyDescent="0.35">
      <c r="A601">
        <v>390</v>
      </c>
      <c r="B601" t="s">
        <v>250</v>
      </c>
      <c r="C601">
        <v>0</v>
      </c>
      <c r="D601">
        <v>0</v>
      </c>
      <c r="E601">
        <v>0</v>
      </c>
      <c r="F601">
        <v>0</v>
      </c>
      <c r="G601" t="s">
        <v>428</v>
      </c>
    </row>
    <row r="602" spans="1:7" x14ac:dyDescent="0.35">
      <c r="A602">
        <v>400</v>
      </c>
      <c r="B602" t="s">
        <v>677</v>
      </c>
      <c r="C602">
        <v>0</v>
      </c>
      <c r="D602">
        <v>0</v>
      </c>
      <c r="E602">
        <v>0</v>
      </c>
      <c r="F602">
        <v>0</v>
      </c>
      <c r="G602" t="s">
        <v>428</v>
      </c>
    </row>
    <row r="603" spans="1:7" x14ac:dyDescent="0.35">
      <c r="A603">
        <v>405</v>
      </c>
      <c r="B603" t="s">
        <v>252</v>
      </c>
      <c r="C603">
        <v>0</v>
      </c>
      <c r="D603">
        <v>0</v>
      </c>
      <c r="E603">
        <v>0</v>
      </c>
      <c r="F603">
        <v>0</v>
      </c>
      <c r="G603" t="s">
        <v>428</v>
      </c>
    </row>
    <row r="604" spans="1:7" x14ac:dyDescent="0.35">
      <c r="A604">
        <v>410</v>
      </c>
      <c r="B604" t="s">
        <v>237</v>
      </c>
      <c r="C604">
        <v>0</v>
      </c>
      <c r="D604">
        <v>4550000</v>
      </c>
      <c r="E604">
        <v>4550000</v>
      </c>
      <c r="F604">
        <v>0</v>
      </c>
      <c r="G604" t="s">
        <v>428</v>
      </c>
    </row>
    <row r="605" spans="1:7" x14ac:dyDescent="0.35">
      <c r="A605">
        <v>420</v>
      </c>
      <c r="B605" t="s">
        <v>661</v>
      </c>
      <c r="C605">
        <v>0</v>
      </c>
      <c r="D605">
        <v>0</v>
      </c>
      <c r="E605">
        <v>0</v>
      </c>
      <c r="F605">
        <v>0</v>
      </c>
      <c r="G605" t="s">
        <v>428</v>
      </c>
    </row>
    <row r="606" spans="1:7" x14ac:dyDescent="0.35">
      <c r="A606">
        <v>425</v>
      </c>
      <c r="B606" t="s">
        <v>634</v>
      </c>
      <c r="C606">
        <v>0</v>
      </c>
      <c r="D606">
        <v>0</v>
      </c>
      <c r="E606">
        <v>0</v>
      </c>
      <c r="F606">
        <v>0</v>
      </c>
      <c r="G606" t="s">
        <v>428</v>
      </c>
    </row>
    <row r="607" spans="1:7" x14ac:dyDescent="0.35">
      <c r="A607">
        <v>427</v>
      </c>
      <c r="B607" t="s">
        <v>678</v>
      </c>
      <c r="C607">
        <v>0</v>
      </c>
      <c r="D607">
        <v>0</v>
      </c>
      <c r="E607">
        <v>0</v>
      </c>
      <c r="F607">
        <v>0</v>
      </c>
      <c r="G607" t="s">
        <v>428</v>
      </c>
    </row>
    <row r="608" spans="1:7" x14ac:dyDescent="0.35">
      <c r="A608">
        <v>430</v>
      </c>
      <c r="B608" t="s">
        <v>254</v>
      </c>
      <c r="C608">
        <v>0</v>
      </c>
      <c r="D608">
        <v>-143370.87</v>
      </c>
      <c r="E608">
        <v>-143370.87</v>
      </c>
      <c r="F608">
        <v>0</v>
      </c>
      <c r="G608" t="s">
        <v>428</v>
      </c>
    </row>
    <row r="609" spans="1:7" x14ac:dyDescent="0.35">
      <c r="A609">
        <v>440</v>
      </c>
      <c r="B609" t="s">
        <v>255</v>
      </c>
      <c r="C609">
        <v>0</v>
      </c>
      <c r="D609">
        <v>4406629.13</v>
      </c>
      <c r="E609">
        <v>4406629.13</v>
      </c>
      <c r="F609">
        <v>0</v>
      </c>
      <c r="G609" t="s">
        <v>428</v>
      </c>
    </row>
    <row r="610" spans="1:7" x14ac:dyDescent="0.35">
      <c r="A610">
        <v>450</v>
      </c>
      <c r="B610" t="s">
        <v>256</v>
      </c>
      <c r="C610">
        <v>0</v>
      </c>
      <c r="D610">
        <v>0</v>
      </c>
      <c r="E610">
        <v>0</v>
      </c>
      <c r="F610">
        <v>0</v>
      </c>
      <c r="G610" t="s">
        <v>428</v>
      </c>
    </row>
    <row r="611" spans="1:7" x14ac:dyDescent="0.35">
      <c r="A611">
        <v>455</v>
      </c>
      <c r="B611" t="s">
        <v>663</v>
      </c>
      <c r="C611">
        <v>0</v>
      </c>
      <c r="D611">
        <v>0</v>
      </c>
      <c r="E611">
        <v>0</v>
      </c>
      <c r="F611">
        <v>0</v>
      </c>
      <c r="G611" t="s">
        <v>428</v>
      </c>
    </row>
    <row r="612" spans="1:7" x14ac:dyDescent="0.35">
      <c r="A612">
        <v>456</v>
      </c>
      <c r="B612" t="s">
        <v>636</v>
      </c>
      <c r="C612">
        <v>0</v>
      </c>
      <c r="D612">
        <v>0</v>
      </c>
      <c r="E612">
        <v>0</v>
      </c>
      <c r="F612">
        <v>0</v>
      </c>
      <c r="G612" t="s">
        <v>428</v>
      </c>
    </row>
    <row r="613" spans="1:7" x14ac:dyDescent="0.35">
      <c r="A613">
        <v>460</v>
      </c>
      <c r="B613" t="s">
        <v>208</v>
      </c>
      <c r="C613">
        <v>0</v>
      </c>
      <c r="D613">
        <v>0</v>
      </c>
      <c r="E613">
        <v>0</v>
      </c>
      <c r="F613">
        <v>0</v>
      </c>
      <c r="G613" t="s">
        <v>428</v>
      </c>
    </row>
    <row r="614" spans="1:7" x14ac:dyDescent="0.35">
      <c r="A614">
        <v>470</v>
      </c>
      <c r="B614" t="s">
        <v>664</v>
      </c>
      <c r="C614">
        <v>0</v>
      </c>
      <c r="D614">
        <v>0</v>
      </c>
      <c r="E614">
        <v>0</v>
      </c>
      <c r="F614">
        <v>0</v>
      </c>
      <c r="G614" t="s">
        <v>428</v>
      </c>
    </row>
    <row r="615" spans="1:7" x14ac:dyDescent="0.35">
      <c r="A615">
        <v>480</v>
      </c>
      <c r="B615" t="s">
        <v>207</v>
      </c>
      <c r="C615">
        <v>0</v>
      </c>
      <c r="D615">
        <v>0</v>
      </c>
      <c r="E615">
        <v>0</v>
      </c>
      <c r="F615">
        <v>0</v>
      </c>
      <c r="G615" t="s">
        <v>428</v>
      </c>
    </row>
    <row r="616" spans="1:7" x14ac:dyDescent="0.35">
      <c r="A616">
        <v>490</v>
      </c>
      <c r="B616" t="s">
        <v>665</v>
      </c>
      <c r="C616">
        <v>0</v>
      </c>
      <c r="D616">
        <v>0</v>
      </c>
      <c r="E616">
        <v>0</v>
      </c>
      <c r="F616">
        <v>0</v>
      </c>
      <c r="G616" t="s">
        <v>428</v>
      </c>
    </row>
    <row r="617" spans="1:7" x14ac:dyDescent="0.35">
      <c r="A617">
        <v>500</v>
      </c>
      <c r="B617" t="s">
        <v>206</v>
      </c>
      <c r="C617">
        <v>0</v>
      </c>
      <c r="D617">
        <v>-1</v>
      </c>
      <c r="E617">
        <v>-1</v>
      </c>
      <c r="F617">
        <v>0</v>
      </c>
      <c r="G617" t="s">
        <v>428</v>
      </c>
    </row>
    <row r="618" spans="1:7" x14ac:dyDescent="0.35">
      <c r="A618">
        <v>510</v>
      </c>
      <c r="B618" t="s">
        <v>639</v>
      </c>
      <c r="C618">
        <v>0</v>
      </c>
      <c r="D618">
        <v>0</v>
      </c>
      <c r="E618">
        <v>0</v>
      </c>
      <c r="F618">
        <v>0</v>
      </c>
      <c r="G618" t="s">
        <v>428</v>
      </c>
    </row>
    <row r="619" spans="1:7" x14ac:dyDescent="0.35">
      <c r="A619">
        <v>512</v>
      </c>
      <c r="B619" t="s">
        <v>666</v>
      </c>
      <c r="C619">
        <v>0</v>
      </c>
      <c r="D619">
        <v>-1</v>
      </c>
      <c r="E619">
        <v>-1</v>
      </c>
      <c r="F619">
        <v>0</v>
      </c>
      <c r="G619" t="s">
        <v>428</v>
      </c>
    </row>
    <row r="620" spans="1:7" x14ac:dyDescent="0.35">
      <c r="A620">
        <v>514</v>
      </c>
      <c r="B620" t="s">
        <v>640</v>
      </c>
      <c r="C620">
        <v>0</v>
      </c>
      <c r="D620">
        <v>0</v>
      </c>
      <c r="E620">
        <v>0</v>
      </c>
      <c r="F620">
        <v>0</v>
      </c>
      <c r="G620" t="s">
        <v>428</v>
      </c>
    </row>
    <row r="621" spans="1:7" x14ac:dyDescent="0.35">
      <c r="A621">
        <v>520</v>
      </c>
      <c r="B621" t="s">
        <v>667</v>
      </c>
      <c r="C621">
        <v>0</v>
      </c>
      <c r="D621">
        <v>0</v>
      </c>
      <c r="E621">
        <v>0</v>
      </c>
      <c r="F621">
        <v>0</v>
      </c>
      <c r="G621" t="s">
        <v>428</v>
      </c>
    </row>
    <row r="622" spans="1:7" x14ac:dyDescent="0.35">
      <c r="A622">
        <v>530</v>
      </c>
      <c r="B622" t="s">
        <v>642</v>
      </c>
      <c r="C622">
        <v>0</v>
      </c>
      <c r="D622">
        <v>0</v>
      </c>
      <c r="E622">
        <v>0</v>
      </c>
      <c r="F622">
        <v>0</v>
      </c>
      <c r="G622" t="s">
        <v>428</v>
      </c>
    </row>
    <row r="623" spans="1:7" x14ac:dyDescent="0.35">
      <c r="A623">
        <v>540</v>
      </c>
      <c r="B623" t="s">
        <v>643</v>
      </c>
      <c r="C623">
        <v>0</v>
      </c>
      <c r="D623">
        <v>0</v>
      </c>
      <c r="E623">
        <v>0</v>
      </c>
      <c r="F623">
        <v>0</v>
      </c>
      <c r="G623" t="s">
        <v>428</v>
      </c>
    </row>
    <row r="624" spans="1:7" x14ac:dyDescent="0.35">
      <c r="A624">
        <v>550</v>
      </c>
      <c r="B624" t="s">
        <v>644</v>
      </c>
      <c r="C624">
        <v>0</v>
      </c>
      <c r="D624">
        <v>0</v>
      </c>
      <c r="E624">
        <v>0</v>
      </c>
      <c r="F624">
        <v>0</v>
      </c>
      <c r="G624" t="s">
        <v>428</v>
      </c>
    </row>
    <row r="625" spans="1:7" x14ac:dyDescent="0.35">
      <c r="A625">
        <v>560</v>
      </c>
      <c r="B625" t="s">
        <v>645</v>
      </c>
      <c r="C625">
        <v>0</v>
      </c>
      <c r="D625">
        <v>0</v>
      </c>
      <c r="E625">
        <v>0</v>
      </c>
      <c r="F625">
        <v>0</v>
      </c>
      <c r="G625" t="s">
        <v>428</v>
      </c>
    </row>
    <row r="626" spans="1:7" x14ac:dyDescent="0.35">
      <c r="A626">
        <v>570</v>
      </c>
      <c r="B626" t="s">
        <v>646</v>
      </c>
      <c r="C626">
        <v>0</v>
      </c>
      <c r="D626">
        <v>0</v>
      </c>
      <c r="E626">
        <v>0</v>
      </c>
      <c r="F626">
        <v>0</v>
      </c>
      <c r="G626" t="s">
        <v>428</v>
      </c>
    </row>
    <row r="627" spans="1:7" x14ac:dyDescent="0.35">
      <c r="A627">
        <v>580</v>
      </c>
      <c r="B627" t="s">
        <v>679</v>
      </c>
      <c r="C627">
        <v>0</v>
      </c>
      <c r="D627">
        <v>0</v>
      </c>
      <c r="E627">
        <v>0</v>
      </c>
      <c r="F627">
        <v>0</v>
      </c>
      <c r="G627" t="s">
        <v>428</v>
      </c>
    </row>
    <row r="628" spans="1:7" x14ac:dyDescent="0.35">
      <c r="A628">
        <v>590</v>
      </c>
      <c r="B628" t="s">
        <v>670</v>
      </c>
      <c r="C628">
        <v>0</v>
      </c>
      <c r="D628">
        <v>0</v>
      </c>
      <c r="E628">
        <v>0</v>
      </c>
      <c r="F628">
        <v>0</v>
      </c>
      <c r="G628" t="s">
        <v>428</v>
      </c>
    </row>
    <row r="629" spans="1:7" x14ac:dyDescent="0.35">
      <c r="A629">
        <v>600</v>
      </c>
      <c r="B629" t="s">
        <v>259</v>
      </c>
      <c r="C629">
        <v>0</v>
      </c>
      <c r="D629">
        <v>0</v>
      </c>
      <c r="E629">
        <v>0</v>
      </c>
      <c r="F629">
        <v>0</v>
      </c>
      <c r="G629" t="s">
        <v>428</v>
      </c>
    </row>
    <row r="630" spans="1:7" x14ac:dyDescent="0.35">
      <c r="A630">
        <v>610</v>
      </c>
      <c r="B630" t="s">
        <v>672</v>
      </c>
      <c r="C630">
        <v>0</v>
      </c>
      <c r="D630">
        <v>0</v>
      </c>
      <c r="E630">
        <v>0</v>
      </c>
      <c r="F630">
        <v>0</v>
      </c>
      <c r="G630" t="s">
        <v>428</v>
      </c>
    </row>
    <row r="631" spans="1:7" x14ac:dyDescent="0.35">
      <c r="A631">
        <v>615</v>
      </c>
      <c r="B631" t="s">
        <v>673</v>
      </c>
      <c r="C631">
        <v>0</v>
      </c>
      <c r="D631">
        <v>0</v>
      </c>
      <c r="E631">
        <v>0</v>
      </c>
      <c r="F631">
        <v>0</v>
      </c>
      <c r="G631" t="s">
        <v>428</v>
      </c>
    </row>
    <row r="632" spans="1:7" x14ac:dyDescent="0.35">
      <c r="A632">
        <v>620</v>
      </c>
      <c r="B632" t="s">
        <v>260</v>
      </c>
      <c r="C632">
        <v>0</v>
      </c>
      <c r="D632">
        <v>0</v>
      </c>
      <c r="E632">
        <v>0</v>
      </c>
      <c r="F632">
        <v>0</v>
      </c>
      <c r="G632" t="s">
        <v>428</v>
      </c>
    </row>
    <row r="633" spans="1:7" x14ac:dyDescent="0.35">
      <c r="A633">
        <v>630</v>
      </c>
      <c r="B633" t="s">
        <v>261</v>
      </c>
      <c r="C633">
        <v>0</v>
      </c>
      <c r="D633">
        <v>0</v>
      </c>
      <c r="E633">
        <v>0</v>
      </c>
      <c r="F633">
        <v>0</v>
      </c>
      <c r="G633" t="s">
        <v>428</v>
      </c>
    </row>
    <row r="634" spans="1:7" x14ac:dyDescent="0.35">
      <c r="A634">
        <v>635</v>
      </c>
      <c r="B634" t="s">
        <v>674</v>
      </c>
      <c r="C634">
        <v>0</v>
      </c>
      <c r="D634">
        <v>0</v>
      </c>
      <c r="E634">
        <v>0</v>
      </c>
      <c r="F634">
        <v>0</v>
      </c>
      <c r="G634" t="s">
        <v>428</v>
      </c>
    </row>
    <row r="635" spans="1:7" x14ac:dyDescent="0.35">
      <c r="A635">
        <v>640</v>
      </c>
      <c r="B635" t="s">
        <v>262</v>
      </c>
      <c r="C635">
        <v>0</v>
      </c>
      <c r="D635">
        <v>-2</v>
      </c>
      <c r="E635">
        <v>-2</v>
      </c>
      <c r="F635">
        <v>0</v>
      </c>
      <c r="G635" t="s">
        <v>428</v>
      </c>
    </row>
    <row r="636" spans="1:7" x14ac:dyDescent="0.35">
      <c r="A636">
        <v>650</v>
      </c>
      <c r="B636" t="s">
        <v>263</v>
      </c>
      <c r="C636">
        <v>2725</v>
      </c>
      <c r="D636">
        <v>5910.96</v>
      </c>
      <c r="E636">
        <v>8635.9599999999991</v>
      </c>
      <c r="F636">
        <v>2725</v>
      </c>
      <c r="G636" t="s">
        <v>428</v>
      </c>
    </row>
    <row r="637" spans="1:7" x14ac:dyDescent="0.35">
      <c r="A637" t="s">
        <v>488</v>
      </c>
      <c r="B637" t="s">
        <v>416</v>
      </c>
      <c r="C637" t="s">
        <v>650</v>
      </c>
      <c r="D637" t="s">
        <v>651</v>
      </c>
      <c r="E637" t="s">
        <v>652</v>
      </c>
      <c r="F637" t="s">
        <v>653</v>
      </c>
      <c r="G637" t="s">
        <v>121</v>
      </c>
    </row>
    <row r="638" spans="1:7" x14ac:dyDescent="0.35">
      <c r="A638">
        <v>30</v>
      </c>
      <c r="B638" t="s">
        <v>427</v>
      </c>
      <c r="C638">
        <v>0</v>
      </c>
      <c r="D638">
        <v>0</v>
      </c>
      <c r="E638">
        <v>0</v>
      </c>
      <c r="F638">
        <v>0</v>
      </c>
      <c r="G638" t="s">
        <v>428</v>
      </c>
    </row>
    <row r="639" spans="1:7" x14ac:dyDescent="0.35">
      <c r="A639">
        <v>40</v>
      </c>
      <c r="B639" t="s">
        <v>654</v>
      </c>
      <c r="C639">
        <v>0</v>
      </c>
      <c r="D639">
        <v>0</v>
      </c>
      <c r="E639">
        <v>0</v>
      </c>
      <c r="F639">
        <v>0</v>
      </c>
      <c r="G639" t="s">
        <v>428</v>
      </c>
    </row>
    <row r="640" spans="1:7" x14ac:dyDescent="0.35">
      <c r="A640">
        <v>50</v>
      </c>
      <c r="B640" t="s">
        <v>430</v>
      </c>
      <c r="C640">
        <v>0</v>
      </c>
      <c r="D640">
        <v>0</v>
      </c>
      <c r="E640">
        <v>0</v>
      </c>
      <c r="F640">
        <v>0</v>
      </c>
      <c r="G640" t="s">
        <v>428</v>
      </c>
    </row>
    <row r="641" spans="1:7" x14ac:dyDescent="0.35">
      <c r="A641">
        <v>60</v>
      </c>
      <c r="B641" t="s">
        <v>655</v>
      </c>
      <c r="C641">
        <v>0</v>
      </c>
      <c r="D641">
        <v>0</v>
      </c>
      <c r="E641">
        <v>0</v>
      </c>
      <c r="F641">
        <v>0</v>
      </c>
      <c r="G641" t="s">
        <v>428</v>
      </c>
    </row>
    <row r="642" spans="1:7" x14ac:dyDescent="0.35">
      <c r="A642">
        <v>70</v>
      </c>
      <c r="B642" t="s">
        <v>617</v>
      </c>
      <c r="C642">
        <v>0</v>
      </c>
      <c r="D642">
        <v>0</v>
      </c>
      <c r="E642">
        <v>0</v>
      </c>
      <c r="F642">
        <v>0</v>
      </c>
      <c r="G642" t="s">
        <v>428</v>
      </c>
    </row>
    <row r="643" spans="1:7" x14ac:dyDescent="0.35">
      <c r="A643">
        <v>80</v>
      </c>
      <c r="B643" t="s">
        <v>433</v>
      </c>
      <c r="C643">
        <v>0</v>
      </c>
      <c r="D643">
        <v>0</v>
      </c>
      <c r="E643">
        <v>0</v>
      </c>
      <c r="F643">
        <v>0</v>
      </c>
      <c r="G643" t="s">
        <v>428</v>
      </c>
    </row>
    <row r="644" spans="1:7" x14ac:dyDescent="0.35">
      <c r="A644">
        <v>90</v>
      </c>
      <c r="B644" t="s">
        <v>434</v>
      </c>
      <c r="C644">
        <v>1253</v>
      </c>
      <c r="D644">
        <v>0</v>
      </c>
      <c r="E644">
        <v>1253</v>
      </c>
      <c r="F644">
        <v>1253</v>
      </c>
      <c r="G644" t="s">
        <v>428</v>
      </c>
    </row>
    <row r="645" spans="1:7" x14ac:dyDescent="0.35">
      <c r="A645">
        <v>100</v>
      </c>
      <c r="B645" t="s">
        <v>435</v>
      </c>
      <c r="C645">
        <v>0</v>
      </c>
      <c r="D645">
        <v>0</v>
      </c>
      <c r="E645">
        <v>0</v>
      </c>
      <c r="F645">
        <v>0</v>
      </c>
      <c r="G645" t="s">
        <v>428</v>
      </c>
    </row>
    <row r="646" spans="1:7" x14ac:dyDescent="0.35">
      <c r="A646">
        <v>120</v>
      </c>
      <c r="B646" t="s">
        <v>437</v>
      </c>
      <c r="C646">
        <v>-1253</v>
      </c>
      <c r="D646">
        <v>0</v>
      </c>
      <c r="E646">
        <v>-1253</v>
      </c>
      <c r="F646">
        <v>-1253</v>
      </c>
      <c r="G646" t="s">
        <v>428</v>
      </c>
    </row>
    <row r="647" spans="1:7" x14ac:dyDescent="0.35">
      <c r="A647">
        <v>130</v>
      </c>
      <c r="B647" t="s">
        <v>620</v>
      </c>
      <c r="C647">
        <v>0</v>
      </c>
      <c r="D647">
        <v>0</v>
      </c>
      <c r="E647">
        <v>0</v>
      </c>
      <c r="F647">
        <v>0</v>
      </c>
      <c r="G647" t="s">
        <v>428</v>
      </c>
    </row>
    <row r="648" spans="1:7" x14ac:dyDescent="0.35">
      <c r="A648">
        <v>135</v>
      </c>
      <c r="B648" t="s">
        <v>656</v>
      </c>
      <c r="C648">
        <v>0</v>
      </c>
      <c r="D648">
        <v>0</v>
      </c>
      <c r="E648">
        <v>0</v>
      </c>
      <c r="F648">
        <v>0</v>
      </c>
      <c r="G648" t="s">
        <v>428</v>
      </c>
    </row>
    <row r="649" spans="1:7" x14ac:dyDescent="0.35">
      <c r="A649">
        <v>140</v>
      </c>
      <c r="B649" t="s">
        <v>440</v>
      </c>
      <c r="C649">
        <v>0</v>
      </c>
      <c r="D649">
        <v>0</v>
      </c>
      <c r="E649">
        <v>0</v>
      </c>
      <c r="F649">
        <v>0</v>
      </c>
      <c r="G649" t="s">
        <v>428</v>
      </c>
    </row>
    <row r="650" spans="1:7" x14ac:dyDescent="0.35">
      <c r="A650">
        <v>150</v>
      </c>
      <c r="B650" t="s">
        <v>441</v>
      </c>
      <c r="C650">
        <v>0</v>
      </c>
      <c r="D650">
        <v>0</v>
      </c>
      <c r="E650">
        <v>0</v>
      </c>
      <c r="F650">
        <v>0</v>
      </c>
      <c r="G650" t="s">
        <v>428</v>
      </c>
    </row>
    <row r="651" spans="1:7" x14ac:dyDescent="0.35">
      <c r="A651">
        <v>160</v>
      </c>
      <c r="B651" t="s">
        <v>443</v>
      </c>
      <c r="C651">
        <v>0</v>
      </c>
      <c r="D651">
        <v>0</v>
      </c>
      <c r="E651">
        <v>0</v>
      </c>
      <c r="F651">
        <v>0</v>
      </c>
      <c r="G651" t="s">
        <v>428</v>
      </c>
    </row>
    <row r="652" spans="1:7" x14ac:dyDescent="0.35">
      <c r="A652">
        <v>170</v>
      </c>
      <c r="B652" t="s">
        <v>444</v>
      </c>
      <c r="C652">
        <v>-1253</v>
      </c>
      <c r="D652">
        <v>0</v>
      </c>
      <c r="E652">
        <v>-1253</v>
      </c>
      <c r="F652">
        <v>-1253</v>
      </c>
      <c r="G652" t="s">
        <v>428</v>
      </c>
    </row>
    <row r="653" spans="1:7" x14ac:dyDescent="0.35">
      <c r="A653">
        <v>180</v>
      </c>
      <c r="B653" t="s">
        <v>625</v>
      </c>
      <c r="C653">
        <v>0</v>
      </c>
      <c r="D653">
        <v>0</v>
      </c>
      <c r="E653">
        <v>0</v>
      </c>
      <c r="F653">
        <v>0</v>
      </c>
      <c r="G653" t="s">
        <v>428</v>
      </c>
    </row>
    <row r="654" spans="1:7" x14ac:dyDescent="0.35">
      <c r="A654">
        <v>200</v>
      </c>
      <c r="B654" t="s">
        <v>447</v>
      </c>
      <c r="C654">
        <v>-1253</v>
      </c>
      <c r="D654">
        <v>0</v>
      </c>
      <c r="E654">
        <v>-1253</v>
      </c>
      <c r="F654">
        <v>-1253</v>
      </c>
      <c r="G654" t="s">
        <v>428</v>
      </c>
    </row>
    <row r="655" spans="1:7" x14ac:dyDescent="0.35">
      <c r="A655">
        <v>220</v>
      </c>
      <c r="B655" t="s">
        <v>627</v>
      </c>
      <c r="C655">
        <v>0</v>
      </c>
      <c r="D655">
        <v>0</v>
      </c>
      <c r="E655">
        <v>0</v>
      </c>
      <c r="F655">
        <v>0</v>
      </c>
      <c r="G655" t="s">
        <v>428</v>
      </c>
    </row>
    <row r="656" spans="1:7" x14ac:dyDescent="0.35">
      <c r="A656">
        <v>230</v>
      </c>
      <c r="B656" t="s">
        <v>196</v>
      </c>
      <c r="C656">
        <v>0</v>
      </c>
      <c r="D656">
        <v>0</v>
      </c>
      <c r="E656">
        <v>0</v>
      </c>
      <c r="F656">
        <v>0</v>
      </c>
      <c r="G656" t="s">
        <v>428</v>
      </c>
    </row>
    <row r="657" spans="1:7" x14ac:dyDescent="0.35">
      <c r="A657">
        <v>235</v>
      </c>
      <c r="B657" t="s">
        <v>628</v>
      </c>
      <c r="C657">
        <v>0</v>
      </c>
      <c r="D657">
        <v>0</v>
      </c>
      <c r="E657">
        <v>0</v>
      </c>
      <c r="F657">
        <v>0</v>
      </c>
      <c r="G657" t="s">
        <v>428</v>
      </c>
    </row>
    <row r="658" spans="1:7" x14ac:dyDescent="0.35">
      <c r="A658">
        <v>237</v>
      </c>
      <c r="B658" t="s">
        <v>657</v>
      </c>
      <c r="C658">
        <v>0</v>
      </c>
      <c r="D658">
        <v>0</v>
      </c>
      <c r="E658">
        <v>0</v>
      </c>
      <c r="F658">
        <v>0</v>
      </c>
      <c r="G658" t="s">
        <v>428</v>
      </c>
    </row>
    <row r="659" spans="1:7" x14ac:dyDescent="0.35">
      <c r="A659">
        <v>240</v>
      </c>
      <c r="B659" t="s">
        <v>658</v>
      </c>
      <c r="C659">
        <v>0</v>
      </c>
      <c r="D659">
        <v>0</v>
      </c>
      <c r="E659">
        <v>0</v>
      </c>
      <c r="F659">
        <v>0</v>
      </c>
      <c r="G659" t="s">
        <v>428</v>
      </c>
    </row>
    <row r="660" spans="1:7" x14ac:dyDescent="0.35">
      <c r="A660">
        <v>250</v>
      </c>
      <c r="B660" t="s">
        <v>198</v>
      </c>
      <c r="C660">
        <v>0</v>
      </c>
      <c r="D660">
        <v>0</v>
      </c>
      <c r="E660">
        <v>0</v>
      </c>
      <c r="F660">
        <v>0</v>
      </c>
      <c r="G660" t="s">
        <v>428</v>
      </c>
    </row>
    <row r="661" spans="1:7" x14ac:dyDescent="0.35">
      <c r="A661">
        <v>260</v>
      </c>
      <c r="B661" t="s">
        <v>629</v>
      </c>
      <c r="C661">
        <v>-200.48</v>
      </c>
      <c r="D661">
        <v>0</v>
      </c>
      <c r="E661">
        <v>-200.48</v>
      </c>
      <c r="F661">
        <v>-200.48</v>
      </c>
      <c r="G661" t="s">
        <v>428</v>
      </c>
    </row>
    <row r="662" spans="1:7" x14ac:dyDescent="0.35">
      <c r="A662">
        <v>270</v>
      </c>
      <c r="B662" t="s">
        <v>199</v>
      </c>
      <c r="C662">
        <v>0</v>
      </c>
      <c r="D662">
        <v>-289660.84999999998</v>
      </c>
      <c r="E662">
        <v>-289660.84999999998</v>
      </c>
      <c r="F662">
        <v>0</v>
      </c>
      <c r="G662" t="s">
        <v>428</v>
      </c>
    </row>
    <row r="663" spans="1:7" x14ac:dyDescent="0.35">
      <c r="A663">
        <v>300</v>
      </c>
      <c r="B663" t="s">
        <v>222</v>
      </c>
      <c r="C663">
        <v>0</v>
      </c>
      <c r="D663">
        <v>480155.07</v>
      </c>
      <c r="E663">
        <v>480155.07</v>
      </c>
      <c r="F663">
        <v>0</v>
      </c>
      <c r="G663" t="s">
        <v>428</v>
      </c>
    </row>
    <row r="664" spans="1:7" x14ac:dyDescent="0.35">
      <c r="A664">
        <v>310</v>
      </c>
      <c r="B664" t="s">
        <v>630</v>
      </c>
      <c r="C664">
        <v>0</v>
      </c>
      <c r="D664">
        <v>0</v>
      </c>
      <c r="E664">
        <v>0</v>
      </c>
      <c r="F664">
        <v>0</v>
      </c>
      <c r="G664" t="s">
        <v>428</v>
      </c>
    </row>
    <row r="665" spans="1:7" x14ac:dyDescent="0.35">
      <c r="A665">
        <v>320</v>
      </c>
      <c r="B665" t="s">
        <v>248</v>
      </c>
      <c r="C665">
        <v>0</v>
      </c>
      <c r="D665">
        <v>0</v>
      </c>
      <c r="E665">
        <v>0</v>
      </c>
      <c r="F665">
        <v>0</v>
      </c>
      <c r="G665" t="s">
        <v>428</v>
      </c>
    </row>
    <row r="666" spans="1:7" x14ac:dyDescent="0.35">
      <c r="A666">
        <v>325</v>
      </c>
      <c r="B666" t="s">
        <v>249</v>
      </c>
      <c r="C666">
        <v>0</v>
      </c>
      <c r="D666">
        <v>-6800.42</v>
      </c>
      <c r="E666">
        <v>-6800.42</v>
      </c>
      <c r="F666">
        <v>0</v>
      </c>
      <c r="G666" t="s">
        <v>428</v>
      </c>
    </row>
    <row r="667" spans="1:7" x14ac:dyDescent="0.35">
      <c r="A667">
        <v>330</v>
      </c>
      <c r="B667" t="s">
        <v>631</v>
      </c>
      <c r="C667">
        <v>0</v>
      </c>
      <c r="D667">
        <v>6800.42</v>
      </c>
      <c r="E667">
        <v>6800.42</v>
      </c>
      <c r="F667">
        <v>0</v>
      </c>
      <c r="G667" t="s">
        <v>428</v>
      </c>
    </row>
    <row r="668" spans="1:7" x14ac:dyDescent="0.35">
      <c r="A668">
        <v>340</v>
      </c>
      <c r="B668" t="s">
        <v>632</v>
      </c>
      <c r="C668">
        <v>0</v>
      </c>
      <c r="D668">
        <v>0</v>
      </c>
      <c r="E668">
        <v>0</v>
      </c>
      <c r="F668">
        <v>0</v>
      </c>
      <c r="G668" t="s">
        <v>428</v>
      </c>
    </row>
    <row r="669" spans="1:7" x14ac:dyDescent="0.35">
      <c r="A669">
        <v>350</v>
      </c>
      <c r="B669" t="s">
        <v>659</v>
      </c>
      <c r="C669">
        <v>0</v>
      </c>
      <c r="D669">
        <v>0</v>
      </c>
      <c r="E669">
        <v>0</v>
      </c>
      <c r="F669">
        <v>0</v>
      </c>
      <c r="G669" t="s">
        <v>428</v>
      </c>
    </row>
    <row r="670" spans="1:7" x14ac:dyDescent="0.35">
      <c r="A670">
        <v>380</v>
      </c>
      <c r="B670" t="s">
        <v>660</v>
      </c>
      <c r="C670">
        <v>-200.48</v>
      </c>
      <c r="D670">
        <v>190494.22</v>
      </c>
      <c r="E670">
        <v>190293.74</v>
      </c>
      <c r="F670">
        <v>-200.48</v>
      </c>
      <c r="G670" t="s">
        <v>428</v>
      </c>
    </row>
    <row r="671" spans="1:7" x14ac:dyDescent="0.35">
      <c r="A671">
        <v>390</v>
      </c>
      <c r="B671" t="s">
        <v>250</v>
      </c>
      <c r="C671">
        <v>0</v>
      </c>
      <c r="D671">
        <v>0</v>
      </c>
      <c r="E671">
        <v>0</v>
      </c>
      <c r="F671">
        <v>0</v>
      </c>
      <c r="G671" t="s">
        <v>428</v>
      </c>
    </row>
    <row r="672" spans="1:7" x14ac:dyDescent="0.35">
      <c r="A672">
        <v>400</v>
      </c>
      <c r="B672" t="s">
        <v>251</v>
      </c>
      <c r="C672">
        <v>0</v>
      </c>
      <c r="D672">
        <v>0</v>
      </c>
      <c r="E672">
        <v>0</v>
      </c>
      <c r="F672">
        <v>0</v>
      </c>
      <c r="G672" t="s">
        <v>428</v>
      </c>
    </row>
    <row r="673" spans="1:7" x14ac:dyDescent="0.35">
      <c r="A673">
        <v>405</v>
      </c>
      <c r="B673" t="s">
        <v>252</v>
      </c>
      <c r="C673">
        <v>0</v>
      </c>
      <c r="D673">
        <v>242088.13</v>
      </c>
      <c r="E673">
        <v>242088.13</v>
      </c>
      <c r="F673">
        <v>0</v>
      </c>
      <c r="G673" t="s">
        <v>428</v>
      </c>
    </row>
    <row r="674" spans="1:7" x14ac:dyDescent="0.35">
      <c r="A674">
        <v>410</v>
      </c>
      <c r="B674" t="s">
        <v>237</v>
      </c>
      <c r="C674">
        <v>0</v>
      </c>
      <c r="D674">
        <v>15050000</v>
      </c>
      <c r="E674">
        <v>15050000</v>
      </c>
      <c r="F674">
        <v>0</v>
      </c>
      <c r="G674" t="s">
        <v>428</v>
      </c>
    </row>
    <row r="675" spans="1:7" x14ac:dyDescent="0.35">
      <c r="A675">
        <v>420</v>
      </c>
      <c r="B675" t="s">
        <v>661</v>
      </c>
      <c r="C675">
        <v>0</v>
      </c>
      <c r="D675">
        <v>0</v>
      </c>
      <c r="E675">
        <v>0</v>
      </c>
      <c r="F675">
        <v>0</v>
      </c>
      <c r="G675" t="s">
        <v>428</v>
      </c>
    </row>
    <row r="676" spans="1:7" x14ac:dyDescent="0.35">
      <c r="A676">
        <v>425</v>
      </c>
      <c r="B676" t="s">
        <v>634</v>
      </c>
      <c r="C676">
        <v>0</v>
      </c>
      <c r="D676">
        <v>0</v>
      </c>
      <c r="E676">
        <v>0</v>
      </c>
      <c r="F676">
        <v>0</v>
      </c>
      <c r="G676" t="s">
        <v>428</v>
      </c>
    </row>
    <row r="677" spans="1:7" x14ac:dyDescent="0.35">
      <c r="A677">
        <v>427</v>
      </c>
      <c r="B677" t="s">
        <v>662</v>
      </c>
      <c r="C677">
        <v>0</v>
      </c>
      <c r="D677">
        <v>0</v>
      </c>
      <c r="E677">
        <v>0</v>
      </c>
      <c r="F677">
        <v>0</v>
      </c>
      <c r="G677" t="s">
        <v>428</v>
      </c>
    </row>
    <row r="678" spans="1:7" x14ac:dyDescent="0.35">
      <c r="A678">
        <v>430</v>
      </c>
      <c r="B678" t="s">
        <v>254</v>
      </c>
      <c r="C678">
        <v>0</v>
      </c>
      <c r="D678">
        <v>-5946985.6200000001</v>
      </c>
      <c r="E678">
        <v>-5946985.6200000001</v>
      </c>
      <c r="F678">
        <v>0</v>
      </c>
      <c r="G678" t="s">
        <v>428</v>
      </c>
    </row>
    <row r="679" spans="1:7" x14ac:dyDescent="0.35">
      <c r="A679">
        <v>440</v>
      </c>
      <c r="B679" t="s">
        <v>255</v>
      </c>
      <c r="C679">
        <v>0</v>
      </c>
      <c r="D679">
        <v>9345102.5099999998</v>
      </c>
      <c r="E679">
        <v>9345102.5099999998</v>
      </c>
      <c r="F679">
        <v>0</v>
      </c>
      <c r="G679" t="s">
        <v>428</v>
      </c>
    </row>
    <row r="680" spans="1:7" x14ac:dyDescent="0.35">
      <c r="A680">
        <v>450</v>
      </c>
      <c r="B680" t="s">
        <v>256</v>
      </c>
      <c r="C680">
        <v>0</v>
      </c>
      <c r="D680">
        <v>0</v>
      </c>
      <c r="E680">
        <v>0</v>
      </c>
      <c r="F680">
        <v>0</v>
      </c>
      <c r="G680" t="s">
        <v>428</v>
      </c>
    </row>
    <row r="681" spans="1:7" x14ac:dyDescent="0.35">
      <c r="A681">
        <v>455</v>
      </c>
      <c r="B681" t="s">
        <v>663</v>
      </c>
      <c r="C681">
        <v>0</v>
      </c>
      <c r="D681">
        <v>0</v>
      </c>
      <c r="E681">
        <v>0</v>
      </c>
      <c r="F681">
        <v>0</v>
      </c>
      <c r="G681" t="s">
        <v>428</v>
      </c>
    </row>
    <row r="682" spans="1:7" x14ac:dyDescent="0.35">
      <c r="A682">
        <v>456</v>
      </c>
      <c r="B682" t="s">
        <v>636</v>
      </c>
      <c r="C682">
        <v>0</v>
      </c>
      <c r="D682">
        <v>0</v>
      </c>
      <c r="E682">
        <v>0</v>
      </c>
      <c r="F682">
        <v>0</v>
      </c>
      <c r="G682" t="s">
        <v>428</v>
      </c>
    </row>
    <row r="683" spans="1:7" x14ac:dyDescent="0.35">
      <c r="A683">
        <v>460</v>
      </c>
      <c r="B683" t="s">
        <v>208</v>
      </c>
      <c r="C683">
        <v>0</v>
      </c>
      <c r="D683">
        <v>-1</v>
      </c>
      <c r="E683">
        <v>-1</v>
      </c>
      <c r="F683">
        <v>0</v>
      </c>
      <c r="G683" t="s">
        <v>428</v>
      </c>
    </row>
    <row r="684" spans="1:7" x14ac:dyDescent="0.35">
      <c r="A684">
        <v>470</v>
      </c>
      <c r="B684" t="s">
        <v>664</v>
      </c>
      <c r="C684">
        <v>0</v>
      </c>
      <c r="D684">
        <v>0</v>
      </c>
      <c r="E684">
        <v>0</v>
      </c>
      <c r="F684">
        <v>0</v>
      </c>
      <c r="G684" t="s">
        <v>428</v>
      </c>
    </row>
    <row r="685" spans="1:7" x14ac:dyDescent="0.35">
      <c r="A685">
        <v>480</v>
      </c>
      <c r="B685" t="s">
        <v>207</v>
      </c>
      <c r="C685">
        <v>0</v>
      </c>
      <c r="D685">
        <v>0</v>
      </c>
      <c r="E685">
        <v>0</v>
      </c>
      <c r="F685">
        <v>0</v>
      </c>
      <c r="G685" t="s">
        <v>428</v>
      </c>
    </row>
    <row r="686" spans="1:7" x14ac:dyDescent="0.35">
      <c r="A686">
        <v>490</v>
      </c>
      <c r="B686" t="s">
        <v>665</v>
      </c>
      <c r="C686">
        <v>0</v>
      </c>
      <c r="D686">
        <v>0</v>
      </c>
      <c r="E686">
        <v>0</v>
      </c>
      <c r="F686">
        <v>0</v>
      </c>
      <c r="G686" t="s">
        <v>428</v>
      </c>
    </row>
    <row r="687" spans="1:7" x14ac:dyDescent="0.35">
      <c r="A687">
        <v>500</v>
      </c>
      <c r="B687" t="s">
        <v>206</v>
      </c>
      <c r="C687">
        <v>0</v>
      </c>
      <c r="D687">
        <v>-1</v>
      </c>
      <c r="E687">
        <v>-1</v>
      </c>
      <c r="F687">
        <v>0</v>
      </c>
      <c r="G687" t="s">
        <v>428</v>
      </c>
    </row>
    <row r="688" spans="1:7" x14ac:dyDescent="0.35">
      <c r="A688">
        <v>510</v>
      </c>
      <c r="B688" t="s">
        <v>639</v>
      </c>
      <c r="C688">
        <v>0</v>
      </c>
      <c r="D688">
        <v>0</v>
      </c>
      <c r="E688">
        <v>0</v>
      </c>
      <c r="F688">
        <v>0</v>
      </c>
      <c r="G688" t="s">
        <v>428</v>
      </c>
    </row>
    <row r="689" spans="1:7" x14ac:dyDescent="0.35">
      <c r="A689">
        <v>512</v>
      </c>
      <c r="B689" t="s">
        <v>666</v>
      </c>
      <c r="C689">
        <v>0</v>
      </c>
      <c r="D689">
        <v>-1</v>
      </c>
      <c r="E689">
        <v>-1</v>
      </c>
      <c r="F689">
        <v>0</v>
      </c>
      <c r="G689" t="s">
        <v>428</v>
      </c>
    </row>
    <row r="690" spans="1:7" x14ac:dyDescent="0.35">
      <c r="A690">
        <v>514</v>
      </c>
      <c r="B690" t="s">
        <v>640</v>
      </c>
      <c r="C690">
        <v>0</v>
      </c>
      <c r="D690">
        <v>0</v>
      </c>
      <c r="E690">
        <v>0</v>
      </c>
      <c r="F690">
        <v>0</v>
      </c>
      <c r="G690" t="s">
        <v>428</v>
      </c>
    </row>
    <row r="691" spans="1:7" x14ac:dyDescent="0.35">
      <c r="A691">
        <v>520</v>
      </c>
      <c r="B691" t="s">
        <v>667</v>
      </c>
      <c r="C691">
        <v>0</v>
      </c>
      <c r="D691">
        <v>0</v>
      </c>
      <c r="E691">
        <v>0</v>
      </c>
      <c r="F691">
        <v>0</v>
      </c>
      <c r="G691" t="s">
        <v>428</v>
      </c>
    </row>
    <row r="692" spans="1:7" x14ac:dyDescent="0.35">
      <c r="A692">
        <v>530</v>
      </c>
      <c r="B692" t="s">
        <v>642</v>
      </c>
      <c r="C692">
        <v>0</v>
      </c>
      <c r="D692">
        <v>0</v>
      </c>
      <c r="E692">
        <v>0</v>
      </c>
      <c r="F692">
        <v>0</v>
      </c>
      <c r="G692" t="s">
        <v>428</v>
      </c>
    </row>
    <row r="693" spans="1:7" x14ac:dyDescent="0.35">
      <c r="A693">
        <v>540</v>
      </c>
      <c r="B693" t="s">
        <v>668</v>
      </c>
      <c r="C693">
        <v>0</v>
      </c>
      <c r="D693">
        <v>-1</v>
      </c>
      <c r="E693">
        <v>-1</v>
      </c>
      <c r="F693">
        <v>0</v>
      </c>
      <c r="G693" t="s">
        <v>428</v>
      </c>
    </row>
    <row r="694" spans="1:7" x14ac:dyDescent="0.35">
      <c r="A694">
        <v>550</v>
      </c>
      <c r="B694" t="s">
        <v>669</v>
      </c>
      <c r="C694">
        <v>0</v>
      </c>
      <c r="D694">
        <v>0</v>
      </c>
      <c r="E694">
        <v>0</v>
      </c>
      <c r="F694">
        <v>0</v>
      </c>
      <c r="G694" t="s">
        <v>428</v>
      </c>
    </row>
    <row r="695" spans="1:7" x14ac:dyDescent="0.35">
      <c r="A695">
        <v>560</v>
      </c>
      <c r="B695" t="s">
        <v>645</v>
      </c>
      <c r="C695">
        <v>0</v>
      </c>
      <c r="D695">
        <v>0</v>
      </c>
      <c r="E695">
        <v>0</v>
      </c>
      <c r="F695">
        <v>0</v>
      </c>
      <c r="G695" t="s">
        <v>428</v>
      </c>
    </row>
    <row r="696" spans="1:7" x14ac:dyDescent="0.35">
      <c r="A696">
        <v>570</v>
      </c>
      <c r="B696" t="s">
        <v>646</v>
      </c>
      <c r="C696">
        <v>0</v>
      </c>
      <c r="D696">
        <v>0</v>
      </c>
      <c r="E696">
        <v>0</v>
      </c>
      <c r="F696">
        <v>0</v>
      </c>
      <c r="G696" t="s">
        <v>428</v>
      </c>
    </row>
    <row r="697" spans="1:7" x14ac:dyDescent="0.35">
      <c r="A697">
        <v>580</v>
      </c>
      <c r="B697" t="s">
        <v>258</v>
      </c>
      <c r="C697">
        <v>0</v>
      </c>
      <c r="D697">
        <v>0</v>
      </c>
      <c r="E697">
        <v>0</v>
      </c>
      <c r="F697">
        <v>0</v>
      </c>
      <c r="G697" t="s">
        <v>428</v>
      </c>
    </row>
    <row r="698" spans="1:7" x14ac:dyDescent="0.35">
      <c r="A698">
        <v>590</v>
      </c>
      <c r="B698" t="s">
        <v>670</v>
      </c>
      <c r="C698">
        <v>0</v>
      </c>
      <c r="D698">
        <v>0</v>
      </c>
      <c r="E698">
        <v>0</v>
      </c>
      <c r="F698">
        <v>0</v>
      </c>
      <c r="G698" t="s">
        <v>428</v>
      </c>
    </row>
    <row r="699" spans="1:7" x14ac:dyDescent="0.35">
      <c r="A699">
        <v>600</v>
      </c>
      <c r="B699" t="s">
        <v>671</v>
      </c>
      <c r="C699">
        <v>0</v>
      </c>
      <c r="D699">
        <v>0</v>
      </c>
      <c r="E699">
        <v>0</v>
      </c>
      <c r="F699">
        <v>0</v>
      </c>
      <c r="G699" t="s">
        <v>428</v>
      </c>
    </row>
    <row r="700" spans="1:7" x14ac:dyDescent="0.35">
      <c r="A700">
        <v>610</v>
      </c>
      <c r="B700" t="s">
        <v>672</v>
      </c>
      <c r="C700">
        <v>0</v>
      </c>
      <c r="D700">
        <v>0</v>
      </c>
      <c r="E700">
        <v>0</v>
      </c>
      <c r="F700">
        <v>0</v>
      </c>
      <c r="G700" t="s">
        <v>428</v>
      </c>
    </row>
    <row r="701" spans="1:7" x14ac:dyDescent="0.35">
      <c r="A701">
        <v>615</v>
      </c>
      <c r="B701" t="s">
        <v>673</v>
      </c>
      <c r="C701">
        <v>0</v>
      </c>
      <c r="D701">
        <v>0</v>
      </c>
      <c r="E701">
        <v>0</v>
      </c>
      <c r="F701">
        <v>0</v>
      </c>
      <c r="G701" t="s">
        <v>428</v>
      </c>
    </row>
    <row r="702" spans="1:7" x14ac:dyDescent="0.35">
      <c r="A702">
        <v>620</v>
      </c>
      <c r="B702" t="s">
        <v>260</v>
      </c>
      <c r="C702">
        <v>0</v>
      </c>
      <c r="D702">
        <v>0</v>
      </c>
      <c r="E702">
        <v>0</v>
      </c>
      <c r="F702">
        <v>0</v>
      </c>
      <c r="G702" t="s">
        <v>428</v>
      </c>
    </row>
    <row r="703" spans="1:7" x14ac:dyDescent="0.35">
      <c r="A703">
        <v>630</v>
      </c>
      <c r="B703" t="s">
        <v>261</v>
      </c>
      <c r="C703">
        <v>0</v>
      </c>
      <c r="D703">
        <v>0</v>
      </c>
      <c r="E703">
        <v>0</v>
      </c>
      <c r="F703">
        <v>0</v>
      </c>
      <c r="G703" t="s">
        <v>428</v>
      </c>
    </row>
    <row r="704" spans="1:7" x14ac:dyDescent="0.35">
      <c r="A704">
        <v>635</v>
      </c>
      <c r="B704" t="s">
        <v>674</v>
      </c>
      <c r="C704">
        <v>0</v>
      </c>
      <c r="D704">
        <v>0</v>
      </c>
      <c r="E704">
        <v>0</v>
      </c>
      <c r="F704">
        <v>0</v>
      </c>
      <c r="G704" t="s">
        <v>428</v>
      </c>
    </row>
    <row r="705" spans="1:7" x14ac:dyDescent="0.35">
      <c r="A705">
        <v>640</v>
      </c>
      <c r="B705" t="s">
        <v>262</v>
      </c>
      <c r="C705">
        <v>0</v>
      </c>
      <c r="D705">
        <v>-4</v>
      </c>
      <c r="E705">
        <v>-4</v>
      </c>
      <c r="F705">
        <v>0</v>
      </c>
      <c r="G705" t="s">
        <v>428</v>
      </c>
    </row>
    <row r="706" spans="1:7" x14ac:dyDescent="0.35">
      <c r="A706">
        <v>650</v>
      </c>
      <c r="B706" t="s">
        <v>263</v>
      </c>
      <c r="C706">
        <v>-1453.48</v>
      </c>
      <c r="D706">
        <v>9535592.7300000004</v>
      </c>
      <c r="E706">
        <v>9534139.25</v>
      </c>
      <c r="F706">
        <v>-1453.48</v>
      </c>
      <c r="G706" t="s">
        <v>428</v>
      </c>
    </row>
    <row r="707" spans="1:7" x14ac:dyDescent="0.35">
      <c r="A707" t="s">
        <v>492</v>
      </c>
      <c r="B707" t="s">
        <v>416</v>
      </c>
      <c r="C707" t="s">
        <v>608</v>
      </c>
      <c r="D707" t="s">
        <v>609</v>
      </c>
      <c r="E707" t="s">
        <v>610</v>
      </c>
      <c r="F707" t="s">
        <v>611</v>
      </c>
      <c r="G707" t="s">
        <v>121</v>
      </c>
    </row>
    <row r="708" spans="1:7" x14ac:dyDescent="0.35">
      <c r="A708">
        <v>10</v>
      </c>
      <c r="B708" t="s">
        <v>612</v>
      </c>
      <c r="C708">
        <v>0</v>
      </c>
      <c r="D708">
        <v>0</v>
      </c>
      <c r="E708">
        <v>0</v>
      </c>
      <c r="F708">
        <v>0</v>
      </c>
      <c r="G708" t="s">
        <v>428</v>
      </c>
    </row>
    <row r="709" spans="1:7" x14ac:dyDescent="0.35">
      <c r="A709">
        <v>20</v>
      </c>
      <c r="B709" t="s">
        <v>427</v>
      </c>
      <c r="C709">
        <v>52571553.240000002</v>
      </c>
      <c r="D709">
        <v>0</v>
      </c>
      <c r="E709">
        <v>52571553.240000002</v>
      </c>
      <c r="F709">
        <v>52571553.240000002</v>
      </c>
      <c r="G709" t="s">
        <v>428</v>
      </c>
    </row>
    <row r="710" spans="1:7" x14ac:dyDescent="0.35">
      <c r="A710">
        <v>30</v>
      </c>
      <c r="B710" t="s">
        <v>613</v>
      </c>
      <c r="C710">
        <v>107784.9</v>
      </c>
      <c r="D710">
        <v>0</v>
      </c>
      <c r="E710">
        <v>107784.9</v>
      </c>
      <c r="F710">
        <v>107784.9</v>
      </c>
      <c r="G710" t="s">
        <v>428</v>
      </c>
    </row>
    <row r="711" spans="1:7" x14ac:dyDescent="0.35">
      <c r="A711">
        <v>35</v>
      </c>
      <c r="B711" t="s">
        <v>614</v>
      </c>
      <c r="C711">
        <v>52463768.340000004</v>
      </c>
      <c r="D711">
        <v>0</v>
      </c>
      <c r="E711">
        <v>52463768.340000004</v>
      </c>
      <c r="F711">
        <v>52463768.340000004</v>
      </c>
      <c r="G711" t="s">
        <v>428</v>
      </c>
    </row>
    <row r="712" spans="1:7" x14ac:dyDescent="0.35">
      <c r="A712">
        <v>40</v>
      </c>
      <c r="B712" t="s">
        <v>615</v>
      </c>
      <c r="C712">
        <v>43447640.039999999</v>
      </c>
      <c r="D712">
        <v>0</v>
      </c>
      <c r="E712">
        <v>43447640.039999999</v>
      </c>
      <c r="F712">
        <v>43447640.039999999</v>
      </c>
      <c r="G712" t="s">
        <v>428</v>
      </c>
    </row>
    <row r="713" spans="1:7" x14ac:dyDescent="0.35">
      <c r="A713">
        <v>50</v>
      </c>
      <c r="B713" t="s">
        <v>616</v>
      </c>
      <c r="C713">
        <v>0</v>
      </c>
      <c r="D713">
        <v>0</v>
      </c>
      <c r="E713">
        <v>0</v>
      </c>
      <c r="F713">
        <v>0</v>
      </c>
      <c r="G713" t="s">
        <v>428</v>
      </c>
    </row>
    <row r="714" spans="1:7" x14ac:dyDescent="0.35">
      <c r="A714">
        <v>60</v>
      </c>
      <c r="B714" t="s">
        <v>617</v>
      </c>
      <c r="C714">
        <v>9016128.3000000007</v>
      </c>
      <c r="D714">
        <v>0</v>
      </c>
      <c r="E714">
        <v>9016128.3000000007</v>
      </c>
      <c r="F714">
        <v>9016128.3000000007</v>
      </c>
      <c r="G714" t="s">
        <v>428</v>
      </c>
    </row>
    <row r="715" spans="1:7" x14ac:dyDescent="0.35">
      <c r="A715">
        <v>70</v>
      </c>
      <c r="B715" t="s">
        <v>433</v>
      </c>
      <c r="C715">
        <v>4154787.93</v>
      </c>
      <c r="D715">
        <v>0</v>
      </c>
      <c r="E715">
        <v>4154787.93</v>
      </c>
      <c r="F715">
        <v>4154787.93</v>
      </c>
      <c r="G715" t="s">
        <v>428</v>
      </c>
    </row>
    <row r="716" spans="1:7" x14ac:dyDescent="0.35">
      <c r="A716">
        <v>80</v>
      </c>
      <c r="B716" t="s">
        <v>434</v>
      </c>
      <c r="C716">
        <v>2684310.41</v>
      </c>
      <c r="D716">
        <v>0</v>
      </c>
      <c r="E716">
        <v>2684310.41</v>
      </c>
      <c r="F716">
        <v>2684310.41</v>
      </c>
      <c r="G716" t="s">
        <v>428</v>
      </c>
    </row>
    <row r="717" spans="1:7" x14ac:dyDescent="0.35">
      <c r="A717">
        <v>90</v>
      </c>
      <c r="B717" t="s">
        <v>618</v>
      </c>
      <c r="C717">
        <v>355150.84</v>
      </c>
      <c r="D717">
        <v>0</v>
      </c>
      <c r="E717">
        <v>355150.84</v>
      </c>
      <c r="F717">
        <v>355150.84</v>
      </c>
      <c r="G717" t="s">
        <v>428</v>
      </c>
    </row>
    <row r="718" spans="1:7" x14ac:dyDescent="0.35">
      <c r="A718">
        <v>100</v>
      </c>
      <c r="B718" t="s">
        <v>619</v>
      </c>
      <c r="C718">
        <v>1821879.12</v>
      </c>
      <c r="D718">
        <v>0</v>
      </c>
      <c r="E718">
        <v>1821879.12</v>
      </c>
      <c r="F718">
        <v>1821879.12</v>
      </c>
      <c r="G718" t="s">
        <v>428</v>
      </c>
    </row>
    <row r="719" spans="1:7" x14ac:dyDescent="0.35">
      <c r="A719">
        <v>110</v>
      </c>
      <c r="B719" t="s">
        <v>620</v>
      </c>
      <c r="C719">
        <v>-965.53</v>
      </c>
      <c r="D719">
        <v>0</v>
      </c>
      <c r="E719">
        <v>-965.53</v>
      </c>
      <c r="F719">
        <v>-965.53</v>
      </c>
      <c r="G719" t="s">
        <v>428</v>
      </c>
    </row>
    <row r="720" spans="1:7" x14ac:dyDescent="0.35">
      <c r="A720">
        <v>120</v>
      </c>
      <c r="B720" t="s">
        <v>621</v>
      </c>
      <c r="C720">
        <v>-628075.91</v>
      </c>
      <c r="D720">
        <v>0</v>
      </c>
      <c r="E720">
        <v>-628075.91</v>
      </c>
      <c r="F720">
        <v>-628075.91</v>
      </c>
      <c r="G720" t="s">
        <v>428</v>
      </c>
    </row>
    <row r="721" spans="1:7" x14ac:dyDescent="0.35">
      <c r="A721">
        <v>130</v>
      </c>
      <c r="B721" t="s">
        <v>622</v>
      </c>
      <c r="C721">
        <v>22.86</v>
      </c>
      <c r="D721">
        <v>0</v>
      </c>
      <c r="E721">
        <v>22.86</v>
      </c>
      <c r="F721">
        <v>22.86</v>
      </c>
      <c r="G721" t="s">
        <v>428</v>
      </c>
    </row>
    <row r="722" spans="1:7" x14ac:dyDescent="0.35">
      <c r="A722">
        <v>140</v>
      </c>
      <c r="B722" t="s">
        <v>623</v>
      </c>
      <c r="C722">
        <v>0.22</v>
      </c>
      <c r="D722">
        <v>0</v>
      </c>
      <c r="E722">
        <v>0.22</v>
      </c>
      <c r="F722">
        <v>0.22</v>
      </c>
      <c r="G722" t="s">
        <v>428</v>
      </c>
    </row>
    <row r="723" spans="1:7" x14ac:dyDescent="0.35">
      <c r="A723">
        <v>145</v>
      </c>
      <c r="B723" t="s">
        <v>443</v>
      </c>
      <c r="C723">
        <v>-629018.80000000005</v>
      </c>
      <c r="D723">
        <v>0</v>
      </c>
      <c r="E723">
        <v>-629018.80000000005</v>
      </c>
      <c r="F723">
        <v>-629018.80000000005</v>
      </c>
      <c r="G723" t="s">
        <v>428</v>
      </c>
    </row>
    <row r="724" spans="1:7" x14ac:dyDescent="0.35">
      <c r="A724">
        <v>150</v>
      </c>
      <c r="B724" t="s">
        <v>624</v>
      </c>
      <c r="C724">
        <v>2450897.9199999999</v>
      </c>
      <c r="D724">
        <v>0</v>
      </c>
      <c r="E724">
        <v>2450897.9199999999</v>
      </c>
      <c r="F724">
        <v>2450897.9199999999</v>
      </c>
      <c r="G724" t="s">
        <v>428</v>
      </c>
    </row>
    <row r="725" spans="1:7" x14ac:dyDescent="0.35">
      <c r="A725">
        <v>160</v>
      </c>
      <c r="B725" t="s">
        <v>625</v>
      </c>
      <c r="C725">
        <v>1382151.46</v>
      </c>
      <c r="D725">
        <v>0</v>
      </c>
      <c r="E725">
        <v>1382151.46</v>
      </c>
      <c r="F725">
        <v>1382151.46</v>
      </c>
      <c r="G725" t="s">
        <v>428</v>
      </c>
    </row>
    <row r="726" spans="1:7" x14ac:dyDescent="0.35">
      <c r="A726">
        <v>170</v>
      </c>
      <c r="B726" t="s">
        <v>447</v>
      </c>
      <c r="C726">
        <v>1068746.46</v>
      </c>
      <c r="D726">
        <v>0</v>
      </c>
      <c r="E726">
        <v>1068746.46</v>
      </c>
      <c r="F726">
        <v>1068746.46</v>
      </c>
      <c r="G726" t="s">
        <v>428</v>
      </c>
    </row>
    <row r="727" spans="1:7" x14ac:dyDescent="0.35">
      <c r="A727">
        <v>190</v>
      </c>
      <c r="B727" t="s">
        <v>626</v>
      </c>
      <c r="C727">
        <v>0</v>
      </c>
      <c r="D727">
        <v>0</v>
      </c>
      <c r="E727">
        <v>0</v>
      </c>
      <c r="F727">
        <v>0</v>
      </c>
      <c r="G727" t="s">
        <v>428</v>
      </c>
    </row>
    <row r="728" spans="1:7" x14ac:dyDescent="0.35">
      <c r="A728">
        <v>200</v>
      </c>
      <c r="B728" t="s">
        <v>447</v>
      </c>
      <c r="C728">
        <v>1068746.46</v>
      </c>
      <c r="D728">
        <v>0</v>
      </c>
      <c r="E728">
        <v>1068746.46</v>
      </c>
      <c r="F728">
        <v>1068746.46</v>
      </c>
      <c r="G728" t="s">
        <v>428</v>
      </c>
    </row>
    <row r="729" spans="1:7" x14ac:dyDescent="0.35">
      <c r="A729">
        <v>210</v>
      </c>
      <c r="B729" t="s">
        <v>247</v>
      </c>
      <c r="C729">
        <v>1068746.46</v>
      </c>
      <c r="D729">
        <v>0</v>
      </c>
      <c r="E729">
        <v>1068746.46</v>
      </c>
      <c r="F729">
        <v>1068746.46</v>
      </c>
      <c r="G729" t="s">
        <v>428</v>
      </c>
    </row>
    <row r="730" spans="1:7" x14ac:dyDescent="0.35">
      <c r="A730">
        <v>220</v>
      </c>
      <c r="B730" t="s">
        <v>627</v>
      </c>
      <c r="C730">
        <v>0</v>
      </c>
      <c r="D730">
        <v>0</v>
      </c>
      <c r="E730">
        <v>0</v>
      </c>
      <c r="F730">
        <v>0</v>
      </c>
      <c r="G730" t="s">
        <v>428</v>
      </c>
    </row>
    <row r="731" spans="1:7" x14ac:dyDescent="0.35">
      <c r="A731">
        <v>230</v>
      </c>
      <c r="B731" t="s">
        <v>196</v>
      </c>
      <c r="C731">
        <v>-2247222.84</v>
      </c>
      <c r="D731">
        <v>-5810133.3499999996</v>
      </c>
      <c r="E731">
        <v>-8057356.1900000004</v>
      </c>
      <c r="F731">
        <v>-2247222.84</v>
      </c>
      <c r="G731" t="s">
        <v>428</v>
      </c>
    </row>
    <row r="732" spans="1:7" x14ac:dyDescent="0.35">
      <c r="A732">
        <v>235</v>
      </c>
      <c r="B732" t="s">
        <v>628</v>
      </c>
      <c r="C732">
        <v>-4440.6899999999996</v>
      </c>
      <c r="D732">
        <v>-24733.05</v>
      </c>
      <c r="E732">
        <v>-29173.74</v>
      </c>
      <c r="F732">
        <v>-4440.6899999999996</v>
      </c>
      <c r="G732" t="s">
        <v>428</v>
      </c>
    </row>
    <row r="733" spans="1:7" x14ac:dyDescent="0.35">
      <c r="A733">
        <v>240</v>
      </c>
      <c r="B733" t="s">
        <v>197</v>
      </c>
      <c r="C733">
        <v>-14835706.07</v>
      </c>
      <c r="D733">
        <v>-10195554.550000001</v>
      </c>
      <c r="E733">
        <v>-25031260.620000001</v>
      </c>
      <c r="F733">
        <v>-14835706.07</v>
      </c>
      <c r="G733" t="s">
        <v>428</v>
      </c>
    </row>
    <row r="734" spans="1:7" x14ac:dyDescent="0.35">
      <c r="A734">
        <v>250</v>
      </c>
      <c r="B734" t="s">
        <v>198</v>
      </c>
      <c r="C734">
        <v>-1126495.51</v>
      </c>
      <c r="D734">
        <v>-3929823.1</v>
      </c>
      <c r="E734">
        <v>-5056318.6100000003</v>
      </c>
      <c r="F734">
        <v>-1126495.51</v>
      </c>
      <c r="G734" t="s">
        <v>428</v>
      </c>
    </row>
    <row r="735" spans="1:7" x14ac:dyDescent="0.35">
      <c r="A735">
        <v>260</v>
      </c>
      <c r="B735" t="s">
        <v>629</v>
      </c>
      <c r="C735">
        <v>-1269896.33</v>
      </c>
      <c r="D735">
        <v>-3146105.96</v>
      </c>
      <c r="E735">
        <v>-4416002.29</v>
      </c>
      <c r="F735">
        <v>-1269896.33</v>
      </c>
      <c r="G735" t="s">
        <v>428</v>
      </c>
    </row>
    <row r="736" spans="1:7" x14ac:dyDescent="0.35">
      <c r="A736">
        <v>270</v>
      </c>
      <c r="B736" t="s">
        <v>199</v>
      </c>
      <c r="C736">
        <v>-0.22</v>
      </c>
      <c r="D736">
        <v>-2650038.92</v>
      </c>
      <c r="E736">
        <v>-2650039.14</v>
      </c>
      <c r="F736">
        <v>-0.22</v>
      </c>
      <c r="G736" t="s">
        <v>428</v>
      </c>
    </row>
    <row r="737" spans="1:7" x14ac:dyDescent="0.35">
      <c r="A737">
        <v>300</v>
      </c>
      <c r="B737" t="s">
        <v>222</v>
      </c>
      <c r="C737">
        <v>7200363.8899999997</v>
      </c>
      <c r="D737">
        <v>12322643.140000001</v>
      </c>
      <c r="E737">
        <v>19523007.030000001</v>
      </c>
      <c r="F737">
        <v>7200363.8899999997</v>
      </c>
      <c r="G737" t="s">
        <v>428</v>
      </c>
    </row>
    <row r="738" spans="1:7" x14ac:dyDescent="0.35">
      <c r="A738">
        <v>310</v>
      </c>
      <c r="B738" t="s">
        <v>630</v>
      </c>
      <c r="C738">
        <v>0</v>
      </c>
      <c r="D738">
        <v>0</v>
      </c>
      <c r="E738">
        <v>0</v>
      </c>
      <c r="F738">
        <v>0</v>
      </c>
      <c r="G738" t="s">
        <v>428</v>
      </c>
    </row>
    <row r="739" spans="1:7" x14ac:dyDescent="0.35">
      <c r="A739">
        <v>320</v>
      </c>
      <c r="B739" t="s">
        <v>248</v>
      </c>
      <c r="C739">
        <v>9424408.6600000001</v>
      </c>
      <c r="D739">
        <v>13873719.720000001</v>
      </c>
      <c r="E739">
        <v>23298128.379999999</v>
      </c>
      <c r="F739">
        <v>9424408.6600000001</v>
      </c>
      <c r="G739" t="s">
        <v>428</v>
      </c>
    </row>
    <row r="740" spans="1:7" x14ac:dyDescent="0.35">
      <c r="A740">
        <v>325</v>
      </c>
      <c r="B740" t="s">
        <v>249</v>
      </c>
      <c r="C740">
        <v>0</v>
      </c>
      <c r="D740">
        <v>0</v>
      </c>
      <c r="E740">
        <v>0</v>
      </c>
      <c r="F740">
        <v>0</v>
      </c>
      <c r="G740" t="s">
        <v>428</v>
      </c>
    </row>
    <row r="741" spans="1:7" x14ac:dyDescent="0.35">
      <c r="A741">
        <v>330</v>
      </c>
      <c r="B741" t="s">
        <v>631</v>
      </c>
      <c r="C741">
        <v>892116.72</v>
      </c>
      <c r="D741">
        <v>-333650.09999999998</v>
      </c>
      <c r="E741">
        <v>558466.62</v>
      </c>
      <c r="F741">
        <v>892116.72</v>
      </c>
      <c r="G741" t="s">
        <v>428</v>
      </c>
    </row>
    <row r="742" spans="1:7" x14ac:dyDescent="0.35">
      <c r="A742">
        <v>340</v>
      </c>
      <c r="B742" t="s">
        <v>632</v>
      </c>
      <c r="C742">
        <v>65673.070000000007</v>
      </c>
      <c r="D742">
        <v>2619508.52</v>
      </c>
      <c r="E742">
        <v>2685181.59</v>
      </c>
      <c r="F742">
        <v>65673.070000000007</v>
      </c>
      <c r="G742" t="s">
        <v>428</v>
      </c>
    </row>
    <row r="743" spans="1:7" x14ac:dyDescent="0.35">
      <c r="A743">
        <v>380</v>
      </c>
      <c r="B743" t="s">
        <v>633</v>
      </c>
      <c r="C743">
        <v>-1901199.32</v>
      </c>
      <c r="D743">
        <v>2725832.35</v>
      </c>
      <c r="E743">
        <v>824633.03</v>
      </c>
      <c r="F743">
        <v>-1901199.32</v>
      </c>
      <c r="G743" t="s">
        <v>428</v>
      </c>
    </row>
    <row r="744" spans="1:7" x14ac:dyDescent="0.35">
      <c r="A744">
        <v>390</v>
      </c>
      <c r="B744" t="s">
        <v>250</v>
      </c>
      <c r="C744">
        <v>0</v>
      </c>
      <c r="D744">
        <v>0</v>
      </c>
      <c r="E744">
        <v>0</v>
      </c>
      <c r="F744">
        <v>0</v>
      </c>
      <c r="G744" t="s">
        <v>428</v>
      </c>
    </row>
    <row r="745" spans="1:7" x14ac:dyDescent="0.35">
      <c r="A745">
        <v>400</v>
      </c>
      <c r="B745" t="s">
        <v>251</v>
      </c>
      <c r="C745">
        <v>0</v>
      </c>
      <c r="D745">
        <v>0.22</v>
      </c>
      <c r="E745">
        <v>0.22</v>
      </c>
      <c r="F745">
        <v>0</v>
      </c>
      <c r="G745" t="s">
        <v>428</v>
      </c>
    </row>
    <row r="746" spans="1:7" x14ac:dyDescent="0.35">
      <c r="A746">
        <v>405</v>
      </c>
      <c r="B746" t="s">
        <v>252</v>
      </c>
      <c r="C746">
        <v>0</v>
      </c>
      <c r="D746">
        <v>0</v>
      </c>
      <c r="E746">
        <v>0</v>
      </c>
      <c r="F746">
        <v>0</v>
      </c>
      <c r="G746" t="s">
        <v>428</v>
      </c>
    </row>
    <row r="747" spans="1:7" x14ac:dyDescent="0.35">
      <c r="A747">
        <v>410</v>
      </c>
      <c r="B747" t="s">
        <v>237</v>
      </c>
      <c r="C747">
        <v>0</v>
      </c>
      <c r="D747">
        <v>14657000</v>
      </c>
      <c r="E747">
        <v>14657000</v>
      </c>
      <c r="F747">
        <v>0</v>
      </c>
      <c r="G747" t="s">
        <v>428</v>
      </c>
    </row>
    <row r="748" spans="1:7" x14ac:dyDescent="0.35">
      <c r="A748">
        <v>420</v>
      </c>
      <c r="B748" t="s">
        <v>253</v>
      </c>
      <c r="C748">
        <v>0</v>
      </c>
      <c r="D748">
        <v>80073.06</v>
      </c>
      <c r="E748">
        <v>80073.06</v>
      </c>
      <c r="F748">
        <v>0</v>
      </c>
      <c r="G748" t="s">
        <v>428</v>
      </c>
    </row>
    <row r="749" spans="1:7" x14ac:dyDescent="0.35">
      <c r="A749">
        <v>425</v>
      </c>
      <c r="B749" t="s">
        <v>634</v>
      </c>
      <c r="C749">
        <v>0</v>
      </c>
      <c r="D749">
        <v>1016780.1</v>
      </c>
      <c r="E749">
        <v>1016780.1</v>
      </c>
      <c r="F749">
        <v>0</v>
      </c>
      <c r="G749" t="s">
        <v>428</v>
      </c>
    </row>
    <row r="750" spans="1:7" x14ac:dyDescent="0.35">
      <c r="A750">
        <v>427</v>
      </c>
      <c r="B750" t="s">
        <v>635</v>
      </c>
      <c r="C750">
        <v>0</v>
      </c>
      <c r="D750">
        <v>0</v>
      </c>
      <c r="E750">
        <v>0</v>
      </c>
      <c r="F750">
        <v>0</v>
      </c>
      <c r="G750" t="s">
        <v>428</v>
      </c>
    </row>
    <row r="751" spans="1:7" x14ac:dyDescent="0.35">
      <c r="A751">
        <v>430</v>
      </c>
      <c r="B751" t="s">
        <v>254</v>
      </c>
      <c r="C751">
        <v>0</v>
      </c>
      <c r="D751">
        <v>57851141.609999999</v>
      </c>
      <c r="E751">
        <v>57851141.609999999</v>
      </c>
      <c r="F751">
        <v>0</v>
      </c>
      <c r="G751" t="s">
        <v>428</v>
      </c>
    </row>
    <row r="752" spans="1:7" x14ac:dyDescent="0.35">
      <c r="A752">
        <v>440</v>
      </c>
      <c r="B752" t="s">
        <v>255</v>
      </c>
      <c r="C752">
        <v>0</v>
      </c>
      <c r="D752">
        <v>73604994.989999995</v>
      </c>
      <c r="E752">
        <v>73604994.989999995</v>
      </c>
      <c r="F752">
        <v>0</v>
      </c>
      <c r="G752" t="s">
        <v>428</v>
      </c>
    </row>
    <row r="753" spans="1:7" x14ac:dyDescent="0.35">
      <c r="A753">
        <v>450</v>
      </c>
      <c r="B753" t="s">
        <v>256</v>
      </c>
      <c r="C753">
        <v>0</v>
      </c>
      <c r="D753">
        <v>0</v>
      </c>
      <c r="E753">
        <v>0</v>
      </c>
      <c r="F753">
        <v>0</v>
      </c>
      <c r="G753" t="s">
        <v>428</v>
      </c>
    </row>
    <row r="754" spans="1:7" x14ac:dyDescent="0.35">
      <c r="A754">
        <v>455</v>
      </c>
      <c r="B754" t="s">
        <v>204</v>
      </c>
      <c r="C754">
        <v>0</v>
      </c>
      <c r="D754">
        <v>-2523693.2200000002</v>
      </c>
      <c r="E754">
        <v>-2523693.2200000002</v>
      </c>
      <c r="F754">
        <v>0</v>
      </c>
      <c r="G754" t="s">
        <v>428</v>
      </c>
    </row>
    <row r="755" spans="1:7" x14ac:dyDescent="0.35">
      <c r="A755">
        <v>456</v>
      </c>
      <c r="B755" t="s">
        <v>636</v>
      </c>
      <c r="C755">
        <v>10031.790000000001</v>
      </c>
      <c r="D755">
        <v>20530631.75</v>
      </c>
      <c r="E755">
        <v>20540663.539999999</v>
      </c>
      <c r="F755">
        <v>10031.790000000001</v>
      </c>
      <c r="G755" t="s">
        <v>428</v>
      </c>
    </row>
    <row r="756" spans="1:7" x14ac:dyDescent="0.35">
      <c r="A756">
        <v>460</v>
      </c>
      <c r="B756" t="s">
        <v>208</v>
      </c>
      <c r="C756">
        <v>-438124.34</v>
      </c>
      <c r="D756">
        <v>-29027794.170000002</v>
      </c>
      <c r="E756">
        <v>-29465918.510000002</v>
      </c>
      <c r="F756">
        <v>-438124.34</v>
      </c>
      <c r="G756" t="s">
        <v>428</v>
      </c>
    </row>
    <row r="757" spans="1:7" x14ac:dyDescent="0.35">
      <c r="A757">
        <v>470</v>
      </c>
      <c r="B757" t="s">
        <v>637</v>
      </c>
      <c r="C757">
        <v>26762.55</v>
      </c>
      <c r="D757">
        <v>8753285.8399999999</v>
      </c>
      <c r="E757">
        <v>8780048.3900000006</v>
      </c>
      <c r="F757">
        <v>26762.55</v>
      </c>
      <c r="G757" t="s">
        <v>428</v>
      </c>
    </row>
    <row r="758" spans="1:7" x14ac:dyDescent="0.35">
      <c r="A758">
        <v>480</v>
      </c>
      <c r="B758" t="s">
        <v>207</v>
      </c>
      <c r="C758">
        <v>0</v>
      </c>
      <c r="D758">
        <v>-36625728.710000001</v>
      </c>
      <c r="E758">
        <v>-36625728.710000001</v>
      </c>
      <c r="F758">
        <v>0</v>
      </c>
      <c r="G758" t="s">
        <v>428</v>
      </c>
    </row>
    <row r="759" spans="1:7" x14ac:dyDescent="0.35">
      <c r="A759">
        <v>490</v>
      </c>
      <c r="B759" t="s">
        <v>638</v>
      </c>
      <c r="C759">
        <v>289821.64</v>
      </c>
      <c r="D759">
        <v>15863135.84</v>
      </c>
      <c r="E759">
        <v>16152957.48</v>
      </c>
      <c r="F759">
        <v>289821.64</v>
      </c>
      <c r="G759" t="s">
        <v>428</v>
      </c>
    </row>
    <row r="760" spans="1:7" x14ac:dyDescent="0.35">
      <c r="A760">
        <v>500</v>
      </c>
      <c r="B760" t="s">
        <v>206</v>
      </c>
      <c r="C760">
        <v>0</v>
      </c>
      <c r="D760">
        <v>-3111709.99</v>
      </c>
      <c r="E760">
        <v>-3111709.99</v>
      </c>
      <c r="F760">
        <v>0</v>
      </c>
      <c r="G760" t="s">
        <v>428</v>
      </c>
    </row>
    <row r="761" spans="1:7" x14ac:dyDescent="0.35">
      <c r="A761">
        <v>510</v>
      </c>
      <c r="B761" t="s">
        <v>639</v>
      </c>
      <c r="C761">
        <v>21574.43</v>
      </c>
      <c r="D761">
        <v>2696934.1</v>
      </c>
      <c r="E761">
        <v>2718508.53</v>
      </c>
      <c r="F761">
        <v>21574.43</v>
      </c>
      <c r="G761" t="s">
        <v>428</v>
      </c>
    </row>
    <row r="762" spans="1:7" x14ac:dyDescent="0.35">
      <c r="A762">
        <v>512</v>
      </c>
      <c r="B762" t="s">
        <v>257</v>
      </c>
      <c r="C762">
        <v>0</v>
      </c>
      <c r="D762">
        <v>-1592225.52</v>
      </c>
      <c r="E762">
        <v>-1592225.52</v>
      </c>
      <c r="F762">
        <v>0</v>
      </c>
      <c r="G762" t="s">
        <v>428</v>
      </c>
    </row>
    <row r="763" spans="1:7" x14ac:dyDescent="0.35">
      <c r="A763">
        <v>514</v>
      </c>
      <c r="B763" t="s">
        <v>640</v>
      </c>
      <c r="C763">
        <v>6960.43</v>
      </c>
      <c r="D763">
        <v>979488.41</v>
      </c>
      <c r="E763">
        <v>986448.84</v>
      </c>
      <c r="F763">
        <v>6960.43</v>
      </c>
      <c r="G763" t="s">
        <v>428</v>
      </c>
    </row>
    <row r="764" spans="1:7" x14ac:dyDescent="0.35">
      <c r="A764">
        <v>520</v>
      </c>
      <c r="B764" t="s">
        <v>641</v>
      </c>
      <c r="C764">
        <v>0</v>
      </c>
      <c r="D764">
        <v>-10980</v>
      </c>
      <c r="E764">
        <v>-10980</v>
      </c>
      <c r="F764">
        <v>0</v>
      </c>
      <c r="G764" t="s">
        <v>428</v>
      </c>
    </row>
    <row r="765" spans="1:7" x14ac:dyDescent="0.35">
      <c r="A765">
        <v>530</v>
      </c>
      <c r="B765" t="s">
        <v>642</v>
      </c>
      <c r="C765">
        <v>0</v>
      </c>
      <c r="D765">
        <v>0</v>
      </c>
      <c r="E765">
        <v>0</v>
      </c>
      <c r="F765">
        <v>0</v>
      </c>
      <c r="G765" t="s">
        <v>428</v>
      </c>
    </row>
    <row r="766" spans="1:7" x14ac:dyDescent="0.35">
      <c r="A766">
        <v>540</v>
      </c>
      <c r="B766" t="s">
        <v>643</v>
      </c>
      <c r="C766">
        <v>0</v>
      </c>
      <c r="D766">
        <v>-12093</v>
      </c>
      <c r="E766">
        <v>-12093</v>
      </c>
      <c r="F766">
        <v>0</v>
      </c>
      <c r="G766" t="s">
        <v>428</v>
      </c>
    </row>
    <row r="767" spans="1:7" x14ac:dyDescent="0.35">
      <c r="A767">
        <v>550</v>
      </c>
      <c r="B767" t="s">
        <v>644</v>
      </c>
      <c r="C767">
        <v>0</v>
      </c>
      <c r="D767">
        <v>0</v>
      </c>
      <c r="E767">
        <v>0</v>
      </c>
      <c r="F767">
        <v>0</v>
      </c>
      <c r="G767" t="s">
        <v>428</v>
      </c>
    </row>
    <row r="768" spans="1:7" x14ac:dyDescent="0.35">
      <c r="A768">
        <v>560</v>
      </c>
      <c r="B768" t="s">
        <v>645</v>
      </c>
      <c r="C768">
        <v>0</v>
      </c>
      <c r="D768">
        <v>0</v>
      </c>
      <c r="E768">
        <v>0</v>
      </c>
      <c r="F768">
        <v>0</v>
      </c>
      <c r="G768" t="s">
        <v>428</v>
      </c>
    </row>
    <row r="769" spans="1:7" x14ac:dyDescent="0.35">
      <c r="A769">
        <v>570</v>
      </c>
      <c r="B769" t="s">
        <v>646</v>
      </c>
      <c r="C769">
        <v>0</v>
      </c>
      <c r="D769">
        <v>0</v>
      </c>
      <c r="E769">
        <v>0</v>
      </c>
      <c r="F769">
        <v>0</v>
      </c>
      <c r="G769" t="s">
        <v>428</v>
      </c>
    </row>
    <row r="770" spans="1:7" x14ac:dyDescent="0.35">
      <c r="A770">
        <v>580</v>
      </c>
      <c r="B770" t="s">
        <v>258</v>
      </c>
      <c r="C770">
        <v>0</v>
      </c>
      <c r="D770">
        <v>-19200</v>
      </c>
      <c r="E770">
        <v>-19200</v>
      </c>
      <c r="F770">
        <v>0</v>
      </c>
      <c r="G770" t="s">
        <v>428</v>
      </c>
    </row>
    <row r="771" spans="1:7" x14ac:dyDescent="0.35">
      <c r="A771">
        <v>590</v>
      </c>
      <c r="B771" t="s">
        <v>647</v>
      </c>
      <c r="C771">
        <v>0</v>
      </c>
      <c r="D771">
        <v>0</v>
      </c>
      <c r="E771">
        <v>0</v>
      </c>
      <c r="F771">
        <v>0</v>
      </c>
      <c r="G771" t="s">
        <v>428</v>
      </c>
    </row>
    <row r="772" spans="1:7" x14ac:dyDescent="0.35">
      <c r="A772">
        <v>600</v>
      </c>
      <c r="B772" t="s">
        <v>259</v>
      </c>
      <c r="C772">
        <v>0</v>
      </c>
      <c r="D772">
        <v>0</v>
      </c>
      <c r="E772">
        <v>0</v>
      </c>
      <c r="F772">
        <v>0</v>
      </c>
      <c r="G772" t="s">
        <v>428</v>
      </c>
    </row>
    <row r="773" spans="1:7" x14ac:dyDescent="0.35">
      <c r="A773">
        <v>610</v>
      </c>
      <c r="B773" t="s">
        <v>648</v>
      </c>
      <c r="C773">
        <v>0</v>
      </c>
      <c r="D773">
        <v>0</v>
      </c>
      <c r="E773">
        <v>0</v>
      </c>
      <c r="F773">
        <v>0</v>
      </c>
      <c r="G773" t="s">
        <v>428</v>
      </c>
    </row>
    <row r="774" spans="1:7" x14ac:dyDescent="0.35">
      <c r="A774">
        <v>615</v>
      </c>
      <c r="B774" t="s">
        <v>673</v>
      </c>
      <c r="C774">
        <v>0</v>
      </c>
      <c r="D774">
        <v>-84775.27</v>
      </c>
      <c r="E774">
        <v>-84775.27</v>
      </c>
      <c r="F774">
        <v>0</v>
      </c>
      <c r="G774" t="s">
        <v>428</v>
      </c>
    </row>
    <row r="775" spans="1:7" x14ac:dyDescent="0.35">
      <c r="A775">
        <v>620</v>
      </c>
      <c r="B775" t="s">
        <v>260</v>
      </c>
      <c r="C775">
        <v>0</v>
      </c>
      <c r="D775">
        <v>0</v>
      </c>
      <c r="E775">
        <v>0</v>
      </c>
      <c r="F775">
        <v>0</v>
      </c>
      <c r="G775" t="s">
        <v>428</v>
      </c>
    </row>
    <row r="776" spans="1:7" x14ac:dyDescent="0.35">
      <c r="A776">
        <v>630</v>
      </c>
      <c r="B776" t="s">
        <v>261</v>
      </c>
      <c r="C776">
        <v>0</v>
      </c>
      <c r="D776">
        <v>-753.09</v>
      </c>
      <c r="E776">
        <v>-753.09</v>
      </c>
      <c r="F776">
        <v>0</v>
      </c>
      <c r="G776" t="s">
        <v>428</v>
      </c>
    </row>
    <row r="777" spans="1:7" x14ac:dyDescent="0.35">
      <c r="A777">
        <v>635</v>
      </c>
      <c r="B777" t="s">
        <v>674</v>
      </c>
      <c r="C777">
        <v>0</v>
      </c>
      <c r="D777">
        <v>0</v>
      </c>
      <c r="E777">
        <v>0</v>
      </c>
      <c r="F777">
        <v>0</v>
      </c>
      <c r="G777" t="s">
        <v>428</v>
      </c>
    </row>
    <row r="778" spans="1:7" x14ac:dyDescent="0.35">
      <c r="A778">
        <v>640</v>
      </c>
      <c r="B778" t="s">
        <v>262</v>
      </c>
      <c r="C778">
        <v>-82973.5</v>
      </c>
      <c r="D778">
        <v>-24185477.030000001</v>
      </c>
      <c r="E778">
        <v>-24268450.530000001</v>
      </c>
      <c r="F778">
        <v>-82973.5</v>
      </c>
      <c r="G778" t="s">
        <v>428</v>
      </c>
    </row>
    <row r="779" spans="1:7" x14ac:dyDescent="0.35">
      <c r="A779">
        <v>650</v>
      </c>
      <c r="B779" t="s">
        <v>263</v>
      </c>
      <c r="C779">
        <v>-915426.36</v>
      </c>
      <c r="D779">
        <v>52145350.310000002</v>
      </c>
      <c r="E779">
        <v>51229923.950000003</v>
      </c>
      <c r="F779">
        <v>-915426.36</v>
      </c>
      <c r="G779" t="s">
        <v>428</v>
      </c>
    </row>
    <row r="780" spans="1:7" x14ac:dyDescent="0.35">
      <c r="A780" t="s">
        <v>493</v>
      </c>
      <c r="B780" t="s">
        <v>416</v>
      </c>
      <c r="C780" t="s">
        <v>608</v>
      </c>
      <c r="D780" t="s">
        <v>609</v>
      </c>
      <c r="E780" t="s">
        <v>610</v>
      </c>
      <c r="F780" t="s">
        <v>611</v>
      </c>
      <c r="G780" t="s">
        <v>121</v>
      </c>
    </row>
    <row r="781" spans="1:7" x14ac:dyDescent="0.35">
      <c r="A781">
        <v>10</v>
      </c>
      <c r="B781" t="s">
        <v>612</v>
      </c>
      <c r="C781">
        <v>0</v>
      </c>
      <c r="D781">
        <v>0</v>
      </c>
      <c r="E781">
        <v>0</v>
      </c>
      <c r="F781">
        <v>0</v>
      </c>
      <c r="G781" t="s">
        <v>428</v>
      </c>
    </row>
    <row r="782" spans="1:7" x14ac:dyDescent="0.35">
      <c r="A782">
        <v>20</v>
      </c>
      <c r="B782" t="s">
        <v>427</v>
      </c>
      <c r="C782">
        <v>34577601.049999997</v>
      </c>
      <c r="D782">
        <v>0</v>
      </c>
      <c r="E782">
        <v>34577601.049999997</v>
      </c>
      <c r="F782">
        <v>34577601.049999997</v>
      </c>
      <c r="G782" t="s">
        <v>428</v>
      </c>
    </row>
    <row r="783" spans="1:7" x14ac:dyDescent="0.35">
      <c r="A783">
        <v>30</v>
      </c>
      <c r="B783" t="s">
        <v>613</v>
      </c>
      <c r="C783">
        <v>-557480.82999999996</v>
      </c>
      <c r="D783">
        <v>0</v>
      </c>
      <c r="E783">
        <v>-557480.82999999996</v>
      </c>
      <c r="F783">
        <v>-557480.82999999996</v>
      </c>
      <c r="G783" t="s">
        <v>428</v>
      </c>
    </row>
    <row r="784" spans="1:7" x14ac:dyDescent="0.35">
      <c r="A784">
        <v>35</v>
      </c>
      <c r="B784" t="s">
        <v>614</v>
      </c>
      <c r="C784">
        <v>34020120.219999999</v>
      </c>
      <c r="D784">
        <v>0</v>
      </c>
      <c r="E784">
        <v>34020120.219999999</v>
      </c>
      <c r="F784">
        <v>34020120.219999999</v>
      </c>
      <c r="G784" t="s">
        <v>428</v>
      </c>
    </row>
    <row r="785" spans="1:7" x14ac:dyDescent="0.35">
      <c r="A785">
        <v>40</v>
      </c>
      <c r="B785" t="s">
        <v>615</v>
      </c>
      <c r="C785">
        <v>21350560.329999998</v>
      </c>
      <c r="D785">
        <v>0</v>
      </c>
      <c r="E785">
        <v>21350560.329999998</v>
      </c>
      <c r="F785">
        <v>21350560.329999998</v>
      </c>
      <c r="G785" t="s">
        <v>428</v>
      </c>
    </row>
    <row r="786" spans="1:7" x14ac:dyDescent="0.35">
      <c r="A786">
        <v>50</v>
      </c>
      <c r="B786" t="s">
        <v>616</v>
      </c>
      <c r="C786">
        <v>0</v>
      </c>
      <c r="D786">
        <v>0</v>
      </c>
      <c r="E786">
        <v>0</v>
      </c>
      <c r="F786">
        <v>0</v>
      </c>
      <c r="G786" t="s">
        <v>428</v>
      </c>
    </row>
    <row r="787" spans="1:7" x14ac:dyDescent="0.35">
      <c r="A787">
        <v>60</v>
      </c>
      <c r="B787" t="s">
        <v>617</v>
      </c>
      <c r="C787">
        <v>12669559.890000001</v>
      </c>
      <c r="D787">
        <v>0</v>
      </c>
      <c r="E787">
        <v>12669559.890000001</v>
      </c>
      <c r="F787">
        <v>12669559.890000001</v>
      </c>
      <c r="G787" t="s">
        <v>428</v>
      </c>
    </row>
    <row r="788" spans="1:7" x14ac:dyDescent="0.35">
      <c r="A788">
        <v>70</v>
      </c>
      <c r="B788" t="s">
        <v>433</v>
      </c>
      <c r="C788">
        <v>7349696.5999999996</v>
      </c>
      <c r="D788">
        <v>0</v>
      </c>
      <c r="E788">
        <v>7349696.5999999996</v>
      </c>
      <c r="F788">
        <v>7349696.5999999996</v>
      </c>
      <c r="G788" t="s">
        <v>428</v>
      </c>
    </row>
    <row r="789" spans="1:7" x14ac:dyDescent="0.35">
      <c r="A789">
        <v>80</v>
      </c>
      <c r="B789" t="s">
        <v>434</v>
      </c>
      <c r="C789">
        <v>1881589.11</v>
      </c>
      <c r="D789">
        <v>0</v>
      </c>
      <c r="E789">
        <v>1881589.11</v>
      </c>
      <c r="F789">
        <v>1881589.11</v>
      </c>
      <c r="G789" t="s">
        <v>428</v>
      </c>
    </row>
    <row r="790" spans="1:7" x14ac:dyDescent="0.35">
      <c r="A790">
        <v>90</v>
      </c>
      <c r="B790" t="s">
        <v>618</v>
      </c>
      <c r="C790">
        <v>631871.85</v>
      </c>
      <c r="D790">
        <v>0</v>
      </c>
      <c r="E790">
        <v>631871.85</v>
      </c>
      <c r="F790">
        <v>631871.85</v>
      </c>
      <c r="G790" t="s">
        <v>428</v>
      </c>
    </row>
    <row r="791" spans="1:7" x14ac:dyDescent="0.35">
      <c r="A791">
        <v>100</v>
      </c>
      <c r="B791" t="s">
        <v>619</v>
      </c>
      <c r="C791">
        <v>2806402.33</v>
      </c>
      <c r="D791">
        <v>0</v>
      </c>
      <c r="E791">
        <v>2806402.33</v>
      </c>
      <c r="F791">
        <v>2806402.33</v>
      </c>
      <c r="G791" t="s">
        <v>428</v>
      </c>
    </row>
    <row r="792" spans="1:7" x14ac:dyDescent="0.35">
      <c r="A792">
        <v>110</v>
      </c>
      <c r="B792" t="s">
        <v>620</v>
      </c>
      <c r="C792">
        <v>6130</v>
      </c>
      <c r="D792">
        <v>0</v>
      </c>
      <c r="E792">
        <v>6130</v>
      </c>
      <c r="F792">
        <v>6130</v>
      </c>
      <c r="G792" t="s">
        <v>428</v>
      </c>
    </row>
    <row r="793" spans="1:7" x14ac:dyDescent="0.35">
      <c r="A793">
        <v>120</v>
      </c>
      <c r="B793" t="s">
        <v>621</v>
      </c>
      <c r="C793">
        <v>-285526.11</v>
      </c>
      <c r="D793">
        <v>0</v>
      </c>
      <c r="E793">
        <v>-285526.11</v>
      </c>
      <c r="F793">
        <v>-285526.11</v>
      </c>
      <c r="G793" t="s">
        <v>428</v>
      </c>
    </row>
    <row r="794" spans="1:7" x14ac:dyDescent="0.35">
      <c r="A794">
        <v>130</v>
      </c>
      <c r="B794" t="s">
        <v>622</v>
      </c>
      <c r="C794">
        <v>784.15</v>
      </c>
      <c r="D794">
        <v>0</v>
      </c>
      <c r="E794">
        <v>784.15</v>
      </c>
      <c r="F794">
        <v>784.15</v>
      </c>
      <c r="G794" t="s">
        <v>428</v>
      </c>
    </row>
    <row r="795" spans="1:7" x14ac:dyDescent="0.35">
      <c r="A795">
        <v>140</v>
      </c>
      <c r="B795" t="s">
        <v>623</v>
      </c>
      <c r="C795">
        <v>56.16</v>
      </c>
      <c r="D795">
        <v>0</v>
      </c>
      <c r="E795">
        <v>56.16</v>
      </c>
      <c r="F795">
        <v>56.16</v>
      </c>
      <c r="G795" t="s">
        <v>428</v>
      </c>
    </row>
    <row r="796" spans="1:7" x14ac:dyDescent="0.35">
      <c r="A796">
        <v>145</v>
      </c>
      <c r="B796" t="s">
        <v>443</v>
      </c>
      <c r="C796">
        <v>-278668.12</v>
      </c>
      <c r="D796">
        <v>0</v>
      </c>
      <c r="E796">
        <v>-278668.12</v>
      </c>
      <c r="F796">
        <v>-278668.12</v>
      </c>
      <c r="G796" t="s">
        <v>428</v>
      </c>
    </row>
    <row r="797" spans="1:7" x14ac:dyDescent="0.35">
      <c r="A797">
        <v>150</v>
      </c>
      <c r="B797" t="s">
        <v>624</v>
      </c>
      <c r="C797">
        <v>3085070.45</v>
      </c>
      <c r="D797">
        <v>0</v>
      </c>
      <c r="E797">
        <v>3085070.45</v>
      </c>
      <c r="F797">
        <v>3085070.45</v>
      </c>
      <c r="G797" t="s">
        <v>428</v>
      </c>
    </row>
    <row r="798" spans="1:7" x14ac:dyDescent="0.35">
      <c r="A798">
        <v>160</v>
      </c>
      <c r="B798" t="s">
        <v>625</v>
      </c>
      <c r="C798">
        <v>546013.16</v>
      </c>
      <c r="D798">
        <v>0</v>
      </c>
      <c r="E798">
        <v>546013.16</v>
      </c>
      <c r="F798">
        <v>546013.16</v>
      </c>
      <c r="G798" t="s">
        <v>428</v>
      </c>
    </row>
    <row r="799" spans="1:7" x14ac:dyDescent="0.35">
      <c r="A799">
        <v>170</v>
      </c>
      <c r="B799" t="s">
        <v>447</v>
      </c>
      <c r="C799">
        <v>2539057.29</v>
      </c>
      <c r="D799">
        <v>0</v>
      </c>
      <c r="E799">
        <v>2539057.29</v>
      </c>
      <c r="F799">
        <v>2539057.29</v>
      </c>
      <c r="G799" t="s">
        <v>428</v>
      </c>
    </row>
    <row r="800" spans="1:7" x14ac:dyDescent="0.35">
      <c r="A800">
        <v>190</v>
      </c>
      <c r="B800" t="s">
        <v>626</v>
      </c>
      <c r="C800">
        <v>0</v>
      </c>
      <c r="D800">
        <v>0</v>
      </c>
      <c r="E800">
        <v>0</v>
      </c>
      <c r="F800">
        <v>0</v>
      </c>
      <c r="G800" t="s">
        <v>428</v>
      </c>
    </row>
    <row r="801" spans="1:7" x14ac:dyDescent="0.35">
      <c r="A801">
        <v>200</v>
      </c>
      <c r="B801" t="s">
        <v>447</v>
      </c>
      <c r="C801">
        <v>2539057.29</v>
      </c>
      <c r="D801">
        <v>0</v>
      </c>
      <c r="E801">
        <v>2539057.29</v>
      </c>
      <c r="F801">
        <v>2539057.29</v>
      </c>
      <c r="G801" t="s">
        <v>428</v>
      </c>
    </row>
    <row r="802" spans="1:7" x14ac:dyDescent="0.35">
      <c r="A802">
        <v>210</v>
      </c>
      <c r="B802" t="s">
        <v>247</v>
      </c>
      <c r="C802">
        <v>2539057.29</v>
      </c>
      <c r="D802">
        <v>0</v>
      </c>
      <c r="E802">
        <v>2539057.29</v>
      </c>
      <c r="F802">
        <v>2539057.29</v>
      </c>
      <c r="G802" t="s">
        <v>428</v>
      </c>
    </row>
    <row r="803" spans="1:7" x14ac:dyDescent="0.35">
      <c r="A803">
        <v>220</v>
      </c>
      <c r="B803" t="s">
        <v>627</v>
      </c>
      <c r="C803">
        <v>0</v>
      </c>
      <c r="D803">
        <v>0</v>
      </c>
      <c r="E803">
        <v>0</v>
      </c>
      <c r="F803">
        <v>0</v>
      </c>
      <c r="G803" t="s">
        <v>428</v>
      </c>
    </row>
    <row r="804" spans="1:7" x14ac:dyDescent="0.35">
      <c r="A804">
        <v>230</v>
      </c>
      <c r="B804" t="s">
        <v>196</v>
      </c>
      <c r="C804">
        <v>-134496.49</v>
      </c>
      <c r="D804">
        <v>-14069845.92</v>
      </c>
      <c r="E804">
        <v>-14204342.41</v>
      </c>
      <c r="F804">
        <v>-134496.49</v>
      </c>
      <c r="G804" t="s">
        <v>428</v>
      </c>
    </row>
    <row r="805" spans="1:7" x14ac:dyDescent="0.35">
      <c r="A805">
        <v>235</v>
      </c>
      <c r="B805" t="s">
        <v>628</v>
      </c>
      <c r="C805">
        <v>3800</v>
      </c>
      <c r="D805">
        <v>-703507.15</v>
      </c>
      <c r="E805">
        <v>-699707.15</v>
      </c>
      <c r="F805">
        <v>3800</v>
      </c>
      <c r="G805" t="s">
        <v>428</v>
      </c>
    </row>
    <row r="806" spans="1:7" x14ac:dyDescent="0.35">
      <c r="A806">
        <v>240</v>
      </c>
      <c r="B806" t="s">
        <v>197</v>
      </c>
      <c r="C806">
        <v>-207330.51</v>
      </c>
      <c r="D806">
        <v>-9531908.9299999997</v>
      </c>
      <c r="E806">
        <v>-9739239.4399999995</v>
      </c>
      <c r="F806">
        <v>-207330.51</v>
      </c>
      <c r="G806" t="s">
        <v>428</v>
      </c>
    </row>
    <row r="807" spans="1:7" x14ac:dyDescent="0.35">
      <c r="A807">
        <v>250</v>
      </c>
      <c r="B807" t="s">
        <v>198</v>
      </c>
      <c r="C807">
        <v>-1581052.95</v>
      </c>
      <c r="D807">
        <v>-5047034.17</v>
      </c>
      <c r="E807">
        <v>-6628087.1200000001</v>
      </c>
      <c r="F807">
        <v>-1581052.95</v>
      </c>
      <c r="G807" t="s">
        <v>428</v>
      </c>
    </row>
    <row r="808" spans="1:7" x14ac:dyDescent="0.35">
      <c r="A808">
        <v>260</v>
      </c>
      <c r="B808" t="s">
        <v>629</v>
      </c>
      <c r="C808">
        <v>-339.31</v>
      </c>
      <c r="D808">
        <v>-24051.42</v>
      </c>
      <c r="E808">
        <v>-24390.73</v>
      </c>
      <c r="F808">
        <v>-339.31</v>
      </c>
      <c r="G808" t="s">
        <v>428</v>
      </c>
    </row>
    <row r="809" spans="1:7" x14ac:dyDescent="0.35">
      <c r="A809">
        <v>270</v>
      </c>
      <c r="B809" t="s">
        <v>199</v>
      </c>
      <c r="C809">
        <v>782868.62</v>
      </c>
      <c r="D809">
        <v>-3844295.14</v>
      </c>
      <c r="E809">
        <v>-3061426.52</v>
      </c>
      <c r="F809">
        <v>782868.62</v>
      </c>
      <c r="G809" t="s">
        <v>428</v>
      </c>
    </row>
    <row r="810" spans="1:7" x14ac:dyDescent="0.35">
      <c r="A810">
        <v>300</v>
      </c>
      <c r="B810" t="s">
        <v>222</v>
      </c>
      <c r="C810">
        <v>645668.80000000005</v>
      </c>
      <c r="D810">
        <v>8508149.0800000001</v>
      </c>
      <c r="E810">
        <v>9153817.8800000008</v>
      </c>
      <c r="F810">
        <v>645668.80000000005</v>
      </c>
      <c r="G810" t="s">
        <v>428</v>
      </c>
    </row>
    <row r="811" spans="1:7" x14ac:dyDescent="0.35">
      <c r="A811">
        <v>310</v>
      </c>
      <c r="B811" t="s">
        <v>630</v>
      </c>
      <c r="C811">
        <v>0</v>
      </c>
      <c r="D811">
        <v>0</v>
      </c>
      <c r="E811">
        <v>0</v>
      </c>
      <c r="F811">
        <v>0</v>
      </c>
      <c r="G811" t="s">
        <v>428</v>
      </c>
    </row>
    <row r="812" spans="1:7" x14ac:dyDescent="0.35">
      <c r="A812">
        <v>320</v>
      </c>
      <c r="B812" t="s">
        <v>248</v>
      </c>
      <c r="C812">
        <v>121788.54</v>
      </c>
      <c r="D812">
        <v>8127100.8600000003</v>
      </c>
      <c r="E812">
        <v>8248889.4000000004</v>
      </c>
      <c r="F812">
        <v>121788.54</v>
      </c>
      <c r="G812" t="s">
        <v>428</v>
      </c>
    </row>
    <row r="813" spans="1:7" x14ac:dyDescent="0.35">
      <c r="A813">
        <v>325</v>
      </c>
      <c r="B813" t="s">
        <v>249</v>
      </c>
      <c r="C813">
        <v>0</v>
      </c>
      <c r="D813">
        <v>0</v>
      </c>
      <c r="E813">
        <v>0</v>
      </c>
      <c r="F813">
        <v>0</v>
      </c>
      <c r="G813" t="s">
        <v>428</v>
      </c>
    </row>
    <row r="814" spans="1:7" x14ac:dyDescent="0.35">
      <c r="A814">
        <v>330</v>
      </c>
      <c r="B814" t="s">
        <v>631</v>
      </c>
      <c r="C814">
        <v>0</v>
      </c>
      <c r="D814">
        <v>0</v>
      </c>
      <c r="E814">
        <v>0</v>
      </c>
      <c r="F814">
        <v>0</v>
      </c>
      <c r="G814" t="s">
        <v>428</v>
      </c>
    </row>
    <row r="815" spans="1:7" x14ac:dyDescent="0.35">
      <c r="A815">
        <v>340</v>
      </c>
      <c r="B815" t="s">
        <v>632</v>
      </c>
      <c r="C815">
        <v>33680.400000000001</v>
      </c>
      <c r="D815">
        <v>5799065.5300000003</v>
      </c>
      <c r="E815">
        <v>5832745.9299999997</v>
      </c>
      <c r="F815">
        <v>33680.400000000001</v>
      </c>
      <c r="G815" t="s">
        <v>428</v>
      </c>
    </row>
    <row r="816" spans="1:7" x14ac:dyDescent="0.35">
      <c r="A816">
        <v>380</v>
      </c>
      <c r="B816" t="s">
        <v>633</v>
      </c>
      <c r="C816">
        <v>-335412.90000000002</v>
      </c>
      <c r="D816">
        <v>-10786327.26</v>
      </c>
      <c r="E816">
        <v>-11121740.16</v>
      </c>
      <c r="F816">
        <v>-335412.90000000002</v>
      </c>
      <c r="G816" t="s">
        <v>428</v>
      </c>
    </row>
    <row r="817" spans="1:7" x14ac:dyDescent="0.35">
      <c r="A817">
        <v>390</v>
      </c>
      <c r="B817" t="s">
        <v>250</v>
      </c>
      <c r="C817">
        <v>0</v>
      </c>
      <c r="D817">
        <v>0</v>
      </c>
      <c r="E817">
        <v>0</v>
      </c>
      <c r="F817">
        <v>0</v>
      </c>
      <c r="G817" t="s">
        <v>428</v>
      </c>
    </row>
    <row r="818" spans="1:7" x14ac:dyDescent="0.35">
      <c r="A818">
        <v>400</v>
      </c>
      <c r="B818" t="s">
        <v>251</v>
      </c>
      <c r="C818">
        <v>0</v>
      </c>
      <c r="D818">
        <v>0</v>
      </c>
      <c r="E818">
        <v>0</v>
      </c>
      <c r="F818">
        <v>0</v>
      </c>
      <c r="G818" t="s">
        <v>428</v>
      </c>
    </row>
    <row r="819" spans="1:7" x14ac:dyDescent="0.35">
      <c r="A819">
        <v>405</v>
      </c>
      <c r="B819" t="s">
        <v>252</v>
      </c>
      <c r="C819">
        <v>0</v>
      </c>
      <c r="D819">
        <v>223999.49</v>
      </c>
      <c r="E819">
        <v>223999.49</v>
      </c>
      <c r="F819">
        <v>0</v>
      </c>
      <c r="G819" t="s">
        <v>428</v>
      </c>
    </row>
    <row r="820" spans="1:7" x14ac:dyDescent="0.35">
      <c r="A820">
        <v>410</v>
      </c>
      <c r="B820" t="s">
        <v>237</v>
      </c>
      <c r="C820">
        <v>0</v>
      </c>
      <c r="D820">
        <v>41834615.659999996</v>
      </c>
      <c r="E820">
        <v>41834615.659999996</v>
      </c>
      <c r="F820">
        <v>0</v>
      </c>
      <c r="G820" t="s">
        <v>428</v>
      </c>
    </row>
    <row r="821" spans="1:7" x14ac:dyDescent="0.35">
      <c r="A821">
        <v>420</v>
      </c>
      <c r="B821" t="s">
        <v>253</v>
      </c>
      <c r="C821">
        <v>0</v>
      </c>
      <c r="D821">
        <v>0</v>
      </c>
      <c r="E821">
        <v>0</v>
      </c>
      <c r="F821">
        <v>0</v>
      </c>
      <c r="G821" t="s">
        <v>428</v>
      </c>
    </row>
    <row r="822" spans="1:7" x14ac:dyDescent="0.35">
      <c r="A822">
        <v>425</v>
      </c>
      <c r="B822" t="s">
        <v>634</v>
      </c>
      <c r="C822">
        <v>0</v>
      </c>
      <c r="D822">
        <v>1340871.6399999999</v>
      </c>
      <c r="E822">
        <v>1340871.6399999999</v>
      </c>
      <c r="F822">
        <v>0</v>
      </c>
      <c r="G822" t="s">
        <v>428</v>
      </c>
    </row>
    <row r="823" spans="1:7" x14ac:dyDescent="0.35">
      <c r="A823">
        <v>427</v>
      </c>
      <c r="B823" t="s">
        <v>635</v>
      </c>
      <c r="C823">
        <v>0</v>
      </c>
      <c r="D823">
        <v>0</v>
      </c>
      <c r="E823">
        <v>0</v>
      </c>
      <c r="F823">
        <v>0</v>
      </c>
      <c r="G823" t="s">
        <v>428</v>
      </c>
    </row>
    <row r="824" spans="1:7" x14ac:dyDescent="0.35">
      <c r="A824">
        <v>430</v>
      </c>
      <c r="B824" t="s">
        <v>254</v>
      </c>
      <c r="C824">
        <v>0</v>
      </c>
      <c r="D824">
        <v>47655305.780000001</v>
      </c>
      <c r="E824">
        <v>47655305.780000001</v>
      </c>
      <c r="F824">
        <v>0</v>
      </c>
      <c r="G824" t="s">
        <v>428</v>
      </c>
    </row>
    <row r="825" spans="1:7" x14ac:dyDescent="0.35">
      <c r="A825">
        <v>440</v>
      </c>
      <c r="B825" t="s">
        <v>255</v>
      </c>
      <c r="C825">
        <v>0</v>
      </c>
      <c r="D825">
        <v>91054792.569999993</v>
      </c>
      <c r="E825">
        <v>91054792.569999993</v>
      </c>
      <c r="F825">
        <v>0</v>
      </c>
      <c r="G825" t="s">
        <v>428</v>
      </c>
    </row>
    <row r="826" spans="1:7" x14ac:dyDescent="0.35">
      <c r="A826">
        <v>450</v>
      </c>
      <c r="B826" t="s">
        <v>256</v>
      </c>
      <c r="C826">
        <v>0</v>
      </c>
      <c r="D826">
        <v>0</v>
      </c>
      <c r="E826">
        <v>0</v>
      </c>
      <c r="F826">
        <v>0</v>
      </c>
      <c r="G826" t="s">
        <v>428</v>
      </c>
    </row>
    <row r="827" spans="1:7" x14ac:dyDescent="0.35">
      <c r="A827">
        <v>455</v>
      </c>
      <c r="B827" t="s">
        <v>204</v>
      </c>
      <c r="C827">
        <v>0</v>
      </c>
      <c r="D827">
        <v>-23351997.93</v>
      </c>
      <c r="E827">
        <v>-23351997.93</v>
      </c>
      <c r="F827">
        <v>0</v>
      </c>
      <c r="G827" t="s">
        <v>428</v>
      </c>
    </row>
    <row r="828" spans="1:7" x14ac:dyDescent="0.35">
      <c r="A828">
        <v>456</v>
      </c>
      <c r="B828" t="s">
        <v>636</v>
      </c>
      <c r="C828">
        <v>37800</v>
      </c>
      <c r="D828">
        <v>13520170.51</v>
      </c>
      <c r="E828">
        <v>13557970.51</v>
      </c>
      <c r="F828">
        <v>37800</v>
      </c>
      <c r="G828" t="s">
        <v>428</v>
      </c>
    </row>
    <row r="829" spans="1:7" x14ac:dyDescent="0.35">
      <c r="A829">
        <v>460</v>
      </c>
      <c r="B829" t="s">
        <v>208</v>
      </c>
      <c r="C829">
        <v>-392083.62</v>
      </c>
      <c r="D829">
        <v>-32217364.719999999</v>
      </c>
      <c r="E829">
        <v>-32609448.34</v>
      </c>
      <c r="F829">
        <v>-392083.62</v>
      </c>
      <c r="G829" t="s">
        <v>428</v>
      </c>
    </row>
    <row r="830" spans="1:7" x14ac:dyDescent="0.35">
      <c r="A830">
        <v>470</v>
      </c>
      <c r="B830" t="s">
        <v>637</v>
      </c>
      <c r="C830">
        <v>107181.04</v>
      </c>
      <c r="D830">
        <v>16117304.609999999</v>
      </c>
      <c r="E830">
        <v>16224485.65</v>
      </c>
      <c r="F830">
        <v>107181.04</v>
      </c>
      <c r="G830" t="s">
        <v>428</v>
      </c>
    </row>
    <row r="831" spans="1:7" x14ac:dyDescent="0.35">
      <c r="A831">
        <v>480</v>
      </c>
      <c r="B831" t="s">
        <v>207</v>
      </c>
      <c r="C831">
        <v>-50000</v>
      </c>
      <c r="D831">
        <v>-78480381.760000005</v>
      </c>
      <c r="E831">
        <v>-78530381.760000005</v>
      </c>
      <c r="F831">
        <v>-50000</v>
      </c>
      <c r="G831" t="s">
        <v>428</v>
      </c>
    </row>
    <row r="832" spans="1:7" x14ac:dyDescent="0.35">
      <c r="A832">
        <v>490</v>
      </c>
      <c r="B832" t="s">
        <v>638</v>
      </c>
      <c r="C832">
        <v>424981.31</v>
      </c>
      <c r="D832">
        <v>38499075.039999999</v>
      </c>
      <c r="E832">
        <v>38924056.350000001</v>
      </c>
      <c r="F832">
        <v>424981.31</v>
      </c>
      <c r="G832" t="s">
        <v>428</v>
      </c>
    </row>
    <row r="833" spans="1:7" x14ac:dyDescent="0.35">
      <c r="A833">
        <v>500</v>
      </c>
      <c r="B833" t="s">
        <v>206</v>
      </c>
      <c r="C833">
        <v>0</v>
      </c>
      <c r="D833">
        <v>-8068401.4699999997</v>
      </c>
      <c r="E833">
        <v>-8068401.4699999997</v>
      </c>
      <c r="F833">
        <v>0</v>
      </c>
      <c r="G833" t="s">
        <v>428</v>
      </c>
    </row>
    <row r="834" spans="1:7" x14ac:dyDescent="0.35">
      <c r="A834">
        <v>510</v>
      </c>
      <c r="B834" t="s">
        <v>639</v>
      </c>
      <c r="C834">
        <v>55482.25</v>
      </c>
      <c r="D834">
        <v>4085082.55</v>
      </c>
      <c r="E834">
        <v>4140564.8</v>
      </c>
      <c r="F834">
        <v>55482.25</v>
      </c>
      <c r="G834" t="s">
        <v>428</v>
      </c>
    </row>
    <row r="835" spans="1:7" x14ac:dyDescent="0.35">
      <c r="A835">
        <v>512</v>
      </c>
      <c r="B835" t="s">
        <v>257</v>
      </c>
      <c r="C835">
        <v>0</v>
      </c>
      <c r="D835">
        <v>-2422099.85</v>
      </c>
      <c r="E835">
        <v>-2422099.85</v>
      </c>
      <c r="F835">
        <v>0</v>
      </c>
      <c r="G835" t="s">
        <v>428</v>
      </c>
    </row>
    <row r="836" spans="1:7" x14ac:dyDescent="0.35">
      <c r="A836">
        <v>514</v>
      </c>
      <c r="B836" t="s">
        <v>640</v>
      </c>
      <c r="C836">
        <v>6427.25</v>
      </c>
      <c r="D836">
        <v>1919699.91</v>
      </c>
      <c r="E836">
        <v>1926127.16</v>
      </c>
      <c r="F836">
        <v>6427.25</v>
      </c>
      <c r="G836" t="s">
        <v>428</v>
      </c>
    </row>
    <row r="837" spans="1:7" x14ac:dyDescent="0.35">
      <c r="A837">
        <v>520</v>
      </c>
      <c r="B837" t="s">
        <v>641</v>
      </c>
      <c r="C837">
        <v>0</v>
      </c>
      <c r="D837">
        <v>-304735.17</v>
      </c>
      <c r="E837">
        <v>-304735.17</v>
      </c>
      <c r="F837">
        <v>0</v>
      </c>
      <c r="G837" t="s">
        <v>428</v>
      </c>
    </row>
    <row r="838" spans="1:7" x14ac:dyDescent="0.35">
      <c r="A838">
        <v>530</v>
      </c>
      <c r="B838" t="s">
        <v>642</v>
      </c>
      <c r="C838">
        <v>0</v>
      </c>
      <c r="D838">
        <v>0</v>
      </c>
      <c r="E838">
        <v>0</v>
      </c>
      <c r="F838">
        <v>0</v>
      </c>
      <c r="G838" t="s">
        <v>428</v>
      </c>
    </row>
    <row r="839" spans="1:7" x14ac:dyDescent="0.35">
      <c r="A839">
        <v>540</v>
      </c>
      <c r="B839" t="s">
        <v>643</v>
      </c>
      <c r="C839">
        <v>0</v>
      </c>
      <c r="D839">
        <v>-254716.79999999999</v>
      </c>
      <c r="E839">
        <v>-254716.79999999999</v>
      </c>
      <c r="F839">
        <v>0</v>
      </c>
      <c r="G839" t="s">
        <v>428</v>
      </c>
    </row>
    <row r="840" spans="1:7" x14ac:dyDescent="0.35">
      <c r="A840">
        <v>550</v>
      </c>
      <c r="B840" t="s">
        <v>644</v>
      </c>
      <c r="C840">
        <v>0</v>
      </c>
      <c r="D840">
        <v>0</v>
      </c>
      <c r="E840">
        <v>0</v>
      </c>
      <c r="F840">
        <v>0</v>
      </c>
      <c r="G840" t="s">
        <v>428</v>
      </c>
    </row>
    <row r="841" spans="1:7" x14ac:dyDescent="0.35">
      <c r="A841">
        <v>560</v>
      </c>
      <c r="B841" t="s">
        <v>645</v>
      </c>
      <c r="C841">
        <v>0</v>
      </c>
      <c r="D841">
        <v>0</v>
      </c>
      <c r="E841">
        <v>0</v>
      </c>
      <c r="F841">
        <v>0</v>
      </c>
      <c r="G841" t="s">
        <v>428</v>
      </c>
    </row>
    <row r="842" spans="1:7" x14ac:dyDescent="0.35">
      <c r="A842">
        <v>570</v>
      </c>
      <c r="B842" t="s">
        <v>646</v>
      </c>
      <c r="C842">
        <v>0</v>
      </c>
      <c r="D842">
        <v>0</v>
      </c>
      <c r="E842">
        <v>0</v>
      </c>
      <c r="F842">
        <v>0</v>
      </c>
      <c r="G842" t="s">
        <v>428</v>
      </c>
    </row>
    <row r="843" spans="1:7" x14ac:dyDescent="0.35">
      <c r="A843">
        <v>580</v>
      </c>
      <c r="B843" t="s">
        <v>258</v>
      </c>
      <c r="C843">
        <v>0</v>
      </c>
      <c r="D843">
        <v>0</v>
      </c>
      <c r="E843">
        <v>0</v>
      </c>
      <c r="F843">
        <v>0</v>
      </c>
      <c r="G843" t="s">
        <v>428</v>
      </c>
    </row>
    <row r="844" spans="1:7" x14ac:dyDescent="0.35">
      <c r="A844">
        <v>590</v>
      </c>
      <c r="B844" t="s">
        <v>647</v>
      </c>
      <c r="C844">
        <v>0</v>
      </c>
      <c r="D844">
        <v>0</v>
      </c>
      <c r="E844">
        <v>0</v>
      </c>
      <c r="F844">
        <v>0</v>
      </c>
      <c r="G844" t="s">
        <v>428</v>
      </c>
    </row>
    <row r="845" spans="1:7" x14ac:dyDescent="0.35">
      <c r="A845">
        <v>600</v>
      </c>
      <c r="B845" t="s">
        <v>259</v>
      </c>
      <c r="C845">
        <v>0</v>
      </c>
      <c r="D845">
        <v>0</v>
      </c>
      <c r="E845">
        <v>0</v>
      </c>
      <c r="F845">
        <v>0</v>
      </c>
      <c r="G845" t="s">
        <v>428</v>
      </c>
    </row>
    <row r="846" spans="1:7" x14ac:dyDescent="0.35">
      <c r="A846">
        <v>610</v>
      </c>
      <c r="B846" t="s">
        <v>648</v>
      </c>
      <c r="C846">
        <v>0</v>
      </c>
      <c r="D846">
        <v>0</v>
      </c>
      <c r="E846">
        <v>0</v>
      </c>
      <c r="F846">
        <v>0</v>
      </c>
      <c r="G846" t="s">
        <v>428</v>
      </c>
    </row>
    <row r="847" spans="1:7" x14ac:dyDescent="0.35">
      <c r="A847">
        <v>615</v>
      </c>
      <c r="B847" t="s">
        <v>673</v>
      </c>
      <c r="C847">
        <v>0</v>
      </c>
      <c r="D847">
        <v>-5534458.9000000004</v>
      </c>
      <c r="E847">
        <v>-5534458.9000000004</v>
      </c>
      <c r="F847">
        <v>0</v>
      </c>
      <c r="G847" t="s">
        <v>428</v>
      </c>
    </row>
    <row r="848" spans="1:7" x14ac:dyDescent="0.35">
      <c r="A848">
        <v>620</v>
      </c>
      <c r="B848" t="s">
        <v>260</v>
      </c>
      <c r="C848">
        <v>0</v>
      </c>
      <c r="D848">
        <v>0</v>
      </c>
      <c r="E848">
        <v>0</v>
      </c>
      <c r="F848">
        <v>0</v>
      </c>
      <c r="G848" t="s">
        <v>428</v>
      </c>
    </row>
    <row r="849" spans="1:7" x14ac:dyDescent="0.35">
      <c r="A849">
        <v>630</v>
      </c>
      <c r="B849" t="s">
        <v>261</v>
      </c>
      <c r="C849">
        <v>0</v>
      </c>
      <c r="D849">
        <v>-139999</v>
      </c>
      <c r="E849">
        <v>-139999</v>
      </c>
      <c r="F849">
        <v>0</v>
      </c>
      <c r="G849" t="s">
        <v>428</v>
      </c>
    </row>
    <row r="850" spans="1:7" x14ac:dyDescent="0.35">
      <c r="A850">
        <v>635</v>
      </c>
      <c r="B850" t="s">
        <v>674</v>
      </c>
      <c r="C850">
        <v>0</v>
      </c>
      <c r="D850">
        <v>-1041385.1</v>
      </c>
      <c r="E850">
        <v>-1041385.1</v>
      </c>
      <c r="F850">
        <v>0</v>
      </c>
      <c r="G850" t="s">
        <v>428</v>
      </c>
    </row>
    <row r="851" spans="1:7" x14ac:dyDescent="0.35">
      <c r="A851">
        <v>640</v>
      </c>
      <c r="B851" t="s">
        <v>262</v>
      </c>
      <c r="C851">
        <v>189788.23</v>
      </c>
      <c r="D851">
        <v>-77674208.079999998</v>
      </c>
      <c r="E851">
        <v>-77484419.849999994</v>
      </c>
      <c r="F851">
        <v>189788.23</v>
      </c>
      <c r="G851" t="s">
        <v>428</v>
      </c>
    </row>
    <row r="852" spans="1:7" x14ac:dyDescent="0.35">
      <c r="A852">
        <v>650</v>
      </c>
      <c r="B852" t="s">
        <v>263</v>
      </c>
      <c r="C852">
        <v>2393432.62</v>
      </c>
      <c r="D852">
        <v>2594257.23</v>
      </c>
      <c r="E852">
        <v>4987689.8499999996</v>
      </c>
      <c r="F852">
        <v>2393432.62</v>
      </c>
      <c r="G852" t="s">
        <v>428</v>
      </c>
    </row>
    <row r="853" spans="1:7" x14ac:dyDescent="0.35">
      <c r="A853" t="s">
        <v>494</v>
      </c>
      <c r="B853" t="s">
        <v>416</v>
      </c>
      <c r="C853" t="s">
        <v>608</v>
      </c>
      <c r="D853" t="s">
        <v>609</v>
      </c>
      <c r="E853" t="s">
        <v>610</v>
      </c>
      <c r="F853" t="s">
        <v>611</v>
      </c>
      <c r="G853" t="s">
        <v>121</v>
      </c>
    </row>
    <row r="854" spans="1:7" x14ac:dyDescent="0.35">
      <c r="A854">
        <v>10</v>
      </c>
      <c r="B854" t="s">
        <v>612</v>
      </c>
      <c r="C854">
        <v>0</v>
      </c>
      <c r="D854">
        <v>0</v>
      </c>
      <c r="E854">
        <v>0</v>
      </c>
      <c r="F854">
        <v>0</v>
      </c>
      <c r="G854" t="s">
        <v>428</v>
      </c>
    </row>
    <row r="855" spans="1:7" x14ac:dyDescent="0.35">
      <c r="A855">
        <v>20</v>
      </c>
      <c r="B855" t="s">
        <v>427</v>
      </c>
      <c r="C855">
        <v>18709977.350000001</v>
      </c>
      <c r="D855">
        <v>0</v>
      </c>
      <c r="E855">
        <v>18709977.350000001</v>
      </c>
      <c r="F855">
        <v>18709977.350000001</v>
      </c>
      <c r="G855" t="s">
        <v>428</v>
      </c>
    </row>
    <row r="856" spans="1:7" x14ac:dyDescent="0.35">
      <c r="A856">
        <v>30</v>
      </c>
      <c r="B856" t="s">
        <v>613</v>
      </c>
      <c r="C856">
        <v>448399.85</v>
      </c>
      <c r="D856">
        <v>0</v>
      </c>
      <c r="E856">
        <v>448399.85</v>
      </c>
      <c r="F856">
        <v>448399.85</v>
      </c>
      <c r="G856" t="s">
        <v>428</v>
      </c>
    </row>
    <row r="857" spans="1:7" x14ac:dyDescent="0.35">
      <c r="A857">
        <v>35</v>
      </c>
      <c r="B857" t="s">
        <v>614</v>
      </c>
      <c r="C857">
        <v>18261577.5</v>
      </c>
      <c r="D857">
        <v>0</v>
      </c>
      <c r="E857">
        <v>18261577.5</v>
      </c>
      <c r="F857">
        <v>18261577.5</v>
      </c>
      <c r="G857" t="s">
        <v>428</v>
      </c>
    </row>
    <row r="858" spans="1:7" x14ac:dyDescent="0.35">
      <c r="A858">
        <v>40</v>
      </c>
      <c r="B858" t="s">
        <v>615</v>
      </c>
      <c r="C858">
        <v>10487621</v>
      </c>
      <c r="D858">
        <v>0</v>
      </c>
      <c r="E858">
        <v>10487621</v>
      </c>
      <c r="F858">
        <v>10487621</v>
      </c>
      <c r="G858" t="s">
        <v>428</v>
      </c>
    </row>
    <row r="859" spans="1:7" x14ac:dyDescent="0.35">
      <c r="A859">
        <v>50</v>
      </c>
      <c r="B859" t="s">
        <v>616</v>
      </c>
      <c r="C859">
        <v>0</v>
      </c>
      <c r="D859">
        <v>0</v>
      </c>
      <c r="E859">
        <v>0</v>
      </c>
      <c r="F859">
        <v>0</v>
      </c>
      <c r="G859" t="s">
        <v>428</v>
      </c>
    </row>
    <row r="860" spans="1:7" x14ac:dyDescent="0.35">
      <c r="A860">
        <v>60</v>
      </c>
      <c r="B860" t="s">
        <v>617</v>
      </c>
      <c r="C860">
        <v>7773956.5</v>
      </c>
      <c r="D860">
        <v>0</v>
      </c>
      <c r="E860">
        <v>7773956.5</v>
      </c>
      <c r="F860">
        <v>7773956.5</v>
      </c>
      <c r="G860" t="s">
        <v>428</v>
      </c>
    </row>
    <row r="861" spans="1:7" x14ac:dyDescent="0.35">
      <c r="A861">
        <v>70</v>
      </c>
      <c r="B861" t="s">
        <v>433</v>
      </c>
      <c r="C861">
        <v>3721745.33</v>
      </c>
      <c r="D861">
        <v>0</v>
      </c>
      <c r="E861">
        <v>3721745.33</v>
      </c>
      <c r="F861">
        <v>3721745.33</v>
      </c>
      <c r="G861" t="s">
        <v>428</v>
      </c>
    </row>
    <row r="862" spans="1:7" x14ac:dyDescent="0.35">
      <c r="A862">
        <v>80</v>
      </c>
      <c r="B862" t="s">
        <v>434</v>
      </c>
      <c r="C862">
        <v>499306.31</v>
      </c>
      <c r="D862">
        <v>0</v>
      </c>
      <c r="E862">
        <v>499306.31</v>
      </c>
      <c r="F862">
        <v>499306.31</v>
      </c>
      <c r="G862" t="s">
        <v>428</v>
      </c>
    </row>
    <row r="863" spans="1:7" x14ac:dyDescent="0.35">
      <c r="A863">
        <v>90</v>
      </c>
      <c r="B863" t="s">
        <v>618</v>
      </c>
      <c r="C863">
        <v>355089</v>
      </c>
      <c r="D863">
        <v>0</v>
      </c>
      <c r="E863">
        <v>355089</v>
      </c>
      <c r="F863">
        <v>355089</v>
      </c>
      <c r="G863" t="s">
        <v>428</v>
      </c>
    </row>
    <row r="864" spans="1:7" x14ac:dyDescent="0.35">
      <c r="A864">
        <v>100</v>
      </c>
      <c r="B864" t="s">
        <v>619</v>
      </c>
      <c r="C864">
        <v>3197815.86</v>
      </c>
      <c r="D864">
        <v>0</v>
      </c>
      <c r="E864">
        <v>3197815.86</v>
      </c>
      <c r="F864">
        <v>3197815.86</v>
      </c>
      <c r="G864" t="s">
        <v>428</v>
      </c>
    </row>
    <row r="865" spans="1:7" x14ac:dyDescent="0.35">
      <c r="A865">
        <v>110</v>
      </c>
      <c r="B865" t="s">
        <v>620</v>
      </c>
      <c r="C865">
        <v>0</v>
      </c>
      <c r="D865">
        <v>0</v>
      </c>
      <c r="E865">
        <v>0</v>
      </c>
      <c r="F865">
        <v>0</v>
      </c>
      <c r="G865" t="s">
        <v>428</v>
      </c>
    </row>
    <row r="866" spans="1:7" x14ac:dyDescent="0.35">
      <c r="A866">
        <v>120</v>
      </c>
      <c r="B866" t="s">
        <v>621</v>
      </c>
      <c r="C866">
        <v>0</v>
      </c>
      <c r="D866">
        <v>0</v>
      </c>
      <c r="E866">
        <v>0</v>
      </c>
      <c r="F866">
        <v>0</v>
      </c>
      <c r="G866" t="s">
        <v>428</v>
      </c>
    </row>
    <row r="867" spans="1:7" x14ac:dyDescent="0.35">
      <c r="A867">
        <v>130</v>
      </c>
      <c r="B867" t="s">
        <v>622</v>
      </c>
      <c r="C867">
        <v>30735.5</v>
      </c>
      <c r="D867">
        <v>0</v>
      </c>
      <c r="E867">
        <v>30735.5</v>
      </c>
      <c r="F867">
        <v>30735.5</v>
      </c>
      <c r="G867" t="s">
        <v>428</v>
      </c>
    </row>
    <row r="868" spans="1:7" x14ac:dyDescent="0.35">
      <c r="A868">
        <v>140</v>
      </c>
      <c r="B868" t="s">
        <v>623</v>
      </c>
      <c r="C868">
        <v>130010.97</v>
      </c>
      <c r="D868">
        <v>0</v>
      </c>
      <c r="E868">
        <v>130010.97</v>
      </c>
      <c r="F868">
        <v>130010.97</v>
      </c>
      <c r="G868" t="s">
        <v>428</v>
      </c>
    </row>
    <row r="869" spans="1:7" x14ac:dyDescent="0.35">
      <c r="A869">
        <v>145</v>
      </c>
      <c r="B869" t="s">
        <v>443</v>
      </c>
      <c r="C869">
        <v>-99275.47</v>
      </c>
      <c r="D869">
        <v>0</v>
      </c>
      <c r="E869">
        <v>-99275.47</v>
      </c>
      <c r="F869">
        <v>-99275.47</v>
      </c>
      <c r="G869" t="s">
        <v>428</v>
      </c>
    </row>
    <row r="870" spans="1:7" x14ac:dyDescent="0.35">
      <c r="A870">
        <v>150</v>
      </c>
      <c r="B870" t="s">
        <v>624</v>
      </c>
      <c r="C870">
        <v>3297091.33</v>
      </c>
      <c r="D870">
        <v>0</v>
      </c>
      <c r="E870">
        <v>3297091.33</v>
      </c>
      <c r="F870">
        <v>3297091.33</v>
      </c>
      <c r="G870" t="s">
        <v>428</v>
      </c>
    </row>
    <row r="871" spans="1:7" x14ac:dyDescent="0.35">
      <c r="A871">
        <v>160</v>
      </c>
      <c r="B871" t="s">
        <v>625</v>
      </c>
      <c r="C871">
        <v>910537</v>
      </c>
      <c r="D871">
        <v>0</v>
      </c>
      <c r="E871">
        <v>910537</v>
      </c>
      <c r="F871">
        <v>910537</v>
      </c>
      <c r="G871" t="s">
        <v>428</v>
      </c>
    </row>
    <row r="872" spans="1:7" x14ac:dyDescent="0.35">
      <c r="A872">
        <v>170</v>
      </c>
      <c r="B872" t="s">
        <v>447</v>
      </c>
      <c r="C872">
        <v>2386554.33</v>
      </c>
      <c r="D872">
        <v>0</v>
      </c>
      <c r="E872">
        <v>2386554.33</v>
      </c>
      <c r="F872">
        <v>2386554.33</v>
      </c>
      <c r="G872" t="s">
        <v>428</v>
      </c>
    </row>
    <row r="873" spans="1:7" x14ac:dyDescent="0.35">
      <c r="A873">
        <v>190</v>
      </c>
      <c r="B873" t="s">
        <v>626</v>
      </c>
      <c r="C873">
        <v>0</v>
      </c>
      <c r="D873">
        <v>0</v>
      </c>
      <c r="E873">
        <v>0</v>
      </c>
      <c r="F873">
        <v>0</v>
      </c>
      <c r="G873" t="s">
        <v>428</v>
      </c>
    </row>
    <row r="874" spans="1:7" x14ac:dyDescent="0.35">
      <c r="A874">
        <v>200</v>
      </c>
      <c r="B874" t="s">
        <v>447</v>
      </c>
      <c r="C874">
        <v>2386554.33</v>
      </c>
      <c r="D874">
        <v>0</v>
      </c>
      <c r="E874">
        <v>2386554.33</v>
      </c>
      <c r="F874">
        <v>2386554.33</v>
      </c>
      <c r="G874" t="s">
        <v>428</v>
      </c>
    </row>
    <row r="875" spans="1:7" x14ac:dyDescent="0.35">
      <c r="A875">
        <v>210</v>
      </c>
      <c r="B875" t="s">
        <v>247</v>
      </c>
      <c r="C875">
        <v>2386554.33</v>
      </c>
      <c r="D875">
        <v>0</v>
      </c>
      <c r="E875">
        <v>2386554.33</v>
      </c>
      <c r="F875">
        <v>2386554.33</v>
      </c>
      <c r="G875" t="s">
        <v>428</v>
      </c>
    </row>
    <row r="876" spans="1:7" x14ac:dyDescent="0.35">
      <c r="A876">
        <v>220</v>
      </c>
      <c r="B876" t="s">
        <v>627</v>
      </c>
      <c r="C876">
        <v>0</v>
      </c>
      <c r="D876">
        <v>0</v>
      </c>
      <c r="E876">
        <v>0</v>
      </c>
      <c r="F876">
        <v>0</v>
      </c>
      <c r="G876" t="s">
        <v>428</v>
      </c>
    </row>
    <row r="877" spans="1:7" x14ac:dyDescent="0.35">
      <c r="A877">
        <v>230</v>
      </c>
      <c r="B877" t="s">
        <v>196</v>
      </c>
      <c r="C877">
        <v>36329.870000000003</v>
      </c>
      <c r="D877">
        <v>-11543562.189999999</v>
      </c>
      <c r="E877">
        <v>-11507232.32</v>
      </c>
      <c r="F877">
        <v>36329.870000000003</v>
      </c>
      <c r="G877" t="s">
        <v>428</v>
      </c>
    </row>
    <row r="878" spans="1:7" x14ac:dyDescent="0.35">
      <c r="A878">
        <v>235</v>
      </c>
      <c r="B878" t="s">
        <v>628</v>
      </c>
      <c r="C878">
        <v>-24168</v>
      </c>
      <c r="D878">
        <v>0</v>
      </c>
      <c r="E878">
        <v>-24168</v>
      </c>
      <c r="F878">
        <v>-24168</v>
      </c>
      <c r="G878" t="s">
        <v>428</v>
      </c>
    </row>
    <row r="879" spans="1:7" x14ac:dyDescent="0.35">
      <c r="A879">
        <v>240</v>
      </c>
      <c r="B879" t="s">
        <v>197</v>
      </c>
      <c r="C879">
        <v>-123663.06</v>
      </c>
      <c r="D879">
        <v>-225440.32</v>
      </c>
      <c r="E879">
        <v>-349103.38</v>
      </c>
      <c r="F879">
        <v>-123663.06</v>
      </c>
      <c r="G879" t="s">
        <v>428</v>
      </c>
    </row>
    <row r="880" spans="1:7" x14ac:dyDescent="0.35">
      <c r="A880">
        <v>250</v>
      </c>
      <c r="B880" t="s">
        <v>198</v>
      </c>
      <c r="C880">
        <v>-838230.19</v>
      </c>
      <c r="D880">
        <v>-2225559.84</v>
      </c>
      <c r="E880">
        <v>-3063790.03</v>
      </c>
      <c r="F880">
        <v>-838230.19</v>
      </c>
      <c r="G880" t="s">
        <v>428</v>
      </c>
    </row>
    <row r="881" spans="1:7" x14ac:dyDescent="0.35">
      <c r="A881">
        <v>260</v>
      </c>
      <c r="B881" t="s">
        <v>629</v>
      </c>
      <c r="C881">
        <v>0</v>
      </c>
      <c r="D881">
        <v>0</v>
      </c>
      <c r="E881">
        <v>0</v>
      </c>
      <c r="F881">
        <v>0</v>
      </c>
      <c r="G881" t="s">
        <v>428</v>
      </c>
    </row>
    <row r="882" spans="1:7" x14ac:dyDescent="0.35">
      <c r="A882">
        <v>270</v>
      </c>
      <c r="B882" t="s">
        <v>199</v>
      </c>
      <c r="C882">
        <v>-130486.56</v>
      </c>
      <c r="D882">
        <v>-3004574.79</v>
      </c>
      <c r="E882">
        <v>-3135061.35</v>
      </c>
      <c r="F882">
        <v>-130486.56</v>
      </c>
      <c r="G882" t="s">
        <v>428</v>
      </c>
    </row>
    <row r="883" spans="1:7" x14ac:dyDescent="0.35">
      <c r="A883">
        <v>300</v>
      </c>
      <c r="B883" t="s">
        <v>222</v>
      </c>
      <c r="C883">
        <v>449431.13</v>
      </c>
      <c r="D883">
        <v>590133.07999999996</v>
      </c>
      <c r="E883">
        <v>1039564.21</v>
      </c>
      <c r="F883">
        <v>449431.13</v>
      </c>
      <c r="G883" t="s">
        <v>428</v>
      </c>
    </row>
    <row r="884" spans="1:7" x14ac:dyDescent="0.35">
      <c r="A884">
        <v>310</v>
      </c>
      <c r="B884" t="s">
        <v>630</v>
      </c>
      <c r="C884">
        <v>0</v>
      </c>
      <c r="D884">
        <v>0</v>
      </c>
      <c r="E884">
        <v>0</v>
      </c>
      <c r="F884">
        <v>0</v>
      </c>
      <c r="G884" t="s">
        <v>428</v>
      </c>
    </row>
    <row r="885" spans="1:7" x14ac:dyDescent="0.35">
      <c r="A885">
        <v>320</v>
      </c>
      <c r="B885" t="s">
        <v>248</v>
      </c>
      <c r="C885">
        <v>0</v>
      </c>
      <c r="D885">
        <v>0</v>
      </c>
      <c r="E885">
        <v>0</v>
      </c>
      <c r="F885">
        <v>0</v>
      </c>
      <c r="G885" t="s">
        <v>428</v>
      </c>
    </row>
    <row r="886" spans="1:7" x14ac:dyDescent="0.35">
      <c r="A886">
        <v>325</v>
      </c>
      <c r="B886" t="s">
        <v>249</v>
      </c>
      <c r="C886">
        <v>0</v>
      </c>
      <c r="D886">
        <v>3503307.94</v>
      </c>
      <c r="E886">
        <v>3503307.94</v>
      </c>
      <c r="F886">
        <v>0</v>
      </c>
      <c r="G886" t="s">
        <v>428</v>
      </c>
    </row>
    <row r="887" spans="1:7" x14ac:dyDescent="0.35">
      <c r="A887">
        <v>330</v>
      </c>
      <c r="B887" t="s">
        <v>631</v>
      </c>
      <c r="C887">
        <v>0</v>
      </c>
      <c r="D887">
        <v>0</v>
      </c>
      <c r="E887">
        <v>0</v>
      </c>
      <c r="F887">
        <v>0</v>
      </c>
      <c r="G887" t="s">
        <v>428</v>
      </c>
    </row>
    <row r="888" spans="1:7" x14ac:dyDescent="0.35">
      <c r="A888">
        <v>340</v>
      </c>
      <c r="B888" t="s">
        <v>632</v>
      </c>
      <c r="C888">
        <v>-493232.67</v>
      </c>
      <c r="D888">
        <v>2642308.75</v>
      </c>
      <c r="E888">
        <v>2149076.08</v>
      </c>
      <c r="F888">
        <v>-493232.67</v>
      </c>
      <c r="G888" t="s">
        <v>428</v>
      </c>
    </row>
    <row r="889" spans="1:7" x14ac:dyDescent="0.35">
      <c r="A889">
        <v>380</v>
      </c>
      <c r="B889" t="s">
        <v>633</v>
      </c>
      <c r="C889">
        <v>-1124019.48</v>
      </c>
      <c r="D889">
        <v>-10263387.369999999</v>
      </c>
      <c r="E889">
        <v>-11387406.85</v>
      </c>
      <c r="F889">
        <v>-1124019.48</v>
      </c>
      <c r="G889" t="s">
        <v>428</v>
      </c>
    </row>
    <row r="890" spans="1:7" x14ac:dyDescent="0.35">
      <c r="A890">
        <v>390</v>
      </c>
      <c r="B890" t="s">
        <v>250</v>
      </c>
      <c r="C890">
        <v>0</v>
      </c>
      <c r="D890">
        <v>0</v>
      </c>
      <c r="E890">
        <v>0</v>
      </c>
      <c r="F890">
        <v>0</v>
      </c>
      <c r="G890" t="s">
        <v>428</v>
      </c>
    </row>
    <row r="891" spans="1:7" x14ac:dyDescent="0.35">
      <c r="A891">
        <v>400</v>
      </c>
      <c r="B891" t="s">
        <v>251</v>
      </c>
      <c r="C891">
        <v>0</v>
      </c>
      <c r="D891">
        <v>0</v>
      </c>
      <c r="E891">
        <v>0</v>
      </c>
      <c r="F891">
        <v>0</v>
      </c>
      <c r="G891" t="s">
        <v>428</v>
      </c>
    </row>
    <row r="892" spans="1:7" x14ac:dyDescent="0.35">
      <c r="A892">
        <v>405</v>
      </c>
      <c r="B892" t="s">
        <v>252</v>
      </c>
      <c r="C892">
        <v>69000</v>
      </c>
      <c r="D892">
        <v>0</v>
      </c>
      <c r="E892">
        <v>69000</v>
      </c>
      <c r="F892">
        <v>69000</v>
      </c>
      <c r="G892" t="s">
        <v>428</v>
      </c>
    </row>
    <row r="893" spans="1:7" x14ac:dyDescent="0.35">
      <c r="A893">
        <v>410</v>
      </c>
      <c r="B893" t="s">
        <v>237</v>
      </c>
      <c r="C893">
        <v>0</v>
      </c>
      <c r="D893">
        <v>23634000</v>
      </c>
      <c r="E893">
        <v>23634000</v>
      </c>
      <c r="F893">
        <v>0</v>
      </c>
      <c r="G893" t="s">
        <v>428</v>
      </c>
    </row>
    <row r="894" spans="1:7" x14ac:dyDescent="0.35">
      <c r="A894">
        <v>420</v>
      </c>
      <c r="B894" t="s">
        <v>253</v>
      </c>
      <c r="C894">
        <v>0</v>
      </c>
      <c r="D894">
        <v>14722083.75</v>
      </c>
      <c r="E894">
        <v>14722083.75</v>
      </c>
      <c r="F894">
        <v>0</v>
      </c>
      <c r="G894" t="s">
        <v>428</v>
      </c>
    </row>
    <row r="895" spans="1:7" x14ac:dyDescent="0.35">
      <c r="A895">
        <v>425</v>
      </c>
      <c r="B895" t="s">
        <v>634</v>
      </c>
      <c r="C895">
        <v>0</v>
      </c>
      <c r="D895">
        <v>48539.12</v>
      </c>
      <c r="E895">
        <v>48539.12</v>
      </c>
      <c r="F895">
        <v>0</v>
      </c>
      <c r="G895" t="s">
        <v>428</v>
      </c>
    </row>
    <row r="896" spans="1:7" x14ac:dyDescent="0.35">
      <c r="A896">
        <v>427</v>
      </c>
      <c r="B896" t="s">
        <v>635</v>
      </c>
      <c r="C896">
        <v>0</v>
      </c>
      <c r="D896">
        <v>0</v>
      </c>
      <c r="E896">
        <v>0</v>
      </c>
      <c r="F896">
        <v>0</v>
      </c>
      <c r="G896" t="s">
        <v>428</v>
      </c>
    </row>
    <row r="897" spans="1:7" x14ac:dyDescent="0.35">
      <c r="A897">
        <v>430</v>
      </c>
      <c r="B897" t="s">
        <v>254</v>
      </c>
      <c r="C897">
        <v>0</v>
      </c>
      <c r="D897">
        <v>30754030.219999999</v>
      </c>
      <c r="E897">
        <v>30754030.219999999</v>
      </c>
      <c r="F897">
        <v>0</v>
      </c>
      <c r="G897" t="s">
        <v>428</v>
      </c>
    </row>
    <row r="898" spans="1:7" x14ac:dyDescent="0.35">
      <c r="A898">
        <v>440</v>
      </c>
      <c r="B898" t="s">
        <v>255</v>
      </c>
      <c r="C898">
        <v>69000</v>
      </c>
      <c r="D898">
        <v>69158653.090000004</v>
      </c>
      <c r="E898">
        <v>69227653.090000004</v>
      </c>
      <c r="F898">
        <v>69000</v>
      </c>
      <c r="G898" t="s">
        <v>428</v>
      </c>
    </row>
    <row r="899" spans="1:7" x14ac:dyDescent="0.35">
      <c r="A899">
        <v>450</v>
      </c>
      <c r="B899" t="s">
        <v>256</v>
      </c>
      <c r="C899">
        <v>0</v>
      </c>
      <c r="D899">
        <v>0</v>
      </c>
      <c r="E899">
        <v>0</v>
      </c>
      <c r="F899">
        <v>0</v>
      </c>
      <c r="G899" t="s">
        <v>428</v>
      </c>
    </row>
    <row r="900" spans="1:7" x14ac:dyDescent="0.35">
      <c r="A900">
        <v>455</v>
      </c>
      <c r="B900" t="s">
        <v>204</v>
      </c>
      <c r="C900">
        <v>0</v>
      </c>
      <c r="D900">
        <v>-9041272.4900000002</v>
      </c>
      <c r="E900">
        <v>-9041272.4900000002</v>
      </c>
      <c r="F900">
        <v>0</v>
      </c>
      <c r="G900" t="s">
        <v>428</v>
      </c>
    </row>
    <row r="901" spans="1:7" x14ac:dyDescent="0.35">
      <c r="A901">
        <v>456</v>
      </c>
      <c r="B901" t="s">
        <v>636</v>
      </c>
      <c r="C901">
        <v>1721</v>
      </c>
      <c r="D901">
        <v>825324.34</v>
      </c>
      <c r="E901">
        <v>827045.34</v>
      </c>
      <c r="F901">
        <v>1721</v>
      </c>
      <c r="G901" t="s">
        <v>428</v>
      </c>
    </row>
    <row r="902" spans="1:7" x14ac:dyDescent="0.35">
      <c r="A902">
        <v>460</v>
      </c>
      <c r="B902" t="s">
        <v>208</v>
      </c>
      <c r="C902">
        <v>-25240.560000000001</v>
      </c>
      <c r="D902">
        <v>-29475540.760000002</v>
      </c>
      <c r="E902">
        <v>-29500781.32</v>
      </c>
      <c r="F902">
        <v>-25240.560000000001</v>
      </c>
      <c r="G902" t="s">
        <v>428</v>
      </c>
    </row>
    <row r="903" spans="1:7" x14ac:dyDescent="0.35">
      <c r="A903">
        <v>470</v>
      </c>
      <c r="B903" t="s">
        <v>637</v>
      </c>
      <c r="C903">
        <v>121568</v>
      </c>
      <c r="D903">
        <v>25389864.84</v>
      </c>
      <c r="E903">
        <v>25511432.84</v>
      </c>
      <c r="F903">
        <v>121568</v>
      </c>
      <c r="G903" t="s">
        <v>428</v>
      </c>
    </row>
    <row r="904" spans="1:7" x14ac:dyDescent="0.35">
      <c r="A904">
        <v>480</v>
      </c>
      <c r="B904" t="s">
        <v>207</v>
      </c>
      <c r="C904">
        <v>0</v>
      </c>
      <c r="D904">
        <v>-45486347.840000004</v>
      </c>
      <c r="E904">
        <v>-45486347.840000004</v>
      </c>
      <c r="F904">
        <v>0</v>
      </c>
      <c r="G904" t="s">
        <v>428</v>
      </c>
    </row>
    <row r="905" spans="1:7" x14ac:dyDescent="0.35">
      <c r="A905">
        <v>490</v>
      </c>
      <c r="B905" t="s">
        <v>638</v>
      </c>
      <c r="C905">
        <v>222643</v>
      </c>
      <c r="D905">
        <v>27974701.52</v>
      </c>
      <c r="E905">
        <v>28197344.52</v>
      </c>
      <c r="F905">
        <v>222643</v>
      </c>
      <c r="G905" t="s">
        <v>428</v>
      </c>
    </row>
    <row r="906" spans="1:7" x14ac:dyDescent="0.35">
      <c r="A906">
        <v>500</v>
      </c>
      <c r="B906" t="s">
        <v>206</v>
      </c>
      <c r="C906">
        <v>0</v>
      </c>
      <c r="D906">
        <v>-988663.97</v>
      </c>
      <c r="E906">
        <v>-988663.97</v>
      </c>
      <c r="F906">
        <v>0</v>
      </c>
      <c r="G906" t="s">
        <v>428</v>
      </c>
    </row>
    <row r="907" spans="1:7" x14ac:dyDescent="0.35">
      <c r="A907">
        <v>510</v>
      </c>
      <c r="B907" t="s">
        <v>639</v>
      </c>
      <c r="C907">
        <v>6722</v>
      </c>
      <c r="D907">
        <v>1076549.42</v>
      </c>
      <c r="E907">
        <v>1083271.42</v>
      </c>
      <c r="F907">
        <v>6722</v>
      </c>
      <c r="G907" t="s">
        <v>428</v>
      </c>
    </row>
    <row r="908" spans="1:7" x14ac:dyDescent="0.35">
      <c r="A908">
        <v>512</v>
      </c>
      <c r="B908" t="s">
        <v>257</v>
      </c>
      <c r="C908">
        <v>0</v>
      </c>
      <c r="D908">
        <v>-1368234.09</v>
      </c>
      <c r="E908">
        <v>-1368234.09</v>
      </c>
      <c r="F908">
        <v>0</v>
      </c>
      <c r="G908" t="s">
        <v>428</v>
      </c>
    </row>
    <row r="909" spans="1:7" x14ac:dyDescent="0.35">
      <c r="A909">
        <v>514</v>
      </c>
      <c r="B909" t="s">
        <v>640</v>
      </c>
      <c r="C909">
        <v>2435</v>
      </c>
      <c r="D909">
        <v>1135309.96</v>
      </c>
      <c r="E909">
        <v>1137744.96</v>
      </c>
      <c r="F909">
        <v>2435</v>
      </c>
      <c r="G909" t="s">
        <v>428</v>
      </c>
    </row>
    <row r="910" spans="1:7" x14ac:dyDescent="0.35">
      <c r="A910">
        <v>520</v>
      </c>
      <c r="B910" t="s">
        <v>641</v>
      </c>
      <c r="C910">
        <v>0</v>
      </c>
      <c r="D910">
        <v>-167250.17000000001</v>
      </c>
      <c r="E910">
        <v>-167250.17000000001</v>
      </c>
      <c r="F910">
        <v>0</v>
      </c>
      <c r="G910" t="s">
        <v>428</v>
      </c>
    </row>
    <row r="911" spans="1:7" x14ac:dyDescent="0.35">
      <c r="A911">
        <v>530</v>
      </c>
      <c r="B911" t="s">
        <v>642</v>
      </c>
      <c r="C911">
        <v>0</v>
      </c>
      <c r="D911">
        <v>0</v>
      </c>
      <c r="E911">
        <v>0</v>
      </c>
      <c r="F911">
        <v>0</v>
      </c>
      <c r="G911" t="s">
        <v>428</v>
      </c>
    </row>
    <row r="912" spans="1:7" x14ac:dyDescent="0.35">
      <c r="A912">
        <v>540</v>
      </c>
      <c r="B912" t="s">
        <v>643</v>
      </c>
      <c r="C912">
        <v>0</v>
      </c>
      <c r="D912">
        <v>0</v>
      </c>
      <c r="E912">
        <v>0</v>
      </c>
      <c r="F912">
        <v>0</v>
      </c>
      <c r="G912" t="s">
        <v>428</v>
      </c>
    </row>
    <row r="913" spans="1:7" x14ac:dyDescent="0.35">
      <c r="A913">
        <v>550</v>
      </c>
      <c r="B913" t="s">
        <v>644</v>
      </c>
      <c r="C913">
        <v>0</v>
      </c>
      <c r="D913">
        <v>0</v>
      </c>
      <c r="E913">
        <v>0</v>
      </c>
      <c r="F913">
        <v>0</v>
      </c>
      <c r="G913" t="s">
        <v>428</v>
      </c>
    </row>
    <row r="914" spans="1:7" x14ac:dyDescent="0.35">
      <c r="A914">
        <v>560</v>
      </c>
      <c r="B914" t="s">
        <v>645</v>
      </c>
      <c r="C914">
        <v>0</v>
      </c>
      <c r="D914">
        <v>0</v>
      </c>
      <c r="E914">
        <v>0</v>
      </c>
      <c r="F914">
        <v>0</v>
      </c>
      <c r="G914" t="s">
        <v>428</v>
      </c>
    </row>
    <row r="915" spans="1:7" x14ac:dyDescent="0.35">
      <c r="A915">
        <v>570</v>
      </c>
      <c r="B915" t="s">
        <v>646</v>
      </c>
      <c r="C915">
        <v>0</v>
      </c>
      <c r="D915">
        <v>0</v>
      </c>
      <c r="E915">
        <v>0</v>
      </c>
      <c r="F915">
        <v>0</v>
      </c>
      <c r="G915" t="s">
        <v>428</v>
      </c>
    </row>
    <row r="916" spans="1:7" x14ac:dyDescent="0.35">
      <c r="A916">
        <v>580</v>
      </c>
      <c r="B916" t="s">
        <v>258</v>
      </c>
      <c r="C916">
        <v>0</v>
      </c>
      <c r="D916">
        <v>0</v>
      </c>
      <c r="E916">
        <v>0</v>
      </c>
      <c r="F916">
        <v>0</v>
      </c>
      <c r="G916" t="s">
        <v>428</v>
      </c>
    </row>
    <row r="917" spans="1:7" x14ac:dyDescent="0.35">
      <c r="A917">
        <v>590</v>
      </c>
      <c r="B917" t="s">
        <v>647</v>
      </c>
      <c r="C917">
        <v>0</v>
      </c>
      <c r="D917">
        <v>0</v>
      </c>
      <c r="E917">
        <v>0</v>
      </c>
      <c r="F917">
        <v>0</v>
      </c>
      <c r="G917" t="s">
        <v>428</v>
      </c>
    </row>
    <row r="918" spans="1:7" x14ac:dyDescent="0.35">
      <c r="A918">
        <v>600</v>
      </c>
      <c r="B918" t="s">
        <v>259</v>
      </c>
      <c r="C918">
        <v>0</v>
      </c>
      <c r="D918">
        <v>0</v>
      </c>
      <c r="E918">
        <v>0</v>
      </c>
      <c r="F918">
        <v>0</v>
      </c>
      <c r="G918" t="s">
        <v>428</v>
      </c>
    </row>
    <row r="919" spans="1:7" x14ac:dyDescent="0.35">
      <c r="A919">
        <v>610</v>
      </c>
      <c r="B919" t="s">
        <v>648</v>
      </c>
      <c r="C919">
        <v>0</v>
      </c>
      <c r="D919">
        <v>0</v>
      </c>
      <c r="E919">
        <v>0</v>
      </c>
      <c r="F919">
        <v>0</v>
      </c>
      <c r="G919" t="s">
        <v>428</v>
      </c>
    </row>
    <row r="920" spans="1:7" x14ac:dyDescent="0.35">
      <c r="A920">
        <v>615</v>
      </c>
      <c r="B920" t="s">
        <v>673</v>
      </c>
      <c r="C920">
        <v>0</v>
      </c>
      <c r="D920">
        <v>-1241705.92</v>
      </c>
      <c r="E920">
        <v>-1241705.92</v>
      </c>
      <c r="F920">
        <v>0</v>
      </c>
      <c r="G920" t="s">
        <v>428</v>
      </c>
    </row>
    <row r="921" spans="1:7" x14ac:dyDescent="0.35">
      <c r="A921">
        <v>620</v>
      </c>
      <c r="B921" t="s">
        <v>260</v>
      </c>
      <c r="C921">
        <v>0</v>
      </c>
      <c r="D921">
        <v>0</v>
      </c>
      <c r="E921">
        <v>0</v>
      </c>
      <c r="F921">
        <v>0</v>
      </c>
      <c r="G921" t="s">
        <v>428</v>
      </c>
    </row>
    <row r="922" spans="1:7" x14ac:dyDescent="0.35">
      <c r="A922">
        <v>630</v>
      </c>
      <c r="B922" t="s">
        <v>261</v>
      </c>
      <c r="C922">
        <v>0</v>
      </c>
      <c r="D922">
        <v>0</v>
      </c>
      <c r="E922">
        <v>0</v>
      </c>
      <c r="F922">
        <v>0</v>
      </c>
      <c r="G922" t="s">
        <v>428</v>
      </c>
    </row>
    <row r="923" spans="1:7" x14ac:dyDescent="0.35">
      <c r="A923">
        <v>635</v>
      </c>
      <c r="B923" t="s">
        <v>674</v>
      </c>
      <c r="C923">
        <v>0</v>
      </c>
      <c r="D923">
        <v>0</v>
      </c>
      <c r="E923">
        <v>0</v>
      </c>
      <c r="F923">
        <v>0</v>
      </c>
      <c r="G923" t="s">
        <v>428</v>
      </c>
    </row>
    <row r="924" spans="1:7" x14ac:dyDescent="0.35">
      <c r="A924">
        <v>640</v>
      </c>
      <c r="B924" t="s">
        <v>262</v>
      </c>
      <c r="C924">
        <v>329848.44</v>
      </c>
      <c r="D924">
        <v>-31367265.16</v>
      </c>
      <c r="E924">
        <v>-31037416.719999999</v>
      </c>
      <c r="F924">
        <v>329848.44</v>
      </c>
      <c r="G924" t="s">
        <v>428</v>
      </c>
    </row>
    <row r="925" spans="1:7" x14ac:dyDescent="0.35">
      <c r="A925">
        <v>650</v>
      </c>
      <c r="B925" t="s">
        <v>263</v>
      </c>
      <c r="C925">
        <v>1661383.29</v>
      </c>
      <c r="D925">
        <v>27528000.559999999</v>
      </c>
      <c r="E925">
        <v>29189383.850000001</v>
      </c>
      <c r="F925">
        <v>1661383.29</v>
      </c>
      <c r="G925" t="s">
        <v>428</v>
      </c>
    </row>
    <row r="926" spans="1:7" x14ac:dyDescent="0.35">
      <c r="A926" t="s">
        <v>498</v>
      </c>
      <c r="B926" t="s">
        <v>416</v>
      </c>
      <c r="C926" t="s">
        <v>608</v>
      </c>
      <c r="D926" t="s">
        <v>609</v>
      </c>
      <c r="E926" t="s">
        <v>610</v>
      </c>
      <c r="F926" t="s">
        <v>611</v>
      </c>
      <c r="G926" t="s">
        <v>121</v>
      </c>
    </row>
    <row r="927" spans="1:7" x14ac:dyDescent="0.35">
      <c r="A927">
        <v>10</v>
      </c>
      <c r="B927" t="s">
        <v>612</v>
      </c>
      <c r="C927">
        <v>0</v>
      </c>
      <c r="D927">
        <v>0</v>
      </c>
      <c r="E927">
        <v>0</v>
      </c>
      <c r="F927">
        <v>0</v>
      </c>
      <c r="G927" t="s">
        <v>428</v>
      </c>
    </row>
    <row r="928" spans="1:7" x14ac:dyDescent="0.35">
      <c r="A928">
        <v>20</v>
      </c>
      <c r="B928" t="s">
        <v>427</v>
      </c>
      <c r="C928">
        <v>7055532.1699999999</v>
      </c>
      <c r="D928">
        <v>0</v>
      </c>
      <c r="E928">
        <v>7055532.1699999999</v>
      </c>
      <c r="F928">
        <v>7055532.1699999999</v>
      </c>
      <c r="G928" t="s">
        <v>428</v>
      </c>
    </row>
    <row r="929" spans="1:7" x14ac:dyDescent="0.35">
      <c r="A929">
        <v>30</v>
      </c>
      <c r="B929" t="s">
        <v>613</v>
      </c>
      <c r="C929">
        <v>-162520.10999999999</v>
      </c>
      <c r="D929">
        <v>0</v>
      </c>
      <c r="E929">
        <v>-162520.10999999999</v>
      </c>
      <c r="F929">
        <v>-162520.10999999999</v>
      </c>
      <c r="G929" t="s">
        <v>428</v>
      </c>
    </row>
    <row r="930" spans="1:7" x14ac:dyDescent="0.35">
      <c r="A930">
        <v>35</v>
      </c>
      <c r="B930" t="s">
        <v>614</v>
      </c>
      <c r="C930">
        <v>6893012.0599999996</v>
      </c>
      <c r="D930">
        <v>0</v>
      </c>
      <c r="E930">
        <v>6893012.0599999996</v>
      </c>
      <c r="F930">
        <v>6893012.0599999996</v>
      </c>
      <c r="G930" t="s">
        <v>428</v>
      </c>
    </row>
    <row r="931" spans="1:7" x14ac:dyDescent="0.35">
      <c r="A931">
        <v>40</v>
      </c>
      <c r="B931" t="s">
        <v>615</v>
      </c>
      <c r="C931">
        <v>4203549.71</v>
      </c>
      <c r="D931">
        <v>0</v>
      </c>
      <c r="E931">
        <v>4203549.71</v>
      </c>
      <c r="F931">
        <v>4203549.71</v>
      </c>
      <c r="G931" t="s">
        <v>428</v>
      </c>
    </row>
    <row r="932" spans="1:7" x14ac:dyDescent="0.35">
      <c r="A932">
        <v>50</v>
      </c>
      <c r="B932" t="s">
        <v>616</v>
      </c>
      <c r="C932">
        <v>0</v>
      </c>
      <c r="D932">
        <v>0</v>
      </c>
      <c r="E932">
        <v>0</v>
      </c>
      <c r="F932">
        <v>0</v>
      </c>
      <c r="G932" t="s">
        <v>428</v>
      </c>
    </row>
    <row r="933" spans="1:7" x14ac:dyDescent="0.35">
      <c r="A933">
        <v>60</v>
      </c>
      <c r="B933" t="s">
        <v>617</v>
      </c>
      <c r="C933">
        <v>2689462.35</v>
      </c>
      <c r="D933">
        <v>0</v>
      </c>
      <c r="E933">
        <v>2689462.35</v>
      </c>
      <c r="F933">
        <v>2689462.35</v>
      </c>
      <c r="G933" t="s">
        <v>428</v>
      </c>
    </row>
    <row r="934" spans="1:7" x14ac:dyDescent="0.35">
      <c r="A934">
        <v>70</v>
      </c>
      <c r="B934" t="s">
        <v>433</v>
      </c>
      <c r="C934">
        <v>3799539.77</v>
      </c>
      <c r="D934">
        <v>0</v>
      </c>
      <c r="E934">
        <v>3799539.77</v>
      </c>
      <c r="F934">
        <v>3799539.77</v>
      </c>
      <c r="G934" t="s">
        <v>428</v>
      </c>
    </row>
    <row r="935" spans="1:7" x14ac:dyDescent="0.35">
      <c r="A935">
        <v>80</v>
      </c>
      <c r="B935" t="s">
        <v>434</v>
      </c>
      <c r="C935">
        <v>641284.43999999994</v>
      </c>
      <c r="D935">
        <v>0</v>
      </c>
      <c r="E935">
        <v>641284.43999999994</v>
      </c>
      <c r="F935">
        <v>641284.43999999994</v>
      </c>
      <c r="G935" t="s">
        <v>428</v>
      </c>
    </row>
    <row r="936" spans="1:7" x14ac:dyDescent="0.35">
      <c r="A936">
        <v>90</v>
      </c>
      <c r="B936" t="s">
        <v>618</v>
      </c>
      <c r="C936">
        <v>249581.19</v>
      </c>
      <c r="D936">
        <v>0</v>
      </c>
      <c r="E936">
        <v>249581.19</v>
      </c>
      <c r="F936">
        <v>249581.19</v>
      </c>
      <c r="G936" t="s">
        <v>428</v>
      </c>
    </row>
    <row r="937" spans="1:7" x14ac:dyDescent="0.35">
      <c r="A937">
        <v>100</v>
      </c>
      <c r="B937" t="s">
        <v>619</v>
      </c>
      <c r="C937">
        <v>-2000943.05</v>
      </c>
      <c r="D937">
        <v>0</v>
      </c>
      <c r="E937">
        <v>-2000943.05</v>
      </c>
      <c r="F937">
        <v>-2000943.05</v>
      </c>
      <c r="G937" t="s">
        <v>428</v>
      </c>
    </row>
    <row r="938" spans="1:7" x14ac:dyDescent="0.35">
      <c r="A938">
        <v>110</v>
      </c>
      <c r="B938" t="s">
        <v>620</v>
      </c>
      <c r="C938">
        <v>0</v>
      </c>
      <c r="D938">
        <v>0</v>
      </c>
      <c r="E938">
        <v>0</v>
      </c>
      <c r="F938">
        <v>0</v>
      </c>
      <c r="G938" t="s">
        <v>428</v>
      </c>
    </row>
    <row r="939" spans="1:7" x14ac:dyDescent="0.35">
      <c r="A939">
        <v>120</v>
      </c>
      <c r="B939" t="s">
        <v>621</v>
      </c>
      <c r="C939">
        <v>-335981.78</v>
      </c>
      <c r="D939">
        <v>0</v>
      </c>
      <c r="E939">
        <v>-335981.78</v>
      </c>
      <c r="F939">
        <v>-335981.78</v>
      </c>
      <c r="G939" t="s">
        <v>428</v>
      </c>
    </row>
    <row r="940" spans="1:7" x14ac:dyDescent="0.35">
      <c r="A940">
        <v>130</v>
      </c>
      <c r="B940" t="s">
        <v>622</v>
      </c>
      <c r="C940">
        <v>0</v>
      </c>
      <c r="D940">
        <v>0</v>
      </c>
      <c r="E940">
        <v>0</v>
      </c>
      <c r="F940">
        <v>0</v>
      </c>
      <c r="G940" t="s">
        <v>428</v>
      </c>
    </row>
    <row r="941" spans="1:7" x14ac:dyDescent="0.35">
      <c r="A941">
        <v>140</v>
      </c>
      <c r="B941" t="s">
        <v>623</v>
      </c>
      <c r="C941">
        <v>0</v>
      </c>
      <c r="D941">
        <v>0</v>
      </c>
      <c r="E941">
        <v>0</v>
      </c>
      <c r="F941">
        <v>0</v>
      </c>
      <c r="G941" t="s">
        <v>428</v>
      </c>
    </row>
    <row r="942" spans="1:7" x14ac:dyDescent="0.35">
      <c r="A942">
        <v>145</v>
      </c>
      <c r="B942" t="s">
        <v>443</v>
      </c>
      <c r="C942">
        <v>-335981.78</v>
      </c>
      <c r="D942">
        <v>0</v>
      </c>
      <c r="E942">
        <v>-335981.78</v>
      </c>
      <c r="F942">
        <v>-335981.78</v>
      </c>
      <c r="G942" t="s">
        <v>428</v>
      </c>
    </row>
    <row r="943" spans="1:7" x14ac:dyDescent="0.35">
      <c r="A943">
        <v>150</v>
      </c>
      <c r="B943" t="s">
        <v>624</v>
      </c>
      <c r="C943">
        <v>-1664961.27</v>
      </c>
      <c r="D943">
        <v>0</v>
      </c>
      <c r="E943">
        <v>-1664961.27</v>
      </c>
      <c r="F943">
        <v>-1664961.27</v>
      </c>
      <c r="G943" t="s">
        <v>428</v>
      </c>
    </row>
    <row r="944" spans="1:7" x14ac:dyDescent="0.35">
      <c r="A944">
        <v>160</v>
      </c>
      <c r="B944" t="s">
        <v>625</v>
      </c>
      <c r="C944">
        <v>187426</v>
      </c>
      <c r="D944">
        <v>0</v>
      </c>
      <c r="E944">
        <v>187426</v>
      </c>
      <c r="F944">
        <v>187426</v>
      </c>
      <c r="G944" t="s">
        <v>428</v>
      </c>
    </row>
    <row r="945" spans="1:7" x14ac:dyDescent="0.35">
      <c r="A945">
        <v>170</v>
      </c>
      <c r="B945" t="s">
        <v>447</v>
      </c>
      <c r="C945">
        <v>-1852387.27</v>
      </c>
      <c r="D945">
        <v>0</v>
      </c>
      <c r="E945">
        <v>-1852387.27</v>
      </c>
      <c r="F945">
        <v>-1852387.27</v>
      </c>
      <c r="G945" t="s">
        <v>428</v>
      </c>
    </row>
    <row r="946" spans="1:7" x14ac:dyDescent="0.35">
      <c r="A946">
        <v>190</v>
      </c>
      <c r="B946" t="s">
        <v>626</v>
      </c>
      <c r="C946">
        <v>0</v>
      </c>
      <c r="D946">
        <v>0</v>
      </c>
      <c r="E946">
        <v>0</v>
      </c>
      <c r="F946">
        <v>0</v>
      </c>
      <c r="G946" t="s">
        <v>428</v>
      </c>
    </row>
    <row r="947" spans="1:7" x14ac:dyDescent="0.35">
      <c r="A947">
        <v>200</v>
      </c>
      <c r="B947" t="s">
        <v>447</v>
      </c>
      <c r="C947">
        <v>-1852387.27</v>
      </c>
      <c r="D947">
        <v>0</v>
      </c>
      <c r="E947">
        <v>-1852387.27</v>
      </c>
      <c r="F947">
        <v>-1852387.27</v>
      </c>
      <c r="G947" t="s">
        <v>428</v>
      </c>
    </row>
    <row r="948" spans="1:7" x14ac:dyDescent="0.35">
      <c r="A948">
        <v>210</v>
      </c>
      <c r="B948" t="s">
        <v>247</v>
      </c>
      <c r="C948">
        <v>-1852387.27</v>
      </c>
      <c r="D948">
        <v>0</v>
      </c>
      <c r="E948">
        <v>-1852387.27</v>
      </c>
      <c r="F948">
        <v>-1852387.27</v>
      </c>
      <c r="G948" t="s">
        <v>428</v>
      </c>
    </row>
    <row r="949" spans="1:7" x14ac:dyDescent="0.35">
      <c r="A949">
        <v>220</v>
      </c>
      <c r="B949" t="s">
        <v>627</v>
      </c>
      <c r="C949">
        <v>0</v>
      </c>
      <c r="D949">
        <v>0</v>
      </c>
      <c r="E949">
        <v>0</v>
      </c>
      <c r="F949">
        <v>0</v>
      </c>
      <c r="G949" t="s">
        <v>428</v>
      </c>
    </row>
    <row r="950" spans="1:7" x14ac:dyDescent="0.35">
      <c r="A950">
        <v>230</v>
      </c>
      <c r="B950" t="s">
        <v>196</v>
      </c>
      <c r="C950">
        <v>444718.98</v>
      </c>
      <c r="D950">
        <v>-8077695.1500000004</v>
      </c>
      <c r="E950">
        <v>-7632976.1699999999</v>
      </c>
      <c r="F950">
        <v>444718.98</v>
      </c>
      <c r="G950" t="s">
        <v>428</v>
      </c>
    </row>
    <row r="951" spans="1:7" x14ac:dyDescent="0.35">
      <c r="A951">
        <v>235</v>
      </c>
      <c r="B951" t="s">
        <v>628</v>
      </c>
      <c r="C951">
        <v>6600</v>
      </c>
      <c r="D951">
        <v>-83960.5</v>
      </c>
      <c r="E951">
        <v>-77360.5</v>
      </c>
      <c r="F951">
        <v>6600</v>
      </c>
      <c r="G951" t="s">
        <v>428</v>
      </c>
    </row>
    <row r="952" spans="1:7" x14ac:dyDescent="0.35">
      <c r="A952">
        <v>240</v>
      </c>
      <c r="B952" t="s">
        <v>197</v>
      </c>
      <c r="C952">
        <v>114850.03</v>
      </c>
      <c r="D952">
        <v>-6537928.1699999999</v>
      </c>
      <c r="E952">
        <v>-6423078.1399999997</v>
      </c>
      <c r="F952">
        <v>114850.03</v>
      </c>
      <c r="G952" t="s">
        <v>428</v>
      </c>
    </row>
    <row r="953" spans="1:7" x14ac:dyDescent="0.35">
      <c r="A953">
        <v>250</v>
      </c>
      <c r="B953" t="s">
        <v>198</v>
      </c>
      <c r="C953">
        <v>-2748165.23</v>
      </c>
      <c r="D953">
        <v>-3527348.37</v>
      </c>
      <c r="E953">
        <v>-6275513.5999999996</v>
      </c>
      <c r="F953">
        <v>-2748165.23</v>
      </c>
      <c r="G953" t="s">
        <v>428</v>
      </c>
    </row>
    <row r="954" spans="1:7" x14ac:dyDescent="0.35">
      <c r="A954">
        <v>260</v>
      </c>
      <c r="B954" t="s">
        <v>629</v>
      </c>
      <c r="C954">
        <v>0</v>
      </c>
      <c r="D954">
        <v>-219652.46</v>
      </c>
      <c r="E954">
        <v>-219652.46</v>
      </c>
      <c r="F954">
        <v>0</v>
      </c>
      <c r="G954" t="s">
        <v>428</v>
      </c>
    </row>
    <row r="955" spans="1:7" x14ac:dyDescent="0.35">
      <c r="A955">
        <v>270</v>
      </c>
      <c r="B955" t="s">
        <v>199</v>
      </c>
      <c r="C955">
        <v>-501515.12</v>
      </c>
      <c r="D955">
        <v>69298.259999999995</v>
      </c>
      <c r="E955">
        <v>-432216.86</v>
      </c>
      <c r="F955">
        <v>-501515.12</v>
      </c>
      <c r="G955" t="s">
        <v>428</v>
      </c>
    </row>
    <row r="956" spans="1:7" x14ac:dyDescent="0.35">
      <c r="A956">
        <v>300</v>
      </c>
      <c r="B956" t="s">
        <v>222</v>
      </c>
      <c r="C956">
        <v>4720148.3600000003</v>
      </c>
      <c r="D956">
        <v>1723676.61</v>
      </c>
      <c r="E956">
        <v>6443824.9699999997</v>
      </c>
      <c r="F956">
        <v>4720148.3600000003</v>
      </c>
      <c r="G956" t="s">
        <v>428</v>
      </c>
    </row>
    <row r="957" spans="1:7" x14ac:dyDescent="0.35">
      <c r="A957">
        <v>310</v>
      </c>
      <c r="B957" t="s">
        <v>630</v>
      </c>
      <c r="C957">
        <v>0</v>
      </c>
      <c r="D957">
        <v>0</v>
      </c>
      <c r="E957">
        <v>0</v>
      </c>
      <c r="F957">
        <v>0</v>
      </c>
      <c r="G957" t="s">
        <v>428</v>
      </c>
    </row>
    <row r="958" spans="1:7" x14ac:dyDescent="0.35">
      <c r="A958">
        <v>320</v>
      </c>
      <c r="B958" t="s">
        <v>248</v>
      </c>
      <c r="C958">
        <v>-311358.28000000003</v>
      </c>
      <c r="D958">
        <v>10185476.27</v>
      </c>
      <c r="E958">
        <v>9874117.9900000002</v>
      </c>
      <c r="F958">
        <v>-311358.28000000003</v>
      </c>
      <c r="G958" t="s">
        <v>428</v>
      </c>
    </row>
    <row r="959" spans="1:7" x14ac:dyDescent="0.35">
      <c r="A959">
        <v>325</v>
      </c>
      <c r="B959" t="s">
        <v>249</v>
      </c>
      <c r="C959">
        <v>0</v>
      </c>
      <c r="D959">
        <v>0</v>
      </c>
      <c r="E959">
        <v>0</v>
      </c>
      <c r="F959">
        <v>0</v>
      </c>
      <c r="G959" t="s">
        <v>428</v>
      </c>
    </row>
    <row r="960" spans="1:7" x14ac:dyDescent="0.35">
      <c r="A960">
        <v>330</v>
      </c>
      <c r="B960" t="s">
        <v>631</v>
      </c>
      <c r="C960">
        <v>0</v>
      </c>
      <c r="D960">
        <v>-3740802.49</v>
      </c>
      <c r="E960">
        <v>-3740802.49</v>
      </c>
      <c r="F960">
        <v>0</v>
      </c>
      <c r="G960" t="s">
        <v>428</v>
      </c>
    </row>
    <row r="961" spans="1:7" x14ac:dyDescent="0.35">
      <c r="A961">
        <v>340</v>
      </c>
      <c r="B961" t="s">
        <v>632</v>
      </c>
      <c r="C961">
        <v>-54219.08</v>
      </c>
      <c r="D961">
        <v>6236160.6299999999</v>
      </c>
      <c r="E961">
        <v>6181941.5499999998</v>
      </c>
      <c r="F961">
        <v>-54219.08</v>
      </c>
      <c r="G961" t="s">
        <v>428</v>
      </c>
    </row>
    <row r="962" spans="1:7" x14ac:dyDescent="0.35">
      <c r="A962">
        <v>380</v>
      </c>
      <c r="B962" t="s">
        <v>633</v>
      </c>
      <c r="C962">
        <v>1671059.66</v>
      </c>
      <c r="D962">
        <v>-3972775.37</v>
      </c>
      <c r="E962">
        <v>-2301715.71</v>
      </c>
      <c r="F962">
        <v>1671059.66</v>
      </c>
      <c r="G962" t="s">
        <v>428</v>
      </c>
    </row>
    <row r="963" spans="1:7" x14ac:dyDescent="0.35">
      <c r="A963">
        <v>390</v>
      </c>
      <c r="B963" t="s">
        <v>250</v>
      </c>
      <c r="C963">
        <v>0</v>
      </c>
      <c r="D963">
        <v>0</v>
      </c>
      <c r="E963">
        <v>0</v>
      </c>
      <c r="F963">
        <v>0</v>
      </c>
      <c r="G963" t="s">
        <v>428</v>
      </c>
    </row>
    <row r="964" spans="1:7" x14ac:dyDescent="0.35">
      <c r="A964">
        <v>400</v>
      </c>
      <c r="B964" t="s">
        <v>251</v>
      </c>
      <c r="C964">
        <v>0</v>
      </c>
      <c r="D964">
        <v>-8.76</v>
      </c>
      <c r="E964">
        <v>-8.76</v>
      </c>
      <c r="F964">
        <v>0</v>
      </c>
      <c r="G964" t="s">
        <v>428</v>
      </c>
    </row>
    <row r="965" spans="1:7" x14ac:dyDescent="0.35">
      <c r="A965">
        <v>405</v>
      </c>
      <c r="B965" t="s">
        <v>252</v>
      </c>
      <c r="C965">
        <v>0</v>
      </c>
      <c r="D965">
        <v>0</v>
      </c>
      <c r="E965">
        <v>0</v>
      </c>
      <c r="F965">
        <v>0</v>
      </c>
      <c r="G965" t="s">
        <v>428</v>
      </c>
    </row>
    <row r="966" spans="1:7" x14ac:dyDescent="0.35">
      <c r="A966">
        <v>410</v>
      </c>
      <c r="B966" t="s">
        <v>237</v>
      </c>
      <c r="C966">
        <v>0</v>
      </c>
      <c r="D966">
        <v>37609982.340000004</v>
      </c>
      <c r="E966">
        <v>37609982.340000004</v>
      </c>
      <c r="F966">
        <v>0</v>
      </c>
      <c r="G966" t="s">
        <v>428</v>
      </c>
    </row>
    <row r="967" spans="1:7" x14ac:dyDescent="0.35">
      <c r="A967">
        <v>420</v>
      </c>
      <c r="B967" t="s">
        <v>253</v>
      </c>
      <c r="C967">
        <v>0</v>
      </c>
      <c r="D967">
        <v>0</v>
      </c>
      <c r="E967">
        <v>0</v>
      </c>
      <c r="F967">
        <v>0</v>
      </c>
      <c r="G967" t="s">
        <v>428</v>
      </c>
    </row>
    <row r="968" spans="1:7" x14ac:dyDescent="0.35">
      <c r="A968">
        <v>425</v>
      </c>
      <c r="B968" t="s">
        <v>634</v>
      </c>
      <c r="C968">
        <v>0</v>
      </c>
      <c r="D968">
        <v>0</v>
      </c>
      <c r="E968">
        <v>0</v>
      </c>
      <c r="F968">
        <v>0</v>
      </c>
      <c r="G968" t="s">
        <v>428</v>
      </c>
    </row>
    <row r="969" spans="1:7" x14ac:dyDescent="0.35">
      <c r="A969">
        <v>427</v>
      </c>
      <c r="B969" t="s">
        <v>635</v>
      </c>
      <c r="C969">
        <v>0</v>
      </c>
      <c r="D969">
        <v>0</v>
      </c>
      <c r="E969">
        <v>0</v>
      </c>
      <c r="F969">
        <v>0</v>
      </c>
      <c r="G969" t="s">
        <v>428</v>
      </c>
    </row>
    <row r="970" spans="1:7" x14ac:dyDescent="0.35">
      <c r="A970">
        <v>430</v>
      </c>
      <c r="B970" t="s">
        <v>254</v>
      </c>
      <c r="C970">
        <v>0</v>
      </c>
      <c r="D970">
        <v>4285154.45</v>
      </c>
      <c r="E970">
        <v>4285154.45</v>
      </c>
      <c r="F970">
        <v>0</v>
      </c>
      <c r="G970" t="s">
        <v>428</v>
      </c>
    </row>
    <row r="971" spans="1:7" x14ac:dyDescent="0.35">
      <c r="A971">
        <v>440</v>
      </c>
      <c r="B971" t="s">
        <v>255</v>
      </c>
      <c r="C971">
        <v>0</v>
      </c>
      <c r="D971">
        <v>41895128.030000001</v>
      </c>
      <c r="E971">
        <v>41895128.030000001</v>
      </c>
      <c r="F971">
        <v>0</v>
      </c>
      <c r="G971" t="s">
        <v>428</v>
      </c>
    </row>
    <row r="972" spans="1:7" x14ac:dyDescent="0.35">
      <c r="A972">
        <v>450</v>
      </c>
      <c r="B972" t="s">
        <v>256</v>
      </c>
      <c r="C972">
        <v>0</v>
      </c>
      <c r="D972">
        <v>0</v>
      </c>
      <c r="E972">
        <v>0</v>
      </c>
      <c r="F972">
        <v>0</v>
      </c>
      <c r="G972" t="s">
        <v>428</v>
      </c>
    </row>
    <row r="973" spans="1:7" x14ac:dyDescent="0.35">
      <c r="A973">
        <v>455</v>
      </c>
      <c r="B973" t="s">
        <v>204</v>
      </c>
      <c r="C973">
        <v>0</v>
      </c>
      <c r="D973">
        <v>-3760258.49</v>
      </c>
      <c r="E973">
        <v>-3760258.49</v>
      </c>
      <c r="F973">
        <v>0</v>
      </c>
      <c r="G973" t="s">
        <v>428</v>
      </c>
    </row>
    <row r="974" spans="1:7" x14ac:dyDescent="0.35">
      <c r="A974">
        <v>456</v>
      </c>
      <c r="B974" t="s">
        <v>636</v>
      </c>
      <c r="C974">
        <v>31335.49</v>
      </c>
      <c r="D974">
        <v>781954.05</v>
      </c>
      <c r="E974">
        <v>813289.54</v>
      </c>
      <c r="F974">
        <v>31335.49</v>
      </c>
      <c r="G974" t="s">
        <v>428</v>
      </c>
    </row>
    <row r="975" spans="1:7" x14ac:dyDescent="0.35">
      <c r="A975">
        <v>460</v>
      </c>
      <c r="B975" t="s">
        <v>208</v>
      </c>
      <c r="C975">
        <v>-11581.03</v>
      </c>
      <c r="D975">
        <v>-19028558.809999999</v>
      </c>
      <c r="E975">
        <v>-19040139.84</v>
      </c>
      <c r="F975">
        <v>-11581.03</v>
      </c>
      <c r="G975" t="s">
        <v>428</v>
      </c>
    </row>
    <row r="976" spans="1:7" x14ac:dyDescent="0.35">
      <c r="A976">
        <v>470</v>
      </c>
      <c r="B976" t="s">
        <v>637</v>
      </c>
      <c r="C976">
        <v>41987.89</v>
      </c>
      <c r="D976">
        <v>7945537.3099999996</v>
      </c>
      <c r="E976">
        <v>7987525.2000000002</v>
      </c>
      <c r="F976">
        <v>41987.89</v>
      </c>
      <c r="G976" t="s">
        <v>428</v>
      </c>
    </row>
    <row r="977" spans="1:7" x14ac:dyDescent="0.35">
      <c r="A977">
        <v>480</v>
      </c>
      <c r="B977" t="s">
        <v>207</v>
      </c>
      <c r="C977">
        <v>-16433</v>
      </c>
      <c r="D977">
        <v>-30767208.300000001</v>
      </c>
      <c r="E977">
        <v>-30783641.300000001</v>
      </c>
      <c r="F977">
        <v>-16433</v>
      </c>
      <c r="G977" t="s">
        <v>428</v>
      </c>
    </row>
    <row r="978" spans="1:7" x14ac:dyDescent="0.35">
      <c r="A978">
        <v>490</v>
      </c>
      <c r="B978" t="s">
        <v>638</v>
      </c>
      <c r="C978">
        <v>112294.45</v>
      </c>
      <c r="D978">
        <v>13049857.810000001</v>
      </c>
      <c r="E978">
        <v>13162152.26</v>
      </c>
      <c r="F978">
        <v>112294.45</v>
      </c>
      <c r="G978" t="s">
        <v>428</v>
      </c>
    </row>
    <row r="979" spans="1:7" x14ac:dyDescent="0.35">
      <c r="A979">
        <v>500</v>
      </c>
      <c r="B979" t="s">
        <v>206</v>
      </c>
      <c r="C979">
        <v>0</v>
      </c>
      <c r="D979">
        <v>-6444064.4400000004</v>
      </c>
      <c r="E979">
        <v>-6444064.4400000004</v>
      </c>
      <c r="F979">
        <v>0</v>
      </c>
      <c r="G979" t="s">
        <v>428</v>
      </c>
    </row>
    <row r="980" spans="1:7" x14ac:dyDescent="0.35">
      <c r="A980">
        <v>510</v>
      </c>
      <c r="B980" t="s">
        <v>639</v>
      </c>
      <c r="C980">
        <v>59854.29</v>
      </c>
      <c r="D980">
        <v>4966808.97</v>
      </c>
      <c r="E980">
        <v>5026663.26</v>
      </c>
      <c r="F980">
        <v>59854.29</v>
      </c>
      <c r="G980" t="s">
        <v>428</v>
      </c>
    </row>
    <row r="981" spans="1:7" x14ac:dyDescent="0.35">
      <c r="A981">
        <v>512</v>
      </c>
      <c r="B981" t="s">
        <v>257</v>
      </c>
      <c r="C981">
        <v>-9984.75</v>
      </c>
      <c r="D981">
        <v>-1052238.1299999999</v>
      </c>
      <c r="E981">
        <v>-1062222.8799999999</v>
      </c>
      <c r="F981">
        <v>-9984.75</v>
      </c>
      <c r="G981" t="s">
        <v>428</v>
      </c>
    </row>
    <row r="982" spans="1:7" x14ac:dyDescent="0.35">
      <c r="A982">
        <v>514</v>
      </c>
      <c r="B982" t="s">
        <v>640</v>
      </c>
      <c r="C982">
        <v>4109.07</v>
      </c>
      <c r="D982">
        <v>358245.65</v>
      </c>
      <c r="E982">
        <v>362354.72</v>
      </c>
      <c r="F982">
        <v>4109.07</v>
      </c>
      <c r="G982" t="s">
        <v>428</v>
      </c>
    </row>
    <row r="983" spans="1:7" x14ac:dyDescent="0.35">
      <c r="A983">
        <v>520</v>
      </c>
      <c r="B983" t="s">
        <v>641</v>
      </c>
      <c r="C983">
        <v>0</v>
      </c>
      <c r="D983">
        <v>-39620.410000000003</v>
      </c>
      <c r="E983">
        <v>-39620.410000000003</v>
      </c>
      <c r="F983">
        <v>0</v>
      </c>
      <c r="G983" t="s">
        <v>428</v>
      </c>
    </row>
    <row r="984" spans="1:7" x14ac:dyDescent="0.35">
      <c r="A984">
        <v>530</v>
      </c>
      <c r="B984" t="s">
        <v>642</v>
      </c>
      <c r="C984">
        <v>0</v>
      </c>
      <c r="D984">
        <v>0</v>
      </c>
      <c r="E984">
        <v>0</v>
      </c>
      <c r="F984">
        <v>0</v>
      </c>
      <c r="G984" t="s">
        <v>428</v>
      </c>
    </row>
    <row r="985" spans="1:7" x14ac:dyDescent="0.35">
      <c r="A985">
        <v>540</v>
      </c>
      <c r="B985" t="s">
        <v>643</v>
      </c>
      <c r="C985">
        <v>0</v>
      </c>
      <c r="D985">
        <v>-9493</v>
      </c>
      <c r="E985">
        <v>-9493</v>
      </c>
      <c r="F985">
        <v>0</v>
      </c>
      <c r="G985" t="s">
        <v>428</v>
      </c>
    </row>
    <row r="986" spans="1:7" x14ac:dyDescent="0.35">
      <c r="A986">
        <v>550</v>
      </c>
      <c r="B986" t="s">
        <v>644</v>
      </c>
      <c r="C986">
        <v>0</v>
      </c>
      <c r="D986">
        <v>0</v>
      </c>
      <c r="E986">
        <v>0</v>
      </c>
      <c r="F986">
        <v>0</v>
      </c>
      <c r="G986" t="s">
        <v>428</v>
      </c>
    </row>
    <row r="987" spans="1:7" x14ac:dyDescent="0.35">
      <c r="A987">
        <v>560</v>
      </c>
      <c r="B987" t="s">
        <v>645</v>
      </c>
      <c r="C987">
        <v>0</v>
      </c>
      <c r="D987">
        <v>0</v>
      </c>
      <c r="E987">
        <v>0</v>
      </c>
      <c r="F987">
        <v>0</v>
      </c>
      <c r="G987" t="s">
        <v>428</v>
      </c>
    </row>
    <row r="988" spans="1:7" x14ac:dyDescent="0.35">
      <c r="A988">
        <v>570</v>
      </c>
      <c r="B988" t="s">
        <v>646</v>
      </c>
      <c r="C988">
        <v>0</v>
      </c>
      <c r="D988">
        <v>0</v>
      </c>
      <c r="E988">
        <v>0</v>
      </c>
      <c r="F988">
        <v>0</v>
      </c>
      <c r="G988" t="s">
        <v>428</v>
      </c>
    </row>
    <row r="989" spans="1:7" x14ac:dyDescent="0.35">
      <c r="A989">
        <v>580</v>
      </c>
      <c r="B989" t="s">
        <v>258</v>
      </c>
      <c r="C989">
        <v>0</v>
      </c>
      <c r="D989">
        <v>0</v>
      </c>
      <c r="E989">
        <v>0</v>
      </c>
      <c r="F989">
        <v>0</v>
      </c>
      <c r="G989" t="s">
        <v>428</v>
      </c>
    </row>
    <row r="990" spans="1:7" x14ac:dyDescent="0.35">
      <c r="A990">
        <v>590</v>
      </c>
      <c r="B990" t="s">
        <v>647</v>
      </c>
      <c r="C990">
        <v>0</v>
      </c>
      <c r="D990">
        <v>0</v>
      </c>
      <c r="E990">
        <v>0</v>
      </c>
      <c r="F990">
        <v>0</v>
      </c>
      <c r="G990" t="s">
        <v>428</v>
      </c>
    </row>
    <row r="991" spans="1:7" x14ac:dyDescent="0.35">
      <c r="A991">
        <v>600</v>
      </c>
      <c r="B991" t="s">
        <v>259</v>
      </c>
      <c r="C991">
        <v>0</v>
      </c>
      <c r="D991">
        <v>0</v>
      </c>
      <c r="E991">
        <v>0</v>
      </c>
      <c r="F991">
        <v>0</v>
      </c>
      <c r="G991" t="s">
        <v>428</v>
      </c>
    </row>
    <row r="992" spans="1:7" x14ac:dyDescent="0.35">
      <c r="A992">
        <v>610</v>
      </c>
      <c r="B992" t="s">
        <v>648</v>
      </c>
      <c r="C992">
        <v>0</v>
      </c>
      <c r="D992">
        <v>0</v>
      </c>
      <c r="E992">
        <v>0</v>
      </c>
      <c r="F992">
        <v>0</v>
      </c>
      <c r="G992" t="s">
        <v>428</v>
      </c>
    </row>
    <row r="993" spans="1:7" x14ac:dyDescent="0.35">
      <c r="A993">
        <v>615</v>
      </c>
      <c r="B993" t="s">
        <v>673</v>
      </c>
      <c r="C993">
        <v>0</v>
      </c>
      <c r="D993">
        <v>-2604066.0099999998</v>
      </c>
      <c r="E993">
        <v>-2604066.0099999998</v>
      </c>
      <c r="F993">
        <v>0</v>
      </c>
      <c r="G993" t="s">
        <v>428</v>
      </c>
    </row>
    <row r="994" spans="1:7" x14ac:dyDescent="0.35">
      <c r="A994">
        <v>620</v>
      </c>
      <c r="B994" t="s">
        <v>260</v>
      </c>
      <c r="C994">
        <v>0</v>
      </c>
      <c r="D994">
        <v>0</v>
      </c>
      <c r="E994">
        <v>0</v>
      </c>
      <c r="F994">
        <v>0</v>
      </c>
      <c r="G994" t="s">
        <v>428</v>
      </c>
    </row>
    <row r="995" spans="1:7" x14ac:dyDescent="0.35">
      <c r="A995">
        <v>630</v>
      </c>
      <c r="B995" t="s">
        <v>261</v>
      </c>
      <c r="C995">
        <v>0</v>
      </c>
      <c r="D995">
        <v>0</v>
      </c>
      <c r="E995">
        <v>0</v>
      </c>
      <c r="F995">
        <v>0</v>
      </c>
      <c r="G995" t="s">
        <v>428</v>
      </c>
    </row>
    <row r="996" spans="1:7" x14ac:dyDescent="0.35">
      <c r="A996">
        <v>635</v>
      </c>
      <c r="B996" t="s">
        <v>674</v>
      </c>
      <c r="C996">
        <v>0</v>
      </c>
      <c r="D996">
        <v>0</v>
      </c>
      <c r="E996">
        <v>0</v>
      </c>
      <c r="F996">
        <v>0</v>
      </c>
      <c r="G996" t="s">
        <v>428</v>
      </c>
    </row>
    <row r="997" spans="1:7" x14ac:dyDescent="0.35">
      <c r="A997">
        <v>640</v>
      </c>
      <c r="B997" t="s">
        <v>262</v>
      </c>
      <c r="C997">
        <v>211582.41</v>
      </c>
      <c r="D997">
        <v>-36603103.799999997</v>
      </c>
      <c r="E997">
        <v>-36391521.390000001</v>
      </c>
      <c r="F997">
        <v>211582.41</v>
      </c>
      <c r="G997" t="s">
        <v>428</v>
      </c>
    </row>
    <row r="998" spans="1:7" x14ac:dyDescent="0.35">
      <c r="A998">
        <v>650</v>
      </c>
      <c r="B998" t="s">
        <v>263</v>
      </c>
      <c r="C998">
        <v>30254.799999999999</v>
      </c>
      <c r="D998">
        <v>1319248.8600000001</v>
      </c>
      <c r="E998">
        <v>1349503.66</v>
      </c>
      <c r="F998">
        <v>30254.799999999999</v>
      </c>
      <c r="G998" t="s">
        <v>428</v>
      </c>
    </row>
    <row r="999" spans="1:7" x14ac:dyDescent="0.35">
      <c r="A999" t="s">
        <v>499</v>
      </c>
      <c r="B999" t="s">
        <v>416</v>
      </c>
      <c r="C999" t="s">
        <v>608</v>
      </c>
      <c r="D999" t="s">
        <v>609</v>
      </c>
      <c r="E999" t="s">
        <v>610</v>
      </c>
      <c r="F999" t="s">
        <v>611</v>
      </c>
      <c r="G999" t="s">
        <v>121</v>
      </c>
    </row>
    <row r="1000" spans="1:7" x14ac:dyDescent="0.35">
      <c r="A1000">
        <v>10</v>
      </c>
      <c r="B1000" t="s">
        <v>612</v>
      </c>
      <c r="C1000">
        <v>0</v>
      </c>
      <c r="D1000">
        <v>0</v>
      </c>
      <c r="E1000">
        <v>0</v>
      </c>
      <c r="F1000">
        <v>0</v>
      </c>
      <c r="G1000" t="s">
        <v>428</v>
      </c>
    </row>
    <row r="1001" spans="1:7" x14ac:dyDescent="0.35">
      <c r="A1001">
        <v>20</v>
      </c>
      <c r="B1001" t="s">
        <v>427</v>
      </c>
      <c r="C1001">
        <v>63863556.770000003</v>
      </c>
      <c r="D1001">
        <v>0</v>
      </c>
      <c r="E1001">
        <v>63863556.770000003</v>
      </c>
      <c r="F1001">
        <v>63863556.770000003</v>
      </c>
      <c r="G1001" t="s">
        <v>428</v>
      </c>
    </row>
    <row r="1002" spans="1:7" x14ac:dyDescent="0.35">
      <c r="A1002">
        <v>30</v>
      </c>
      <c r="B1002" t="s">
        <v>613</v>
      </c>
      <c r="C1002">
        <v>0</v>
      </c>
      <c r="D1002">
        <v>0</v>
      </c>
      <c r="E1002">
        <v>0</v>
      </c>
      <c r="F1002">
        <v>0</v>
      </c>
      <c r="G1002" t="s">
        <v>428</v>
      </c>
    </row>
    <row r="1003" spans="1:7" x14ac:dyDescent="0.35">
      <c r="A1003">
        <v>35</v>
      </c>
      <c r="B1003" t="s">
        <v>614</v>
      </c>
      <c r="C1003">
        <v>63863556.770000003</v>
      </c>
      <c r="D1003">
        <v>0</v>
      </c>
      <c r="E1003">
        <v>63863556.770000003</v>
      </c>
      <c r="F1003">
        <v>63863556.770000003</v>
      </c>
      <c r="G1003" t="s">
        <v>428</v>
      </c>
    </row>
    <row r="1004" spans="1:7" x14ac:dyDescent="0.35">
      <c r="A1004">
        <v>40</v>
      </c>
      <c r="B1004" t="s">
        <v>615</v>
      </c>
      <c r="C1004">
        <v>54520265.969999999</v>
      </c>
      <c r="D1004">
        <v>0</v>
      </c>
      <c r="E1004">
        <v>54520265.969999999</v>
      </c>
      <c r="F1004">
        <v>54520265.969999999</v>
      </c>
      <c r="G1004" t="s">
        <v>428</v>
      </c>
    </row>
    <row r="1005" spans="1:7" x14ac:dyDescent="0.35">
      <c r="A1005">
        <v>50</v>
      </c>
      <c r="B1005" t="s">
        <v>616</v>
      </c>
      <c r="C1005">
        <v>0</v>
      </c>
      <c r="D1005">
        <v>0</v>
      </c>
      <c r="E1005">
        <v>0</v>
      </c>
      <c r="F1005">
        <v>0</v>
      </c>
      <c r="G1005" t="s">
        <v>428</v>
      </c>
    </row>
    <row r="1006" spans="1:7" x14ac:dyDescent="0.35">
      <c r="A1006">
        <v>60</v>
      </c>
      <c r="B1006" t="s">
        <v>617</v>
      </c>
      <c r="C1006">
        <v>9343290.8000000007</v>
      </c>
      <c r="D1006">
        <v>0</v>
      </c>
      <c r="E1006">
        <v>9343290.8000000007</v>
      </c>
      <c r="F1006">
        <v>9343290.8000000007</v>
      </c>
      <c r="G1006" t="s">
        <v>428</v>
      </c>
    </row>
    <row r="1007" spans="1:7" x14ac:dyDescent="0.35">
      <c r="A1007">
        <v>70</v>
      </c>
      <c r="B1007" t="s">
        <v>433</v>
      </c>
      <c r="C1007">
        <v>3001950.05</v>
      </c>
      <c r="D1007">
        <v>0</v>
      </c>
      <c r="E1007">
        <v>3001950.05</v>
      </c>
      <c r="F1007">
        <v>3001950.05</v>
      </c>
      <c r="G1007" t="s">
        <v>428</v>
      </c>
    </row>
    <row r="1008" spans="1:7" x14ac:dyDescent="0.35">
      <c r="A1008">
        <v>80</v>
      </c>
      <c r="B1008" t="s">
        <v>434</v>
      </c>
      <c r="C1008">
        <v>1332469.8</v>
      </c>
      <c r="D1008">
        <v>0</v>
      </c>
      <c r="E1008">
        <v>1332469.8</v>
      </c>
      <c r="F1008">
        <v>1332469.8</v>
      </c>
      <c r="G1008" t="s">
        <v>428</v>
      </c>
    </row>
    <row r="1009" spans="1:7" x14ac:dyDescent="0.35">
      <c r="A1009">
        <v>90</v>
      </c>
      <c r="B1009" t="s">
        <v>618</v>
      </c>
      <c r="C1009">
        <v>231417.85</v>
      </c>
      <c r="D1009">
        <v>0</v>
      </c>
      <c r="E1009">
        <v>231417.85</v>
      </c>
      <c r="F1009">
        <v>231417.85</v>
      </c>
      <c r="G1009" t="s">
        <v>428</v>
      </c>
    </row>
    <row r="1010" spans="1:7" x14ac:dyDescent="0.35">
      <c r="A1010">
        <v>100</v>
      </c>
      <c r="B1010" t="s">
        <v>619</v>
      </c>
      <c r="C1010">
        <v>4777453.0999999996</v>
      </c>
      <c r="D1010">
        <v>0</v>
      </c>
      <c r="E1010">
        <v>4777453.0999999996</v>
      </c>
      <c r="F1010">
        <v>4777453.0999999996</v>
      </c>
      <c r="G1010" t="s">
        <v>428</v>
      </c>
    </row>
    <row r="1011" spans="1:7" x14ac:dyDescent="0.35">
      <c r="A1011">
        <v>110</v>
      </c>
      <c r="B1011" t="s">
        <v>620</v>
      </c>
      <c r="C1011">
        <v>749570.76</v>
      </c>
      <c r="D1011">
        <v>0</v>
      </c>
      <c r="E1011">
        <v>749570.76</v>
      </c>
      <c r="F1011">
        <v>749570.76</v>
      </c>
      <c r="G1011" t="s">
        <v>428</v>
      </c>
    </row>
    <row r="1012" spans="1:7" x14ac:dyDescent="0.35">
      <c r="A1012">
        <v>120</v>
      </c>
      <c r="B1012" t="s">
        <v>621</v>
      </c>
      <c r="C1012">
        <v>-103371.69</v>
      </c>
      <c r="D1012">
        <v>0</v>
      </c>
      <c r="E1012">
        <v>-103371.69</v>
      </c>
      <c r="F1012">
        <v>-103371.69</v>
      </c>
      <c r="G1012" t="s">
        <v>428</v>
      </c>
    </row>
    <row r="1013" spans="1:7" x14ac:dyDescent="0.35">
      <c r="A1013">
        <v>130</v>
      </c>
      <c r="B1013" t="s">
        <v>622</v>
      </c>
      <c r="C1013">
        <v>188640.4</v>
      </c>
      <c r="D1013">
        <v>0</v>
      </c>
      <c r="E1013">
        <v>188640.4</v>
      </c>
      <c r="F1013">
        <v>188640.4</v>
      </c>
      <c r="G1013" t="s">
        <v>428</v>
      </c>
    </row>
    <row r="1014" spans="1:7" x14ac:dyDescent="0.35">
      <c r="A1014">
        <v>140</v>
      </c>
      <c r="B1014" t="s">
        <v>623</v>
      </c>
      <c r="C1014">
        <v>0</v>
      </c>
      <c r="D1014">
        <v>0</v>
      </c>
      <c r="E1014">
        <v>0</v>
      </c>
      <c r="F1014">
        <v>0</v>
      </c>
      <c r="G1014" t="s">
        <v>428</v>
      </c>
    </row>
    <row r="1015" spans="1:7" x14ac:dyDescent="0.35">
      <c r="A1015">
        <v>145</v>
      </c>
      <c r="B1015" t="s">
        <v>443</v>
      </c>
      <c r="C1015">
        <v>834839.47</v>
      </c>
      <c r="D1015">
        <v>0</v>
      </c>
      <c r="E1015">
        <v>834839.47</v>
      </c>
      <c r="F1015">
        <v>834839.47</v>
      </c>
      <c r="G1015" t="s">
        <v>428</v>
      </c>
    </row>
    <row r="1016" spans="1:7" x14ac:dyDescent="0.35">
      <c r="A1016">
        <v>150</v>
      </c>
      <c r="B1016" t="s">
        <v>624</v>
      </c>
      <c r="C1016">
        <v>3942613.63</v>
      </c>
      <c r="D1016">
        <v>0</v>
      </c>
      <c r="E1016">
        <v>3942613.63</v>
      </c>
      <c r="F1016">
        <v>3942613.63</v>
      </c>
      <c r="G1016" t="s">
        <v>428</v>
      </c>
    </row>
    <row r="1017" spans="1:7" x14ac:dyDescent="0.35">
      <c r="A1017">
        <v>160</v>
      </c>
      <c r="B1017" t="s">
        <v>625</v>
      </c>
      <c r="C1017">
        <v>1342979</v>
      </c>
      <c r="D1017">
        <v>0</v>
      </c>
      <c r="E1017">
        <v>1342979</v>
      </c>
      <c r="F1017">
        <v>1342979</v>
      </c>
      <c r="G1017" t="s">
        <v>428</v>
      </c>
    </row>
    <row r="1018" spans="1:7" x14ac:dyDescent="0.35">
      <c r="A1018">
        <v>170</v>
      </c>
      <c r="B1018" t="s">
        <v>447</v>
      </c>
      <c r="C1018">
        <v>2599634.63</v>
      </c>
      <c r="D1018">
        <v>0</v>
      </c>
      <c r="E1018">
        <v>2599634.63</v>
      </c>
      <c r="F1018">
        <v>2599634.63</v>
      </c>
      <c r="G1018" t="s">
        <v>428</v>
      </c>
    </row>
    <row r="1019" spans="1:7" x14ac:dyDescent="0.35">
      <c r="A1019">
        <v>190</v>
      </c>
      <c r="B1019" t="s">
        <v>626</v>
      </c>
      <c r="C1019">
        <v>0</v>
      </c>
      <c r="D1019">
        <v>0</v>
      </c>
      <c r="E1019">
        <v>0</v>
      </c>
      <c r="F1019">
        <v>0</v>
      </c>
      <c r="G1019" t="s">
        <v>428</v>
      </c>
    </row>
    <row r="1020" spans="1:7" x14ac:dyDescent="0.35">
      <c r="A1020">
        <v>200</v>
      </c>
      <c r="B1020" t="s">
        <v>447</v>
      </c>
      <c r="C1020">
        <v>2599634.63</v>
      </c>
      <c r="D1020">
        <v>0</v>
      </c>
      <c r="E1020">
        <v>2599634.63</v>
      </c>
      <c r="F1020">
        <v>2599634.63</v>
      </c>
      <c r="G1020" t="s">
        <v>428</v>
      </c>
    </row>
    <row r="1021" spans="1:7" x14ac:dyDescent="0.35">
      <c r="A1021">
        <v>210</v>
      </c>
      <c r="B1021" t="s">
        <v>247</v>
      </c>
      <c r="C1021">
        <v>2599634.63</v>
      </c>
      <c r="D1021">
        <v>0</v>
      </c>
      <c r="E1021">
        <v>2599634.63</v>
      </c>
      <c r="F1021">
        <v>2599634.63</v>
      </c>
      <c r="G1021" t="s">
        <v>428</v>
      </c>
    </row>
    <row r="1022" spans="1:7" x14ac:dyDescent="0.35">
      <c r="A1022">
        <v>220</v>
      </c>
      <c r="B1022" t="s">
        <v>627</v>
      </c>
      <c r="C1022">
        <v>0</v>
      </c>
      <c r="D1022">
        <v>0</v>
      </c>
      <c r="E1022">
        <v>0</v>
      </c>
      <c r="F1022">
        <v>0</v>
      </c>
      <c r="G1022" t="s">
        <v>428</v>
      </c>
    </row>
    <row r="1023" spans="1:7" x14ac:dyDescent="0.35">
      <c r="A1023">
        <v>230</v>
      </c>
      <c r="B1023" t="s">
        <v>196</v>
      </c>
      <c r="C1023">
        <v>-3608450.5</v>
      </c>
      <c r="D1023">
        <v>-21992908.559999999</v>
      </c>
      <c r="E1023">
        <v>-25601359.059999999</v>
      </c>
      <c r="F1023">
        <v>-3608450.5</v>
      </c>
      <c r="G1023" t="s">
        <v>428</v>
      </c>
    </row>
    <row r="1024" spans="1:7" x14ac:dyDescent="0.35">
      <c r="A1024">
        <v>235</v>
      </c>
      <c r="B1024" t="s">
        <v>628</v>
      </c>
      <c r="C1024">
        <v>3400</v>
      </c>
      <c r="D1024">
        <v>-37767.589999999997</v>
      </c>
      <c r="E1024">
        <v>-34367.589999999997</v>
      </c>
      <c r="F1024">
        <v>3400</v>
      </c>
      <c r="G1024" t="s">
        <v>428</v>
      </c>
    </row>
    <row r="1025" spans="1:7" x14ac:dyDescent="0.35">
      <c r="A1025">
        <v>240</v>
      </c>
      <c r="B1025" t="s">
        <v>197</v>
      </c>
      <c r="C1025">
        <v>-597327.80000000005</v>
      </c>
      <c r="D1025">
        <v>-46296664.310000002</v>
      </c>
      <c r="E1025">
        <v>-46893992.109999999</v>
      </c>
      <c r="F1025">
        <v>-597327.80000000005</v>
      </c>
      <c r="G1025" t="s">
        <v>428</v>
      </c>
    </row>
    <row r="1026" spans="1:7" x14ac:dyDescent="0.35">
      <c r="A1026">
        <v>250</v>
      </c>
      <c r="B1026" t="s">
        <v>198</v>
      </c>
      <c r="C1026">
        <v>-497029.79</v>
      </c>
      <c r="D1026">
        <v>-12386436.130000001</v>
      </c>
      <c r="E1026">
        <v>-12883465.92</v>
      </c>
      <c r="F1026">
        <v>-497029.79</v>
      </c>
      <c r="G1026" t="s">
        <v>428</v>
      </c>
    </row>
    <row r="1027" spans="1:7" x14ac:dyDescent="0.35">
      <c r="A1027">
        <v>260</v>
      </c>
      <c r="B1027" t="s">
        <v>629</v>
      </c>
      <c r="C1027">
        <v>318071.21000000002</v>
      </c>
      <c r="D1027">
        <v>-3323474.22</v>
      </c>
      <c r="E1027">
        <v>-3005403.01</v>
      </c>
      <c r="F1027">
        <v>318071.21000000002</v>
      </c>
      <c r="G1027" t="s">
        <v>428</v>
      </c>
    </row>
    <row r="1028" spans="1:7" x14ac:dyDescent="0.35">
      <c r="A1028">
        <v>270</v>
      </c>
      <c r="B1028" t="s">
        <v>199</v>
      </c>
      <c r="C1028">
        <v>9414626.7699999996</v>
      </c>
      <c r="D1028">
        <v>-27772288.760000002</v>
      </c>
      <c r="E1028">
        <v>-18357661.989999998</v>
      </c>
      <c r="F1028">
        <v>9414626.7699999996</v>
      </c>
      <c r="G1028" t="s">
        <v>428</v>
      </c>
    </row>
    <row r="1029" spans="1:7" x14ac:dyDescent="0.35">
      <c r="A1029">
        <v>300</v>
      </c>
      <c r="B1029" t="s">
        <v>222</v>
      </c>
      <c r="C1029">
        <v>-4555550.26</v>
      </c>
      <c r="D1029">
        <v>38222983.979999997</v>
      </c>
      <c r="E1029">
        <v>33667433.719999999</v>
      </c>
      <c r="F1029">
        <v>-4555550.26</v>
      </c>
      <c r="G1029" t="s">
        <v>428</v>
      </c>
    </row>
    <row r="1030" spans="1:7" x14ac:dyDescent="0.35">
      <c r="A1030">
        <v>310</v>
      </c>
      <c r="B1030" t="s">
        <v>630</v>
      </c>
      <c r="C1030">
        <v>0</v>
      </c>
      <c r="D1030">
        <v>20000</v>
      </c>
      <c r="E1030">
        <v>20000</v>
      </c>
      <c r="F1030">
        <v>0</v>
      </c>
      <c r="G1030" t="s">
        <v>428</v>
      </c>
    </row>
    <row r="1031" spans="1:7" x14ac:dyDescent="0.35">
      <c r="A1031">
        <v>320</v>
      </c>
      <c r="B1031" t="s">
        <v>248</v>
      </c>
      <c r="C1031">
        <v>-252194.22</v>
      </c>
      <c r="D1031">
        <v>1515216.79</v>
      </c>
      <c r="E1031">
        <v>1263022.57</v>
      </c>
      <c r="F1031">
        <v>-252194.22</v>
      </c>
      <c r="G1031" t="s">
        <v>428</v>
      </c>
    </row>
    <row r="1032" spans="1:7" x14ac:dyDescent="0.35">
      <c r="A1032">
        <v>325</v>
      </c>
      <c r="B1032" t="s">
        <v>249</v>
      </c>
      <c r="C1032">
        <v>0</v>
      </c>
      <c r="D1032">
        <v>7431904.5700000003</v>
      </c>
      <c r="E1032">
        <v>7431904.5700000003</v>
      </c>
      <c r="F1032">
        <v>0</v>
      </c>
      <c r="G1032" t="s">
        <v>428</v>
      </c>
    </row>
    <row r="1033" spans="1:7" x14ac:dyDescent="0.35">
      <c r="A1033">
        <v>330</v>
      </c>
      <c r="B1033" t="s">
        <v>631</v>
      </c>
      <c r="C1033">
        <v>153414.14000000001</v>
      </c>
      <c r="D1033">
        <v>1288530.8700000001</v>
      </c>
      <c r="E1033">
        <v>1441945.01</v>
      </c>
      <c r="F1033">
        <v>153414.14000000001</v>
      </c>
      <c r="G1033" t="s">
        <v>428</v>
      </c>
    </row>
    <row r="1034" spans="1:7" x14ac:dyDescent="0.35">
      <c r="A1034">
        <v>340</v>
      </c>
      <c r="B1034" t="s">
        <v>632</v>
      </c>
      <c r="C1034">
        <v>-145737.76999999999</v>
      </c>
      <c r="D1034">
        <v>7418396.8700000001</v>
      </c>
      <c r="E1034">
        <v>7272659.0999999996</v>
      </c>
      <c r="F1034">
        <v>-145737.76999999999</v>
      </c>
      <c r="G1034" t="s">
        <v>428</v>
      </c>
    </row>
    <row r="1035" spans="1:7" x14ac:dyDescent="0.35">
      <c r="A1035">
        <v>380</v>
      </c>
      <c r="B1035" t="s">
        <v>633</v>
      </c>
      <c r="C1035">
        <v>233221.78</v>
      </c>
      <c r="D1035">
        <v>-55912506.490000002</v>
      </c>
      <c r="E1035">
        <v>-55679284.710000001</v>
      </c>
      <c r="F1035">
        <v>233221.78</v>
      </c>
      <c r="G1035" t="s">
        <v>428</v>
      </c>
    </row>
    <row r="1036" spans="1:7" x14ac:dyDescent="0.35">
      <c r="A1036">
        <v>390</v>
      </c>
      <c r="B1036" t="s">
        <v>250</v>
      </c>
      <c r="C1036">
        <v>0</v>
      </c>
      <c r="D1036">
        <v>0</v>
      </c>
      <c r="E1036">
        <v>0</v>
      </c>
      <c r="F1036">
        <v>0</v>
      </c>
      <c r="G1036" t="s">
        <v>428</v>
      </c>
    </row>
    <row r="1037" spans="1:7" x14ac:dyDescent="0.35">
      <c r="A1037">
        <v>400</v>
      </c>
      <c r="B1037" t="s">
        <v>251</v>
      </c>
      <c r="C1037">
        <v>-436347.19</v>
      </c>
      <c r="D1037">
        <v>54411903.009999998</v>
      </c>
      <c r="E1037">
        <v>53975555.82</v>
      </c>
      <c r="F1037">
        <v>-436347.19</v>
      </c>
      <c r="G1037" t="s">
        <v>428</v>
      </c>
    </row>
    <row r="1038" spans="1:7" x14ac:dyDescent="0.35">
      <c r="A1038">
        <v>405</v>
      </c>
      <c r="B1038" t="s">
        <v>252</v>
      </c>
      <c r="C1038">
        <v>0</v>
      </c>
      <c r="D1038">
        <v>0</v>
      </c>
      <c r="E1038">
        <v>0</v>
      </c>
      <c r="F1038">
        <v>0</v>
      </c>
      <c r="G1038" t="s">
        <v>428</v>
      </c>
    </row>
    <row r="1039" spans="1:7" x14ac:dyDescent="0.35">
      <c r="A1039">
        <v>410</v>
      </c>
      <c r="B1039" t="s">
        <v>237</v>
      </c>
      <c r="C1039">
        <v>0</v>
      </c>
      <c r="D1039">
        <v>90900</v>
      </c>
      <c r="E1039">
        <v>90900</v>
      </c>
      <c r="F1039">
        <v>0</v>
      </c>
      <c r="G1039" t="s">
        <v>428</v>
      </c>
    </row>
    <row r="1040" spans="1:7" x14ac:dyDescent="0.35">
      <c r="A1040">
        <v>420</v>
      </c>
      <c r="B1040" t="s">
        <v>253</v>
      </c>
      <c r="C1040">
        <v>0</v>
      </c>
      <c r="D1040">
        <v>-1434547.8</v>
      </c>
      <c r="E1040">
        <v>-1434547.8</v>
      </c>
      <c r="F1040">
        <v>0</v>
      </c>
      <c r="G1040" t="s">
        <v>428</v>
      </c>
    </row>
    <row r="1041" spans="1:7" x14ac:dyDescent="0.35">
      <c r="A1041">
        <v>425</v>
      </c>
      <c r="B1041" t="s">
        <v>634</v>
      </c>
      <c r="C1041">
        <v>0</v>
      </c>
      <c r="D1041">
        <v>0</v>
      </c>
      <c r="E1041">
        <v>0</v>
      </c>
      <c r="F1041">
        <v>0</v>
      </c>
      <c r="G1041" t="s">
        <v>428</v>
      </c>
    </row>
    <row r="1042" spans="1:7" x14ac:dyDescent="0.35">
      <c r="A1042">
        <v>427</v>
      </c>
      <c r="B1042" t="s">
        <v>635</v>
      </c>
      <c r="C1042">
        <v>0</v>
      </c>
      <c r="D1042">
        <v>0</v>
      </c>
      <c r="E1042">
        <v>0</v>
      </c>
      <c r="F1042">
        <v>0</v>
      </c>
      <c r="G1042" t="s">
        <v>428</v>
      </c>
    </row>
    <row r="1043" spans="1:7" x14ac:dyDescent="0.35">
      <c r="A1043">
        <v>430</v>
      </c>
      <c r="B1043" t="s">
        <v>254</v>
      </c>
      <c r="C1043">
        <v>0</v>
      </c>
      <c r="D1043">
        <v>93537899.480000004</v>
      </c>
      <c r="E1043">
        <v>93537899.480000004</v>
      </c>
      <c r="F1043">
        <v>0</v>
      </c>
      <c r="G1043" t="s">
        <v>428</v>
      </c>
    </row>
    <row r="1044" spans="1:7" x14ac:dyDescent="0.35">
      <c r="A1044">
        <v>440</v>
      </c>
      <c r="B1044" t="s">
        <v>255</v>
      </c>
      <c r="C1044">
        <v>-436347.19</v>
      </c>
      <c r="D1044">
        <v>146606154.69</v>
      </c>
      <c r="E1044">
        <v>146169807.5</v>
      </c>
      <c r="F1044">
        <v>-436347.19</v>
      </c>
      <c r="G1044" t="s">
        <v>428</v>
      </c>
    </row>
    <row r="1045" spans="1:7" x14ac:dyDescent="0.35">
      <c r="A1045">
        <v>450</v>
      </c>
      <c r="B1045" t="s">
        <v>256</v>
      </c>
      <c r="C1045">
        <v>0</v>
      </c>
      <c r="D1045">
        <v>0</v>
      </c>
      <c r="E1045">
        <v>0</v>
      </c>
      <c r="F1045">
        <v>0</v>
      </c>
      <c r="G1045" t="s">
        <v>428</v>
      </c>
    </row>
    <row r="1046" spans="1:7" x14ac:dyDescent="0.35">
      <c r="A1046">
        <v>455</v>
      </c>
      <c r="B1046" t="s">
        <v>204</v>
      </c>
      <c r="C1046">
        <v>0</v>
      </c>
      <c r="D1046">
        <v>-64313798.619999997</v>
      </c>
      <c r="E1046">
        <v>-64313798.619999997</v>
      </c>
      <c r="F1046">
        <v>0</v>
      </c>
      <c r="G1046" t="s">
        <v>428</v>
      </c>
    </row>
    <row r="1047" spans="1:7" x14ac:dyDescent="0.35">
      <c r="A1047">
        <v>456</v>
      </c>
      <c r="B1047" t="s">
        <v>636</v>
      </c>
      <c r="C1047">
        <v>84521.09</v>
      </c>
      <c r="D1047">
        <v>6077460.5700000003</v>
      </c>
      <c r="E1047">
        <v>6161981.6600000001</v>
      </c>
      <c r="F1047">
        <v>84521.09</v>
      </c>
      <c r="G1047" t="s">
        <v>428</v>
      </c>
    </row>
    <row r="1048" spans="1:7" x14ac:dyDescent="0.35">
      <c r="A1048">
        <v>460</v>
      </c>
      <c r="B1048" t="s">
        <v>208</v>
      </c>
      <c r="C1048">
        <v>0</v>
      </c>
      <c r="D1048">
        <v>-32310737.530000001</v>
      </c>
      <c r="E1048">
        <v>-32310737.530000001</v>
      </c>
      <c r="F1048">
        <v>0</v>
      </c>
      <c r="G1048" t="s">
        <v>428</v>
      </c>
    </row>
    <row r="1049" spans="1:7" x14ac:dyDescent="0.35">
      <c r="A1049">
        <v>470</v>
      </c>
      <c r="B1049" t="s">
        <v>637</v>
      </c>
      <c r="C1049">
        <v>72156.240000000005</v>
      </c>
      <c r="D1049">
        <v>7054019.4699999997</v>
      </c>
      <c r="E1049">
        <v>7126175.71</v>
      </c>
      <c r="F1049">
        <v>72156.240000000005</v>
      </c>
      <c r="G1049" t="s">
        <v>428</v>
      </c>
    </row>
    <row r="1050" spans="1:7" x14ac:dyDescent="0.35">
      <c r="A1050">
        <v>480</v>
      </c>
      <c r="B1050" t="s">
        <v>207</v>
      </c>
      <c r="C1050">
        <v>399051.72</v>
      </c>
      <c r="D1050">
        <v>-1095907.3400000001</v>
      </c>
      <c r="E1050">
        <v>-696855.62</v>
      </c>
      <c r="F1050">
        <v>399051.72</v>
      </c>
      <c r="G1050" t="s">
        <v>428</v>
      </c>
    </row>
    <row r="1051" spans="1:7" x14ac:dyDescent="0.35">
      <c r="A1051">
        <v>490</v>
      </c>
      <c r="B1051" t="s">
        <v>638</v>
      </c>
      <c r="C1051">
        <v>-247270.55</v>
      </c>
      <c r="D1051">
        <v>230021.21</v>
      </c>
      <c r="E1051">
        <v>-17249.34</v>
      </c>
      <c r="F1051">
        <v>-247270.55</v>
      </c>
      <c r="G1051" t="s">
        <v>428</v>
      </c>
    </row>
    <row r="1052" spans="1:7" x14ac:dyDescent="0.35">
      <c r="A1052">
        <v>500</v>
      </c>
      <c r="B1052" t="s">
        <v>206</v>
      </c>
      <c r="C1052">
        <v>0</v>
      </c>
      <c r="D1052">
        <v>-6026703.4199999999</v>
      </c>
      <c r="E1052">
        <v>-6026703.4199999999</v>
      </c>
      <c r="F1052">
        <v>0</v>
      </c>
      <c r="G1052" t="s">
        <v>428</v>
      </c>
    </row>
    <row r="1053" spans="1:7" x14ac:dyDescent="0.35">
      <c r="A1053">
        <v>510</v>
      </c>
      <c r="B1053" t="s">
        <v>639</v>
      </c>
      <c r="C1053">
        <v>61663.99</v>
      </c>
      <c r="D1053">
        <v>3606574.39</v>
      </c>
      <c r="E1053">
        <v>3668238.38</v>
      </c>
      <c r="F1053">
        <v>61663.99</v>
      </c>
      <c r="G1053" t="s">
        <v>428</v>
      </c>
    </row>
    <row r="1054" spans="1:7" x14ac:dyDescent="0.35">
      <c r="A1054">
        <v>512</v>
      </c>
      <c r="B1054" t="s">
        <v>257</v>
      </c>
      <c r="C1054">
        <v>0</v>
      </c>
      <c r="D1054">
        <v>-564457.99</v>
      </c>
      <c r="E1054">
        <v>-564457.99</v>
      </c>
      <c r="F1054">
        <v>0</v>
      </c>
      <c r="G1054" t="s">
        <v>428</v>
      </c>
    </row>
    <row r="1055" spans="1:7" x14ac:dyDescent="0.35">
      <c r="A1055">
        <v>514</v>
      </c>
      <c r="B1055" t="s">
        <v>640</v>
      </c>
      <c r="C1055">
        <v>4953.9799999999996</v>
      </c>
      <c r="D1055">
        <v>266746.64</v>
      </c>
      <c r="E1055">
        <v>271700.62</v>
      </c>
      <c r="F1055">
        <v>4953.9799999999996</v>
      </c>
      <c r="G1055" t="s">
        <v>428</v>
      </c>
    </row>
    <row r="1056" spans="1:7" x14ac:dyDescent="0.35">
      <c r="A1056">
        <v>520</v>
      </c>
      <c r="B1056" t="s">
        <v>641</v>
      </c>
      <c r="C1056">
        <v>0</v>
      </c>
      <c r="D1056">
        <v>0</v>
      </c>
      <c r="E1056">
        <v>0</v>
      </c>
      <c r="F1056">
        <v>0</v>
      </c>
      <c r="G1056" t="s">
        <v>428</v>
      </c>
    </row>
    <row r="1057" spans="1:7" x14ac:dyDescent="0.35">
      <c r="A1057">
        <v>530</v>
      </c>
      <c r="B1057" t="s">
        <v>642</v>
      </c>
      <c r="C1057">
        <v>0</v>
      </c>
      <c r="D1057">
        <v>0</v>
      </c>
      <c r="E1057">
        <v>0</v>
      </c>
      <c r="F1057">
        <v>0</v>
      </c>
      <c r="G1057" t="s">
        <v>428</v>
      </c>
    </row>
    <row r="1058" spans="1:7" x14ac:dyDescent="0.35">
      <c r="A1058">
        <v>540</v>
      </c>
      <c r="B1058" t="s">
        <v>643</v>
      </c>
      <c r="C1058">
        <v>0</v>
      </c>
      <c r="D1058">
        <v>0</v>
      </c>
      <c r="E1058">
        <v>0</v>
      </c>
      <c r="F1058">
        <v>0</v>
      </c>
      <c r="G1058" t="s">
        <v>428</v>
      </c>
    </row>
    <row r="1059" spans="1:7" x14ac:dyDescent="0.35">
      <c r="A1059">
        <v>550</v>
      </c>
      <c r="B1059" t="s">
        <v>644</v>
      </c>
      <c r="C1059">
        <v>0</v>
      </c>
      <c r="D1059">
        <v>0</v>
      </c>
      <c r="E1059">
        <v>0</v>
      </c>
      <c r="F1059">
        <v>0</v>
      </c>
      <c r="G1059" t="s">
        <v>428</v>
      </c>
    </row>
    <row r="1060" spans="1:7" x14ac:dyDescent="0.35">
      <c r="A1060">
        <v>560</v>
      </c>
      <c r="B1060" t="s">
        <v>645</v>
      </c>
      <c r="C1060">
        <v>0</v>
      </c>
      <c r="D1060">
        <v>0</v>
      </c>
      <c r="E1060">
        <v>0</v>
      </c>
      <c r="F1060">
        <v>0</v>
      </c>
      <c r="G1060" t="s">
        <v>428</v>
      </c>
    </row>
    <row r="1061" spans="1:7" x14ac:dyDescent="0.35">
      <c r="A1061">
        <v>570</v>
      </c>
      <c r="B1061" t="s">
        <v>646</v>
      </c>
      <c r="C1061">
        <v>0</v>
      </c>
      <c r="D1061">
        <v>0</v>
      </c>
      <c r="E1061">
        <v>0</v>
      </c>
      <c r="F1061">
        <v>0</v>
      </c>
      <c r="G1061" t="s">
        <v>428</v>
      </c>
    </row>
    <row r="1062" spans="1:7" x14ac:dyDescent="0.35">
      <c r="A1062">
        <v>580</v>
      </c>
      <c r="B1062" t="s">
        <v>258</v>
      </c>
      <c r="C1062">
        <v>0</v>
      </c>
      <c r="D1062">
        <v>0</v>
      </c>
      <c r="E1062">
        <v>0</v>
      </c>
      <c r="F1062">
        <v>0</v>
      </c>
      <c r="G1062" t="s">
        <v>428</v>
      </c>
    </row>
    <row r="1063" spans="1:7" x14ac:dyDescent="0.35">
      <c r="A1063">
        <v>590</v>
      </c>
      <c r="B1063" t="s">
        <v>647</v>
      </c>
      <c r="C1063">
        <v>0</v>
      </c>
      <c r="D1063">
        <v>0</v>
      </c>
      <c r="E1063">
        <v>0</v>
      </c>
      <c r="F1063">
        <v>0</v>
      </c>
      <c r="G1063" t="s">
        <v>428</v>
      </c>
    </row>
    <row r="1064" spans="1:7" x14ac:dyDescent="0.35">
      <c r="A1064">
        <v>600</v>
      </c>
      <c r="B1064" t="s">
        <v>259</v>
      </c>
      <c r="C1064">
        <v>0</v>
      </c>
      <c r="D1064">
        <v>0</v>
      </c>
      <c r="E1064">
        <v>0</v>
      </c>
      <c r="F1064">
        <v>0</v>
      </c>
      <c r="G1064" t="s">
        <v>428</v>
      </c>
    </row>
    <row r="1065" spans="1:7" x14ac:dyDescent="0.35">
      <c r="A1065">
        <v>610</v>
      </c>
      <c r="B1065" t="s">
        <v>648</v>
      </c>
      <c r="C1065">
        <v>0</v>
      </c>
      <c r="D1065">
        <v>0</v>
      </c>
      <c r="E1065">
        <v>0</v>
      </c>
      <c r="F1065">
        <v>0</v>
      </c>
      <c r="G1065" t="s">
        <v>428</v>
      </c>
    </row>
    <row r="1066" spans="1:7" x14ac:dyDescent="0.35">
      <c r="A1066">
        <v>615</v>
      </c>
      <c r="B1066" t="s">
        <v>673</v>
      </c>
      <c r="C1066">
        <v>0</v>
      </c>
      <c r="D1066">
        <v>-1053702.05</v>
      </c>
      <c r="E1066">
        <v>-1053702.05</v>
      </c>
      <c r="F1066">
        <v>0</v>
      </c>
      <c r="G1066" t="s">
        <v>428</v>
      </c>
    </row>
    <row r="1067" spans="1:7" x14ac:dyDescent="0.35">
      <c r="A1067">
        <v>620</v>
      </c>
      <c r="B1067" t="s">
        <v>260</v>
      </c>
      <c r="C1067">
        <v>0</v>
      </c>
      <c r="D1067">
        <v>0</v>
      </c>
      <c r="E1067">
        <v>0</v>
      </c>
      <c r="F1067">
        <v>0</v>
      </c>
      <c r="G1067" t="s">
        <v>428</v>
      </c>
    </row>
    <row r="1068" spans="1:7" x14ac:dyDescent="0.35">
      <c r="A1068">
        <v>630</v>
      </c>
      <c r="B1068" t="s">
        <v>261</v>
      </c>
      <c r="C1068">
        <v>0</v>
      </c>
      <c r="D1068">
        <v>0</v>
      </c>
      <c r="E1068">
        <v>0</v>
      </c>
      <c r="F1068">
        <v>0</v>
      </c>
      <c r="G1068" t="s">
        <v>428</v>
      </c>
    </row>
    <row r="1069" spans="1:7" x14ac:dyDescent="0.35">
      <c r="A1069">
        <v>635</v>
      </c>
      <c r="B1069" t="s">
        <v>674</v>
      </c>
      <c r="C1069">
        <v>0</v>
      </c>
      <c r="D1069">
        <v>0</v>
      </c>
      <c r="E1069">
        <v>0</v>
      </c>
      <c r="F1069">
        <v>0</v>
      </c>
      <c r="G1069" t="s">
        <v>428</v>
      </c>
    </row>
    <row r="1070" spans="1:7" x14ac:dyDescent="0.35">
      <c r="A1070">
        <v>640</v>
      </c>
      <c r="B1070" t="s">
        <v>262</v>
      </c>
      <c r="C1070">
        <v>375076.47</v>
      </c>
      <c r="D1070">
        <v>-88130484.670000002</v>
      </c>
      <c r="E1070">
        <v>-87755408.200000003</v>
      </c>
      <c r="F1070">
        <v>375076.47</v>
      </c>
      <c r="G1070" t="s">
        <v>428</v>
      </c>
    </row>
    <row r="1071" spans="1:7" x14ac:dyDescent="0.35">
      <c r="A1071">
        <v>650</v>
      </c>
      <c r="B1071" t="s">
        <v>263</v>
      </c>
      <c r="C1071">
        <v>2771585.69</v>
      </c>
      <c r="D1071">
        <v>2563163.5299999998</v>
      </c>
      <c r="E1071">
        <v>5334749.22</v>
      </c>
      <c r="F1071">
        <v>2771585.69</v>
      </c>
      <c r="G1071" t="s">
        <v>428</v>
      </c>
    </row>
    <row r="1072" spans="1:7" x14ac:dyDescent="0.35">
      <c r="A1072" t="s">
        <v>500</v>
      </c>
      <c r="B1072" t="s">
        <v>416</v>
      </c>
      <c r="C1072" t="s">
        <v>608</v>
      </c>
      <c r="D1072" t="s">
        <v>609</v>
      </c>
      <c r="E1072" t="s">
        <v>610</v>
      </c>
      <c r="F1072" t="s">
        <v>611</v>
      </c>
      <c r="G1072" t="s">
        <v>121</v>
      </c>
    </row>
    <row r="1073" spans="1:7" x14ac:dyDescent="0.35">
      <c r="A1073">
        <v>10</v>
      </c>
      <c r="B1073" t="s">
        <v>612</v>
      </c>
      <c r="C1073">
        <v>0</v>
      </c>
      <c r="D1073">
        <v>0</v>
      </c>
      <c r="E1073">
        <v>0</v>
      </c>
      <c r="F1073">
        <v>0</v>
      </c>
      <c r="G1073" t="s">
        <v>428</v>
      </c>
    </row>
    <row r="1074" spans="1:7" x14ac:dyDescent="0.35">
      <c r="A1074">
        <v>20</v>
      </c>
      <c r="B1074" t="s">
        <v>427</v>
      </c>
      <c r="C1074">
        <v>5164521.59</v>
      </c>
      <c r="D1074">
        <v>0</v>
      </c>
      <c r="E1074">
        <v>5164521.59</v>
      </c>
      <c r="F1074">
        <v>5164521.59</v>
      </c>
      <c r="G1074" t="s">
        <v>428</v>
      </c>
    </row>
    <row r="1075" spans="1:7" x14ac:dyDescent="0.35">
      <c r="A1075">
        <v>30</v>
      </c>
      <c r="B1075" t="s">
        <v>613</v>
      </c>
      <c r="C1075">
        <v>72469.58</v>
      </c>
      <c r="D1075">
        <v>0</v>
      </c>
      <c r="E1075">
        <v>72469.58</v>
      </c>
      <c r="F1075">
        <v>72469.58</v>
      </c>
      <c r="G1075" t="s">
        <v>428</v>
      </c>
    </row>
    <row r="1076" spans="1:7" x14ac:dyDescent="0.35">
      <c r="A1076">
        <v>35</v>
      </c>
      <c r="B1076" t="s">
        <v>614</v>
      </c>
      <c r="C1076">
        <v>5236991.17</v>
      </c>
      <c r="D1076">
        <v>0</v>
      </c>
      <c r="E1076">
        <v>5236991.17</v>
      </c>
      <c r="F1076">
        <v>5236991.17</v>
      </c>
      <c r="G1076" t="s">
        <v>428</v>
      </c>
    </row>
    <row r="1077" spans="1:7" x14ac:dyDescent="0.35">
      <c r="A1077">
        <v>40</v>
      </c>
      <c r="B1077" t="s">
        <v>615</v>
      </c>
      <c r="C1077">
        <v>3185314.67</v>
      </c>
      <c r="D1077">
        <v>0</v>
      </c>
      <c r="E1077">
        <v>3185314.67</v>
      </c>
      <c r="F1077">
        <v>3185314.67</v>
      </c>
      <c r="G1077" t="s">
        <v>428</v>
      </c>
    </row>
    <row r="1078" spans="1:7" x14ac:dyDescent="0.35">
      <c r="A1078">
        <v>50</v>
      </c>
      <c r="B1078" t="s">
        <v>616</v>
      </c>
      <c r="C1078">
        <v>0</v>
      </c>
      <c r="D1078">
        <v>0</v>
      </c>
      <c r="E1078">
        <v>0</v>
      </c>
      <c r="F1078">
        <v>0</v>
      </c>
      <c r="G1078" t="s">
        <v>428</v>
      </c>
    </row>
    <row r="1079" spans="1:7" x14ac:dyDescent="0.35">
      <c r="A1079">
        <v>60</v>
      </c>
      <c r="B1079" t="s">
        <v>617</v>
      </c>
      <c r="C1079">
        <v>2051676.5</v>
      </c>
      <c r="D1079">
        <v>0</v>
      </c>
      <c r="E1079">
        <v>2051676.5</v>
      </c>
      <c r="F1079">
        <v>2051676.5</v>
      </c>
      <c r="G1079" t="s">
        <v>428</v>
      </c>
    </row>
    <row r="1080" spans="1:7" x14ac:dyDescent="0.35">
      <c r="A1080">
        <v>70</v>
      </c>
      <c r="B1080" t="s">
        <v>433</v>
      </c>
      <c r="C1080">
        <v>1165663.42</v>
      </c>
      <c r="D1080">
        <v>0</v>
      </c>
      <c r="E1080">
        <v>1165663.42</v>
      </c>
      <c r="F1080">
        <v>1165663.42</v>
      </c>
      <c r="G1080" t="s">
        <v>428</v>
      </c>
    </row>
    <row r="1081" spans="1:7" x14ac:dyDescent="0.35">
      <c r="A1081">
        <v>80</v>
      </c>
      <c r="B1081" t="s">
        <v>434</v>
      </c>
      <c r="C1081">
        <v>6026.41</v>
      </c>
      <c r="D1081">
        <v>0</v>
      </c>
      <c r="E1081">
        <v>6026.41</v>
      </c>
      <c r="F1081">
        <v>6026.41</v>
      </c>
      <c r="G1081" t="s">
        <v>428</v>
      </c>
    </row>
    <row r="1082" spans="1:7" x14ac:dyDescent="0.35">
      <c r="A1082">
        <v>90</v>
      </c>
      <c r="B1082" t="s">
        <v>618</v>
      </c>
      <c r="C1082">
        <v>296237.73</v>
      </c>
      <c r="D1082">
        <v>0</v>
      </c>
      <c r="E1082">
        <v>296237.73</v>
      </c>
      <c r="F1082">
        <v>296237.73</v>
      </c>
      <c r="G1082" t="s">
        <v>428</v>
      </c>
    </row>
    <row r="1083" spans="1:7" x14ac:dyDescent="0.35">
      <c r="A1083">
        <v>100</v>
      </c>
      <c r="B1083" t="s">
        <v>619</v>
      </c>
      <c r="C1083">
        <v>583748.93999999994</v>
      </c>
      <c r="D1083">
        <v>0</v>
      </c>
      <c r="E1083">
        <v>583748.93999999994</v>
      </c>
      <c r="F1083">
        <v>583748.93999999994</v>
      </c>
      <c r="G1083" t="s">
        <v>428</v>
      </c>
    </row>
    <row r="1084" spans="1:7" x14ac:dyDescent="0.35">
      <c r="A1084">
        <v>110</v>
      </c>
      <c r="B1084" t="s">
        <v>620</v>
      </c>
      <c r="C1084">
        <v>0</v>
      </c>
      <c r="D1084">
        <v>0</v>
      </c>
      <c r="E1084">
        <v>0</v>
      </c>
      <c r="F1084">
        <v>0</v>
      </c>
      <c r="G1084" t="s">
        <v>428</v>
      </c>
    </row>
    <row r="1085" spans="1:7" x14ac:dyDescent="0.35">
      <c r="A1085">
        <v>120</v>
      </c>
      <c r="B1085" t="s">
        <v>621</v>
      </c>
      <c r="C1085">
        <v>-12931.92</v>
      </c>
      <c r="D1085">
        <v>0</v>
      </c>
      <c r="E1085">
        <v>-12931.92</v>
      </c>
      <c r="F1085">
        <v>-12931.92</v>
      </c>
      <c r="G1085" t="s">
        <v>428</v>
      </c>
    </row>
    <row r="1086" spans="1:7" x14ac:dyDescent="0.35">
      <c r="A1086">
        <v>130</v>
      </c>
      <c r="B1086" t="s">
        <v>622</v>
      </c>
      <c r="C1086">
        <v>0</v>
      </c>
      <c r="D1086">
        <v>0</v>
      </c>
      <c r="E1086">
        <v>0</v>
      </c>
      <c r="F1086">
        <v>0</v>
      </c>
      <c r="G1086" t="s">
        <v>428</v>
      </c>
    </row>
    <row r="1087" spans="1:7" x14ac:dyDescent="0.35">
      <c r="A1087">
        <v>140</v>
      </c>
      <c r="B1087" t="s">
        <v>623</v>
      </c>
      <c r="C1087">
        <v>4.97</v>
      </c>
      <c r="D1087">
        <v>0</v>
      </c>
      <c r="E1087">
        <v>4.97</v>
      </c>
      <c r="F1087">
        <v>4.97</v>
      </c>
      <c r="G1087" t="s">
        <v>428</v>
      </c>
    </row>
    <row r="1088" spans="1:7" x14ac:dyDescent="0.35">
      <c r="A1088">
        <v>145</v>
      </c>
      <c r="B1088" t="s">
        <v>443</v>
      </c>
      <c r="C1088">
        <v>-12936.89</v>
      </c>
      <c r="D1088">
        <v>0</v>
      </c>
      <c r="E1088">
        <v>-12936.89</v>
      </c>
      <c r="F1088">
        <v>-12936.89</v>
      </c>
      <c r="G1088" t="s">
        <v>428</v>
      </c>
    </row>
    <row r="1089" spans="1:7" x14ac:dyDescent="0.35">
      <c r="A1089">
        <v>150</v>
      </c>
      <c r="B1089" t="s">
        <v>624</v>
      </c>
      <c r="C1089">
        <v>596685.82999999996</v>
      </c>
      <c r="D1089">
        <v>0</v>
      </c>
      <c r="E1089">
        <v>596685.82999999996</v>
      </c>
      <c r="F1089">
        <v>596685.82999999996</v>
      </c>
      <c r="G1089" t="s">
        <v>428</v>
      </c>
    </row>
    <row r="1090" spans="1:7" x14ac:dyDescent="0.35">
      <c r="A1090">
        <v>160</v>
      </c>
      <c r="B1090" t="s">
        <v>625</v>
      </c>
      <c r="C1090">
        <v>93350</v>
      </c>
      <c r="D1090">
        <v>0</v>
      </c>
      <c r="E1090">
        <v>93350</v>
      </c>
      <c r="F1090">
        <v>93350</v>
      </c>
      <c r="G1090" t="s">
        <v>428</v>
      </c>
    </row>
    <row r="1091" spans="1:7" x14ac:dyDescent="0.35">
      <c r="A1091">
        <v>170</v>
      </c>
      <c r="B1091" t="s">
        <v>447</v>
      </c>
      <c r="C1091">
        <v>503335.83</v>
      </c>
      <c r="D1091">
        <v>0</v>
      </c>
      <c r="E1091">
        <v>503335.83</v>
      </c>
      <c r="F1091">
        <v>503335.83</v>
      </c>
      <c r="G1091" t="s">
        <v>428</v>
      </c>
    </row>
    <row r="1092" spans="1:7" x14ac:dyDescent="0.35">
      <c r="A1092">
        <v>190</v>
      </c>
      <c r="B1092" t="s">
        <v>626</v>
      </c>
      <c r="C1092">
        <v>0</v>
      </c>
      <c r="D1092">
        <v>0</v>
      </c>
      <c r="E1092">
        <v>0</v>
      </c>
      <c r="F1092">
        <v>0</v>
      </c>
      <c r="G1092" t="s">
        <v>428</v>
      </c>
    </row>
    <row r="1093" spans="1:7" x14ac:dyDescent="0.35">
      <c r="A1093">
        <v>200</v>
      </c>
      <c r="B1093" t="s">
        <v>447</v>
      </c>
      <c r="C1093">
        <v>503335.83</v>
      </c>
      <c r="D1093">
        <v>0</v>
      </c>
      <c r="E1093">
        <v>503335.83</v>
      </c>
      <c r="F1093">
        <v>503335.83</v>
      </c>
      <c r="G1093" t="s">
        <v>428</v>
      </c>
    </row>
    <row r="1094" spans="1:7" x14ac:dyDescent="0.35">
      <c r="A1094">
        <v>210</v>
      </c>
      <c r="B1094" t="s">
        <v>247</v>
      </c>
      <c r="C1094">
        <v>503335.83</v>
      </c>
      <c r="D1094">
        <v>0</v>
      </c>
      <c r="E1094">
        <v>503335.83</v>
      </c>
      <c r="F1094">
        <v>503335.83</v>
      </c>
      <c r="G1094" t="s">
        <v>428</v>
      </c>
    </row>
    <row r="1095" spans="1:7" x14ac:dyDescent="0.35">
      <c r="A1095">
        <v>220</v>
      </c>
      <c r="B1095" t="s">
        <v>627</v>
      </c>
      <c r="C1095">
        <v>0</v>
      </c>
      <c r="D1095">
        <v>0</v>
      </c>
      <c r="E1095">
        <v>0</v>
      </c>
      <c r="F1095">
        <v>0</v>
      </c>
      <c r="G1095" t="s">
        <v>428</v>
      </c>
    </row>
    <row r="1096" spans="1:7" x14ac:dyDescent="0.35">
      <c r="A1096">
        <v>230</v>
      </c>
      <c r="B1096" t="s">
        <v>196</v>
      </c>
      <c r="C1096">
        <v>-265486.99</v>
      </c>
      <c r="D1096">
        <v>-1579792</v>
      </c>
      <c r="E1096">
        <v>-1845278.99</v>
      </c>
      <c r="F1096">
        <v>-265486.99</v>
      </c>
      <c r="G1096" t="s">
        <v>428</v>
      </c>
    </row>
    <row r="1097" spans="1:7" x14ac:dyDescent="0.35">
      <c r="A1097">
        <v>235</v>
      </c>
      <c r="B1097" t="s">
        <v>628</v>
      </c>
      <c r="C1097">
        <v>0</v>
      </c>
      <c r="D1097">
        <v>500</v>
      </c>
      <c r="E1097">
        <v>500</v>
      </c>
      <c r="F1097">
        <v>0</v>
      </c>
      <c r="G1097" t="s">
        <v>428</v>
      </c>
    </row>
    <row r="1098" spans="1:7" x14ac:dyDescent="0.35">
      <c r="A1098">
        <v>240</v>
      </c>
      <c r="B1098" t="s">
        <v>197</v>
      </c>
      <c r="C1098">
        <v>-1435682.43</v>
      </c>
      <c r="D1098">
        <v>-11005941.470000001</v>
      </c>
      <c r="E1098">
        <v>-12441623.9</v>
      </c>
      <c r="F1098">
        <v>-1435682.43</v>
      </c>
      <c r="G1098" t="s">
        <v>428</v>
      </c>
    </row>
    <row r="1099" spans="1:7" x14ac:dyDescent="0.35">
      <c r="A1099">
        <v>250</v>
      </c>
      <c r="B1099" t="s">
        <v>198</v>
      </c>
      <c r="C1099">
        <v>-567109.76</v>
      </c>
      <c r="D1099">
        <v>-294926.46999999997</v>
      </c>
      <c r="E1099">
        <v>-862036.23</v>
      </c>
      <c r="F1099">
        <v>-567109.76</v>
      </c>
      <c r="G1099" t="s">
        <v>428</v>
      </c>
    </row>
    <row r="1100" spans="1:7" x14ac:dyDescent="0.35">
      <c r="A1100">
        <v>260</v>
      </c>
      <c r="B1100" t="s">
        <v>629</v>
      </c>
      <c r="C1100">
        <v>-17918291.75</v>
      </c>
      <c r="D1100">
        <v>-9593851.5600000005</v>
      </c>
      <c r="E1100">
        <v>-27512143.309999999</v>
      </c>
      <c r="F1100">
        <v>-17918291.75</v>
      </c>
      <c r="G1100" t="s">
        <v>428</v>
      </c>
    </row>
    <row r="1101" spans="1:7" x14ac:dyDescent="0.35">
      <c r="A1101">
        <v>270</v>
      </c>
      <c r="B1101" t="s">
        <v>199</v>
      </c>
      <c r="C1101">
        <v>-6418.64</v>
      </c>
      <c r="D1101">
        <v>320470.31</v>
      </c>
      <c r="E1101">
        <v>314051.67</v>
      </c>
      <c r="F1101">
        <v>-6418.64</v>
      </c>
      <c r="G1101" t="s">
        <v>428</v>
      </c>
    </row>
    <row r="1102" spans="1:7" x14ac:dyDescent="0.35">
      <c r="A1102">
        <v>300</v>
      </c>
      <c r="B1102" t="s">
        <v>222</v>
      </c>
      <c r="C1102">
        <v>418665.86</v>
      </c>
      <c r="D1102">
        <v>242609.25</v>
      </c>
      <c r="E1102">
        <v>661275.11</v>
      </c>
      <c r="F1102">
        <v>418665.86</v>
      </c>
      <c r="G1102" t="s">
        <v>428</v>
      </c>
    </row>
    <row r="1103" spans="1:7" x14ac:dyDescent="0.35">
      <c r="A1103">
        <v>310</v>
      </c>
      <c r="B1103" t="s">
        <v>630</v>
      </c>
      <c r="C1103">
        <v>-1619.74</v>
      </c>
      <c r="D1103">
        <v>5407.49</v>
      </c>
      <c r="E1103">
        <v>3787.75</v>
      </c>
      <c r="F1103">
        <v>-1619.74</v>
      </c>
      <c r="G1103" t="s">
        <v>428</v>
      </c>
    </row>
    <row r="1104" spans="1:7" x14ac:dyDescent="0.35">
      <c r="A1104">
        <v>320</v>
      </c>
      <c r="B1104" t="s">
        <v>248</v>
      </c>
      <c r="C1104">
        <v>131826634.47</v>
      </c>
      <c r="D1104">
        <v>4783956.21</v>
      </c>
      <c r="E1104">
        <v>136610590.68000001</v>
      </c>
      <c r="F1104">
        <v>131826634.47</v>
      </c>
      <c r="G1104" t="s">
        <v>428</v>
      </c>
    </row>
    <row r="1105" spans="1:7" x14ac:dyDescent="0.35">
      <c r="A1105">
        <v>325</v>
      </c>
      <c r="B1105" t="s">
        <v>249</v>
      </c>
      <c r="C1105">
        <v>17457</v>
      </c>
      <c r="D1105">
        <v>19010.25</v>
      </c>
      <c r="E1105">
        <v>36467.25</v>
      </c>
      <c r="F1105">
        <v>17457</v>
      </c>
      <c r="G1105" t="s">
        <v>428</v>
      </c>
    </row>
    <row r="1106" spans="1:7" x14ac:dyDescent="0.35">
      <c r="A1106">
        <v>330</v>
      </c>
      <c r="B1106" t="s">
        <v>631</v>
      </c>
      <c r="C1106">
        <v>48214.09</v>
      </c>
      <c r="D1106">
        <v>1740712.37</v>
      </c>
      <c r="E1106">
        <v>1788926.46</v>
      </c>
      <c r="F1106">
        <v>48214.09</v>
      </c>
      <c r="G1106" t="s">
        <v>428</v>
      </c>
    </row>
    <row r="1107" spans="1:7" x14ac:dyDescent="0.35">
      <c r="A1107">
        <v>340</v>
      </c>
      <c r="B1107" t="s">
        <v>632</v>
      </c>
      <c r="C1107">
        <v>-206209.18</v>
      </c>
      <c r="D1107">
        <v>1212625.2</v>
      </c>
      <c r="E1107">
        <v>1006416.02</v>
      </c>
      <c r="F1107">
        <v>-206209.18</v>
      </c>
      <c r="G1107" t="s">
        <v>428</v>
      </c>
    </row>
    <row r="1108" spans="1:7" x14ac:dyDescent="0.35">
      <c r="A1108">
        <v>380</v>
      </c>
      <c r="B1108" t="s">
        <v>633</v>
      </c>
      <c r="C1108">
        <v>111910152.93000001</v>
      </c>
      <c r="D1108">
        <v>-14149220.42</v>
      </c>
      <c r="E1108">
        <v>97760932.510000005</v>
      </c>
      <c r="F1108">
        <v>111910152.93000001</v>
      </c>
      <c r="G1108" t="s">
        <v>428</v>
      </c>
    </row>
    <row r="1109" spans="1:7" x14ac:dyDescent="0.35">
      <c r="A1109">
        <v>390</v>
      </c>
      <c r="B1109" t="s">
        <v>250</v>
      </c>
      <c r="C1109">
        <v>0</v>
      </c>
      <c r="D1109">
        <v>0</v>
      </c>
      <c r="E1109">
        <v>0</v>
      </c>
      <c r="F1109">
        <v>0</v>
      </c>
      <c r="G1109" t="s">
        <v>428</v>
      </c>
    </row>
    <row r="1110" spans="1:7" x14ac:dyDescent="0.35">
      <c r="A1110">
        <v>400</v>
      </c>
      <c r="B1110" t="s">
        <v>251</v>
      </c>
      <c r="C1110">
        <v>0</v>
      </c>
      <c r="D1110">
        <v>0</v>
      </c>
      <c r="E1110">
        <v>0</v>
      </c>
      <c r="F1110">
        <v>0</v>
      </c>
      <c r="G1110" t="s">
        <v>428</v>
      </c>
    </row>
    <row r="1111" spans="1:7" x14ac:dyDescent="0.35">
      <c r="A1111">
        <v>405</v>
      </c>
      <c r="B1111" t="s">
        <v>252</v>
      </c>
      <c r="C1111">
        <v>0</v>
      </c>
      <c r="D1111">
        <v>0</v>
      </c>
      <c r="E1111">
        <v>0</v>
      </c>
      <c r="F1111">
        <v>0</v>
      </c>
      <c r="G1111" t="s">
        <v>428</v>
      </c>
    </row>
    <row r="1112" spans="1:7" x14ac:dyDescent="0.35">
      <c r="A1112">
        <v>410</v>
      </c>
      <c r="B1112" t="s">
        <v>237</v>
      </c>
      <c r="C1112">
        <v>0</v>
      </c>
      <c r="D1112">
        <v>22380000</v>
      </c>
      <c r="E1112">
        <v>22380000</v>
      </c>
      <c r="F1112">
        <v>0</v>
      </c>
      <c r="G1112" t="s">
        <v>428</v>
      </c>
    </row>
    <row r="1113" spans="1:7" x14ac:dyDescent="0.35">
      <c r="A1113">
        <v>420</v>
      </c>
      <c r="B1113" t="s">
        <v>253</v>
      </c>
      <c r="C1113">
        <v>0</v>
      </c>
      <c r="D1113">
        <v>-408500</v>
      </c>
      <c r="E1113">
        <v>-408500</v>
      </c>
      <c r="F1113">
        <v>0</v>
      </c>
      <c r="G1113" t="s">
        <v>428</v>
      </c>
    </row>
    <row r="1114" spans="1:7" x14ac:dyDescent="0.35">
      <c r="A1114">
        <v>425</v>
      </c>
      <c r="B1114" t="s">
        <v>634</v>
      </c>
      <c r="C1114">
        <v>0</v>
      </c>
      <c r="D1114">
        <v>100000</v>
      </c>
      <c r="E1114">
        <v>100000</v>
      </c>
      <c r="F1114">
        <v>0</v>
      </c>
      <c r="G1114" t="s">
        <v>428</v>
      </c>
    </row>
    <row r="1115" spans="1:7" x14ac:dyDescent="0.35">
      <c r="A1115">
        <v>427</v>
      </c>
      <c r="B1115" t="s">
        <v>635</v>
      </c>
      <c r="C1115">
        <v>0</v>
      </c>
      <c r="D1115">
        <v>0</v>
      </c>
      <c r="E1115">
        <v>0</v>
      </c>
      <c r="F1115">
        <v>0</v>
      </c>
      <c r="G1115" t="s">
        <v>428</v>
      </c>
    </row>
    <row r="1116" spans="1:7" x14ac:dyDescent="0.35">
      <c r="A1116">
        <v>430</v>
      </c>
      <c r="B1116" t="s">
        <v>254</v>
      </c>
      <c r="C1116">
        <v>0</v>
      </c>
      <c r="D1116">
        <v>-1079254.21</v>
      </c>
      <c r="E1116">
        <v>-1079254.21</v>
      </c>
      <c r="F1116">
        <v>0</v>
      </c>
      <c r="G1116" t="s">
        <v>428</v>
      </c>
    </row>
    <row r="1117" spans="1:7" x14ac:dyDescent="0.35">
      <c r="A1117">
        <v>440</v>
      </c>
      <c r="B1117" t="s">
        <v>255</v>
      </c>
      <c r="C1117">
        <v>0</v>
      </c>
      <c r="D1117">
        <v>20992245.789999999</v>
      </c>
      <c r="E1117">
        <v>20992245.789999999</v>
      </c>
      <c r="F1117">
        <v>0</v>
      </c>
      <c r="G1117" t="s">
        <v>428</v>
      </c>
    </row>
    <row r="1118" spans="1:7" x14ac:dyDescent="0.35">
      <c r="A1118">
        <v>450</v>
      </c>
      <c r="B1118" t="s">
        <v>256</v>
      </c>
      <c r="C1118">
        <v>0</v>
      </c>
      <c r="D1118">
        <v>0</v>
      </c>
      <c r="E1118">
        <v>0</v>
      </c>
      <c r="F1118">
        <v>0</v>
      </c>
      <c r="G1118" t="s">
        <v>428</v>
      </c>
    </row>
    <row r="1119" spans="1:7" x14ac:dyDescent="0.35">
      <c r="A1119">
        <v>455</v>
      </c>
      <c r="B1119" t="s">
        <v>204</v>
      </c>
      <c r="C1119">
        <v>-6500000</v>
      </c>
      <c r="D1119">
        <v>-2003350.32</v>
      </c>
      <c r="E1119">
        <v>-8503350.3200000003</v>
      </c>
      <c r="F1119">
        <v>-6500000</v>
      </c>
      <c r="G1119" t="s">
        <v>428</v>
      </c>
    </row>
    <row r="1120" spans="1:7" x14ac:dyDescent="0.35">
      <c r="A1120">
        <v>456</v>
      </c>
      <c r="B1120" t="s">
        <v>636</v>
      </c>
      <c r="C1120">
        <v>0</v>
      </c>
      <c r="D1120">
        <v>929555.03</v>
      </c>
      <c r="E1120">
        <v>929555.03</v>
      </c>
      <c r="F1120">
        <v>0</v>
      </c>
      <c r="G1120" t="s">
        <v>428</v>
      </c>
    </row>
    <row r="1121" spans="1:7" x14ac:dyDescent="0.35">
      <c r="A1121">
        <v>460</v>
      </c>
      <c r="B1121" t="s">
        <v>208</v>
      </c>
      <c r="C1121">
        <v>-14012076.310000001</v>
      </c>
      <c r="D1121">
        <v>-3610911.26</v>
      </c>
      <c r="E1121">
        <v>-17622987.57</v>
      </c>
      <c r="F1121">
        <v>-14012076.310000001</v>
      </c>
      <c r="G1121" t="s">
        <v>428</v>
      </c>
    </row>
    <row r="1122" spans="1:7" x14ac:dyDescent="0.35">
      <c r="A1122">
        <v>470</v>
      </c>
      <c r="B1122" t="s">
        <v>637</v>
      </c>
      <c r="C1122">
        <v>15095.78</v>
      </c>
      <c r="D1122">
        <v>2705515.67</v>
      </c>
      <c r="E1122">
        <v>2720611.45</v>
      </c>
      <c r="F1122">
        <v>15095.78</v>
      </c>
      <c r="G1122" t="s">
        <v>428</v>
      </c>
    </row>
    <row r="1123" spans="1:7" x14ac:dyDescent="0.35">
      <c r="A1123">
        <v>480</v>
      </c>
      <c r="B1123" t="s">
        <v>207</v>
      </c>
      <c r="C1123">
        <v>137201.72</v>
      </c>
      <c r="D1123">
        <v>-26865752.25</v>
      </c>
      <c r="E1123">
        <v>-26728550.530000001</v>
      </c>
      <c r="F1123">
        <v>137201.72</v>
      </c>
      <c r="G1123" t="s">
        <v>428</v>
      </c>
    </row>
    <row r="1124" spans="1:7" x14ac:dyDescent="0.35">
      <c r="A1124">
        <v>490</v>
      </c>
      <c r="B1124" t="s">
        <v>638</v>
      </c>
      <c r="C1124">
        <v>133061.60999999999</v>
      </c>
      <c r="D1124">
        <v>23643990.27</v>
      </c>
      <c r="E1124">
        <v>23777051.879999999</v>
      </c>
      <c r="F1124">
        <v>133061.60999999999</v>
      </c>
      <c r="G1124" t="s">
        <v>428</v>
      </c>
    </row>
    <row r="1125" spans="1:7" x14ac:dyDescent="0.35">
      <c r="A1125">
        <v>500</v>
      </c>
      <c r="B1125" t="s">
        <v>206</v>
      </c>
      <c r="C1125">
        <v>-6920000</v>
      </c>
      <c r="D1125">
        <v>-76238.25</v>
      </c>
      <c r="E1125">
        <v>-6996238.25</v>
      </c>
      <c r="F1125">
        <v>-6920000</v>
      </c>
      <c r="G1125" t="s">
        <v>428</v>
      </c>
    </row>
    <row r="1126" spans="1:7" x14ac:dyDescent="0.35">
      <c r="A1126">
        <v>510</v>
      </c>
      <c r="B1126" t="s">
        <v>639</v>
      </c>
      <c r="C1126">
        <v>952.98</v>
      </c>
      <c r="D1126">
        <v>41481.74</v>
      </c>
      <c r="E1126">
        <v>42434.720000000001</v>
      </c>
      <c r="F1126">
        <v>952.98</v>
      </c>
      <c r="G1126" t="s">
        <v>428</v>
      </c>
    </row>
    <row r="1127" spans="1:7" x14ac:dyDescent="0.35">
      <c r="A1127">
        <v>512</v>
      </c>
      <c r="B1127" t="s">
        <v>257</v>
      </c>
      <c r="C1127">
        <v>-1480000</v>
      </c>
      <c r="D1127">
        <v>-187628.58</v>
      </c>
      <c r="E1127">
        <v>-1667628.58</v>
      </c>
      <c r="F1127">
        <v>-1480000</v>
      </c>
      <c r="G1127" t="s">
        <v>428</v>
      </c>
    </row>
    <row r="1128" spans="1:7" x14ac:dyDescent="0.35">
      <c r="A1128">
        <v>514</v>
      </c>
      <c r="B1128" t="s">
        <v>640</v>
      </c>
      <c r="C1128">
        <v>1563.57</v>
      </c>
      <c r="D1128">
        <v>47602.77</v>
      </c>
      <c r="E1128">
        <v>49166.34</v>
      </c>
      <c r="F1128">
        <v>1563.57</v>
      </c>
      <c r="G1128" t="s">
        <v>428</v>
      </c>
    </row>
    <row r="1129" spans="1:7" x14ac:dyDescent="0.35">
      <c r="A1129">
        <v>520</v>
      </c>
      <c r="B1129" t="s">
        <v>641</v>
      </c>
      <c r="C1129">
        <v>0</v>
      </c>
      <c r="D1129">
        <v>0</v>
      </c>
      <c r="E1129">
        <v>0</v>
      </c>
      <c r="F1129">
        <v>0</v>
      </c>
      <c r="G1129" t="s">
        <v>428</v>
      </c>
    </row>
    <row r="1130" spans="1:7" x14ac:dyDescent="0.35">
      <c r="A1130">
        <v>530</v>
      </c>
      <c r="B1130" t="s">
        <v>642</v>
      </c>
      <c r="C1130">
        <v>0</v>
      </c>
      <c r="D1130">
        <v>0</v>
      </c>
      <c r="E1130">
        <v>0</v>
      </c>
      <c r="F1130">
        <v>0</v>
      </c>
      <c r="G1130" t="s">
        <v>428</v>
      </c>
    </row>
    <row r="1131" spans="1:7" x14ac:dyDescent="0.35">
      <c r="A1131">
        <v>540</v>
      </c>
      <c r="B1131" t="s">
        <v>643</v>
      </c>
      <c r="C1131">
        <v>0</v>
      </c>
      <c r="D1131">
        <v>0</v>
      </c>
      <c r="E1131">
        <v>0</v>
      </c>
      <c r="F1131">
        <v>0</v>
      </c>
      <c r="G1131" t="s">
        <v>428</v>
      </c>
    </row>
    <row r="1132" spans="1:7" x14ac:dyDescent="0.35">
      <c r="A1132">
        <v>550</v>
      </c>
      <c r="B1132" t="s">
        <v>644</v>
      </c>
      <c r="C1132">
        <v>0</v>
      </c>
      <c r="D1132">
        <v>0</v>
      </c>
      <c r="E1132">
        <v>0</v>
      </c>
      <c r="F1132">
        <v>0</v>
      </c>
      <c r="G1132" t="s">
        <v>428</v>
      </c>
    </row>
    <row r="1133" spans="1:7" x14ac:dyDescent="0.35">
      <c r="A1133">
        <v>560</v>
      </c>
      <c r="B1133" t="s">
        <v>645</v>
      </c>
      <c r="C1133">
        <v>0</v>
      </c>
      <c r="D1133">
        <v>0</v>
      </c>
      <c r="E1133">
        <v>0</v>
      </c>
      <c r="F1133">
        <v>0</v>
      </c>
      <c r="G1133" t="s">
        <v>428</v>
      </c>
    </row>
    <row r="1134" spans="1:7" x14ac:dyDescent="0.35">
      <c r="A1134">
        <v>570</v>
      </c>
      <c r="B1134" t="s">
        <v>646</v>
      </c>
      <c r="C1134">
        <v>0</v>
      </c>
      <c r="D1134">
        <v>0</v>
      </c>
      <c r="E1134">
        <v>0</v>
      </c>
      <c r="F1134">
        <v>0</v>
      </c>
      <c r="G1134" t="s">
        <v>428</v>
      </c>
    </row>
    <row r="1135" spans="1:7" x14ac:dyDescent="0.35">
      <c r="A1135">
        <v>580</v>
      </c>
      <c r="B1135" t="s">
        <v>258</v>
      </c>
      <c r="C1135">
        <v>0</v>
      </c>
      <c r="D1135">
        <v>0</v>
      </c>
      <c r="E1135">
        <v>0</v>
      </c>
      <c r="F1135">
        <v>0</v>
      </c>
      <c r="G1135" t="s">
        <v>428</v>
      </c>
    </row>
    <row r="1136" spans="1:7" x14ac:dyDescent="0.35">
      <c r="A1136">
        <v>590</v>
      </c>
      <c r="B1136" t="s">
        <v>647</v>
      </c>
      <c r="C1136">
        <v>0</v>
      </c>
      <c r="D1136">
        <v>0</v>
      </c>
      <c r="E1136">
        <v>0</v>
      </c>
      <c r="F1136">
        <v>0</v>
      </c>
      <c r="G1136" t="s">
        <v>428</v>
      </c>
    </row>
    <row r="1137" spans="1:7" x14ac:dyDescent="0.35">
      <c r="A1137">
        <v>600</v>
      </c>
      <c r="B1137" t="s">
        <v>259</v>
      </c>
      <c r="C1137">
        <v>0</v>
      </c>
      <c r="D1137">
        <v>0</v>
      </c>
      <c r="E1137">
        <v>0</v>
      </c>
      <c r="F1137">
        <v>0</v>
      </c>
      <c r="G1137" t="s">
        <v>428</v>
      </c>
    </row>
    <row r="1138" spans="1:7" x14ac:dyDescent="0.35">
      <c r="A1138">
        <v>610</v>
      </c>
      <c r="B1138" t="s">
        <v>648</v>
      </c>
      <c r="C1138">
        <v>0</v>
      </c>
      <c r="D1138">
        <v>0</v>
      </c>
      <c r="E1138">
        <v>0</v>
      </c>
      <c r="F1138">
        <v>0</v>
      </c>
      <c r="G1138" t="s">
        <v>428</v>
      </c>
    </row>
    <row r="1139" spans="1:7" x14ac:dyDescent="0.35">
      <c r="A1139">
        <v>615</v>
      </c>
      <c r="B1139" t="s">
        <v>673</v>
      </c>
      <c r="C1139">
        <v>0</v>
      </c>
      <c r="D1139">
        <v>0</v>
      </c>
      <c r="E1139">
        <v>0</v>
      </c>
      <c r="F1139">
        <v>0</v>
      </c>
      <c r="G1139" t="s">
        <v>428</v>
      </c>
    </row>
    <row r="1140" spans="1:7" x14ac:dyDescent="0.35">
      <c r="A1140">
        <v>620</v>
      </c>
      <c r="B1140" t="s">
        <v>260</v>
      </c>
      <c r="C1140">
        <v>0</v>
      </c>
      <c r="D1140">
        <v>0</v>
      </c>
      <c r="E1140">
        <v>0</v>
      </c>
      <c r="F1140">
        <v>0</v>
      </c>
      <c r="G1140" t="s">
        <v>428</v>
      </c>
    </row>
    <row r="1141" spans="1:7" x14ac:dyDescent="0.35">
      <c r="A1141">
        <v>630</v>
      </c>
      <c r="B1141" t="s">
        <v>261</v>
      </c>
      <c r="C1141">
        <v>-83614811</v>
      </c>
      <c r="D1141">
        <v>0</v>
      </c>
      <c r="E1141">
        <v>-83614811</v>
      </c>
      <c r="F1141">
        <v>-83614811</v>
      </c>
      <c r="G1141" t="s">
        <v>428</v>
      </c>
    </row>
    <row r="1142" spans="1:7" x14ac:dyDescent="0.35">
      <c r="A1142">
        <v>635</v>
      </c>
      <c r="B1142" t="s">
        <v>674</v>
      </c>
      <c r="C1142">
        <v>0</v>
      </c>
      <c r="D1142">
        <v>0</v>
      </c>
      <c r="E1142">
        <v>0</v>
      </c>
      <c r="F1142">
        <v>0</v>
      </c>
      <c r="G1142" t="s">
        <v>428</v>
      </c>
    </row>
    <row r="1143" spans="1:7" x14ac:dyDescent="0.35">
      <c r="A1143">
        <v>640</v>
      </c>
      <c r="B1143" t="s">
        <v>262</v>
      </c>
      <c r="C1143">
        <v>-112239011.65000001</v>
      </c>
      <c r="D1143">
        <v>-5375735.1799999997</v>
      </c>
      <c r="E1143">
        <v>-117614746.83</v>
      </c>
      <c r="F1143">
        <v>-112239011.65000001</v>
      </c>
      <c r="G1143" t="s">
        <v>428</v>
      </c>
    </row>
    <row r="1144" spans="1:7" x14ac:dyDescent="0.35">
      <c r="A1144">
        <v>650</v>
      </c>
      <c r="B1144" t="s">
        <v>263</v>
      </c>
      <c r="C1144">
        <v>174477.11</v>
      </c>
      <c r="D1144">
        <v>1467290.19</v>
      </c>
      <c r="E1144">
        <v>1641767.3</v>
      </c>
      <c r="F1144">
        <v>174477.11</v>
      </c>
      <c r="G1144" t="s">
        <v>428</v>
      </c>
    </row>
    <row r="1145" spans="1:7" x14ac:dyDescent="0.35">
      <c r="A1145" t="s">
        <v>501</v>
      </c>
      <c r="B1145" t="s">
        <v>416</v>
      </c>
      <c r="C1145" t="s">
        <v>608</v>
      </c>
      <c r="D1145" t="s">
        <v>609</v>
      </c>
      <c r="E1145" t="s">
        <v>610</v>
      </c>
      <c r="F1145" t="s">
        <v>611</v>
      </c>
      <c r="G1145" t="s">
        <v>121</v>
      </c>
    </row>
    <row r="1146" spans="1:7" x14ac:dyDescent="0.35">
      <c r="A1146">
        <v>10</v>
      </c>
      <c r="B1146" t="s">
        <v>612</v>
      </c>
      <c r="C1146">
        <v>0</v>
      </c>
      <c r="D1146">
        <v>0</v>
      </c>
      <c r="E1146">
        <v>0</v>
      </c>
      <c r="F1146">
        <v>0</v>
      </c>
      <c r="G1146" t="s">
        <v>428</v>
      </c>
    </row>
    <row r="1147" spans="1:7" x14ac:dyDescent="0.35">
      <c r="A1147">
        <v>20</v>
      </c>
      <c r="B1147" t="s">
        <v>427</v>
      </c>
      <c r="C1147">
        <v>1146136.3600000001</v>
      </c>
      <c r="D1147">
        <v>0</v>
      </c>
      <c r="E1147">
        <v>1146136.3600000001</v>
      </c>
      <c r="F1147">
        <v>1146136.3600000001</v>
      </c>
      <c r="G1147" t="s">
        <v>428</v>
      </c>
    </row>
    <row r="1148" spans="1:7" x14ac:dyDescent="0.35">
      <c r="A1148">
        <v>30</v>
      </c>
      <c r="B1148" t="s">
        <v>613</v>
      </c>
      <c r="C1148">
        <v>0</v>
      </c>
      <c r="D1148">
        <v>0</v>
      </c>
      <c r="E1148">
        <v>0</v>
      </c>
      <c r="F1148">
        <v>0</v>
      </c>
      <c r="G1148" t="s">
        <v>428</v>
      </c>
    </row>
    <row r="1149" spans="1:7" x14ac:dyDescent="0.35">
      <c r="A1149">
        <v>35</v>
      </c>
      <c r="B1149" t="s">
        <v>614</v>
      </c>
      <c r="C1149">
        <v>1146136.3600000001</v>
      </c>
      <c r="D1149">
        <v>0</v>
      </c>
      <c r="E1149">
        <v>1146136.3600000001</v>
      </c>
      <c r="F1149">
        <v>1146136.3600000001</v>
      </c>
      <c r="G1149" t="s">
        <v>428</v>
      </c>
    </row>
    <row r="1150" spans="1:7" x14ac:dyDescent="0.35">
      <c r="A1150">
        <v>40</v>
      </c>
      <c r="B1150" t="s">
        <v>615</v>
      </c>
      <c r="C1150">
        <v>875762.67</v>
      </c>
      <c r="D1150">
        <v>0</v>
      </c>
      <c r="E1150">
        <v>875762.67</v>
      </c>
      <c r="F1150">
        <v>875762.67</v>
      </c>
      <c r="G1150" t="s">
        <v>428</v>
      </c>
    </row>
    <row r="1151" spans="1:7" x14ac:dyDescent="0.35">
      <c r="A1151">
        <v>50</v>
      </c>
      <c r="B1151" t="s">
        <v>616</v>
      </c>
      <c r="C1151">
        <v>0</v>
      </c>
      <c r="D1151">
        <v>0</v>
      </c>
      <c r="E1151">
        <v>0</v>
      </c>
      <c r="F1151">
        <v>0</v>
      </c>
      <c r="G1151" t="s">
        <v>428</v>
      </c>
    </row>
    <row r="1152" spans="1:7" x14ac:dyDescent="0.35">
      <c r="A1152">
        <v>60</v>
      </c>
      <c r="B1152" t="s">
        <v>617</v>
      </c>
      <c r="C1152">
        <v>270373.69</v>
      </c>
      <c r="D1152">
        <v>0</v>
      </c>
      <c r="E1152">
        <v>270373.69</v>
      </c>
      <c r="F1152">
        <v>270373.69</v>
      </c>
      <c r="G1152" t="s">
        <v>428</v>
      </c>
    </row>
    <row r="1153" spans="1:7" x14ac:dyDescent="0.35">
      <c r="A1153">
        <v>70</v>
      </c>
      <c r="B1153" t="s">
        <v>433</v>
      </c>
      <c r="C1153">
        <v>0</v>
      </c>
      <c r="D1153">
        <v>0</v>
      </c>
      <c r="E1153">
        <v>0</v>
      </c>
      <c r="F1153">
        <v>0</v>
      </c>
      <c r="G1153" t="s">
        <v>428</v>
      </c>
    </row>
    <row r="1154" spans="1:7" x14ac:dyDescent="0.35">
      <c r="A1154">
        <v>80</v>
      </c>
      <c r="B1154" t="s">
        <v>434</v>
      </c>
      <c r="C1154">
        <v>110568.99</v>
      </c>
      <c r="D1154">
        <v>0</v>
      </c>
      <c r="E1154">
        <v>110568.99</v>
      </c>
      <c r="F1154">
        <v>110568.99</v>
      </c>
      <c r="G1154" t="s">
        <v>428</v>
      </c>
    </row>
    <row r="1155" spans="1:7" x14ac:dyDescent="0.35">
      <c r="A1155">
        <v>90</v>
      </c>
      <c r="B1155" t="s">
        <v>680</v>
      </c>
      <c r="C1155">
        <v>25049.74</v>
      </c>
      <c r="D1155">
        <v>0</v>
      </c>
      <c r="E1155">
        <v>25049.74</v>
      </c>
      <c r="F1155">
        <v>25049.74</v>
      </c>
      <c r="G1155" t="s">
        <v>428</v>
      </c>
    </row>
    <row r="1156" spans="1:7" x14ac:dyDescent="0.35">
      <c r="A1156">
        <v>100</v>
      </c>
      <c r="B1156" t="s">
        <v>619</v>
      </c>
      <c r="C1156">
        <v>134754.96</v>
      </c>
      <c r="D1156">
        <v>0</v>
      </c>
      <c r="E1156">
        <v>134754.96</v>
      </c>
      <c r="F1156">
        <v>134754.96</v>
      </c>
      <c r="G1156" t="s">
        <v>428</v>
      </c>
    </row>
    <row r="1157" spans="1:7" x14ac:dyDescent="0.35">
      <c r="A1157">
        <v>110</v>
      </c>
      <c r="B1157" t="s">
        <v>620</v>
      </c>
      <c r="C1157">
        <v>0</v>
      </c>
      <c r="D1157">
        <v>0</v>
      </c>
      <c r="E1157">
        <v>0</v>
      </c>
      <c r="F1157">
        <v>0</v>
      </c>
      <c r="G1157" t="s">
        <v>428</v>
      </c>
    </row>
    <row r="1158" spans="1:7" x14ac:dyDescent="0.35">
      <c r="A1158">
        <v>120</v>
      </c>
      <c r="B1158" t="s">
        <v>621</v>
      </c>
      <c r="C1158">
        <v>-8275.59</v>
      </c>
      <c r="D1158">
        <v>0</v>
      </c>
      <c r="E1158">
        <v>-8275.59</v>
      </c>
      <c r="F1158">
        <v>-8275.59</v>
      </c>
      <c r="G1158" t="s">
        <v>428</v>
      </c>
    </row>
    <row r="1159" spans="1:7" x14ac:dyDescent="0.35">
      <c r="A1159">
        <v>130</v>
      </c>
      <c r="B1159" t="s">
        <v>622</v>
      </c>
      <c r="C1159">
        <v>1409.12</v>
      </c>
      <c r="D1159">
        <v>0</v>
      </c>
      <c r="E1159">
        <v>1409.12</v>
      </c>
      <c r="F1159">
        <v>1409.12</v>
      </c>
      <c r="G1159" t="s">
        <v>428</v>
      </c>
    </row>
    <row r="1160" spans="1:7" x14ac:dyDescent="0.35">
      <c r="A1160">
        <v>140</v>
      </c>
      <c r="B1160" t="s">
        <v>623</v>
      </c>
      <c r="C1160">
        <v>0</v>
      </c>
      <c r="D1160">
        <v>0</v>
      </c>
      <c r="E1160">
        <v>0</v>
      </c>
      <c r="F1160">
        <v>0</v>
      </c>
      <c r="G1160" t="s">
        <v>428</v>
      </c>
    </row>
    <row r="1161" spans="1:7" x14ac:dyDescent="0.35">
      <c r="A1161">
        <v>145</v>
      </c>
      <c r="B1161" t="s">
        <v>443</v>
      </c>
      <c r="C1161">
        <v>-6866.47</v>
      </c>
      <c r="D1161">
        <v>0</v>
      </c>
      <c r="E1161">
        <v>-6866.47</v>
      </c>
      <c r="F1161">
        <v>-6866.47</v>
      </c>
      <c r="G1161" t="s">
        <v>428</v>
      </c>
    </row>
    <row r="1162" spans="1:7" x14ac:dyDescent="0.35">
      <c r="A1162">
        <v>150</v>
      </c>
      <c r="B1162" t="s">
        <v>624</v>
      </c>
      <c r="C1162">
        <v>141621.43</v>
      </c>
      <c r="D1162">
        <v>0</v>
      </c>
      <c r="E1162">
        <v>141621.43</v>
      </c>
      <c r="F1162">
        <v>141621.43</v>
      </c>
      <c r="G1162" t="s">
        <v>428</v>
      </c>
    </row>
    <row r="1163" spans="1:7" x14ac:dyDescent="0.35">
      <c r="A1163">
        <v>160</v>
      </c>
      <c r="B1163" t="s">
        <v>625</v>
      </c>
      <c r="C1163">
        <v>41559</v>
      </c>
      <c r="D1163">
        <v>0</v>
      </c>
      <c r="E1163">
        <v>41559</v>
      </c>
      <c r="F1163">
        <v>41559</v>
      </c>
      <c r="G1163" t="s">
        <v>428</v>
      </c>
    </row>
    <row r="1164" spans="1:7" x14ac:dyDescent="0.35">
      <c r="A1164">
        <v>170</v>
      </c>
      <c r="B1164" t="s">
        <v>447</v>
      </c>
      <c r="C1164">
        <v>100062.43</v>
      </c>
      <c r="D1164">
        <v>0</v>
      </c>
      <c r="E1164">
        <v>100062.43</v>
      </c>
      <c r="F1164">
        <v>100062.43</v>
      </c>
      <c r="G1164" t="s">
        <v>428</v>
      </c>
    </row>
    <row r="1165" spans="1:7" x14ac:dyDescent="0.35">
      <c r="A1165">
        <v>190</v>
      </c>
      <c r="B1165" t="s">
        <v>626</v>
      </c>
      <c r="C1165">
        <v>0</v>
      </c>
      <c r="D1165">
        <v>0</v>
      </c>
      <c r="E1165">
        <v>0</v>
      </c>
      <c r="F1165">
        <v>0</v>
      </c>
      <c r="G1165" t="s">
        <v>428</v>
      </c>
    </row>
    <row r="1166" spans="1:7" x14ac:dyDescent="0.35">
      <c r="A1166">
        <v>200</v>
      </c>
      <c r="B1166" t="s">
        <v>447</v>
      </c>
      <c r="C1166">
        <v>100062.43</v>
      </c>
      <c r="D1166">
        <v>0</v>
      </c>
      <c r="E1166">
        <v>100062.43</v>
      </c>
      <c r="F1166">
        <v>100062.43</v>
      </c>
      <c r="G1166" t="s">
        <v>428</v>
      </c>
    </row>
    <row r="1167" spans="1:7" x14ac:dyDescent="0.35">
      <c r="A1167">
        <v>210</v>
      </c>
      <c r="B1167" t="s">
        <v>247</v>
      </c>
      <c r="C1167">
        <v>100062.43</v>
      </c>
      <c r="D1167">
        <v>0</v>
      </c>
      <c r="E1167">
        <v>100062.43</v>
      </c>
      <c r="F1167">
        <v>100062.43</v>
      </c>
      <c r="G1167" t="s">
        <v>428</v>
      </c>
    </row>
    <row r="1168" spans="1:7" x14ac:dyDescent="0.35">
      <c r="A1168">
        <v>220</v>
      </c>
      <c r="B1168" t="s">
        <v>681</v>
      </c>
      <c r="C1168">
        <v>0</v>
      </c>
      <c r="D1168">
        <v>0</v>
      </c>
      <c r="E1168">
        <v>0</v>
      </c>
      <c r="F1168">
        <v>0</v>
      </c>
      <c r="G1168" t="s">
        <v>428</v>
      </c>
    </row>
    <row r="1169" spans="1:7" x14ac:dyDescent="0.35">
      <c r="A1169">
        <v>230</v>
      </c>
      <c r="B1169" t="s">
        <v>196</v>
      </c>
      <c r="C1169">
        <v>1694507.51</v>
      </c>
      <c r="D1169">
        <v>-5833953.2699999996</v>
      </c>
      <c r="E1169">
        <v>-4139445.76</v>
      </c>
      <c r="F1169">
        <v>1694507.51</v>
      </c>
      <c r="G1169" t="s">
        <v>428</v>
      </c>
    </row>
    <row r="1170" spans="1:7" x14ac:dyDescent="0.35">
      <c r="A1170">
        <v>240</v>
      </c>
      <c r="B1170" t="s">
        <v>197</v>
      </c>
      <c r="C1170">
        <v>-313699.08</v>
      </c>
      <c r="D1170">
        <v>-14015353.51</v>
      </c>
      <c r="E1170">
        <v>-14329052.59</v>
      </c>
      <c r="F1170">
        <v>-313699.08</v>
      </c>
      <c r="G1170" t="s">
        <v>428</v>
      </c>
    </row>
    <row r="1171" spans="1:7" x14ac:dyDescent="0.35">
      <c r="A1171">
        <v>250</v>
      </c>
      <c r="B1171" t="s">
        <v>198</v>
      </c>
      <c r="C1171">
        <v>0</v>
      </c>
      <c r="D1171">
        <v>0</v>
      </c>
      <c r="E1171">
        <v>0</v>
      </c>
      <c r="F1171">
        <v>0</v>
      </c>
      <c r="G1171" t="s">
        <v>428</v>
      </c>
    </row>
    <row r="1172" spans="1:7" x14ac:dyDescent="0.35">
      <c r="A1172">
        <v>260</v>
      </c>
      <c r="B1172" t="s">
        <v>629</v>
      </c>
      <c r="C1172">
        <v>-98156</v>
      </c>
      <c r="D1172">
        <v>-639078.63</v>
      </c>
      <c r="E1172">
        <v>-737234.63</v>
      </c>
      <c r="F1172">
        <v>-98156</v>
      </c>
      <c r="G1172" t="s">
        <v>428</v>
      </c>
    </row>
    <row r="1173" spans="1:7" x14ac:dyDescent="0.35">
      <c r="A1173">
        <v>270</v>
      </c>
      <c r="B1173" t="s">
        <v>199</v>
      </c>
      <c r="C1173">
        <v>44007.360000000001</v>
      </c>
      <c r="D1173">
        <v>362727.62</v>
      </c>
      <c r="E1173">
        <v>406734.98</v>
      </c>
      <c r="F1173">
        <v>44007.360000000001</v>
      </c>
      <c r="G1173" t="s">
        <v>428</v>
      </c>
    </row>
    <row r="1174" spans="1:7" x14ac:dyDescent="0.35">
      <c r="A1174">
        <v>280</v>
      </c>
      <c r="B1174" t="s">
        <v>264</v>
      </c>
      <c r="C1174">
        <v>0</v>
      </c>
      <c r="D1174">
        <v>0</v>
      </c>
      <c r="E1174">
        <v>0</v>
      </c>
      <c r="F1174">
        <v>0</v>
      </c>
      <c r="G1174" t="s">
        <v>428</v>
      </c>
    </row>
    <row r="1175" spans="1:7" x14ac:dyDescent="0.35">
      <c r="A1175">
        <v>290</v>
      </c>
      <c r="B1175" t="s">
        <v>265</v>
      </c>
      <c r="C1175">
        <v>0</v>
      </c>
      <c r="D1175">
        <v>0</v>
      </c>
      <c r="E1175">
        <v>0</v>
      </c>
      <c r="F1175">
        <v>0</v>
      </c>
      <c r="G1175" t="s">
        <v>428</v>
      </c>
    </row>
    <row r="1176" spans="1:7" x14ac:dyDescent="0.35">
      <c r="A1176">
        <v>300</v>
      </c>
      <c r="B1176" t="s">
        <v>222</v>
      </c>
      <c r="C1176">
        <v>-1457000</v>
      </c>
      <c r="D1176">
        <v>2857000</v>
      </c>
      <c r="E1176">
        <v>1400000</v>
      </c>
      <c r="F1176">
        <v>-1457000</v>
      </c>
      <c r="G1176" t="s">
        <v>428</v>
      </c>
    </row>
    <row r="1177" spans="1:7" x14ac:dyDescent="0.35">
      <c r="A1177">
        <v>310</v>
      </c>
      <c r="B1177" t="s">
        <v>630</v>
      </c>
      <c r="C1177">
        <v>0</v>
      </c>
      <c r="D1177">
        <v>0</v>
      </c>
      <c r="E1177">
        <v>0</v>
      </c>
      <c r="F1177">
        <v>0</v>
      </c>
      <c r="G1177" t="s">
        <v>428</v>
      </c>
    </row>
    <row r="1178" spans="1:7" x14ac:dyDescent="0.35">
      <c r="A1178">
        <v>320</v>
      </c>
      <c r="B1178" t="s">
        <v>248</v>
      </c>
      <c r="C1178">
        <v>-2900</v>
      </c>
      <c r="D1178">
        <v>2938351.17</v>
      </c>
      <c r="E1178">
        <v>2935451.17</v>
      </c>
      <c r="F1178">
        <v>-2900</v>
      </c>
      <c r="G1178" t="s">
        <v>428</v>
      </c>
    </row>
    <row r="1179" spans="1:7" x14ac:dyDescent="0.35">
      <c r="A1179">
        <v>330</v>
      </c>
      <c r="B1179" t="s">
        <v>631</v>
      </c>
      <c r="C1179">
        <v>-225861.76000000001</v>
      </c>
      <c r="D1179">
        <v>892703.61</v>
      </c>
      <c r="E1179">
        <v>666841.85</v>
      </c>
      <c r="F1179">
        <v>-225861.76000000001</v>
      </c>
      <c r="G1179" t="s">
        <v>428</v>
      </c>
    </row>
    <row r="1180" spans="1:7" x14ac:dyDescent="0.35">
      <c r="A1180">
        <v>340</v>
      </c>
      <c r="B1180" t="s">
        <v>632</v>
      </c>
      <c r="C1180">
        <v>-162817.16</v>
      </c>
      <c r="D1180">
        <v>301646.76</v>
      </c>
      <c r="E1180">
        <v>138829.6</v>
      </c>
      <c r="F1180">
        <v>-162817.16</v>
      </c>
      <c r="G1180" t="s">
        <v>428</v>
      </c>
    </row>
    <row r="1181" spans="1:7" x14ac:dyDescent="0.35">
      <c r="A1181">
        <v>350</v>
      </c>
      <c r="B1181" t="s">
        <v>266</v>
      </c>
      <c r="C1181">
        <v>0</v>
      </c>
      <c r="D1181">
        <v>0</v>
      </c>
      <c r="E1181">
        <v>0</v>
      </c>
      <c r="F1181">
        <v>0</v>
      </c>
      <c r="G1181" t="s">
        <v>428</v>
      </c>
    </row>
    <row r="1182" spans="1:7" x14ac:dyDescent="0.35">
      <c r="A1182">
        <v>360</v>
      </c>
      <c r="B1182" t="s">
        <v>682</v>
      </c>
      <c r="C1182">
        <v>0</v>
      </c>
      <c r="D1182">
        <v>0</v>
      </c>
      <c r="E1182">
        <v>0</v>
      </c>
      <c r="F1182">
        <v>0</v>
      </c>
      <c r="G1182" t="s">
        <v>428</v>
      </c>
    </row>
    <row r="1183" spans="1:7" x14ac:dyDescent="0.35">
      <c r="A1183">
        <v>370</v>
      </c>
      <c r="B1183" t="s">
        <v>683</v>
      </c>
      <c r="C1183">
        <v>0</v>
      </c>
      <c r="D1183">
        <v>0</v>
      </c>
      <c r="E1183">
        <v>0</v>
      </c>
      <c r="F1183">
        <v>0</v>
      </c>
      <c r="G1183" t="s">
        <v>428</v>
      </c>
    </row>
    <row r="1184" spans="1:7" x14ac:dyDescent="0.35">
      <c r="A1184">
        <v>380</v>
      </c>
      <c r="B1184" t="s">
        <v>633</v>
      </c>
      <c r="C1184">
        <v>-521919.13</v>
      </c>
      <c r="D1184">
        <v>-13135956.25</v>
      </c>
      <c r="E1184">
        <v>-13657875.380000001</v>
      </c>
      <c r="F1184">
        <v>-521919.13</v>
      </c>
      <c r="G1184" t="s">
        <v>428</v>
      </c>
    </row>
    <row r="1185" spans="1:7" x14ac:dyDescent="0.35">
      <c r="A1185">
        <v>390</v>
      </c>
      <c r="B1185" t="s">
        <v>250</v>
      </c>
      <c r="C1185">
        <v>0</v>
      </c>
      <c r="D1185">
        <v>0</v>
      </c>
      <c r="E1185">
        <v>0</v>
      </c>
      <c r="F1185">
        <v>0</v>
      </c>
      <c r="G1185" t="s">
        <v>428</v>
      </c>
    </row>
    <row r="1186" spans="1:7" x14ac:dyDescent="0.35">
      <c r="A1186">
        <v>400</v>
      </c>
      <c r="B1186" t="s">
        <v>251</v>
      </c>
      <c r="C1186">
        <v>0</v>
      </c>
      <c r="D1186">
        <v>0</v>
      </c>
      <c r="E1186">
        <v>0</v>
      </c>
      <c r="F1186">
        <v>0</v>
      </c>
      <c r="G1186" t="s">
        <v>428</v>
      </c>
    </row>
    <row r="1187" spans="1:7" x14ac:dyDescent="0.35">
      <c r="A1187">
        <v>410</v>
      </c>
      <c r="B1187" t="s">
        <v>237</v>
      </c>
      <c r="C1187">
        <v>0</v>
      </c>
      <c r="D1187">
        <v>8113280</v>
      </c>
      <c r="E1187">
        <v>8113280</v>
      </c>
      <c r="F1187">
        <v>0</v>
      </c>
      <c r="G1187" t="s">
        <v>428</v>
      </c>
    </row>
    <row r="1188" spans="1:7" x14ac:dyDescent="0.35">
      <c r="A1188">
        <v>420</v>
      </c>
      <c r="B1188" t="s">
        <v>253</v>
      </c>
      <c r="C1188">
        <v>0</v>
      </c>
      <c r="D1188">
        <v>0</v>
      </c>
      <c r="E1188">
        <v>0</v>
      </c>
      <c r="F1188">
        <v>0</v>
      </c>
      <c r="G1188" t="s">
        <v>428</v>
      </c>
    </row>
    <row r="1189" spans="1:7" x14ac:dyDescent="0.35">
      <c r="A1189">
        <v>430</v>
      </c>
      <c r="B1189" t="s">
        <v>634</v>
      </c>
      <c r="C1189">
        <v>0</v>
      </c>
      <c r="D1189">
        <v>4171.6499999999996</v>
      </c>
      <c r="E1189">
        <v>4171.6499999999996</v>
      </c>
      <c r="F1189">
        <v>0</v>
      </c>
      <c r="G1189" t="s">
        <v>428</v>
      </c>
    </row>
    <row r="1190" spans="1:7" x14ac:dyDescent="0.35">
      <c r="A1190">
        <v>435</v>
      </c>
      <c r="B1190" t="s">
        <v>684</v>
      </c>
      <c r="C1190">
        <v>0</v>
      </c>
      <c r="D1190">
        <v>8351036.0899999999</v>
      </c>
      <c r="E1190">
        <v>8351036.0899999999</v>
      </c>
      <c r="F1190">
        <v>0</v>
      </c>
      <c r="G1190" t="s">
        <v>428</v>
      </c>
    </row>
    <row r="1191" spans="1:7" x14ac:dyDescent="0.35">
      <c r="A1191">
        <v>440</v>
      </c>
      <c r="B1191" t="s">
        <v>255</v>
      </c>
      <c r="C1191">
        <v>0</v>
      </c>
      <c r="D1191">
        <v>16468487.74</v>
      </c>
      <c r="E1191">
        <v>16468487.74</v>
      </c>
      <c r="F1191">
        <v>0</v>
      </c>
      <c r="G1191" t="s">
        <v>428</v>
      </c>
    </row>
    <row r="1192" spans="1:7" x14ac:dyDescent="0.35">
      <c r="A1192">
        <v>450</v>
      </c>
      <c r="B1192" t="s">
        <v>256</v>
      </c>
      <c r="C1192">
        <v>0</v>
      </c>
      <c r="D1192">
        <v>0</v>
      </c>
      <c r="E1192">
        <v>0</v>
      </c>
      <c r="F1192">
        <v>0</v>
      </c>
      <c r="G1192" t="s">
        <v>428</v>
      </c>
    </row>
    <row r="1193" spans="1:7" x14ac:dyDescent="0.35">
      <c r="A1193">
        <v>452</v>
      </c>
      <c r="B1193" t="s">
        <v>203</v>
      </c>
      <c r="C1193">
        <v>0</v>
      </c>
      <c r="D1193">
        <v>5060455.8899999997</v>
      </c>
      <c r="E1193">
        <v>5060455.8899999997</v>
      </c>
      <c r="F1193">
        <v>0</v>
      </c>
      <c r="G1193" t="s">
        <v>428</v>
      </c>
    </row>
    <row r="1194" spans="1:7" x14ac:dyDescent="0.35">
      <c r="A1194">
        <v>454</v>
      </c>
      <c r="B1194" t="s">
        <v>204</v>
      </c>
      <c r="C1194">
        <v>0</v>
      </c>
      <c r="D1194">
        <v>-5258513.1100000003</v>
      </c>
      <c r="E1194">
        <v>-5258513.1100000003</v>
      </c>
      <c r="F1194">
        <v>0</v>
      </c>
      <c r="G1194" t="s">
        <v>428</v>
      </c>
    </row>
    <row r="1195" spans="1:7" x14ac:dyDescent="0.35">
      <c r="A1195">
        <v>456</v>
      </c>
      <c r="B1195" t="s">
        <v>636</v>
      </c>
      <c r="C1195">
        <v>10981.45</v>
      </c>
      <c r="D1195">
        <v>894218.15</v>
      </c>
      <c r="E1195">
        <v>905199.6</v>
      </c>
      <c r="F1195">
        <v>10981.45</v>
      </c>
      <c r="G1195" t="s">
        <v>428</v>
      </c>
    </row>
    <row r="1196" spans="1:7" x14ac:dyDescent="0.35">
      <c r="A1196">
        <v>460</v>
      </c>
      <c r="B1196" t="s">
        <v>208</v>
      </c>
      <c r="C1196">
        <v>0</v>
      </c>
      <c r="D1196">
        <v>-2028790.71</v>
      </c>
      <c r="E1196">
        <v>-2028790.71</v>
      </c>
      <c r="F1196">
        <v>0</v>
      </c>
      <c r="G1196" t="s">
        <v>428</v>
      </c>
    </row>
    <row r="1197" spans="1:7" x14ac:dyDescent="0.35">
      <c r="A1197">
        <v>462</v>
      </c>
      <c r="B1197" t="s">
        <v>257</v>
      </c>
      <c r="C1197">
        <v>0</v>
      </c>
      <c r="D1197">
        <v>-168333.56</v>
      </c>
      <c r="E1197">
        <v>-168333.56</v>
      </c>
      <c r="F1197">
        <v>0</v>
      </c>
      <c r="G1197" t="s">
        <v>428</v>
      </c>
    </row>
    <row r="1198" spans="1:7" x14ac:dyDescent="0.35">
      <c r="A1198">
        <v>464</v>
      </c>
      <c r="B1198" t="s">
        <v>685</v>
      </c>
      <c r="C1198">
        <v>727.98</v>
      </c>
      <c r="D1198">
        <v>196066.38</v>
      </c>
      <c r="E1198">
        <v>196794.36</v>
      </c>
      <c r="F1198">
        <v>727.98</v>
      </c>
      <c r="G1198" t="s">
        <v>428</v>
      </c>
    </row>
    <row r="1199" spans="1:7" x14ac:dyDescent="0.35">
      <c r="A1199">
        <v>470</v>
      </c>
      <c r="B1199" t="s">
        <v>637</v>
      </c>
      <c r="C1199">
        <v>8453.2900000000009</v>
      </c>
      <c r="D1199">
        <v>706424.07</v>
      </c>
      <c r="E1199">
        <v>714877.36</v>
      </c>
      <c r="F1199">
        <v>8453.2900000000009</v>
      </c>
      <c r="G1199" t="s">
        <v>428</v>
      </c>
    </row>
    <row r="1200" spans="1:7" x14ac:dyDescent="0.35">
      <c r="A1200">
        <v>480</v>
      </c>
      <c r="B1200" t="s">
        <v>207</v>
      </c>
      <c r="C1200">
        <v>0</v>
      </c>
      <c r="D1200">
        <v>-1242454.6000000001</v>
      </c>
      <c r="E1200">
        <v>-1242454.6000000001</v>
      </c>
      <c r="F1200">
        <v>0</v>
      </c>
      <c r="G1200" t="s">
        <v>428</v>
      </c>
    </row>
    <row r="1201" spans="1:7" x14ac:dyDescent="0.35">
      <c r="A1201">
        <v>490</v>
      </c>
      <c r="B1201" t="s">
        <v>638</v>
      </c>
      <c r="C1201">
        <v>4107.07</v>
      </c>
      <c r="D1201">
        <v>720502.88</v>
      </c>
      <c r="E1201">
        <v>724609.95</v>
      </c>
      <c r="F1201">
        <v>4107.07</v>
      </c>
      <c r="G1201" t="s">
        <v>428</v>
      </c>
    </row>
    <row r="1202" spans="1:7" x14ac:dyDescent="0.35">
      <c r="A1202">
        <v>500</v>
      </c>
      <c r="B1202" t="s">
        <v>206</v>
      </c>
      <c r="C1202">
        <v>0</v>
      </c>
      <c r="D1202">
        <v>-232978.67</v>
      </c>
      <c r="E1202">
        <v>-232978.67</v>
      </c>
      <c r="F1202">
        <v>0</v>
      </c>
      <c r="G1202" t="s">
        <v>428</v>
      </c>
    </row>
    <row r="1203" spans="1:7" x14ac:dyDescent="0.35">
      <c r="A1203">
        <v>510</v>
      </c>
      <c r="B1203" t="s">
        <v>639</v>
      </c>
      <c r="C1203">
        <v>779.95</v>
      </c>
      <c r="D1203">
        <v>212597.9</v>
      </c>
      <c r="E1203">
        <v>213377.85</v>
      </c>
      <c r="F1203">
        <v>779.95</v>
      </c>
      <c r="G1203" t="s">
        <v>428</v>
      </c>
    </row>
    <row r="1204" spans="1:7" x14ac:dyDescent="0.35">
      <c r="A1204">
        <v>512</v>
      </c>
      <c r="B1204" t="s">
        <v>686</v>
      </c>
      <c r="C1204">
        <v>0</v>
      </c>
      <c r="D1204">
        <v>0</v>
      </c>
      <c r="E1204">
        <v>0</v>
      </c>
      <c r="F1204">
        <v>0</v>
      </c>
      <c r="G1204" t="s">
        <v>428</v>
      </c>
    </row>
    <row r="1205" spans="1:7" x14ac:dyDescent="0.35">
      <c r="A1205">
        <v>514</v>
      </c>
      <c r="B1205" t="s">
        <v>687</v>
      </c>
      <c r="C1205">
        <v>0</v>
      </c>
      <c r="D1205">
        <v>0</v>
      </c>
      <c r="E1205">
        <v>0</v>
      </c>
      <c r="F1205">
        <v>0</v>
      </c>
      <c r="G1205" t="s">
        <v>428</v>
      </c>
    </row>
    <row r="1206" spans="1:7" x14ac:dyDescent="0.35">
      <c r="A1206">
        <v>516</v>
      </c>
      <c r="B1206" t="s">
        <v>688</v>
      </c>
      <c r="C1206">
        <v>0</v>
      </c>
      <c r="D1206">
        <v>0</v>
      </c>
      <c r="E1206">
        <v>0</v>
      </c>
      <c r="F1206">
        <v>0</v>
      </c>
      <c r="G1206" t="s">
        <v>428</v>
      </c>
    </row>
    <row r="1207" spans="1:7" x14ac:dyDescent="0.35">
      <c r="A1207">
        <v>518</v>
      </c>
      <c r="B1207" t="s">
        <v>689</v>
      </c>
      <c r="C1207">
        <v>0</v>
      </c>
      <c r="D1207">
        <v>0</v>
      </c>
      <c r="E1207">
        <v>0</v>
      </c>
      <c r="F1207">
        <v>0</v>
      </c>
      <c r="G1207" t="s">
        <v>428</v>
      </c>
    </row>
    <row r="1208" spans="1:7" x14ac:dyDescent="0.35">
      <c r="A1208">
        <v>520</v>
      </c>
      <c r="B1208" t="s">
        <v>262</v>
      </c>
      <c r="C1208">
        <v>25049.74</v>
      </c>
      <c r="D1208">
        <v>-1140805.3799999999</v>
      </c>
      <c r="E1208">
        <v>-1115755.6399999999</v>
      </c>
      <c r="F1208">
        <v>25049.74</v>
      </c>
      <c r="G1208" t="s">
        <v>428</v>
      </c>
    </row>
    <row r="1209" spans="1:7" x14ac:dyDescent="0.35">
      <c r="A1209">
        <v>530</v>
      </c>
      <c r="B1209" t="s">
        <v>263</v>
      </c>
      <c r="C1209">
        <v>-396806.96</v>
      </c>
      <c r="D1209">
        <v>2191726.11</v>
      </c>
      <c r="E1209">
        <v>1794919.15</v>
      </c>
      <c r="F1209">
        <v>-396806.96</v>
      </c>
      <c r="G1209" t="s">
        <v>428</v>
      </c>
    </row>
    <row r="1210" spans="1:7" x14ac:dyDescent="0.35">
      <c r="A1210" t="s">
        <v>502</v>
      </c>
      <c r="B1210" t="s">
        <v>416</v>
      </c>
      <c r="C1210" t="s">
        <v>608</v>
      </c>
      <c r="D1210" t="s">
        <v>609</v>
      </c>
      <c r="E1210" t="s">
        <v>610</v>
      </c>
      <c r="F1210" t="s">
        <v>611</v>
      </c>
      <c r="G1210" t="s">
        <v>121</v>
      </c>
    </row>
    <row r="1211" spans="1:7" x14ac:dyDescent="0.35">
      <c r="A1211">
        <v>10</v>
      </c>
      <c r="B1211" t="s">
        <v>612</v>
      </c>
      <c r="C1211">
        <v>0</v>
      </c>
      <c r="D1211">
        <v>0</v>
      </c>
      <c r="E1211">
        <v>0</v>
      </c>
      <c r="F1211">
        <v>0</v>
      </c>
      <c r="G1211" t="s">
        <v>428</v>
      </c>
    </row>
    <row r="1212" spans="1:7" x14ac:dyDescent="0.35">
      <c r="A1212">
        <v>20</v>
      </c>
      <c r="B1212" t="s">
        <v>427</v>
      </c>
      <c r="C1212">
        <v>6260773.4000000004</v>
      </c>
      <c r="D1212">
        <v>0</v>
      </c>
      <c r="E1212">
        <v>6260773.4000000004</v>
      </c>
      <c r="F1212">
        <v>6260773.4000000004</v>
      </c>
      <c r="G1212" t="s">
        <v>428</v>
      </c>
    </row>
    <row r="1213" spans="1:7" x14ac:dyDescent="0.35">
      <c r="A1213">
        <v>30</v>
      </c>
      <c r="B1213" t="s">
        <v>613</v>
      </c>
      <c r="C1213">
        <v>0</v>
      </c>
      <c r="D1213">
        <v>0</v>
      </c>
      <c r="E1213">
        <v>0</v>
      </c>
      <c r="F1213">
        <v>0</v>
      </c>
      <c r="G1213" t="s">
        <v>428</v>
      </c>
    </row>
    <row r="1214" spans="1:7" x14ac:dyDescent="0.35">
      <c r="A1214">
        <v>35</v>
      </c>
      <c r="B1214" t="s">
        <v>614</v>
      </c>
      <c r="C1214">
        <v>6260773.4000000004</v>
      </c>
      <c r="D1214">
        <v>0</v>
      </c>
      <c r="E1214">
        <v>6260773.4000000004</v>
      </c>
      <c r="F1214">
        <v>6260773.4000000004</v>
      </c>
      <c r="G1214" t="s">
        <v>428</v>
      </c>
    </row>
    <row r="1215" spans="1:7" x14ac:dyDescent="0.35">
      <c r="A1215">
        <v>40</v>
      </c>
      <c r="B1215" t="s">
        <v>615</v>
      </c>
      <c r="C1215">
        <v>3000369.26</v>
      </c>
      <c r="D1215">
        <v>0</v>
      </c>
      <c r="E1215">
        <v>3000369.26</v>
      </c>
      <c r="F1215">
        <v>3000369.26</v>
      </c>
      <c r="G1215" t="s">
        <v>428</v>
      </c>
    </row>
    <row r="1216" spans="1:7" x14ac:dyDescent="0.35">
      <c r="A1216">
        <v>50</v>
      </c>
      <c r="B1216" t="s">
        <v>616</v>
      </c>
      <c r="C1216">
        <v>0</v>
      </c>
      <c r="D1216">
        <v>0</v>
      </c>
      <c r="E1216">
        <v>0</v>
      </c>
      <c r="F1216">
        <v>0</v>
      </c>
      <c r="G1216" t="s">
        <v>428</v>
      </c>
    </row>
    <row r="1217" spans="1:7" x14ac:dyDescent="0.35">
      <c r="A1217">
        <v>60</v>
      </c>
      <c r="B1217" t="s">
        <v>617</v>
      </c>
      <c r="C1217">
        <v>3260404.14</v>
      </c>
      <c r="D1217">
        <v>0</v>
      </c>
      <c r="E1217">
        <v>3260404.14</v>
      </c>
      <c r="F1217">
        <v>3260404.14</v>
      </c>
      <c r="G1217" t="s">
        <v>428</v>
      </c>
    </row>
    <row r="1218" spans="1:7" x14ac:dyDescent="0.35">
      <c r="A1218">
        <v>70</v>
      </c>
      <c r="B1218" t="s">
        <v>433</v>
      </c>
      <c r="C1218">
        <v>48372</v>
      </c>
      <c r="D1218">
        <v>0</v>
      </c>
      <c r="E1218">
        <v>48372</v>
      </c>
      <c r="F1218">
        <v>48372</v>
      </c>
      <c r="G1218" t="s">
        <v>428</v>
      </c>
    </row>
    <row r="1219" spans="1:7" x14ac:dyDescent="0.35">
      <c r="A1219">
        <v>80</v>
      </c>
      <c r="B1219" t="s">
        <v>434</v>
      </c>
      <c r="C1219">
        <v>470911.11</v>
      </c>
      <c r="D1219">
        <v>0</v>
      </c>
      <c r="E1219">
        <v>470911.11</v>
      </c>
      <c r="F1219">
        <v>470911.11</v>
      </c>
      <c r="G1219" t="s">
        <v>428</v>
      </c>
    </row>
    <row r="1220" spans="1:7" x14ac:dyDescent="0.35">
      <c r="A1220">
        <v>90</v>
      </c>
      <c r="B1220" t="s">
        <v>680</v>
      </c>
      <c r="C1220">
        <v>6875.67</v>
      </c>
      <c r="D1220">
        <v>0</v>
      </c>
      <c r="E1220">
        <v>6875.67</v>
      </c>
      <c r="F1220">
        <v>6875.67</v>
      </c>
      <c r="G1220" t="s">
        <v>428</v>
      </c>
    </row>
    <row r="1221" spans="1:7" x14ac:dyDescent="0.35">
      <c r="A1221">
        <v>100</v>
      </c>
      <c r="B1221" t="s">
        <v>619</v>
      </c>
      <c r="C1221">
        <v>2734245.36</v>
      </c>
      <c r="D1221">
        <v>0</v>
      </c>
      <c r="E1221">
        <v>2734245.36</v>
      </c>
      <c r="F1221">
        <v>2734245.36</v>
      </c>
      <c r="G1221" t="s">
        <v>428</v>
      </c>
    </row>
    <row r="1222" spans="1:7" x14ac:dyDescent="0.35">
      <c r="A1222">
        <v>110</v>
      </c>
      <c r="B1222" t="s">
        <v>620</v>
      </c>
      <c r="C1222">
        <v>17219.02</v>
      </c>
      <c r="D1222">
        <v>0</v>
      </c>
      <c r="E1222">
        <v>17219.02</v>
      </c>
      <c r="F1222">
        <v>17219.02</v>
      </c>
      <c r="G1222" t="s">
        <v>428</v>
      </c>
    </row>
    <row r="1223" spans="1:7" x14ac:dyDescent="0.35">
      <c r="A1223">
        <v>120</v>
      </c>
      <c r="B1223" t="s">
        <v>621</v>
      </c>
      <c r="C1223">
        <v>0</v>
      </c>
      <c r="D1223">
        <v>0</v>
      </c>
      <c r="E1223">
        <v>0</v>
      </c>
      <c r="F1223">
        <v>0</v>
      </c>
      <c r="G1223" t="s">
        <v>428</v>
      </c>
    </row>
    <row r="1224" spans="1:7" x14ac:dyDescent="0.35">
      <c r="A1224">
        <v>130</v>
      </c>
      <c r="B1224" t="s">
        <v>622</v>
      </c>
      <c r="C1224">
        <v>2882.39</v>
      </c>
      <c r="D1224">
        <v>0</v>
      </c>
      <c r="E1224">
        <v>2882.39</v>
      </c>
      <c r="F1224">
        <v>2882.39</v>
      </c>
      <c r="G1224" t="s">
        <v>428</v>
      </c>
    </row>
    <row r="1225" spans="1:7" x14ac:dyDescent="0.35">
      <c r="A1225">
        <v>140</v>
      </c>
      <c r="B1225" t="s">
        <v>623</v>
      </c>
      <c r="C1225">
        <v>372761.43</v>
      </c>
      <c r="D1225">
        <v>0</v>
      </c>
      <c r="E1225">
        <v>372761.43</v>
      </c>
      <c r="F1225">
        <v>372761.43</v>
      </c>
      <c r="G1225" t="s">
        <v>428</v>
      </c>
    </row>
    <row r="1226" spans="1:7" x14ac:dyDescent="0.35">
      <c r="A1226">
        <v>145</v>
      </c>
      <c r="B1226" t="s">
        <v>443</v>
      </c>
      <c r="C1226">
        <v>-352660.02</v>
      </c>
      <c r="D1226">
        <v>0</v>
      </c>
      <c r="E1226">
        <v>-352660.02</v>
      </c>
      <c r="F1226">
        <v>-352660.02</v>
      </c>
      <c r="G1226" t="s">
        <v>428</v>
      </c>
    </row>
    <row r="1227" spans="1:7" x14ac:dyDescent="0.35">
      <c r="A1227">
        <v>150</v>
      </c>
      <c r="B1227" t="s">
        <v>624</v>
      </c>
      <c r="C1227">
        <v>3086905.38</v>
      </c>
      <c r="D1227">
        <v>0</v>
      </c>
      <c r="E1227">
        <v>3086905.38</v>
      </c>
      <c r="F1227">
        <v>3086905.38</v>
      </c>
      <c r="G1227" t="s">
        <v>428</v>
      </c>
    </row>
    <row r="1228" spans="1:7" x14ac:dyDescent="0.35">
      <c r="A1228">
        <v>160</v>
      </c>
      <c r="B1228" t="s">
        <v>625</v>
      </c>
      <c r="C1228">
        <v>649266</v>
      </c>
      <c r="D1228">
        <v>0</v>
      </c>
      <c r="E1228">
        <v>649266</v>
      </c>
      <c r="F1228">
        <v>649266</v>
      </c>
      <c r="G1228" t="s">
        <v>428</v>
      </c>
    </row>
    <row r="1229" spans="1:7" x14ac:dyDescent="0.35">
      <c r="A1229">
        <v>170</v>
      </c>
      <c r="B1229" t="s">
        <v>447</v>
      </c>
      <c r="C1229">
        <v>2437639.38</v>
      </c>
      <c r="D1229">
        <v>0</v>
      </c>
      <c r="E1229">
        <v>2437639.38</v>
      </c>
      <c r="F1229">
        <v>2437639.38</v>
      </c>
      <c r="G1229" t="s">
        <v>428</v>
      </c>
    </row>
    <row r="1230" spans="1:7" x14ac:dyDescent="0.35">
      <c r="A1230">
        <v>190</v>
      </c>
      <c r="B1230" t="s">
        <v>626</v>
      </c>
      <c r="C1230">
        <v>0</v>
      </c>
      <c r="D1230">
        <v>0</v>
      </c>
      <c r="E1230">
        <v>0</v>
      </c>
      <c r="F1230">
        <v>0</v>
      </c>
      <c r="G1230" t="s">
        <v>428</v>
      </c>
    </row>
    <row r="1231" spans="1:7" x14ac:dyDescent="0.35">
      <c r="A1231">
        <v>200</v>
      </c>
      <c r="B1231" t="s">
        <v>447</v>
      </c>
      <c r="C1231">
        <v>2437639.38</v>
      </c>
      <c r="D1231">
        <v>0</v>
      </c>
      <c r="E1231">
        <v>2437639.38</v>
      </c>
      <c r="F1231">
        <v>2437639.38</v>
      </c>
      <c r="G1231" t="s">
        <v>428</v>
      </c>
    </row>
    <row r="1232" spans="1:7" x14ac:dyDescent="0.35">
      <c r="A1232">
        <v>210</v>
      </c>
      <c r="B1232" t="s">
        <v>247</v>
      </c>
      <c r="C1232">
        <v>2437639.38</v>
      </c>
      <c r="D1232">
        <v>0</v>
      </c>
      <c r="E1232">
        <v>2437639.38</v>
      </c>
      <c r="F1232">
        <v>2437639.38</v>
      </c>
      <c r="G1232" t="s">
        <v>428</v>
      </c>
    </row>
    <row r="1233" spans="1:7" x14ac:dyDescent="0.35">
      <c r="A1233">
        <v>220</v>
      </c>
      <c r="B1233" t="s">
        <v>681</v>
      </c>
      <c r="C1233">
        <v>0</v>
      </c>
      <c r="D1233">
        <v>0</v>
      </c>
      <c r="E1233">
        <v>0</v>
      </c>
      <c r="F1233">
        <v>0</v>
      </c>
      <c r="G1233" t="s">
        <v>428</v>
      </c>
    </row>
    <row r="1234" spans="1:7" x14ac:dyDescent="0.35">
      <c r="A1234">
        <v>230</v>
      </c>
      <c r="B1234" t="s">
        <v>196</v>
      </c>
      <c r="C1234">
        <v>-3711474.67</v>
      </c>
      <c r="D1234">
        <v>-184695963.87</v>
      </c>
      <c r="E1234">
        <v>-188407438.53999999</v>
      </c>
      <c r="F1234">
        <v>-3711474.67</v>
      </c>
      <c r="G1234" t="s">
        <v>428</v>
      </c>
    </row>
    <row r="1235" spans="1:7" x14ac:dyDescent="0.35">
      <c r="A1235">
        <v>240</v>
      </c>
      <c r="B1235" t="s">
        <v>197</v>
      </c>
      <c r="C1235">
        <v>-1407058.42</v>
      </c>
      <c r="D1235">
        <v>-12581317.109999999</v>
      </c>
      <c r="E1235">
        <v>-13988375.529999999</v>
      </c>
      <c r="F1235">
        <v>-1407058.42</v>
      </c>
      <c r="G1235" t="s">
        <v>428</v>
      </c>
    </row>
    <row r="1236" spans="1:7" x14ac:dyDescent="0.35">
      <c r="A1236">
        <v>250</v>
      </c>
      <c r="B1236" t="s">
        <v>198</v>
      </c>
      <c r="C1236">
        <v>2154030.81</v>
      </c>
      <c r="D1236">
        <v>-125577057.34999999</v>
      </c>
      <c r="E1236">
        <v>-123423026.54000001</v>
      </c>
      <c r="F1236">
        <v>2154030.81</v>
      </c>
      <c r="G1236" t="s">
        <v>428</v>
      </c>
    </row>
    <row r="1237" spans="1:7" x14ac:dyDescent="0.35">
      <c r="A1237">
        <v>260</v>
      </c>
      <c r="B1237" t="s">
        <v>629</v>
      </c>
      <c r="C1237">
        <v>0</v>
      </c>
      <c r="D1237">
        <v>0</v>
      </c>
      <c r="E1237">
        <v>0</v>
      </c>
      <c r="F1237">
        <v>0</v>
      </c>
      <c r="G1237" t="s">
        <v>428</v>
      </c>
    </row>
    <row r="1238" spans="1:7" x14ac:dyDescent="0.35">
      <c r="A1238">
        <v>270</v>
      </c>
      <c r="B1238" t="s">
        <v>199</v>
      </c>
      <c r="C1238">
        <v>-305175</v>
      </c>
      <c r="D1238">
        <v>-5055696.33</v>
      </c>
      <c r="E1238">
        <v>-5360871.33</v>
      </c>
      <c r="F1238">
        <v>-305175</v>
      </c>
      <c r="G1238" t="s">
        <v>428</v>
      </c>
    </row>
    <row r="1239" spans="1:7" x14ac:dyDescent="0.35">
      <c r="A1239">
        <v>280</v>
      </c>
      <c r="B1239" t="s">
        <v>264</v>
      </c>
      <c r="C1239">
        <v>0</v>
      </c>
      <c r="D1239">
        <v>0</v>
      </c>
      <c r="E1239">
        <v>0</v>
      </c>
      <c r="F1239">
        <v>0</v>
      </c>
      <c r="G1239" t="s">
        <v>428</v>
      </c>
    </row>
    <row r="1240" spans="1:7" x14ac:dyDescent="0.35">
      <c r="A1240">
        <v>290</v>
      </c>
      <c r="B1240" t="s">
        <v>265</v>
      </c>
      <c r="C1240">
        <v>0</v>
      </c>
      <c r="D1240">
        <v>-35297829.619999997</v>
      </c>
      <c r="E1240">
        <v>-35297829.619999997</v>
      </c>
      <c r="F1240">
        <v>0</v>
      </c>
      <c r="G1240" t="s">
        <v>428</v>
      </c>
    </row>
    <row r="1241" spans="1:7" x14ac:dyDescent="0.35">
      <c r="A1241">
        <v>300</v>
      </c>
      <c r="B1241" t="s">
        <v>222</v>
      </c>
      <c r="C1241">
        <v>0</v>
      </c>
      <c r="D1241">
        <v>0</v>
      </c>
      <c r="E1241">
        <v>0</v>
      </c>
      <c r="F1241">
        <v>0</v>
      </c>
      <c r="G1241" t="s">
        <v>428</v>
      </c>
    </row>
    <row r="1242" spans="1:7" x14ac:dyDescent="0.35">
      <c r="A1242">
        <v>310</v>
      </c>
      <c r="B1242" t="s">
        <v>630</v>
      </c>
      <c r="C1242">
        <v>0</v>
      </c>
      <c r="D1242">
        <v>700</v>
      </c>
      <c r="E1242">
        <v>700</v>
      </c>
      <c r="F1242">
        <v>0</v>
      </c>
      <c r="G1242" t="s">
        <v>428</v>
      </c>
    </row>
    <row r="1243" spans="1:7" x14ac:dyDescent="0.35">
      <c r="A1243">
        <v>320</v>
      </c>
      <c r="B1243" t="s">
        <v>248</v>
      </c>
      <c r="C1243">
        <v>-818623.21</v>
      </c>
      <c r="D1243">
        <v>8855903.7899999991</v>
      </c>
      <c r="E1243">
        <v>8037280.5800000001</v>
      </c>
      <c r="F1243">
        <v>-818623.21</v>
      </c>
      <c r="G1243" t="s">
        <v>428</v>
      </c>
    </row>
    <row r="1244" spans="1:7" x14ac:dyDescent="0.35">
      <c r="A1244">
        <v>330</v>
      </c>
      <c r="B1244" t="s">
        <v>631</v>
      </c>
      <c r="C1244">
        <v>-124893.18</v>
      </c>
      <c r="D1244">
        <v>1901500.77</v>
      </c>
      <c r="E1244">
        <v>1776607.59</v>
      </c>
      <c r="F1244">
        <v>-124893.18</v>
      </c>
      <c r="G1244" t="s">
        <v>428</v>
      </c>
    </row>
    <row r="1245" spans="1:7" x14ac:dyDescent="0.35">
      <c r="A1245">
        <v>340</v>
      </c>
      <c r="B1245" t="s">
        <v>632</v>
      </c>
      <c r="C1245">
        <v>0</v>
      </c>
      <c r="D1245">
        <v>1016734.14</v>
      </c>
      <c r="E1245">
        <v>1016734.14</v>
      </c>
      <c r="F1245">
        <v>0</v>
      </c>
      <c r="G1245" t="s">
        <v>428</v>
      </c>
    </row>
    <row r="1246" spans="1:7" x14ac:dyDescent="0.35">
      <c r="A1246">
        <v>350</v>
      </c>
      <c r="B1246" t="s">
        <v>266</v>
      </c>
      <c r="C1246">
        <v>0</v>
      </c>
      <c r="D1246">
        <v>0</v>
      </c>
      <c r="E1246">
        <v>0</v>
      </c>
      <c r="F1246">
        <v>0</v>
      </c>
      <c r="G1246" t="s">
        <v>428</v>
      </c>
    </row>
    <row r="1247" spans="1:7" x14ac:dyDescent="0.35">
      <c r="A1247">
        <v>360</v>
      </c>
      <c r="B1247" t="s">
        <v>682</v>
      </c>
      <c r="C1247">
        <v>667374.66</v>
      </c>
      <c r="D1247">
        <v>22618386.989999998</v>
      </c>
      <c r="E1247">
        <v>23285761.649999999</v>
      </c>
      <c r="F1247">
        <v>667374.66</v>
      </c>
      <c r="G1247" t="s">
        <v>428</v>
      </c>
    </row>
    <row r="1248" spans="1:7" x14ac:dyDescent="0.35">
      <c r="A1248">
        <v>370</v>
      </c>
      <c r="B1248" t="s">
        <v>683</v>
      </c>
      <c r="C1248">
        <v>0</v>
      </c>
      <c r="D1248">
        <v>38386215.200000003</v>
      </c>
      <c r="E1248">
        <v>38386215.200000003</v>
      </c>
      <c r="F1248">
        <v>0</v>
      </c>
      <c r="G1248" t="s">
        <v>428</v>
      </c>
    </row>
    <row r="1249" spans="1:7" x14ac:dyDescent="0.35">
      <c r="A1249">
        <v>380</v>
      </c>
      <c r="B1249" t="s">
        <v>633</v>
      </c>
      <c r="C1249">
        <v>-3545819.01</v>
      </c>
      <c r="D1249">
        <v>-290428423.38999999</v>
      </c>
      <c r="E1249">
        <v>-293974242.39999998</v>
      </c>
      <c r="F1249">
        <v>-3545819.01</v>
      </c>
      <c r="G1249" t="s">
        <v>428</v>
      </c>
    </row>
    <row r="1250" spans="1:7" x14ac:dyDescent="0.35">
      <c r="A1250">
        <v>390</v>
      </c>
      <c r="B1250" t="s">
        <v>250</v>
      </c>
      <c r="C1250">
        <v>0</v>
      </c>
      <c r="D1250">
        <v>0</v>
      </c>
      <c r="E1250">
        <v>0</v>
      </c>
      <c r="F1250">
        <v>0</v>
      </c>
      <c r="G1250" t="s">
        <v>428</v>
      </c>
    </row>
    <row r="1251" spans="1:7" x14ac:dyDescent="0.35">
      <c r="A1251">
        <v>400</v>
      </c>
      <c r="B1251" t="s">
        <v>251</v>
      </c>
      <c r="C1251">
        <v>0</v>
      </c>
      <c r="D1251">
        <v>0</v>
      </c>
      <c r="E1251">
        <v>0</v>
      </c>
      <c r="F1251">
        <v>0</v>
      </c>
      <c r="G1251" t="s">
        <v>428</v>
      </c>
    </row>
    <row r="1252" spans="1:7" x14ac:dyDescent="0.35">
      <c r="A1252">
        <v>410</v>
      </c>
      <c r="B1252" t="s">
        <v>237</v>
      </c>
      <c r="C1252">
        <v>0</v>
      </c>
      <c r="D1252">
        <v>179026</v>
      </c>
      <c r="E1252">
        <v>179026</v>
      </c>
      <c r="F1252">
        <v>0</v>
      </c>
      <c r="G1252" t="s">
        <v>428</v>
      </c>
    </row>
    <row r="1253" spans="1:7" x14ac:dyDescent="0.35">
      <c r="A1253">
        <v>420</v>
      </c>
      <c r="B1253" t="s">
        <v>253</v>
      </c>
      <c r="C1253">
        <v>0</v>
      </c>
      <c r="D1253">
        <v>-41092.14</v>
      </c>
      <c r="E1253">
        <v>-41092.14</v>
      </c>
      <c r="F1253">
        <v>0</v>
      </c>
      <c r="G1253" t="s">
        <v>428</v>
      </c>
    </row>
    <row r="1254" spans="1:7" x14ac:dyDescent="0.35">
      <c r="A1254">
        <v>430</v>
      </c>
      <c r="B1254" t="s">
        <v>634</v>
      </c>
      <c r="C1254">
        <v>0</v>
      </c>
      <c r="D1254">
        <v>900282.88</v>
      </c>
      <c r="E1254">
        <v>900282.88</v>
      </c>
      <c r="F1254">
        <v>0</v>
      </c>
      <c r="G1254" t="s">
        <v>428</v>
      </c>
    </row>
    <row r="1255" spans="1:7" x14ac:dyDescent="0.35">
      <c r="A1255">
        <v>435</v>
      </c>
      <c r="B1255" t="s">
        <v>684</v>
      </c>
      <c r="C1255">
        <v>0</v>
      </c>
      <c r="D1255">
        <v>96976859.670000002</v>
      </c>
      <c r="E1255">
        <v>96976859.670000002</v>
      </c>
      <c r="F1255">
        <v>0</v>
      </c>
      <c r="G1255" t="s">
        <v>428</v>
      </c>
    </row>
    <row r="1256" spans="1:7" x14ac:dyDescent="0.35">
      <c r="A1256">
        <v>440</v>
      </c>
      <c r="B1256" t="s">
        <v>255</v>
      </c>
      <c r="C1256">
        <v>0</v>
      </c>
      <c r="D1256">
        <v>98015076.409999996</v>
      </c>
      <c r="E1256">
        <v>98015076.409999996</v>
      </c>
      <c r="F1256">
        <v>0</v>
      </c>
      <c r="G1256" t="s">
        <v>428</v>
      </c>
    </row>
    <row r="1257" spans="1:7" x14ac:dyDescent="0.35">
      <c r="A1257">
        <v>450</v>
      </c>
      <c r="B1257" t="s">
        <v>256</v>
      </c>
      <c r="C1257">
        <v>0</v>
      </c>
      <c r="D1257">
        <v>0</v>
      </c>
      <c r="E1257">
        <v>0</v>
      </c>
      <c r="F1257">
        <v>0</v>
      </c>
      <c r="G1257" t="s">
        <v>428</v>
      </c>
    </row>
    <row r="1258" spans="1:7" x14ac:dyDescent="0.35">
      <c r="A1258">
        <v>452</v>
      </c>
      <c r="B1258" t="s">
        <v>203</v>
      </c>
      <c r="C1258">
        <v>0</v>
      </c>
      <c r="D1258">
        <v>0</v>
      </c>
      <c r="E1258">
        <v>0</v>
      </c>
      <c r="F1258">
        <v>0</v>
      </c>
      <c r="G1258" t="s">
        <v>428</v>
      </c>
    </row>
    <row r="1259" spans="1:7" x14ac:dyDescent="0.35">
      <c r="A1259">
        <v>454</v>
      </c>
      <c r="B1259" t="s">
        <v>204</v>
      </c>
      <c r="C1259">
        <v>0</v>
      </c>
      <c r="D1259">
        <v>0</v>
      </c>
      <c r="E1259">
        <v>0</v>
      </c>
      <c r="F1259">
        <v>0</v>
      </c>
      <c r="G1259" t="s">
        <v>428</v>
      </c>
    </row>
    <row r="1260" spans="1:7" x14ac:dyDescent="0.35">
      <c r="A1260">
        <v>456</v>
      </c>
      <c r="B1260" t="s">
        <v>636</v>
      </c>
      <c r="C1260">
        <v>0</v>
      </c>
      <c r="D1260">
        <v>-67038.820000000007</v>
      </c>
      <c r="E1260">
        <v>-67038.820000000007</v>
      </c>
      <c r="F1260">
        <v>0</v>
      </c>
      <c r="G1260" t="s">
        <v>428</v>
      </c>
    </row>
    <row r="1261" spans="1:7" x14ac:dyDescent="0.35">
      <c r="A1261">
        <v>460</v>
      </c>
      <c r="B1261" t="s">
        <v>208</v>
      </c>
      <c r="C1261">
        <v>0</v>
      </c>
      <c r="D1261">
        <v>-159062.65</v>
      </c>
      <c r="E1261">
        <v>-159062.65</v>
      </c>
      <c r="F1261">
        <v>0</v>
      </c>
      <c r="G1261" t="s">
        <v>428</v>
      </c>
    </row>
    <row r="1262" spans="1:7" x14ac:dyDescent="0.35">
      <c r="A1262">
        <v>462</v>
      </c>
      <c r="B1262" t="s">
        <v>257</v>
      </c>
      <c r="C1262">
        <v>0</v>
      </c>
      <c r="D1262">
        <v>-51306.34</v>
      </c>
      <c r="E1262">
        <v>-51306.34</v>
      </c>
      <c r="F1262">
        <v>0</v>
      </c>
      <c r="G1262" t="s">
        <v>428</v>
      </c>
    </row>
    <row r="1263" spans="1:7" x14ac:dyDescent="0.35">
      <c r="A1263">
        <v>464</v>
      </c>
      <c r="B1263" t="s">
        <v>685</v>
      </c>
      <c r="C1263">
        <v>98.8</v>
      </c>
      <c r="D1263">
        <v>1679.6</v>
      </c>
      <c r="E1263">
        <v>1778.4</v>
      </c>
      <c r="F1263">
        <v>98.8</v>
      </c>
      <c r="G1263" t="s">
        <v>428</v>
      </c>
    </row>
    <row r="1264" spans="1:7" x14ac:dyDescent="0.35">
      <c r="A1264">
        <v>470</v>
      </c>
      <c r="B1264" t="s">
        <v>637</v>
      </c>
      <c r="C1264">
        <v>962.36</v>
      </c>
      <c r="D1264">
        <v>118051.83</v>
      </c>
      <c r="E1264">
        <v>119014.19</v>
      </c>
      <c r="F1264">
        <v>962.36</v>
      </c>
      <c r="G1264" t="s">
        <v>428</v>
      </c>
    </row>
    <row r="1265" spans="1:7" x14ac:dyDescent="0.35">
      <c r="A1265">
        <v>480</v>
      </c>
      <c r="B1265" t="s">
        <v>207</v>
      </c>
      <c r="C1265">
        <v>0</v>
      </c>
      <c r="D1265">
        <v>-715521.74</v>
      </c>
      <c r="E1265">
        <v>-715521.74</v>
      </c>
      <c r="F1265">
        <v>0</v>
      </c>
      <c r="G1265" t="s">
        <v>428</v>
      </c>
    </row>
    <row r="1266" spans="1:7" x14ac:dyDescent="0.35">
      <c r="A1266">
        <v>490</v>
      </c>
      <c r="B1266" t="s">
        <v>638</v>
      </c>
      <c r="C1266">
        <v>5814.51</v>
      </c>
      <c r="D1266">
        <v>257459.21</v>
      </c>
      <c r="E1266">
        <v>263273.71999999997</v>
      </c>
      <c r="F1266">
        <v>5814.51</v>
      </c>
      <c r="G1266" t="s">
        <v>428</v>
      </c>
    </row>
    <row r="1267" spans="1:7" x14ac:dyDescent="0.35">
      <c r="A1267">
        <v>500</v>
      </c>
      <c r="B1267" t="s">
        <v>206</v>
      </c>
      <c r="C1267">
        <v>0</v>
      </c>
      <c r="D1267">
        <v>-130985.44</v>
      </c>
      <c r="E1267">
        <v>-130985.44</v>
      </c>
      <c r="F1267">
        <v>0</v>
      </c>
      <c r="G1267" t="s">
        <v>428</v>
      </c>
    </row>
    <row r="1268" spans="1:7" x14ac:dyDescent="0.35">
      <c r="A1268">
        <v>510</v>
      </c>
      <c r="B1268" t="s">
        <v>639</v>
      </c>
      <c r="C1268">
        <v>0</v>
      </c>
      <c r="D1268">
        <v>27616.07</v>
      </c>
      <c r="E1268">
        <v>27616.07</v>
      </c>
      <c r="F1268">
        <v>0</v>
      </c>
      <c r="G1268" t="s">
        <v>428</v>
      </c>
    </row>
    <row r="1269" spans="1:7" x14ac:dyDescent="0.35">
      <c r="A1269">
        <v>512</v>
      </c>
      <c r="B1269" t="s">
        <v>686</v>
      </c>
      <c r="C1269">
        <v>0</v>
      </c>
      <c r="D1269">
        <v>-4185.18</v>
      </c>
      <c r="E1269">
        <v>-4185.18</v>
      </c>
      <c r="F1269">
        <v>0</v>
      </c>
      <c r="G1269" t="s">
        <v>428</v>
      </c>
    </row>
    <row r="1270" spans="1:7" x14ac:dyDescent="0.35">
      <c r="A1270">
        <v>514</v>
      </c>
      <c r="B1270" t="s">
        <v>687</v>
      </c>
      <c r="C1270">
        <v>0</v>
      </c>
      <c r="D1270">
        <v>-10000</v>
      </c>
      <c r="E1270">
        <v>-10000</v>
      </c>
      <c r="F1270">
        <v>0</v>
      </c>
      <c r="G1270" t="s">
        <v>428</v>
      </c>
    </row>
    <row r="1271" spans="1:7" x14ac:dyDescent="0.35">
      <c r="A1271">
        <v>516</v>
      </c>
      <c r="B1271" t="s">
        <v>688</v>
      </c>
      <c r="C1271">
        <v>0</v>
      </c>
      <c r="D1271">
        <v>0</v>
      </c>
      <c r="E1271">
        <v>0</v>
      </c>
      <c r="F1271">
        <v>0</v>
      </c>
      <c r="G1271" t="s">
        <v>428</v>
      </c>
    </row>
    <row r="1272" spans="1:7" x14ac:dyDescent="0.35">
      <c r="A1272">
        <v>518</v>
      </c>
      <c r="B1272" t="s">
        <v>689</v>
      </c>
      <c r="C1272">
        <v>0</v>
      </c>
      <c r="D1272">
        <v>0</v>
      </c>
      <c r="E1272">
        <v>0</v>
      </c>
      <c r="F1272">
        <v>0</v>
      </c>
      <c r="G1272" t="s">
        <v>428</v>
      </c>
    </row>
    <row r="1273" spans="1:7" x14ac:dyDescent="0.35">
      <c r="A1273">
        <v>520</v>
      </c>
      <c r="B1273" t="s">
        <v>262</v>
      </c>
      <c r="C1273">
        <v>6875.67</v>
      </c>
      <c r="D1273">
        <v>-733293.46</v>
      </c>
      <c r="E1273">
        <v>-726417.79</v>
      </c>
      <c r="F1273">
        <v>6875.67</v>
      </c>
      <c r="G1273" t="s">
        <v>428</v>
      </c>
    </row>
    <row r="1274" spans="1:7" x14ac:dyDescent="0.35">
      <c r="A1274">
        <v>530</v>
      </c>
      <c r="B1274" t="s">
        <v>263</v>
      </c>
      <c r="C1274">
        <v>-1101303.96</v>
      </c>
      <c r="D1274">
        <v>-193146640.44</v>
      </c>
      <c r="E1274">
        <v>-194247944.40000001</v>
      </c>
      <c r="F1274">
        <v>-1101303.96</v>
      </c>
      <c r="G1274" t="s">
        <v>428</v>
      </c>
    </row>
    <row r="1275" spans="1:7" x14ac:dyDescent="0.35">
      <c r="A1275" t="s">
        <v>503</v>
      </c>
      <c r="B1275" t="s">
        <v>416</v>
      </c>
      <c r="C1275" t="s">
        <v>608</v>
      </c>
      <c r="D1275" t="s">
        <v>609</v>
      </c>
      <c r="E1275" t="s">
        <v>610</v>
      </c>
      <c r="F1275" t="s">
        <v>611</v>
      </c>
      <c r="G1275" t="s">
        <v>121</v>
      </c>
    </row>
    <row r="1276" spans="1:7" x14ac:dyDescent="0.35">
      <c r="A1276">
        <v>10</v>
      </c>
      <c r="B1276" t="s">
        <v>612</v>
      </c>
      <c r="C1276">
        <v>0</v>
      </c>
      <c r="D1276">
        <v>0</v>
      </c>
      <c r="E1276">
        <v>0</v>
      </c>
      <c r="F1276">
        <v>0</v>
      </c>
      <c r="G1276" t="s">
        <v>428</v>
      </c>
    </row>
    <row r="1277" spans="1:7" x14ac:dyDescent="0.35">
      <c r="A1277">
        <v>20</v>
      </c>
      <c r="B1277" t="s">
        <v>427</v>
      </c>
      <c r="C1277">
        <v>311300.09999999998</v>
      </c>
      <c r="D1277">
        <v>0</v>
      </c>
      <c r="E1277">
        <v>311300.09999999998</v>
      </c>
      <c r="F1277">
        <v>311300.09999999998</v>
      </c>
      <c r="G1277" t="s">
        <v>428</v>
      </c>
    </row>
    <row r="1278" spans="1:7" x14ac:dyDescent="0.35">
      <c r="A1278">
        <v>30</v>
      </c>
      <c r="B1278" t="s">
        <v>613</v>
      </c>
      <c r="C1278">
        <v>837.12</v>
      </c>
      <c r="D1278">
        <v>0</v>
      </c>
      <c r="E1278">
        <v>837.12</v>
      </c>
      <c r="F1278">
        <v>837.12</v>
      </c>
      <c r="G1278" t="s">
        <v>428</v>
      </c>
    </row>
    <row r="1279" spans="1:7" x14ac:dyDescent="0.35">
      <c r="A1279">
        <v>35</v>
      </c>
      <c r="B1279" t="s">
        <v>614</v>
      </c>
      <c r="C1279">
        <v>310462.98</v>
      </c>
      <c r="D1279">
        <v>0</v>
      </c>
      <c r="E1279">
        <v>310462.98</v>
      </c>
      <c r="F1279">
        <v>310462.98</v>
      </c>
      <c r="G1279" t="s">
        <v>428</v>
      </c>
    </row>
    <row r="1280" spans="1:7" x14ac:dyDescent="0.35">
      <c r="A1280">
        <v>40</v>
      </c>
      <c r="B1280" t="s">
        <v>615</v>
      </c>
      <c r="C1280">
        <v>182570.84</v>
      </c>
      <c r="D1280">
        <v>0</v>
      </c>
      <c r="E1280">
        <v>182570.84</v>
      </c>
      <c r="F1280">
        <v>182570.84</v>
      </c>
      <c r="G1280" t="s">
        <v>428</v>
      </c>
    </row>
    <row r="1281" spans="1:7" x14ac:dyDescent="0.35">
      <c r="A1281">
        <v>50</v>
      </c>
      <c r="B1281" t="s">
        <v>616</v>
      </c>
      <c r="C1281">
        <v>0</v>
      </c>
      <c r="D1281">
        <v>0</v>
      </c>
      <c r="E1281">
        <v>0</v>
      </c>
      <c r="F1281">
        <v>0</v>
      </c>
      <c r="G1281" t="s">
        <v>428</v>
      </c>
    </row>
    <row r="1282" spans="1:7" x14ac:dyDescent="0.35">
      <c r="A1282">
        <v>60</v>
      </c>
      <c r="B1282" t="s">
        <v>617</v>
      </c>
      <c r="C1282">
        <v>127892.14</v>
      </c>
      <c r="D1282">
        <v>0</v>
      </c>
      <c r="E1282">
        <v>127892.14</v>
      </c>
      <c r="F1282">
        <v>127892.14</v>
      </c>
      <c r="G1282" t="s">
        <v>428</v>
      </c>
    </row>
    <row r="1283" spans="1:7" x14ac:dyDescent="0.35">
      <c r="A1283">
        <v>70</v>
      </c>
      <c r="B1283" t="s">
        <v>433</v>
      </c>
      <c r="C1283">
        <v>104836.7</v>
      </c>
      <c r="D1283">
        <v>0</v>
      </c>
      <c r="E1283">
        <v>104836.7</v>
      </c>
      <c r="F1283">
        <v>104836.7</v>
      </c>
      <c r="G1283" t="s">
        <v>428</v>
      </c>
    </row>
    <row r="1284" spans="1:7" x14ac:dyDescent="0.35">
      <c r="A1284">
        <v>80</v>
      </c>
      <c r="B1284" t="s">
        <v>434</v>
      </c>
      <c r="C1284">
        <v>7511.81</v>
      </c>
      <c r="D1284">
        <v>0</v>
      </c>
      <c r="E1284">
        <v>7511.81</v>
      </c>
      <c r="F1284">
        <v>7511.81</v>
      </c>
      <c r="G1284" t="s">
        <v>428</v>
      </c>
    </row>
    <row r="1285" spans="1:7" x14ac:dyDescent="0.35">
      <c r="A1285">
        <v>90</v>
      </c>
      <c r="B1285" t="s">
        <v>618</v>
      </c>
      <c r="C1285">
        <v>1124.99</v>
      </c>
      <c r="D1285">
        <v>0</v>
      </c>
      <c r="E1285">
        <v>1124.99</v>
      </c>
      <c r="F1285">
        <v>1124.99</v>
      </c>
      <c r="G1285" t="s">
        <v>428</v>
      </c>
    </row>
    <row r="1286" spans="1:7" x14ac:dyDescent="0.35">
      <c r="A1286">
        <v>100</v>
      </c>
      <c r="B1286" t="s">
        <v>619</v>
      </c>
      <c r="C1286">
        <v>14418.64</v>
      </c>
      <c r="D1286">
        <v>0</v>
      </c>
      <c r="E1286">
        <v>14418.64</v>
      </c>
      <c r="F1286">
        <v>14418.64</v>
      </c>
      <c r="G1286" t="s">
        <v>428</v>
      </c>
    </row>
    <row r="1287" spans="1:7" x14ac:dyDescent="0.35">
      <c r="A1287">
        <v>110</v>
      </c>
      <c r="B1287" t="s">
        <v>620</v>
      </c>
      <c r="C1287">
        <v>0</v>
      </c>
      <c r="D1287">
        <v>0</v>
      </c>
      <c r="E1287">
        <v>0</v>
      </c>
      <c r="F1287">
        <v>0</v>
      </c>
      <c r="G1287" t="s">
        <v>428</v>
      </c>
    </row>
    <row r="1288" spans="1:7" x14ac:dyDescent="0.35">
      <c r="A1288">
        <v>120</v>
      </c>
      <c r="B1288" t="s">
        <v>621</v>
      </c>
      <c r="C1288">
        <v>-1128.45</v>
      </c>
      <c r="D1288">
        <v>0</v>
      </c>
      <c r="E1288">
        <v>-1128.45</v>
      </c>
      <c r="F1288">
        <v>-1128.45</v>
      </c>
      <c r="G1288" t="s">
        <v>428</v>
      </c>
    </row>
    <row r="1289" spans="1:7" x14ac:dyDescent="0.35">
      <c r="A1289">
        <v>130</v>
      </c>
      <c r="B1289" t="s">
        <v>622</v>
      </c>
      <c r="C1289">
        <v>0</v>
      </c>
      <c r="D1289">
        <v>0</v>
      </c>
      <c r="E1289">
        <v>0</v>
      </c>
      <c r="F1289">
        <v>0</v>
      </c>
      <c r="G1289" t="s">
        <v>428</v>
      </c>
    </row>
    <row r="1290" spans="1:7" x14ac:dyDescent="0.35">
      <c r="A1290">
        <v>140</v>
      </c>
      <c r="B1290" t="s">
        <v>623</v>
      </c>
      <c r="C1290">
        <v>0</v>
      </c>
      <c r="D1290">
        <v>0</v>
      </c>
      <c r="E1290">
        <v>0</v>
      </c>
      <c r="F1290">
        <v>0</v>
      </c>
      <c r="G1290" t="s">
        <v>428</v>
      </c>
    </row>
    <row r="1291" spans="1:7" x14ac:dyDescent="0.35">
      <c r="A1291">
        <v>145</v>
      </c>
      <c r="B1291" t="s">
        <v>443</v>
      </c>
      <c r="C1291">
        <v>-1128.45</v>
      </c>
      <c r="D1291">
        <v>0</v>
      </c>
      <c r="E1291">
        <v>-1128.45</v>
      </c>
      <c r="F1291">
        <v>-1128.45</v>
      </c>
      <c r="G1291" t="s">
        <v>428</v>
      </c>
    </row>
    <row r="1292" spans="1:7" x14ac:dyDescent="0.35">
      <c r="A1292">
        <v>150</v>
      </c>
      <c r="B1292" t="s">
        <v>624</v>
      </c>
      <c r="C1292">
        <v>15547.09</v>
      </c>
      <c r="D1292">
        <v>0</v>
      </c>
      <c r="E1292">
        <v>15547.09</v>
      </c>
      <c r="F1292">
        <v>15547.09</v>
      </c>
      <c r="G1292" t="s">
        <v>428</v>
      </c>
    </row>
    <row r="1293" spans="1:7" x14ac:dyDescent="0.35">
      <c r="A1293">
        <v>160</v>
      </c>
      <c r="B1293" t="s">
        <v>625</v>
      </c>
      <c r="C1293">
        <v>0</v>
      </c>
      <c r="D1293">
        <v>0</v>
      </c>
      <c r="E1293">
        <v>0</v>
      </c>
      <c r="F1293">
        <v>0</v>
      </c>
      <c r="G1293" t="s">
        <v>428</v>
      </c>
    </row>
    <row r="1294" spans="1:7" x14ac:dyDescent="0.35">
      <c r="A1294">
        <v>170</v>
      </c>
      <c r="B1294" t="s">
        <v>447</v>
      </c>
      <c r="C1294">
        <v>15547.09</v>
      </c>
      <c r="D1294">
        <v>0</v>
      </c>
      <c r="E1294">
        <v>15547.09</v>
      </c>
      <c r="F1294">
        <v>15547.09</v>
      </c>
      <c r="G1294" t="s">
        <v>428</v>
      </c>
    </row>
    <row r="1295" spans="1:7" x14ac:dyDescent="0.35">
      <c r="A1295">
        <v>190</v>
      </c>
      <c r="B1295" t="s">
        <v>626</v>
      </c>
      <c r="C1295">
        <v>0</v>
      </c>
      <c r="D1295">
        <v>0</v>
      </c>
      <c r="E1295">
        <v>0</v>
      </c>
      <c r="F1295">
        <v>0</v>
      </c>
      <c r="G1295" t="s">
        <v>428</v>
      </c>
    </row>
    <row r="1296" spans="1:7" x14ac:dyDescent="0.35">
      <c r="A1296">
        <v>200</v>
      </c>
      <c r="B1296" t="s">
        <v>447</v>
      </c>
      <c r="C1296">
        <v>15547.09</v>
      </c>
      <c r="D1296">
        <v>0</v>
      </c>
      <c r="E1296">
        <v>15547.09</v>
      </c>
      <c r="F1296">
        <v>15547.09</v>
      </c>
      <c r="G1296" t="s">
        <v>428</v>
      </c>
    </row>
    <row r="1297" spans="1:7" x14ac:dyDescent="0.35">
      <c r="A1297">
        <v>210</v>
      </c>
      <c r="B1297" t="s">
        <v>247</v>
      </c>
      <c r="C1297">
        <v>15547.09</v>
      </c>
      <c r="D1297">
        <v>0</v>
      </c>
      <c r="E1297">
        <v>15547.09</v>
      </c>
      <c r="F1297">
        <v>15547.09</v>
      </c>
      <c r="G1297" t="s">
        <v>428</v>
      </c>
    </row>
    <row r="1298" spans="1:7" x14ac:dyDescent="0.35">
      <c r="A1298">
        <v>220</v>
      </c>
      <c r="B1298" t="s">
        <v>627</v>
      </c>
      <c r="C1298">
        <v>0</v>
      </c>
      <c r="D1298">
        <v>0</v>
      </c>
      <c r="E1298">
        <v>0</v>
      </c>
      <c r="F1298">
        <v>0</v>
      </c>
      <c r="G1298" t="s">
        <v>428</v>
      </c>
    </row>
    <row r="1299" spans="1:7" x14ac:dyDescent="0.35">
      <c r="A1299">
        <v>230</v>
      </c>
      <c r="B1299" t="s">
        <v>196</v>
      </c>
      <c r="C1299">
        <v>-14750.84</v>
      </c>
      <c r="D1299">
        <v>-10961.48</v>
      </c>
      <c r="E1299">
        <v>-25712.32</v>
      </c>
      <c r="F1299">
        <v>-14750.84</v>
      </c>
      <c r="G1299" t="s">
        <v>428</v>
      </c>
    </row>
    <row r="1300" spans="1:7" x14ac:dyDescent="0.35">
      <c r="A1300">
        <v>235</v>
      </c>
      <c r="B1300" t="s">
        <v>628</v>
      </c>
      <c r="C1300">
        <v>0</v>
      </c>
      <c r="D1300">
        <v>0</v>
      </c>
      <c r="E1300">
        <v>0</v>
      </c>
      <c r="F1300">
        <v>0</v>
      </c>
      <c r="G1300" t="s">
        <v>428</v>
      </c>
    </row>
    <row r="1301" spans="1:7" x14ac:dyDescent="0.35">
      <c r="A1301">
        <v>240</v>
      </c>
      <c r="B1301" t="s">
        <v>197</v>
      </c>
      <c r="C1301">
        <v>0</v>
      </c>
      <c r="D1301">
        <v>-4408.3999999999996</v>
      </c>
      <c r="E1301">
        <v>-4408.3999999999996</v>
      </c>
      <c r="F1301">
        <v>0</v>
      </c>
      <c r="G1301" t="s">
        <v>428</v>
      </c>
    </row>
    <row r="1302" spans="1:7" x14ac:dyDescent="0.35">
      <c r="A1302">
        <v>250</v>
      </c>
      <c r="B1302" t="s">
        <v>198</v>
      </c>
      <c r="C1302">
        <v>2056.96</v>
      </c>
      <c r="D1302">
        <v>-36539.78</v>
      </c>
      <c r="E1302">
        <v>-34482.82</v>
      </c>
      <c r="F1302">
        <v>2056.96</v>
      </c>
      <c r="G1302" t="s">
        <v>428</v>
      </c>
    </row>
    <row r="1303" spans="1:7" x14ac:dyDescent="0.35">
      <c r="A1303">
        <v>260</v>
      </c>
      <c r="B1303"/>
      <c r="C1303">
        <v>0</v>
      </c>
      <c r="D1303">
        <v>0</v>
      </c>
      <c r="E1303">
        <v>0</v>
      </c>
      <c r="F1303">
        <v>0</v>
      </c>
      <c r="G1303" t="s">
        <v>428</v>
      </c>
    </row>
    <row r="1304" spans="1:7" x14ac:dyDescent="0.35">
      <c r="A1304">
        <v>270</v>
      </c>
      <c r="B1304" t="s">
        <v>199</v>
      </c>
      <c r="C1304">
        <v>-9344.57</v>
      </c>
      <c r="D1304">
        <v>-35444.6</v>
      </c>
      <c r="E1304">
        <v>-44789.17</v>
      </c>
      <c r="F1304">
        <v>-9344.57</v>
      </c>
      <c r="G1304" t="s">
        <v>428</v>
      </c>
    </row>
    <row r="1305" spans="1:7" x14ac:dyDescent="0.35">
      <c r="A1305">
        <v>300</v>
      </c>
      <c r="B1305" t="s">
        <v>222</v>
      </c>
      <c r="C1305">
        <v>27590.13</v>
      </c>
      <c r="D1305">
        <v>16457.55</v>
      </c>
      <c r="E1305">
        <v>44047.68</v>
      </c>
      <c r="F1305">
        <v>27590.13</v>
      </c>
      <c r="G1305" t="s">
        <v>428</v>
      </c>
    </row>
    <row r="1306" spans="1:7" x14ac:dyDescent="0.35">
      <c r="A1306">
        <v>310</v>
      </c>
      <c r="B1306" t="s">
        <v>630</v>
      </c>
      <c r="C1306">
        <v>0</v>
      </c>
      <c r="D1306">
        <v>0</v>
      </c>
      <c r="E1306">
        <v>0</v>
      </c>
      <c r="F1306">
        <v>0</v>
      </c>
      <c r="G1306" t="s">
        <v>428</v>
      </c>
    </row>
    <row r="1307" spans="1:7" x14ac:dyDescent="0.35">
      <c r="A1307">
        <v>320</v>
      </c>
      <c r="B1307" t="s">
        <v>248</v>
      </c>
      <c r="C1307">
        <v>0</v>
      </c>
      <c r="D1307">
        <v>5421.37</v>
      </c>
      <c r="E1307">
        <v>5421.37</v>
      </c>
      <c r="F1307">
        <v>0</v>
      </c>
      <c r="G1307" t="s">
        <v>428</v>
      </c>
    </row>
    <row r="1308" spans="1:7" x14ac:dyDescent="0.35">
      <c r="A1308">
        <v>325</v>
      </c>
      <c r="B1308" t="s">
        <v>249</v>
      </c>
      <c r="C1308">
        <v>-79076.37</v>
      </c>
      <c r="D1308">
        <v>101518.06</v>
      </c>
      <c r="E1308">
        <v>22441.69</v>
      </c>
      <c r="F1308">
        <v>-79076.37</v>
      </c>
      <c r="G1308" t="s">
        <v>428</v>
      </c>
    </row>
    <row r="1309" spans="1:7" x14ac:dyDescent="0.35">
      <c r="A1309">
        <v>330</v>
      </c>
      <c r="B1309" t="s">
        <v>690</v>
      </c>
      <c r="C1309">
        <v>-230000</v>
      </c>
      <c r="D1309">
        <v>1693158.95</v>
      </c>
      <c r="E1309">
        <v>1463158.95</v>
      </c>
      <c r="F1309">
        <v>-230000</v>
      </c>
      <c r="G1309" t="s">
        <v>428</v>
      </c>
    </row>
    <row r="1310" spans="1:7" x14ac:dyDescent="0.35">
      <c r="A1310">
        <v>340</v>
      </c>
      <c r="B1310" t="s">
        <v>632</v>
      </c>
      <c r="C1310">
        <v>66.45</v>
      </c>
      <c r="D1310">
        <v>38255.449999999997</v>
      </c>
      <c r="E1310">
        <v>38321.9</v>
      </c>
      <c r="F1310">
        <v>66.45</v>
      </c>
      <c r="G1310" t="s">
        <v>428</v>
      </c>
    </row>
    <row r="1311" spans="1:7" x14ac:dyDescent="0.35">
      <c r="A1311">
        <v>380</v>
      </c>
      <c r="B1311" t="s">
        <v>633</v>
      </c>
      <c r="C1311">
        <v>-303458.24</v>
      </c>
      <c r="D1311">
        <v>1767457.12</v>
      </c>
      <c r="E1311">
        <v>1463998.88</v>
      </c>
      <c r="F1311">
        <v>-303458.24</v>
      </c>
      <c r="G1311" t="s">
        <v>428</v>
      </c>
    </row>
    <row r="1312" spans="1:7" x14ac:dyDescent="0.35">
      <c r="A1312">
        <v>390</v>
      </c>
      <c r="B1312" t="s">
        <v>250</v>
      </c>
      <c r="C1312">
        <v>0</v>
      </c>
      <c r="D1312">
        <v>0</v>
      </c>
      <c r="E1312">
        <v>0</v>
      </c>
      <c r="F1312">
        <v>0</v>
      </c>
      <c r="G1312" t="s">
        <v>428</v>
      </c>
    </row>
    <row r="1313" spans="1:7" x14ac:dyDescent="0.35">
      <c r="A1313">
        <v>400</v>
      </c>
      <c r="B1313" t="s">
        <v>251</v>
      </c>
      <c r="C1313">
        <v>0</v>
      </c>
      <c r="D1313">
        <v>0</v>
      </c>
      <c r="E1313">
        <v>0</v>
      </c>
      <c r="F1313">
        <v>0</v>
      </c>
      <c r="G1313" t="s">
        <v>428</v>
      </c>
    </row>
    <row r="1314" spans="1:7" x14ac:dyDescent="0.35">
      <c r="A1314">
        <v>405</v>
      </c>
      <c r="B1314" t="s">
        <v>252</v>
      </c>
      <c r="C1314">
        <v>0</v>
      </c>
      <c r="D1314">
        <v>216900</v>
      </c>
      <c r="E1314">
        <v>216900</v>
      </c>
      <c r="F1314">
        <v>0</v>
      </c>
      <c r="G1314" t="s">
        <v>428</v>
      </c>
    </row>
    <row r="1315" spans="1:7" x14ac:dyDescent="0.35">
      <c r="A1315">
        <v>410</v>
      </c>
      <c r="B1315" t="s">
        <v>237</v>
      </c>
      <c r="C1315">
        <v>0</v>
      </c>
      <c r="D1315">
        <v>1000</v>
      </c>
      <c r="E1315">
        <v>1000</v>
      </c>
      <c r="F1315">
        <v>0</v>
      </c>
      <c r="G1315" t="s">
        <v>428</v>
      </c>
    </row>
    <row r="1316" spans="1:7" x14ac:dyDescent="0.35">
      <c r="A1316">
        <v>420</v>
      </c>
      <c r="B1316" t="s">
        <v>253</v>
      </c>
      <c r="C1316">
        <v>0</v>
      </c>
      <c r="D1316">
        <v>0</v>
      </c>
      <c r="E1316">
        <v>0</v>
      </c>
      <c r="F1316">
        <v>0</v>
      </c>
      <c r="G1316" t="s">
        <v>428</v>
      </c>
    </row>
    <row r="1317" spans="1:7" x14ac:dyDescent="0.35">
      <c r="A1317">
        <v>425</v>
      </c>
      <c r="B1317" t="s">
        <v>634</v>
      </c>
      <c r="C1317">
        <v>0</v>
      </c>
      <c r="D1317">
        <v>0</v>
      </c>
      <c r="E1317">
        <v>0</v>
      </c>
      <c r="F1317">
        <v>0</v>
      </c>
      <c r="G1317" t="s">
        <v>428</v>
      </c>
    </row>
    <row r="1318" spans="1:7" x14ac:dyDescent="0.35">
      <c r="A1318">
        <v>427</v>
      </c>
      <c r="B1318" t="s">
        <v>635</v>
      </c>
      <c r="C1318">
        <v>0</v>
      </c>
      <c r="D1318">
        <v>0</v>
      </c>
      <c r="E1318">
        <v>0</v>
      </c>
      <c r="F1318">
        <v>0</v>
      </c>
      <c r="G1318" t="s">
        <v>428</v>
      </c>
    </row>
    <row r="1319" spans="1:7" x14ac:dyDescent="0.35">
      <c r="A1319">
        <v>430</v>
      </c>
      <c r="B1319" t="s">
        <v>254</v>
      </c>
      <c r="C1319">
        <v>0</v>
      </c>
      <c r="D1319">
        <v>-1085500.29</v>
      </c>
      <c r="E1319">
        <v>-1085500.29</v>
      </c>
      <c r="F1319">
        <v>0</v>
      </c>
      <c r="G1319" t="s">
        <v>428</v>
      </c>
    </row>
    <row r="1320" spans="1:7" x14ac:dyDescent="0.35">
      <c r="A1320">
        <v>440</v>
      </c>
      <c r="B1320" t="s">
        <v>255</v>
      </c>
      <c r="C1320">
        <v>0</v>
      </c>
      <c r="D1320">
        <v>-867600.29</v>
      </c>
      <c r="E1320">
        <v>-867600.29</v>
      </c>
      <c r="F1320">
        <v>0</v>
      </c>
      <c r="G1320" t="s">
        <v>428</v>
      </c>
    </row>
    <row r="1321" spans="1:7" x14ac:dyDescent="0.35">
      <c r="A1321">
        <v>450</v>
      </c>
      <c r="B1321" t="s">
        <v>256</v>
      </c>
      <c r="C1321">
        <v>0</v>
      </c>
      <c r="D1321">
        <v>0</v>
      </c>
      <c r="E1321">
        <v>0</v>
      </c>
      <c r="F1321">
        <v>0</v>
      </c>
      <c r="G1321" t="s">
        <v>428</v>
      </c>
    </row>
    <row r="1322" spans="1:7" x14ac:dyDescent="0.35">
      <c r="A1322">
        <v>455</v>
      </c>
      <c r="B1322" t="s">
        <v>204</v>
      </c>
      <c r="C1322">
        <v>0</v>
      </c>
      <c r="D1322">
        <v>0</v>
      </c>
      <c r="E1322">
        <v>0</v>
      </c>
      <c r="F1322">
        <v>0</v>
      </c>
      <c r="G1322" t="s">
        <v>428</v>
      </c>
    </row>
    <row r="1323" spans="1:7" x14ac:dyDescent="0.35">
      <c r="A1323">
        <v>456</v>
      </c>
      <c r="B1323" t="s">
        <v>636</v>
      </c>
      <c r="C1323">
        <v>0</v>
      </c>
      <c r="D1323">
        <v>10663.87</v>
      </c>
      <c r="E1323">
        <v>10663.87</v>
      </c>
      <c r="F1323">
        <v>0</v>
      </c>
      <c r="G1323" t="s">
        <v>428</v>
      </c>
    </row>
    <row r="1324" spans="1:7" x14ac:dyDescent="0.35">
      <c r="A1324">
        <v>460</v>
      </c>
      <c r="B1324" t="s">
        <v>208</v>
      </c>
      <c r="C1324">
        <v>0</v>
      </c>
      <c r="D1324">
        <v>-288122.84000000003</v>
      </c>
      <c r="E1324">
        <v>-288122.84000000003</v>
      </c>
      <c r="F1324">
        <v>0</v>
      </c>
      <c r="G1324" t="s">
        <v>428</v>
      </c>
    </row>
    <row r="1325" spans="1:7" x14ac:dyDescent="0.35">
      <c r="A1325">
        <v>470</v>
      </c>
      <c r="B1325" t="s">
        <v>637</v>
      </c>
      <c r="C1325">
        <v>325.64</v>
      </c>
      <c r="D1325">
        <v>190434.78</v>
      </c>
      <c r="E1325">
        <v>190760.42</v>
      </c>
      <c r="F1325">
        <v>325.64</v>
      </c>
      <c r="G1325" t="s">
        <v>428</v>
      </c>
    </row>
    <row r="1326" spans="1:7" x14ac:dyDescent="0.35">
      <c r="A1326">
        <v>480</v>
      </c>
      <c r="B1326" t="s">
        <v>207</v>
      </c>
      <c r="C1326">
        <v>0</v>
      </c>
      <c r="D1326">
        <v>-13041.23</v>
      </c>
      <c r="E1326">
        <v>-13041.23</v>
      </c>
      <c r="F1326">
        <v>0</v>
      </c>
      <c r="G1326" t="s">
        <v>428</v>
      </c>
    </row>
    <row r="1327" spans="1:7" x14ac:dyDescent="0.35">
      <c r="A1327">
        <v>490</v>
      </c>
      <c r="B1327" t="s">
        <v>638</v>
      </c>
      <c r="C1327">
        <v>0</v>
      </c>
      <c r="D1327">
        <v>13221.78</v>
      </c>
      <c r="E1327">
        <v>13221.78</v>
      </c>
      <c r="F1327">
        <v>0</v>
      </c>
      <c r="G1327" t="s">
        <v>428</v>
      </c>
    </row>
    <row r="1328" spans="1:7" x14ac:dyDescent="0.35">
      <c r="A1328">
        <v>500</v>
      </c>
      <c r="B1328" t="s">
        <v>206</v>
      </c>
      <c r="C1328">
        <v>0</v>
      </c>
      <c r="D1328">
        <v>0</v>
      </c>
      <c r="E1328">
        <v>0</v>
      </c>
      <c r="F1328">
        <v>0</v>
      </c>
      <c r="G1328" t="s">
        <v>428</v>
      </c>
    </row>
    <row r="1329" spans="1:7" x14ac:dyDescent="0.35">
      <c r="A1329">
        <v>510</v>
      </c>
      <c r="B1329" t="s">
        <v>639</v>
      </c>
      <c r="C1329">
        <v>799.35</v>
      </c>
      <c r="D1329">
        <v>212576.55</v>
      </c>
      <c r="E1329">
        <v>213375.9</v>
      </c>
      <c r="F1329">
        <v>799.35</v>
      </c>
      <c r="G1329" t="s">
        <v>428</v>
      </c>
    </row>
    <row r="1330" spans="1:7" x14ac:dyDescent="0.35">
      <c r="A1330">
        <v>512</v>
      </c>
      <c r="B1330" t="s">
        <v>257</v>
      </c>
      <c r="C1330">
        <v>0</v>
      </c>
      <c r="D1330">
        <v>0</v>
      </c>
      <c r="E1330">
        <v>0</v>
      </c>
      <c r="F1330">
        <v>0</v>
      </c>
      <c r="G1330" t="s">
        <v>428</v>
      </c>
    </row>
    <row r="1331" spans="1:7" x14ac:dyDescent="0.35">
      <c r="A1331">
        <v>514</v>
      </c>
      <c r="B1331" t="s">
        <v>640</v>
      </c>
      <c r="C1331">
        <v>0</v>
      </c>
      <c r="D1331">
        <v>0</v>
      </c>
      <c r="E1331">
        <v>0</v>
      </c>
      <c r="F1331">
        <v>0</v>
      </c>
      <c r="G1331" t="s">
        <v>428</v>
      </c>
    </row>
    <row r="1332" spans="1:7" x14ac:dyDescent="0.35">
      <c r="A1332">
        <v>520</v>
      </c>
      <c r="B1332" t="s">
        <v>641</v>
      </c>
      <c r="C1332">
        <v>0</v>
      </c>
      <c r="D1332">
        <v>-2930.52</v>
      </c>
      <c r="E1332">
        <v>-2930.52</v>
      </c>
      <c r="F1332">
        <v>0</v>
      </c>
      <c r="G1332" t="s">
        <v>428</v>
      </c>
    </row>
    <row r="1333" spans="1:7" x14ac:dyDescent="0.35">
      <c r="A1333">
        <v>530</v>
      </c>
      <c r="B1333" t="s">
        <v>642</v>
      </c>
      <c r="C1333">
        <v>0</v>
      </c>
      <c r="D1333">
        <v>0</v>
      </c>
      <c r="E1333">
        <v>0</v>
      </c>
      <c r="F1333">
        <v>0</v>
      </c>
      <c r="G1333" t="s">
        <v>428</v>
      </c>
    </row>
    <row r="1334" spans="1:7" x14ac:dyDescent="0.35">
      <c r="A1334">
        <v>540</v>
      </c>
      <c r="B1334" t="s">
        <v>643</v>
      </c>
      <c r="C1334">
        <v>0</v>
      </c>
      <c r="D1334">
        <v>-97000</v>
      </c>
      <c r="E1334">
        <v>-97000</v>
      </c>
      <c r="F1334">
        <v>0</v>
      </c>
      <c r="G1334" t="s">
        <v>428</v>
      </c>
    </row>
    <row r="1335" spans="1:7" x14ac:dyDescent="0.35">
      <c r="A1335">
        <v>550</v>
      </c>
      <c r="B1335" t="s">
        <v>644</v>
      </c>
      <c r="C1335">
        <v>0</v>
      </c>
      <c r="D1335">
        <v>0</v>
      </c>
      <c r="E1335">
        <v>0</v>
      </c>
      <c r="F1335">
        <v>0</v>
      </c>
      <c r="G1335" t="s">
        <v>428</v>
      </c>
    </row>
    <row r="1336" spans="1:7" x14ac:dyDescent="0.35">
      <c r="A1336">
        <v>560</v>
      </c>
      <c r="B1336" t="s">
        <v>645</v>
      </c>
      <c r="C1336">
        <v>0</v>
      </c>
      <c r="D1336">
        <v>-75000</v>
      </c>
      <c r="E1336">
        <v>-75000</v>
      </c>
      <c r="F1336">
        <v>0</v>
      </c>
      <c r="G1336" t="s">
        <v>428</v>
      </c>
    </row>
    <row r="1337" spans="1:7" x14ac:dyDescent="0.35">
      <c r="A1337">
        <v>570</v>
      </c>
      <c r="B1337" t="s">
        <v>646</v>
      </c>
      <c r="C1337">
        <v>0</v>
      </c>
      <c r="D1337">
        <v>81006.12</v>
      </c>
      <c r="E1337">
        <v>81006.12</v>
      </c>
      <c r="F1337">
        <v>0</v>
      </c>
      <c r="G1337" t="s">
        <v>428</v>
      </c>
    </row>
    <row r="1338" spans="1:7" x14ac:dyDescent="0.35">
      <c r="A1338">
        <v>580</v>
      </c>
      <c r="B1338" t="s">
        <v>258</v>
      </c>
      <c r="C1338">
        <v>0</v>
      </c>
      <c r="D1338">
        <v>0</v>
      </c>
      <c r="E1338">
        <v>0</v>
      </c>
      <c r="F1338">
        <v>0</v>
      </c>
      <c r="G1338" t="s">
        <v>428</v>
      </c>
    </row>
    <row r="1339" spans="1:7" x14ac:dyDescent="0.35">
      <c r="A1339">
        <v>590</v>
      </c>
      <c r="B1339" t="s">
        <v>647</v>
      </c>
      <c r="C1339">
        <v>0</v>
      </c>
      <c r="D1339">
        <v>0</v>
      </c>
      <c r="E1339">
        <v>0</v>
      </c>
      <c r="F1339">
        <v>0</v>
      </c>
      <c r="G1339" t="s">
        <v>428</v>
      </c>
    </row>
    <row r="1340" spans="1:7" x14ac:dyDescent="0.35">
      <c r="A1340">
        <v>600</v>
      </c>
      <c r="B1340" t="s">
        <v>259</v>
      </c>
      <c r="C1340">
        <v>0</v>
      </c>
      <c r="D1340">
        <v>-444578.11</v>
      </c>
      <c r="E1340">
        <v>-444578.11</v>
      </c>
      <c r="F1340">
        <v>0</v>
      </c>
      <c r="G1340" t="s">
        <v>428</v>
      </c>
    </row>
    <row r="1341" spans="1:7" x14ac:dyDescent="0.35">
      <c r="A1341">
        <v>610</v>
      </c>
      <c r="B1341" t="s">
        <v>648</v>
      </c>
      <c r="C1341">
        <v>0</v>
      </c>
      <c r="D1341">
        <v>4877.16</v>
      </c>
      <c r="E1341">
        <v>4877.16</v>
      </c>
      <c r="F1341">
        <v>0</v>
      </c>
      <c r="G1341" t="s">
        <v>428</v>
      </c>
    </row>
    <row r="1342" spans="1:7" x14ac:dyDescent="0.35">
      <c r="A1342">
        <v>615</v>
      </c>
      <c r="B1342" t="s">
        <v>673</v>
      </c>
      <c r="C1342">
        <v>0</v>
      </c>
      <c r="D1342">
        <v>-141511.09</v>
      </c>
      <c r="E1342">
        <v>-141511.09</v>
      </c>
      <c r="F1342">
        <v>0</v>
      </c>
      <c r="G1342" t="s">
        <v>428</v>
      </c>
    </row>
    <row r="1343" spans="1:7" x14ac:dyDescent="0.35">
      <c r="A1343">
        <v>620</v>
      </c>
      <c r="B1343" t="s">
        <v>260</v>
      </c>
      <c r="C1343">
        <v>0</v>
      </c>
      <c r="D1343">
        <v>0</v>
      </c>
      <c r="E1343">
        <v>0</v>
      </c>
      <c r="F1343">
        <v>0</v>
      </c>
      <c r="G1343" t="s">
        <v>428</v>
      </c>
    </row>
    <row r="1344" spans="1:7" x14ac:dyDescent="0.35">
      <c r="A1344">
        <v>630</v>
      </c>
      <c r="B1344" t="s">
        <v>261</v>
      </c>
      <c r="C1344">
        <v>0</v>
      </c>
      <c r="D1344">
        <v>-56769</v>
      </c>
      <c r="E1344">
        <v>-56769</v>
      </c>
      <c r="F1344">
        <v>0</v>
      </c>
      <c r="G1344" t="s">
        <v>428</v>
      </c>
    </row>
    <row r="1345" spans="1:7" x14ac:dyDescent="0.35">
      <c r="A1345">
        <v>635</v>
      </c>
      <c r="B1345" t="s">
        <v>674</v>
      </c>
      <c r="C1345">
        <v>0</v>
      </c>
      <c r="D1345">
        <v>-13041.23</v>
      </c>
      <c r="E1345">
        <v>-13041.23</v>
      </c>
      <c r="F1345">
        <v>0</v>
      </c>
      <c r="G1345" t="s">
        <v>428</v>
      </c>
    </row>
    <row r="1346" spans="1:7" x14ac:dyDescent="0.35">
      <c r="A1346">
        <v>640</v>
      </c>
      <c r="B1346" t="s">
        <v>262</v>
      </c>
      <c r="C1346">
        <v>1124.99</v>
      </c>
      <c r="D1346">
        <v>-619213.76</v>
      </c>
      <c r="E1346">
        <v>-618088.77</v>
      </c>
      <c r="F1346">
        <v>1124.99</v>
      </c>
      <c r="G1346" t="s">
        <v>428</v>
      </c>
    </row>
    <row r="1347" spans="1:7" x14ac:dyDescent="0.35">
      <c r="A1347">
        <v>650</v>
      </c>
      <c r="B1347" t="s">
        <v>263</v>
      </c>
      <c r="C1347">
        <v>-286786.15999999997</v>
      </c>
      <c r="D1347">
        <v>280643.07</v>
      </c>
      <c r="E1347">
        <v>-6143.09</v>
      </c>
      <c r="F1347">
        <v>-286786.15999999997</v>
      </c>
      <c r="G1347" t="s">
        <v>428</v>
      </c>
    </row>
    <row r="1348" spans="1:7" x14ac:dyDescent="0.35">
      <c r="A1348" t="s">
        <v>524</v>
      </c>
      <c r="B1348" t="s">
        <v>416</v>
      </c>
      <c r="C1348" t="s">
        <v>608</v>
      </c>
      <c r="D1348" t="s">
        <v>609</v>
      </c>
      <c r="E1348" t="s">
        <v>610</v>
      </c>
      <c r="F1348" t="s">
        <v>611</v>
      </c>
      <c r="G1348" t="s">
        <v>121</v>
      </c>
    </row>
    <row r="1349" spans="1:7" x14ac:dyDescent="0.35">
      <c r="A1349">
        <v>10</v>
      </c>
      <c r="B1349" t="s">
        <v>612</v>
      </c>
      <c r="C1349">
        <v>0</v>
      </c>
      <c r="D1349">
        <v>0</v>
      </c>
      <c r="E1349">
        <v>0</v>
      </c>
      <c r="F1349">
        <v>0</v>
      </c>
      <c r="G1349" t="s">
        <v>428</v>
      </c>
    </row>
    <row r="1350" spans="1:7" x14ac:dyDescent="0.35">
      <c r="A1350">
        <v>20</v>
      </c>
      <c r="B1350" t="s">
        <v>427</v>
      </c>
      <c r="C1350">
        <v>605912.84</v>
      </c>
      <c r="D1350">
        <v>0</v>
      </c>
      <c r="E1350">
        <v>605912.84</v>
      </c>
      <c r="F1350">
        <v>605912.84</v>
      </c>
      <c r="G1350" t="s">
        <v>428</v>
      </c>
    </row>
    <row r="1351" spans="1:7" x14ac:dyDescent="0.35">
      <c r="A1351">
        <v>30</v>
      </c>
      <c r="B1351" t="s">
        <v>613</v>
      </c>
      <c r="C1351">
        <v>589.30999999999995</v>
      </c>
      <c r="D1351">
        <v>0</v>
      </c>
      <c r="E1351">
        <v>589.30999999999995</v>
      </c>
      <c r="F1351">
        <v>589.30999999999995</v>
      </c>
      <c r="G1351" t="s">
        <v>428</v>
      </c>
    </row>
    <row r="1352" spans="1:7" x14ac:dyDescent="0.35">
      <c r="A1352">
        <v>35</v>
      </c>
      <c r="B1352" t="s">
        <v>614</v>
      </c>
      <c r="C1352">
        <v>605323.53</v>
      </c>
      <c r="D1352">
        <v>0</v>
      </c>
      <c r="E1352">
        <v>605323.53</v>
      </c>
      <c r="F1352">
        <v>605323.53</v>
      </c>
      <c r="G1352" t="s">
        <v>428</v>
      </c>
    </row>
    <row r="1353" spans="1:7" x14ac:dyDescent="0.35">
      <c r="A1353">
        <v>40</v>
      </c>
      <c r="B1353" t="s">
        <v>615</v>
      </c>
      <c r="C1353">
        <v>349627.66</v>
      </c>
      <c r="D1353">
        <v>0</v>
      </c>
      <c r="E1353">
        <v>349627.66</v>
      </c>
      <c r="F1353">
        <v>349627.66</v>
      </c>
      <c r="G1353" t="s">
        <v>428</v>
      </c>
    </row>
    <row r="1354" spans="1:7" x14ac:dyDescent="0.35">
      <c r="A1354">
        <v>50</v>
      </c>
      <c r="B1354" t="s">
        <v>616</v>
      </c>
      <c r="C1354">
        <v>0</v>
      </c>
      <c r="D1354">
        <v>0</v>
      </c>
      <c r="E1354">
        <v>0</v>
      </c>
      <c r="F1354">
        <v>0</v>
      </c>
      <c r="G1354" t="s">
        <v>428</v>
      </c>
    </row>
    <row r="1355" spans="1:7" x14ac:dyDescent="0.35">
      <c r="A1355">
        <v>60</v>
      </c>
      <c r="B1355" t="s">
        <v>617</v>
      </c>
      <c r="C1355">
        <v>255695.87</v>
      </c>
      <c r="D1355">
        <v>0</v>
      </c>
      <c r="E1355">
        <v>255695.87</v>
      </c>
      <c r="F1355">
        <v>255695.87</v>
      </c>
      <c r="G1355" t="s">
        <v>428</v>
      </c>
    </row>
    <row r="1356" spans="1:7" x14ac:dyDescent="0.35">
      <c r="A1356">
        <v>70</v>
      </c>
      <c r="B1356" t="s">
        <v>433</v>
      </c>
      <c r="C1356">
        <v>218501.99</v>
      </c>
      <c r="D1356">
        <v>0</v>
      </c>
      <c r="E1356">
        <v>218501.99</v>
      </c>
      <c r="F1356">
        <v>218501.99</v>
      </c>
      <c r="G1356" t="s">
        <v>428</v>
      </c>
    </row>
    <row r="1357" spans="1:7" x14ac:dyDescent="0.35">
      <c r="A1357">
        <v>80</v>
      </c>
      <c r="B1357" t="s">
        <v>434</v>
      </c>
      <c r="C1357">
        <v>12149.26</v>
      </c>
      <c r="D1357">
        <v>0</v>
      </c>
      <c r="E1357">
        <v>12149.26</v>
      </c>
      <c r="F1357">
        <v>12149.26</v>
      </c>
      <c r="G1357" t="s">
        <v>428</v>
      </c>
    </row>
    <row r="1358" spans="1:7" x14ac:dyDescent="0.35">
      <c r="A1358">
        <v>90</v>
      </c>
      <c r="B1358" t="s">
        <v>618</v>
      </c>
      <c r="C1358">
        <v>6063.4</v>
      </c>
      <c r="D1358">
        <v>0</v>
      </c>
      <c r="E1358">
        <v>6063.4</v>
      </c>
      <c r="F1358">
        <v>6063.4</v>
      </c>
      <c r="G1358" t="s">
        <v>428</v>
      </c>
    </row>
    <row r="1359" spans="1:7" x14ac:dyDescent="0.35">
      <c r="A1359">
        <v>100</v>
      </c>
      <c r="B1359" t="s">
        <v>619</v>
      </c>
      <c r="C1359">
        <v>18981.22</v>
      </c>
      <c r="D1359">
        <v>0</v>
      </c>
      <c r="E1359">
        <v>18981.22</v>
      </c>
      <c r="F1359">
        <v>18981.22</v>
      </c>
      <c r="G1359" t="s">
        <v>428</v>
      </c>
    </row>
    <row r="1360" spans="1:7" x14ac:dyDescent="0.35">
      <c r="A1360">
        <v>110</v>
      </c>
      <c r="B1360" t="s">
        <v>620</v>
      </c>
      <c r="C1360">
        <v>0</v>
      </c>
      <c r="D1360">
        <v>0</v>
      </c>
      <c r="E1360">
        <v>0</v>
      </c>
      <c r="F1360">
        <v>0</v>
      </c>
      <c r="G1360" t="s">
        <v>428</v>
      </c>
    </row>
    <row r="1361" spans="1:7" x14ac:dyDescent="0.35">
      <c r="A1361">
        <v>120</v>
      </c>
      <c r="B1361" t="s">
        <v>621</v>
      </c>
      <c r="C1361">
        <v>-4149.3</v>
      </c>
      <c r="D1361">
        <v>0</v>
      </c>
      <c r="E1361">
        <v>-4149.3</v>
      </c>
      <c r="F1361">
        <v>-4149.3</v>
      </c>
      <c r="G1361" t="s">
        <v>428</v>
      </c>
    </row>
    <row r="1362" spans="1:7" x14ac:dyDescent="0.35">
      <c r="A1362">
        <v>130</v>
      </c>
      <c r="B1362" t="s">
        <v>622</v>
      </c>
      <c r="C1362">
        <v>0</v>
      </c>
      <c r="D1362">
        <v>0</v>
      </c>
      <c r="E1362">
        <v>0</v>
      </c>
      <c r="F1362">
        <v>0</v>
      </c>
      <c r="G1362" t="s">
        <v>428</v>
      </c>
    </row>
    <row r="1363" spans="1:7" x14ac:dyDescent="0.35">
      <c r="A1363">
        <v>140</v>
      </c>
      <c r="B1363" t="s">
        <v>623</v>
      </c>
      <c r="C1363">
        <v>0</v>
      </c>
      <c r="D1363">
        <v>0</v>
      </c>
      <c r="E1363">
        <v>0</v>
      </c>
      <c r="F1363">
        <v>0</v>
      </c>
      <c r="G1363" t="s">
        <v>428</v>
      </c>
    </row>
    <row r="1364" spans="1:7" x14ac:dyDescent="0.35">
      <c r="A1364">
        <v>145</v>
      </c>
      <c r="B1364" t="s">
        <v>443</v>
      </c>
      <c r="C1364">
        <v>-4149.3</v>
      </c>
      <c r="D1364">
        <v>0</v>
      </c>
      <c r="E1364">
        <v>-4149.3</v>
      </c>
      <c r="F1364">
        <v>-4149.3</v>
      </c>
      <c r="G1364" t="s">
        <v>428</v>
      </c>
    </row>
    <row r="1365" spans="1:7" x14ac:dyDescent="0.35">
      <c r="A1365">
        <v>150</v>
      </c>
      <c r="B1365" t="s">
        <v>624</v>
      </c>
      <c r="C1365">
        <v>23130.52</v>
      </c>
      <c r="D1365">
        <v>0</v>
      </c>
      <c r="E1365">
        <v>23130.52</v>
      </c>
      <c r="F1365">
        <v>23130.52</v>
      </c>
      <c r="G1365" t="s">
        <v>428</v>
      </c>
    </row>
    <row r="1366" spans="1:7" x14ac:dyDescent="0.35">
      <c r="A1366">
        <v>160</v>
      </c>
      <c r="B1366" t="s">
        <v>625</v>
      </c>
      <c r="C1366">
        <v>0</v>
      </c>
      <c r="D1366">
        <v>0</v>
      </c>
      <c r="E1366">
        <v>0</v>
      </c>
      <c r="F1366">
        <v>0</v>
      </c>
      <c r="G1366" t="s">
        <v>428</v>
      </c>
    </row>
    <row r="1367" spans="1:7" x14ac:dyDescent="0.35">
      <c r="A1367">
        <v>170</v>
      </c>
      <c r="B1367" t="s">
        <v>447</v>
      </c>
      <c r="C1367">
        <v>23130.52</v>
      </c>
      <c r="D1367">
        <v>0</v>
      </c>
      <c r="E1367">
        <v>23130.52</v>
      </c>
      <c r="F1367">
        <v>23130.52</v>
      </c>
      <c r="G1367" t="s">
        <v>428</v>
      </c>
    </row>
    <row r="1368" spans="1:7" x14ac:dyDescent="0.35">
      <c r="A1368">
        <v>190</v>
      </c>
      <c r="B1368" t="s">
        <v>626</v>
      </c>
      <c r="C1368">
        <v>0</v>
      </c>
      <c r="D1368">
        <v>0</v>
      </c>
      <c r="E1368">
        <v>0</v>
      </c>
      <c r="F1368">
        <v>0</v>
      </c>
      <c r="G1368" t="s">
        <v>428</v>
      </c>
    </row>
    <row r="1369" spans="1:7" x14ac:dyDescent="0.35">
      <c r="A1369">
        <v>200</v>
      </c>
      <c r="B1369" t="s">
        <v>447</v>
      </c>
      <c r="C1369">
        <v>23130.52</v>
      </c>
      <c r="D1369">
        <v>0</v>
      </c>
      <c r="E1369">
        <v>23130.52</v>
      </c>
      <c r="F1369">
        <v>23130.52</v>
      </c>
      <c r="G1369" t="s">
        <v>428</v>
      </c>
    </row>
    <row r="1370" spans="1:7" x14ac:dyDescent="0.35">
      <c r="A1370">
        <v>210</v>
      </c>
      <c r="B1370" t="s">
        <v>247</v>
      </c>
      <c r="C1370">
        <v>23130.52</v>
      </c>
      <c r="D1370">
        <v>0</v>
      </c>
      <c r="E1370">
        <v>23130.52</v>
      </c>
      <c r="F1370">
        <v>23130.52</v>
      </c>
      <c r="G1370" t="s">
        <v>428</v>
      </c>
    </row>
    <row r="1371" spans="1:7" x14ac:dyDescent="0.35">
      <c r="A1371">
        <v>220</v>
      </c>
      <c r="B1371" t="s">
        <v>627</v>
      </c>
      <c r="C1371">
        <v>0</v>
      </c>
      <c r="D1371">
        <v>0</v>
      </c>
      <c r="E1371">
        <v>0</v>
      </c>
      <c r="F1371">
        <v>0</v>
      </c>
      <c r="G1371" t="s">
        <v>428</v>
      </c>
    </row>
    <row r="1372" spans="1:7" x14ac:dyDescent="0.35">
      <c r="A1372">
        <v>230</v>
      </c>
      <c r="B1372" t="s">
        <v>196</v>
      </c>
      <c r="C1372">
        <v>3386.32</v>
      </c>
      <c r="D1372">
        <v>-133914.64000000001</v>
      </c>
      <c r="E1372">
        <v>-130528.32000000001</v>
      </c>
      <c r="F1372">
        <v>3386.32</v>
      </c>
      <c r="G1372" t="s">
        <v>428</v>
      </c>
    </row>
    <row r="1373" spans="1:7" x14ac:dyDescent="0.35">
      <c r="A1373">
        <v>235</v>
      </c>
      <c r="B1373" t="s">
        <v>628</v>
      </c>
      <c r="C1373">
        <v>0</v>
      </c>
      <c r="D1373">
        <v>0</v>
      </c>
      <c r="E1373">
        <v>0</v>
      </c>
      <c r="F1373">
        <v>0</v>
      </c>
      <c r="G1373" t="s">
        <v>428</v>
      </c>
    </row>
    <row r="1374" spans="1:7" x14ac:dyDescent="0.35">
      <c r="A1374">
        <v>240</v>
      </c>
      <c r="B1374" t="s">
        <v>197</v>
      </c>
      <c r="C1374">
        <v>0</v>
      </c>
      <c r="D1374">
        <v>0</v>
      </c>
      <c r="E1374">
        <v>0</v>
      </c>
      <c r="F1374">
        <v>0</v>
      </c>
      <c r="G1374" t="s">
        <v>428</v>
      </c>
    </row>
    <row r="1375" spans="1:7" x14ac:dyDescent="0.35">
      <c r="A1375">
        <v>250</v>
      </c>
      <c r="B1375" t="s">
        <v>198</v>
      </c>
      <c r="C1375">
        <v>3576.84</v>
      </c>
      <c r="D1375">
        <v>-53780.52</v>
      </c>
      <c r="E1375">
        <v>-50203.68</v>
      </c>
      <c r="F1375">
        <v>3576.84</v>
      </c>
      <c r="G1375" t="s">
        <v>428</v>
      </c>
    </row>
    <row r="1376" spans="1:7" x14ac:dyDescent="0.35">
      <c r="A1376">
        <v>260</v>
      </c>
      <c r="B1376"/>
      <c r="C1376">
        <v>0</v>
      </c>
      <c r="D1376">
        <v>0</v>
      </c>
      <c r="E1376">
        <v>0</v>
      </c>
      <c r="F1376">
        <v>0</v>
      </c>
      <c r="G1376" t="s">
        <v>428</v>
      </c>
    </row>
    <row r="1377" spans="1:7" x14ac:dyDescent="0.35">
      <c r="A1377">
        <v>270</v>
      </c>
      <c r="B1377" t="s">
        <v>199</v>
      </c>
      <c r="C1377">
        <v>-12094.04</v>
      </c>
      <c r="D1377">
        <v>-28069.75</v>
      </c>
      <c r="E1377">
        <v>-40163.79</v>
      </c>
      <c r="F1377">
        <v>-12094.04</v>
      </c>
      <c r="G1377" t="s">
        <v>428</v>
      </c>
    </row>
    <row r="1378" spans="1:7" x14ac:dyDescent="0.35">
      <c r="A1378">
        <v>300</v>
      </c>
      <c r="B1378" t="s">
        <v>222</v>
      </c>
      <c r="C1378">
        <v>-16707.91</v>
      </c>
      <c r="D1378">
        <v>27602.16</v>
      </c>
      <c r="E1378">
        <v>10894.25</v>
      </c>
      <c r="F1378">
        <v>-16707.91</v>
      </c>
      <c r="G1378" t="s">
        <v>428</v>
      </c>
    </row>
    <row r="1379" spans="1:7" x14ac:dyDescent="0.35">
      <c r="A1379">
        <v>310</v>
      </c>
      <c r="B1379" t="s">
        <v>630</v>
      </c>
      <c r="C1379">
        <v>0</v>
      </c>
      <c r="D1379">
        <v>0</v>
      </c>
      <c r="E1379">
        <v>0</v>
      </c>
      <c r="F1379">
        <v>0</v>
      </c>
      <c r="G1379" t="s">
        <v>428</v>
      </c>
    </row>
    <row r="1380" spans="1:7" x14ac:dyDescent="0.35">
      <c r="A1380">
        <v>320</v>
      </c>
      <c r="B1380" t="s">
        <v>248</v>
      </c>
      <c r="C1380">
        <v>0</v>
      </c>
      <c r="D1380">
        <v>260.83</v>
      </c>
      <c r="E1380">
        <v>260.83</v>
      </c>
      <c r="F1380">
        <v>0</v>
      </c>
      <c r="G1380" t="s">
        <v>428</v>
      </c>
    </row>
    <row r="1381" spans="1:7" x14ac:dyDescent="0.35">
      <c r="A1381">
        <v>325</v>
      </c>
      <c r="B1381" t="s">
        <v>249</v>
      </c>
      <c r="C1381">
        <v>33393.25</v>
      </c>
      <c r="D1381">
        <v>59653.22</v>
      </c>
      <c r="E1381">
        <v>93046.47</v>
      </c>
      <c r="F1381">
        <v>33393.25</v>
      </c>
      <c r="G1381" t="s">
        <v>428</v>
      </c>
    </row>
    <row r="1382" spans="1:7" x14ac:dyDescent="0.35">
      <c r="A1382">
        <v>330</v>
      </c>
      <c r="B1382" t="s">
        <v>690</v>
      </c>
      <c r="C1382">
        <v>-506000</v>
      </c>
      <c r="D1382">
        <v>6863995.6799999997</v>
      </c>
      <c r="E1382">
        <v>6357995.6799999997</v>
      </c>
      <c r="F1382">
        <v>-506000</v>
      </c>
      <c r="G1382" t="s">
        <v>428</v>
      </c>
    </row>
    <row r="1383" spans="1:7" x14ac:dyDescent="0.35">
      <c r="A1383">
        <v>340</v>
      </c>
      <c r="B1383" t="s">
        <v>632</v>
      </c>
      <c r="C1383">
        <v>8537.5499999999993</v>
      </c>
      <c r="D1383">
        <v>48021.1</v>
      </c>
      <c r="E1383">
        <v>56558.65</v>
      </c>
      <c r="F1383">
        <v>8537.5499999999993</v>
      </c>
      <c r="G1383" t="s">
        <v>428</v>
      </c>
    </row>
    <row r="1384" spans="1:7" x14ac:dyDescent="0.35">
      <c r="A1384">
        <v>380</v>
      </c>
      <c r="B1384" t="s">
        <v>633</v>
      </c>
      <c r="C1384">
        <v>-485907.99</v>
      </c>
      <c r="D1384">
        <v>6783768.0800000001</v>
      </c>
      <c r="E1384">
        <v>6297860.0899999999</v>
      </c>
      <c r="F1384">
        <v>-485907.99</v>
      </c>
      <c r="G1384" t="s">
        <v>428</v>
      </c>
    </row>
    <row r="1385" spans="1:7" x14ac:dyDescent="0.35">
      <c r="A1385">
        <v>390</v>
      </c>
      <c r="B1385" t="s">
        <v>250</v>
      </c>
      <c r="C1385">
        <v>0</v>
      </c>
      <c r="D1385">
        <v>0</v>
      </c>
      <c r="E1385">
        <v>0</v>
      </c>
      <c r="F1385">
        <v>0</v>
      </c>
      <c r="G1385" t="s">
        <v>428</v>
      </c>
    </row>
    <row r="1386" spans="1:7" x14ac:dyDescent="0.35">
      <c r="A1386">
        <v>400</v>
      </c>
      <c r="B1386" t="s">
        <v>251</v>
      </c>
      <c r="C1386">
        <v>0</v>
      </c>
      <c r="D1386">
        <v>482500</v>
      </c>
      <c r="E1386">
        <v>482500</v>
      </c>
      <c r="F1386">
        <v>0</v>
      </c>
      <c r="G1386" t="s">
        <v>428</v>
      </c>
    </row>
    <row r="1387" spans="1:7" x14ac:dyDescent="0.35">
      <c r="A1387">
        <v>405</v>
      </c>
      <c r="B1387" t="s">
        <v>252</v>
      </c>
      <c r="C1387">
        <v>0</v>
      </c>
      <c r="D1387">
        <v>0</v>
      </c>
      <c r="E1387">
        <v>0</v>
      </c>
      <c r="F1387">
        <v>0</v>
      </c>
      <c r="G1387" t="s">
        <v>428</v>
      </c>
    </row>
    <row r="1388" spans="1:7" x14ac:dyDescent="0.35">
      <c r="A1388">
        <v>410</v>
      </c>
      <c r="B1388" t="s">
        <v>237</v>
      </c>
      <c r="C1388">
        <v>0</v>
      </c>
      <c r="D1388">
        <v>1000</v>
      </c>
      <c r="E1388">
        <v>1000</v>
      </c>
      <c r="F1388">
        <v>0</v>
      </c>
      <c r="G1388" t="s">
        <v>428</v>
      </c>
    </row>
    <row r="1389" spans="1:7" x14ac:dyDescent="0.35">
      <c r="A1389">
        <v>420</v>
      </c>
      <c r="B1389" t="s">
        <v>253</v>
      </c>
      <c r="C1389">
        <v>0</v>
      </c>
      <c r="D1389">
        <v>0</v>
      </c>
      <c r="E1389">
        <v>0</v>
      </c>
      <c r="F1389">
        <v>0</v>
      </c>
      <c r="G1389" t="s">
        <v>428</v>
      </c>
    </row>
    <row r="1390" spans="1:7" x14ac:dyDescent="0.35">
      <c r="A1390">
        <v>425</v>
      </c>
      <c r="B1390" t="s">
        <v>634</v>
      </c>
      <c r="C1390">
        <v>0</v>
      </c>
      <c r="D1390">
        <v>0</v>
      </c>
      <c r="E1390">
        <v>0</v>
      </c>
      <c r="F1390">
        <v>0</v>
      </c>
      <c r="G1390" t="s">
        <v>428</v>
      </c>
    </row>
    <row r="1391" spans="1:7" x14ac:dyDescent="0.35">
      <c r="A1391">
        <v>427</v>
      </c>
      <c r="B1391" t="s">
        <v>635</v>
      </c>
      <c r="C1391">
        <v>0</v>
      </c>
      <c r="D1391">
        <v>0</v>
      </c>
      <c r="E1391">
        <v>0</v>
      </c>
      <c r="F1391">
        <v>0</v>
      </c>
      <c r="G1391" t="s">
        <v>428</v>
      </c>
    </row>
    <row r="1392" spans="1:7" x14ac:dyDescent="0.35">
      <c r="A1392">
        <v>430</v>
      </c>
      <c r="B1392" t="s">
        <v>254</v>
      </c>
      <c r="C1392">
        <v>0</v>
      </c>
      <c r="D1392">
        <v>-3219678.99</v>
      </c>
      <c r="E1392">
        <v>-3219678.99</v>
      </c>
      <c r="F1392">
        <v>0</v>
      </c>
      <c r="G1392" t="s">
        <v>428</v>
      </c>
    </row>
    <row r="1393" spans="1:7" x14ac:dyDescent="0.35">
      <c r="A1393">
        <v>440</v>
      </c>
      <c r="B1393" t="s">
        <v>255</v>
      </c>
      <c r="C1393">
        <v>0</v>
      </c>
      <c r="D1393">
        <v>-2736178.99</v>
      </c>
      <c r="E1393">
        <v>-2736178.99</v>
      </c>
      <c r="F1393">
        <v>0</v>
      </c>
      <c r="G1393" t="s">
        <v>428</v>
      </c>
    </row>
    <row r="1394" spans="1:7" x14ac:dyDescent="0.35">
      <c r="A1394">
        <v>450</v>
      </c>
      <c r="B1394" t="s">
        <v>256</v>
      </c>
      <c r="C1394">
        <v>0</v>
      </c>
      <c r="D1394">
        <v>0</v>
      </c>
      <c r="E1394">
        <v>0</v>
      </c>
      <c r="F1394">
        <v>0</v>
      </c>
      <c r="G1394" t="s">
        <v>428</v>
      </c>
    </row>
    <row r="1395" spans="1:7" x14ac:dyDescent="0.35">
      <c r="A1395">
        <v>455</v>
      </c>
      <c r="B1395" t="s">
        <v>204</v>
      </c>
      <c r="C1395">
        <v>0</v>
      </c>
      <c r="D1395">
        <v>-602171</v>
      </c>
      <c r="E1395">
        <v>-602171</v>
      </c>
      <c r="F1395">
        <v>0</v>
      </c>
      <c r="G1395" t="s">
        <v>428</v>
      </c>
    </row>
    <row r="1396" spans="1:7" x14ac:dyDescent="0.35">
      <c r="A1396">
        <v>456</v>
      </c>
      <c r="B1396" t="s">
        <v>636</v>
      </c>
      <c r="C1396">
        <v>0</v>
      </c>
      <c r="D1396">
        <v>426817.44</v>
      </c>
      <c r="E1396">
        <v>426817.44</v>
      </c>
      <c r="F1396">
        <v>0</v>
      </c>
      <c r="G1396" t="s">
        <v>428</v>
      </c>
    </row>
    <row r="1397" spans="1:7" x14ac:dyDescent="0.35">
      <c r="A1397">
        <v>460</v>
      </c>
      <c r="B1397" t="s">
        <v>208</v>
      </c>
      <c r="C1397">
        <v>0</v>
      </c>
      <c r="D1397">
        <v>-1443958.17</v>
      </c>
      <c r="E1397">
        <v>-1443958.17</v>
      </c>
      <c r="F1397">
        <v>0</v>
      </c>
      <c r="G1397" t="s">
        <v>428</v>
      </c>
    </row>
    <row r="1398" spans="1:7" x14ac:dyDescent="0.35">
      <c r="A1398">
        <v>470</v>
      </c>
      <c r="B1398" t="s">
        <v>637</v>
      </c>
      <c r="C1398">
        <v>5063.4399999999996</v>
      </c>
      <c r="D1398">
        <v>1260158.44</v>
      </c>
      <c r="E1398">
        <v>1265221.8799999999</v>
      </c>
      <c r="F1398">
        <v>5063.4399999999996</v>
      </c>
      <c r="G1398" t="s">
        <v>428</v>
      </c>
    </row>
    <row r="1399" spans="1:7" x14ac:dyDescent="0.35">
      <c r="A1399">
        <v>480</v>
      </c>
      <c r="B1399" t="s">
        <v>207</v>
      </c>
      <c r="C1399">
        <v>0</v>
      </c>
      <c r="D1399">
        <v>0</v>
      </c>
      <c r="E1399">
        <v>0</v>
      </c>
      <c r="F1399">
        <v>0</v>
      </c>
      <c r="G1399" t="s">
        <v>428</v>
      </c>
    </row>
    <row r="1400" spans="1:7" x14ac:dyDescent="0.35">
      <c r="A1400">
        <v>490</v>
      </c>
      <c r="B1400" t="s">
        <v>638</v>
      </c>
      <c r="C1400">
        <v>0</v>
      </c>
      <c r="D1400">
        <v>0</v>
      </c>
      <c r="E1400">
        <v>0</v>
      </c>
      <c r="F1400">
        <v>0</v>
      </c>
      <c r="G1400" t="s">
        <v>428</v>
      </c>
    </row>
    <row r="1401" spans="1:7" x14ac:dyDescent="0.35">
      <c r="A1401">
        <v>500</v>
      </c>
      <c r="B1401" t="s">
        <v>206</v>
      </c>
      <c r="C1401">
        <v>0</v>
      </c>
      <c r="D1401">
        <v>0</v>
      </c>
      <c r="E1401">
        <v>0</v>
      </c>
      <c r="F1401">
        <v>0</v>
      </c>
      <c r="G1401" t="s">
        <v>428</v>
      </c>
    </row>
    <row r="1402" spans="1:7" x14ac:dyDescent="0.35">
      <c r="A1402">
        <v>510</v>
      </c>
      <c r="B1402" t="s">
        <v>639</v>
      </c>
      <c r="C1402">
        <v>0</v>
      </c>
      <c r="D1402">
        <v>0</v>
      </c>
      <c r="E1402">
        <v>0</v>
      </c>
      <c r="F1402">
        <v>0</v>
      </c>
      <c r="G1402" t="s">
        <v>428</v>
      </c>
    </row>
    <row r="1403" spans="1:7" x14ac:dyDescent="0.35">
      <c r="A1403">
        <v>512</v>
      </c>
      <c r="B1403" t="s">
        <v>257</v>
      </c>
      <c r="C1403">
        <v>0</v>
      </c>
      <c r="D1403">
        <v>0</v>
      </c>
      <c r="E1403">
        <v>0</v>
      </c>
      <c r="F1403">
        <v>0</v>
      </c>
      <c r="G1403" t="s">
        <v>428</v>
      </c>
    </row>
    <row r="1404" spans="1:7" x14ac:dyDescent="0.35">
      <c r="A1404">
        <v>514</v>
      </c>
      <c r="B1404" t="s">
        <v>640</v>
      </c>
      <c r="C1404">
        <v>0</v>
      </c>
      <c r="D1404">
        <v>0</v>
      </c>
      <c r="E1404">
        <v>0</v>
      </c>
      <c r="F1404">
        <v>0</v>
      </c>
      <c r="G1404" t="s">
        <v>428</v>
      </c>
    </row>
    <row r="1405" spans="1:7" x14ac:dyDescent="0.35">
      <c r="A1405">
        <v>520</v>
      </c>
      <c r="B1405" t="s">
        <v>641</v>
      </c>
      <c r="C1405">
        <v>0</v>
      </c>
      <c r="D1405">
        <v>0</v>
      </c>
      <c r="E1405">
        <v>0</v>
      </c>
      <c r="F1405">
        <v>0</v>
      </c>
      <c r="G1405" t="s">
        <v>428</v>
      </c>
    </row>
    <row r="1406" spans="1:7" x14ac:dyDescent="0.35">
      <c r="A1406">
        <v>530</v>
      </c>
      <c r="B1406" t="s">
        <v>642</v>
      </c>
      <c r="C1406">
        <v>999.96</v>
      </c>
      <c r="D1406">
        <v>440925.88</v>
      </c>
      <c r="E1406">
        <v>441925.84</v>
      </c>
      <c r="F1406">
        <v>999.96</v>
      </c>
      <c r="G1406" t="s">
        <v>428</v>
      </c>
    </row>
    <row r="1407" spans="1:7" x14ac:dyDescent="0.35">
      <c r="A1407">
        <v>540</v>
      </c>
      <c r="B1407" t="s">
        <v>643</v>
      </c>
      <c r="C1407">
        <v>0</v>
      </c>
      <c r="D1407">
        <v>-194984</v>
      </c>
      <c r="E1407">
        <v>-194984</v>
      </c>
      <c r="F1407">
        <v>0</v>
      </c>
      <c r="G1407" t="s">
        <v>428</v>
      </c>
    </row>
    <row r="1408" spans="1:7" x14ac:dyDescent="0.35">
      <c r="A1408">
        <v>550</v>
      </c>
      <c r="B1408" t="s">
        <v>644</v>
      </c>
      <c r="C1408">
        <v>0</v>
      </c>
      <c r="D1408">
        <v>153325.04</v>
      </c>
      <c r="E1408">
        <v>153325.04</v>
      </c>
      <c r="F1408">
        <v>0</v>
      </c>
      <c r="G1408" t="s">
        <v>428</v>
      </c>
    </row>
    <row r="1409" spans="1:7" x14ac:dyDescent="0.35">
      <c r="A1409">
        <v>560</v>
      </c>
      <c r="B1409" t="s">
        <v>645</v>
      </c>
      <c r="C1409">
        <v>0</v>
      </c>
      <c r="D1409">
        <v>-960126</v>
      </c>
      <c r="E1409">
        <v>-960126</v>
      </c>
      <c r="F1409">
        <v>0</v>
      </c>
      <c r="G1409" t="s">
        <v>428</v>
      </c>
    </row>
    <row r="1410" spans="1:7" x14ac:dyDescent="0.35">
      <c r="A1410">
        <v>570</v>
      </c>
      <c r="B1410" t="s">
        <v>646</v>
      </c>
      <c r="C1410">
        <v>0</v>
      </c>
      <c r="D1410">
        <v>251459.6</v>
      </c>
      <c r="E1410">
        <v>251459.6</v>
      </c>
      <c r="F1410">
        <v>0</v>
      </c>
      <c r="G1410" t="s">
        <v>428</v>
      </c>
    </row>
    <row r="1411" spans="1:7" x14ac:dyDescent="0.35">
      <c r="A1411">
        <v>580</v>
      </c>
      <c r="B1411" t="s">
        <v>258</v>
      </c>
      <c r="C1411">
        <v>0</v>
      </c>
      <c r="D1411">
        <v>0</v>
      </c>
      <c r="E1411">
        <v>0</v>
      </c>
      <c r="F1411">
        <v>0</v>
      </c>
      <c r="G1411" t="s">
        <v>428</v>
      </c>
    </row>
    <row r="1412" spans="1:7" x14ac:dyDescent="0.35">
      <c r="A1412">
        <v>590</v>
      </c>
      <c r="B1412" t="s">
        <v>647</v>
      </c>
      <c r="C1412">
        <v>0</v>
      </c>
      <c r="D1412">
        <v>0</v>
      </c>
      <c r="E1412">
        <v>0</v>
      </c>
      <c r="F1412">
        <v>0</v>
      </c>
      <c r="G1412" t="s">
        <v>428</v>
      </c>
    </row>
    <row r="1413" spans="1:7" x14ac:dyDescent="0.35">
      <c r="A1413">
        <v>600</v>
      </c>
      <c r="B1413" t="s">
        <v>259</v>
      </c>
      <c r="C1413">
        <v>-34902</v>
      </c>
      <c r="D1413">
        <v>-2423196.9300000002</v>
      </c>
      <c r="E1413">
        <v>-2458098.9300000002</v>
      </c>
      <c r="F1413">
        <v>-34902</v>
      </c>
      <c r="G1413" t="s">
        <v>428</v>
      </c>
    </row>
    <row r="1414" spans="1:7" x14ac:dyDescent="0.35">
      <c r="A1414">
        <v>610</v>
      </c>
      <c r="B1414" t="s">
        <v>648</v>
      </c>
      <c r="C1414">
        <v>0</v>
      </c>
      <c r="D1414">
        <v>0</v>
      </c>
      <c r="E1414">
        <v>0</v>
      </c>
      <c r="F1414">
        <v>0</v>
      </c>
      <c r="G1414" t="s">
        <v>428</v>
      </c>
    </row>
    <row r="1415" spans="1:7" x14ac:dyDescent="0.35">
      <c r="A1415">
        <v>615</v>
      </c>
      <c r="B1415" t="s">
        <v>673</v>
      </c>
      <c r="C1415">
        <v>0</v>
      </c>
      <c r="D1415">
        <v>-97073.11</v>
      </c>
      <c r="E1415">
        <v>-97073.11</v>
      </c>
      <c r="F1415">
        <v>0</v>
      </c>
      <c r="G1415" t="s">
        <v>428</v>
      </c>
    </row>
    <row r="1416" spans="1:7" x14ac:dyDescent="0.35">
      <c r="A1416">
        <v>620</v>
      </c>
      <c r="B1416" t="s">
        <v>260</v>
      </c>
      <c r="C1416">
        <v>0</v>
      </c>
      <c r="D1416">
        <v>0</v>
      </c>
      <c r="E1416">
        <v>0</v>
      </c>
      <c r="F1416">
        <v>0</v>
      </c>
      <c r="G1416" t="s">
        <v>428</v>
      </c>
    </row>
    <row r="1417" spans="1:7" x14ac:dyDescent="0.35">
      <c r="A1417">
        <v>630</v>
      </c>
      <c r="B1417" t="s">
        <v>261</v>
      </c>
      <c r="C1417">
        <v>0</v>
      </c>
      <c r="D1417">
        <v>-56769</v>
      </c>
      <c r="E1417">
        <v>-56769</v>
      </c>
      <c r="F1417">
        <v>0</v>
      </c>
      <c r="G1417" t="s">
        <v>428</v>
      </c>
    </row>
    <row r="1418" spans="1:7" x14ac:dyDescent="0.35">
      <c r="A1418">
        <v>635</v>
      </c>
      <c r="B1418" t="s">
        <v>674</v>
      </c>
      <c r="C1418">
        <v>0</v>
      </c>
      <c r="D1418">
        <v>0</v>
      </c>
      <c r="E1418">
        <v>0</v>
      </c>
      <c r="F1418">
        <v>0</v>
      </c>
      <c r="G1418" t="s">
        <v>428</v>
      </c>
    </row>
    <row r="1419" spans="1:7" x14ac:dyDescent="0.35">
      <c r="A1419">
        <v>640</v>
      </c>
      <c r="B1419" t="s">
        <v>262</v>
      </c>
      <c r="C1419">
        <v>-28838.6</v>
      </c>
      <c r="D1419">
        <v>-3245591.81</v>
      </c>
      <c r="E1419">
        <v>-3274430.41</v>
      </c>
      <c r="F1419">
        <v>-28838.6</v>
      </c>
      <c r="G1419" t="s">
        <v>428</v>
      </c>
    </row>
    <row r="1420" spans="1:7" x14ac:dyDescent="0.35">
      <c r="A1420">
        <v>650</v>
      </c>
      <c r="B1420" t="s">
        <v>263</v>
      </c>
      <c r="C1420">
        <v>-491616.07</v>
      </c>
      <c r="D1420">
        <v>801997.28</v>
      </c>
      <c r="E1420">
        <v>310381.21000000002</v>
      </c>
      <c r="F1420">
        <v>-491616.07</v>
      </c>
      <c r="G1420" t="s">
        <v>428</v>
      </c>
    </row>
    <row r="1421" spans="1:7" x14ac:dyDescent="0.35">
      <c r="A1421" t="s">
        <v>526</v>
      </c>
      <c r="B1421" t="s">
        <v>416</v>
      </c>
      <c r="C1421" t="s">
        <v>608</v>
      </c>
      <c r="D1421" t="s">
        <v>609</v>
      </c>
      <c r="E1421" t="s">
        <v>610</v>
      </c>
      <c r="F1421" t="s">
        <v>611</v>
      </c>
      <c r="G1421" t="s">
        <v>121</v>
      </c>
    </row>
    <row r="1422" spans="1:7" x14ac:dyDescent="0.35">
      <c r="A1422">
        <v>10</v>
      </c>
      <c r="B1422" t="s">
        <v>612</v>
      </c>
      <c r="C1422">
        <v>0</v>
      </c>
      <c r="D1422">
        <v>0</v>
      </c>
      <c r="E1422">
        <v>0</v>
      </c>
      <c r="F1422">
        <v>0</v>
      </c>
      <c r="G1422" t="s">
        <v>428</v>
      </c>
    </row>
    <row r="1423" spans="1:7" x14ac:dyDescent="0.35">
      <c r="A1423">
        <v>20</v>
      </c>
      <c r="B1423" t="s">
        <v>427</v>
      </c>
      <c r="C1423">
        <v>44332.89</v>
      </c>
      <c r="D1423">
        <v>0</v>
      </c>
      <c r="E1423">
        <v>44332.89</v>
      </c>
      <c r="F1423">
        <v>44332.89</v>
      </c>
      <c r="G1423" t="s">
        <v>428</v>
      </c>
    </row>
    <row r="1424" spans="1:7" x14ac:dyDescent="0.35">
      <c r="A1424">
        <v>30</v>
      </c>
      <c r="B1424" t="s">
        <v>613</v>
      </c>
      <c r="C1424">
        <v>0</v>
      </c>
      <c r="D1424">
        <v>0</v>
      </c>
      <c r="E1424">
        <v>0</v>
      </c>
      <c r="F1424">
        <v>0</v>
      </c>
      <c r="G1424" t="s">
        <v>428</v>
      </c>
    </row>
    <row r="1425" spans="1:7" x14ac:dyDescent="0.35">
      <c r="A1425">
        <v>35</v>
      </c>
      <c r="B1425" t="s">
        <v>614</v>
      </c>
      <c r="C1425">
        <v>44332.89</v>
      </c>
      <c r="D1425">
        <v>0</v>
      </c>
      <c r="E1425">
        <v>44332.89</v>
      </c>
      <c r="F1425">
        <v>44332.89</v>
      </c>
      <c r="G1425" t="s">
        <v>428</v>
      </c>
    </row>
    <row r="1426" spans="1:7" x14ac:dyDescent="0.35">
      <c r="A1426">
        <v>40</v>
      </c>
      <c r="B1426" t="s">
        <v>615</v>
      </c>
      <c r="C1426">
        <v>0</v>
      </c>
      <c r="D1426">
        <v>0</v>
      </c>
      <c r="E1426">
        <v>0</v>
      </c>
      <c r="F1426">
        <v>0</v>
      </c>
      <c r="G1426" t="s">
        <v>428</v>
      </c>
    </row>
    <row r="1427" spans="1:7" x14ac:dyDescent="0.35">
      <c r="A1427">
        <v>50</v>
      </c>
      <c r="B1427" t="s">
        <v>616</v>
      </c>
      <c r="C1427">
        <v>0</v>
      </c>
      <c r="D1427">
        <v>0</v>
      </c>
      <c r="E1427">
        <v>0</v>
      </c>
      <c r="F1427">
        <v>0</v>
      </c>
      <c r="G1427" t="s">
        <v>428</v>
      </c>
    </row>
    <row r="1428" spans="1:7" x14ac:dyDescent="0.35">
      <c r="A1428">
        <v>60</v>
      </c>
      <c r="B1428" t="s">
        <v>617</v>
      </c>
      <c r="C1428">
        <v>44332.89</v>
      </c>
      <c r="D1428">
        <v>0</v>
      </c>
      <c r="E1428">
        <v>44332.89</v>
      </c>
      <c r="F1428">
        <v>44332.89</v>
      </c>
      <c r="G1428" t="s">
        <v>428</v>
      </c>
    </row>
    <row r="1429" spans="1:7" x14ac:dyDescent="0.35">
      <c r="A1429">
        <v>70</v>
      </c>
      <c r="B1429" t="s">
        <v>433</v>
      </c>
      <c r="C1429">
        <v>10710.3</v>
      </c>
      <c r="D1429">
        <v>0</v>
      </c>
      <c r="E1429">
        <v>10710.3</v>
      </c>
      <c r="F1429">
        <v>10710.3</v>
      </c>
      <c r="G1429" t="s">
        <v>428</v>
      </c>
    </row>
    <row r="1430" spans="1:7" x14ac:dyDescent="0.35">
      <c r="A1430">
        <v>80</v>
      </c>
      <c r="B1430" t="s">
        <v>434</v>
      </c>
      <c r="C1430">
        <v>0</v>
      </c>
      <c r="D1430">
        <v>0</v>
      </c>
      <c r="E1430">
        <v>0</v>
      </c>
      <c r="F1430">
        <v>0</v>
      </c>
      <c r="G1430" t="s">
        <v>428</v>
      </c>
    </row>
    <row r="1431" spans="1:7" x14ac:dyDescent="0.35">
      <c r="A1431">
        <v>90</v>
      </c>
      <c r="B1431" t="s">
        <v>618</v>
      </c>
      <c r="C1431">
        <v>21016</v>
      </c>
      <c r="D1431">
        <v>0</v>
      </c>
      <c r="E1431">
        <v>21016</v>
      </c>
      <c r="F1431">
        <v>21016</v>
      </c>
      <c r="G1431" t="s">
        <v>428</v>
      </c>
    </row>
    <row r="1432" spans="1:7" x14ac:dyDescent="0.35">
      <c r="A1432">
        <v>100</v>
      </c>
      <c r="B1432" t="s">
        <v>619</v>
      </c>
      <c r="C1432">
        <v>12606.59</v>
      </c>
      <c r="D1432">
        <v>0</v>
      </c>
      <c r="E1432">
        <v>12606.59</v>
      </c>
      <c r="F1432">
        <v>12606.59</v>
      </c>
      <c r="G1432" t="s">
        <v>428</v>
      </c>
    </row>
    <row r="1433" spans="1:7" x14ac:dyDescent="0.35">
      <c r="A1433">
        <v>110</v>
      </c>
      <c r="B1433" t="s">
        <v>620</v>
      </c>
      <c r="C1433">
        <v>0</v>
      </c>
      <c r="D1433">
        <v>0</v>
      </c>
      <c r="E1433">
        <v>0</v>
      </c>
      <c r="F1433">
        <v>0</v>
      </c>
      <c r="G1433" t="s">
        <v>428</v>
      </c>
    </row>
    <row r="1434" spans="1:7" x14ac:dyDescent="0.35">
      <c r="A1434">
        <v>120</v>
      </c>
      <c r="B1434" t="s">
        <v>621</v>
      </c>
      <c r="C1434">
        <v>0</v>
      </c>
      <c r="D1434">
        <v>0</v>
      </c>
      <c r="E1434">
        <v>0</v>
      </c>
      <c r="F1434">
        <v>0</v>
      </c>
      <c r="G1434" t="s">
        <v>428</v>
      </c>
    </row>
    <row r="1435" spans="1:7" x14ac:dyDescent="0.35">
      <c r="A1435">
        <v>130</v>
      </c>
      <c r="B1435" t="s">
        <v>622</v>
      </c>
      <c r="C1435">
        <v>5059.5600000000004</v>
      </c>
      <c r="D1435">
        <v>0</v>
      </c>
      <c r="E1435">
        <v>5059.5600000000004</v>
      </c>
      <c r="F1435">
        <v>5059.5600000000004</v>
      </c>
      <c r="G1435" t="s">
        <v>428</v>
      </c>
    </row>
    <row r="1436" spans="1:7" x14ac:dyDescent="0.35">
      <c r="A1436">
        <v>140</v>
      </c>
      <c r="B1436" t="s">
        <v>623</v>
      </c>
      <c r="C1436">
        <v>0</v>
      </c>
      <c r="D1436">
        <v>0</v>
      </c>
      <c r="E1436">
        <v>0</v>
      </c>
      <c r="F1436">
        <v>0</v>
      </c>
      <c r="G1436" t="s">
        <v>428</v>
      </c>
    </row>
    <row r="1437" spans="1:7" x14ac:dyDescent="0.35">
      <c r="A1437">
        <v>145</v>
      </c>
      <c r="B1437" t="s">
        <v>443</v>
      </c>
      <c r="C1437">
        <v>5059.5600000000004</v>
      </c>
      <c r="D1437">
        <v>0</v>
      </c>
      <c r="E1437">
        <v>5059.5600000000004</v>
      </c>
      <c r="F1437">
        <v>5059.5600000000004</v>
      </c>
      <c r="G1437" t="s">
        <v>428</v>
      </c>
    </row>
    <row r="1438" spans="1:7" x14ac:dyDescent="0.35">
      <c r="A1438">
        <v>150</v>
      </c>
      <c r="B1438" t="s">
        <v>624</v>
      </c>
      <c r="C1438">
        <v>7547.03</v>
      </c>
      <c r="D1438">
        <v>0</v>
      </c>
      <c r="E1438">
        <v>7547.03</v>
      </c>
      <c r="F1438">
        <v>7547.03</v>
      </c>
      <c r="G1438" t="s">
        <v>428</v>
      </c>
    </row>
    <row r="1439" spans="1:7" x14ac:dyDescent="0.35">
      <c r="A1439">
        <v>160</v>
      </c>
      <c r="B1439" t="s">
        <v>625</v>
      </c>
      <c r="C1439">
        <v>0</v>
      </c>
      <c r="D1439">
        <v>0</v>
      </c>
      <c r="E1439">
        <v>0</v>
      </c>
      <c r="F1439">
        <v>0</v>
      </c>
      <c r="G1439" t="s">
        <v>428</v>
      </c>
    </row>
    <row r="1440" spans="1:7" x14ac:dyDescent="0.35">
      <c r="A1440">
        <v>170</v>
      </c>
      <c r="B1440" t="s">
        <v>447</v>
      </c>
      <c r="C1440">
        <v>7547.03</v>
      </c>
      <c r="D1440">
        <v>0</v>
      </c>
      <c r="E1440">
        <v>7547.03</v>
      </c>
      <c r="F1440">
        <v>7547.03</v>
      </c>
      <c r="G1440" t="s">
        <v>428</v>
      </c>
    </row>
    <row r="1441" spans="1:7" x14ac:dyDescent="0.35">
      <c r="A1441">
        <v>190</v>
      </c>
      <c r="B1441" t="s">
        <v>626</v>
      </c>
      <c r="C1441">
        <v>0</v>
      </c>
      <c r="D1441">
        <v>0</v>
      </c>
      <c r="E1441">
        <v>0</v>
      </c>
      <c r="F1441">
        <v>0</v>
      </c>
      <c r="G1441" t="s">
        <v>428</v>
      </c>
    </row>
    <row r="1442" spans="1:7" x14ac:dyDescent="0.35">
      <c r="A1442">
        <v>200</v>
      </c>
      <c r="B1442" t="s">
        <v>447</v>
      </c>
      <c r="C1442">
        <v>7547.03</v>
      </c>
      <c r="D1442">
        <v>0</v>
      </c>
      <c r="E1442">
        <v>7547.03</v>
      </c>
      <c r="F1442">
        <v>7547.03</v>
      </c>
      <c r="G1442" t="s">
        <v>428</v>
      </c>
    </row>
    <row r="1443" spans="1:7" x14ac:dyDescent="0.35">
      <c r="A1443">
        <v>210</v>
      </c>
      <c r="B1443" t="s">
        <v>247</v>
      </c>
      <c r="C1443">
        <v>7547.03</v>
      </c>
      <c r="D1443">
        <v>0</v>
      </c>
      <c r="E1443">
        <v>7547.03</v>
      </c>
      <c r="F1443">
        <v>7547.03</v>
      </c>
      <c r="G1443" t="s">
        <v>428</v>
      </c>
    </row>
    <row r="1444" spans="1:7" x14ac:dyDescent="0.35">
      <c r="A1444">
        <v>220</v>
      </c>
      <c r="B1444" t="s">
        <v>627</v>
      </c>
      <c r="C1444">
        <v>0</v>
      </c>
      <c r="D1444">
        <v>0</v>
      </c>
      <c r="E1444">
        <v>0</v>
      </c>
      <c r="F1444">
        <v>0</v>
      </c>
      <c r="G1444" t="s">
        <v>428</v>
      </c>
    </row>
    <row r="1445" spans="1:7" x14ac:dyDescent="0.35">
      <c r="A1445">
        <v>230</v>
      </c>
      <c r="B1445" t="s">
        <v>196</v>
      </c>
      <c r="C1445">
        <v>0</v>
      </c>
      <c r="D1445">
        <v>-9350</v>
      </c>
      <c r="E1445">
        <v>-9350</v>
      </c>
      <c r="F1445">
        <v>0</v>
      </c>
      <c r="G1445" t="s">
        <v>428</v>
      </c>
    </row>
    <row r="1446" spans="1:7" x14ac:dyDescent="0.35">
      <c r="A1446">
        <v>235</v>
      </c>
      <c r="B1446" t="s">
        <v>628</v>
      </c>
      <c r="C1446">
        <v>0</v>
      </c>
      <c r="D1446">
        <v>0</v>
      </c>
      <c r="E1446">
        <v>0</v>
      </c>
      <c r="F1446">
        <v>0</v>
      </c>
      <c r="G1446" t="s">
        <v>428</v>
      </c>
    </row>
    <row r="1447" spans="1:7" x14ac:dyDescent="0.35">
      <c r="A1447">
        <v>240</v>
      </c>
      <c r="B1447" t="s">
        <v>197</v>
      </c>
      <c r="C1447">
        <v>-165000</v>
      </c>
      <c r="D1447">
        <v>-22912</v>
      </c>
      <c r="E1447">
        <v>-187912</v>
      </c>
      <c r="F1447">
        <v>-165000</v>
      </c>
      <c r="G1447" t="s">
        <v>428</v>
      </c>
    </row>
    <row r="1448" spans="1:7" x14ac:dyDescent="0.35">
      <c r="A1448">
        <v>250</v>
      </c>
      <c r="B1448" t="s">
        <v>198</v>
      </c>
      <c r="C1448">
        <v>0</v>
      </c>
      <c r="D1448">
        <v>0</v>
      </c>
      <c r="E1448">
        <v>0</v>
      </c>
      <c r="F1448">
        <v>0</v>
      </c>
      <c r="G1448" t="s">
        <v>428</v>
      </c>
    </row>
    <row r="1449" spans="1:7" x14ac:dyDescent="0.35">
      <c r="A1449">
        <v>260</v>
      </c>
      <c r="B1449"/>
      <c r="C1449">
        <v>0</v>
      </c>
      <c r="D1449">
        <v>0</v>
      </c>
      <c r="E1449">
        <v>0</v>
      </c>
      <c r="F1449">
        <v>0</v>
      </c>
      <c r="G1449" t="s">
        <v>428</v>
      </c>
    </row>
    <row r="1450" spans="1:7" x14ac:dyDescent="0.35">
      <c r="A1450">
        <v>270</v>
      </c>
      <c r="B1450" t="s">
        <v>199</v>
      </c>
      <c r="C1450">
        <v>0</v>
      </c>
      <c r="D1450">
        <v>-57409.21</v>
      </c>
      <c r="E1450">
        <v>-57409.21</v>
      </c>
      <c r="F1450">
        <v>0</v>
      </c>
      <c r="G1450" t="s">
        <v>428</v>
      </c>
    </row>
    <row r="1451" spans="1:7" x14ac:dyDescent="0.35">
      <c r="A1451">
        <v>300</v>
      </c>
      <c r="B1451" t="s">
        <v>222</v>
      </c>
      <c r="C1451">
        <v>0</v>
      </c>
      <c r="D1451">
        <v>0</v>
      </c>
      <c r="E1451">
        <v>0</v>
      </c>
      <c r="F1451">
        <v>0</v>
      </c>
      <c r="G1451" t="s">
        <v>428</v>
      </c>
    </row>
    <row r="1452" spans="1:7" x14ac:dyDescent="0.35">
      <c r="A1452">
        <v>310</v>
      </c>
      <c r="B1452" t="s">
        <v>630</v>
      </c>
      <c r="C1452">
        <v>0</v>
      </c>
      <c r="D1452">
        <v>0</v>
      </c>
      <c r="E1452">
        <v>0</v>
      </c>
      <c r="F1452">
        <v>0</v>
      </c>
      <c r="G1452" t="s">
        <v>428</v>
      </c>
    </row>
    <row r="1453" spans="1:7" x14ac:dyDescent="0.35">
      <c r="A1453">
        <v>320</v>
      </c>
      <c r="B1453" t="s">
        <v>248</v>
      </c>
      <c r="C1453">
        <v>-26673.119999999999</v>
      </c>
      <c r="D1453">
        <v>1254658.54</v>
      </c>
      <c r="E1453">
        <v>1227985.42</v>
      </c>
      <c r="F1453">
        <v>-26673.119999999999</v>
      </c>
      <c r="G1453" t="s">
        <v>428</v>
      </c>
    </row>
    <row r="1454" spans="1:7" x14ac:dyDescent="0.35">
      <c r="A1454">
        <v>325</v>
      </c>
      <c r="B1454" t="s">
        <v>249</v>
      </c>
      <c r="C1454">
        <v>0</v>
      </c>
      <c r="D1454">
        <v>0</v>
      </c>
      <c r="E1454">
        <v>0</v>
      </c>
      <c r="F1454">
        <v>0</v>
      </c>
      <c r="G1454" t="s">
        <v>428</v>
      </c>
    </row>
    <row r="1455" spans="1:7" x14ac:dyDescent="0.35">
      <c r="A1455">
        <v>330</v>
      </c>
      <c r="B1455" t="s">
        <v>690</v>
      </c>
      <c r="C1455">
        <v>-157000</v>
      </c>
      <c r="D1455">
        <v>321552</v>
      </c>
      <c r="E1455">
        <v>164552</v>
      </c>
      <c r="F1455">
        <v>-157000</v>
      </c>
      <c r="G1455" t="s">
        <v>428</v>
      </c>
    </row>
    <row r="1456" spans="1:7" x14ac:dyDescent="0.35">
      <c r="A1456">
        <v>340</v>
      </c>
      <c r="B1456" t="s">
        <v>632</v>
      </c>
      <c r="C1456">
        <v>0</v>
      </c>
      <c r="D1456">
        <v>0</v>
      </c>
      <c r="E1456">
        <v>0</v>
      </c>
      <c r="F1456">
        <v>0</v>
      </c>
      <c r="G1456" t="s">
        <v>428</v>
      </c>
    </row>
    <row r="1457" spans="1:7" x14ac:dyDescent="0.35">
      <c r="A1457">
        <v>380</v>
      </c>
      <c r="B1457" t="s">
        <v>633</v>
      </c>
      <c r="C1457">
        <v>-348673.12</v>
      </c>
      <c r="D1457">
        <v>1486539.33</v>
      </c>
      <c r="E1457">
        <v>1137866.21</v>
      </c>
      <c r="F1457">
        <v>-348673.12</v>
      </c>
      <c r="G1457" t="s">
        <v>428</v>
      </c>
    </row>
    <row r="1458" spans="1:7" x14ac:dyDescent="0.35">
      <c r="A1458">
        <v>390</v>
      </c>
      <c r="B1458" t="s">
        <v>250</v>
      </c>
      <c r="C1458">
        <v>0</v>
      </c>
      <c r="D1458">
        <v>0</v>
      </c>
      <c r="E1458">
        <v>0</v>
      </c>
      <c r="F1458">
        <v>0</v>
      </c>
      <c r="G1458" t="s">
        <v>428</v>
      </c>
    </row>
    <row r="1459" spans="1:7" x14ac:dyDescent="0.35">
      <c r="A1459">
        <v>400</v>
      </c>
      <c r="B1459" t="s">
        <v>251</v>
      </c>
      <c r="C1459">
        <v>-8440.44</v>
      </c>
      <c r="D1459">
        <v>1235590.01</v>
      </c>
      <c r="E1459">
        <v>1227149.57</v>
      </c>
      <c r="F1459">
        <v>-8440.44</v>
      </c>
      <c r="G1459" t="s">
        <v>428</v>
      </c>
    </row>
    <row r="1460" spans="1:7" x14ac:dyDescent="0.35">
      <c r="A1460">
        <v>405</v>
      </c>
      <c r="B1460" t="s">
        <v>252</v>
      </c>
      <c r="C1460">
        <v>0</v>
      </c>
      <c r="D1460">
        <v>0</v>
      </c>
      <c r="E1460">
        <v>0</v>
      </c>
      <c r="F1460">
        <v>0</v>
      </c>
      <c r="G1460" t="s">
        <v>428</v>
      </c>
    </row>
    <row r="1461" spans="1:7" x14ac:dyDescent="0.35">
      <c r="A1461">
        <v>410</v>
      </c>
      <c r="B1461" t="s">
        <v>237</v>
      </c>
      <c r="C1461">
        <v>0</v>
      </c>
      <c r="D1461">
        <v>2087847.04</v>
      </c>
      <c r="E1461">
        <v>2087847.04</v>
      </c>
      <c r="F1461">
        <v>0</v>
      </c>
      <c r="G1461" t="s">
        <v>428</v>
      </c>
    </row>
    <row r="1462" spans="1:7" x14ac:dyDescent="0.35">
      <c r="A1462">
        <v>420</v>
      </c>
      <c r="B1462" t="s">
        <v>253</v>
      </c>
      <c r="C1462">
        <v>0</v>
      </c>
      <c r="D1462">
        <v>0</v>
      </c>
      <c r="E1462">
        <v>0</v>
      </c>
      <c r="F1462">
        <v>0</v>
      </c>
      <c r="G1462" t="s">
        <v>428</v>
      </c>
    </row>
    <row r="1463" spans="1:7" x14ac:dyDescent="0.35">
      <c r="A1463">
        <v>425</v>
      </c>
      <c r="B1463" t="s">
        <v>634</v>
      </c>
      <c r="C1463">
        <v>0</v>
      </c>
      <c r="D1463">
        <v>0</v>
      </c>
      <c r="E1463">
        <v>0</v>
      </c>
      <c r="F1463">
        <v>0</v>
      </c>
      <c r="G1463" t="s">
        <v>428</v>
      </c>
    </row>
    <row r="1464" spans="1:7" x14ac:dyDescent="0.35">
      <c r="A1464">
        <v>427</v>
      </c>
      <c r="B1464" t="s">
        <v>635</v>
      </c>
      <c r="C1464">
        <v>0</v>
      </c>
      <c r="D1464">
        <v>0</v>
      </c>
      <c r="E1464">
        <v>0</v>
      </c>
      <c r="F1464">
        <v>0</v>
      </c>
      <c r="G1464" t="s">
        <v>428</v>
      </c>
    </row>
    <row r="1465" spans="1:7" x14ac:dyDescent="0.35">
      <c r="A1465">
        <v>430</v>
      </c>
      <c r="B1465" t="s">
        <v>254</v>
      </c>
      <c r="C1465">
        <v>0</v>
      </c>
      <c r="D1465">
        <v>881490.3</v>
      </c>
      <c r="E1465">
        <v>881490.3</v>
      </c>
      <c r="F1465">
        <v>0</v>
      </c>
      <c r="G1465" t="s">
        <v>428</v>
      </c>
    </row>
    <row r="1466" spans="1:7" x14ac:dyDescent="0.35">
      <c r="A1466">
        <v>440</v>
      </c>
      <c r="B1466" t="s">
        <v>255</v>
      </c>
      <c r="C1466">
        <v>-8440.44</v>
      </c>
      <c r="D1466">
        <v>4204927.3499999996</v>
      </c>
      <c r="E1466">
        <v>4196486.91</v>
      </c>
      <c r="F1466">
        <v>-8440.44</v>
      </c>
      <c r="G1466" t="s">
        <v>428</v>
      </c>
    </row>
    <row r="1467" spans="1:7" x14ac:dyDescent="0.35">
      <c r="A1467">
        <v>450</v>
      </c>
      <c r="B1467" t="s">
        <v>256</v>
      </c>
      <c r="C1467">
        <v>0</v>
      </c>
      <c r="D1467">
        <v>0</v>
      </c>
      <c r="E1467">
        <v>0</v>
      </c>
      <c r="F1467">
        <v>0</v>
      </c>
      <c r="G1467" t="s">
        <v>428</v>
      </c>
    </row>
    <row r="1468" spans="1:7" x14ac:dyDescent="0.35">
      <c r="A1468">
        <v>455</v>
      </c>
      <c r="B1468" t="s">
        <v>204</v>
      </c>
      <c r="C1468">
        <v>0</v>
      </c>
      <c r="D1468">
        <v>-7018461.2400000002</v>
      </c>
      <c r="E1468">
        <v>-7018461.2400000002</v>
      </c>
      <c r="F1468">
        <v>0</v>
      </c>
      <c r="G1468" t="s">
        <v>428</v>
      </c>
    </row>
    <row r="1469" spans="1:7" x14ac:dyDescent="0.35">
      <c r="A1469">
        <v>456</v>
      </c>
      <c r="B1469" t="s">
        <v>636</v>
      </c>
      <c r="C1469">
        <v>21016</v>
      </c>
      <c r="D1469">
        <v>2321755.96</v>
      </c>
      <c r="E1469">
        <v>2342771.96</v>
      </c>
      <c r="F1469">
        <v>21016</v>
      </c>
      <c r="G1469" t="s">
        <v>428</v>
      </c>
    </row>
    <row r="1470" spans="1:7" x14ac:dyDescent="0.35">
      <c r="A1470">
        <v>460</v>
      </c>
      <c r="B1470" t="s">
        <v>208</v>
      </c>
      <c r="C1470">
        <v>0</v>
      </c>
      <c r="D1470">
        <v>-669226.96</v>
      </c>
      <c r="E1470">
        <v>-669226.96</v>
      </c>
      <c r="F1470">
        <v>0</v>
      </c>
      <c r="G1470" t="s">
        <v>428</v>
      </c>
    </row>
    <row r="1471" spans="1:7" x14ac:dyDescent="0.35">
      <c r="A1471">
        <v>470</v>
      </c>
      <c r="B1471" t="s">
        <v>637</v>
      </c>
      <c r="C1471">
        <v>0</v>
      </c>
      <c r="D1471">
        <v>0</v>
      </c>
      <c r="E1471">
        <v>0</v>
      </c>
      <c r="F1471">
        <v>0</v>
      </c>
      <c r="G1471" t="s">
        <v>428</v>
      </c>
    </row>
    <row r="1472" spans="1:7" x14ac:dyDescent="0.35">
      <c r="A1472">
        <v>480</v>
      </c>
      <c r="B1472" t="s">
        <v>207</v>
      </c>
      <c r="C1472">
        <v>0</v>
      </c>
      <c r="D1472">
        <v>0</v>
      </c>
      <c r="E1472">
        <v>0</v>
      </c>
      <c r="F1472">
        <v>0</v>
      </c>
      <c r="G1472" t="s">
        <v>428</v>
      </c>
    </row>
    <row r="1473" spans="1:7" x14ac:dyDescent="0.35">
      <c r="A1473">
        <v>490</v>
      </c>
      <c r="B1473" t="s">
        <v>638</v>
      </c>
      <c r="C1473">
        <v>0</v>
      </c>
      <c r="D1473">
        <v>0</v>
      </c>
      <c r="E1473">
        <v>0</v>
      </c>
      <c r="F1473">
        <v>0</v>
      </c>
      <c r="G1473" t="s">
        <v>428</v>
      </c>
    </row>
    <row r="1474" spans="1:7" x14ac:dyDescent="0.35">
      <c r="A1474">
        <v>500</v>
      </c>
      <c r="B1474" t="s">
        <v>206</v>
      </c>
      <c r="C1474">
        <v>0</v>
      </c>
      <c r="D1474">
        <v>0</v>
      </c>
      <c r="E1474">
        <v>0</v>
      </c>
      <c r="F1474">
        <v>0</v>
      </c>
      <c r="G1474" t="s">
        <v>428</v>
      </c>
    </row>
    <row r="1475" spans="1:7" x14ac:dyDescent="0.35">
      <c r="A1475">
        <v>510</v>
      </c>
      <c r="B1475" t="s">
        <v>639</v>
      </c>
      <c r="C1475">
        <v>0</v>
      </c>
      <c r="D1475">
        <v>0</v>
      </c>
      <c r="E1475">
        <v>0</v>
      </c>
      <c r="F1475">
        <v>0</v>
      </c>
      <c r="G1475" t="s">
        <v>428</v>
      </c>
    </row>
    <row r="1476" spans="1:7" x14ac:dyDescent="0.35">
      <c r="A1476">
        <v>512</v>
      </c>
      <c r="B1476" t="s">
        <v>257</v>
      </c>
      <c r="C1476">
        <v>0</v>
      </c>
      <c r="D1476">
        <v>0</v>
      </c>
      <c r="E1476">
        <v>0</v>
      </c>
      <c r="F1476">
        <v>0</v>
      </c>
      <c r="G1476" t="s">
        <v>428</v>
      </c>
    </row>
    <row r="1477" spans="1:7" x14ac:dyDescent="0.35">
      <c r="A1477">
        <v>514</v>
      </c>
      <c r="B1477" t="s">
        <v>640</v>
      </c>
      <c r="C1477">
        <v>0</v>
      </c>
      <c r="D1477">
        <v>0</v>
      </c>
      <c r="E1477">
        <v>0</v>
      </c>
      <c r="F1477">
        <v>0</v>
      </c>
      <c r="G1477" t="s">
        <v>428</v>
      </c>
    </row>
    <row r="1478" spans="1:7" x14ac:dyDescent="0.35">
      <c r="A1478">
        <v>520</v>
      </c>
      <c r="B1478" t="s">
        <v>641</v>
      </c>
      <c r="C1478">
        <v>0</v>
      </c>
      <c r="D1478">
        <v>0</v>
      </c>
      <c r="E1478">
        <v>0</v>
      </c>
      <c r="F1478">
        <v>0</v>
      </c>
      <c r="G1478" t="s">
        <v>428</v>
      </c>
    </row>
    <row r="1479" spans="1:7" x14ac:dyDescent="0.35">
      <c r="A1479">
        <v>530</v>
      </c>
      <c r="B1479" t="s">
        <v>642</v>
      </c>
      <c r="C1479">
        <v>0</v>
      </c>
      <c r="D1479">
        <v>0</v>
      </c>
      <c r="E1479">
        <v>0</v>
      </c>
      <c r="F1479">
        <v>0</v>
      </c>
      <c r="G1479" t="s">
        <v>428</v>
      </c>
    </row>
    <row r="1480" spans="1:7" x14ac:dyDescent="0.35">
      <c r="A1480">
        <v>540</v>
      </c>
      <c r="B1480" t="s">
        <v>643</v>
      </c>
      <c r="C1480">
        <v>0</v>
      </c>
      <c r="D1480">
        <v>0</v>
      </c>
      <c r="E1480">
        <v>0</v>
      </c>
      <c r="F1480">
        <v>0</v>
      </c>
      <c r="G1480" t="s">
        <v>428</v>
      </c>
    </row>
    <row r="1481" spans="1:7" x14ac:dyDescent="0.35">
      <c r="A1481">
        <v>550</v>
      </c>
      <c r="B1481" t="s">
        <v>644</v>
      </c>
      <c r="C1481">
        <v>0</v>
      </c>
      <c r="D1481">
        <v>0</v>
      </c>
      <c r="E1481">
        <v>0</v>
      </c>
      <c r="F1481">
        <v>0</v>
      </c>
      <c r="G1481" t="s">
        <v>428</v>
      </c>
    </row>
    <row r="1482" spans="1:7" x14ac:dyDescent="0.35">
      <c r="A1482">
        <v>560</v>
      </c>
      <c r="B1482" t="s">
        <v>645</v>
      </c>
      <c r="C1482">
        <v>0</v>
      </c>
      <c r="D1482">
        <v>0</v>
      </c>
      <c r="E1482">
        <v>0</v>
      </c>
      <c r="F1482">
        <v>0</v>
      </c>
      <c r="G1482" t="s">
        <v>428</v>
      </c>
    </row>
    <row r="1483" spans="1:7" x14ac:dyDescent="0.35">
      <c r="A1483">
        <v>570</v>
      </c>
      <c r="B1483" t="s">
        <v>646</v>
      </c>
      <c r="C1483">
        <v>0</v>
      </c>
      <c r="D1483">
        <v>42767</v>
      </c>
      <c r="E1483">
        <v>42767</v>
      </c>
      <c r="F1483">
        <v>0</v>
      </c>
      <c r="G1483" t="s">
        <v>428</v>
      </c>
    </row>
    <row r="1484" spans="1:7" x14ac:dyDescent="0.35">
      <c r="A1484">
        <v>580</v>
      </c>
      <c r="B1484" t="s">
        <v>258</v>
      </c>
      <c r="C1484">
        <v>0</v>
      </c>
      <c r="D1484">
        <v>0</v>
      </c>
      <c r="E1484">
        <v>0</v>
      </c>
      <c r="F1484">
        <v>0</v>
      </c>
      <c r="G1484" t="s">
        <v>428</v>
      </c>
    </row>
    <row r="1485" spans="1:7" x14ac:dyDescent="0.35">
      <c r="A1485">
        <v>590</v>
      </c>
      <c r="B1485" t="s">
        <v>647</v>
      </c>
      <c r="C1485">
        <v>0</v>
      </c>
      <c r="D1485">
        <v>0</v>
      </c>
      <c r="E1485">
        <v>0</v>
      </c>
      <c r="F1485">
        <v>0</v>
      </c>
      <c r="G1485" t="s">
        <v>428</v>
      </c>
    </row>
    <row r="1486" spans="1:7" x14ac:dyDescent="0.35">
      <c r="A1486">
        <v>600</v>
      </c>
      <c r="B1486" t="s">
        <v>259</v>
      </c>
      <c r="C1486">
        <v>0</v>
      </c>
      <c r="D1486">
        <v>0</v>
      </c>
      <c r="E1486">
        <v>0</v>
      </c>
      <c r="F1486">
        <v>0</v>
      </c>
      <c r="G1486" t="s">
        <v>428</v>
      </c>
    </row>
    <row r="1487" spans="1:7" x14ac:dyDescent="0.35">
      <c r="A1487">
        <v>610</v>
      </c>
      <c r="B1487" t="s">
        <v>648</v>
      </c>
      <c r="C1487">
        <v>0</v>
      </c>
      <c r="D1487">
        <v>0</v>
      </c>
      <c r="E1487">
        <v>0</v>
      </c>
      <c r="F1487">
        <v>0</v>
      </c>
      <c r="G1487" t="s">
        <v>428</v>
      </c>
    </row>
    <row r="1488" spans="1:7" x14ac:dyDescent="0.35">
      <c r="A1488">
        <v>615</v>
      </c>
      <c r="B1488" t="s">
        <v>673</v>
      </c>
      <c r="C1488">
        <v>0</v>
      </c>
      <c r="D1488">
        <v>0</v>
      </c>
      <c r="E1488">
        <v>0</v>
      </c>
      <c r="F1488">
        <v>0</v>
      </c>
      <c r="G1488" t="s">
        <v>428</v>
      </c>
    </row>
    <row r="1489" spans="1:7" x14ac:dyDescent="0.35">
      <c r="A1489">
        <v>620</v>
      </c>
      <c r="B1489" t="s">
        <v>260</v>
      </c>
      <c r="C1489">
        <v>0</v>
      </c>
      <c r="D1489">
        <v>0</v>
      </c>
      <c r="E1489">
        <v>0</v>
      </c>
      <c r="F1489">
        <v>0</v>
      </c>
      <c r="G1489" t="s">
        <v>428</v>
      </c>
    </row>
    <row r="1490" spans="1:7" x14ac:dyDescent="0.35">
      <c r="A1490">
        <v>630</v>
      </c>
      <c r="B1490" t="s">
        <v>261</v>
      </c>
      <c r="C1490">
        <v>0</v>
      </c>
      <c r="D1490">
        <v>0</v>
      </c>
      <c r="E1490">
        <v>0</v>
      </c>
      <c r="F1490">
        <v>0</v>
      </c>
      <c r="G1490" t="s">
        <v>428</v>
      </c>
    </row>
    <row r="1491" spans="1:7" x14ac:dyDescent="0.35">
      <c r="A1491">
        <v>635</v>
      </c>
      <c r="B1491" t="s">
        <v>674</v>
      </c>
      <c r="C1491">
        <v>0</v>
      </c>
      <c r="D1491">
        <v>0</v>
      </c>
      <c r="E1491">
        <v>0</v>
      </c>
      <c r="F1491">
        <v>0</v>
      </c>
      <c r="G1491" t="s">
        <v>428</v>
      </c>
    </row>
    <row r="1492" spans="1:7" x14ac:dyDescent="0.35">
      <c r="A1492">
        <v>640</v>
      </c>
      <c r="B1492" t="s">
        <v>262</v>
      </c>
      <c r="C1492">
        <v>21016</v>
      </c>
      <c r="D1492">
        <v>-5323165.24</v>
      </c>
      <c r="E1492">
        <v>-5302149.24</v>
      </c>
      <c r="F1492">
        <v>21016</v>
      </c>
      <c r="G1492" t="s">
        <v>428</v>
      </c>
    </row>
    <row r="1493" spans="1:7" x14ac:dyDescent="0.35">
      <c r="A1493">
        <v>650</v>
      </c>
      <c r="B1493" t="s">
        <v>263</v>
      </c>
      <c r="C1493">
        <v>-328550.53000000003</v>
      </c>
      <c r="D1493">
        <v>368301.44</v>
      </c>
      <c r="E1493">
        <v>39750.910000000003</v>
      </c>
      <c r="F1493">
        <v>-328550.53000000003</v>
      </c>
      <c r="G1493" t="s">
        <v>428</v>
      </c>
    </row>
    <row r="1494" spans="1:7" x14ac:dyDescent="0.35">
      <c r="A1494" t="s">
        <v>528</v>
      </c>
      <c r="B1494" t="s">
        <v>416</v>
      </c>
      <c r="C1494" t="s">
        <v>608</v>
      </c>
      <c r="D1494" t="s">
        <v>609</v>
      </c>
      <c r="E1494" t="s">
        <v>610</v>
      </c>
      <c r="F1494" t="s">
        <v>611</v>
      </c>
      <c r="G1494" t="s">
        <v>121</v>
      </c>
    </row>
    <row r="1495" spans="1:7" x14ac:dyDescent="0.35">
      <c r="A1495">
        <v>10</v>
      </c>
      <c r="B1495" t="s">
        <v>612</v>
      </c>
      <c r="C1495">
        <v>0</v>
      </c>
      <c r="D1495">
        <v>0</v>
      </c>
      <c r="E1495">
        <v>0</v>
      </c>
      <c r="F1495">
        <v>0</v>
      </c>
      <c r="G1495" t="s">
        <v>428</v>
      </c>
    </row>
    <row r="1496" spans="1:7" x14ac:dyDescent="0.35">
      <c r="A1496">
        <v>20</v>
      </c>
      <c r="B1496" t="s">
        <v>427</v>
      </c>
      <c r="C1496">
        <v>3743</v>
      </c>
      <c r="D1496">
        <v>0</v>
      </c>
      <c r="E1496">
        <v>3743</v>
      </c>
      <c r="F1496">
        <v>3743</v>
      </c>
      <c r="G1496" t="s">
        <v>428</v>
      </c>
    </row>
    <row r="1497" spans="1:7" x14ac:dyDescent="0.35">
      <c r="A1497">
        <v>30</v>
      </c>
      <c r="B1497" t="s">
        <v>613</v>
      </c>
      <c r="C1497">
        <v>0</v>
      </c>
      <c r="D1497">
        <v>0</v>
      </c>
      <c r="E1497">
        <v>0</v>
      </c>
      <c r="F1497">
        <v>0</v>
      </c>
      <c r="G1497" t="s">
        <v>428</v>
      </c>
    </row>
    <row r="1498" spans="1:7" x14ac:dyDescent="0.35">
      <c r="A1498">
        <v>35</v>
      </c>
      <c r="B1498" t="s">
        <v>614</v>
      </c>
      <c r="C1498">
        <v>3743</v>
      </c>
      <c r="D1498">
        <v>0</v>
      </c>
      <c r="E1498">
        <v>3743</v>
      </c>
      <c r="F1498">
        <v>3743</v>
      </c>
      <c r="G1498" t="s">
        <v>428</v>
      </c>
    </row>
    <row r="1499" spans="1:7" x14ac:dyDescent="0.35">
      <c r="A1499">
        <v>40</v>
      </c>
      <c r="B1499" t="s">
        <v>615</v>
      </c>
      <c r="C1499">
        <v>0</v>
      </c>
      <c r="D1499">
        <v>0</v>
      </c>
      <c r="E1499">
        <v>0</v>
      </c>
      <c r="F1499">
        <v>0</v>
      </c>
      <c r="G1499" t="s">
        <v>428</v>
      </c>
    </row>
    <row r="1500" spans="1:7" x14ac:dyDescent="0.35">
      <c r="A1500">
        <v>50</v>
      </c>
      <c r="B1500" t="s">
        <v>616</v>
      </c>
      <c r="C1500">
        <v>0</v>
      </c>
      <c r="D1500">
        <v>0</v>
      </c>
      <c r="E1500">
        <v>0</v>
      </c>
      <c r="F1500">
        <v>0</v>
      </c>
      <c r="G1500" t="s">
        <v>428</v>
      </c>
    </row>
    <row r="1501" spans="1:7" x14ac:dyDescent="0.35">
      <c r="A1501">
        <v>60</v>
      </c>
      <c r="B1501" t="s">
        <v>617</v>
      </c>
      <c r="C1501">
        <v>3743</v>
      </c>
      <c r="D1501">
        <v>0</v>
      </c>
      <c r="E1501">
        <v>3743</v>
      </c>
      <c r="F1501">
        <v>3743</v>
      </c>
      <c r="G1501" t="s">
        <v>428</v>
      </c>
    </row>
    <row r="1502" spans="1:7" x14ac:dyDescent="0.35">
      <c r="A1502">
        <v>70</v>
      </c>
      <c r="B1502" t="s">
        <v>433</v>
      </c>
      <c r="C1502">
        <v>15.2</v>
      </c>
      <c r="D1502">
        <v>0</v>
      </c>
      <c r="E1502">
        <v>15.2</v>
      </c>
      <c r="F1502">
        <v>15.2</v>
      </c>
      <c r="G1502" t="s">
        <v>428</v>
      </c>
    </row>
    <row r="1503" spans="1:7" x14ac:dyDescent="0.35">
      <c r="A1503">
        <v>80</v>
      </c>
      <c r="B1503" t="s">
        <v>434</v>
      </c>
      <c r="C1503">
        <v>0</v>
      </c>
      <c r="D1503">
        <v>0</v>
      </c>
      <c r="E1503">
        <v>0</v>
      </c>
      <c r="F1503">
        <v>0</v>
      </c>
      <c r="G1503" t="s">
        <v>428</v>
      </c>
    </row>
    <row r="1504" spans="1:7" x14ac:dyDescent="0.35">
      <c r="A1504">
        <v>90</v>
      </c>
      <c r="B1504" t="s">
        <v>618</v>
      </c>
      <c r="C1504">
        <v>3786.04</v>
      </c>
      <c r="D1504">
        <v>0</v>
      </c>
      <c r="E1504">
        <v>3786.04</v>
      </c>
      <c r="F1504">
        <v>3786.04</v>
      </c>
      <c r="G1504" t="s">
        <v>428</v>
      </c>
    </row>
    <row r="1505" spans="1:7" x14ac:dyDescent="0.35">
      <c r="A1505">
        <v>100</v>
      </c>
      <c r="B1505" t="s">
        <v>619</v>
      </c>
      <c r="C1505">
        <v>-58.24</v>
      </c>
      <c r="D1505">
        <v>0</v>
      </c>
      <c r="E1505">
        <v>-58.24</v>
      </c>
      <c r="F1505">
        <v>-58.24</v>
      </c>
      <c r="G1505" t="s">
        <v>428</v>
      </c>
    </row>
    <row r="1506" spans="1:7" x14ac:dyDescent="0.35">
      <c r="A1506">
        <v>110</v>
      </c>
      <c r="B1506" t="s">
        <v>620</v>
      </c>
      <c r="C1506">
        <v>0</v>
      </c>
      <c r="D1506">
        <v>0</v>
      </c>
      <c r="E1506">
        <v>0</v>
      </c>
      <c r="F1506">
        <v>0</v>
      </c>
      <c r="G1506" t="s">
        <v>428</v>
      </c>
    </row>
    <row r="1507" spans="1:7" x14ac:dyDescent="0.35">
      <c r="A1507">
        <v>120</v>
      </c>
      <c r="B1507" t="s">
        <v>621</v>
      </c>
      <c r="C1507">
        <v>0</v>
      </c>
      <c r="D1507">
        <v>0</v>
      </c>
      <c r="E1507">
        <v>0</v>
      </c>
      <c r="F1507">
        <v>0</v>
      </c>
      <c r="G1507" t="s">
        <v>428</v>
      </c>
    </row>
    <row r="1508" spans="1:7" x14ac:dyDescent="0.35">
      <c r="A1508">
        <v>130</v>
      </c>
      <c r="B1508" t="s">
        <v>622</v>
      </c>
      <c r="C1508">
        <v>0</v>
      </c>
      <c r="D1508">
        <v>0</v>
      </c>
      <c r="E1508">
        <v>0</v>
      </c>
      <c r="F1508">
        <v>0</v>
      </c>
      <c r="G1508" t="s">
        <v>428</v>
      </c>
    </row>
    <row r="1509" spans="1:7" x14ac:dyDescent="0.35">
      <c r="A1509">
        <v>140</v>
      </c>
      <c r="B1509" t="s">
        <v>623</v>
      </c>
      <c r="C1509">
        <v>0</v>
      </c>
      <c r="D1509">
        <v>0</v>
      </c>
      <c r="E1509">
        <v>0</v>
      </c>
      <c r="F1509">
        <v>0</v>
      </c>
      <c r="G1509" t="s">
        <v>428</v>
      </c>
    </row>
    <row r="1510" spans="1:7" x14ac:dyDescent="0.35">
      <c r="A1510">
        <v>145</v>
      </c>
      <c r="B1510" t="s">
        <v>443</v>
      </c>
      <c r="C1510">
        <v>0</v>
      </c>
      <c r="D1510">
        <v>0</v>
      </c>
      <c r="E1510">
        <v>0</v>
      </c>
      <c r="F1510">
        <v>0</v>
      </c>
      <c r="G1510" t="s">
        <v>428</v>
      </c>
    </row>
    <row r="1511" spans="1:7" x14ac:dyDescent="0.35">
      <c r="A1511">
        <v>150</v>
      </c>
      <c r="B1511" t="s">
        <v>624</v>
      </c>
      <c r="C1511">
        <v>-58.24</v>
      </c>
      <c r="D1511">
        <v>0</v>
      </c>
      <c r="E1511">
        <v>-58.24</v>
      </c>
      <c r="F1511">
        <v>-58.24</v>
      </c>
      <c r="G1511" t="s">
        <v>428</v>
      </c>
    </row>
    <row r="1512" spans="1:7" x14ac:dyDescent="0.35">
      <c r="A1512">
        <v>160</v>
      </c>
      <c r="B1512" t="s">
        <v>625</v>
      </c>
      <c r="C1512">
        <v>0</v>
      </c>
      <c r="D1512">
        <v>0</v>
      </c>
      <c r="E1512">
        <v>0</v>
      </c>
      <c r="F1512">
        <v>0</v>
      </c>
      <c r="G1512" t="s">
        <v>428</v>
      </c>
    </row>
    <row r="1513" spans="1:7" x14ac:dyDescent="0.35">
      <c r="A1513">
        <v>170</v>
      </c>
      <c r="B1513" t="s">
        <v>447</v>
      </c>
      <c r="C1513">
        <v>-58.24</v>
      </c>
      <c r="D1513">
        <v>0</v>
      </c>
      <c r="E1513">
        <v>-58.24</v>
      </c>
      <c r="F1513">
        <v>-58.24</v>
      </c>
      <c r="G1513" t="s">
        <v>428</v>
      </c>
    </row>
    <row r="1514" spans="1:7" x14ac:dyDescent="0.35">
      <c r="A1514">
        <v>190</v>
      </c>
      <c r="B1514" t="s">
        <v>626</v>
      </c>
      <c r="C1514">
        <v>0</v>
      </c>
      <c r="D1514">
        <v>0</v>
      </c>
      <c r="E1514">
        <v>0</v>
      </c>
      <c r="F1514">
        <v>0</v>
      </c>
      <c r="G1514" t="s">
        <v>428</v>
      </c>
    </row>
    <row r="1515" spans="1:7" x14ac:dyDescent="0.35">
      <c r="A1515">
        <v>200</v>
      </c>
      <c r="B1515" t="s">
        <v>447</v>
      </c>
      <c r="C1515">
        <v>-58.24</v>
      </c>
      <c r="D1515">
        <v>0</v>
      </c>
      <c r="E1515">
        <v>-58.24</v>
      </c>
      <c r="F1515">
        <v>-58.24</v>
      </c>
      <c r="G1515" t="s">
        <v>428</v>
      </c>
    </row>
    <row r="1516" spans="1:7" x14ac:dyDescent="0.35">
      <c r="A1516">
        <v>210</v>
      </c>
      <c r="B1516" t="s">
        <v>247</v>
      </c>
      <c r="C1516">
        <v>-58.24</v>
      </c>
      <c r="D1516">
        <v>0</v>
      </c>
      <c r="E1516">
        <v>-58.24</v>
      </c>
      <c r="F1516">
        <v>-58.24</v>
      </c>
      <c r="G1516" t="s">
        <v>428</v>
      </c>
    </row>
    <row r="1517" spans="1:7" x14ac:dyDescent="0.35">
      <c r="A1517">
        <v>220</v>
      </c>
      <c r="B1517" t="s">
        <v>627</v>
      </c>
      <c r="C1517">
        <v>0</v>
      </c>
      <c r="D1517">
        <v>0</v>
      </c>
      <c r="E1517">
        <v>0</v>
      </c>
      <c r="F1517">
        <v>0</v>
      </c>
      <c r="G1517" t="s">
        <v>428</v>
      </c>
    </row>
    <row r="1518" spans="1:7" x14ac:dyDescent="0.35">
      <c r="A1518">
        <v>230</v>
      </c>
      <c r="B1518" t="s">
        <v>196</v>
      </c>
      <c r="C1518">
        <v>0</v>
      </c>
      <c r="D1518">
        <v>0</v>
      </c>
      <c r="E1518">
        <v>0</v>
      </c>
      <c r="F1518">
        <v>0</v>
      </c>
      <c r="G1518" t="s">
        <v>428</v>
      </c>
    </row>
    <row r="1519" spans="1:7" x14ac:dyDescent="0.35">
      <c r="A1519">
        <v>235</v>
      </c>
      <c r="B1519" t="s">
        <v>628</v>
      </c>
      <c r="C1519">
        <v>0</v>
      </c>
      <c r="D1519">
        <v>0</v>
      </c>
      <c r="E1519">
        <v>0</v>
      </c>
      <c r="F1519">
        <v>0</v>
      </c>
      <c r="G1519" t="s">
        <v>428</v>
      </c>
    </row>
    <row r="1520" spans="1:7" x14ac:dyDescent="0.35">
      <c r="A1520">
        <v>240</v>
      </c>
      <c r="B1520" t="s">
        <v>197</v>
      </c>
      <c r="C1520">
        <v>0</v>
      </c>
      <c r="D1520">
        <v>0</v>
      </c>
      <c r="E1520">
        <v>0</v>
      </c>
      <c r="F1520">
        <v>0</v>
      </c>
      <c r="G1520" t="s">
        <v>428</v>
      </c>
    </row>
    <row r="1521" spans="1:7" x14ac:dyDescent="0.35">
      <c r="A1521">
        <v>250</v>
      </c>
      <c r="B1521" t="s">
        <v>198</v>
      </c>
      <c r="C1521">
        <v>0</v>
      </c>
      <c r="D1521">
        <v>0</v>
      </c>
      <c r="E1521">
        <v>0</v>
      </c>
      <c r="F1521">
        <v>0</v>
      </c>
      <c r="G1521" t="s">
        <v>428</v>
      </c>
    </row>
    <row r="1522" spans="1:7" x14ac:dyDescent="0.35">
      <c r="A1522">
        <v>260</v>
      </c>
      <c r="B1522"/>
      <c r="C1522">
        <v>0</v>
      </c>
      <c r="D1522">
        <v>0</v>
      </c>
      <c r="E1522">
        <v>0</v>
      </c>
      <c r="F1522">
        <v>0</v>
      </c>
      <c r="G1522" t="s">
        <v>428</v>
      </c>
    </row>
    <row r="1523" spans="1:7" x14ac:dyDescent="0.35">
      <c r="A1523">
        <v>270</v>
      </c>
      <c r="B1523" t="s">
        <v>199</v>
      </c>
      <c r="C1523">
        <v>0</v>
      </c>
      <c r="D1523">
        <v>-947.26</v>
      </c>
      <c r="E1523">
        <v>-947.26</v>
      </c>
      <c r="F1523">
        <v>0</v>
      </c>
      <c r="G1523" t="s">
        <v>428</v>
      </c>
    </row>
    <row r="1524" spans="1:7" x14ac:dyDescent="0.35">
      <c r="A1524">
        <v>300</v>
      </c>
      <c r="B1524" t="s">
        <v>222</v>
      </c>
      <c r="C1524">
        <v>0</v>
      </c>
      <c r="D1524">
        <v>0</v>
      </c>
      <c r="E1524">
        <v>0</v>
      </c>
      <c r="F1524">
        <v>0</v>
      </c>
      <c r="G1524" t="s">
        <v>428</v>
      </c>
    </row>
    <row r="1525" spans="1:7" x14ac:dyDescent="0.35">
      <c r="A1525">
        <v>310</v>
      </c>
      <c r="B1525" t="s">
        <v>630</v>
      </c>
      <c r="C1525">
        <v>0</v>
      </c>
      <c r="D1525">
        <v>0</v>
      </c>
      <c r="E1525">
        <v>0</v>
      </c>
      <c r="F1525">
        <v>0</v>
      </c>
      <c r="G1525" t="s">
        <v>428</v>
      </c>
    </row>
    <row r="1526" spans="1:7" x14ac:dyDescent="0.35">
      <c r="A1526">
        <v>320</v>
      </c>
      <c r="B1526" t="s">
        <v>248</v>
      </c>
      <c r="C1526">
        <v>0</v>
      </c>
      <c r="D1526">
        <v>0</v>
      </c>
      <c r="E1526">
        <v>0</v>
      </c>
      <c r="F1526">
        <v>0</v>
      </c>
      <c r="G1526" t="s">
        <v>428</v>
      </c>
    </row>
    <row r="1527" spans="1:7" x14ac:dyDescent="0.35">
      <c r="A1527">
        <v>325</v>
      </c>
      <c r="B1527" t="s">
        <v>249</v>
      </c>
      <c r="C1527">
        <v>0</v>
      </c>
      <c r="D1527">
        <v>0</v>
      </c>
      <c r="E1527">
        <v>0</v>
      </c>
      <c r="F1527">
        <v>0</v>
      </c>
      <c r="G1527" t="s">
        <v>428</v>
      </c>
    </row>
    <row r="1528" spans="1:7" x14ac:dyDescent="0.35">
      <c r="A1528">
        <v>330</v>
      </c>
      <c r="B1528" t="s">
        <v>690</v>
      </c>
      <c r="C1528">
        <v>0</v>
      </c>
      <c r="D1528">
        <v>1133122.17</v>
      </c>
      <c r="E1528">
        <v>1133122.17</v>
      </c>
      <c r="F1528">
        <v>0</v>
      </c>
      <c r="G1528" t="s">
        <v>428</v>
      </c>
    </row>
    <row r="1529" spans="1:7" x14ac:dyDescent="0.35">
      <c r="A1529">
        <v>340</v>
      </c>
      <c r="B1529" t="s">
        <v>632</v>
      </c>
      <c r="C1529">
        <v>0</v>
      </c>
      <c r="D1529">
        <v>0</v>
      </c>
      <c r="E1529">
        <v>0</v>
      </c>
      <c r="F1529">
        <v>0</v>
      </c>
      <c r="G1529" t="s">
        <v>428</v>
      </c>
    </row>
    <row r="1530" spans="1:7" x14ac:dyDescent="0.35">
      <c r="A1530">
        <v>380</v>
      </c>
      <c r="B1530" t="s">
        <v>633</v>
      </c>
      <c r="C1530">
        <v>0</v>
      </c>
      <c r="D1530">
        <v>1132174.9099999999</v>
      </c>
      <c r="E1530">
        <v>1132174.9099999999</v>
      </c>
      <c r="F1530">
        <v>0</v>
      </c>
      <c r="G1530" t="s">
        <v>428</v>
      </c>
    </row>
    <row r="1531" spans="1:7" x14ac:dyDescent="0.35">
      <c r="A1531">
        <v>390</v>
      </c>
      <c r="B1531" t="s">
        <v>250</v>
      </c>
      <c r="C1531">
        <v>0</v>
      </c>
      <c r="D1531">
        <v>0</v>
      </c>
      <c r="E1531">
        <v>0</v>
      </c>
      <c r="F1531">
        <v>0</v>
      </c>
      <c r="G1531" t="s">
        <v>428</v>
      </c>
    </row>
    <row r="1532" spans="1:7" x14ac:dyDescent="0.35">
      <c r="A1532">
        <v>400</v>
      </c>
      <c r="B1532" t="s">
        <v>251</v>
      </c>
      <c r="C1532">
        <v>0</v>
      </c>
      <c r="D1532">
        <v>0</v>
      </c>
      <c r="E1532">
        <v>0</v>
      </c>
      <c r="F1532">
        <v>0</v>
      </c>
      <c r="G1532" t="s">
        <v>428</v>
      </c>
    </row>
    <row r="1533" spans="1:7" x14ac:dyDescent="0.35">
      <c r="A1533">
        <v>405</v>
      </c>
      <c r="B1533" t="s">
        <v>252</v>
      </c>
      <c r="C1533">
        <v>0</v>
      </c>
      <c r="D1533">
        <v>0</v>
      </c>
      <c r="E1533">
        <v>0</v>
      </c>
      <c r="F1533">
        <v>0</v>
      </c>
      <c r="G1533" t="s">
        <v>428</v>
      </c>
    </row>
    <row r="1534" spans="1:7" x14ac:dyDescent="0.35">
      <c r="A1534">
        <v>410</v>
      </c>
      <c r="B1534" t="s">
        <v>237</v>
      </c>
      <c r="C1534">
        <v>0</v>
      </c>
      <c r="D1534">
        <v>0</v>
      </c>
      <c r="E1534">
        <v>0</v>
      </c>
      <c r="F1534">
        <v>0</v>
      </c>
      <c r="G1534" t="s">
        <v>428</v>
      </c>
    </row>
    <row r="1535" spans="1:7" x14ac:dyDescent="0.35">
      <c r="A1535">
        <v>420</v>
      </c>
      <c r="B1535" t="s">
        <v>253</v>
      </c>
      <c r="C1535">
        <v>0</v>
      </c>
      <c r="D1535">
        <v>-118283.45</v>
      </c>
      <c r="E1535">
        <v>-118283.45</v>
      </c>
      <c r="F1535">
        <v>0</v>
      </c>
      <c r="G1535" t="s">
        <v>428</v>
      </c>
    </row>
    <row r="1536" spans="1:7" x14ac:dyDescent="0.35">
      <c r="A1536">
        <v>425</v>
      </c>
      <c r="B1536" t="s">
        <v>634</v>
      </c>
      <c r="C1536">
        <v>0</v>
      </c>
      <c r="D1536">
        <v>0</v>
      </c>
      <c r="E1536">
        <v>0</v>
      </c>
      <c r="F1536">
        <v>0</v>
      </c>
      <c r="G1536" t="s">
        <v>428</v>
      </c>
    </row>
    <row r="1537" spans="1:7" x14ac:dyDescent="0.35">
      <c r="A1537">
        <v>427</v>
      </c>
      <c r="B1537" t="s">
        <v>635</v>
      </c>
      <c r="C1537">
        <v>0</v>
      </c>
      <c r="D1537">
        <v>0</v>
      </c>
      <c r="E1537">
        <v>0</v>
      </c>
      <c r="F1537">
        <v>0</v>
      </c>
      <c r="G1537" t="s">
        <v>428</v>
      </c>
    </row>
    <row r="1538" spans="1:7" x14ac:dyDescent="0.35">
      <c r="A1538">
        <v>430</v>
      </c>
      <c r="B1538" t="s">
        <v>254</v>
      </c>
      <c r="C1538">
        <v>0</v>
      </c>
      <c r="D1538">
        <v>-339230.13</v>
      </c>
      <c r="E1538">
        <v>-339230.13</v>
      </c>
      <c r="F1538">
        <v>0</v>
      </c>
      <c r="G1538" t="s">
        <v>428</v>
      </c>
    </row>
    <row r="1539" spans="1:7" x14ac:dyDescent="0.35">
      <c r="A1539">
        <v>440</v>
      </c>
      <c r="B1539" t="s">
        <v>255</v>
      </c>
      <c r="C1539">
        <v>0</v>
      </c>
      <c r="D1539">
        <v>-457513.58</v>
      </c>
      <c r="E1539">
        <v>-457513.58</v>
      </c>
      <c r="F1539">
        <v>0</v>
      </c>
      <c r="G1539" t="s">
        <v>428</v>
      </c>
    </row>
    <row r="1540" spans="1:7" x14ac:dyDescent="0.35">
      <c r="A1540">
        <v>450</v>
      </c>
      <c r="B1540" t="s">
        <v>256</v>
      </c>
      <c r="C1540">
        <v>0</v>
      </c>
      <c r="D1540">
        <v>0</v>
      </c>
      <c r="E1540">
        <v>0</v>
      </c>
      <c r="F1540">
        <v>0</v>
      </c>
      <c r="G1540" t="s">
        <v>428</v>
      </c>
    </row>
    <row r="1541" spans="1:7" x14ac:dyDescent="0.35">
      <c r="A1541">
        <v>455</v>
      </c>
      <c r="B1541" t="s">
        <v>204</v>
      </c>
      <c r="C1541">
        <v>0</v>
      </c>
      <c r="D1541">
        <v>-847008</v>
      </c>
      <c r="E1541">
        <v>-847008</v>
      </c>
      <c r="F1541">
        <v>0</v>
      </c>
      <c r="G1541" t="s">
        <v>428</v>
      </c>
    </row>
    <row r="1542" spans="1:7" x14ac:dyDescent="0.35">
      <c r="A1542">
        <v>456</v>
      </c>
      <c r="B1542" t="s">
        <v>636</v>
      </c>
      <c r="C1542">
        <v>3786.04</v>
      </c>
      <c r="D1542">
        <v>218950.38</v>
      </c>
      <c r="E1542">
        <v>222736.42</v>
      </c>
      <c r="F1542">
        <v>3786.04</v>
      </c>
      <c r="G1542" t="s">
        <v>428</v>
      </c>
    </row>
    <row r="1543" spans="1:7" x14ac:dyDescent="0.35">
      <c r="A1543">
        <v>460</v>
      </c>
      <c r="B1543" t="s">
        <v>208</v>
      </c>
      <c r="C1543">
        <v>0</v>
      </c>
      <c r="D1543">
        <v>-172975</v>
      </c>
      <c r="E1543">
        <v>-172975</v>
      </c>
      <c r="F1543">
        <v>0</v>
      </c>
      <c r="G1543" t="s">
        <v>428</v>
      </c>
    </row>
    <row r="1544" spans="1:7" x14ac:dyDescent="0.35">
      <c r="A1544">
        <v>470</v>
      </c>
      <c r="B1544" t="s">
        <v>637</v>
      </c>
      <c r="C1544">
        <v>0</v>
      </c>
      <c r="D1544">
        <v>129731.1</v>
      </c>
      <c r="E1544">
        <v>129731.1</v>
      </c>
      <c r="F1544">
        <v>0</v>
      </c>
      <c r="G1544" t="s">
        <v>428</v>
      </c>
    </row>
    <row r="1545" spans="1:7" x14ac:dyDescent="0.35">
      <c r="A1545">
        <v>480</v>
      </c>
      <c r="B1545" t="s">
        <v>207</v>
      </c>
      <c r="C1545">
        <v>0</v>
      </c>
      <c r="D1545">
        <v>0</v>
      </c>
      <c r="E1545">
        <v>0</v>
      </c>
      <c r="F1545">
        <v>0</v>
      </c>
      <c r="G1545" t="s">
        <v>428</v>
      </c>
    </row>
    <row r="1546" spans="1:7" x14ac:dyDescent="0.35">
      <c r="A1546">
        <v>490</v>
      </c>
      <c r="B1546" t="s">
        <v>638</v>
      </c>
      <c r="C1546">
        <v>0</v>
      </c>
      <c r="D1546">
        <v>0</v>
      </c>
      <c r="E1546">
        <v>0</v>
      </c>
      <c r="F1546">
        <v>0</v>
      </c>
      <c r="G1546" t="s">
        <v>428</v>
      </c>
    </row>
    <row r="1547" spans="1:7" x14ac:dyDescent="0.35">
      <c r="A1547">
        <v>500</v>
      </c>
      <c r="B1547" t="s">
        <v>206</v>
      </c>
      <c r="C1547">
        <v>0</v>
      </c>
      <c r="D1547">
        <v>0</v>
      </c>
      <c r="E1547">
        <v>0</v>
      </c>
      <c r="F1547">
        <v>0</v>
      </c>
      <c r="G1547" t="s">
        <v>428</v>
      </c>
    </row>
    <row r="1548" spans="1:7" x14ac:dyDescent="0.35">
      <c r="A1548">
        <v>510</v>
      </c>
      <c r="B1548" t="s">
        <v>639</v>
      </c>
      <c r="C1548">
        <v>0</v>
      </c>
      <c r="D1548">
        <v>0</v>
      </c>
      <c r="E1548">
        <v>0</v>
      </c>
      <c r="F1548">
        <v>0</v>
      </c>
      <c r="G1548" t="s">
        <v>428</v>
      </c>
    </row>
    <row r="1549" spans="1:7" x14ac:dyDescent="0.35">
      <c r="A1549">
        <v>512</v>
      </c>
      <c r="B1549" t="s">
        <v>257</v>
      </c>
      <c r="C1549">
        <v>0</v>
      </c>
      <c r="D1549">
        <v>0</v>
      </c>
      <c r="E1549">
        <v>0</v>
      </c>
      <c r="F1549">
        <v>0</v>
      </c>
      <c r="G1549" t="s">
        <v>428</v>
      </c>
    </row>
    <row r="1550" spans="1:7" x14ac:dyDescent="0.35">
      <c r="A1550">
        <v>514</v>
      </c>
      <c r="B1550" t="s">
        <v>640</v>
      </c>
      <c r="C1550">
        <v>0</v>
      </c>
      <c r="D1550">
        <v>0</v>
      </c>
      <c r="E1550">
        <v>0</v>
      </c>
      <c r="F1550">
        <v>0</v>
      </c>
      <c r="G1550" t="s">
        <v>428</v>
      </c>
    </row>
    <row r="1551" spans="1:7" x14ac:dyDescent="0.35">
      <c r="A1551">
        <v>520</v>
      </c>
      <c r="B1551" t="s">
        <v>641</v>
      </c>
      <c r="C1551">
        <v>0</v>
      </c>
      <c r="D1551">
        <v>0</v>
      </c>
      <c r="E1551">
        <v>0</v>
      </c>
      <c r="F1551">
        <v>0</v>
      </c>
      <c r="G1551" t="s">
        <v>428</v>
      </c>
    </row>
    <row r="1552" spans="1:7" x14ac:dyDescent="0.35">
      <c r="A1552">
        <v>530</v>
      </c>
      <c r="B1552" t="s">
        <v>642</v>
      </c>
      <c r="C1552">
        <v>0</v>
      </c>
      <c r="D1552">
        <v>0</v>
      </c>
      <c r="E1552">
        <v>0</v>
      </c>
      <c r="F1552">
        <v>0</v>
      </c>
      <c r="G1552" t="s">
        <v>428</v>
      </c>
    </row>
    <row r="1553" spans="1:7" x14ac:dyDescent="0.35">
      <c r="A1553">
        <v>540</v>
      </c>
      <c r="B1553" t="s">
        <v>643</v>
      </c>
      <c r="C1553">
        <v>0</v>
      </c>
      <c r="D1553">
        <v>0</v>
      </c>
      <c r="E1553">
        <v>0</v>
      </c>
      <c r="F1553">
        <v>0</v>
      </c>
      <c r="G1553" t="s">
        <v>428</v>
      </c>
    </row>
    <row r="1554" spans="1:7" x14ac:dyDescent="0.35">
      <c r="A1554">
        <v>550</v>
      </c>
      <c r="B1554" t="s">
        <v>644</v>
      </c>
      <c r="C1554">
        <v>0</v>
      </c>
      <c r="D1554">
        <v>0</v>
      </c>
      <c r="E1554">
        <v>0</v>
      </c>
      <c r="F1554">
        <v>0</v>
      </c>
      <c r="G1554" t="s">
        <v>428</v>
      </c>
    </row>
    <row r="1555" spans="1:7" x14ac:dyDescent="0.35">
      <c r="A1555">
        <v>560</v>
      </c>
      <c r="B1555" t="s">
        <v>645</v>
      </c>
      <c r="C1555">
        <v>0</v>
      </c>
      <c r="D1555">
        <v>-3450</v>
      </c>
      <c r="E1555">
        <v>-3450</v>
      </c>
      <c r="F1555">
        <v>0</v>
      </c>
      <c r="G1555" t="s">
        <v>428</v>
      </c>
    </row>
    <row r="1556" spans="1:7" x14ac:dyDescent="0.35">
      <c r="A1556">
        <v>570</v>
      </c>
      <c r="B1556" t="s">
        <v>646</v>
      </c>
      <c r="C1556">
        <v>0</v>
      </c>
      <c r="D1556">
        <v>3022</v>
      </c>
      <c r="E1556">
        <v>3022</v>
      </c>
      <c r="F1556">
        <v>0</v>
      </c>
      <c r="G1556" t="s">
        <v>428</v>
      </c>
    </row>
    <row r="1557" spans="1:7" x14ac:dyDescent="0.35">
      <c r="A1557">
        <v>580</v>
      </c>
      <c r="B1557" t="s">
        <v>258</v>
      </c>
      <c r="C1557">
        <v>0</v>
      </c>
      <c r="D1557">
        <v>0</v>
      </c>
      <c r="E1557">
        <v>0</v>
      </c>
      <c r="F1557">
        <v>0</v>
      </c>
      <c r="G1557" t="s">
        <v>428</v>
      </c>
    </row>
    <row r="1558" spans="1:7" x14ac:dyDescent="0.35">
      <c r="A1558">
        <v>590</v>
      </c>
      <c r="B1558" t="s">
        <v>647</v>
      </c>
      <c r="C1558">
        <v>0</v>
      </c>
      <c r="D1558">
        <v>0</v>
      </c>
      <c r="E1558">
        <v>0</v>
      </c>
      <c r="F1558">
        <v>0</v>
      </c>
      <c r="G1558" t="s">
        <v>428</v>
      </c>
    </row>
    <row r="1559" spans="1:7" x14ac:dyDescent="0.35">
      <c r="A1559">
        <v>600</v>
      </c>
      <c r="B1559" t="s">
        <v>259</v>
      </c>
      <c r="C1559">
        <v>0</v>
      </c>
      <c r="D1559">
        <v>0</v>
      </c>
      <c r="E1559">
        <v>0</v>
      </c>
      <c r="F1559">
        <v>0</v>
      </c>
      <c r="G1559" t="s">
        <v>428</v>
      </c>
    </row>
    <row r="1560" spans="1:7" x14ac:dyDescent="0.35">
      <c r="A1560">
        <v>610</v>
      </c>
      <c r="B1560" t="s">
        <v>648</v>
      </c>
      <c r="C1560">
        <v>0</v>
      </c>
      <c r="D1560">
        <v>0</v>
      </c>
      <c r="E1560">
        <v>0</v>
      </c>
      <c r="F1560">
        <v>0</v>
      </c>
      <c r="G1560" t="s">
        <v>428</v>
      </c>
    </row>
    <row r="1561" spans="1:7" x14ac:dyDescent="0.35">
      <c r="A1561">
        <v>615</v>
      </c>
      <c r="B1561" t="s">
        <v>673</v>
      </c>
      <c r="C1561">
        <v>0</v>
      </c>
      <c r="D1561">
        <v>0</v>
      </c>
      <c r="E1561">
        <v>0</v>
      </c>
      <c r="F1561">
        <v>0</v>
      </c>
      <c r="G1561" t="s">
        <v>428</v>
      </c>
    </row>
    <row r="1562" spans="1:7" x14ac:dyDescent="0.35">
      <c r="A1562">
        <v>620</v>
      </c>
      <c r="B1562" t="s">
        <v>260</v>
      </c>
      <c r="C1562">
        <v>0</v>
      </c>
      <c r="D1562">
        <v>0</v>
      </c>
      <c r="E1562">
        <v>0</v>
      </c>
      <c r="F1562">
        <v>0</v>
      </c>
      <c r="G1562" t="s">
        <v>428</v>
      </c>
    </row>
    <row r="1563" spans="1:7" x14ac:dyDescent="0.35">
      <c r="A1563">
        <v>630</v>
      </c>
      <c r="B1563" t="s">
        <v>261</v>
      </c>
      <c r="C1563">
        <v>0</v>
      </c>
      <c r="D1563">
        <v>0</v>
      </c>
      <c r="E1563">
        <v>0</v>
      </c>
      <c r="F1563">
        <v>0</v>
      </c>
      <c r="G1563" t="s">
        <v>428</v>
      </c>
    </row>
    <row r="1564" spans="1:7" x14ac:dyDescent="0.35">
      <c r="A1564">
        <v>635</v>
      </c>
      <c r="B1564" t="s">
        <v>674</v>
      </c>
      <c r="C1564">
        <v>0</v>
      </c>
      <c r="D1564">
        <v>0</v>
      </c>
      <c r="E1564">
        <v>0</v>
      </c>
      <c r="F1564">
        <v>0</v>
      </c>
      <c r="G1564" t="s">
        <v>428</v>
      </c>
    </row>
    <row r="1565" spans="1:7" x14ac:dyDescent="0.35">
      <c r="A1565">
        <v>640</v>
      </c>
      <c r="B1565" t="s">
        <v>262</v>
      </c>
      <c r="C1565">
        <v>3786.04</v>
      </c>
      <c r="D1565">
        <v>-671729.52</v>
      </c>
      <c r="E1565">
        <v>-667943.48</v>
      </c>
      <c r="F1565">
        <v>3786.04</v>
      </c>
      <c r="G1565" t="s">
        <v>428</v>
      </c>
    </row>
    <row r="1566" spans="1:7" x14ac:dyDescent="0.35">
      <c r="A1566">
        <v>650</v>
      </c>
      <c r="B1566" t="s">
        <v>263</v>
      </c>
      <c r="C1566">
        <v>3727.8</v>
      </c>
      <c r="D1566">
        <v>2931.81</v>
      </c>
      <c r="E1566">
        <v>6659.61</v>
      </c>
      <c r="F1566">
        <v>3727.8</v>
      </c>
      <c r="G1566" t="s">
        <v>428</v>
      </c>
    </row>
    <row r="1567" spans="1:7" x14ac:dyDescent="0.35">
      <c r="A1567" t="s">
        <v>531</v>
      </c>
      <c r="B1567" t="s">
        <v>416</v>
      </c>
      <c r="C1567" t="s">
        <v>608</v>
      </c>
      <c r="D1567" t="s">
        <v>609</v>
      </c>
      <c r="E1567" t="s">
        <v>610</v>
      </c>
      <c r="F1567" t="s">
        <v>611</v>
      </c>
      <c r="G1567" t="s">
        <v>121</v>
      </c>
    </row>
    <row r="1568" spans="1:7" x14ac:dyDescent="0.35">
      <c r="A1568">
        <v>10</v>
      </c>
      <c r="B1568" t="s">
        <v>612</v>
      </c>
      <c r="C1568">
        <v>0</v>
      </c>
      <c r="D1568">
        <v>0</v>
      </c>
      <c r="E1568">
        <v>0</v>
      </c>
      <c r="F1568">
        <v>0</v>
      </c>
      <c r="G1568" t="s">
        <v>428</v>
      </c>
    </row>
    <row r="1569" spans="1:7" x14ac:dyDescent="0.35">
      <c r="A1569">
        <v>20</v>
      </c>
      <c r="B1569" t="s">
        <v>427</v>
      </c>
      <c r="C1569">
        <v>344771.95</v>
      </c>
      <c r="D1569">
        <v>0</v>
      </c>
      <c r="E1569">
        <v>344771.95</v>
      </c>
      <c r="F1569">
        <v>344771.95</v>
      </c>
      <c r="G1569" t="s">
        <v>428</v>
      </c>
    </row>
    <row r="1570" spans="1:7" x14ac:dyDescent="0.35">
      <c r="A1570">
        <v>30</v>
      </c>
      <c r="B1570" t="s">
        <v>613</v>
      </c>
      <c r="C1570">
        <v>69818.11</v>
      </c>
      <c r="D1570">
        <v>0</v>
      </c>
      <c r="E1570">
        <v>69818.11</v>
      </c>
      <c r="F1570">
        <v>69818.11</v>
      </c>
      <c r="G1570" t="s">
        <v>428</v>
      </c>
    </row>
    <row r="1571" spans="1:7" x14ac:dyDescent="0.35">
      <c r="A1571">
        <v>35</v>
      </c>
      <c r="B1571" t="s">
        <v>614</v>
      </c>
      <c r="C1571">
        <v>274953.84000000003</v>
      </c>
      <c r="D1571">
        <v>0</v>
      </c>
      <c r="E1571">
        <v>274953.84000000003</v>
      </c>
      <c r="F1571">
        <v>274953.84000000003</v>
      </c>
      <c r="G1571" t="s">
        <v>428</v>
      </c>
    </row>
    <row r="1572" spans="1:7" x14ac:dyDescent="0.35">
      <c r="A1572">
        <v>40</v>
      </c>
      <c r="B1572" t="s">
        <v>615</v>
      </c>
      <c r="C1572">
        <v>152303.96</v>
      </c>
      <c r="D1572">
        <v>0</v>
      </c>
      <c r="E1572">
        <v>152303.96</v>
      </c>
      <c r="F1572">
        <v>152303.96</v>
      </c>
      <c r="G1572" t="s">
        <v>428</v>
      </c>
    </row>
    <row r="1573" spans="1:7" x14ac:dyDescent="0.35">
      <c r="A1573">
        <v>50</v>
      </c>
      <c r="B1573" t="s">
        <v>616</v>
      </c>
      <c r="C1573">
        <v>0</v>
      </c>
      <c r="D1573">
        <v>0</v>
      </c>
      <c r="E1573">
        <v>0</v>
      </c>
      <c r="F1573">
        <v>0</v>
      </c>
      <c r="G1573" t="s">
        <v>428</v>
      </c>
    </row>
    <row r="1574" spans="1:7" x14ac:dyDescent="0.35">
      <c r="A1574">
        <v>60</v>
      </c>
      <c r="B1574" t="s">
        <v>617</v>
      </c>
      <c r="C1574">
        <v>122649.88</v>
      </c>
      <c r="D1574">
        <v>0</v>
      </c>
      <c r="E1574">
        <v>122649.88</v>
      </c>
      <c r="F1574">
        <v>122649.88</v>
      </c>
      <c r="G1574" t="s">
        <v>428</v>
      </c>
    </row>
    <row r="1575" spans="1:7" x14ac:dyDescent="0.35">
      <c r="A1575">
        <v>70</v>
      </c>
      <c r="B1575" t="s">
        <v>433</v>
      </c>
      <c r="C1575">
        <v>78778.350000000006</v>
      </c>
      <c r="D1575">
        <v>0</v>
      </c>
      <c r="E1575">
        <v>78778.350000000006</v>
      </c>
      <c r="F1575">
        <v>78778.350000000006</v>
      </c>
      <c r="G1575" t="s">
        <v>428</v>
      </c>
    </row>
    <row r="1576" spans="1:7" x14ac:dyDescent="0.35">
      <c r="A1576">
        <v>80</v>
      </c>
      <c r="B1576" t="s">
        <v>434</v>
      </c>
      <c r="C1576">
        <v>6676.19</v>
      </c>
      <c r="D1576">
        <v>0</v>
      </c>
      <c r="E1576">
        <v>6676.19</v>
      </c>
      <c r="F1576">
        <v>6676.19</v>
      </c>
      <c r="G1576" t="s">
        <v>428</v>
      </c>
    </row>
    <row r="1577" spans="1:7" x14ac:dyDescent="0.35">
      <c r="A1577">
        <v>90</v>
      </c>
      <c r="B1577" t="s">
        <v>618</v>
      </c>
      <c r="C1577">
        <v>6304.28</v>
      </c>
      <c r="D1577">
        <v>0</v>
      </c>
      <c r="E1577">
        <v>6304.28</v>
      </c>
      <c r="F1577">
        <v>6304.28</v>
      </c>
      <c r="G1577" t="s">
        <v>428</v>
      </c>
    </row>
    <row r="1578" spans="1:7" x14ac:dyDescent="0.35">
      <c r="A1578">
        <v>100</v>
      </c>
      <c r="B1578" t="s">
        <v>619</v>
      </c>
      <c r="C1578">
        <v>30891.06</v>
      </c>
      <c r="D1578">
        <v>0</v>
      </c>
      <c r="E1578">
        <v>30891.06</v>
      </c>
      <c r="F1578">
        <v>30891.06</v>
      </c>
      <c r="G1578" t="s">
        <v>428</v>
      </c>
    </row>
    <row r="1579" spans="1:7" x14ac:dyDescent="0.35">
      <c r="A1579">
        <v>110</v>
      </c>
      <c r="B1579" t="s">
        <v>620</v>
      </c>
      <c r="C1579">
        <v>0</v>
      </c>
      <c r="D1579">
        <v>0</v>
      </c>
      <c r="E1579">
        <v>0</v>
      </c>
      <c r="F1579">
        <v>0</v>
      </c>
      <c r="G1579" t="s">
        <v>428</v>
      </c>
    </row>
    <row r="1580" spans="1:7" x14ac:dyDescent="0.35">
      <c r="A1580">
        <v>120</v>
      </c>
      <c r="B1580" t="s">
        <v>621</v>
      </c>
      <c r="C1580">
        <v>-2406.17</v>
      </c>
      <c r="D1580">
        <v>0</v>
      </c>
      <c r="E1580">
        <v>-2406.17</v>
      </c>
      <c r="F1580">
        <v>-2406.17</v>
      </c>
      <c r="G1580" t="s">
        <v>428</v>
      </c>
    </row>
    <row r="1581" spans="1:7" x14ac:dyDescent="0.35">
      <c r="A1581">
        <v>130</v>
      </c>
      <c r="B1581" t="s">
        <v>622</v>
      </c>
      <c r="C1581">
        <v>0</v>
      </c>
      <c r="D1581">
        <v>0</v>
      </c>
      <c r="E1581">
        <v>0</v>
      </c>
      <c r="F1581">
        <v>0</v>
      </c>
      <c r="G1581" t="s">
        <v>428</v>
      </c>
    </row>
    <row r="1582" spans="1:7" x14ac:dyDescent="0.35">
      <c r="A1582">
        <v>140</v>
      </c>
      <c r="B1582" t="s">
        <v>623</v>
      </c>
      <c r="C1582">
        <v>0</v>
      </c>
      <c r="D1582">
        <v>0</v>
      </c>
      <c r="E1582">
        <v>0</v>
      </c>
      <c r="F1582">
        <v>0</v>
      </c>
      <c r="G1582" t="s">
        <v>428</v>
      </c>
    </row>
    <row r="1583" spans="1:7" x14ac:dyDescent="0.35">
      <c r="A1583">
        <v>145</v>
      </c>
      <c r="B1583" t="s">
        <v>443</v>
      </c>
      <c r="C1583">
        <v>-2406.17</v>
      </c>
      <c r="D1583">
        <v>0</v>
      </c>
      <c r="E1583">
        <v>-2406.17</v>
      </c>
      <c r="F1583">
        <v>-2406.17</v>
      </c>
      <c r="G1583" t="s">
        <v>428</v>
      </c>
    </row>
    <row r="1584" spans="1:7" x14ac:dyDescent="0.35">
      <c r="A1584">
        <v>150</v>
      </c>
      <c r="B1584" t="s">
        <v>624</v>
      </c>
      <c r="C1584">
        <v>33297.230000000003</v>
      </c>
      <c r="D1584">
        <v>0</v>
      </c>
      <c r="E1584">
        <v>33297.230000000003</v>
      </c>
      <c r="F1584">
        <v>33297.230000000003</v>
      </c>
      <c r="G1584" t="s">
        <v>428</v>
      </c>
    </row>
    <row r="1585" spans="1:7" x14ac:dyDescent="0.35">
      <c r="A1585">
        <v>160</v>
      </c>
      <c r="B1585" t="s">
        <v>625</v>
      </c>
      <c r="C1585">
        <v>0</v>
      </c>
      <c r="D1585">
        <v>0</v>
      </c>
      <c r="E1585">
        <v>0</v>
      </c>
      <c r="F1585">
        <v>0</v>
      </c>
      <c r="G1585" t="s">
        <v>428</v>
      </c>
    </row>
    <row r="1586" spans="1:7" x14ac:dyDescent="0.35">
      <c r="A1586">
        <v>170</v>
      </c>
      <c r="B1586" t="s">
        <v>447</v>
      </c>
      <c r="C1586">
        <v>33297.230000000003</v>
      </c>
      <c r="D1586">
        <v>0</v>
      </c>
      <c r="E1586">
        <v>33297.230000000003</v>
      </c>
      <c r="F1586">
        <v>33297.230000000003</v>
      </c>
      <c r="G1586" t="s">
        <v>428</v>
      </c>
    </row>
    <row r="1587" spans="1:7" x14ac:dyDescent="0.35">
      <c r="A1587">
        <v>190</v>
      </c>
      <c r="B1587" t="s">
        <v>626</v>
      </c>
      <c r="C1587">
        <v>0</v>
      </c>
      <c r="D1587">
        <v>0</v>
      </c>
      <c r="E1587">
        <v>0</v>
      </c>
      <c r="F1587">
        <v>0</v>
      </c>
      <c r="G1587" t="s">
        <v>428</v>
      </c>
    </row>
    <row r="1588" spans="1:7" x14ac:dyDescent="0.35">
      <c r="A1588">
        <v>200</v>
      </c>
      <c r="B1588" t="s">
        <v>447</v>
      </c>
      <c r="C1588">
        <v>33297.230000000003</v>
      </c>
      <c r="D1588">
        <v>0</v>
      </c>
      <c r="E1588">
        <v>33297.230000000003</v>
      </c>
      <c r="F1588">
        <v>33297.230000000003</v>
      </c>
      <c r="G1588" t="s">
        <v>428</v>
      </c>
    </row>
    <row r="1589" spans="1:7" x14ac:dyDescent="0.35">
      <c r="A1589">
        <v>210</v>
      </c>
      <c r="B1589" t="s">
        <v>247</v>
      </c>
      <c r="C1589">
        <v>33297.230000000003</v>
      </c>
      <c r="D1589">
        <v>0</v>
      </c>
      <c r="E1589">
        <v>33297.230000000003</v>
      </c>
      <c r="F1589">
        <v>33297.230000000003</v>
      </c>
      <c r="G1589" t="s">
        <v>428</v>
      </c>
    </row>
    <row r="1590" spans="1:7" x14ac:dyDescent="0.35">
      <c r="A1590">
        <v>220</v>
      </c>
      <c r="B1590" t="s">
        <v>627</v>
      </c>
      <c r="C1590">
        <v>0</v>
      </c>
      <c r="D1590">
        <v>0</v>
      </c>
      <c r="E1590">
        <v>0</v>
      </c>
      <c r="F1590">
        <v>0</v>
      </c>
      <c r="G1590" t="s">
        <v>428</v>
      </c>
    </row>
    <row r="1591" spans="1:7" x14ac:dyDescent="0.35">
      <c r="A1591">
        <v>230</v>
      </c>
      <c r="B1591" t="s">
        <v>196</v>
      </c>
      <c r="C1591">
        <v>-26540.12</v>
      </c>
      <c r="D1591">
        <v>-168125.8</v>
      </c>
      <c r="E1591">
        <v>-194665.92</v>
      </c>
      <c r="F1591">
        <v>-26540.12</v>
      </c>
      <c r="G1591" t="s">
        <v>428</v>
      </c>
    </row>
    <row r="1592" spans="1:7" x14ac:dyDescent="0.35">
      <c r="A1592">
        <v>235</v>
      </c>
      <c r="B1592" t="s">
        <v>628</v>
      </c>
      <c r="C1592">
        <v>0</v>
      </c>
      <c r="D1592">
        <v>-915</v>
      </c>
      <c r="E1592">
        <v>-915</v>
      </c>
      <c r="F1592">
        <v>0</v>
      </c>
      <c r="G1592" t="s">
        <v>428</v>
      </c>
    </row>
    <row r="1593" spans="1:7" x14ac:dyDescent="0.35">
      <c r="A1593">
        <v>240</v>
      </c>
      <c r="B1593" t="s">
        <v>197</v>
      </c>
      <c r="C1593">
        <v>0</v>
      </c>
      <c r="D1593">
        <v>-1257.6099999999999</v>
      </c>
      <c r="E1593">
        <v>-1257.6099999999999</v>
      </c>
      <c r="F1593">
        <v>0</v>
      </c>
      <c r="G1593" t="s">
        <v>428</v>
      </c>
    </row>
    <row r="1594" spans="1:7" x14ac:dyDescent="0.35">
      <c r="A1594">
        <v>250</v>
      </c>
      <c r="B1594" t="s">
        <v>198</v>
      </c>
      <c r="C1594">
        <v>-2774.17</v>
      </c>
      <c r="D1594">
        <v>-17356.400000000001</v>
      </c>
      <c r="E1594">
        <v>-20130.57</v>
      </c>
      <c r="F1594">
        <v>-2774.17</v>
      </c>
      <c r="G1594" t="s">
        <v>428</v>
      </c>
    </row>
    <row r="1595" spans="1:7" x14ac:dyDescent="0.35">
      <c r="A1595">
        <v>260</v>
      </c>
      <c r="B1595"/>
      <c r="C1595">
        <v>0</v>
      </c>
      <c r="D1595">
        <v>0</v>
      </c>
      <c r="E1595">
        <v>0</v>
      </c>
      <c r="F1595">
        <v>0</v>
      </c>
      <c r="G1595" t="s">
        <v>428</v>
      </c>
    </row>
    <row r="1596" spans="1:7" x14ac:dyDescent="0.35">
      <c r="A1596">
        <v>270</v>
      </c>
      <c r="B1596" t="s">
        <v>199</v>
      </c>
      <c r="C1596">
        <v>1227.1099999999999</v>
      </c>
      <c r="D1596">
        <v>-47531.519999999997</v>
      </c>
      <c r="E1596">
        <v>-46304.41</v>
      </c>
      <c r="F1596">
        <v>1227.1099999999999</v>
      </c>
      <c r="G1596" t="s">
        <v>428</v>
      </c>
    </row>
    <row r="1597" spans="1:7" x14ac:dyDescent="0.35">
      <c r="A1597">
        <v>300</v>
      </c>
      <c r="B1597" t="s">
        <v>222</v>
      </c>
      <c r="C1597">
        <v>5350.2</v>
      </c>
      <c r="D1597">
        <v>6102.12</v>
      </c>
      <c r="E1597">
        <v>11452.32</v>
      </c>
      <c r="F1597">
        <v>5350.2</v>
      </c>
      <c r="G1597" t="s">
        <v>428</v>
      </c>
    </row>
    <row r="1598" spans="1:7" x14ac:dyDescent="0.35">
      <c r="A1598">
        <v>310</v>
      </c>
      <c r="B1598" t="s">
        <v>630</v>
      </c>
      <c r="C1598">
        <v>0</v>
      </c>
      <c r="D1598">
        <v>0</v>
      </c>
      <c r="E1598">
        <v>0</v>
      </c>
      <c r="F1598">
        <v>0</v>
      </c>
      <c r="G1598" t="s">
        <v>428</v>
      </c>
    </row>
    <row r="1599" spans="1:7" x14ac:dyDescent="0.35">
      <c r="A1599">
        <v>320</v>
      </c>
      <c r="B1599" t="s">
        <v>248</v>
      </c>
      <c r="C1599">
        <v>184.55</v>
      </c>
      <c r="D1599">
        <v>-377.99</v>
      </c>
      <c r="E1599">
        <v>-193.44</v>
      </c>
      <c r="F1599">
        <v>184.55</v>
      </c>
      <c r="G1599" t="s">
        <v>428</v>
      </c>
    </row>
    <row r="1600" spans="1:7" x14ac:dyDescent="0.35">
      <c r="A1600">
        <v>325</v>
      </c>
      <c r="B1600" t="s">
        <v>249</v>
      </c>
      <c r="C1600">
        <v>9276.64</v>
      </c>
      <c r="D1600">
        <v>42051.93</v>
      </c>
      <c r="E1600">
        <v>51328.57</v>
      </c>
      <c r="F1600">
        <v>9276.64</v>
      </c>
      <c r="G1600" t="s">
        <v>428</v>
      </c>
    </row>
    <row r="1601" spans="1:7" x14ac:dyDescent="0.35">
      <c r="A1601">
        <v>330</v>
      </c>
      <c r="B1601" t="s">
        <v>690</v>
      </c>
      <c r="C1601">
        <v>-194595.45</v>
      </c>
      <c r="D1601">
        <v>1830910.91</v>
      </c>
      <c r="E1601">
        <v>1636315.46</v>
      </c>
      <c r="F1601">
        <v>-194595.45</v>
      </c>
      <c r="G1601" t="s">
        <v>428</v>
      </c>
    </row>
    <row r="1602" spans="1:7" x14ac:dyDescent="0.35">
      <c r="A1602">
        <v>340</v>
      </c>
      <c r="B1602" t="s">
        <v>632</v>
      </c>
      <c r="C1602">
        <v>-2035.2</v>
      </c>
      <c r="D1602">
        <v>14108.38</v>
      </c>
      <c r="E1602">
        <v>12073.18</v>
      </c>
      <c r="F1602">
        <v>-2035.2</v>
      </c>
      <c r="G1602" t="s">
        <v>428</v>
      </c>
    </row>
    <row r="1603" spans="1:7" x14ac:dyDescent="0.35">
      <c r="A1603">
        <v>380</v>
      </c>
      <c r="B1603" t="s">
        <v>633</v>
      </c>
      <c r="C1603">
        <v>-209906.44</v>
      </c>
      <c r="D1603">
        <v>1657609.02</v>
      </c>
      <c r="E1603">
        <v>1447702.58</v>
      </c>
      <c r="F1603">
        <v>-209906.44</v>
      </c>
      <c r="G1603" t="s">
        <v>428</v>
      </c>
    </row>
    <row r="1604" spans="1:7" x14ac:dyDescent="0.35">
      <c r="A1604">
        <v>390</v>
      </c>
      <c r="B1604" t="s">
        <v>250</v>
      </c>
      <c r="C1604">
        <v>0</v>
      </c>
      <c r="D1604">
        <v>0</v>
      </c>
      <c r="E1604">
        <v>0</v>
      </c>
      <c r="F1604">
        <v>0</v>
      </c>
      <c r="G1604" t="s">
        <v>428</v>
      </c>
    </row>
    <row r="1605" spans="1:7" x14ac:dyDescent="0.35">
      <c r="A1605">
        <v>400</v>
      </c>
      <c r="B1605" t="s">
        <v>251</v>
      </c>
      <c r="C1605">
        <v>0</v>
      </c>
      <c r="D1605">
        <v>0</v>
      </c>
      <c r="E1605">
        <v>0</v>
      </c>
      <c r="F1605">
        <v>0</v>
      </c>
      <c r="G1605" t="s">
        <v>428</v>
      </c>
    </row>
    <row r="1606" spans="1:7" x14ac:dyDescent="0.35">
      <c r="A1606">
        <v>405</v>
      </c>
      <c r="B1606" t="s">
        <v>252</v>
      </c>
      <c r="C1606">
        <v>0</v>
      </c>
      <c r="D1606">
        <v>213700</v>
      </c>
      <c r="E1606">
        <v>213700</v>
      </c>
      <c r="F1606">
        <v>0</v>
      </c>
      <c r="G1606" t="s">
        <v>428</v>
      </c>
    </row>
    <row r="1607" spans="1:7" x14ac:dyDescent="0.35">
      <c r="A1607">
        <v>410</v>
      </c>
      <c r="B1607" t="s">
        <v>237</v>
      </c>
      <c r="C1607">
        <v>0</v>
      </c>
      <c r="D1607">
        <v>1000</v>
      </c>
      <c r="E1607">
        <v>1000</v>
      </c>
      <c r="F1607">
        <v>0</v>
      </c>
      <c r="G1607" t="s">
        <v>428</v>
      </c>
    </row>
    <row r="1608" spans="1:7" x14ac:dyDescent="0.35">
      <c r="A1608">
        <v>420</v>
      </c>
      <c r="B1608" t="s">
        <v>253</v>
      </c>
      <c r="C1608">
        <v>0</v>
      </c>
      <c r="D1608">
        <v>399500</v>
      </c>
      <c r="E1608">
        <v>399500</v>
      </c>
      <c r="F1608">
        <v>0</v>
      </c>
      <c r="G1608" t="s">
        <v>428</v>
      </c>
    </row>
    <row r="1609" spans="1:7" x14ac:dyDescent="0.35">
      <c r="A1609">
        <v>425</v>
      </c>
      <c r="B1609" t="s">
        <v>634</v>
      </c>
      <c r="C1609">
        <v>0</v>
      </c>
      <c r="D1609">
        <v>0</v>
      </c>
      <c r="E1609">
        <v>0</v>
      </c>
      <c r="F1609">
        <v>0</v>
      </c>
      <c r="G1609" t="s">
        <v>428</v>
      </c>
    </row>
    <row r="1610" spans="1:7" x14ac:dyDescent="0.35">
      <c r="A1610">
        <v>427</v>
      </c>
      <c r="B1610" t="s">
        <v>635</v>
      </c>
      <c r="C1610">
        <v>0</v>
      </c>
      <c r="D1610">
        <v>0</v>
      </c>
      <c r="E1610">
        <v>0</v>
      </c>
      <c r="F1610">
        <v>0</v>
      </c>
      <c r="G1610" t="s">
        <v>428</v>
      </c>
    </row>
    <row r="1611" spans="1:7" x14ac:dyDescent="0.35">
      <c r="A1611">
        <v>430</v>
      </c>
      <c r="B1611" t="s">
        <v>254</v>
      </c>
      <c r="C1611">
        <v>0</v>
      </c>
      <c r="D1611">
        <v>-1660519.36</v>
      </c>
      <c r="E1611">
        <v>-1660519.36</v>
      </c>
      <c r="F1611">
        <v>0</v>
      </c>
      <c r="G1611" t="s">
        <v>428</v>
      </c>
    </row>
    <row r="1612" spans="1:7" x14ac:dyDescent="0.35">
      <c r="A1612">
        <v>440</v>
      </c>
      <c r="B1612" t="s">
        <v>255</v>
      </c>
      <c r="C1612">
        <v>0</v>
      </c>
      <c r="D1612">
        <v>-1046319.36</v>
      </c>
      <c r="E1612">
        <v>-1046319.36</v>
      </c>
      <c r="F1612">
        <v>0</v>
      </c>
      <c r="G1612" t="s">
        <v>428</v>
      </c>
    </row>
    <row r="1613" spans="1:7" x14ac:dyDescent="0.35">
      <c r="A1613">
        <v>450</v>
      </c>
      <c r="B1613" t="s">
        <v>256</v>
      </c>
      <c r="C1613">
        <v>0</v>
      </c>
      <c r="D1613">
        <v>0</v>
      </c>
      <c r="E1613">
        <v>0</v>
      </c>
      <c r="F1613">
        <v>0</v>
      </c>
      <c r="G1613" t="s">
        <v>428</v>
      </c>
    </row>
    <row r="1614" spans="1:7" x14ac:dyDescent="0.35">
      <c r="A1614">
        <v>455</v>
      </c>
      <c r="B1614" t="s">
        <v>204</v>
      </c>
      <c r="C1614">
        <v>0</v>
      </c>
      <c r="D1614">
        <v>0</v>
      </c>
      <c r="E1614">
        <v>0</v>
      </c>
      <c r="F1614">
        <v>0</v>
      </c>
      <c r="G1614" t="s">
        <v>428</v>
      </c>
    </row>
    <row r="1615" spans="1:7" x14ac:dyDescent="0.35">
      <c r="A1615">
        <v>456</v>
      </c>
      <c r="B1615" t="s">
        <v>636</v>
      </c>
      <c r="C1615">
        <v>0</v>
      </c>
      <c r="D1615">
        <v>0</v>
      </c>
      <c r="E1615">
        <v>0</v>
      </c>
      <c r="F1615">
        <v>0</v>
      </c>
      <c r="G1615" t="s">
        <v>428</v>
      </c>
    </row>
    <row r="1616" spans="1:7" x14ac:dyDescent="0.35">
      <c r="A1616">
        <v>460</v>
      </c>
      <c r="B1616" t="s">
        <v>208</v>
      </c>
      <c r="C1616">
        <v>0</v>
      </c>
      <c r="D1616">
        <v>-508287.14</v>
      </c>
      <c r="E1616">
        <v>-508287.14</v>
      </c>
      <c r="F1616">
        <v>0</v>
      </c>
      <c r="G1616" t="s">
        <v>428</v>
      </c>
    </row>
    <row r="1617" spans="1:7" x14ac:dyDescent="0.35">
      <c r="A1617">
        <v>470</v>
      </c>
      <c r="B1617" t="s">
        <v>637</v>
      </c>
      <c r="C1617">
        <v>5887.62</v>
      </c>
      <c r="D1617">
        <v>446857.87</v>
      </c>
      <c r="E1617">
        <v>452745.49</v>
      </c>
      <c r="F1617">
        <v>5887.62</v>
      </c>
      <c r="G1617" t="s">
        <v>428</v>
      </c>
    </row>
    <row r="1618" spans="1:7" x14ac:dyDescent="0.35">
      <c r="A1618">
        <v>480</v>
      </c>
      <c r="B1618" t="s">
        <v>207</v>
      </c>
      <c r="C1618">
        <v>0</v>
      </c>
      <c r="D1618">
        <v>0</v>
      </c>
      <c r="E1618">
        <v>0</v>
      </c>
      <c r="F1618">
        <v>0</v>
      </c>
      <c r="G1618" t="s">
        <v>428</v>
      </c>
    </row>
    <row r="1619" spans="1:7" x14ac:dyDescent="0.35">
      <c r="A1619">
        <v>490</v>
      </c>
      <c r="B1619" t="s">
        <v>638</v>
      </c>
      <c r="C1619">
        <v>0</v>
      </c>
      <c r="D1619">
        <v>0</v>
      </c>
      <c r="E1619">
        <v>0</v>
      </c>
      <c r="F1619">
        <v>0</v>
      </c>
      <c r="G1619" t="s">
        <v>428</v>
      </c>
    </row>
    <row r="1620" spans="1:7" x14ac:dyDescent="0.35">
      <c r="A1620">
        <v>500</v>
      </c>
      <c r="B1620" t="s">
        <v>206</v>
      </c>
      <c r="C1620">
        <v>0</v>
      </c>
      <c r="D1620">
        <v>0</v>
      </c>
      <c r="E1620">
        <v>0</v>
      </c>
      <c r="F1620">
        <v>0</v>
      </c>
      <c r="G1620" t="s">
        <v>428</v>
      </c>
    </row>
    <row r="1621" spans="1:7" x14ac:dyDescent="0.35">
      <c r="A1621">
        <v>510</v>
      </c>
      <c r="B1621" t="s">
        <v>639</v>
      </c>
      <c r="C1621">
        <v>0</v>
      </c>
      <c r="D1621">
        <v>0</v>
      </c>
      <c r="E1621">
        <v>0</v>
      </c>
      <c r="F1621">
        <v>0</v>
      </c>
      <c r="G1621" t="s">
        <v>428</v>
      </c>
    </row>
    <row r="1622" spans="1:7" x14ac:dyDescent="0.35">
      <c r="A1622">
        <v>512</v>
      </c>
      <c r="B1622" t="s">
        <v>257</v>
      </c>
      <c r="C1622">
        <v>0</v>
      </c>
      <c r="D1622">
        <v>0</v>
      </c>
      <c r="E1622">
        <v>0</v>
      </c>
      <c r="F1622">
        <v>0</v>
      </c>
      <c r="G1622" t="s">
        <v>428</v>
      </c>
    </row>
    <row r="1623" spans="1:7" x14ac:dyDescent="0.35">
      <c r="A1623">
        <v>514</v>
      </c>
      <c r="B1623" t="s">
        <v>640</v>
      </c>
      <c r="C1623">
        <v>0</v>
      </c>
      <c r="D1623">
        <v>0</v>
      </c>
      <c r="E1623">
        <v>0</v>
      </c>
      <c r="F1623">
        <v>0</v>
      </c>
      <c r="G1623" t="s">
        <v>428</v>
      </c>
    </row>
    <row r="1624" spans="1:7" x14ac:dyDescent="0.35">
      <c r="A1624">
        <v>520</v>
      </c>
      <c r="B1624" t="s">
        <v>641</v>
      </c>
      <c r="C1624">
        <v>0</v>
      </c>
      <c r="D1624">
        <v>0</v>
      </c>
      <c r="E1624">
        <v>0</v>
      </c>
      <c r="F1624">
        <v>0</v>
      </c>
      <c r="G1624" t="s">
        <v>428</v>
      </c>
    </row>
    <row r="1625" spans="1:7" x14ac:dyDescent="0.35">
      <c r="A1625">
        <v>530</v>
      </c>
      <c r="B1625" t="s">
        <v>642</v>
      </c>
      <c r="C1625">
        <v>0</v>
      </c>
      <c r="D1625">
        <v>0</v>
      </c>
      <c r="E1625">
        <v>0</v>
      </c>
      <c r="F1625">
        <v>0</v>
      </c>
      <c r="G1625" t="s">
        <v>428</v>
      </c>
    </row>
    <row r="1626" spans="1:7" x14ac:dyDescent="0.35">
      <c r="A1626">
        <v>540</v>
      </c>
      <c r="B1626" t="s">
        <v>643</v>
      </c>
      <c r="C1626">
        <v>0</v>
      </c>
      <c r="D1626">
        <v>-34400</v>
      </c>
      <c r="E1626">
        <v>-34400</v>
      </c>
      <c r="F1626">
        <v>0</v>
      </c>
      <c r="G1626" t="s">
        <v>428</v>
      </c>
    </row>
    <row r="1627" spans="1:7" x14ac:dyDescent="0.35">
      <c r="A1627">
        <v>550</v>
      </c>
      <c r="B1627" t="s">
        <v>644</v>
      </c>
      <c r="C1627">
        <v>0</v>
      </c>
      <c r="D1627">
        <v>0</v>
      </c>
      <c r="E1627">
        <v>0</v>
      </c>
      <c r="F1627">
        <v>0</v>
      </c>
      <c r="G1627" t="s">
        <v>428</v>
      </c>
    </row>
    <row r="1628" spans="1:7" x14ac:dyDescent="0.35">
      <c r="A1628">
        <v>560</v>
      </c>
      <c r="B1628" t="s">
        <v>645</v>
      </c>
      <c r="C1628">
        <v>-500</v>
      </c>
      <c r="D1628">
        <v>-119497.01</v>
      </c>
      <c r="E1628">
        <v>-119997.01</v>
      </c>
      <c r="F1628">
        <v>-500</v>
      </c>
      <c r="G1628" t="s">
        <v>428</v>
      </c>
    </row>
    <row r="1629" spans="1:7" x14ac:dyDescent="0.35">
      <c r="A1629">
        <v>570</v>
      </c>
      <c r="B1629" t="s">
        <v>646</v>
      </c>
      <c r="C1629">
        <v>0</v>
      </c>
      <c r="D1629">
        <v>0</v>
      </c>
      <c r="E1629">
        <v>0</v>
      </c>
      <c r="F1629">
        <v>0</v>
      </c>
      <c r="G1629" t="s">
        <v>428</v>
      </c>
    </row>
    <row r="1630" spans="1:7" x14ac:dyDescent="0.35">
      <c r="A1630">
        <v>580</v>
      </c>
      <c r="B1630" t="s">
        <v>258</v>
      </c>
      <c r="C1630">
        <v>0</v>
      </c>
      <c r="D1630">
        <v>0</v>
      </c>
      <c r="E1630">
        <v>0</v>
      </c>
      <c r="F1630">
        <v>0</v>
      </c>
      <c r="G1630" t="s">
        <v>428</v>
      </c>
    </row>
    <row r="1631" spans="1:7" x14ac:dyDescent="0.35">
      <c r="A1631">
        <v>590</v>
      </c>
      <c r="B1631" t="s">
        <v>647</v>
      </c>
      <c r="C1631">
        <v>0</v>
      </c>
      <c r="D1631">
        <v>0</v>
      </c>
      <c r="E1631">
        <v>0</v>
      </c>
      <c r="F1631">
        <v>0</v>
      </c>
      <c r="G1631" t="s">
        <v>428</v>
      </c>
    </row>
    <row r="1632" spans="1:7" x14ac:dyDescent="0.35">
      <c r="A1632">
        <v>600</v>
      </c>
      <c r="B1632" t="s">
        <v>259</v>
      </c>
      <c r="C1632">
        <v>-580.64</v>
      </c>
      <c r="D1632">
        <v>-367787.02</v>
      </c>
      <c r="E1632">
        <v>-368367.66</v>
      </c>
      <c r="F1632">
        <v>-580.64</v>
      </c>
      <c r="G1632" t="s">
        <v>428</v>
      </c>
    </row>
    <row r="1633" spans="1:7" x14ac:dyDescent="0.35">
      <c r="A1633">
        <v>610</v>
      </c>
      <c r="B1633" t="s">
        <v>648</v>
      </c>
      <c r="C1633">
        <v>416.66</v>
      </c>
      <c r="D1633">
        <v>346583.71</v>
      </c>
      <c r="E1633">
        <v>347000.37</v>
      </c>
      <c r="F1633">
        <v>416.66</v>
      </c>
      <c r="G1633" t="s">
        <v>428</v>
      </c>
    </row>
    <row r="1634" spans="1:7" x14ac:dyDescent="0.35">
      <c r="A1634">
        <v>615</v>
      </c>
      <c r="B1634" t="s">
        <v>673</v>
      </c>
      <c r="C1634">
        <v>0</v>
      </c>
      <c r="D1634">
        <v>0</v>
      </c>
      <c r="E1634">
        <v>0</v>
      </c>
      <c r="F1634">
        <v>0</v>
      </c>
      <c r="G1634" t="s">
        <v>428</v>
      </c>
    </row>
    <row r="1635" spans="1:7" x14ac:dyDescent="0.35">
      <c r="A1635">
        <v>620</v>
      </c>
      <c r="B1635" t="s">
        <v>260</v>
      </c>
      <c r="C1635">
        <v>0</v>
      </c>
      <c r="D1635">
        <v>0</v>
      </c>
      <c r="E1635">
        <v>0</v>
      </c>
      <c r="F1635">
        <v>0</v>
      </c>
      <c r="G1635" t="s">
        <v>428</v>
      </c>
    </row>
    <row r="1636" spans="1:7" x14ac:dyDescent="0.35">
      <c r="A1636">
        <v>630</v>
      </c>
      <c r="B1636" t="s">
        <v>261</v>
      </c>
      <c r="C1636">
        <v>0</v>
      </c>
      <c r="D1636">
        <v>-56769</v>
      </c>
      <c r="E1636">
        <v>-56769</v>
      </c>
      <c r="F1636">
        <v>0</v>
      </c>
      <c r="G1636" t="s">
        <v>428</v>
      </c>
    </row>
    <row r="1637" spans="1:7" x14ac:dyDescent="0.35">
      <c r="A1637">
        <v>635</v>
      </c>
      <c r="B1637" t="s">
        <v>674</v>
      </c>
      <c r="C1637">
        <v>0</v>
      </c>
      <c r="D1637">
        <v>0</v>
      </c>
      <c r="E1637">
        <v>0</v>
      </c>
      <c r="F1637">
        <v>0</v>
      </c>
      <c r="G1637" t="s">
        <v>428</v>
      </c>
    </row>
    <row r="1638" spans="1:7" x14ac:dyDescent="0.35">
      <c r="A1638">
        <v>640</v>
      </c>
      <c r="B1638" t="s">
        <v>262</v>
      </c>
      <c r="C1638">
        <v>5223.6400000000003</v>
      </c>
      <c r="D1638">
        <v>-293298.59000000003</v>
      </c>
      <c r="E1638">
        <v>-288074.95</v>
      </c>
      <c r="F1638">
        <v>5223.6400000000003</v>
      </c>
      <c r="G1638" t="s">
        <v>428</v>
      </c>
    </row>
    <row r="1639" spans="1:7" x14ac:dyDescent="0.35">
      <c r="A1639">
        <v>650</v>
      </c>
      <c r="B1639" t="s">
        <v>263</v>
      </c>
      <c r="C1639">
        <v>-171385.57</v>
      </c>
      <c r="D1639">
        <v>317991.07</v>
      </c>
      <c r="E1639">
        <v>146605.5</v>
      </c>
      <c r="F1639">
        <v>-171385.57</v>
      </c>
      <c r="G1639" t="s">
        <v>428</v>
      </c>
    </row>
    <row r="1640" spans="1:7" x14ac:dyDescent="0.35">
      <c r="A1640" t="s">
        <v>532</v>
      </c>
      <c r="B1640" t="s">
        <v>416</v>
      </c>
      <c r="C1640" t="s">
        <v>608</v>
      </c>
      <c r="D1640" t="s">
        <v>609</v>
      </c>
      <c r="E1640" t="s">
        <v>610</v>
      </c>
      <c r="F1640" t="s">
        <v>611</v>
      </c>
      <c r="G1640" t="s">
        <v>121</v>
      </c>
    </row>
    <row r="1641" spans="1:7" x14ac:dyDescent="0.35">
      <c r="A1641">
        <v>10</v>
      </c>
      <c r="B1641" t="s">
        <v>612</v>
      </c>
      <c r="C1641">
        <v>0</v>
      </c>
      <c r="D1641">
        <v>0</v>
      </c>
      <c r="E1641">
        <v>0</v>
      </c>
      <c r="F1641">
        <v>0</v>
      </c>
      <c r="G1641" t="s">
        <v>428</v>
      </c>
    </row>
    <row r="1642" spans="1:7" x14ac:dyDescent="0.35">
      <c r="A1642">
        <v>20</v>
      </c>
      <c r="B1642" t="s">
        <v>427</v>
      </c>
      <c r="C1642">
        <v>29854.59</v>
      </c>
      <c r="D1642">
        <v>0</v>
      </c>
      <c r="E1642">
        <v>29854.59</v>
      </c>
      <c r="F1642">
        <v>29854.59</v>
      </c>
      <c r="G1642" t="s">
        <v>428</v>
      </c>
    </row>
    <row r="1643" spans="1:7" x14ac:dyDescent="0.35">
      <c r="A1643">
        <v>30</v>
      </c>
      <c r="B1643" t="s">
        <v>613</v>
      </c>
      <c r="C1643">
        <v>0</v>
      </c>
      <c r="D1643">
        <v>0</v>
      </c>
      <c r="E1643">
        <v>0</v>
      </c>
      <c r="F1643">
        <v>0</v>
      </c>
      <c r="G1643" t="s">
        <v>428</v>
      </c>
    </row>
    <row r="1644" spans="1:7" x14ac:dyDescent="0.35">
      <c r="A1644">
        <v>35</v>
      </c>
      <c r="B1644" t="s">
        <v>614</v>
      </c>
      <c r="C1644">
        <v>29854.59</v>
      </c>
      <c r="D1644">
        <v>0</v>
      </c>
      <c r="E1644">
        <v>29854.59</v>
      </c>
      <c r="F1644">
        <v>29854.59</v>
      </c>
      <c r="G1644" t="s">
        <v>428</v>
      </c>
    </row>
    <row r="1645" spans="1:7" x14ac:dyDescent="0.35">
      <c r="A1645">
        <v>40</v>
      </c>
      <c r="B1645" t="s">
        <v>615</v>
      </c>
      <c r="C1645">
        <v>0</v>
      </c>
      <c r="D1645">
        <v>0</v>
      </c>
      <c r="E1645">
        <v>0</v>
      </c>
      <c r="F1645">
        <v>0</v>
      </c>
      <c r="G1645" t="s">
        <v>428</v>
      </c>
    </row>
    <row r="1646" spans="1:7" x14ac:dyDescent="0.35">
      <c r="A1646">
        <v>50</v>
      </c>
      <c r="B1646" t="s">
        <v>616</v>
      </c>
      <c r="C1646">
        <v>0</v>
      </c>
      <c r="D1646">
        <v>0</v>
      </c>
      <c r="E1646">
        <v>0</v>
      </c>
      <c r="F1646">
        <v>0</v>
      </c>
      <c r="G1646" t="s">
        <v>428</v>
      </c>
    </row>
    <row r="1647" spans="1:7" x14ac:dyDescent="0.35">
      <c r="A1647">
        <v>60</v>
      </c>
      <c r="B1647" t="s">
        <v>617</v>
      </c>
      <c r="C1647">
        <v>29854.59</v>
      </c>
      <c r="D1647">
        <v>0</v>
      </c>
      <c r="E1647">
        <v>29854.59</v>
      </c>
      <c r="F1647">
        <v>29854.59</v>
      </c>
      <c r="G1647" t="s">
        <v>428</v>
      </c>
    </row>
    <row r="1648" spans="1:7" x14ac:dyDescent="0.35">
      <c r="A1648">
        <v>70</v>
      </c>
      <c r="B1648" t="s">
        <v>433</v>
      </c>
      <c r="C1648">
        <v>9370.68</v>
      </c>
      <c r="D1648">
        <v>0</v>
      </c>
      <c r="E1648">
        <v>9370.68</v>
      </c>
      <c r="F1648">
        <v>9370.68</v>
      </c>
      <c r="G1648" t="s">
        <v>428</v>
      </c>
    </row>
    <row r="1649" spans="1:7" x14ac:dyDescent="0.35">
      <c r="A1649">
        <v>80</v>
      </c>
      <c r="B1649" t="s">
        <v>434</v>
      </c>
      <c r="C1649">
        <v>0</v>
      </c>
      <c r="D1649">
        <v>0</v>
      </c>
      <c r="E1649">
        <v>0</v>
      </c>
      <c r="F1649">
        <v>0</v>
      </c>
      <c r="G1649" t="s">
        <v>428</v>
      </c>
    </row>
    <row r="1650" spans="1:7" x14ac:dyDescent="0.35">
      <c r="A1650">
        <v>90</v>
      </c>
      <c r="B1650" t="s">
        <v>618</v>
      </c>
      <c r="C1650">
        <v>2513.17</v>
      </c>
      <c r="D1650">
        <v>0</v>
      </c>
      <c r="E1650">
        <v>2513.17</v>
      </c>
      <c r="F1650">
        <v>2513.17</v>
      </c>
      <c r="G1650" t="s">
        <v>428</v>
      </c>
    </row>
    <row r="1651" spans="1:7" x14ac:dyDescent="0.35">
      <c r="A1651">
        <v>100</v>
      </c>
      <c r="B1651" t="s">
        <v>619</v>
      </c>
      <c r="C1651">
        <v>17970.740000000002</v>
      </c>
      <c r="D1651">
        <v>0</v>
      </c>
      <c r="E1651">
        <v>17970.740000000002</v>
      </c>
      <c r="F1651">
        <v>17970.740000000002</v>
      </c>
      <c r="G1651" t="s">
        <v>428</v>
      </c>
    </row>
    <row r="1652" spans="1:7" x14ac:dyDescent="0.35">
      <c r="A1652">
        <v>110</v>
      </c>
      <c r="B1652" t="s">
        <v>620</v>
      </c>
      <c r="C1652">
        <v>0</v>
      </c>
      <c r="D1652">
        <v>0</v>
      </c>
      <c r="E1652">
        <v>0</v>
      </c>
      <c r="F1652">
        <v>0</v>
      </c>
      <c r="G1652" t="s">
        <v>428</v>
      </c>
    </row>
    <row r="1653" spans="1:7" x14ac:dyDescent="0.35">
      <c r="A1653">
        <v>120</v>
      </c>
      <c r="B1653" t="s">
        <v>621</v>
      </c>
      <c r="C1653">
        <v>0</v>
      </c>
      <c r="D1653">
        <v>0</v>
      </c>
      <c r="E1653">
        <v>0</v>
      </c>
      <c r="F1653">
        <v>0</v>
      </c>
      <c r="G1653" t="s">
        <v>428</v>
      </c>
    </row>
    <row r="1654" spans="1:7" x14ac:dyDescent="0.35">
      <c r="A1654">
        <v>130</v>
      </c>
      <c r="B1654" t="s">
        <v>622</v>
      </c>
      <c r="C1654">
        <v>2537.37</v>
      </c>
      <c r="D1654">
        <v>0</v>
      </c>
      <c r="E1654">
        <v>2537.37</v>
      </c>
      <c r="F1654">
        <v>2537.37</v>
      </c>
      <c r="G1654" t="s">
        <v>428</v>
      </c>
    </row>
    <row r="1655" spans="1:7" x14ac:dyDescent="0.35">
      <c r="A1655">
        <v>140</v>
      </c>
      <c r="B1655" t="s">
        <v>623</v>
      </c>
      <c r="C1655">
        <v>0</v>
      </c>
      <c r="D1655">
        <v>0</v>
      </c>
      <c r="E1655">
        <v>0</v>
      </c>
      <c r="F1655">
        <v>0</v>
      </c>
      <c r="G1655" t="s">
        <v>428</v>
      </c>
    </row>
    <row r="1656" spans="1:7" x14ac:dyDescent="0.35">
      <c r="A1656">
        <v>145</v>
      </c>
      <c r="B1656" t="s">
        <v>443</v>
      </c>
      <c r="C1656">
        <v>2537.37</v>
      </c>
      <c r="D1656">
        <v>0</v>
      </c>
      <c r="E1656">
        <v>2537.37</v>
      </c>
      <c r="F1656">
        <v>2537.37</v>
      </c>
      <c r="G1656" t="s">
        <v>428</v>
      </c>
    </row>
    <row r="1657" spans="1:7" x14ac:dyDescent="0.35">
      <c r="A1657">
        <v>150</v>
      </c>
      <c r="B1657" t="s">
        <v>624</v>
      </c>
      <c r="C1657">
        <v>15433.37</v>
      </c>
      <c r="D1657">
        <v>0</v>
      </c>
      <c r="E1657">
        <v>15433.37</v>
      </c>
      <c r="F1657">
        <v>15433.37</v>
      </c>
      <c r="G1657" t="s">
        <v>428</v>
      </c>
    </row>
    <row r="1658" spans="1:7" x14ac:dyDescent="0.35">
      <c r="A1658">
        <v>160</v>
      </c>
      <c r="B1658" t="s">
        <v>625</v>
      </c>
      <c r="C1658">
        <v>0</v>
      </c>
      <c r="D1658">
        <v>0</v>
      </c>
      <c r="E1658">
        <v>0</v>
      </c>
      <c r="F1658">
        <v>0</v>
      </c>
      <c r="G1658" t="s">
        <v>428</v>
      </c>
    </row>
    <row r="1659" spans="1:7" x14ac:dyDescent="0.35">
      <c r="A1659">
        <v>170</v>
      </c>
      <c r="B1659" t="s">
        <v>447</v>
      </c>
      <c r="C1659">
        <v>15433.37</v>
      </c>
      <c r="D1659">
        <v>0</v>
      </c>
      <c r="E1659">
        <v>15433.37</v>
      </c>
      <c r="F1659">
        <v>15433.37</v>
      </c>
      <c r="G1659" t="s">
        <v>428</v>
      </c>
    </row>
    <row r="1660" spans="1:7" x14ac:dyDescent="0.35">
      <c r="A1660">
        <v>190</v>
      </c>
      <c r="B1660" t="s">
        <v>626</v>
      </c>
      <c r="C1660">
        <v>0</v>
      </c>
      <c r="D1660">
        <v>0</v>
      </c>
      <c r="E1660">
        <v>0</v>
      </c>
      <c r="F1660">
        <v>0</v>
      </c>
      <c r="G1660" t="s">
        <v>428</v>
      </c>
    </row>
    <row r="1661" spans="1:7" x14ac:dyDescent="0.35">
      <c r="A1661">
        <v>200</v>
      </c>
      <c r="B1661" t="s">
        <v>447</v>
      </c>
      <c r="C1661">
        <v>15433.37</v>
      </c>
      <c r="D1661">
        <v>0</v>
      </c>
      <c r="E1661">
        <v>15433.37</v>
      </c>
      <c r="F1661">
        <v>15433.37</v>
      </c>
      <c r="G1661" t="s">
        <v>428</v>
      </c>
    </row>
    <row r="1662" spans="1:7" x14ac:dyDescent="0.35">
      <c r="A1662">
        <v>210</v>
      </c>
      <c r="B1662" t="s">
        <v>247</v>
      </c>
      <c r="C1662">
        <v>15433.37</v>
      </c>
      <c r="D1662">
        <v>0</v>
      </c>
      <c r="E1662">
        <v>15433.37</v>
      </c>
      <c r="F1662">
        <v>15433.37</v>
      </c>
      <c r="G1662" t="s">
        <v>428</v>
      </c>
    </row>
    <row r="1663" spans="1:7" x14ac:dyDescent="0.35">
      <c r="A1663">
        <v>220</v>
      </c>
      <c r="B1663" t="s">
        <v>627</v>
      </c>
      <c r="C1663">
        <v>0</v>
      </c>
      <c r="D1663">
        <v>0</v>
      </c>
      <c r="E1663">
        <v>0</v>
      </c>
      <c r="F1663">
        <v>0</v>
      </c>
      <c r="G1663" t="s">
        <v>428</v>
      </c>
    </row>
    <row r="1664" spans="1:7" x14ac:dyDescent="0.35">
      <c r="A1664">
        <v>230</v>
      </c>
      <c r="B1664" t="s">
        <v>196</v>
      </c>
      <c r="C1664">
        <v>-325000</v>
      </c>
      <c r="D1664">
        <v>-155463</v>
      </c>
      <c r="E1664">
        <v>-480463</v>
      </c>
      <c r="F1664">
        <v>-325000</v>
      </c>
      <c r="G1664" t="s">
        <v>428</v>
      </c>
    </row>
    <row r="1665" spans="1:7" x14ac:dyDescent="0.35">
      <c r="A1665">
        <v>235</v>
      </c>
      <c r="B1665" t="s">
        <v>628</v>
      </c>
      <c r="C1665">
        <v>0</v>
      </c>
      <c r="D1665">
        <v>0</v>
      </c>
      <c r="E1665">
        <v>0</v>
      </c>
      <c r="F1665">
        <v>0</v>
      </c>
      <c r="G1665" t="s">
        <v>428</v>
      </c>
    </row>
    <row r="1666" spans="1:7" x14ac:dyDescent="0.35">
      <c r="A1666">
        <v>240</v>
      </c>
      <c r="B1666" t="s">
        <v>197</v>
      </c>
      <c r="C1666">
        <v>-55000</v>
      </c>
      <c r="D1666">
        <v>-4287478.1900000004</v>
      </c>
      <c r="E1666">
        <v>-4342478.1900000004</v>
      </c>
      <c r="F1666">
        <v>-55000</v>
      </c>
      <c r="G1666" t="s">
        <v>428</v>
      </c>
    </row>
    <row r="1667" spans="1:7" x14ac:dyDescent="0.35">
      <c r="A1667">
        <v>250</v>
      </c>
      <c r="B1667" t="s">
        <v>198</v>
      </c>
      <c r="C1667">
        <v>0</v>
      </c>
      <c r="D1667">
        <v>0</v>
      </c>
      <c r="E1667">
        <v>0</v>
      </c>
      <c r="F1667">
        <v>0</v>
      </c>
      <c r="G1667" t="s">
        <v>428</v>
      </c>
    </row>
    <row r="1668" spans="1:7" x14ac:dyDescent="0.35">
      <c r="A1668">
        <v>260</v>
      </c>
      <c r="B1668"/>
      <c r="C1668">
        <v>0</v>
      </c>
      <c r="D1668">
        <v>0</v>
      </c>
      <c r="E1668">
        <v>0</v>
      </c>
      <c r="F1668">
        <v>0</v>
      </c>
      <c r="G1668" t="s">
        <v>428</v>
      </c>
    </row>
    <row r="1669" spans="1:7" x14ac:dyDescent="0.35">
      <c r="A1669">
        <v>270</v>
      </c>
      <c r="B1669" t="s">
        <v>199</v>
      </c>
      <c r="C1669">
        <v>611.11</v>
      </c>
      <c r="D1669">
        <v>-14666.68</v>
      </c>
      <c r="E1669">
        <v>-14055.57</v>
      </c>
      <c r="F1669">
        <v>611.11</v>
      </c>
      <c r="G1669" t="s">
        <v>428</v>
      </c>
    </row>
    <row r="1670" spans="1:7" x14ac:dyDescent="0.35">
      <c r="A1670">
        <v>300</v>
      </c>
      <c r="B1670" t="s">
        <v>222</v>
      </c>
      <c r="C1670">
        <v>0</v>
      </c>
      <c r="D1670">
        <v>386.53</v>
      </c>
      <c r="E1670">
        <v>386.53</v>
      </c>
      <c r="F1670">
        <v>0</v>
      </c>
      <c r="G1670" t="s">
        <v>428</v>
      </c>
    </row>
    <row r="1671" spans="1:7" x14ac:dyDescent="0.35">
      <c r="A1671">
        <v>310</v>
      </c>
      <c r="B1671" t="s">
        <v>630</v>
      </c>
      <c r="C1671">
        <v>0</v>
      </c>
      <c r="D1671">
        <v>0</v>
      </c>
      <c r="E1671">
        <v>0</v>
      </c>
      <c r="F1671">
        <v>0</v>
      </c>
      <c r="G1671" t="s">
        <v>428</v>
      </c>
    </row>
    <row r="1672" spans="1:7" x14ac:dyDescent="0.35">
      <c r="A1672">
        <v>320</v>
      </c>
      <c r="B1672" t="s">
        <v>248</v>
      </c>
      <c r="C1672">
        <v>0</v>
      </c>
      <c r="D1672">
        <v>0</v>
      </c>
      <c r="E1672">
        <v>0</v>
      </c>
      <c r="F1672">
        <v>0</v>
      </c>
      <c r="G1672" t="s">
        <v>428</v>
      </c>
    </row>
    <row r="1673" spans="1:7" x14ac:dyDescent="0.35">
      <c r="A1673">
        <v>325</v>
      </c>
      <c r="B1673" t="s">
        <v>249</v>
      </c>
      <c r="C1673">
        <v>0</v>
      </c>
      <c r="D1673">
        <v>2246479.7400000002</v>
      </c>
      <c r="E1673">
        <v>2246479.7400000002</v>
      </c>
      <c r="F1673">
        <v>0</v>
      </c>
      <c r="G1673" t="s">
        <v>428</v>
      </c>
    </row>
    <row r="1674" spans="1:7" x14ac:dyDescent="0.35">
      <c r="A1674">
        <v>330</v>
      </c>
      <c r="B1674" t="s">
        <v>690</v>
      </c>
      <c r="C1674">
        <v>0</v>
      </c>
      <c r="D1674">
        <v>0</v>
      </c>
      <c r="E1674">
        <v>0</v>
      </c>
      <c r="F1674">
        <v>0</v>
      </c>
      <c r="G1674" t="s">
        <v>428</v>
      </c>
    </row>
    <row r="1675" spans="1:7" x14ac:dyDescent="0.35">
      <c r="A1675">
        <v>340</v>
      </c>
      <c r="B1675" t="s">
        <v>632</v>
      </c>
      <c r="C1675">
        <v>0</v>
      </c>
      <c r="D1675">
        <v>0</v>
      </c>
      <c r="E1675">
        <v>0</v>
      </c>
      <c r="F1675">
        <v>0</v>
      </c>
      <c r="G1675" t="s">
        <v>428</v>
      </c>
    </row>
    <row r="1676" spans="1:7" x14ac:dyDescent="0.35">
      <c r="A1676">
        <v>380</v>
      </c>
      <c r="B1676" t="s">
        <v>633</v>
      </c>
      <c r="C1676">
        <v>-379388.89</v>
      </c>
      <c r="D1676">
        <v>-2210741.6</v>
      </c>
      <c r="E1676">
        <v>-2590130.4900000002</v>
      </c>
      <c r="F1676">
        <v>-379388.89</v>
      </c>
      <c r="G1676" t="s">
        <v>428</v>
      </c>
    </row>
    <row r="1677" spans="1:7" x14ac:dyDescent="0.35">
      <c r="A1677">
        <v>390</v>
      </c>
      <c r="B1677" t="s">
        <v>250</v>
      </c>
      <c r="C1677">
        <v>0</v>
      </c>
      <c r="D1677">
        <v>0</v>
      </c>
      <c r="E1677">
        <v>0</v>
      </c>
      <c r="F1677">
        <v>0</v>
      </c>
      <c r="G1677" t="s">
        <v>428</v>
      </c>
    </row>
    <row r="1678" spans="1:7" x14ac:dyDescent="0.35">
      <c r="A1678">
        <v>400</v>
      </c>
      <c r="B1678" t="s">
        <v>251</v>
      </c>
      <c r="C1678">
        <v>-4462.63</v>
      </c>
      <c r="D1678">
        <v>692592.16</v>
      </c>
      <c r="E1678">
        <v>688129.53</v>
      </c>
      <c r="F1678">
        <v>-4462.63</v>
      </c>
      <c r="G1678" t="s">
        <v>428</v>
      </c>
    </row>
    <row r="1679" spans="1:7" x14ac:dyDescent="0.35">
      <c r="A1679">
        <v>405</v>
      </c>
      <c r="B1679" t="s">
        <v>252</v>
      </c>
      <c r="C1679">
        <v>0</v>
      </c>
      <c r="D1679">
        <v>0</v>
      </c>
      <c r="E1679">
        <v>0</v>
      </c>
      <c r="F1679">
        <v>0</v>
      </c>
      <c r="G1679" t="s">
        <v>428</v>
      </c>
    </row>
    <row r="1680" spans="1:7" x14ac:dyDescent="0.35">
      <c r="A1680">
        <v>410</v>
      </c>
      <c r="B1680" t="s">
        <v>237</v>
      </c>
      <c r="C1680">
        <v>0</v>
      </c>
      <c r="D1680">
        <v>50000</v>
      </c>
      <c r="E1680">
        <v>50000</v>
      </c>
      <c r="F1680">
        <v>0</v>
      </c>
      <c r="G1680" t="s">
        <v>428</v>
      </c>
    </row>
    <row r="1681" spans="1:7" x14ac:dyDescent="0.35">
      <c r="A1681">
        <v>420</v>
      </c>
      <c r="B1681" t="s">
        <v>253</v>
      </c>
      <c r="C1681">
        <v>0</v>
      </c>
      <c r="D1681">
        <v>586186.93000000005</v>
      </c>
      <c r="E1681">
        <v>586186.93000000005</v>
      </c>
      <c r="F1681">
        <v>0</v>
      </c>
      <c r="G1681" t="s">
        <v>428</v>
      </c>
    </row>
    <row r="1682" spans="1:7" x14ac:dyDescent="0.35">
      <c r="A1682">
        <v>425</v>
      </c>
      <c r="B1682" t="s">
        <v>634</v>
      </c>
      <c r="C1682">
        <v>0</v>
      </c>
      <c r="D1682">
        <v>0</v>
      </c>
      <c r="E1682">
        <v>0</v>
      </c>
      <c r="F1682">
        <v>0</v>
      </c>
      <c r="G1682" t="s">
        <v>428</v>
      </c>
    </row>
    <row r="1683" spans="1:7" x14ac:dyDescent="0.35">
      <c r="A1683">
        <v>427</v>
      </c>
      <c r="B1683" t="s">
        <v>635</v>
      </c>
      <c r="C1683">
        <v>0</v>
      </c>
      <c r="D1683">
        <v>0</v>
      </c>
      <c r="E1683">
        <v>0</v>
      </c>
      <c r="F1683">
        <v>0</v>
      </c>
      <c r="G1683" t="s">
        <v>428</v>
      </c>
    </row>
    <row r="1684" spans="1:7" x14ac:dyDescent="0.35">
      <c r="A1684">
        <v>430</v>
      </c>
      <c r="B1684" t="s">
        <v>254</v>
      </c>
      <c r="C1684">
        <v>0</v>
      </c>
      <c r="D1684">
        <v>1235979.47</v>
      </c>
      <c r="E1684">
        <v>1235979.47</v>
      </c>
      <c r="F1684">
        <v>0</v>
      </c>
      <c r="G1684" t="s">
        <v>428</v>
      </c>
    </row>
    <row r="1685" spans="1:7" x14ac:dyDescent="0.35">
      <c r="A1685">
        <v>440</v>
      </c>
      <c r="B1685" t="s">
        <v>255</v>
      </c>
      <c r="C1685">
        <v>-4462.63</v>
      </c>
      <c r="D1685">
        <v>2564758.56</v>
      </c>
      <c r="E1685">
        <v>2560295.9300000002</v>
      </c>
      <c r="F1685">
        <v>-4462.63</v>
      </c>
      <c r="G1685" t="s">
        <v>428</v>
      </c>
    </row>
    <row r="1686" spans="1:7" x14ac:dyDescent="0.35">
      <c r="A1686">
        <v>450</v>
      </c>
      <c r="B1686" t="s">
        <v>256</v>
      </c>
      <c r="C1686">
        <v>0</v>
      </c>
      <c r="D1686">
        <v>0</v>
      </c>
      <c r="E1686">
        <v>0</v>
      </c>
      <c r="F1686">
        <v>0</v>
      </c>
      <c r="G1686" t="s">
        <v>428</v>
      </c>
    </row>
    <row r="1687" spans="1:7" x14ac:dyDescent="0.35">
      <c r="A1687">
        <v>455</v>
      </c>
      <c r="B1687" t="s">
        <v>204</v>
      </c>
      <c r="C1687">
        <v>0</v>
      </c>
      <c r="D1687">
        <v>-94180.82</v>
      </c>
      <c r="E1687">
        <v>-94180.82</v>
      </c>
      <c r="F1687">
        <v>0</v>
      </c>
      <c r="G1687" t="s">
        <v>428</v>
      </c>
    </row>
    <row r="1688" spans="1:7" x14ac:dyDescent="0.35">
      <c r="A1688">
        <v>456</v>
      </c>
      <c r="B1688" t="s">
        <v>636</v>
      </c>
      <c r="C1688">
        <v>2513.17</v>
      </c>
      <c r="D1688">
        <v>158376.04</v>
      </c>
      <c r="E1688">
        <v>160889.21</v>
      </c>
      <c r="F1688">
        <v>2513.17</v>
      </c>
      <c r="G1688" t="s">
        <v>428</v>
      </c>
    </row>
    <row r="1689" spans="1:7" x14ac:dyDescent="0.35">
      <c r="A1689">
        <v>460</v>
      </c>
      <c r="B1689" t="s">
        <v>208</v>
      </c>
      <c r="C1689">
        <v>0</v>
      </c>
      <c r="D1689">
        <v>0</v>
      </c>
      <c r="E1689">
        <v>0</v>
      </c>
      <c r="F1689">
        <v>0</v>
      </c>
      <c r="G1689" t="s">
        <v>428</v>
      </c>
    </row>
    <row r="1690" spans="1:7" x14ac:dyDescent="0.35">
      <c r="A1690">
        <v>470</v>
      </c>
      <c r="B1690" t="s">
        <v>637</v>
      </c>
      <c r="C1690">
        <v>0</v>
      </c>
      <c r="D1690">
        <v>0</v>
      </c>
      <c r="E1690">
        <v>0</v>
      </c>
      <c r="F1690">
        <v>0</v>
      </c>
      <c r="G1690" t="s">
        <v>428</v>
      </c>
    </row>
    <row r="1691" spans="1:7" x14ac:dyDescent="0.35">
      <c r="A1691">
        <v>480</v>
      </c>
      <c r="B1691" t="s">
        <v>207</v>
      </c>
      <c r="C1691">
        <v>0</v>
      </c>
      <c r="D1691">
        <v>0</v>
      </c>
      <c r="E1691">
        <v>0</v>
      </c>
      <c r="F1691">
        <v>0</v>
      </c>
      <c r="G1691" t="s">
        <v>428</v>
      </c>
    </row>
    <row r="1692" spans="1:7" x14ac:dyDescent="0.35">
      <c r="A1692">
        <v>490</v>
      </c>
      <c r="B1692" t="s">
        <v>638</v>
      </c>
      <c r="C1692">
        <v>0</v>
      </c>
      <c r="D1692">
        <v>0</v>
      </c>
      <c r="E1692">
        <v>0</v>
      </c>
      <c r="F1692">
        <v>0</v>
      </c>
      <c r="G1692" t="s">
        <v>428</v>
      </c>
    </row>
    <row r="1693" spans="1:7" x14ac:dyDescent="0.35">
      <c r="A1693">
        <v>500</v>
      </c>
      <c r="B1693" t="s">
        <v>206</v>
      </c>
      <c r="C1693">
        <v>0</v>
      </c>
      <c r="D1693">
        <v>0</v>
      </c>
      <c r="E1693">
        <v>0</v>
      </c>
      <c r="F1693">
        <v>0</v>
      </c>
      <c r="G1693" t="s">
        <v>428</v>
      </c>
    </row>
    <row r="1694" spans="1:7" x14ac:dyDescent="0.35">
      <c r="A1694">
        <v>510</v>
      </c>
      <c r="B1694" t="s">
        <v>639</v>
      </c>
      <c r="C1694">
        <v>0</v>
      </c>
      <c r="D1694">
        <v>0</v>
      </c>
      <c r="E1694">
        <v>0</v>
      </c>
      <c r="F1694">
        <v>0</v>
      </c>
      <c r="G1694" t="s">
        <v>428</v>
      </c>
    </row>
    <row r="1695" spans="1:7" x14ac:dyDescent="0.35">
      <c r="A1695">
        <v>512</v>
      </c>
      <c r="B1695" t="s">
        <v>257</v>
      </c>
      <c r="C1695">
        <v>0</v>
      </c>
      <c r="D1695">
        <v>0</v>
      </c>
      <c r="E1695">
        <v>0</v>
      </c>
      <c r="F1695">
        <v>0</v>
      </c>
      <c r="G1695" t="s">
        <v>428</v>
      </c>
    </row>
    <row r="1696" spans="1:7" x14ac:dyDescent="0.35">
      <c r="A1696">
        <v>514</v>
      </c>
      <c r="B1696" t="s">
        <v>640</v>
      </c>
      <c r="C1696">
        <v>0</v>
      </c>
      <c r="D1696">
        <v>0</v>
      </c>
      <c r="E1696">
        <v>0</v>
      </c>
      <c r="F1696">
        <v>0</v>
      </c>
      <c r="G1696" t="s">
        <v>428</v>
      </c>
    </row>
    <row r="1697" spans="1:7" x14ac:dyDescent="0.35">
      <c r="A1697">
        <v>520</v>
      </c>
      <c r="B1697" t="s">
        <v>641</v>
      </c>
      <c r="C1697">
        <v>0</v>
      </c>
      <c r="D1697">
        <v>0</v>
      </c>
      <c r="E1697">
        <v>0</v>
      </c>
      <c r="F1697">
        <v>0</v>
      </c>
      <c r="G1697" t="s">
        <v>428</v>
      </c>
    </row>
    <row r="1698" spans="1:7" x14ac:dyDescent="0.35">
      <c r="A1698">
        <v>530</v>
      </c>
      <c r="B1698" t="s">
        <v>642</v>
      </c>
      <c r="C1698">
        <v>0</v>
      </c>
      <c r="D1698">
        <v>0</v>
      </c>
      <c r="E1698">
        <v>0</v>
      </c>
      <c r="F1698">
        <v>0</v>
      </c>
      <c r="G1698" t="s">
        <v>428</v>
      </c>
    </row>
    <row r="1699" spans="1:7" x14ac:dyDescent="0.35">
      <c r="A1699">
        <v>540</v>
      </c>
      <c r="B1699" t="s">
        <v>643</v>
      </c>
      <c r="C1699">
        <v>0</v>
      </c>
      <c r="D1699">
        <v>0</v>
      </c>
      <c r="E1699">
        <v>0</v>
      </c>
      <c r="F1699">
        <v>0</v>
      </c>
      <c r="G1699" t="s">
        <v>428</v>
      </c>
    </row>
    <row r="1700" spans="1:7" x14ac:dyDescent="0.35">
      <c r="A1700">
        <v>550</v>
      </c>
      <c r="B1700" t="s">
        <v>644</v>
      </c>
      <c r="C1700">
        <v>0</v>
      </c>
      <c r="D1700">
        <v>0</v>
      </c>
      <c r="E1700">
        <v>0</v>
      </c>
      <c r="F1700">
        <v>0</v>
      </c>
      <c r="G1700" t="s">
        <v>428</v>
      </c>
    </row>
    <row r="1701" spans="1:7" x14ac:dyDescent="0.35">
      <c r="A1701">
        <v>560</v>
      </c>
      <c r="B1701" t="s">
        <v>645</v>
      </c>
      <c r="C1701">
        <v>0</v>
      </c>
      <c r="D1701">
        <v>-6523.8</v>
      </c>
      <c r="E1701">
        <v>-6523.8</v>
      </c>
      <c r="F1701">
        <v>0</v>
      </c>
      <c r="G1701" t="s">
        <v>428</v>
      </c>
    </row>
    <row r="1702" spans="1:7" x14ac:dyDescent="0.35">
      <c r="A1702">
        <v>570</v>
      </c>
      <c r="B1702" t="s">
        <v>646</v>
      </c>
      <c r="C1702">
        <v>0</v>
      </c>
      <c r="D1702">
        <v>6523.8</v>
      </c>
      <c r="E1702">
        <v>6523.8</v>
      </c>
      <c r="F1702">
        <v>0</v>
      </c>
      <c r="G1702" t="s">
        <v>428</v>
      </c>
    </row>
    <row r="1703" spans="1:7" x14ac:dyDescent="0.35">
      <c r="A1703">
        <v>580</v>
      </c>
      <c r="B1703" t="s">
        <v>258</v>
      </c>
      <c r="C1703">
        <v>0</v>
      </c>
      <c r="D1703">
        <v>0</v>
      </c>
      <c r="E1703">
        <v>0</v>
      </c>
      <c r="F1703">
        <v>0</v>
      </c>
      <c r="G1703" t="s">
        <v>428</v>
      </c>
    </row>
    <row r="1704" spans="1:7" x14ac:dyDescent="0.35">
      <c r="A1704">
        <v>590</v>
      </c>
      <c r="B1704" t="s">
        <v>647</v>
      </c>
      <c r="C1704">
        <v>0</v>
      </c>
      <c r="D1704">
        <v>0</v>
      </c>
      <c r="E1704">
        <v>0</v>
      </c>
      <c r="F1704">
        <v>0</v>
      </c>
      <c r="G1704" t="s">
        <v>428</v>
      </c>
    </row>
    <row r="1705" spans="1:7" x14ac:dyDescent="0.35">
      <c r="A1705">
        <v>600</v>
      </c>
      <c r="B1705" t="s">
        <v>259</v>
      </c>
      <c r="C1705">
        <v>0</v>
      </c>
      <c r="D1705">
        <v>0</v>
      </c>
      <c r="E1705">
        <v>0</v>
      </c>
      <c r="F1705">
        <v>0</v>
      </c>
      <c r="G1705" t="s">
        <v>428</v>
      </c>
    </row>
    <row r="1706" spans="1:7" x14ac:dyDescent="0.35">
      <c r="A1706">
        <v>610</v>
      </c>
      <c r="B1706" t="s">
        <v>648</v>
      </c>
      <c r="C1706">
        <v>0</v>
      </c>
      <c r="D1706">
        <v>0</v>
      </c>
      <c r="E1706">
        <v>0</v>
      </c>
      <c r="F1706">
        <v>0</v>
      </c>
      <c r="G1706" t="s">
        <v>428</v>
      </c>
    </row>
    <row r="1707" spans="1:7" x14ac:dyDescent="0.35">
      <c r="A1707">
        <v>615</v>
      </c>
      <c r="B1707" t="s">
        <v>673</v>
      </c>
      <c r="C1707">
        <v>0</v>
      </c>
      <c r="D1707">
        <v>0</v>
      </c>
      <c r="E1707">
        <v>0</v>
      </c>
      <c r="F1707">
        <v>0</v>
      </c>
      <c r="G1707" t="s">
        <v>428</v>
      </c>
    </row>
    <row r="1708" spans="1:7" x14ac:dyDescent="0.35">
      <c r="A1708">
        <v>620</v>
      </c>
      <c r="B1708" t="s">
        <v>260</v>
      </c>
      <c r="C1708">
        <v>0</v>
      </c>
      <c r="D1708">
        <v>0</v>
      </c>
      <c r="E1708">
        <v>0</v>
      </c>
      <c r="F1708">
        <v>0</v>
      </c>
      <c r="G1708" t="s">
        <v>428</v>
      </c>
    </row>
    <row r="1709" spans="1:7" x14ac:dyDescent="0.35">
      <c r="A1709">
        <v>630</v>
      </c>
      <c r="B1709" t="s">
        <v>261</v>
      </c>
      <c r="C1709">
        <v>0</v>
      </c>
      <c r="D1709">
        <v>0</v>
      </c>
      <c r="E1709">
        <v>0</v>
      </c>
      <c r="F1709">
        <v>0</v>
      </c>
      <c r="G1709" t="s">
        <v>428</v>
      </c>
    </row>
    <row r="1710" spans="1:7" x14ac:dyDescent="0.35">
      <c r="A1710">
        <v>635</v>
      </c>
      <c r="B1710" t="s">
        <v>674</v>
      </c>
      <c r="C1710">
        <v>0</v>
      </c>
      <c r="D1710">
        <v>0</v>
      </c>
      <c r="E1710">
        <v>0</v>
      </c>
      <c r="F1710">
        <v>0</v>
      </c>
      <c r="G1710" t="s">
        <v>428</v>
      </c>
    </row>
    <row r="1711" spans="1:7" x14ac:dyDescent="0.35">
      <c r="A1711">
        <v>640</v>
      </c>
      <c r="B1711" t="s">
        <v>262</v>
      </c>
      <c r="C1711">
        <v>2513.17</v>
      </c>
      <c r="D1711">
        <v>64195.22</v>
      </c>
      <c r="E1711">
        <v>66708.39</v>
      </c>
      <c r="F1711">
        <v>2513.17</v>
      </c>
      <c r="G1711" t="s">
        <v>428</v>
      </c>
    </row>
    <row r="1712" spans="1:7" x14ac:dyDescent="0.35">
      <c r="A1712">
        <v>650</v>
      </c>
      <c r="B1712" t="s">
        <v>263</v>
      </c>
      <c r="C1712">
        <v>-365904.98</v>
      </c>
      <c r="D1712">
        <v>418212.18</v>
      </c>
      <c r="E1712">
        <v>52307.199999999997</v>
      </c>
      <c r="F1712">
        <v>-365904.98</v>
      </c>
      <c r="G1712" t="s">
        <v>428</v>
      </c>
    </row>
    <row r="1713" spans="1:7" x14ac:dyDescent="0.35">
      <c r="A1713" t="s">
        <v>533</v>
      </c>
      <c r="B1713" t="s">
        <v>416</v>
      </c>
      <c r="C1713" t="s">
        <v>608</v>
      </c>
      <c r="D1713" t="s">
        <v>609</v>
      </c>
      <c r="E1713" t="s">
        <v>610</v>
      </c>
      <c r="F1713" t="s">
        <v>611</v>
      </c>
      <c r="G1713" t="s">
        <v>121</v>
      </c>
    </row>
    <row r="1714" spans="1:7" x14ac:dyDescent="0.35">
      <c r="A1714">
        <v>10</v>
      </c>
      <c r="B1714" t="s">
        <v>612</v>
      </c>
      <c r="C1714">
        <v>0</v>
      </c>
      <c r="D1714">
        <v>0</v>
      </c>
      <c r="E1714">
        <v>0</v>
      </c>
      <c r="F1714">
        <v>0</v>
      </c>
      <c r="G1714" t="s">
        <v>428</v>
      </c>
    </row>
    <row r="1715" spans="1:7" x14ac:dyDescent="0.35">
      <c r="A1715">
        <v>20</v>
      </c>
      <c r="B1715" t="s">
        <v>427</v>
      </c>
      <c r="C1715">
        <v>473380.46</v>
      </c>
      <c r="D1715">
        <v>0</v>
      </c>
      <c r="E1715">
        <v>473380.46</v>
      </c>
      <c r="F1715">
        <v>473380.46</v>
      </c>
      <c r="G1715" t="s">
        <v>428</v>
      </c>
    </row>
    <row r="1716" spans="1:7" x14ac:dyDescent="0.35">
      <c r="A1716">
        <v>30</v>
      </c>
      <c r="B1716" t="s">
        <v>613</v>
      </c>
      <c r="C1716">
        <v>87993.78</v>
      </c>
      <c r="D1716">
        <v>0</v>
      </c>
      <c r="E1716">
        <v>87993.78</v>
      </c>
      <c r="F1716">
        <v>87993.78</v>
      </c>
      <c r="G1716" t="s">
        <v>428</v>
      </c>
    </row>
    <row r="1717" spans="1:7" x14ac:dyDescent="0.35">
      <c r="A1717">
        <v>35</v>
      </c>
      <c r="B1717" t="s">
        <v>614</v>
      </c>
      <c r="C1717">
        <v>385386.68</v>
      </c>
      <c r="D1717">
        <v>0</v>
      </c>
      <c r="E1717">
        <v>385386.68</v>
      </c>
      <c r="F1717">
        <v>385386.68</v>
      </c>
      <c r="G1717" t="s">
        <v>428</v>
      </c>
    </row>
    <row r="1718" spans="1:7" x14ac:dyDescent="0.35">
      <c r="A1718">
        <v>40</v>
      </c>
      <c r="B1718" t="s">
        <v>615</v>
      </c>
      <c r="C1718">
        <v>226825.12</v>
      </c>
      <c r="D1718">
        <v>0</v>
      </c>
      <c r="E1718">
        <v>226825.12</v>
      </c>
      <c r="F1718">
        <v>226825.12</v>
      </c>
      <c r="G1718" t="s">
        <v>428</v>
      </c>
    </row>
    <row r="1719" spans="1:7" x14ac:dyDescent="0.35">
      <c r="A1719">
        <v>50</v>
      </c>
      <c r="B1719" t="s">
        <v>616</v>
      </c>
      <c r="C1719">
        <v>0</v>
      </c>
      <c r="D1719">
        <v>0</v>
      </c>
      <c r="E1719">
        <v>0</v>
      </c>
      <c r="F1719">
        <v>0</v>
      </c>
      <c r="G1719" t="s">
        <v>428</v>
      </c>
    </row>
    <row r="1720" spans="1:7" x14ac:dyDescent="0.35">
      <c r="A1720">
        <v>60</v>
      </c>
      <c r="B1720" t="s">
        <v>617</v>
      </c>
      <c r="C1720">
        <v>158561.56</v>
      </c>
      <c r="D1720">
        <v>0</v>
      </c>
      <c r="E1720">
        <v>158561.56</v>
      </c>
      <c r="F1720">
        <v>158561.56</v>
      </c>
      <c r="G1720" t="s">
        <v>428</v>
      </c>
    </row>
    <row r="1721" spans="1:7" x14ac:dyDescent="0.35">
      <c r="A1721">
        <v>70</v>
      </c>
      <c r="B1721" t="s">
        <v>433</v>
      </c>
      <c r="C1721">
        <v>120592.4</v>
      </c>
      <c r="D1721">
        <v>0</v>
      </c>
      <c r="E1721">
        <v>120592.4</v>
      </c>
      <c r="F1721">
        <v>120592.4</v>
      </c>
      <c r="G1721" t="s">
        <v>428</v>
      </c>
    </row>
    <row r="1722" spans="1:7" x14ac:dyDescent="0.35">
      <c r="A1722">
        <v>80</v>
      </c>
      <c r="B1722" t="s">
        <v>434</v>
      </c>
      <c r="C1722">
        <v>8041.41</v>
      </c>
      <c r="D1722">
        <v>0</v>
      </c>
      <c r="E1722">
        <v>8041.41</v>
      </c>
      <c r="F1722">
        <v>8041.41</v>
      </c>
      <c r="G1722" t="s">
        <v>428</v>
      </c>
    </row>
    <row r="1723" spans="1:7" x14ac:dyDescent="0.35">
      <c r="A1723">
        <v>90</v>
      </c>
      <c r="B1723" t="s">
        <v>618</v>
      </c>
      <c r="C1723">
        <v>5119.0200000000004</v>
      </c>
      <c r="D1723">
        <v>0</v>
      </c>
      <c r="E1723">
        <v>5119.0200000000004</v>
      </c>
      <c r="F1723">
        <v>5119.0200000000004</v>
      </c>
      <c r="G1723" t="s">
        <v>428</v>
      </c>
    </row>
    <row r="1724" spans="1:7" x14ac:dyDescent="0.35">
      <c r="A1724">
        <v>100</v>
      </c>
      <c r="B1724" t="s">
        <v>619</v>
      </c>
      <c r="C1724">
        <v>24808.73</v>
      </c>
      <c r="D1724">
        <v>0</v>
      </c>
      <c r="E1724">
        <v>24808.73</v>
      </c>
      <c r="F1724">
        <v>24808.73</v>
      </c>
      <c r="G1724" t="s">
        <v>428</v>
      </c>
    </row>
    <row r="1725" spans="1:7" x14ac:dyDescent="0.35">
      <c r="A1725">
        <v>110</v>
      </c>
      <c r="B1725" t="s">
        <v>620</v>
      </c>
      <c r="C1725">
        <v>0</v>
      </c>
      <c r="D1725">
        <v>0</v>
      </c>
      <c r="E1725">
        <v>0</v>
      </c>
      <c r="F1725">
        <v>0</v>
      </c>
      <c r="G1725" t="s">
        <v>428</v>
      </c>
    </row>
    <row r="1726" spans="1:7" x14ac:dyDescent="0.35">
      <c r="A1726">
        <v>120</v>
      </c>
      <c r="B1726" t="s">
        <v>621</v>
      </c>
      <c r="C1726">
        <v>-2449.35</v>
      </c>
      <c r="D1726">
        <v>0</v>
      </c>
      <c r="E1726">
        <v>-2449.35</v>
      </c>
      <c r="F1726">
        <v>-2449.35</v>
      </c>
      <c r="G1726" t="s">
        <v>428</v>
      </c>
    </row>
    <row r="1727" spans="1:7" x14ac:dyDescent="0.35">
      <c r="A1727">
        <v>130</v>
      </c>
      <c r="B1727" t="s">
        <v>622</v>
      </c>
      <c r="C1727">
        <v>0</v>
      </c>
      <c r="D1727">
        <v>0</v>
      </c>
      <c r="E1727">
        <v>0</v>
      </c>
      <c r="F1727">
        <v>0</v>
      </c>
      <c r="G1727" t="s">
        <v>428</v>
      </c>
    </row>
    <row r="1728" spans="1:7" x14ac:dyDescent="0.35">
      <c r="A1728">
        <v>140</v>
      </c>
      <c r="B1728" t="s">
        <v>623</v>
      </c>
      <c r="C1728">
        <v>0</v>
      </c>
      <c r="D1728">
        <v>0</v>
      </c>
      <c r="E1728">
        <v>0</v>
      </c>
      <c r="F1728">
        <v>0</v>
      </c>
      <c r="G1728" t="s">
        <v>428</v>
      </c>
    </row>
    <row r="1729" spans="1:7" x14ac:dyDescent="0.35">
      <c r="A1729">
        <v>145</v>
      </c>
      <c r="B1729" t="s">
        <v>443</v>
      </c>
      <c r="C1729">
        <v>-2449.35</v>
      </c>
      <c r="D1729">
        <v>0</v>
      </c>
      <c r="E1729">
        <v>-2449.35</v>
      </c>
      <c r="F1729">
        <v>-2449.35</v>
      </c>
      <c r="G1729" t="s">
        <v>428</v>
      </c>
    </row>
    <row r="1730" spans="1:7" x14ac:dyDescent="0.35">
      <c r="A1730">
        <v>150</v>
      </c>
      <c r="B1730" t="s">
        <v>624</v>
      </c>
      <c r="C1730">
        <v>27258.080000000002</v>
      </c>
      <c r="D1730">
        <v>0</v>
      </c>
      <c r="E1730">
        <v>27258.080000000002</v>
      </c>
      <c r="F1730">
        <v>27258.080000000002</v>
      </c>
      <c r="G1730" t="s">
        <v>428</v>
      </c>
    </row>
    <row r="1731" spans="1:7" x14ac:dyDescent="0.35">
      <c r="A1731">
        <v>160</v>
      </c>
      <c r="B1731" t="s">
        <v>625</v>
      </c>
      <c r="C1731">
        <v>0</v>
      </c>
      <c r="D1731">
        <v>0</v>
      </c>
      <c r="E1731">
        <v>0</v>
      </c>
      <c r="F1731">
        <v>0</v>
      </c>
      <c r="G1731" t="s">
        <v>428</v>
      </c>
    </row>
    <row r="1732" spans="1:7" x14ac:dyDescent="0.35">
      <c r="A1732">
        <v>170</v>
      </c>
      <c r="B1732" t="s">
        <v>447</v>
      </c>
      <c r="C1732">
        <v>27258.080000000002</v>
      </c>
      <c r="D1732">
        <v>0</v>
      </c>
      <c r="E1732">
        <v>27258.080000000002</v>
      </c>
      <c r="F1732">
        <v>27258.080000000002</v>
      </c>
      <c r="G1732" t="s">
        <v>428</v>
      </c>
    </row>
    <row r="1733" spans="1:7" x14ac:dyDescent="0.35">
      <c r="A1733">
        <v>190</v>
      </c>
      <c r="B1733" t="s">
        <v>626</v>
      </c>
      <c r="C1733">
        <v>0</v>
      </c>
      <c r="D1733">
        <v>0</v>
      </c>
      <c r="E1733">
        <v>0</v>
      </c>
      <c r="F1733">
        <v>0</v>
      </c>
      <c r="G1733" t="s">
        <v>428</v>
      </c>
    </row>
    <row r="1734" spans="1:7" x14ac:dyDescent="0.35">
      <c r="A1734">
        <v>200</v>
      </c>
      <c r="B1734" t="s">
        <v>447</v>
      </c>
      <c r="C1734">
        <v>27258.080000000002</v>
      </c>
      <c r="D1734">
        <v>0</v>
      </c>
      <c r="E1734">
        <v>27258.080000000002</v>
      </c>
      <c r="F1734">
        <v>27258.080000000002</v>
      </c>
      <c r="G1734" t="s">
        <v>428</v>
      </c>
    </row>
    <row r="1735" spans="1:7" x14ac:dyDescent="0.35">
      <c r="A1735">
        <v>210</v>
      </c>
      <c r="B1735" t="s">
        <v>247</v>
      </c>
      <c r="C1735">
        <v>27258.080000000002</v>
      </c>
      <c r="D1735">
        <v>0</v>
      </c>
      <c r="E1735">
        <v>27258.080000000002</v>
      </c>
      <c r="F1735">
        <v>27258.080000000002</v>
      </c>
      <c r="G1735" t="s">
        <v>428</v>
      </c>
    </row>
    <row r="1736" spans="1:7" x14ac:dyDescent="0.35">
      <c r="A1736">
        <v>220</v>
      </c>
      <c r="B1736" t="s">
        <v>627</v>
      </c>
      <c r="C1736">
        <v>0</v>
      </c>
      <c r="D1736">
        <v>0</v>
      </c>
      <c r="E1736">
        <v>0</v>
      </c>
      <c r="F1736">
        <v>0</v>
      </c>
      <c r="G1736" t="s">
        <v>428</v>
      </c>
    </row>
    <row r="1737" spans="1:7" x14ac:dyDescent="0.35">
      <c r="A1737">
        <v>230</v>
      </c>
      <c r="B1737" t="s">
        <v>196</v>
      </c>
      <c r="C1737">
        <v>-19706.080000000002</v>
      </c>
      <c r="D1737">
        <v>-186151.21</v>
      </c>
      <c r="E1737">
        <v>-205857.29</v>
      </c>
      <c r="F1737">
        <v>-19706.080000000002</v>
      </c>
      <c r="G1737" t="s">
        <v>428</v>
      </c>
    </row>
    <row r="1738" spans="1:7" x14ac:dyDescent="0.35">
      <c r="A1738">
        <v>235</v>
      </c>
      <c r="B1738" t="s">
        <v>628</v>
      </c>
      <c r="C1738">
        <v>0</v>
      </c>
      <c r="D1738">
        <v>0</v>
      </c>
      <c r="E1738">
        <v>0</v>
      </c>
      <c r="F1738">
        <v>0</v>
      </c>
      <c r="G1738" t="s">
        <v>428</v>
      </c>
    </row>
    <row r="1739" spans="1:7" x14ac:dyDescent="0.35">
      <c r="A1739">
        <v>240</v>
      </c>
      <c r="B1739" t="s">
        <v>197</v>
      </c>
      <c r="C1739">
        <v>-310404.55</v>
      </c>
      <c r="D1739">
        <v>181221.21</v>
      </c>
      <c r="E1739">
        <v>-129183.34</v>
      </c>
      <c r="F1739">
        <v>-310404.55</v>
      </c>
      <c r="G1739" t="s">
        <v>428</v>
      </c>
    </row>
    <row r="1740" spans="1:7" x14ac:dyDescent="0.35">
      <c r="A1740">
        <v>250</v>
      </c>
      <c r="B1740" t="s">
        <v>198</v>
      </c>
      <c r="C1740">
        <v>2658.37</v>
      </c>
      <c r="D1740">
        <v>-33249.85</v>
      </c>
      <c r="E1740">
        <v>-30591.48</v>
      </c>
      <c r="F1740">
        <v>2658.37</v>
      </c>
      <c r="G1740" t="s">
        <v>428</v>
      </c>
    </row>
    <row r="1741" spans="1:7" x14ac:dyDescent="0.35">
      <c r="A1741">
        <v>260</v>
      </c>
      <c r="B1741"/>
      <c r="C1741">
        <v>0</v>
      </c>
      <c r="D1741">
        <v>0</v>
      </c>
      <c r="E1741">
        <v>0</v>
      </c>
      <c r="F1741">
        <v>0</v>
      </c>
      <c r="G1741" t="s">
        <v>428</v>
      </c>
    </row>
    <row r="1742" spans="1:7" x14ac:dyDescent="0.35">
      <c r="A1742">
        <v>270</v>
      </c>
      <c r="B1742" t="s">
        <v>199</v>
      </c>
      <c r="C1742">
        <v>699.12</v>
      </c>
      <c r="D1742">
        <v>-52846.64</v>
      </c>
      <c r="E1742">
        <v>-52147.519999999997</v>
      </c>
      <c r="F1742">
        <v>699.12</v>
      </c>
      <c r="G1742" t="s">
        <v>428</v>
      </c>
    </row>
    <row r="1743" spans="1:7" x14ac:dyDescent="0.35">
      <c r="A1743">
        <v>300</v>
      </c>
      <c r="B1743" t="s">
        <v>222</v>
      </c>
      <c r="C1743">
        <v>3408.24</v>
      </c>
      <c r="D1743">
        <v>16857.93</v>
      </c>
      <c r="E1743">
        <v>20266.169999999998</v>
      </c>
      <c r="F1743">
        <v>3408.24</v>
      </c>
      <c r="G1743" t="s">
        <v>428</v>
      </c>
    </row>
    <row r="1744" spans="1:7" x14ac:dyDescent="0.35">
      <c r="A1744">
        <v>310</v>
      </c>
      <c r="B1744" t="s">
        <v>630</v>
      </c>
      <c r="C1744">
        <v>0</v>
      </c>
      <c r="D1744">
        <v>0</v>
      </c>
      <c r="E1744">
        <v>0</v>
      </c>
      <c r="F1744">
        <v>0</v>
      </c>
      <c r="G1744" t="s">
        <v>428</v>
      </c>
    </row>
    <row r="1745" spans="1:7" x14ac:dyDescent="0.35">
      <c r="A1745">
        <v>320</v>
      </c>
      <c r="B1745" t="s">
        <v>248</v>
      </c>
      <c r="C1745">
        <v>485.8</v>
      </c>
      <c r="D1745">
        <v>298.35000000000002</v>
      </c>
      <c r="E1745">
        <v>784.15</v>
      </c>
      <c r="F1745">
        <v>485.8</v>
      </c>
      <c r="G1745" t="s">
        <v>428</v>
      </c>
    </row>
    <row r="1746" spans="1:7" x14ac:dyDescent="0.35">
      <c r="A1746">
        <v>325</v>
      </c>
      <c r="B1746" t="s">
        <v>249</v>
      </c>
      <c r="C1746">
        <v>7698.37</v>
      </c>
      <c r="D1746">
        <v>27192.82</v>
      </c>
      <c r="E1746">
        <v>34891.19</v>
      </c>
      <c r="F1746">
        <v>7698.37</v>
      </c>
      <c r="G1746" t="s">
        <v>428</v>
      </c>
    </row>
    <row r="1747" spans="1:7" x14ac:dyDescent="0.35">
      <c r="A1747">
        <v>330</v>
      </c>
      <c r="B1747" t="s">
        <v>690</v>
      </c>
      <c r="C1747">
        <v>0</v>
      </c>
      <c r="D1747">
        <v>-17201.39</v>
      </c>
      <c r="E1747">
        <v>-17201.39</v>
      </c>
      <c r="F1747">
        <v>0</v>
      </c>
      <c r="G1747" t="s">
        <v>428</v>
      </c>
    </row>
    <row r="1748" spans="1:7" x14ac:dyDescent="0.35">
      <c r="A1748">
        <v>340</v>
      </c>
      <c r="B1748" t="s">
        <v>632</v>
      </c>
      <c r="C1748">
        <v>-779.72</v>
      </c>
      <c r="D1748">
        <v>78893.39</v>
      </c>
      <c r="E1748">
        <v>78113.67</v>
      </c>
      <c r="F1748">
        <v>-779.72</v>
      </c>
      <c r="G1748" t="s">
        <v>428</v>
      </c>
    </row>
    <row r="1749" spans="1:7" x14ac:dyDescent="0.35">
      <c r="A1749">
        <v>380</v>
      </c>
      <c r="B1749" t="s">
        <v>633</v>
      </c>
      <c r="C1749">
        <v>-315940.45</v>
      </c>
      <c r="D1749">
        <v>15014.61</v>
      </c>
      <c r="E1749">
        <v>-300925.84000000003</v>
      </c>
      <c r="F1749">
        <v>-315940.45</v>
      </c>
      <c r="G1749" t="s">
        <v>428</v>
      </c>
    </row>
    <row r="1750" spans="1:7" x14ac:dyDescent="0.35">
      <c r="A1750">
        <v>390</v>
      </c>
      <c r="B1750" t="s">
        <v>250</v>
      </c>
      <c r="C1750">
        <v>0</v>
      </c>
      <c r="D1750">
        <v>0</v>
      </c>
      <c r="E1750">
        <v>0</v>
      </c>
      <c r="F1750">
        <v>0</v>
      </c>
      <c r="G1750" t="s">
        <v>428</v>
      </c>
    </row>
    <row r="1751" spans="1:7" x14ac:dyDescent="0.35">
      <c r="A1751">
        <v>400</v>
      </c>
      <c r="B1751" t="s">
        <v>251</v>
      </c>
      <c r="C1751">
        <v>0</v>
      </c>
      <c r="D1751">
        <v>0</v>
      </c>
      <c r="E1751">
        <v>0</v>
      </c>
      <c r="F1751">
        <v>0</v>
      </c>
      <c r="G1751" t="s">
        <v>428</v>
      </c>
    </row>
    <row r="1752" spans="1:7" x14ac:dyDescent="0.35">
      <c r="A1752">
        <v>405</v>
      </c>
      <c r="B1752" t="s">
        <v>252</v>
      </c>
      <c r="C1752">
        <v>0</v>
      </c>
      <c r="D1752">
        <v>283700</v>
      </c>
      <c r="E1752">
        <v>283700</v>
      </c>
      <c r="F1752">
        <v>0</v>
      </c>
      <c r="G1752" t="s">
        <v>428</v>
      </c>
    </row>
    <row r="1753" spans="1:7" x14ac:dyDescent="0.35">
      <c r="A1753">
        <v>410</v>
      </c>
      <c r="B1753" t="s">
        <v>237</v>
      </c>
      <c r="C1753">
        <v>0</v>
      </c>
      <c r="D1753">
        <v>1000</v>
      </c>
      <c r="E1753">
        <v>1000</v>
      </c>
      <c r="F1753">
        <v>0</v>
      </c>
      <c r="G1753" t="s">
        <v>428</v>
      </c>
    </row>
    <row r="1754" spans="1:7" x14ac:dyDescent="0.35">
      <c r="A1754">
        <v>420</v>
      </c>
      <c r="B1754" t="s">
        <v>253</v>
      </c>
      <c r="C1754">
        <v>0</v>
      </c>
      <c r="D1754">
        <v>4000</v>
      </c>
      <c r="E1754">
        <v>4000</v>
      </c>
      <c r="F1754">
        <v>0</v>
      </c>
      <c r="G1754" t="s">
        <v>428</v>
      </c>
    </row>
    <row r="1755" spans="1:7" x14ac:dyDescent="0.35">
      <c r="A1755">
        <v>425</v>
      </c>
      <c r="B1755" t="s">
        <v>634</v>
      </c>
      <c r="C1755">
        <v>0</v>
      </c>
      <c r="D1755">
        <v>0</v>
      </c>
      <c r="E1755">
        <v>0</v>
      </c>
      <c r="F1755">
        <v>0</v>
      </c>
      <c r="G1755" t="s">
        <v>428</v>
      </c>
    </row>
    <row r="1756" spans="1:7" x14ac:dyDescent="0.35">
      <c r="A1756">
        <v>427</v>
      </c>
      <c r="B1756" t="s">
        <v>635</v>
      </c>
      <c r="C1756">
        <v>0</v>
      </c>
      <c r="D1756">
        <v>0</v>
      </c>
      <c r="E1756">
        <v>0</v>
      </c>
      <c r="F1756">
        <v>0</v>
      </c>
      <c r="G1756" t="s">
        <v>428</v>
      </c>
    </row>
    <row r="1757" spans="1:7" x14ac:dyDescent="0.35">
      <c r="A1757">
        <v>430</v>
      </c>
      <c r="B1757" t="s">
        <v>254</v>
      </c>
      <c r="C1757">
        <v>0</v>
      </c>
      <c r="D1757">
        <v>232692.95</v>
      </c>
      <c r="E1757">
        <v>232692.95</v>
      </c>
      <c r="F1757">
        <v>0</v>
      </c>
      <c r="G1757" t="s">
        <v>428</v>
      </c>
    </row>
    <row r="1758" spans="1:7" x14ac:dyDescent="0.35">
      <c r="A1758">
        <v>440</v>
      </c>
      <c r="B1758" t="s">
        <v>255</v>
      </c>
      <c r="C1758">
        <v>0</v>
      </c>
      <c r="D1758">
        <v>521392.95</v>
      </c>
      <c r="E1758">
        <v>521392.95</v>
      </c>
      <c r="F1758">
        <v>0</v>
      </c>
      <c r="G1758" t="s">
        <v>428</v>
      </c>
    </row>
    <row r="1759" spans="1:7" x14ac:dyDescent="0.35">
      <c r="A1759">
        <v>450</v>
      </c>
      <c r="B1759" t="s">
        <v>256</v>
      </c>
      <c r="C1759">
        <v>0</v>
      </c>
      <c r="D1759">
        <v>0</v>
      </c>
      <c r="E1759">
        <v>0</v>
      </c>
      <c r="F1759">
        <v>0</v>
      </c>
      <c r="G1759" t="s">
        <v>428</v>
      </c>
    </row>
    <row r="1760" spans="1:7" x14ac:dyDescent="0.35">
      <c r="A1760">
        <v>455</v>
      </c>
      <c r="B1760" t="s">
        <v>204</v>
      </c>
      <c r="C1760">
        <v>0</v>
      </c>
      <c r="D1760">
        <v>0</v>
      </c>
      <c r="E1760">
        <v>0</v>
      </c>
      <c r="F1760">
        <v>0</v>
      </c>
      <c r="G1760" t="s">
        <v>428</v>
      </c>
    </row>
    <row r="1761" spans="1:7" x14ac:dyDescent="0.35">
      <c r="A1761">
        <v>456</v>
      </c>
      <c r="B1761" t="s">
        <v>636</v>
      </c>
      <c r="C1761">
        <v>0</v>
      </c>
      <c r="D1761">
        <v>0</v>
      </c>
      <c r="E1761">
        <v>0</v>
      </c>
      <c r="F1761">
        <v>0</v>
      </c>
      <c r="G1761" t="s">
        <v>428</v>
      </c>
    </row>
    <row r="1762" spans="1:7" x14ac:dyDescent="0.35">
      <c r="A1762">
        <v>460</v>
      </c>
      <c r="B1762" t="s">
        <v>208</v>
      </c>
      <c r="C1762">
        <v>-9107.4599999999991</v>
      </c>
      <c r="D1762">
        <v>-451379.47</v>
      </c>
      <c r="E1762">
        <v>-460486.93</v>
      </c>
      <c r="F1762">
        <v>-9107.4599999999991</v>
      </c>
      <c r="G1762" t="s">
        <v>428</v>
      </c>
    </row>
    <row r="1763" spans="1:7" x14ac:dyDescent="0.35">
      <c r="A1763">
        <v>470</v>
      </c>
      <c r="B1763" t="s">
        <v>637</v>
      </c>
      <c r="C1763">
        <v>0</v>
      </c>
      <c r="D1763">
        <v>504603.64</v>
      </c>
      <c r="E1763">
        <v>504603.64</v>
      </c>
      <c r="F1763">
        <v>0</v>
      </c>
      <c r="G1763" t="s">
        <v>428</v>
      </c>
    </row>
    <row r="1764" spans="1:7" x14ac:dyDescent="0.35">
      <c r="A1764">
        <v>480</v>
      </c>
      <c r="B1764" t="s">
        <v>207</v>
      </c>
      <c r="C1764">
        <v>0</v>
      </c>
      <c r="D1764">
        <v>-12929.51</v>
      </c>
      <c r="E1764">
        <v>-12929.51</v>
      </c>
      <c r="F1764">
        <v>0</v>
      </c>
      <c r="G1764" t="s">
        <v>428</v>
      </c>
    </row>
    <row r="1765" spans="1:7" x14ac:dyDescent="0.35">
      <c r="A1765">
        <v>490</v>
      </c>
      <c r="B1765" t="s">
        <v>638</v>
      </c>
      <c r="C1765">
        <v>0</v>
      </c>
      <c r="D1765">
        <v>0</v>
      </c>
      <c r="E1765">
        <v>0</v>
      </c>
      <c r="F1765">
        <v>0</v>
      </c>
      <c r="G1765" t="s">
        <v>428</v>
      </c>
    </row>
    <row r="1766" spans="1:7" x14ac:dyDescent="0.35">
      <c r="A1766">
        <v>500</v>
      </c>
      <c r="B1766" t="s">
        <v>206</v>
      </c>
      <c r="C1766">
        <v>0</v>
      </c>
      <c r="D1766">
        <v>0</v>
      </c>
      <c r="E1766">
        <v>0</v>
      </c>
      <c r="F1766">
        <v>0</v>
      </c>
      <c r="G1766" t="s">
        <v>428</v>
      </c>
    </row>
    <row r="1767" spans="1:7" x14ac:dyDescent="0.35">
      <c r="A1767">
        <v>510</v>
      </c>
      <c r="B1767" t="s">
        <v>639</v>
      </c>
      <c r="C1767">
        <v>0</v>
      </c>
      <c r="D1767">
        <v>0</v>
      </c>
      <c r="E1767">
        <v>0</v>
      </c>
      <c r="F1767">
        <v>0</v>
      </c>
      <c r="G1767" t="s">
        <v>428</v>
      </c>
    </row>
    <row r="1768" spans="1:7" x14ac:dyDescent="0.35">
      <c r="A1768">
        <v>512</v>
      </c>
      <c r="B1768" t="s">
        <v>257</v>
      </c>
      <c r="C1768">
        <v>0</v>
      </c>
      <c r="D1768">
        <v>0</v>
      </c>
      <c r="E1768">
        <v>0</v>
      </c>
      <c r="F1768">
        <v>0</v>
      </c>
      <c r="G1768" t="s">
        <v>428</v>
      </c>
    </row>
    <row r="1769" spans="1:7" x14ac:dyDescent="0.35">
      <c r="A1769">
        <v>514</v>
      </c>
      <c r="B1769" t="s">
        <v>640</v>
      </c>
      <c r="C1769">
        <v>0</v>
      </c>
      <c r="D1769">
        <v>0</v>
      </c>
      <c r="E1769">
        <v>0</v>
      </c>
      <c r="F1769">
        <v>0</v>
      </c>
      <c r="G1769" t="s">
        <v>428</v>
      </c>
    </row>
    <row r="1770" spans="1:7" x14ac:dyDescent="0.35">
      <c r="A1770">
        <v>520</v>
      </c>
      <c r="B1770" t="s">
        <v>641</v>
      </c>
      <c r="C1770">
        <v>0</v>
      </c>
      <c r="D1770">
        <v>0</v>
      </c>
      <c r="E1770">
        <v>0</v>
      </c>
      <c r="F1770">
        <v>0</v>
      </c>
      <c r="G1770" t="s">
        <v>428</v>
      </c>
    </row>
    <row r="1771" spans="1:7" x14ac:dyDescent="0.35">
      <c r="A1771">
        <v>530</v>
      </c>
      <c r="B1771" t="s">
        <v>642</v>
      </c>
      <c r="C1771">
        <v>0</v>
      </c>
      <c r="D1771">
        <v>0</v>
      </c>
      <c r="E1771">
        <v>0</v>
      </c>
      <c r="F1771">
        <v>0</v>
      </c>
      <c r="G1771" t="s">
        <v>428</v>
      </c>
    </row>
    <row r="1772" spans="1:7" x14ac:dyDescent="0.35">
      <c r="A1772">
        <v>540</v>
      </c>
      <c r="B1772" t="s">
        <v>643</v>
      </c>
      <c r="C1772">
        <v>0</v>
      </c>
      <c r="D1772">
        <v>0</v>
      </c>
      <c r="E1772">
        <v>0</v>
      </c>
      <c r="F1772">
        <v>0</v>
      </c>
      <c r="G1772" t="s">
        <v>428</v>
      </c>
    </row>
    <row r="1773" spans="1:7" x14ac:dyDescent="0.35">
      <c r="A1773">
        <v>550</v>
      </c>
      <c r="B1773" t="s">
        <v>644</v>
      </c>
      <c r="C1773">
        <v>0</v>
      </c>
      <c r="D1773">
        <v>0</v>
      </c>
      <c r="E1773">
        <v>0</v>
      </c>
      <c r="F1773">
        <v>0</v>
      </c>
      <c r="G1773" t="s">
        <v>428</v>
      </c>
    </row>
    <row r="1774" spans="1:7" x14ac:dyDescent="0.35">
      <c r="A1774">
        <v>560</v>
      </c>
      <c r="B1774" t="s">
        <v>645</v>
      </c>
      <c r="C1774">
        <v>0</v>
      </c>
      <c r="D1774">
        <v>-382496</v>
      </c>
      <c r="E1774">
        <v>-382496</v>
      </c>
      <c r="F1774">
        <v>0</v>
      </c>
      <c r="G1774" t="s">
        <v>428</v>
      </c>
    </row>
    <row r="1775" spans="1:7" x14ac:dyDescent="0.35">
      <c r="A1775">
        <v>570</v>
      </c>
      <c r="B1775" t="s">
        <v>646</v>
      </c>
      <c r="C1775">
        <v>0</v>
      </c>
      <c r="D1775">
        <v>5527.48</v>
      </c>
      <c r="E1775">
        <v>5527.48</v>
      </c>
      <c r="F1775">
        <v>0</v>
      </c>
      <c r="G1775" t="s">
        <v>428</v>
      </c>
    </row>
    <row r="1776" spans="1:7" x14ac:dyDescent="0.35">
      <c r="A1776">
        <v>580</v>
      </c>
      <c r="B1776" t="s">
        <v>258</v>
      </c>
      <c r="C1776">
        <v>0</v>
      </c>
      <c r="D1776">
        <v>0</v>
      </c>
      <c r="E1776">
        <v>0</v>
      </c>
      <c r="F1776">
        <v>0</v>
      </c>
      <c r="G1776" t="s">
        <v>428</v>
      </c>
    </row>
    <row r="1777" spans="1:7" x14ac:dyDescent="0.35">
      <c r="A1777">
        <v>590</v>
      </c>
      <c r="B1777" t="s">
        <v>647</v>
      </c>
      <c r="C1777">
        <v>0</v>
      </c>
      <c r="D1777">
        <v>0</v>
      </c>
      <c r="E1777">
        <v>0</v>
      </c>
      <c r="F1777">
        <v>0</v>
      </c>
      <c r="G1777" t="s">
        <v>428</v>
      </c>
    </row>
    <row r="1778" spans="1:7" x14ac:dyDescent="0.35">
      <c r="A1778">
        <v>600</v>
      </c>
      <c r="B1778" t="s">
        <v>259</v>
      </c>
      <c r="C1778">
        <v>0</v>
      </c>
      <c r="D1778">
        <v>-444101</v>
      </c>
      <c r="E1778">
        <v>-444101</v>
      </c>
      <c r="F1778">
        <v>0</v>
      </c>
      <c r="G1778" t="s">
        <v>428</v>
      </c>
    </row>
    <row r="1779" spans="1:7" x14ac:dyDescent="0.35">
      <c r="A1779">
        <v>610</v>
      </c>
      <c r="B1779" t="s">
        <v>648</v>
      </c>
      <c r="C1779">
        <v>5119.0200000000004</v>
      </c>
      <c r="D1779">
        <v>663206.01</v>
      </c>
      <c r="E1779">
        <v>668325.03</v>
      </c>
      <c r="F1779">
        <v>5119.0200000000004</v>
      </c>
      <c r="G1779" t="s">
        <v>428</v>
      </c>
    </row>
    <row r="1780" spans="1:7" x14ac:dyDescent="0.35">
      <c r="A1780">
        <v>615</v>
      </c>
      <c r="B1780" t="s">
        <v>673</v>
      </c>
      <c r="C1780">
        <v>0</v>
      </c>
      <c r="D1780">
        <v>0</v>
      </c>
      <c r="E1780">
        <v>0</v>
      </c>
      <c r="F1780">
        <v>0</v>
      </c>
      <c r="G1780" t="s">
        <v>428</v>
      </c>
    </row>
    <row r="1781" spans="1:7" x14ac:dyDescent="0.35">
      <c r="A1781">
        <v>620</v>
      </c>
      <c r="B1781" t="s">
        <v>260</v>
      </c>
      <c r="C1781">
        <v>0</v>
      </c>
      <c r="D1781">
        <v>0</v>
      </c>
      <c r="E1781">
        <v>0</v>
      </c>
      <c r="F1781">
        <v>0</v>
      </c>
      <c r="G1781" t="s">
        <v>428</v>
      </c>
    </row>
    <row r="1782" spans="1:7" x14ac:dyDescent="0.35">
      <c r="A1782">
        <v>630</v>
      </c>
      <c r="B1782" t="s">
        <v>261</v>
      </c>
      <c r="C1782">
        <v>0</v>
      </c>
      <c r="D1782">
        <v>-56769</v>
      </c>
      <c r="E1782">
        <v>-56769</v>
      </c>
      <c r="F1782">
        <v>0</v>
      </c>
      <c r="G1782" t="s">
        <v>428</v>
      </c>
    </row>
    <row r="1783" spans="1:7" x14ac:dyDescent="0.35">
      <c r="A1783">
        <v>635</v>
      </c>
      <c r="B1783" t="s">
        <v>674</v>
      </c>
      <c r="C1783">
        <v>0</v>
      </c>
      <c r="D1783">
        <v>-12929.51</v>
      </c>
      <c r="E1783">
        <v>-12929.51</v>
      </c>
      <c r="F1783">
        <v>0</v>
      </c>
      <c r="G1783" t="s">
        <v>428</v>
      </c>
    </row>
    <row r="1784" spans="1:7" x14ac:dyDescent="0.35">
      <c r="A1784">
        <v>640</v>
      </c>
      <c r="B1784" t="s">
        <v>262</v>
      </c>
      <c r="C1784">
        <v>-3988.44</v>
      </c>
      <c r="D1784">
        <v>-187267.36</v>
      </c>
      <c r="E1784">
        <v>-191255.8</v>
      </c>
      <c r="F1784">
        <v>-3988.44</v>
      </c>
      <c r="G1784" t="s">
        <v>428</v>
      </c>
    </row>
    <row r="1785" spans="1:7" x14ac:dyDescent="0.35">
      <c r="A1785">
        <v>650</v>
      </c>
      <c r="B1785" t="s">
        <v>263</v>
      </c>
      <c r="C1785">
        <v>-292670.81</v>
      </c>
      <c r="D1785">
        <v>349140.2</v>
      </c>
      <c r="E1785">
        <v>56469.39</v>
      </c>
      <c r="F1785">
        <v>-292670.81</v>
      </c>
      <c r="G1785" t="s">
        <v>428</v>
      </c>
    </row>
    <row r="1786" spans="1:7" x14ac:dyDescent="0.35">
      <c r="A1786" t="s">
        <v>534</v>
      </c>
      <c r="B1786" t="s">
        <v>416</v>
      </c>
      <c r="C1786" t="s">
        <v>608</v>
      </c>
      <c r="D1786" t="s">
        <v>609</v>
      </c>
      <c r="E1786" t="s">
        <v>610</v>
      </c>
      <c r="F1786" t="s">
        <v>611</v>
      </c>
      <c r="G1786" t="s">
        <v>121</v>
      </c>
    </row>
    <row r="1787" spans="1:7" x14ac:dyDescent="0.35">
      <c r="A1787">
        <v>10</v>
      </c>
      <c r="B1787" t="s">
        <v>612</v>
      </c>
      <c r="C1787">
        <v>0</v>
      </c>
      <c r="D1787">
        <v>0</v>
      </c>
      <c r="E1787">
        <v>0</v>
      </c>
      <c r="F1787">
        <v>0</v>
      </c>
      <c r="G1787" t="s">
        <v>428</v>
      </c>
    </row>
    <row r="1788" spans="1:7" x14ac:dyDescent="0.35">
      <c r="A1788">
        <v>20</v>
      </c>
      <c r="B1788" t="s">
        <v>427</v>
      </c>
      <c r="C1788">
        <v>19984.28</v>
      </c>
      <c r="D1788">
        <v>0</v>
      </c>
      <c r="E1788">
        <v>19984.28</v>
      </c>
      <c r="F1788">
        <v>19984.28</v>
      </c>
      <c r="G1788" t="s">
        <v>428</v>
      </c>
    </row>
    <row r="1789" spans="1:7" x14ac:dyDescent="0.35">
      <c r="A1789">
        <v>30</v>
      </c>
      <c r="B1789" t="s">
        <v>613</v>
      </c>
      <c r="C1789">
        <v>0</v>
      </c>
      <c r="D1789">
        <v>0</v>
      </c>
      <c r="E1789">
        <v>0</v>
      </c>
      <c r="F1789">
        <v>0</v>
      </c>
      <c r="G1789" t="s">
        <v>428</v>
      </c>
    </row>
    <row r="1790" spans="1:7" x14ac:dyDescent="0.35">
      <c r="A1790">
        <v>35</v>
      </c>
      <c r="B1790" t="s">
        <v>614</v>
      </c>
      <c r="C1790">
        <v>19984.28</v>
      </c>
      <c r="D1790">
        <v>0</v>
      </c>
      <c r="E1790">
        <v>19984.28</v>
      </c>
      <c r="F1790">
        <v>19984.28</v>
      </c>
      <c r="G1790" t="s">
        <v>428</v>
      </c>
    </row>
    <row r="1791" spans="1:7" x14ac:dyDescent="0.35">
      <c r="A1791">
        <v>40</v>
      </c>
      <c r="B1791" t="s">
        <v>615</v>
      </c>
      <c r="C1791">
        <v>0</v>
      </c>
      <c r="D1791">
        <v>0</v>
      </c>
      <c r="E1791">
        <v>0</v>
      </c>
      <c r="F1791">
        <v>0</v>
      </c>
      <c r="G1791" t="s">
        <v>428</v>
      </c>
    </row>
    <row r="1792" spans="1:7" x14ac:dyDescent="0.35">
      <c r="A1792">
        <v>50</v>
      </c>
      <c r="B1792" t="s">
        <v>616</v>
      </c>
      <c r="C1792">
        <v>0</v>
      </c>
      <c r="D1792">
        <v>0</v>
      </c>
      <c r="E1792">
        <v>0</v>
      </c>
      <c r="F1792">
        <v>0</v>
      </c>
      <c r="G1792" t="s">
        <v>428</v>
      </c>
    </row>
    <row r="1793" spans="1:7" x14ac:dyDescent="0.35">
      <c r="A1793">
        <v>60</v>
      </c>
      <c r="B1793" t="s">
        <v>617</v>
      </c>
      <c r="C1793">
        <v>19984.28</v>
      </c>
      <c r="D1793">
        <v>0</v>
      </c>
      <c r="E1793">
        <v>19984.28</v>
      </c>
      <c r="F1793">
        <v>19984.28</v>
      </c>
      <c r="G1793" t="s">
        <v>428</v>
      </c>
    </row>
    <row r="1794" spans="1:7" x14ac:dyDescent="0.35">
      <c r="A1794">
        <v>70</v>
      </c>
      <c r="B1794" t="s">
        <v>433</v>
      </c>
      <c r="C1794">
        <v>1526.42</v>
      </c>
      <c r="D1794">
        <v>0</v>
      </c>
      <c r="E1794">
        <v>1526.42</v>
      </c>
      <c r="F1794">
        <v>1526.42</v>
      </c>
      <c r="G1794" t="s">
        <v>428</v>
      </c>
    </row>
    <row r="1795" spans="1:7" x14ac:dyDescent="0.35">
      <c r="A1795">
        <v>80</v>
      </c>
      <c r="B1795" t="s">
        <v>434</v>
      </c>
      <c r="C1795">
        <v>0</v>
      </c>
      <c r="D1795">
        <v>0</v>
      </c>
      <c r="E1795">
        <v>0</v>
      </c>
      <c r="F1795">
        <v>0</v>
      </c>
      <c r="G1795" t="s">
        <v>428</v>
      </c>
    </row>
    <row r="1796" spans="1:7" x14ac:dyDescent="0.35">
      <c r="A1796">
        <v>90</v>
      </c>
      <c r="B1796" t="s">
        <v>618</v>
      </c>
      <c r="C1796">
        <v>2809.12</v>
      </c>
      <c r="D1796">
        <v>0</v>
      </c>
      <c r="E1796">
        <v>2809.12</v>
      </c>
      <c r="F1796">
        <v>2809.12</v>
      </c>
      <c r="G1796" t="s">
        <v>428</v>
      </c>
    </row>
    <row r="1797" spans="1:7" x14ac:dyDescent="0.35">
      <c r="A1797">
        <v>100</v>
      </c>
      <c r="B1797" t="s">
        <v>619</v>
      </c>
      <c r="C1797">
        <v>15648.74</v>
      </c>
      <c r="D1797">
        <v>0</v>
      </c>
      <c r="E1797">
        <v>15648.74</v>
      </c>
      <c r="F1797">
        <v>15648.74</v>
      </c>
      <c r="G1797" t="s">
        <v>428</v>
      </c>
    </row>
    <row r="1798" spans="1:7" x14ac:dyDescent="0.35">
      <c r="A1798">
        <v>110</v>
      </c>
      <c r="B1798" t="s">
        <v>620</v>
      </c>
      <c r="C1798">
        <v>0</v>
      </c>
      <c r="D1798">
        <v>0</v>
      </c>
      <c r="E1798">
        <v>0</v>
      </c>
      <c r="F1798">
        <v>0</v>
      </c>
      <c r="G1798" t="s">
        <v>428</v>
      </c>
    </row>
    <row r="1799" spans="1:7" x14ac:dyDescent="0.35">
      <c r="A1799">
        <v>120</v>
      </c>
      <c r="B1799" t="s">
        <v>621</v>
      </c>
      <c r="C1799">
        <v>0</v>
      </c>
      <c r="D1799">
        <v>0</v>
      </c>
      <c r="E1799">
        <v>0</v>
      </c>
      <c r="F1799">
        <v>0</v>
      </c>
      <c r="G1799" t="s">
        <v>428</v>
      </c>
    </row>
    <row r="1800" spans="1:7" x14ac:dyDescent="0.35">
      <c r="A1800">
        <v>130</v>
      </c>
      <c r="B1800" t="s">
        <v>622</v>
      </c>
      <c r="C1800">
        <v>1347.9</v>
      </c>
      <c r="D1800">
        <v>0</v>
      </c>
      <c r="E1800">
        <v>1347.9</v>
      </c>
      <c r="F1800">
        <v>1347.9</v>
      </c>
      <c r="G1800" t="s">
        <v>428</v>
      </c>
    </row>
    <row r="1801" spans="1:7" x14ac:dyDescent="0.35">
      <c r="A1801">
        <v>140</v>
      </c>
      <c r="B1801" t="s">
        <v>623</v>
      </c>
      <c r="C1801">
        <v>0</v>
      </c>
      <c r="D1801">
        <v>0</v>
      </c>
      <c r="E1801">
        <v>0</v>
      </c>
      <c r="F1801">
        <v>0</v>
      </c>
      <c r="G1801" t="s">
        <v>428</v>
      </c>
    </row>
    <row r="1802" spans="1:7" x14ac:dyDescent="0.35">
      <c r="A1802">
        <v>145</v>
      </c>
      <c r="B1802" t="s">
        <v>443</v>
      </c>
      <c r="C1802">
        <v>1347.9</v>
      </c>
      <c r="D1802">
        <v>0</v>
      </c>
      <c r="E1802">
        <v>1347.9</v>
      </c>
      <c r="F1802">
        <v>1347.9</v>
      </c>
      <c r="G1802" t="s">
        <v>428</v>
      </c>
    </row>
    <row r="1803" spans="1:7" x14ac:dyDescent="0.35">
      <c r="A1803">
        <v>150</v>
      </c>
      <c r="B1803" t="s">
        <v>624</v>
      </c>
      <c r="C1803">
        <v>14300.84</v>
      </c>
      <c r="D1803">
        <v>0</v>
      </c>
      <c r="E1803">
        <v>14300.84</v>
      </c>
      <c r="F1803">
        <v>14300.84</v>
      </c>
      <c r="G1803" t="s">
        <v>428</v>
      </c>
    </row>
    <row r="1804" spans="1:7" x14ac:dyDescent="0.35">
      <c r="A1804">
        <v>160</v>
      </c>
      <c r="B1804" t="s">
        <v>625</v>
      </c>
      <c r="C1804">
        <v>0</v>
      </c>
      <c r="D1804">
        <v>0</v>
      </c>
      <c r="E1804">
        <v>0</v>
      </c>
      <c r="F1804">
        <v>0</v>
      </c>
      <c r="G1804" t="s">
        <v>428</v>
      </c>
    </row>
    <row r="1805" spans="1:7" x14ac:dyDescent="0.35">
      <c r="A1805">
        <v>170</v>
      </c>
      <c r="B1805" t="s">
        <v>447</v>
      </c>
      <c r="C1805">
        <v>14300.84</v>
      </c>
      <c r="D1805">
        <v>0</v>
      </c>
      <c r="E1805">
        <v>14300.84</v>
      </c>
      <c r="F1805">
        <v>14300.84</v>
      </c>
      <c r="G1805" t="s">
        <v>428</v>
      </c>
    </row>
    <row r="1806" spans="1:7" x14ac:dyDescent="0.35">
      <c r="A1806">
        <v>190</v>
      </c>
      <c r="B1806" t="s">
        <v>626</v>
      </c>
      <c r="C1806">
        <v>0</v>
      </c>
      <c r="D1806">
        <v>0</v>
      </c>
      <c r="E1806">
        <v>0</v>
      </c>
      <c r="F1806">
        <v>0</v>
      </c>
      <c r="G1806" t="s">
        <v>428</v>
      </c>
    </row>
    <row r="1807" spans="1:7" x14ac:dyDescent="0.35">
      <c r="A1807">
        <v>200</v>
      </c>
      <c r="B1807" t="s">
        <v>447</v>
      </c>
      <c r="C1807">
        <v>14300.84</v>
      </c>
      <c r="D1807">
        <v>0</v>
      </c>
      <c r="E1807">
        <v>14300.84</v>
      </c>
      <c r="F1807">
        <v>14300.84</v>
      </c>
      <c r="G1807" t="s">
        <v>428</v>
      </c>
    </row>
    <row r="1808" spans="1:7" x14ac:dyDescent="0.35">
      <c r="A1808">
        <v>210</v>
      </c>
      <c r="B1808" t="s">
        <v>247</v>
      </c>
      <c r="C1808">
        <v>14300.84</v>
      </c>
      <c r="D1808">
        <v>0</v>
      </c>
      <c r="E1808">
        <v>14300.84</v>
      </c>
      <c r="F1808">
        <v>14300.84</v>
      </c>
      <c r="G1808" t="s">
        <v>428</v>
      </c>
    </row>
    <row r="1809" spans="1:7" x14ac:dyDescent="0.35">
      <c r="A1809">
        <v>220</v>
      </c>
      <c r="B1809" t="s">
        <v>627</v>
      </c>
      <c r="C1809">
        <v>0</v>
      </c>
      <c r="D1809">
        <v>0</v>
      </c>
      <c r="E1809">
        <v>0</v>
      </c>
      <c r="F1809">
        <v>0</v>
      </c>
      <c r="G1809" t="s">
        <v>428</v>
      </c>
    </row>
    <row r="1810" spans="1:7" x14ac:dyDescent="0.35">
      <c r="A1810">
        <v>230</v>
      </c>
      <c r="B1810" t="s">
        <v>196</v>
      </c>
      <c r="C1810">
        <v>0</v>
      </c>
      <c r="D1810">
        <v>0</v>
      </c>
      <c r="E1810">
        <v>0</v>
      </c>
      <c r="F1810">
        <v>0</v>
      </c>
      <c r="G1810" t="s">
        <v>428</v>
      </c>
    </row>
    <row r="1811" spans="1:7" x14ac:dyDescent="0.35">
      <c r="A1811">
        <v>235</v>
      </c>
      <c r="B1811" t="s">
        <v>628</v>
      </c>
      <c r="C1811">
        <v>0</v>
      </c>
      <c r="D1811">
        <v>-30000</v>
      </c>
      <c r="E1811">
        <v>-30000</v>
      </c>
      <c r="F1811">
        <v>0</v>
      </c>
      <c r="G1811" t="s">
        <v>428</v>
      </c>
    </row>
    <row r="1812" spans="1:7" x14ac:dyDescent="0.35">
      <c r="A1812">
        <v>240</v>
      </c>
      <c r="B1812" t="s">
        <v>197</v>
      </c>
      <c r="C1812">
        <v>-431375</v>
      </c>
      <c r="D1812">
        <v>-2865518.57</v>
      </c>
      <c r="E1812">
        <v>-3296893.57</v>
      </c>
      <c r="F1812">
        <v>-431375</v>
      </c>
      <c r="G1812" t="s">
        <v>428</v>
      </c>
    </row>
    <row r="1813" spans="1:7" x14ac:dyDescent="0.35">
      <c r="A1813">
        <v>250</v>
      </c>
      <c r="B1813" t="s">
        <v>198</v>
      </c>
      <c r="C1813">
        <v>0</v>
      </c>
      <c r="D1813">
        <v>0</v>
      </c>
      <c r="E1813">
        <v>0</v>
      </c>
      <c r="F1813">
        <v>0</v>
      </c>
      <c r="G1813" t="s">
        <v>428</v>
      </c>
    </row>
    <row r="1814" spans="1:7" x14ac:dyDescent="0.35">
      <c r="A1814">
        <v>260</v>
      </c>
      <c r="B1814"/>
      <c r="C1814">
        <v>0</v>
      </c>
      <c r="D1814">
        <v>0</v>
      </c>
      <c r="E1814">
        <v>0</v>
      </c>
      <c r="F1814">
        <v>0</v>
      </c>
      <c r="G1814" t="s">
        <v>428</v>
      </c>
    </row>
    <row r="1815" spans="1:7" x14ac:dyDescent="0.35">
      <c r="A1815">
        <v>270</v>
      </c>
      <c r="B1815" t="s">
        <v>199</v>
      </c>
      <c r="C1815">
        <v>611.11</v>
      </c>
      <c r="D1815">
        <v>-55730.68</v>
      </c>
      <c r="E1815">
        <v>-55119.57</v>
      </c>
      <c r="F1815">
        <v>611.11</v>
      </c>
      <c r="G1815" t="s">
        <v>428</v>
      </c>
    </row>
    <row r="1816" spans="1:7" x14ac:dyDescent="0.35">
      <c r="A1816">
        <v>300</v>
      </c>
      <c r="B1816" t="s">
        <v>222</v>
      </c>
      <c r="C1816">
        <v>0</v>
      </c>
      <c r="D1816">
        <v>0</v>
      </c>
      <c r="E1816">
        <v>0</v>
      </c>
      <c r="F1816">
        <v>0</v>
      </c>
      <c r="G1816" t="s">
        <v>428</v>
      </c>
    </row>
    <row r="1817" spans="1:7" x14ac:dyDescent="0.35">
      <c r="A1817">
        <v>310</v>
      </c>
      <c r="B1817" t="s">
        <v>630</v>
      </c>
      <c r="C1817">
        <v>0</v>
      </c>
      <c r="D1817">
        <v>0</v>
      </c>
      <c r="E1817">
        <v>0</v>
      </c>
      <c r="F1817">
        <v>0</v>
      </c>
      <c r="G1817" t="s">
        <v>428</v>
      </c>
    </row>
    <row r="1818" spans="1:7" x14ac:dyDescent="0.35">
      <c r="A1818">
        <v>320</v>
      </c>
      <c r="B1818" t="s">
        <v>248</v>
      </c>
      <c r="C1818">
        <v>0</v>
      </c>
      <c r="D1818">
        <v>0</v>
      </c>
      <c r="E1818">
        <v>0</v>
      </c>
      <c r="F1818">
        <v>0</v>
      </c>
      <c r="G1818" t="s">
        <v>428</v>
      </c>
    </row>
    <row r="1819" spans="1:7" x14ac:dyDescent="0.35">
      <c r="A1819">
        <v>325</v>
      </c>
      <c r="B1819" t="s">
        <v>249</v>
      </c>
      <c r="C1819">
        <v>-19087.22</v>
      </c>
      <c r="D1819">
        <v>1572003.89</v>
      </c>
      <c r="E1819">
        <v>1552916.67</v>
      </c>
      <c r="F1819">
        <v>-19087.22</v>
      </c>
      <c r="G1819" t="s">
        <v>428</v>
      </c>
    </row>
    <row r="1820" spans="1:7" x14ac:dyDescent="0.35">
      <c r="A1820">
        <v>330</v>
      </c>
      <c r="B1820" t="s">
        <v>690</v>
      </c>
      <c r="C1820">
        <v>0</v>
      </c>
      <c r="D1820">
        <v>0</v>
      </c>
      <c r="E1820">
        <v>0</v>
      </c>
      <c r="F1820">
        <v>0</v>
      </c>
      <c r="G1820" t="s">
        <v>428</v>
      </c>
    </row>
    <row r="1821" spans="1:7" x14ac:dyDescent="0.35">
      <c r="A1821">
        <v>340</v>
      </c>
      <c r="B1821" t="s">
        <v>632</v>
      </c>
      <c r="C1821">
        <v>0</v>
      </c>
      <c r="D1821">
        <v>0</v>
      </c>
      <c r="E1821">
        <v>0</v>
      </c>
      <c r="F1821">
        <v>0</v>
      </c>
      <c r="G1821" t="s">
        <v>428</v>
      </c>
    </row>
    <row r="1822" spans="1:7" x14ac:dyDescent="0.35">
      <c r="A1822">
        <v>380</v>
      </c>
      <c r="B1822" t="s">
        <v>633</v>
      </c>
      <c r="C1822">
        <v>-449851.11</v>
      </c>
      <c r="D1822">
        <v>-1379245.36</v>
      </c>
      <c r="E1822">
        <v>-1829096.47</v>
      </c>
      <c r="F1822">
        <v>-449851.11</v>
      </c>
      <c r="G1822" t="s">
        <v>428</v>
      </c>
    </row>
    <row r="1823" spans="1:7" x14ac:dyDescent="0.35">
      <c r="A1823">
        <v>390</v>
      </c>
      <c r="B1823" t="s">
        <v>250</v>
      </c>
      <c r="C1823">
        <v>0</v>
      </c>
      <c r="D1823">
        <v>0</v>
      </c>
      <c r="E1823">
        <v>0</v>
      </c>
      <c r="F1823">
        <v>0</v>
      </c>
      <c r="G1823" t="s">
        <v>428</v>
      </c>
    </row>
    <row r="1824" spans="1:7" x14ac:dyDescent="0.35">
      <c r="A1824">
        <v>400</v>
      </c>
      <c r="B1824" t="s">
        <v>251</v>
      </c>
      <c r="C1824">
        <v>392224.9</v>
      </c>
      <c r="D1824">
        <v>1800600.88</v>
      </c>
      <c r="E1824">
        <v>2192825.7799999998</v>
      </c>
      <c r="F1824">
        <v>392224.9</v>
      </c>
      <c r="G1824" t="s">
        <v>428</v>
      </c>
    </row>
    <row r="1825" spans="1:7" x14ac:dyDescent="0.35">
      <c r="A1825">
        <v>405</v>
      </c>
      <c r="B1825" t="s">
        <v>252</v>
      </c>
      <c r="C1825">
        <v>0</v>
      </c>
      <c r="D1825">
        <v>0</v>
      </c>
      <c r="E1825">
        <v>0</v>
      </c>
      <c r="F1825">
        <v>0</v>
      </c>
      <c r="G1825" t="s">
        <v>428</v>
      </c>
    </row>
    <row r="1826" spans="1:7" x14ac:dyDescent="0.35">
      <c r="A1826">
        <v>410</v>
      </c>
      <c r="B1826" t="s">
        <v>237</v>
      </c>
      <c r="C1826">
        <v>0</v>
      </c>
      <c r="D1826">
        <v>0</v>
      </c>
      <c r="E1826">
        <v>0</v>
      </c>
      <c r="F1826">
        <v>0</v>
      </c>
      <c r="G1826" t="s">
        <v>428</v>
      </c>
    </row>
    <row r="1827" spans="1:7" x14ac:dyDescent="0.35">
      <c r="A1827">
        <v>420</v>
      </c>
      <c r="B1827" t="s">
        <v>253</v>
      </c>
      <c r="C1827">
        <v>0</v>
      </c>
      <c r="D1827">
        <v>-797390.69</v>
      </c>
      <c r="E1827">
        <v>-797390.69</v>
      </c>
      <c r="F1827">
        <v>0</v>
      </c>
      <c r="G1827" t="s">
        <v>428</v>
      </c>
    </row>
    <row r="1828" spans="1:7" x14ac:dyDescent="0.35">
      <c r="A1828">
        <v>425</v>
      </c>
      <c r="B1828" t="s">
        <v>634</v>
      </c>
      <c r="C1828">
        <v>0</v>
      </c>
      <c r="D1828">
        <v>0</v>
      </c>
      <c r="E1828">
        <v>0</v>
      </c>
      <c r="F1828">
        <v>0</v>
      </c>
      <c r="G1828" t="s">
        <v>428</v>
      </c>
    </row>
    <row r="1829" spans="1:7" x14ac:dyDescent="0.35">
      <c r="A1829">
        <v>427</v>
      </c>
      <c r="B1829" t="s">
        <v>635</v>
      </c>
      <c r="C1829">
        <v>0</v>
      </c>
      <c r="D1829">
        <v>0</v>
      </c>
      <c r="E1829">
        <v>0</v>
      </c>
      <c r="F1829">
        <v>0</v>
      </c>
      <c r="G1829" t="s">
        <v>428</v>
      </c>
    </row>
    <row r="1830" spans="1:7" x14ac:dyDescent="0.35">
      <c r="A1830">
        <v>430</v>
      </c>
      <c r="B1830" t="s">
        <v>254</v>
      </c>
      <c r="C1830">
        <v>0</v>
      </c>
      <c r="D1830">
        <v>1735082.39</v>
      </c>
      <c r="E1830">
        <v>1735082.39</v>
      </c>
      <c r="F1830">
        <v>0</v>
      </c>
      <c r="G1830" t="s">
        <v>428</v>
      </c>
    </row>
    <row r="1831" spans="1:7" x14ac:dyDescent="0.35">
      <c r="A1831">
        <v>440</v>
      </c>
      <c r="B1831" t="s">
        <v>255</v>
      </c>
      <c r="C1831">
        <v>392224.9</v>
      </c>
      <c r="D1831">
        <v>2738292.58</v>
      </c>
      <c r="E1831">
        <v>3130517.48</v>
      </c>
      <c r="F1831">
        <v>392224.9</v>
      </c>
      <c r="G1831" t="s">
        <v>428</v>
      </c>
    </row>
    <row r="1832" spans="1:7" x14ac:dyDescent="0.35">
      <c r="A1832">
        <v>450</v>
      </c>
      <c r="B1832" t="s">
        <v>256</v>
      </c>
      <c r="C1832">
        <v>0</v>
      </c>
      <c r="D1832">
        <v>0</v>
      </c>
      <c r="E1832">
        <v>0</v>
      </c>
      <c r="F1832">
        <v>0</v>
      </c>
      <c r="G1832" t="s">
        <v>428</v>
      </c>
    </row>
    <row r="1833" spans="1:7" x14ac:dyDescent="0.35">
      <c r="A1833">
        <v>455</v>
      </c>
      <c r="B1833" t="s">
        <v>204</v>
      </c>
      <c r="C1833">
        <v>0</v>
      </c>
      <c r="D1833">
        <v>-1442526.4</v>
      </c>
      <c r="E1833">
        <v>-1442526.4</v>
      </c>
      <c r="F1833">
        <v>0</v>
      </c>
      <c r="G1833" t="s">
        <v>428</v>
      </c>
    </row>
    <row r="1834" spans="1:7" x14ac:dyDescent="0.35">
      <c r="A1834">
        <v>456</v>
      </c>
      <c r="B1834" t="s">
        <v>636</v>
      </c>
      <c r="C1834">
        <v>2809.12</v>
      </c>
      <c r="D1834">
        <v>125678.44</v>
      </c>
      <c r="E1834">
        <v>128487.56</v>
      </c>
      <c r="F1834">
        <v>2809.12</v>
      </c>
      <c r="G1834" t="s">
        <v>428</v>
      </c>
    </row>
    <row r="1835" spans="1:7" x14ac:dyDescent="0.35">
      <c r="A1835">
        <v>460</v>
      </c>
      <c r="B1835" t="s">
        <v>208</v>
      </c>
      <c r="C1835">
        <v>0</v>
      </c>
      <c r="D1835">
        <v>0</v>
      </c>
      <c r="E1835">
        <v>0</v>
      </c>
      <c r="F1835">
        <v>0</v>
      </c>
      <c r="G1835" t="s">
        <v>428</v>
      </c>
    </row>
    <row r="1836" spans="1:7" x14ac:dyDescent="0.35">
      <c r="A1836">
        <v>470</v>
      </c>
      <c r="B1836" t="s">
        <v>637</v>
      </c>
      <c r="C1836">
        <v>0</v>
      </c>
      <c r="D1836">
        <v>0</v>
      </c>
      <c r="E1836">
        <v>0</v>
      </c>
      <c r="F1836">
        <v>0</v>
      </c>
      <c r="G1836" t="s">
        <v>428</v>
      </c>
    </row>
    <row r="1837" spans="1:7" x14ac:dyDescent="0.35">
      <c r="A1837">
        <v>480</v>
      </c>
      <c r="B1837" t="s">
        <v>207</v>
      </c>
      <c r="C1837">
        <v>0</v>
      </c>
      <c r="D1837">
        <v>0</v>
      </c>
      <c r="E1837">
        <v>0</v>
      </c>
      <c r="F1837">
        <v>0</v>
      </c>
      <c r="G1837" t="s">
        <v>428</v>
      </c>
    </row>
    <row r="1838" spans="1:7" x14ac:dyDescent="0.35">
      <c r="A1838">
        <v>490</v>
      </c>
      <c r="B1838" t="s">
        <v>638</v>
      </c>
      <c r="C1838">
        <v>0</v>
      </c>
      <c r="D1838">
        <v>0</v>
      </c>
      <c r="E1838">
        <v>0</v>
      </c>
      <c r="F1838">
        <v>0</v>
      </c>
      <c r="G1838" t="s">
        <v>428</v>
      </c>
    </row>
    <row r="1839" spans="1:7" x14ac:dyDescent="0.35">
      <c r="A1839">
        <v>500</v>
      </c>
      <c r="B1839" t="s">
        <v>206</v>
      </c>
      <c r="C1839">
        <v>0</v>
      </c>
      <c r="D1839">
        <v>0</v>
      </c>
      <c r="E1839">
        <v>0</v>
      </c>
      <c r="F1839">
        <v>0</v>
      </c>
      <c r="G1839" t="s">
        <v>428</v>
      </c>
    </row>
    <row r="1840" spans="1:7" x14ac:dyDescent="0.35">
      <c r="A1840">
        <v>510</v>
      </c>
      <c r="B1840" t="s">
        <v>639</v>
      </c>
      <c r="C1840">
        <v>0</v>
      </c>
      <c r="D1840">
        <v>0</v>
      </c>
      <c r="E1840">
        <v>0</v>
      </c>
      <c r="F1840">
        <v>0</v>
      </c>
      <c r="G1840" t="s">
        <v>428</v>
      </c>
    </row>
    <row r="1841" spans="1:7" x14ac:dyDescent="0.35">
      <c r="A1841">
        <v>512</v>
      </c>
      <c r="B1841" t="s">
        <v>257</v>
      </c>
      <c r="C1841">
        <v>0</v>
      </c>
      <c r="D1841">
        <v>0</v>
      </c>
      <c r="E1841">
        <v>0</v>
      </c>
      <c r="F1841">
        <v>0</v>
      </c>
      <c r="G1841" t="s">
        <v>428</v>
      </c>
    </row>
    <row r="1842" spans="1:7" x14ac:dyDescent="0.35">
      <c r="A1842">
        <v>514</v>
      </c>
      <c r="B1842" t="s">
        <v>640</v>
      </c>
      <c r="C1842">
        <v>0</v>
      </c>
      <c r="D1842">
        <v>0</v>
      </c>
      <c r="E1842">
        <v>0</v>
      </c>
      <c r="F1842">
        <v>0</v>
      </c>
      <c r="G1842" t="s">
        <v>428</v>
      </c>
    </row>
    <row r="1843" spans="1:7" x14ac:dyDescent="0.35">
      <c r="A1843">
        <v>520</v>
      </c>
      <c r="B1843" t="s">
        <v>641</v>
      </c>
      <c r="C1843">
        <v>0</v>
      </c>
      <c r="D1843">
        <v>0</v>
      </c>
      <c r="E1843">
        <v>0</v>
      </c>
      <c r="F1843">
        <v>0</v>
      </c>
      <c r="G1843" t="s">
        <v>428</v>
      </c>
    </row>
    <row r="1844" spans="1:7" x14ac:dyDescent="0.35">
      <c r="A1844">
        <v>530</v>
      </c>
      <c r="B1844" t="s">
        <v>642</v>
      </c>
      <c r="C1844">
        <v>0</v>
      </c>
      <c r="D1844">
        <v>0</v>
      </c>
      <c r="E1844">
        <v>0</v>
      </c>
      <c r="F1844">
        <v>0</v>
      </c>
      <c r="G1844" t="s">
        <v>428</v>
      </c>
    </row>
    <row r="1845" spans="1:7" x14ac:dyDescent="0.35">
      <c r="A1845">
        <v>540</v>
      </c>
      <c r="B1845" t="s">
        <v>643</v>
      </c>
      <c r="C1845">
        <v>0</v>
      </c>
      <c r="D1845">
        <v>0</v>
      </c>
      <c r="E1845">
        <v>0</v>
      </c>
      <c r="F1845">
        <v>0</v>
      </c>
      <c r="G1845" t="s">
        <v>428</v>
      </c>
    </row>
    <row r="1846" spans="1:7" x14ac:dyDescent="0.35">
      <c r="A1846">
        <v>550</v>
      </c>
      <c r="B1846" t="s">
        <v>644</v>
      </c>
      <c r="C1846">
        <v>0</v>
      </c>
      <c r="D1846">
        <v>0</v>
      </c>
      <c r="E1846">
        <v>0</v>
      </c>
      <c r="F1846">
        <v>0</v>
      </c>
      <c r="G1846" t="s">
        <v>428</v>
      </c>
    </row>
    <row r="1847" spans="1:7" x14ac:dyDescent="0.35">
      <c r="A1847">
        <v>560</v>
      </c>
      <c r="B1847" t="s">
        <v>645</v>
      </c>
      <c r="C1847">
        <v>0</v>
      </c>
      <c r="D1847">
        <v>-400</v>
      </c>
      <c r="E1847">
        <v>-400</v>
      </c>
      <c r="F1847">
        <v>0</v>
      </c>
      <c r="G1847" t="s">
        <v>428</v>
      </c>
    </row>
    <row r="1848" spans="1:7" x14ac:dyDescent="0.35">
      <c r="A1848">
        <v>570</v>
      </c>
      <c r="B1848" t="s">
        <v>646</v>
      </c>
      <c r="C1848">
        <v>0</v>
      </c>
      <c r="D1848">
        <v>2461</v>
      </c>
      <c r="E1848">
        <v>2461</v>
      </c>
      <c r="F1848">
        <v>0</v>
      </c>
      <c r="G1848" t="s">
        <v>428</v>
      </c>
    </row>
    <row r="1849" spans="1:7" x14ac:dyDescent="0.35">
      <c r="A1849">
        <v>580</v>
      </c>
      <c r="B1849" t="s">
        <v>258</v>
      </c>
      <c r="C1849">
        <v>0</v>
      </c>
      <c r="D1849">
        <v>0</v>
      </c>
      <c r="E1849">
        <v>0</v>
      </c>
      <c r="F1849">
        <v>0</v>
      </c>
      <c r="G1849" t="s">
        <v>428</v>
      </c>
    </row>
    <row r="1850" spans="1:7" x14ac:dyDescent="0.35">
      <c r="A1850">
        <v>590</v>
      </c>
      <c r="B1850" t="s">
        <v>647</v>
      </c>
      <c r="C1850">
        <v>0</v>
      </c>
      <c r="D1850">
        <v>0</v>
      </c>
      <c r="E1850">
        <v>0</v>
      </c>
      <c r="F1850">
        <v>0</v>
      </c>
      <c r="G1850" t="s">
        <v>428</v>
      </c>
    </row>
    <row r="1851" spans="1:7" x14ac:dyDescent="0.35">
      <c r="A1851">
        <v>600</v>
      </c>
      <c r="B1851" t="s">
        <v>259</v>
      </c>
      <c r="C1851">
        <v>0</v>
      </c>
      <c r="D1851">
        <v>0</v>
      </c>
      <c r="E1851">
        <v>0</v>
      </c>
      <c r="F1851">
        <v>0</v>
      </c>
      <c r="G1851" t="s">
        <v>428</v>
      </c>
    </row>
    <row r="1852" spans="1:7" x14ac:dyDescent="0.35">
      <c r="A1852">
        <v>610</v>
      </c>
      <c r="B1852" t="s">
        <v>648</v>
      </c>
      <c r="C1852">
        <v>0</v>
      </c>
      <c r="D1852">
        <v>0</v>
      </c>
      <c r="E1852">
        <v>0</v>
      </c>
      <c r="F1852">
        <v>0</v>
      </c>
      <c r="G1852" t="s">
        <v>428</v>
      </c>
    </row>
    <row r="1853" spans="1:7" x14ac:dyDescent="0.35">
      <c r="A1853">
        <v>615</v>
      </c>
      <c r="B1853" t="s">
        <v>673</v>
      </c>
      <c r="C1853">
        <v>0</v>
      </c>
      <c r="D1853">
        <v>0</v>
      </c>
      <c r="E1853">
        <v>0</v>
      </c>
      <c r="F1853">
        <v>0</v>
      </c>
      <c r="G1853" t="s">
        <v>428</v>
      </c>
    </row>
    <row r="1854" spans="1:7" x14ac:dyDescent="0.35">
      <c r="A1854">
        <v>620</v>
      </c>
      <c r="B1854" t="s">
        <v>260</v>
      </c>
      <c r="C1854">
        <v>0</v>
      </c>
      <c r="D1854">
        <v>0</v>
      </c>
      <c r="E1854">
        <v>0</v>
      </c>
      <c r="F1854">
        <v>0</v>
      </c>
      <c r="G1854" t="s">
        <v>428</v>
      </c>
    </row>
    <row r="1855" spans="1:7" x14ac:dyDescent="0.35">
      <c r="A1855">
        <v>630</v>
      </c>
      <c r="B1855" t="s">
        <v>261</v>
      </c>
      <c r="C1855">
        <v>0</v>
      </c>
      <c r="D1855">
        <v>0</v>
      </c>
      <c r="E1855">
        <v>0</v>
      </c>
      <c r="F1855">
        <v>0</v>
      </c>
      <c r="G1855" t="s">
        <v>428</v>
      </c>
    </row>
    <row r="1856" spans="1:7" x14ac:dyDescent="0.35">
      <c r="A1856">
        <v>635</v>
      </c>
      <c r="B1856" t="s">
        <v>674</v>
      </c>
      <c r="C1856">
        <v>0</v>
      </c>
      <c r="D1856">
        <v>0</v>
      </c>
      <c r="E1856">
        <v>0</v>
      </c>
      <c r="F1856">
        <v>0</v>
      </c>
      <c r="G1856" t="s">
        <v>428</v>
      </c>
    </row>
    <row r="1857" spans="1:7" x14ac:dyDescent="0.35">
      <c r="A1857">
        <v>640</v>
      </c>
      <c r="B1857" t="s">
        <v>262</v>
      </c>
      <c r="C1857">
        <v>2809.12</v>
      </c>
      <c r="D1857">
        <v>-1314786.96</v>
      </c>
      <c r="E1857">
        <v>-1311977.8400000001</v>
      </c>
      <c r="F1857">
        <v>2809.12</v>
      </c>
      <c r="G1857" t="s">
        <v>428</v>
      </c>
    </row>
    <row r="1858" spans="1:7" x14ac:dyDescent="0.35">
      <c r="A1858">
        <v>650</v>
      </c>
      <c r="B1858" t="s">
        <v>263</v>
      </c>
      <c r="C1858">
        <v>-40516.25</v>
      </c>
      <c r="D1858">
        <v>44260.26</v>
      </c>
      <c r="E1858">
        <v>3744.01</v>
      </c>
      <c r="F1858">
        <v>-40516.25</v>
      </c>
      <c r="G1858" t="s">
        <v>428</v>
      </c>
    </row>
    <row r="1859" spans="1:7" x14ac:dyDescent="0.35">
      <c r="A1859" t="s">
        <v>535</v>
      </c>
      <c r="B1859" t="s">
        <v>416</v>
      </c>
      <c r="C1859" t="s">
        <v>608</v>
      </c>
      <c r="D1859" t="s">
        <v>609</v>
      </c>
      <c r="E1859" t="s">
        <v>610</v>
      </c>
      <c r="F1859" t="s">
        <v>611</v>
      </c>
      <c r="G1859" t="s">
        <v>121</v>
      </c>
    </row>
    <row r="1860" spans="1:7" x14ac:dyDescent="0.35">
      <c r="A1860">
        <v>10</v>
      </c>
      <c r="B1860" t="s">
        <v>612</v>
      </c>
      <c r="C1860">
        <v>0</v>
      </c>
      <c r="D1860">
        <v>0</v>
      </c>
      <c r="E1860">
        <v>0</v>
      </c>
      <c r="F1860">
        <v>0</v>
      </c>
      <c r="G1860" t="s">
        <v>428</v>
      </c>
    </row>
    <row r="1861" spans="1:7" x14ac:dyDescent="0.35">
      <c r="A1861">
        <v>20</v>
      </c>
      <c r="B1861" t="s">
        <v>427</v>
      </c>
      <c r="C1861">
        <v>5183</v>
      </c>
      <c r="D1861">
        <v>0</v>
      </c>
      <c r="E1861">
        <v>5183</v>
      </c>
      <c r="F1861">
        <v>5183</v>
      </c>
      <c r="G1861" t="s">
        <v>428</v>
      </c>
    </row>
    <row r="1862" spans="1:7" x14ac:dyDescent="0.35">
      <c r="A1862">
        <v>30</v>
      </c>
      <c r="B1862" t="s">
        <v>613</v>
      </c>
      <c r="C1862">
        <v>0</v>
      </c>
      <c r="D1862">
        <v>0</v>
      </c>
      <c r="E1862">
        <v>0</v>
      </c>
      <c r="F1862">
        <v>0</v>
      </c>
      <c r="G1862" t="s">
        <v>428</v>
      </c>
    </row>
    <row r="1863" spans="1:7" x14ac:dyDescent="0.35">
      <c r="A1863">
        <v>35</v>
      </c>
      <c r="B1863" t="s">
        <v>614</v>
      </c>
      <c r="C1863">
        <v>5183</v>
      </c>
      <c r="D1863">
        <v>0</v>
      </c>
      <c r="E1863">
        <v>5183</v>
      </c>
      <c r="F1863">
        <v>5183</v>
      </c>
      <c r="G1863" t="s">
        <v>428</v>
      </c>
    </row>
    <row r="1864" spans="1:7" x14ac:dyDescent="0.35">
      <c r="A1864">
        <v>40</v>
      </c>
      <c r="B1864" t="s">
        <v>615</v>
      </c>
      <c r="C1864">
        <v>0</v>
      </c>
      <c r="D1864">
        <v>0</v>
      </c>
      <c r="E1864">
        <v>0</v>
      </c>
      <c r="F1864">
        <v>0</v>
      </c>
      <c r="G1864" t="s">
        <v>428</v>
      </c>
    </row>
    <row r="1865" spans="1:7" x14ac:dyDescent="0.35">
      <c r="A1865">
        <v>50</v>
      </c>
      <c r="B1865" t="s">
        <v>616</v>
      </c>
      <c r="C1865">
        <v>0</v>
      </c>
      <c r="D1865">
        <v>0</v>
      </c>
      <c r="E1865">
        <v>0</v>
      </c>
      <c r="F1865">
        <v>0</v>
      </c>
      <c r="G1865" t="s">
        <v>428</v>
      </c>
    </row>
    <row r="1866" spans="1:7" x14ac:dyDescent="0.35">
      <c r="A1866">
        <v>60</v>
      </c>
      <c r="B1866" t="s">
        <v>617</v>
      </c>
      <c r="C1866">
        <v>5183</v>
      </c>
      <c r="D1866">
        <v>0</v>
      </c>
      <c r="E1866">
        <v>5183</v>
      </c>
      <c r="F1866">
        <v>5183</v>
      </c>
      <c r="G1866" t="s">
        <v>428</v>
      </c>
    </row>
    <row r="1867" spans="1:7" x14ac:dyDescent="0.35">
      <c r="A1867">
        <v>70</v>
      </c>
      <c r="B1867" t="s">
        <v>433</v>
      </c>
      <c r="C1867">
        <v>0</v>
      </c>
      <c r="D1867">
        <v>0</v>
      </c>
      <c r="E1867">
        <v>0</v>
      </c>
      <c r="F1867">
        <v>0</v>
      </c>
      <c r="G1867" t="s">
        <v>428</v>
      </c>
    </row>
    <row r="1868" spans="1:7" x14ac:dyDescent="0.35">
      <c r="A1868">
        <v>80</v>
      </c>
      <c r="B1868" t="s">
        <v>434</v>
      </c>
      <c r="C1868">
        <v>23.39</v>
      </c>
      <c r="D1868">
        <v>0</v>
      </c>
      <c r="E1868">
        <v>23.39</v>
      </c>
      <c r="F1868">
        <v>23.39</v>
      </c>
      <c r="G1868" t="s">
        <v>428</v>
      </c>
    </row>
    <row r="1869" spans="1:7" x14ac:dyDescent="0.35">
      <c r="A1869">
        <v>90</v>
      </c>
      <c r="B1869" t="s">
        <v>618</v>
      </c>
      <c r="C1869">
        <v>0</v>
      </c>
      <c r="D1869">
        <v>0</v>
      </c>
      <c r="E1869">
        <v>0</v>
      </c>
      <c r="F1869">
        <v>0</v>
      </c>
      <c r="G1869" t="s">
        <v>428</v>
      </c>
    </row>
    <row r="1870" spans="1:7" x14ac:dyDescent="0.35">
      <c r="A1870">
        <v>100</v>
      </c>
      <c r="B1870" t="s">
        <v>619</v>
      </c>
      <c r="C1870">
        <v>5159.6099999999997</v>
      </c>
      <c r="D1870">
        <v>0</v>
      </c>
      <c r="E1870">
        <v>5159.6099999999997</v>
      </c>
      <c r="F1870">
        <v>5159.6099999999997</v>
      </c>
      <c r="G1870" t="s">
        <v>428</v>
      </c>
    </row>
    <row r="1871" spans="1:7" x14ac:dyDescent="0.35">
      <c r="A1871">
        <v>110</v>
      </c>
      <c r="B1871" t="s">
        <v>620</v>
      </c>
      <c r="C1871">
        <v>0</v>
      </c>
      <c r="D1871">
        <v>0</v>
      </c>
      <c r="E1871">
        <v>0</v>
      </c>
      <c r="F1871">
        <v>0</v>
      </c>
      <c r="G1871" t="s">
        <v>428</v>
      </c>
    </row>
    <row r="1872" spans="1:7" x14ac:dyDescent="0.35">
      <c r="A1872">
        <v>120</v>
      </c>
      <c r="B1872" t="s">
        <v>621</v>
      </c>
      <c r="C1872">
        <v>0</v>
      </c>
      <c r="D1872">
        <v>0</v>
      </c>
      <c r="E1872">
        <v>0</v>
      </c>
      <c r="F1872">
        <v>0</v>
      </c>
      <c r="G1872" t="s">
        <v>428</v>
      </c>
    </row>
    <row r="1873" spans="1:7" x14ac:dyDescent="0.35">
      <c r="A1873">
        <v>130</v>
      </c>
      <c r="B1873" t="s">
        <v>622</v>
      </c>
      <c r="C1873">
        <v>2915.21</v>
      </c>
      <c r="D1873">
        <v>0</v>
      </c>
      <c r="E1873">
        <v>2915.21</v>
      </c>
      <c r="F1873">
        <v>2915.21</v>
      </c>
      <c r="G1873" t="s">
        <v>428</v>
      </c>
    </row>
    <row r="1874" spans="1:7" x14ac:dyDescent="0.35">
      <c r="A1874">
        <v>140</v>
      </c>
      <c r="B1874" t="s">
        <v>623</v>
      </c>
      <c r="C1874">
        <v>0</v>
      </c>
      <c r="D1874">
        <v>0</v>
      </c>
      <c r="E1874">
        <v>0</v>
      </c>
      <c r="F1874">
        <v>0</v>
      </c>
      <c r="G1874" t="s">
        <v>428</v>
      </c>
    </row>
    <row r="1875" spans="1:7" x14ac:dyDescent="0.35">
      <c r="A1875">
        <v>145</v>
      </c>
      <c r="B1875" t="s">
        <v>443</v>
      </c>
      <c r="C1875">
        <v>2915.21</v>
      </c>
      <c r="D1875">
        <v>0</v>
      </c>
      <c r="E1875">
        <v>2915.21</v>
      </c>
      <c r="F1875">
        <v>2915.21</v>
      </c>
      <c r="G1875" t="s">
        <v>428</v>
      </c>
    </row>
    <row r="1876" spans="1:7" x14ac:dyDescent="0.35">
      <c r="A1876">
        <v>150</v>
      </c>
      <c r="B1876" t="s">
        <v>624</v>
      </c>
      <c r="C1876">
        <v>2244.4</v>
      </c>
      <c r="D1876">
        <v>0</v>
      </c>
      <c r="E1876">
        <v>2244.4</v>
      </c>
      <c r="F1876">
        <v>2244.4</v>
      </c>
      <c r="G1876" t="s">
        <v>428</v>
      </c>
    </row>
    <row r="1877" spans="1:7" x14ac:dyDescent="0.35">
      <c r="A1877">
        <v>160</v>
      </c>
      <c r="B1877" t="s">
        <v>625</v>
      </c>
      <c r="C1877">
        <v>0</v>
      </c>
      <c r="D1877">
        <v>0</v>
      </c>
      <c r="E1877">
        <v>0</v>
      </c>
      <c r="F1877">
        <v>0</v>
      </c>
      <c r="G1877" t="s">
        <v>428</v>
      </c>
    </row>
    <row r="1878" spans="1:7" x14ac:dyDescent="0.35">
      <c r="A1878">
        <v>170</v>
      </c>
      <c r="B1878" t="s">
        <v>447</v>
      </c>
      <c r="C1878">
        <v>2244.4</v>
      </c>
      <c r="D1878">
        <v>0</v>
      </c>
      <c r="E1878">
        <v>2244.4</v>
      </c>
      <c r="F1878">
        <v>2244.4</v>
      </c>
      <c r="G1878" t="s">
        <v>428</v>
      </c>
    </row>
    <row r="1879" spans="1:7" x14ac:dyDescent="0.35">
      <c r="A1879">
        <v>190</v>
      </c>
      <c r="B1879" t="s">
        <v>626</v>
      </c>
      <c r="C1879">
        <v>0</v>
      </c>
      <c r="D1879">
        <v>0</v>
      </c>
      <c r="E1879">
        <v>0</v>
      </c>
      <c r="F1879">
        <v>0</v>
      </c>
      <c r="G1879" t="s">
        <v>428</v>
      </c>
    </row>
    <row r="1880" spans="1:7" x14ac:dyDescent="0.35">
      <c r="A1880">
        <v>200</v>
      </c>
      <c r="B1880" t="s">
        <v>447</v>
      </c>
      <c r="C1880">
        <v>2244.4</v>
      </c>
      <c r="D1880">
        <v>0</v>
      </c>
      <c r="E1880">
        <v>2244.4</v>
      </c>
      <c r="F1880">
        <v>2244.4</v>
      </c>
      <c r="G1880" t="s">
        <v>428</v>
      </c>
    </row>
    <row r="1881" spans="1:7" x14ac:dyDescent="0.35">
      <c r="A1881">
        <v>210</v>
      </c>
      <c r="B1881" t="s">
        <v>247</v>
      </c>
      <c r="C1881">
        <v>2244.4</v>
      </c>
      <c r="D1881">
        <v>0</v>
      </c>
      <c r="E1881">
        <v>2244.4</v>
      </c>
      <c r="F1881">
        <v>2244.4</v>
      </c>
      <c r="G1881" t="s">
        <v>428</v>
      </c>
    </row>
    <row r="1882" spans="1:7" x14ac:dyDescent="0.35">
      <c r="A1882">
        <v>220</v>
      </c>
      <c r="B1882" t="s">
        <v>627</v>
      </c>
      <c r="C1882">
        <v>0</v>
      </c>
      <c r="D1882">
        <v>0</v>
      </c>
      <c r="E1882">
        <v>0</v>
      </c>
      <c r="F1882">
        <v>0</v>
      </c>
      <c r="G1882" t="s">
        <v>428</v>
      </c>
    </row>
    <row r="1883" spans="1:7" x14ac:dyDescent="0.35">
      <c r="A1883">
        <v>230</v>
      </c>
      <c r="B1883" t="s">
        <v>196</v>
      </c>
      <c r="C1883">
        <v>0</v>
      </c>
      <c r="D1883">
        <v>0</v>
      </c>
      <c r="E1883">
        <v>0</v>
      </c>
      <c r="F1883">
        <v>0</v>
      </c>
      <c r="G1883" t="s">
        <v>428</v>
      </c>
    </row>
    <row r="1884" spans="1:7" x14ac:dyDescent="0.35">
      <c r="A1884">
        <v>235</v>
      </c>
      <c r="B1884" t="s">
        <v>628</v>
      </c>
      <c r="C1884">
        <v>0</v>
      </c>
      <c r="D1884">
        <v>0</v>
      </c>
      <c r="E1884">
        <v>0</v>
      </c>
      <c r="F1884">
        <v>0</v>
      </c>
      <c r="G1884" t="s">
        <v>428</v>
      </c>
    </row>
    <row r="1885" spans="1:7" x14ac:dyDescent="0.35">
      <c r="A1885">
        <v>240</v>
      </c>
      <c r="B1885" t="s">
        <v>197</v>
      </c>
      <c r="C1885">
        <v>5000</v>
      </c>
      <c r="D1885">
        <v>-897191.76</v>
      </c>
      <c r="E1885">
        <v>-892191.76</v>
      </c>
      <c r="F1885">
        <v>5000</v>
      </c>
      <c r="G1885" t="s">
        <v>428</v>
      </c>
    </row>
    <row r="1886" spans="1:7" x14ac:dyDescent="0.35">
      <c r="A1886">
        <v>250</v>
      </c>
      <c r="B1886" t="s">
        <v>198</v>
      </c>
      <c r="C1886">
        <v>0</v>
      </c>
      <c r="D1886">
        <v>0</v>
      </c>
      <c r="E1886">
        <v>0</v>
      </c>
      <c r="F1886">
        <v>0</v>
      </c>
      <c r="G1886" t="s">
        <v>428</v>
      </c>
    </row>
    <row r="1887" spans="1:7" x14ac:dyDescent="0.35">
      <c r="A1887">
        <v>260</v>
      </c>
      <c r="B1887"/>
      <c r="C1887">
        <v>0</v>
      </c>
      <c r="D1887">
        <v>0</v>
      </c>
      <c r="E1887">
        <v>0</v>
      </c>
      <c r="F1887">
        <v>0</v>
      </c>
      <c r="G1887" t="s">
        <v>428</v>
      </c>
    </row>
    <row r="1888" spans="1:7" x14ac:dyDescent="0.35">
      <c r="A1888">
        <v>270</v>
      </c>
      <c r="B1888" t="s">
        <v>199</v>
      </c>
      <c r="C1888">
        <v>0</v>
      </c>
      <c r="D1888">
        <v>-462</v>
      </c>
      <c r="E1888">
        <v>-462</v>
      </c>
      <c r="F1888">
        <v>0</v>
      </c>
      <c r="G1888" t="s">
        <v>428</v>
      </c>
    </row>
    <row r="1889" spans="1:7" x14ac:dyDescent="0.35">
      <c r="A1889">
        <v>300</v>
      </c>
      <c r="B1889" t="s">
        <v>222</v>
      </c>
      <c r="C1889">
        <v>0</v>
      </c>
      <c r="D1889">
        <v>0</v>
      </c>
      <c r="E1889">
        <v>0</v>
      </c>
      <c r="F1889">
        <v>0</v>
      </c>
      <c r="G1889" t="s">
        <v>428</v>
      </c>
    </row>
    <row r="1890" spans="1:7" x14ac:dyDescent="0.35">
      <c r="A1890">
        <v>310</v>
      </c>
      <c r="B1890" t="s">
        <v>630</v>
      </c>
      <c r="C1890">
        <v>0</v>
      </c>
      <c r="D1890">
        <v>0</v>
      </c>
      <c r="E1890">
        <v>0</v>
      </c>
      <c r="F1890">
        <v>0</v>
      </c>
      <c r="G1890" t="s">
        <v>428</v>
      </c>
    </row>
    <row r="1891" spans="1:7" x14ac:dyDescent="0.35">
      <c r="A1891">
        <v>320</v>
      </c>
      <c r="B1891" t="s">
        <v>248</v>
      </c>
      <c r="C1891">
        <v>0</v>
      </c>
      <c r="D1891">
        <v>0</v>
      </c>
      <c r="E1891">
        <v>0</v>
      </c>
      <c r="F1891">
        <v>0</v>
      </c>
      <c r="G1891" t="s">
        <v>428</v>
      </c>
    </row>
    <row r="1892" spans="1:7" x14ac:dyDescent="0.35">
      <c r="A1892">
        <v>325</v>
      </c>
      <c r="B1892" t="s">
        <v>249</v>
      </c>
      <c r="C1892">
        <v>0</v>
      </c>
      <c r="D1892">
        <v>0</v>
      </c>
      <c r="E1892">
        <v>0</v>
      </c>
      <c r="F1892">
        <v>0</v>
      </c>
      <c r="G1892" t="s">
        <v>428</v>
      </c>
    </row>
    <row r="1893" spans="1:7" x14ac:dyDescent="0.35">
      <c r="A1893">
        <v>330</v>
      </c>
      <c r="B1893" t="s">
        <v>690</v>
      </c>
      <c r="C1893">
        <v>0</v>
      </c>
      <c r="D1893">
        <v>0</v>
      </c>
      <c r="E1893">
        <v>0</v>
      </c>
      <c r="F1893">
        <v>0</v>
      </c>
      <c r="G1893" t="s">
        <v>428</v>
      </c>
    </row>
    <row r="1894" spans="1:7" x14ac:dyDescent="0.35">
      <c r="A1894">
        <v>340</v>
      </c>
      <c r="B1894" t="s">
        <v>632</v>
      </c>
      <c r="C1894">
        <v>0</v>
      </c>
      <c r="D1894">
        <v>0</v>
      </c>
      <c r="E1894">
        <v>0</v>
      </c>
      <c r="F1894">
        <v>0</v>
      </c>
      <c r="G1894" t="s">
        <v>428</v>
      </c>
    </row>
    <row r="1895" spans="1:7" x14ac:dyDescent="0.35">
      <c r="A1895">
        <v>380</v>
      </c>
      <c r="B1895" t="s">
        <v>633</v>
      </c>
      <c r="C1895">
        <v>5000</v>
      </c>
      <c r="D1895">
        <v>-897653.76000000001</v>
      </c>
      <c r="E1895">
        <v>-892653.76</v>
      </c>
      <c r="F1895">
        <v>5000</v>
      </c>
      <c r="G1895" t="s">
        <v>428</v>
      </c>
    </row>
    <row r="1896" spans="1:7" x14ac:dyDescent="0.35">
      <c r="A1896">
        <v>390</v>
      </c>
      <c r="B1896" t="s">
        <v>250</v>
      </c>
      <c r="C1896">
        <v>0</v>
      </c>
      <c r="D1896">
        <v>0</v>
      </c>
      <c r="E1896">
        <v>0</v>
      </c>
      <c r="F1896">
        <v>0</v>
      </c>
      <c r="G1896" t="s">
        <v>428</v>
      </c>
    </row>
    <row r="1897" spans="1:7" x14ac:dyDescent="0.35">
      <c r="A1897">
        <v>400</v>
      </c>
      <c r="B1897" t="s">
        <v>251</v>
      </c>
      <c r="C1897">
        <v>-4684.79</v>
      </c>
      <c r="D1897">
        <v>795181.73</v>
      </c>
      <c r="E1897">
        <v>790496.94</v>
      </c>
      <c r="F1897">
        <v>-4684.79</v>
      </c>
      <c r="G1897" t="s">
        <v>428</v>
      </c>
    </row>
    <row r="1898" spans="1:7" x14ac:dyDescent="0.35">
      <c r="A1898">
        <v>405</v>
      </c>
      <c r="B1898" t="s">
        <v>252</v>
      </c>
      <c r="C1898">
        <v>0</v>
      </c>
      <c r="D1898">
        <v>0</v>
      </c>
      <c r="E1898">
        <v>0</v>
      </c>
      <c r="F1898">
        <v>0</v>
      </c>
      <c r="G1898" t="s">
        <v>428</v>
      </c>
    </row>
    <row r="1899" spans="1:7" x14ac:dyDescent="0.35">
      <c r="A1899">
        <v>410</v>
      </c>
      <c r="B1899" t="s">
        <v>237</v>
      </c>
      <c r="C1899">
        <v>0</v>
      </c>
      <c r="D1899">
        <v>0</v>
      </c>
      <c r="E1899">
        <v>0</v>
      </c>
      <c r="F1899">
        <v>0</v>
      </c>
      <c r="G1899" t="s">
        <v>428</v>
      </c>
    </row>
    <row r="1900" spans="1:7" x14ac:dyDescent="0.35">
      <c r="A1900">
        <v>420</v>
      </c>
      <c r="B1900" t="s">
        <v>253</v>
      </c>
      <c r="C1900">
        <v>0</v>
      </c>
      <c r="D1900">
        <v>486594.15</v>
      </c>
      <c r="E1900">
        <v>486594.15</v>
      </c>
      <c r="F1900">
        <v>0</v>
      </c>
      <c r="G1900" t="s">
        <v>428</v>
      </c>
    </row>
    <row r="1901" spans="1:7" x14ac:dyDescent="0.35">
      <c r="A1901">
        <v>425</v>
      </c>
      <c r="B1901" t="s">
        <v>634</v>
      </c>
      <c r="C1901">
        <v>0</v>
      </c>
      <c r="D1901">
        <v>0</v>
      </c>
      <c r="E1901">
        <v>0</v>
      </c>
      <c r="F1901">
        <v>0</v>
      </c>
      <c r="G1901" t="s">
        <v>428</v>
      </c>
    </row>
    <row r="1902" spans="1:7" x14ac:dyDescent="0.35">
      <c r="A1902">
        <v>427</v>
      </c>
      <c r="B1902" t="s">
        <v>635</v>
      </c>
      <c r="C1902">
        <v>0</v>
      </c>
      <c r="D1902">
        <v>0</v>
      </c>
      <c r="E1902">
        <v>0</v>
      </c>
      <c r="F1902">
        <v>0</v>
      </c>
      <c r="G1902" t="s">
        <v>428</v>
      </c>
    </row>
    <row r="1903" spans="1:7" x14ac:dyDescent="0.35">
      <c r="A1903">
        <v>430</v>
      </c>
      <c r="B1903" t="s">
        <v>254</v>
      </c>
      <c r="C1903">
        <v>0</v>
      </c>
      <c r="D1903">
        <v>34349.74</v>
      </c>
      <c r="E1903">
        <v>34349.74</v>
      </c>
      <c r="F1903">
        <v>0</v>
      </c>
      <c r="G1903" t="s">
        <v>428</v>
      </c>
    </row>
    <row r="1904" spans="1:7" x14ac:dyDescent="0.35">
      <c r="A1904">
        <v>440</v>
      </c>
      <c r="B1904" t="s">
        <v>255</v>
      </c>
      <c r="C1904">
        <v>-4684.79</v>
      </c>
      <c r="D1904">
        <v>1316125.6200000001</v>
      </c>
      <c r="E1904">
        <v>1311440.83</v>
      </c>
      <c r="F1904">
        <v>-4684.79</v>
      </c>
      <c r="G1904" t="s">
        <v>428</v>
      </c>
    </row>
    <row r="1905" spans="1:7" x14ac:dyDescent="0.35">
      <c r="A1905">
        <v>450</v>
      </c>
      <c r="B1905" t="s">
        <v>256</v>
      </c>
      <c r="C1905">
        <v>0</v>
      </c>
      <c r="D1905">
        <v>0</v>
      </c>
      <c r="E1905">
        <v>0</v>
      </c>
      <c r="F1905">
        <v>0</v>
      </c>
      <c r="G1905" t="s">
        <v>428</v>
      </c>
    </row>
    <row r="1906" spans="1:7" x14ac:dyDescent="0.35">
      <c r="A1906">
        <v>455</v>
      </c>
      <c r="B1906" t="s">
        <v>204</v>
      </c>
      <c r="C1906">
        <v>0</v>
      </c>
      <c r="D1906">
        <v>-420443.5</v>
      </c>
      <c r="E1906">
        <v>-420443.5</v>
      </c>
      <c r="F1906">
        <v>0</v>
      </c>
      <c r="G1906" t="s">
        <v>428</v>
      </c>
    </row>
    <row r="1907" spans="1:7" x14ac:dyDescent="0.35">
      <c r="A1907">
        <v>456</v>
      </c>
      <c r="B1907" t="s">
        <v>636</v>
      </c>
      <c r="C1907">
        <v>0</v>
      </c>
      <c r="D1907">
        <v>0</v>
      </c>
      <c r="E1907">
        <v>0</v>
      </c>
      <c r="F1907">
        <v>0</v>
      </c>
      <c r="G1907" t="s">
        <v>428</v>
      </c>
    </row>
    <row r="1908" spans="1:7" x14ac:dyDescent="0.35">
      <c r="A1908">
        <v>460</v>
      </c>
      <c r="B1908" t="s">
        <v>208</v>
      </c>
      <c r="C1908">
        <v>0</v>
      </c>
      <c r="D1908">
        <v>0</v>
      </c>
      <c r="E1908">
        <v>0</v>
      </c>
      <c r="F1908">
        <v>0</v>
      </c>
      <c r="G1908" t="s">
        <v>428</v>
      </c>
    </row>
    <row r="1909" spans="1:7" x14ac:dyDescent="0.35">
      <c r="A1909">
        <v>470</v>
      </c>
      <c r="B1909" t="s">
        <v>637</v>
      </c>
      <c r="C1909">
        <v>0</v>
      </c>
      <c r="D1909">
        <v>0</v>
      </c>
      <c r="E1909">
        <v>0</v>
      </c>
      <c r="F1909">
        <v>0</v>
      </c>
      <c r="G1909" t="s">
        <v>428</v>
      </c>
    </row>
    <row r="1910" spans="1:7" x14ac:dyDescent="0.35">
      <c r="A1910">
        <v>480</v>
      </c>
      <c r="B1910" t="s">
        <v>207</v>
      </c>
      <c r="C1910">
        <v>0</v>
      </c>
      <c r="D1910">
        <v>0</v>
      </c>
      <c r="E1910">
        <v>0</v>
      </c>
      <c r="F1910">
        <v>0</v>
      </c>
      <c r="G1910" t="s">
        <v>428</v>
      </c>
    </row>
    <row r="1911" spans="1:7" x14ac:dyDescent="0.35">
      <c r="A1911">
        <v>490</v>
      </c>
      <c r="B1911" t="s">
        <v>638</v>
      </c>
      <c r="C1911">
        <v>0</v>
      </c>
      <c r="D1911">
        <v>0</v>
      </c>
      <c r="E1911">
        <v>0</v>
      </c>
      <c r="F1911">
        <v>0</v>
      </c>
      <c r="G1911" t="s">
        <v>428</v>
      </c>
    </row>
    <row r="1912" spans="1:7" x14ac:dyDescent="0.35">
      <c r="A1912">
        <v>500</v>
      </c>
      <c r="B1912" t="s">
        <v>206</v>
      </c>
      <c r="C1912">
        <v>0</v>
      </c>
      <c r="D1912">
        <v>0</v>
      </c>
      <c r="E1912">
        <v>0</v>
      </c>
      <c r="F1912">
        <v>0</v>
      </c>
      <c r="G1912" t="s">
        <v>428</v>
      </c>
    </row>
    <row r="1913" spans="1:7" x14ac:dyDescent="0.35">
      <c r="A1913">
        <v>510</v>
      </c>
      <c r="B1913" t="s">
        <v>639</v>
      </c>
      <c r="C1913">
        <v>0</v>
      </c>
      <c r="D1913">
        <v>0</v>
      </c>
      <c r="E1913">
        <v>0</v>
      </c>
      <c r="F1913">
        <v>0</v>
      </c>
      <c r="G1913" t="s">
        <v>428</v>
      </c>
    </row>
    <row r="1914" spans="1:7" x14ac:dyDescent="0.35">
      <c r="A1914">
        <v>512</v>
      </c>
      <c r="B1914" t="s">
        <v>257</v>
      </c>
      <c r="C1914">
        <v>0</v>
      </c>
      <c r="D1914">
        <v>0</v>
      </c>
      <c r="E1914">
        <v>0</v>
      </c>
      <c r="F1914">
        <v>0</v>
      </c>
      <c r="G1914" t="s">
        <v>428</v>
      </c>
    </row>
    <row r="1915" spans="1:7" x14ac:dyDescent="0.35">
      <c r="A1915">
        <v>514</v>
      </c>
      <c r="B1915" t="s">
        <v>640</v>
      </c>
      <c r="C1915">
        <v>0</v>
      </c>
      <c r="D1915">
        <v>0</v>
      </c>
      <c r="E1915">
        <v>0</v>
      </c>
      <c r="F1915">
        <v>0</v>
      </c>
      <c r="G1915" t="s">
        <v>428</v>
      </c>
    </row>
    <row r="1916" spans="1:7" x14ac:dyDescent="0.35">
      <c r="A1916">
        <v>520</v>
      </c>
      <c r="B1916" t="s">
        <v>641</v>
      </c>
      <c r="C1916">
        <v>0</v>
      </c>
      <c r="D1916">
        <v>0</v>
      </c>
      <c r="E1916">
        <v>0</v>
      </c>
      <c r="F1916">
        <v>0</v>
      </c>
      <c r="G1916" t="s">
        <v>428</v>
      </c>
    </row>
    <row r="1917" spans="1:7" x14ac:dyDescent="0.35">
      <c r="A1917">
        <v>530</v>
      </c>
      <c r="B1917" t="s">
        <v>642</v>
      </c>
      <c r="C1917">
        <v>0</v>
      </c>
      <c r="D1917">
        <v>0</v>
      </c>
      <c r="E1917">
        <v>0</v>
      </c>
      <c r="F1917">
        <v>0</v>
      </c>
      <c r="G1917" t="s">
        <v>428</v>
      </c>
    </row>
    <row r="1918" spans="1:7" x14ac:dyDescent="0.35">
      <c r="A1918">
        <v>540</v>
      </c>
      <c r="B1918" t="s">
        <v>643</v>
      </c>
      <c r="C1918">
        <v>0</v>
      </c>
      <c r="D1918">
        <v>0</v>
      </c>
      <c r="E1918">
        <v>0</v>
      </c>
      <c r="F1918">
        <v>0</v>
      </c>
      <c r="G1918" t="s">
        <v>428</v>
      </c>
    </row>
    <row r="1919" spans="1:7" x14ac:dyDescent="0.35">
      <c r="A1919">
        <v>550</v>
      </c>
      <c r="B1919" t="s">
        <v>644</v>
      </c>
      <c r="C1919">
        <v>0</v>
      </c>
      <c r="D1919">
        <v>0</v>
      </c>
      <c r="E1919">
        <v>0</v>
      </c>
      <c r="F1919">
        <v>0</v>
      </c>
      <c r="G1919" t="s">
        <v>428</v>
      </c>
    </row>
    <row r="1920" spans="1:7" x14ac:dyDescent="0.35">
      <c r="A1920">
        <v>560</v>
      </c>
      <c r="B1920" t="s">
        <v>645</v>
      </c>
      <c r="C1920">
        <v>0</v>
      </c>
      <c r="D1920">
        <v>0</v>
      </c>
      <c r="E1920">
        <v>0</v>
      </c>
      <c r="F1920">
        <v>0</v>
      </c>
      <c r="G1920" t="s">
        <v>428</v>
      </c>
    </row>
    <row r="1921" spans="1:9" x14ac:dyDescent="0.35">
      <c r="A1921">
        <v>570</v>
      </c>
      <c r="B1921" t="s">
        <v>646</v>
      </c>
      <c r="C1921">
        <v>0</v>
      </c>
      <c r="D1921">
        <v>0</v>
      </c>
      <c r="E1921">
        <v>0</v>
      </c>
      <c r="F1921">
        <v>0</v>
      </c>
      <c r="G1921" t="s">
        <v>428</v>
      </c>
    </row>
    <row r="1922" spans="1:9" x14ac:dyDescent="0.35">
      <c r="A1922">
        <v>580</v>
      </c>
      <c r="B1922" t="s">
        <v>258</v>
      </c>
      <c r="C1922">
        <v>0</v>
      </c>
      <c r="D1922">
        <v>0</v>
      </c>
      <c r="E1922">
        <v>0</v>
      </c>
      <c r="F1922">
        <v>0</v>
      </c>
      <c r="G1922" t="s">
        <v>428</v>
      </c>
    </row>
    <row r="1923" spans="1:9" x14ac:dyDescent="0.35">
      <c r="A1923">
        <v>590</v>
      </c>
      <c r="B1923" t="s">
        <v>647</v>
      </c>
      <c r="C1923">
        <v>0</v>
      </c>
      <c r="D1923">
        <v>0</v>
      </c>
      <c r="E1923">
        <v>0</v>
      </c>
      <c r="F1923">
        <v>0</v>
      </c>
      <c r="G1923" t="s">
        <v>428</v>
      </c>
    </row>
    <row r="1924" spans="1:9" x14ac:dyDescent="0.35">
      <c r="A1924">
        <v>600</v>
      </c>
      <c r="B1924" t="s">
        <v>259</v>
      </c>
      <c r="C1924">
        <v>0</v>
      </c>
      <c r="D1924">
        <v>0</v>
      </c>
      <c r="E1924">
        <v>0</v>
      </c>
      <c r="F1924">
        <v>0</v>
      </c>
      <c r="G1924" t="s">
        <v>428</v>
      </c>
    </row>
    <row r="1925" spans="1:9" x14ac:dyDescent="0.35">
      <c r="A1925">
        <v>610</v>
      </c>
      <c r="B1925" t="s">
        <v>648</v>
      </c>
      <c r="C1925">
        <v>0</v>
      </c>
      <c r="D1925">
        <v>0</v>
      </c>
      <c r="E1925">
        <v>0</v>
      </c>
      <c r="F1925">
        <v>0</v>
      </c>
      <c r="G1925" t="s">
        <v>428</v>
      </c>
    </row>
    <row r="1926" spans="1:9" x14ac:dyDescent="0.35">
      <c r="A1926">
        <v>615</v>
      </c>
      <c r="B1926" t="s">
        <v>673</v>
      </c>
      <c r="C1926">
        <v>0</v>
      </c>
      <c r="D1926">
        <v>0</v>
      </c>
      <c r="E1926">
        <v>0</v>
      </c>
      <c r="F1926">
        <v>0</v>
      </c>
      <c r="G1926" t="s">
        <v>428</v>
      </c>
    </row>
    <row r="1927" spans="1:9" x14ac:dyDescent="0.35">
      <c r="A1927">
        <v>620</v>
      </c>
      <c r="B1927" t="s">
        <v>260</v>
      </c>
      <c r="C1927">
        <v>0</v>
      </c>
      <c r="D1927">
        <v>0</v>
      </c>
      <c r="E1927">
        <v>0</v>
      </c>
      <c r="F1927">
        <v>0</v>
      </c>
      <c r="G1927" t="s">
        <v>428</v>
      </c>
    </row>
    <row r="1928" spans="1:9" x14ac:dyDescent="0.35">
      <c r="A1928">
        <v>630</v>
      </c>
      <c r="B1928" t="s">
        <v>261</v>
      </c>
      <c r="C1928">
        <v>0</v>
      </c>
      <c r="D1928">
        <v>0</v>
      </c>
      <c r="E1928">
        <v>0</v>
      </c>
      <c r="F1928">
        <v>0</v>
      </c>
      <c r="G1928" t="s">
        <v>428</v>
      </c>
    </row>
    <row r="1929" spans="1:9" x14ac:dyDescent="0.35">
      <c r="A1929">
        <v>635</v>
      </c>
      <c r="B1929" t="s">
        <v>674</v>
      </c>
      <c r="C1929">
        <v>0</v>
      </c>
      <c r="D1929">
        <v>0</v>
      </c>
      <c r="E1929">
        <v>0</v>
      </c>
      <c r="F1929">
        <v>0</v>
      </c>
      <c r="G1929" t="s">
        <v>428</v>
      </c>
    </row>
    <row r="1930" spans="1:9" x14ac:dyDescent="0.35">
      <c r="A1930">
        <v>640</v>
      </c>
      <c r="B1930" t="s">
        <v>262</v>
      </c>
      <c r="C1930">
        <v>0</v>
      </c>
      <c r="D1930">
        <v>-420443.5</v>
      </c>
      <c r="E1930">
        <v>-420443.5</v>
      </c>
      <c r="F1930">
        <v>0</v>
      </c>
      <c r="G1930" t="s">
        <v>428</v>
      </c>
    </row>
    <row r="1931" spans="1:9" x14ac:dyDescent="0.35">
      <c r="A1931">
        <v>650</v>
      </c>
      <c r="B1931" t="s">
        <v>263</v>
      </c>
      <c r="C1931">
        <v>2559.61</v>
      </c>
      <c r="D1931">
        <v>-1971.64</v>
      </c>
      <c r="E1931">
        <v>587.97</v>
      </c>
      <c r="F1931">
        <v>2559.61</v>
      </c>
      <c r="G1931" t="s">
        <v>428</v>
      </c>
      <c r="I1931" s="274"/>
    </row>
    <row r="1932" spans="1:9" x14ac:dyDescent="0.35">
      <c r="A1932" t="s">
        <v>536</v>
      </c>
      <c r="B1932" t="s">
        <v>416</v>
      </c>
      <c r="C1932" t="s">
        <v>608</v>
      </c>
      <c r="D1932" t="s">
        <v>609</v>
      </c>
      <c r="E1932" t="s">
        <v>610</v>
      </c>
      <c r="F1932" t="s">
        <v>611</v>
      </c>
      <c r="G1932" t="s">
        <v>121</v>
      </c>
    </row>
    <row r="1933" spans="1:9" x14ac:dyDescent="0.35">
      <c r="A1933">
        <v>10</v>
      </c>
      <c r="B1933" t="s">
        <v>612</v>
      </c>
      <c r="C1933">
        <v>0</v>
      </c>
      <c r="D1933">
        <v>0</v>
      </c>
      <c r="E1933">
        <v>0</v>
      </c>
      <c r="F1933">
        <v>0</v>
      </c>
      <c r="G1933" t="s">
        <v>428</v>
      </c>
    </row>
    <row r="1934" spans="1:9" x14ac:dyDescent="0.35">
      <c r="A1934">
        <v>20</v>
      </c>
      <c r="B1934" t="s">
        <v>427</v>
      </c>
      <c r="C1934">
        <v>0</v>
      </c>
      <c r="D1934">
        <v>0</v>
      </c>
      <c r="E1934">
        <v>0</v>
      </c>
      <c r="F1934">
        <v>0</v>
      </c>
      <c r="G1934" t="s">
        <v>428</v>
      </c>
    </row>
    <row r="1935" spans="1:9" x14ac:dyDescent="0.35">
      <c r="A1935">
        <v>30</v>
      </c>
      <c r="B1935" t="s">
        <v>613</v>
      </c>
      <c r="C1935">
        <v>0</v>
      </c>
      <c r="D1935">
        <v>0</v>
      </c>
      <c r="E1935">
        <v>0</v>
      </c>
      <c r="F1935">
        <v>0</v>
      </c>
      <c r="G1935" t="s">
        <v>428</v>
      </c>
    </row>
    <row r="1936" spans="1:9" x14ac:dyDescent="0.35">
      <c r="A1936">
        <v>35</v>
      </c>
      <c r="B1936" t="s">
        <v>614</v>
      </c>
      <c r="C1936">
        <v>0</v>
      </c>
      <c r="D1936">
        <v>0</v>
      </c>
      <c r="E1936">
        <v>0</v>
      </c>
      <c r="F1936">
        <v>0</v>
      </c>
      <c r="G1936" t="s">
        <v>428</v>
      </c>
    </row>
    <row r="1937" spans="1:7" x14ac:dyDescent="0.35">
      <c r="A1937">
        <v>40</v>
      </c>
      <c r="B1937" t="s">
        <v>615</v>
      </c>
      <c r="C1937">
        <v>0</v>
      </c>
      <c r="D1937">
        <v>0</v>
      </c>
      <c r="E1937">
        <v>0</v>
      </c>
      <c r="F1937">
        <v>0</v>
      </c>
      <c r="G1937" t="s">
        <v>428</v>
      </c>
    </row>
    <row r="1938" spans="1:7" x14ac:dyDescent="0.35">
      <c r="A1938">
        <v>50</v>
      </c>
      <c r="B1938" t="s">
        <v>616</v>
      </c>
      <c r="C1938">
        <v>0</v>
      </c>
      <c r="D1938">
        <v>0</v>
      </c>
      <c r="E1938">
        <v>0</v>
      </c>
      <c r="F1938">
        <v>0</v>
      </c>
      <c r="G1938" t="s">
        <v>428</v>
      </c>
    </row>
    <row r="1939" spans="1:7" x14ac:dyDescent="0.35">
      <c r="A1939">
        <v>60</v>
      </c>
      <c r="B1939" t="s">
        <v>617</v>
      </c>
      <c r="C1939">
        <v>0</v>
      </c>
      <c r="D1939">
        <v>0</v>
      </c>
      <c r="E1939">
        <v>0</v>
      </c>
      <c r="F1939">
        <v>0</v>
      </c>
      <c r="G1939" t="s">
        <v>428</v>
      </c>
    </row>
    <row r="1940" spans="1:7" x14ac:dyDescent="0.35">
      <c r="A1940">
        <v>70</v>
      </c>
      <c r="B1940" t="s">
        <v>433</v>
      </c>
      <c r="C1940">
        <v>0</v>
      </c>
      <c r="D1940">
        <v>0</v>
      </c>
      <c r="E1940">
        <v>0</v>
      </c>
      <c r="F1940">
        <v>0</v>
      </c>
      <c r="G1940" t="s">
        <v>428</v>
      </c>
    </row>
    <row r="1941" spans="1:7" x14ac:dyDescent="0.35">
      <c r="A1941">
        <v>80</v>
      </c>
      <c r="B1941" t="s">
        <v>434</v>
      </c>
      <c r="C1941">
        <v>10</v>
      </c>
      <c r="D1941">
        <v>0</v>
      </c>
      <c r="E1941">
        <v>10</v>
      </c>
      <c r="F1941">
        <v>10</v>
      </c>
      <c r="G1941" t="s">
        <v>428</v>
      </c>
    </row>
    <row r="1942" spans="1:7" x14ac:dyDescent="0.35">
      <c r="A1942">
        <v>90</v>
      </c>
      <c r="B1942" t="s">
        <v>618</v>
      </c>
      <c r="C1942">
        <v>0</v>
      </c>
      <c r="D1942">
        <v>0</v>
      </c>
      <c r="E1942">
        <v>0</v>
      </c>
      <c r="F1942">
        <v>0</v>
      </c>
      <c r="G1942" t="s">
        <v>428</v>
      </c>
    </row>
    <row r="1943" spans="1:7" x14ac:dyDescent="0.35">
      <c r="A1943">
        <v>100</v>
      </c>
      <c r="B1943" t="s">
        <v>619</v>
      </c>
      <c r="C1943">
        <v>-10</v>
      </c>
      <c r="D1943">
        <v>0</v>
      </c>
      <c r="E1943">
        <v>-10</v>
      </c>
      <c r="F1943">
        <v>-10</v>
      </c>
      <c r="G1943" t="s">
        <v>428</v>
      </c>
    </row>
    <row r="1944" spans="1:7" x14ac:dyDescent="0.35">
      <c r="A1944">
        <v>110</v>
      </c>
      <c r="B1944" t="s">
        <v>620</v>
      </c>
      <c r="C1944">
        <v>0</v>
      </c>
      <c r="D1944">
        <v>0</v>
      </c>
      <c r="E1944">
        <v>0</v>
      </c>
      <c r="F1944">
        <v>0</v>
      </c>
      <c r="G1944" t="s">
        <v>428</v>
      </c>
    </row>
    <row r="1945" spans="1:7" x14ac:dyDescent="0.35">
      <c r="A1945">
        <v>120</v>
      </c>
      <c r="B1945" t="s">
        <v>621</v>
      </c>
      <c r="C1945">
        <v>0</v>
      </c>
      <c r="D1945">
        <v>0</v>
      </c>
      <c r="E1945">
        <v>0</v>
      </c>
      <c r="F1945">
        <v>0</v>
      </c>
      <c r="G1945" t="s">
        <v>428</v>
      </c>
    </row>
    <row r="1946" spans="1:7" x14ac:dyDescent="0.35">
      <c r="A1946">
        <v>130</v>
      </c>
      <c r="B1946" t="s">
        <v>622</v>
      </c>
      <c r="C1946">
        <v>0</v>
      </c>
      <c r="D1946">
        <v>0</v>
      </c>
      <c r="E1946">
        <v>0</v>
      </c>
      <c r="F1946">
        <v>0</v>
      </c>
      <c r="G1946" t="s">
        <v>428</v>
      </c>
    </row>
    <row r="1947" spans="1:7" x14ac:dyDescent="0.35">
      <c r="A1947">
        <v>140</v>
      </c>
      <c r="B1947" t="s">
        <v>623</v>
      </c>
      <c r="C1947">
        <v>0</v>
      </c>
      <c r="D1947">
        <v>0</v>
      </c>
      <c r="E1947">
        <v>0</v>
      </c>
      <c r="F1947">
        <v>0</v>
      </c>
      <c r="G1947" t="s">
        <v>428</v>
      </c>
    </row>
    <row r="1948" spans="1:7" x14ac:dyDescent="0.35">
      <c r="A1948">
        <v>145</v>
      </c>
      <c r="B1948" t="s">
        <v>443</v>
      </c>
      <c r="C1948">
        <v>0</v>
      </c>
      <c r="D1948">
        <v>0</v>
      </c>
      <c r="E1948">
        <v>0</v>
      </c>
      <c r="F1948">
        <v>0</v>
      </c>
      <c r="G1948" t="s">
        <v>428</v>
      </c>
    </row>
    <row r="1949" spans="1:7" x14ac:dyDescent="0.35">
      <c r="A1949">
        <v>150</v>
      </c>
      <c r="B1949" t="s">
        <v>624</v>
      </c>
      <c r="C1949">
        <v>-10</v>
      </c>
      <c r="D1949">
        <v>0</v>
      </c>
      <c r="E1949">
        <v>-10</v>
      </c>
      <c r="F1949">
        <v>-10</v>
      </c>
      <c r="G1949" t="s">
        <v>428</v>
      </c>
    </row>
    <row r="1950" spans="1:7" x14ac:dyDescent="0.35">
      <c r="A1950">
        <v>160</v>
      </c>
      <c r="B1950" t="s">
        <v>625</v>
      </c>
      <c r="C1950">
        <v>0</v>
      </c>
      <c r="D1950">
        <v>0</v>
      </c>
      <c r="E1950">
        <v>0</v>
      </c>
      <c r="F1950">
        <v>0</v>
      </c>
      <c r="G1950" t="s">
        <v>428</v>
      </c>
    </row>
    <row r="1951" spans="1:7" x14ac:dyDescent="0.35">
      <c r="A1951">
        <v>170</v>
      </c>
      <c r="B1951" t="s">
        <v>447</v>
      </c>
      <c r="C1951">
        <v>-10</v>
      </c>
      <c r="D1951">
        <v>0</v>
      </c>
      <c r="E1951">
        <v>-10</v>
      </c>
      <c r="F1951">
        <v>-10</v>
      </c>
      <c r="G1951" t="s">
        <v>428</v>
      </c>
    </row>
    <row r="1952" spans="1:7" x14ac:dyDescent="0.35">
      <c r="A1952">
        <v>190</v>
      </c>
      <c r="B1952" t="s">
        <v>626</v>
      </c>
      <c r="C1952">
        <v>0</v>
      </c>
      <c r="D1952">
        <v>0</v>
      </c>
      <c r="E1952">
        <v>0</v>
      </c>
      <c r="F1952">
        <v>0</v>
      </c>
      <c r="G1952" t="s">
        <v>428</v>
      </c>
    </row>
    <row r="1953" spans="1:7" x14ac:dyDescent="0.35">
      <c r="A1953">
        <v>200</v>
      </c>
      <c r="B1953" t="s">
        <v>447</v>
      </c>
      <c r="C1953">
        <v>-10</v>
      </c>
      <c r="D1953">
        <v>0</v>
      </c>
      <c r="E1953">
        <v>-10</v>
      </c>
      <c r="F1953">
        <v>-10</v>
      </c>
      <c r="G1953" t="s">
        <v>428</v>
      </c>
    </row>
    <row r="1954" spans="1:7" x14ac:dyDescent="0.35">
      <c r="A1954">
        <v>210</v>
      </c>
      <c r="B1954" t="s">
        <v>247</v>
      </c>
      <c r="C1954">
        <v>-10</v>
      </c>
      <c r="D1954">
        <v>0</v>
      </c>
      <c r="E1954">
        <v>-10</v>
      </c>
      <c r="F1954">
        <v>-10</v>
      </c>
      <c r="G1954" t="s">
        <v>428</v>
      </c>
    </row>
    <row r="1955" spans="1:7" x14ac:dyDescent="0.35">
      <c r="A1955">
        <v>220</v>
      </c>
      <c r="B1955" t="s">
        <v>627</v>
      </c>
      <c r="C1955">
        <v>0</v>
      </c>
      <c r="D1955">
        <v>0</v>
      </c>
      <c r="E1955">
        <v>0</v>
      </c>
      <c r="F1955">
        <v>0</v>
      </c>
      <c r="G1955" t="s">
        <v>428</v>
      </c>
    </row>
    <row r="1956" spans="1:7" x14ac:dyDescent="0.35">
      <c r="A1956">
        <v>230</v>
      </c>
      <c r="B1956" t="s">
        <v>196</v>
      </c>
      <c r="C1956">
        <v>0</v>
      </c>
      <c r="D1956">
        <v>0</v>
      </c>
      <c r="E1956">
        <v>0</v>
      </c>
      <c r="F1956">
        <v>0</v>
      </c>
      <c r="G1956" t="s">
        <v>428</v>
      </c>
    </row>
    <row r="1957" spans="1:7" x14ac:dyDescent="0.35">
      <c r="A1957">
        <v>235</v>
      </c>
      <c r="B1957" t="s">
        <v>628</v>
      </c>
      <c r="C1957">
        <v>0</v>
      </c>
      <c r="D1957">
        <v>0</v>
      </c>
      <c r="E1957">
        <v>0</v>
      </c>
      <c r="F1957">
        <v>0</v>
      </c>
      <c r="G1957" t="s">
        <v>428</v>
      </c>
    </row>
    <row r="1958" spans="1:7" x14ac:dyDescent="0.35">
      <c r="A1958">
        <v>240</v>
      </c>
      <c r="B1958" t="s">
        <v>197</v>
      </c>
      <c r="C1958">
        <v>0</v>
      </c>
      <c r="D1958">
        <v>0</v>
      </c>
      <c r="E1958">
        <v>0</v>
      </c>
      <c r="F1958">
        <v>0</v>
      </c>
      <c r="G1958" t="s">
        <v>428</v>
      </c>
    </row>
    <row r="1959" spans="1:7" x14ac:dyDescent="0.35">
      <c r="A1959">
        <v>250</v>
      </c>
      <c r="B1959" t="s">
        <v>198</v>
      </c>
      <c r="C1959">
        <v>0</v>
      </c>
      <c r="D1959">
        <v>0</v>
      </c>
      <c r="E1959">
        <v>0</v>
      </c>
      <c r="F1959">
        <v>0</v>
      </c>
      <c r="G1959" t="s">
        <v>428</v>
      </c>
    </row>
    <row r="1960" spans="1:7" x14ac:dyDescent="0.35">
      <c r="A1960">
        <v>260</v>
      </c>
      <c r="B1960" t="s">
        <v>691</v>
      </c>
      <c r="C1960">
        <v>0</v>
      </c>
      <c r="D1960">
        <v>0</v>
      </c>
      <c r="E1960">
        <v>0</v>
      </c>
      <c r="F1960">
        <v>0</v>
      </c>
      <c r="G1960" t="s">
        <v>428</v>
      </c>
    </row>
    <row r="1961" spans="1:7" x14ac:dyDescent="0.35">
      <c r="A1961">
        <v>270</v>
      </c>
      <c r="B1961" t="s">
        <v>199</v>
      </c>
      <c r="C1961">
        <v>0</v>
      </c>
      <c r="D1961">
        <v>-151384</v>
      </c>
      <c r="E1961">
        <v>-151384</v>
      </c>
      <c r="F1961">
        <v>0</v>
      </c>
      <c r="G1961" t="s">
        <v>428</v>
      </c>
    </row>
    <row r="1962" spans="1:7" x14ac:dyDescent="0.35">
      <c r="A1962">
        <v>300</v>
      </c>
      <c r="B1962" t="s">
        <v>222</v>
      </c>
      <c r="C1962">
        <v>0</v>
      </c>
      <c r="D1962">
        <v>0</v>
      </c>
      <c r="E1962">
        <v>0</v>
      </c>
      <c r="F1962">
        <v>0</v>
      </c>
      <c r="G1962" t="s">
        <v>428</v>
      </c>
    </row>
    <row r="1963" spans="1:7" x14ac:dyDescent="0.35">
      <c r="A1963">
        <v>310</v>
      </c>
      <c r="B1963" t="s">
        <v>630</v>
      </c>
      <c r="C1963">
        <v>0</v>
      </c>
      <c r="D1963">
        <v>0</v>
      </c>
      <c r="E1963">
        <v>0</v>
      </c>
      <c r="F1963">
        <v>0</v>
      </c>
      <c r="G1963" t="s">
        <v>428</v>
      </c>
    </row>
    <row r="1964" spans="1:7" x14ac:dyDescent="0.35">
      <c r="A1964">
        <v>320</v>
      </c>
      <c r="B1964" t="s">
        <v>248</v>
      </c>
      <c r="C1964">
        <v>0</v>
      </c>
      <c r="D1964">
        <v>0</v>
      </c>
      <c r="E1964">
        <v>0</v>
      </c>
      <c r="F1964">
        <v>0</v>
      </c>
      <c r="G1964" t="s">
        <v>428</v>
      </c>
    </row>
    <row r="1965" spans="1:7" x14ac:dyDescent="0.35">
      <c r="A1965">
        <v>325</v>
      </c>
      <c r="B1965" t="s">
        <v>249</v>
      </c>
      <c r="C1965">
        <v>0</v>
      </c>
      <c r="D1965">
        <v>0</v>
      </c>
      <c r="E1965">
        <v>0</v>
      </c>
      <c r="F1965">
        <v>0</v>
      </c>
      <c r="G1965" t="s">
        <v>428</v>
      </c>
    </row>
    <row r="1966" spans="1:7" x14ac:dyDescent="0.35">
      <c r="A1966">
        <v>330</v>
      </c>
      <c r="B1966" t="s">
        <v>690</v>
      </c>
      <c r="C1966">
        <v>0</v>
      </c>
      <c r="D1966">
        <v>5249626.68</v>
      </c>
      <c r="E1966">
        <v>5249626.68</v>
      </c>
      <c r="F1966">
        <v>0</v>
      </c>
      <c r="G1966" t="s">
        <v>428</v>
      </c>
    </row>
    <row r="1967" spans="1:7" x14ac:dyDescent="0.35">
      <c r="A1967">
        <v>340</v>
      </c>
      <c r="B1967" t="s">
        <v>632</v>
      </c>
      <c r="C1967">
        <v>0</v>
      </c>
      <c r="D1967">
        <v>0</v>
      </c>
      <c r="E1967">
        <v>0</v>
      </c>
      <c r="F1967">
        <v>0</v>
      </c>
      <c r="G1967" t="s">
        <v>428</v>
      </c>
    </row>
    <row r="1968" spans="1:7" x14ac:dyDescent="0.35">
      <c r="A1968">
        <v>380</v>
      </c>
      <c r="B1968" t="s">
        <v>633</v>
      </c>
      <c r="C1968">
        <v>0</v>
      </c>
      <c r="D1968">
        <v>5098242.68</v>
      </c>
      <c r="E1968">
        <v>5098242.68</v>
      </c>
      <c r="F1968">
        <v>0</v>
      </c>
      <c r="G1968" t="s">
        <v>428</v>
      </c>
    </row>
    <row r="1969" spans="1:7" x14ac:dyDescent="0.35">
      <c r="A1969">
        <v>390</v>
      </c>
      <c r="B1969" t="s">
        <v>250</v>
      </c>
      <c r="C1969">
        <v>0</v>
      </c>
      <c r="D1969">
        <v>0</v>
      </c>
      <c r="E1969">
        <v>0</v>
      </c>
      <c r="F1969">
        <v>0</v>
      </c>
      <c r="G1969" t="s">
        <v>428</v>
      </c>
    </row>
    <row r="1970" spans="1:7" x14ac:dyDescent="0.35">
      <c r="A1970">
        <v>400</v>
      </c>
      <c r="B1970" t="s">
        <v>251</v>
      </c>
      <c r="C1970">
        <v>0</v>
      </c>
      <c r="D1970">
        <v>0</v>
      </c>
      <c r="E1970">
        <v>0</v>
      </c>
      <c r="F1970">
        <v>0</v>
      </c>
      <c r="G1970" t="s">
        <v>428</v>
      </c>
    </row>
    <row r="1971" spans="1:7" x14ac:dyDescent="0.35">
      <c r="A1971">
        <v>405</v>
      </c>
      <c r="B1971" t="s">
        <v>252</v>
      </c>
      <c r="C1971">
        <v>0</v>
      </c>
      <c r="D1971">
        <v>0</v>
      </c>
      <c r="E1971">
        <v>0</v>
      </c>
      <c r="F1971">
        <v>0</v>
      </c>
      <c r="G1971" t="s">
        <v>428</v>
      </c>
    </row>
    <row r="1972" spans="1:7" x14ac:dyDescent="0.35">
      <c r="A1972">
        <v>410</v>
      </c>
      <c r="B1972" t="s">
        <v>237</v>
      </c>
      <c r="C1972">
        <v>0</v>
      </c>
      <c r="D1972">
        <v>2000</v>
      </c>
      <c r="E1972">
        <v>2000</v>
      </c>
      <c r="F1972">
        <v>0</v>
      </c>
      <c r="G1972" t="s">
        <v>428</v>
      </c>
    </row>
    <row r="1973" spans="1:7" x14ac:dyDescent="0.35">
      <c r="A1973">
        <v>420</v>
      </c>
      <c r="B1973" t="s">
        <v>253</v>
      </c>
      <c r="C1973">
        <v>0</v>
      </c>
      <c r="D1973">
        <v>3594747.53</v>
      </c>
      <c r="E1973">
        <v>3594747.53</v>
      </c>
      <c r="F1973">
        <v>0</v>
      </c>
      <c r="G1973" t="s">
        <v>428</v>
      </c>
    </row>
    <row r="1974" spans="1:7" x14ac:dyDescent="0.35">
      <c r="A1974">
        <v>425</v>
      </c>
      <c r="B1974" t="s">
        <v>634</v>
      </c>
      <c r="C1974">
        <v>0</v>
      </c>
      <c r="D1974">
        <v>0</v>
      </c>
      <c r="E1974">
        <v>0</v>
      </c>
      <c r="F1974">
        <v>0</v>
      </c>
      <c r="G1974" t="s">
        <v>428</v>
      </c>
    </row>
    <row r="1975" spans="1:7" x14ac:dyDescent="0.35">
      <c r="A1975">
        <v>427</v>
      </c>
      <c r="B1975" t="s">
        <v>635</v>
      </c>
      <c r="C1975">
        <v>0</v>
      </c>
      <c r="D1975">
        <v>0</v>
      </c>
      <c r="E1975">
        <v>0</v>
      </c>
      <c r="F1975">
        <v>0</v>
      </c>
      <c r="G1975" t="s">
        <v>428</v>
      </c>
    </row>
    <row r="1976" spans="1:7" x14ac:dyDescent="0.35">
      <c r="A1976">
        <v>430</v>
      </c>
      <c r="B1976" t="s">
        <v>254</v>
      </c>
      <c r="C1976">
        <v>0</v>
      </c>
      <c r="D1976">
        <v>-8457687.5299999993</v>
      </c>
      <c r="E1976">
        <v>-8457687.5299999993</v>
      </c>
      <c r="F1976">
        <v>0</v>
      </c>
      <c r="G1976" t="s">
        <v>428</v>
      </c>
    </row>
    <row r="1977" spans="1:7" x14ac:dyDescent="0.35">
      <c r="A1977">
        <v>440</v>
      </c>
      <c r="B1977" t="s">
        <v>255</v>
      </c>
      <c r="C1977">
        <v>0</v>
      </c>
      <c r="D1977">
        <v>-4860940</v>
      </c>
      <c r="E1977">
        <v>-4860940</v>
      </c>
      <c r="F1977">
        <v>0</v>
      </c>
      <c r="G1977" t="s">
        <v>428</v>
      </c>
    </row>
    <row r="1978" spans="1:7" x14ac:dyDescent="0.35">
      <c r="A1978">
        <v>450</v>
      </c>
      <c r="B1978" t="s">
        <v>256</v>
      </c>
      <c r="C1978">
        <v>0</v>
      </c>
      <c r="D1978">
        <v>0</v>
      </c>
      <c r="E1978">
        <v>0</v>
      </c>
      <c r="F1978">
        <v>0</v>
      </c>
      <c r="G1978" t="s">
        <v>428</v>
      </c>
    </row>
    <row r="1979" spans="1:7" x14ac:dyDescent="0.35">
      <c r="A1979">
        <v>455</v>
      </c>
      <c r="B1979" t="s">
        <v>204</v>
      </c>
      <c r="C1979">
        <v>0</v>
      </c>
      <c r="D1979">
        <v>0</v>
      </c>
      <c r="E1979">
        <v>0</v>
      </c>
      <c r="F1979">
        <v>0</v>
      </c>
      <c r="G1979" t="s">
        <v>428</v>
      </c>
    </row>
    <row r="1980" spans="1:7" x14ac:dyDescent="0.35">
      <c r="A1980">
        <v>456</v>
      </c>
      <c r="B1980" t="s">
        <v>636</v>
      </c>
      <c r="C1980">
        <v>0</v>
      </c>
      <c r="D1980">
        <v>23171</v>
      </c>
      <c r="E1980">
        <v>23171</v>
      </c>
      <c r="F1980">
        <v>0</v>
      </c>
      <c r="G1980" t="s">
        <v>428</v>
      </c>
    </row>
    <row r="1981" spans="1:7" x14ac:dyDescent="0.35">
      <c r="A1981">
        <v>460</v>
      </c>
      <c r="B1981" t="s">
        <v>208</v>
      </c>
      <c r="C1981">
        <v>0</v>
      </c>
      <c r="D1981">
        <v>0</v>
      </c>
      <c r="E1981">
        <v>0</v>
      </c>
      <c r="F1981">
        <v>0</v>
      </c>
      <c r="G1981" t="s">
        <v>428</v>
      </c>
    </row>
    <row r="1982" spans="1:7" x14ac:dyDescent="0.35">
      <c r="A1982">
        <v>470</v>
      </c>
      <c r="B1982" t="s">
        <v>637</v>
      </c>
      <c r="C1982">
        <v>0</v>
      </c>
      <c r="D1982">
        <v>0</v>
      </c>
      <c r="E1982">
        <v>0</v>
      </c>
      <c r="F1982">
        <v>0</v>
      </c>
      <c r="G1982" t="s">
        <v>428</v>
      </c>
    </row>
    <row r="1983" spans="1:7" x14ac:dyDescent="0.35">
      <c r="A1983">
        <v>480</v>
      </c>
      <c r="B1983" t="s">
        <v>207</v>
      </c>
      <c r="C1983">
        <v>0</v>
      </c>
      <c r="D1983">
        <v>0</v>
      </c>
      <c r="E1983">
        <v>0</v>
      </c>
      <c r="F1983">
        <v>0</v>
      </c>
      <c r="G1983" t="s">
        <v>428</v>
      </c>
    </row>
    <row r="1984" spans="1:7" x14ac:dyDescent="0.35">
      <c r="A1984">
        <v>490</v>
      </c>
      <c r="B1984" t="s">
        <v>638</v>
      </c>
      <c r="C1984">
        <v>0</v>
      </c>
      <c r="D1984">
        <v>0</v>
      </c>
      <c r="E1984">
        <v>0</v>
      </c>
      <c r="F1984">
        <v>0</v>
      </c>
      <c r="G1984" t="s">
        <v>428</v>
      </c>
    </row>
    <row r="1985" spans="1:7" x14ac:dyDescent="0.35">
      <c r="A1985">
        <v>500</v>
      </c>
      <c r="B1985" t="s">
        <v>206</v>
      </c>
      <c r="C1985">
        <v>0</v>
      </c>
      <c r="D1985">
        <v>0</v>
      </c>
      <c r="E1985">
        <v>0</v>
      </c>
      <c r="F1985">
        <v>0</v>
      </c>
      <c r="G1985" t="s">
        <v>428</v>
      </c>
    </row>
    <row r="1986" spans="1:7" x14ac:dyDescent="0.35">
      <c r="A1986">
        <v>510</v>
      </c>
      <c r="B1986" t="s">
        <v>639</v>
      </c>
      <c r="C1986">
        <v>0</v>
      </c>
      <c r="D1986">
        <v>0</v>
      </c>
      <c r="E1986">
        <v>0</v>
      </c>
      <c r="F1986">
        <v>0</v>
      </c>
      <c r="G1986" t="s">
        <v>428</v>
      </c>
    </row>
    <row r="1987" spans="1:7" x14ac:dyDescent="0.35">
      <c r="A1987">
        <v>512</v>
      </c>
      <c r="B1987" t="s">
        <v>257</v>
      </c>
      <c r="C1987">
        <v>0</v>
      </c>
      <c r="D1987">
        <v>0</v>
      </c>
      <c r="E1987">
        <v>0</v>
      </c>
      <c r="F1987">
        <v>0</v>
      </c>
      <c r="G1987" t="s">
        <v>428</v>
      </c>
    </row>
    <row r="1988" spans="1:7" x14ac:dyDescent="0.35">
      <c r="A1988">
        <v>514</v>
      </c>
      <c r="B1988" t="s">
        <v>640</v>
      </c>
      <c r="C1988">
        <v>0</v>
      </c>
      <c r="D1988">
        <v>0</v>
      </c>
      <c r="E1988">
        <v>0</v>
      </c>
      <c r="F1988">
        <v>0</v>
      </c>
      <c r="G1988" t="s">
        <v>428</v>
      </c>
    </row>
    <row r="1989" spans="1:7" x14ac:dyDescent="0.35">
      <c r="A1989">
        <v>520</v>
      </c>
      <c r="B1989" t="s">
        <v>641</v>
      </c>
      <c r="C1989">
        <v>0</v>
      </c>
      <c r="D1989">
        <v>0</v>
      </c>
      <c r="E1989">
        <v>0</v>
      </c>
      <c r="F1989">
        <v>0</v>
      </c>
      <c r="G1989" t="s">
        <v>428</v>
      </c>
    </row>
    <row r="1990" spans="1:7" x14ac:dyDescent="0.35">
      <c r="A1990">
        <v>530</v>
      </c>
      <c r="B1990" t="s">
        <v>642</v>
      </c>
      <c r="C1990">
        <v>0</v>
      </c>
      <c r="D1990">
        <v>0</v>
      </c>
      <c r="E1990">
        <v>0</v>
      </c>
      <c r="F1990">
        <v>0</v>
      </c>
      <c r="G1990" t="s">
        <v>428</v>
      </c>
    </row>
    <row r="1991" spans="1:7" x14ac:dyDescent="0.35">
      <c r="A1991">
        <v>540</v>
      </c>
      <c r="B1991" t="s">
        <v>643</v>
      </c>
      <c r="C1991">
        <v>0</v>
      </c>
      <c r="D1991">
        <v>0</v>
      </c>
      <c r="E1991">
        <v>0</v>
      </c>
      <c r="F1991">
        <v>0</v>
      </c>
      <c r="G1991" t="s">
        <v>428</v>
      </c>
    </row>
    <row r="1992" spans="1:7" x14ac:dyDescent="0.35">
      <c r="A1992">
        <v>550</v>
      </c>
      <c r="B1992" t="s">
        <v>644</v>
      </c>
      <c r="C1992">
        <v>0</v>
      </c>
      <c r="D1992">
        <v>0</v>
      </c>
      <c r="E1992">
        <v>0</v>
      </c>
      <c r="F1992">
        <v>0</v>
      </c>
      <c r="G1992" t="s">
        <v>428</v>
      </c>
    </row>
    <row r="1993" spans="1:7" x14ac:dyDescent="0.35">
      <c r="A1993">
        <v>560</v>
      </c>
      <c r="B1993" t="s">
        <v>645</v>
      </c>
      <c r="C1993">
        <v>0</v>
      </c>
      <c r="D1993">
        <v>-61457.63</v>
      </c>
      <c r="E1993">
        <v>-61457.63</v>
      </c>
      <c r="F1993">
        <v>0</v>
      </c>
      <c r="G1993" t="s">
        <v>428</v>
      </c>
    </row>
    <row r="1994" spans="1:7" x14ac:dyDescent="0.35">
      <c r="A1994">
        <v>570</v>
      </c>
      <c r="B1994" t="s">
        <v>646</v>
      </c>
      <c r="C1994">
        <v>0</v>
      </c>
      <c r="D1994">
        <v>61457.63</v>
      </c>
      <c r="E1994">
        <v>61457.63</v>
      </c>
      <c r="F1994">
        <v>0</v>
      </c>
      <c r="G1994" t="s">
        <v>428</v>
      </c>
    </row>
    <row r="1995" spans="1:7" x14ac:dyDescent="0.35">
      <c r="A1995">
        <v>580</v>
      </c>
      <c r="B1995" t="s">
        <v>258</v>
      </c>
      <c r="C1995">
        <v>0</v>
      </c>
      <c r="D1995">
        <v>0</v>
      </c>
      <c r="E1995">
        <v>0</v>
      </c>
      <c r="F1995">
        <v>0</v>
      </c>
      <c r="G1995" t="s">
        <v>428</v>
      </c>
    </row>
    <row r="1996" spans="1:7" x14ac:dyDescent="0.35">
      <c r="A1996">
        <v>590</v>
      </c>
      <c r="B1996" t="s">
        <v>647</v>
      </c>
      <c r="C1996">
        <v>0</v>
      </c>
      <c r="D1996">
        <v>0</v>
      </c>
      <c r="E1996">
        <v>0</v>
      </c>
      <c r="F1996">
        <v>0</v>
      </c>
      <c r="G1996" t="s">
        <v>428</v>
      </c>
    </row>
    <row r="1997" spans="1:7" x14ac:dyDescent="0.35">
      <c r="A1997">
        <v>600</v>
      </c>
      <c r="B1997" t="s">
        <v>259</v>
      </c>
      <c r="C1997">
        <v>0</v>
      </c>
      <c r="D1997">
        <v>-255096</v>
      </c>
      <c r="E1997">
        <v>-255096</v>
      </c>
      <c r="F1997">
        <v>0</v>
      </c>
      <c r="G1997" t="s">
        <v>428</v>
      </c>
    </row>
    <row r="1998" spans="1:7" x14ac:dyDescent="0.35">
      <c r="A1998">
        <v>610</v>
      </c>
      <c r="B1998" t="s">
        <v>648</v>
      </c>
      <c r="C1998">
        <v>0</v>
      </c>
      <c r="D1998">
        <v>0</v>
      </c>
      <c r="E1998">
        <v>0</v>
      </c>
      <c r="F1998">
        <v>0</v>
      </c>
      <c r="G1998" t="s">
        <v>428</v>
      </c>
    </row>
    <row r="1999" spans="1:7" x14ac:dyDescent="0.35">
      <c r="A1999">
        <v>615</v>
      </c>
      <c r="B1999" t="s">
        <v>673</v>
      </c>
      <c r="C1999">
        <v>0</v>
      </c>
      <c r="D1999">
        <v>0</v>
      </c>
      <c r="E1999">
        <v>0</v>
      </c>
      <c r="F1999">
        <v>0</v>
      </c>
      <c r="G1999" t="s">
        <v>428</v>
      </c>
    </row>
    <row r="2000" spans="1:7" x14ac:dyDescent="0.35">
      <c r="A2000">
        <v>620</v>
      </c>
      <c r="B2000" t="s">
        <v>260</v>
      </c>
      <c r="C2000">
        <v>0</v>
      </c>
      <c r="D2000">
        <v>0</v>
      </c>
      <c r="E2000">
        <v>0</v>
      </c>
      <c r="F2000">
        <v>0</v>
      </c>
      <c r="G2000" t="s">
        <v>428</v>
      </c>
    </row>
    <row r="2001" spans="1:7" x14ac:dyDescent="0.35">
      <c r="A2001">
        <v>630</v>
      </c>
      <c r="B2001" t="s">
        <v>261</v>
      </c>
      <c r="C2001">
        <v>0</v>
      </c>
      <c r="D2001">
        <v>-151384</v>
      </c>
      <c r="E2001">
        <v>-151384</v>
      </c>
      <c r="F2001">
        <v>0</v>
      </c>
      <c r="G2001" t="s">
        <v>428</v>
      </c>
    </row>
    <row r="2002" spans="1:7" x14ac:dyDescent="0.35">
      <c r="A2002">
        <v>635</v>
      </c>
      <c r="B2002" t="s">
        <v>674</v>
      </c>
      <c r="C2002">
        <v>0</v>
      </c>
      <c r="D2002">
        <v>0</v>
      </c>
      <c r="E2002">
        <v>0</v>
      </c>
      <c r="F2002">
        <v>0</v>
      </c>
      <c r="G2002" t="s">
        <v>428</v>
      </c>
    </row>
    <row r="2003" spans="1:7" x14ac:dyDescent="0.35">
      <c r="A2003">
        <v>640</v>
      </c>
      <c r="B2003" t="s">
        <v>262</v>
      </c>
      <c r="C2003">
        <v>0</v>
      </c>
      <c r="D2003">
        <v>-383309</v>
      </c>
      <c r="E2003">
        <v>-383309</v>
      </c>
      <c r="F2003">
        <v>0</v>
      </c>
      <c r="G2003" t="s">
        <v>428</v>
      </c>
    </row>
    <row r="2004" spans="1:7" x14ac:dyDescent="0.35">
      <c r="A2004">
        <v>650</v>
      </c>
      <c r="B2004" t="s">
        <v>263</v>
      </c>
      <c r="C2004">
        <v>-10</v>
      </c>
      <c r="D2004">
        <v>-146006.32</v>
      </c>
      <c r="E2004">
        <v>-146016.32000000001</v>
      </c>
      <c r="F2004">
        <v>-10</v>
      </c>
      <c r="G2004" t="s">
        <v>428</v>
      </c>
    </row>
    <row r="2005" spans="1:7" x14ac:dyDescent="0.35">
      <c r="A2005"/>
      <c r="B2005"/>
      <c r="C2005"/>
      <c r="D2005"/>
      <c r="E2005"/>
      <c r="F2005"/>
      <c r="G2005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LIM"/>
  <dimension ref="A1:O12"/>
  <sheetViews>
    <sheetView workbookViewId="0">
      <selection sqref="A1:O12"/>
    </sheetView>
  </sheetViews>
  <sheetFormatPr baseColWidth="10" defaultColWidth="8.7265625" defaultRowHeight="14.5" x14ac:dyDescent="0.35"/>
  <cols>
    <col min="1" max="2" width="8.7265625" style="178"/>
    <col min="3" max="3" width="10.81640625" style="178" bestFit="1" customWidth="1"/>
    <col min="4" max="16384" width="8.7265625" style="178"/>
  </cols>
  <sheetData>
    <row r="1" spans="1:15" x14ac:dyDescent="0.35">
      <c r="A1" t="s">
        <v>449</v>
      </c>
      <c r="B1" t="s">
        <v>416</v>
      </c>
      <c r="C1" t="s">
        <v>692</v>
      </c>
      <c r="D1" t="s">
        <v>693</v>
      </c>
      <c r="E1" t="s">
        <v>692</v>
      </c>
      <c r="F1" t="s">
        <v>694</v>
      </c>
      <c r="G1" t="s">
        <v>695</v>
      </c>
      <c r="H1" t="s">
        <v>696</v>
      </c>
      <c r="I1" t="s">
        <v>697</v>
      </c>
      <c r="J1" t="s">
        <v>698</v>
      </c>
      <c r="K1" t="s">
        <v>699</v>
      </c>
      <c r="L1" t="s">
        <v>700</v>
      </c>
      <c r="M1" t="s">
        <v>701</v>
      </c>
      <c r="N1" t="s">
        <v>702</v>
      </c>
      <c r="O1" t="s">
        <v>121</v>
      </c>
    </row>
    <row r="2" spans="1:15" x14ac:dyDescent="0.35">
      <c r="A2">
        <v>10</v>
      </c>
      <c r="B2" t="s">
        <v>427</v>
      </c>
      <c r="C2">
        <v>1406881.34</v>
      </c>
      <c r="D2">
        <v>1406881.34</v>
      </c>
      <c r="E2">
        <v>1137898.5900000001</v>
      </c>
      <c r="F2">
        <v>1137898.5900000001</v>
      </c>
      <c r="G2">
        <v>2356653.5299999998</v>
      </c>
      <c r="H2">
        <v>1255849.1100000001</v>
      </c>
      <c r="I2">
        <v>1152103.26</v>
      </c>
      <c r="J2">
        <v>1172770.1299999999</v>
      </c>
      <c r="K2">
        <v>1221599.9099999999</v>
      </c>
      <c r="L2">
        <v>1137898.5900000001</v>
      </c>
      <c r="M2">
        <v>2039268.61</v>
      </c>
      <c r="N2">
        <v>1064216.56</v>
      </c>
      <c r="O2" t="s">
        <v>428</v>
      </c>
    </row>
    <row r="3" spans="1:15" x14ac:dyDescent="0.35">
      <c r="A3" t="s">
        <v>456</v>
      </c>
      <c r="B3" t="s">
        <v>416</v>
      </c>
      <c r="C3" t="s">
        <v>703</v>
      </c>
      <c r="D3" t="s">
        <v>704</v>
      </c>
      <c r="E3" t="s">
        <v>705</v>
      </c>
      <c r="F3" t="s">
        <v>706</v>
      </c>
      <c r="G3" t="s">
        <v>707</v>
      </c>
      <c r="H3" t="s">
        <v>708</v>
      </c>
      <c r="I3" t="s">
        <v>709</v>
      </c>
      <c r="J3" t="s">
        <v>710</v>
      </c>
      <c r="K3" t="s">
        <v>711</v>
      </c>
      <c r="L3" t="s">
        <v>712</v>
      </c>
      <c r="M3" t="s">
        <v>713</v>
      </c>
      <c r="N3" t="s">
        <v>714</v>
      </c>
      <c r="O3" t="s">
        <v>121</v>
      </c>
    </row>
    <row r="4" spans="1:15" x14ac:dyDescent="0.35">
      <c r="A4">
        <v>10</v>
      </c>
      <c r="B4" t="s">
        <v>427</v>
      </c>
      <c r="C4">
        <v>9194024.4700000007</v>
      </c>
      <c r="D4">
        <v>9194024.4700000007</v>
      </c>
      <c r="E4">
        <v>8850727.4700000007</v>
      </c>
      <c r="F4">
        <v>8850727.4700000007</v>
      </c>
      <c r="G4">
        <v>11049752.800000001</v>
      </c>
      <c r="H4">
        <v>9851506.5500000007</v>
      </c>
      <c r="I4">
        <v>8882316.9399999995</v>
      </c>
      <c r="J4">
        <v>8199756.5800000001</v>
      </c>
      <c r="K4">
        <v>10055090.93</v>
      </c>
      <c r="L4">
        <v>8850727.4700000007</v>
      </c>
      <c r="M4">
        <v>11563280.32</v>
      </c>
      <c r="N4">
        <v>8824826.4299999997</v>
      </c>
      <c r="O4" t="s">
        <v>428</v>
      </c>
    </row>
    <row r="5" spans="1:15" x14ac:dyDescent="0.35">
      <c r="A5" t="s">
        <v>463</v>
      </c>
      <c r="B5" t="s">
        <v>416</v>
      </c>
      <c r="C5" t="s">
        <v>703</v>
      </c>
      <c r="D5" t="s">
        <v>715</v>
      </c>
      <c r="E5" t="s">
        <v>716</v>
      </c>
      <c r="F5" t="s">
        <v>717</v>
      </c>
      <c r="G5" t="s">
        <v>707</v>
      </c>
      <c r="H5" t="s">
        <v>718</v>
      </c>
      <c r="I5" t="s">
        <v>697</v>
      </c>
      <c r="J5" t="s">
        <v>719</v>
      </c>
      <c r="K5" t="s">
        <v>720</v>
      </c>
      <c r="L5" t="s">
        <v>700</v>
      </c>
      <c r="M5" t="s">
        <v>701</v>
      </c>
      <c r="N5" t="s">
        <v>701</v>
      </c>
      <c r="O5" t="s">
        <v>121</v>
      </c>
    </row>
    <row r="6" spans="1:15" x14ac:dyDescent="0.35">
      <c r="A6">
        <v>10</v>
      </c>
      <c r="B6" t="s">
        <v>427</v>
      </c>
      <c r="C6">
        <v>3454255.34</v>
      </c>
      <c r="D6">
        <v>3454255.34</v>
      </c>
      <c r="E6">
        <v>3298210</v>
      </c>
      <c r="F6">
        <v>3298210</v>
      </c>
      <c r="G6">
        <v>3228210</v>
      </c>
      <c r="H6">
        <v>3228210</v>
      </c>
      <c r="I6">
        <v>3228210</v>
      </c>
      <c r="J6">
        <v>3228210</v>
      </c>
      <c r="K6">
        <v>3228210</v>
      </c>
      <c r="L6">
        <v>3298210</v>
      </c>
      <c r="M6">
        <v>3186062</v>
      </c>
      <c r="N6">
        <v>3186062</v>
      </c>
      <c r="O6" t="s">
        <v>428</v>
      </c>
    </row>
    <row r="7" spans="1:15" x14ac:dyDescent="0.35">
      <c r="A7" t="s">
        <v>467</v>
      </c>
      <c r="B7" t="s">
        <v>416</v>
      </c>
      <c r="C7" t="s">
        <v>721</v>
      </c>
      <c r="D7" t="s">
        <v>722</v>
      </c>
      <c r="E7" t="s">
        <v>723</v>
      </c>
      <c r="F7" t="s">
        <v>724</v>
      </c>
      <c r="G7" t="s">
        <v>707</v>
      </c>
      <c r="H7" t="s">
        <v>718</v>
      </c>
      <c r="I7" t="s">
        <v>697</v>
      </c>
      <c r="J7" t="s">
        <v>719</v>
      </c>
      <c r="K7" t="s">
        <v>720</v>
      </c>
      <c r="L7" t="s">
        <v>700</v>
      </c>
      <c r="M7" t="s">
        <v>701</v>
      </c>
      <c r="N7" t="s">
        <v>701</v>
      </c>
      <c r="O7" t="s">
        <v>121</v>
      </c>
    </row>
    <row r="8" spans="1:15" x14ac:dyDescent="0.35">
      <c r="A8">
        <v>10</v>
      </c>
      <c r="B8" t="s">
        <v>427</v>
      </c>
      <c r="C8">
        <v>88028.39</v>
      </c>
      <c r="D8">
        <v>88028.39</v>
      </c>
      <c r="E8">
        <v>115575.07</v>
      </c>
      <c r="F8">
        <v>115575.07</v>
      </c>
      <c r="G8">
        <v>120595.89</v>
      </c>
      <c r="H8">
        <v>93486.43</v>
      </c>
      <c r="I8">
        <v>110036.32</v>
      </c>
      <c r="J8">
        <v>159916.74</v>
      </c>
      <c r="K8">
        <v>131713.93</v>
      </c>
      <c r="L8">
        <v>115575.07</v>
      </c>
      <c r="M8">
        <v>169738.07</v>
      </c>
      <c r="N8">
        <v>124081.92</v>
      </c>
      <c r="O8" t="s">
        <v>428</v>
      </c>
    </row>
    <row r="9" spans="1:15" x14ac:dyDescent="0.35">
      <c r="A9" t="s">
        <v>468</v>
      </c>
      <c r="B9" t="s">
        <v>416</v>
      </c>
      <c r="C9" t="s">
        <v>703</v>
      </c>
      <c r="D9" t="s">
        <v>715</v>
      </c>
      <c r="E9" t="s">
        <v>716</v>
      </c>
      <c r="F9" t="s">
        <v>717</v>
      </c>
      <c r="G9" t="s">
        <v>707</v>
      </c>
      <c r="H9" t="s">
        <v>718</v>
      </c>
      <c r="I9" t="s">
        <v>697</v>
      </c>
      <c r="J9" t="s">
        <v>719</v>
      </c>
      <c r="K9" t="s">
        <v>720</v>
      </c>
      <c r="L9" t="s">
        <v>700</v>
      </c>
      <c r="M9" t="s">
        <v>701</v>
      </c>
      <c r="N9" t="s">
        <v>702</v>
      </c>
      <c r="O9" t="s">
        <v>121</v>
      </c>
    </row>
    <row r="10" spans="1:15" x14ac:dyDescent="0.35">
      <c r="A10">
        <v>10</v>
      </c>
      <c r="B10" t="s">
        <v>427</v>
      </c>
      <c r="C10">
        <v>264060</v>
      </c>
      <c r="D10">
        <v>264060</v>
      </c>
      <c r="E10">
        <v>254662</v>
      </c>
      <c r="F10">
        <v>254662</v>
      </c>
      <c r="G10">
        <v>254662</v>
      </c>
      <c r="H10">
        <v>254662</v>
      </c>
      <c r="I10">
        <v>254662</v>
      </c>
      <c r="J10">
        <v>254662</v>
      </c>
      <c r="K10">
        <v>254662</v>
      </c>
      <c r="L10">
        <v>254662</v>
      </c>
      <c r="M10">
        <v>246003</v>
      </c>
      <c r="N10">
        <v>246003</v>
      </c>
      <c r="O10" t="s">
        <v>428</v>
      </c>
    </row>
    <row r="11" spans="1:15" x14ac:dyDescent="0.3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</row>
    <row r="12" spans="1:15" x14ac:dyDescent="0.3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tros"/>
  <dimension ref="A11:AD55"/>
  <sheetViews>
    <sheetView showGridLines="0" zoomScale="60" zoomScaleNormal="60" workbookViewId="0">
      <selection activeCell="A28" sqref="A28:AD28"/>
    </sheetView>
  </sheetViews>
  <sheetFormatPr baseColWidth="10" defaultRowHeight="14.5" x14ac:dyDescent="0.35"/>
  <cols>
    <col min="4" max="4" width="11.54296875" bestFit="1" customWidth="1"/>
    <col min="5" max="5" width="15" customWidth="1"/>
  </cols>
  <sheetData>
    <row r="11" spans="5:5" ht="20" x14ac:dyDescent="0.4">
      <c r="E11" s="284" t="s">
        <v>335</v>
      </c>
    </row>
    <row r="28" spans="1:30" x14ac:dyDescent="0.35">
      <c r="A28" s="26" t="s">
        <v>106</v>
      </c>
      <c r="B28" s="2" t="s">
        <v>136</v>
      </c>
      <c r="C28" s="2" t="s">
        <v>137</v>
      </c>
      <c r="D28" s="2" t="s">
        <v>138</v>
      </c>
      <c r="E28" s="2" t="s">
        <v>139</v>
      </c>
      <c r="F28" s="2" t="s">
        <v>144</v>
      </c>
      <c r="G28" s="2" t="s">
        <v>145</v>
      </c>
      <c r="H28" s="2" t="s">
        <v>146</v>
      </c>
      <c r="I28" s="2" t="s">
        <v>147</v>
      </c>
      <c r="J28" s="2" t="s">
        <v>148</v>
      </c>
      <c r="K28" s="2" t="s">
        <v>149</v>
      </c>
      <c r="L28" s="2" t="s">
        <v>152</v>
      </c>
      <c r="M28" s="2" t="s">
        <v>153</v>
      </c>
      <c r="N28" s="2" t="s">
        <v>154</v>
      </c>
      <c r="O28" s="2" t="s">
        <v>155</v>
      </c>
      <c r="P28" s="2" t="s">
        <v>156</v>
      </c>
      <c r="Q28" s="2" t="s">
        <v>157</v>
      </c>
      <c r="R28" s="2" t="s">
        <v>158</v>
      </c>
      <c r="S28" s="2" t="s">
        <v>160</v>
      </c>
      <c r="T28" s="2" t="s">
        <v>161</v>
      </c>
      <c r="U28" s="2" t="s">
        <v>179</v>
      </c>
      <c r="V28" s="2" t="s">
        <v>180</v>
      </c>
      <c r="W28" s="2" t="s">
        <v>181</v>
      </c>
      <c r="X28" s="2" t="s">
        <v>182</v>
      </c>
      <c r="Y28" s="2" t="s">
        <v>183</v>
      </c>
      <c r="Z28" s="2" t="s">
        <v>186</v>
      </c>
      <c r="AA28" s="2" t="s">
        <v>187</v>
      </c>
      <c r="AB28" s="2" t="s">
        <v>188</v>
      </c>
      <c r="AC28" s="2" t="s">
        <v>189</v>
      </c>
      <c r="AD28" s="2" t="s">
        <v>190</v>
      </c>
    </row>
    <row r="29" spans="1:30" x14ac:dyDescent="0.35">
      <c r="A29" s="7" t="s">
        <v>370</v>
      </c>
    </row>
    <row r="30" spans="1:30" x14ac:dyDescent="0.35">
      <c r="A30" s="7" t="s">
        <v>5</v>
      </c>
    </row>
    <row r="31" spans="1:30" x14ac:dyDescent="0.35">
      <c r="A31" s="7" t="s">
        <v>6</v>
      </c>
    </row>
    <row r="32" spans="1:30" x14ac:dyDescent="0.35">
      <c r="A32" s="7" t="s">
        <v>8</v>
      </c>
    </row>
    <row r="33" spans="1:1" x14ac:dyDescent="0.35">
      <c r="A33" s="7" t="s">
        <v>9</v>
      </c>
    </row>
    <row r="34" spans="1:1" x14ac:dyDescent="0.35">
      <c r="A34" s="7" t="s">
        <v>10</v>
      </c>
    </row>
    <row r="35" spans="1:1" x14ac:dyDescent="0.35">
      <c r="A35" s="7" t="s">
        <v>13</v>
      </c>
    </row>
    <row r="36" spans="1:1" x14ac:dyDescent="0.35">
      <c r="A36" s="7" t="s">
        <v>14</v>
      </c>
    </row>
    <row r="37" spans="1:1" x14ac:dyDescent="0.35">
      <c r="A37" s="7" t="s">
        <v>15</v>
      </c>
    </row>
    <row r="38" spans="1:1" x14ac:dyDescent="0.35">
      <c r="A38" s="7" t="s">
        <v>16</v>
      </c>
    </row>
    <row r="39" spans="1:1" x14ac:dyDescent="0.35">
      <c r="A39" s="7" t="s">
        <v>143</v>
      </c>
    </row>
    <row r="40" spans="1:1" x14ac:dyDescent="0.35">
      <c r="A40" s="7" t="s">
        <v>19</v>
      </c>
    </row>
    <row r="41" spans="1:1" x14ac:dyDescent="0.35">
      <c r="A41" s="7" t="s">
        <v>43</v>
      </c>
    </row>
    <row r="42" spans="1:1" x14ac:dyDescent="0.35">
      <c r="A42" s="26" t="s">
        <v>71</v>
      </c>
    </row>
    <row r="43" spans="1:1" x14ac:dyDescent="0.35">
      <c r="A43" s="7" t="s">
        <v>370</v>
      </c>
    </row>
    <row r="44" spans="1:1" x14ac:dyDescent="0.35">
      <c r="A44" s="7" t="s">
        <v>5</v>
      </c>
    </row>
    <row r="45" spans="1:1" x14ac:dyDescent="0.35">
      <c r="A45" s="7" t="s">
        <v>6</v>
      </c>
    </row>
    <row r="46" spans="1:1" x14ac:dyDescent="0.35">
      <c r="A46" s="7" t="s">
        <v>8</v>
      </c>
    </row>
    <row r="47" spans="1:1" x14ac:dyDescent="0.35">
      <c r="A47" s="7" t="s">
        <v>9</v>
      </c>
    </row>
    <row r="48" spans="1:1" x14ac:dyDescent="0.35">
      <c r="A48" s="7" t="s">
        <v>10</v>
      </c>
    </row>
    <row r="49" spans="1:1" x14ac:dyDescent="0.35">
      <c r="A49" s="7" t="s">
        <v>13</v>
      </c>
    </row>
    <row r="50" spans="1:1" x14ac:dyDescent="0.35">
      <c r="A50" s="7" t="s">
        <v>14</v>
      </c>
    </row>
    <row r="51" spans="1:1" x14ac:dyDescent="0.35">
      <c r="A51" s="7" t="s">
        <v>15</v>
      </c>
    </row>
    <row r="52" spans="1:1" x14ac:dyDescent="0.35">
      <c r="A52" s="7" t="s">
        <v>16</v>
      </c>
    </row>
    <row r="53" spans="1:1" x14ac:dyDescent="0.35">
      <c r="A53" s="7" t="s">
        <v>143</v>
      </c>
    </row>
    <row r="54" spans="1:1" x14ac:dyDescent="0.35">
      <c r="A54" s="7" t="s">
        <v>19</v>
      </c>
    </row>
    <row r="55" spans="1:1" x14ac:dyDescent="0.35">
      <c r="A55" s="7" t="s">
        <v>43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18</vt:i4>
      </vt:variant>
      <vt:variant>
        <vt:lpstr>Rangos con nombre</vt:lpstr>
      </vt:variant>
      <vt:variant>
        <vt:i4>250</vt:i4>
      </vt:variant>
    </vt:vector>
  </HeadingPairs>
  <TitlesOfParts>
    <vt:vector size="268" baseType="lpstr">
      <vt:lpstr>Inicio</vt:lpstr>
      <vt:lpstr>TablasER</vt:lpstr>
      <vt:lpstr>TablasERxDiv</vt:lpstr>
      <vt:lpstr>variacion</vt:lpstr>
      <vt:lpstr>division</vt:lpstr>
      <vt:lpstr>ajustes</vt:lpstr>
      <vt:lpstr>proyeccion</vt:lpstr>
      <vt:lpstr>mxn-dll</vt:lpstr>
      <vt:lpstr>Costos_Gastos</vt:lpstr>
      <vt:lpstr>Tendencias</vt:lpstr>
      <vt:lpstr>FE</vt:lpstr>
      <vt:lpstr>BG</vt:lpstr>
      <vt:lpstr>BDER_sig</vt:lpstr>
      <vt:lpstr>BDER</vt:lpstr>
      <vt:lpstr>BDBG</vt:lpstr>
      <vt:lpstr>BDFE</vt:lpstr>
      <vt:lpstr>ELIM</vt:lpstr>
      <vt:lpstr>otros</vt:lpstr>
      <vt:lpstr>aa_rng_alimeu</vt:lpstr>
      <vt:lpstr>aa_rng_inmoeu</vt:lpstr>
      <vt:lpstr>anexo</vt:lpstr>
      <vt:lpstr>bg_activos</vt:lpstr>
      <vt:lpstr>bg_pasivos</vt:lpstr>
      <vt:lpstr>c_realvsproyeccionvsppto</vt:lpstr>
      <vt:lpstr>capital</vt:lpstr>
      <vt:lpstr>capital_acum</vt:lpstr>
      <vt:lpstr>div_er_acum_alimeu</vt:lpstr>
      <vt:lpstr>div_er_acum_alimmx</vt:lpstr>
      <vt:lpstr>div_er_acum_auto</vt:lpstr>
      <vt:lpstr>div_er_acum_energ</vt:lpstr>
      <vt:lpstr>div_er_acum_inmeu</vt:lpstr>
      <vt:lpstr>div_er_acum_inmmx</vt:lpstr>
      <vt:lpstr>div_er_alimeu</vt:lpstr>
      <vt:lpstr>div_er_alimmx</vt:lpstr>
      <vt:lpstr>div_er_auto</vt:lpstr>
      <vt:lpstr>div_er_energ</vt:lpstr>
      <vt:lpstr>div_er_inmeu</vt:lpstr>
      <vt:lpstr>div_er_inmmx</vt:lpstr>
      <vt:lpstr>EC_Costos</vt:lpstr>
      <vt:lpstr>EC_Costos_Gra</vt:lpstr>
      <vt:lpstr>EC_Costos_Imp</vt:lpstr>
      <vt:lpstr>EC_Gastos</vt:lpstr>
      <vt:lpstr>EC_Gastos_Imp</vt:lpstr>
      <vt:lpstr>er_c</vt:lpstr>
      <vt:lpstr>er_c_acum</vt:lpstr>
      <vt:lpstr>er_div_acum_dll</vt:lpstr>
      <vt:lpstr>er_div_acum_pesos</vt:lpstr>
      <vt:lpstr>er_div_dll</vt:lpstr>
      <vt:lpstr>er_div_pesos</vt:lpstr>
      <vt:lpstr>fe_alimeu</vt:lpstr>
      <vt:lpstr>fe_alimeu_acum</vt:lpstr>
      <vt:lpstr>fe_alimmx</vt:lpstr>
      <vt:lpstr>fe_alimmx_acum</vt:lpstr>
      <vt:lpstr>fe_auto</vt:lpstr>
      <vt:lpstr>fe_auto_acum</vt:lpstr>
      <vt:lpstr>fe_energ</vt:lpstr>
      <vt:lpstr>fe_energ_acum</vt:lpstr>
      <vt:lpstr>fe_exelco</vt:lpstr>
      <vt:lpstr>fe_exelco_acum</vt:lpstr>
      <vt:lpstr>fe_inmoeu</vt:lpstr>
      <vt:lpstr>fe_inmoeu_acum</vt:lpstr>
      <vt:lpstr>fe_inmomx</vt:lpstr>
      <vt:lpstr>fe_inmomx_acum</vt:lpstr>
      <vt:lpstr>intereses</vt:lpstr>
      <vt:lpstr>intereses_acum</vt:lpstr>
      <vt:lpstr>mes_alimeu</vt:lpstr>
      <vt:lpstr>mes_alimmx</vt:lpstr>
      <vt:lpstr>mes_aut</vt:lpstr>
      <vt:lpstr>Mes_cierre</vt:lpstr>
      <vt:lpstr>mes_energ</vt:lpstr>
      <vt:lpstr>mes_inmeu</vt:lpstr>
      <vt:lpstr>mes_inmmx</vt:lpstr>
      <vt:lpstr>mes_rng_alimeu</vt:lpstr>
      <vt:lpstr>mes_rng_inmoeu</vt:lpstr>
      <vt:lpstr>Mes_sig</vt:lpstr>
      <vt:lpstr>ppto_rng_alimeu</vt:lpstr>
      <vt:lpstr>ppto_rng_inmoeu</vt:lpstr>
      <vt:lpstr>proyeccion_div_mes</vt:lpstr>
      <vt:lpstr>proyeccion_div_mes_sig</vt:lpstr>
      <vt:lpstr>proyeccion_mes_sig</vt:lpstr>
      <vt:lpstr>rng_102_600</vt:lpstr>
      <vt:lpstr>rng_102_610</vt:lpstr>
      <vt:lpstr>rng_108_600</vt:lpstr>
      <vt:lpstr>rng_108_610</vt:lpstr>
      <vt:lpstr>rng_109_600</vt:lpstr>
      <vt:lpstr>rng_109_610</vt:lpstr>
      <vt:lpstr>rng_201_600</vt:lpstr>
      <vt:lpstr>rng_201_605</vt:lpstr>
      <vt:lpstr>rng_201_610</vt:lpstr>
      <vt:lpstr>rng_202_600</vt:lpstr>
      <vt:lpstr>rng_202_605</vt:lpstr>
      <vt:lpstr>rng_202_610</vt:lpstr>
      <vt:lpstr>rng_203_600</vt:lpstr>
      <vt:lpstr>rng_203_603</vt:lpstr>
      <vt:lpstr>rng_203_610</vt:lpstr>
      <vt:lpstr>rng_204_600</vt:lpstr>
      <vt:lpstr>rng_204_605</vt:lpstr>
      <vt:lpstr>rng_204_610</vt:lpstr>
      <vt:lpstr>rng_208_600</vt:lpstr>
      <vt:lpstr>rng_208_605</vt:lpstr>
      <vt:lpstr>rng_208_610</vt:lpstr>
      <vt:lpstr>rng_301_600</vt:lpstr>
      <vt:lpstr>rng_301_605</vt:lpstr>
      <vt:lpstr>rng_301_610</vt:lpstr>
      <vt:lpstr>rng_303_600</vt:lpstr>
      <vt:lpstr>rng_303_605</vt:lpstr>
      <vt:lpstr>rng_303_610</vt:lpstr>
      <vt:lpstr>rng_305_600</vt:lpstr>
      <vt:lpstr>rng_305_605</vt:lpstr>
      <vt:lpstr>rng_305_610</vt:lpstr>
      <vt:lpstr>rng_307_600</vt:lpstr>
      <vt:lpstr>rng_307_605</vt:lpstr>
      <vt:lpstr>rng_307_610</vt:lpstr>
      <vt:lpstr>rng_309_600</vt:lpstr>
      <vt:lpstr>rng_309_605</vt:lpstr>
      <vt:lpstr>rng_309_610</vt:lpstr>
      <vt:lpstr>rng_312_600</vt:lpstr>
      <vt:lpstr>rng_312_605</vt:lpstr>
      <vt:lpstr>rng_312_610</vt:lpstr>
      <vt:lpstr>rng_503_600</vt:lpstr>
      <vt:lpstr>rng_503_605</vt:lpstr>
      <vt:lpstr>rng_503_610</vt:lpstr>
      <vt:lpstr>rng_506_600</vt:lpstr>
      <vt:lpstr>rng_506_605</vt:lpstr>
      <vt:lpstr>rng_506_610</vt:lpstr>
      <vt:lpstr>rng_508_600</vt:lpstr>
      <vt:lpstr>rng_508_605</vt:lpstr>
      <vt:lpstr>rng_508_610</vt:lpstr>
      <vt:lpstr>rng_512_600</vt:lpstr>
      <vt:lpstr>rng_512_605</vt:lpstr>
      <vt:lpstr>rng_512_610</vt:lpstr>
      <vt:lpstr>rng_602_600</vt:lpstr>
      <vt:lpstr>rng_602_605</vt:lpstr>
      <vt:lpstr>rng_602_610</vt:lpstr>
      <vt:lpstr>rng_613_600</vt:lpstr>
      <vt:lpstr>rng_613_610</vt:lpstr>
      <vt:lpstr>rng_613_650</vt:lpstr>
      <vt:lpstr>rng_615_600</vt:lpstr>
      <vt:lpstr>rng_615_610</vt:lpstr>
      <vt:lpstr>rng_615_650</vt:lpstr>
      <vt:lpstr>rng_804_600</vt:lpstr>
      <vt:lpstr>rng_804_605</vt:lpstr>
      <vt:lpstr>rng_804_610</vt:lpstr>
      <vt:lpstr>rng_805_600</vt:lpstr>
      <vt:lpstr>rng_805_605</vt:lpstr>
      <vt:lpstr>rng_805_610</vt:lpstr>
      <vt:lpstr>rng_807_600</vt:lpstr>
      <vt:lpstr>rng_807_605</vt:lpstr>
      <vt:lpstr>rng_807_610</vt:lpstr>
      <vt:lpstr>rng_808_600</vt:lpstr>
      <vt:lpstr>rng_808_605</vt:lpstr>
      <vt:lpstr>rng_808_610</vt:lpstr>
      <vt:lpstr>rng_811_600</vt:lpstr>
      <vt:lpstr>rng_811_605</vt:lpstr>
      <vt:lpstr>rng_811_610</vt:lpstr>
      <vt:lpstr>rng_812_600</vt:lpstr>
      <vt:lpstr>rng_812_605</vt:lpstr>
      <vt:lpstr>rng_812_610</vt:lpstr>
      <vt:lpstr>rng_813_600</vt:lpstr>
      <vt:lpstr>rng_813_605</vt:lpstr>
      <vt:lpstr>rng_813_610</vt:lpstr>
      <vt:lpstr>rng_816_600</vt:lpstr>
      <vt:lpstr>rng_816_605</vt:lpstr>
      <vt:lpstr>rng_816_610</vt:lpstr>
      <vt:lpstr>rng_817_600</vt:lpstr>
      <vt:lpstr>rng_817_605</vt:lpstr>
      <vt:lpstr>rng_817_610</vt:lpstr>
      <vt:lpstr>TC_MES</vt:lpstr>
      <vt:lpstr>TC_PROM</vt:lpstr>
      <vt:lpstr>tend_alimentoseu</vt:lpstr>
      <vt:lpstr>tend_alimentosmx</vt:lpstr>
      <vt:lpstr>tend_automotriz</vt:lpstr>
      <vt:lpstr>tend_energeticos</vt:lpstr>
      <vt:lpstr>tend_exelco</vt:lpstr>
      <vt:lpstr>tend_inmobiliaria</vt:lpstr>
      <vt:lpstr>tend_inmobiliariaeu</vt:lpstr>
      <vt:lpstr>tend_mex_eu</vt:lpstr>
      <vt:lpstr>titulo_102_600</vt:lpstr>
      <vt:lpstr>titulo_102_610</vt:lpstr>
      <vt:lpstr>titulo_108_600</vt:lpstr>
      <vt:lpstr>titulo_108_610</vt:lpstr>
      <vt:lpstr>titulo_109_600</vt:lpstr>
      <vt:lpstr>titulo_109_610</vt:lpstr>
      <vt:lpstr>titulo_201_600</vt:lpstr>
      <vt:lpstr>titulo_201_605</vt:lpstr>
      <vt:lpstr>titulo_201_610</vt:lpstr>
      <vt:lpstr>titulo_202_600</vt:lpstr>
      <vt:lpstr>titulo_202_605</vt:lpstr>
      <vt:lpstr>titulo_202_610</vt:lpstr>
      <vt:lpstr>titulo_203_600</vt:lpstr>
      <vt:lpstr>titulo_203_603</vt:lpstr>
      <vt:lpstr>titulo_203_610</vt:lpstr>
      <vt:lpstr>titulo_204_600</vt:lpstr>
      <vt:lpstr>titulo_204_605</vt:lpstr>
      <vt:lpstr>titulo_204_610</vt:lpstr>
      <vt:lpstr>titulo_208_600</vt:lpstr>
      <vt:lpstr>titulo_208_605</vt:lpstr>
      <vt:lpstr>titulo_208_610</vt:lpstr>
      <vt:lpstr>titulo_301_600</vt:lpstr>
      <vt:lpstr>titulo_301_605</vt:lpstr>
      <vt:lpstr>titulo_301_610</vt:lpstr>
      <vt:lpstr>titulo_303_600</vt:lpstr>
      <vt:lpstr>titulo_303_605</vt:lpstr>
      <vt:lpstr>titulo_303_610</vt:lpstr>
      <vt:lpstr>titulo_305_600</vt:lpstr>
      <vt:lpstr>titulo_305_605</vt:lpstr>
      <vt:lpstr>titulo_305_610</vt:lpstr>
      <vt:lpstr>titulo_307_600</vt:lpstr>
      <vt:lpstr>titulo_307_605</vt:lpstr>
      <vt:lpstr>titulo_307_610</vt:lpstr>
      <vt:lpstr>titulo_309_600</vt:lpstr>
      <vt:lpstr>titulo_309_605</vt:lpstr>
      <vt:lpstr>titulo_309_610</vt:lpstr>
      <vt:lpstr>titulo_312_600</vt:lpstr>
      <vt:lpstr>titulo_312_605</vt:lpstr>
      <vt:lpstr>titulo_312_610</vt:lpstr>
      <vt:lpstr>titulo_503_600</vt:lpstr>
      <vt:lpstr>titulo_503_605</vt:lpstr>
      <vt:lpstr>titulo_503_610</vt:lpstr>
      <vt:lpstr>titulo_506_600</vt:lpstr>
      <vt:lpstr>titulo_506_605</vt:lpstr>
      <vt:lpstr>titulo_506_610</vt:lpstr>
      <vt:lpstr>titulo_508_600</vt:lpstr>
      <vt:lpstr>titulo_508_605</vt:lpstr>
      <vt:lpstr>titulo_508_610</vt:lpstr>
      <vt:lpstr>titulo_512_600</vt:lpstr>
      <vt:lpstr>titulo_512_605</vt:lpstr>
      <vt:lpstr>titulo_512_610</vt:lpstr>
      <vt:lpstr>titulo_602_600</vt:lpstr>
      <vt:lpstr>titulo_602_605</vt:lpstr>
      <vt:lpstr>titulo_602_610</vt:lpstr>
      <vt:lpstr>titulo_613_600</vt:lpstr>
      <vt:lpstr>titulo_613_610</vt:lpstr>
      <vt:lpstr>titulo_613_650</vt:lpstr>
      <vt:lpstr>titulo_615_600</vt:lpstr>
      <vt:lpstr>titulo_615_610</vt:lpstr>
      <vt:lpstr>titulo_615_650</vt:lpstr>
      <vt:lpstr>titulo_804_600</vt:lpstr>
      <vt:lpstr>titulo_804_605</vt:lpstr>
      <vt:lpstr>titulo_804_610</vt:lpstr>
      <vt:lpstr>titulo_805_600</vt:lpstr>
      <vt:lpstr>titulo_805_605</vt:lpstr>
      <vt:lpstr>titulo_805_610</vt:lpstr>
      <vt:lpstr>titulo_807_600</vt:lpstr>
      <vt:lpstr>titulo_807_605</vt:lpstr>
      <vt:lpstr>titulo_807_610</vt:lpstr>
      <vt:lpstr>titulo_808_600</vt:lpstr>
      <vt:lpstr>titulo_808_605</vt:lpstr>
      <vt:lpstr>titulo_808_610</vt:lpstr>
      <vt:lpstr>titulo_811_600</vt:lpstr>
      <vt:lpstr>titulo_811_605</vt:lpstr>
      <vt:lpstr>titulo_811_610</vt:lpstr>
      <vt:lpstr>titulo_812_600</vt:lpstr>
      <vt:lpstr>titulo_812_605</vt:lpstr>
      <vt:lpstr>titulo_812_610</vt:lpstr>
      <vt:lpstr>titulo_813_600</vt:lpstr>
      <vt:lpstr>titulo_813_605</vt:lpstr>
      <vt:lpstr>titulo_813_610</vt:lpstr>
      <vt:lpstr>titulo_816_600</vt:lpstr>
      <vt:lpstr>titulo_816_605</vt:lpstr>
      <vt:lpstr>titulo_816_610</vt:lpstr>
      <vt:lpstr>titulo_817_600</vt:lpstr>
      <vt:lpstr>titulo_817_605</vt:lpstr>
      <vt:lpstr>titulo_817_610</vt:lpstr>
      <vt:lpstr>var_ppto_divs</vt:lpstr>
      <vt:lpstr>var_py_divs</vt:lpstr>
      <vt:lpstr>var_realvsppto</vt:lpstr>
      <vt:lpstr>var_realvsproyeccion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</dc:creator>
  <cp:lastModifiedBy>Usuario de Windows</cp:lastModifiedBy>
  <dcterms:created xsi:type="dcterms:W3CDTF">2019-10-01T15:17:12Z</dcterms:created>
  <dcterms:modified xsi:type="dcterms:W3CDTF">2021-06-23T14:43:47Z</dcterms:modified>
</cp:coreProperties>
</file>