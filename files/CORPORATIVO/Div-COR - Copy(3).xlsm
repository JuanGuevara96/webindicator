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 activeTab="1"/>
  </bookViews>
  <sheets>
    <sheet name="Inicio" sheetId="5" r:id="rId1"/>
    <sheet name="TablasER" sheetId="1" r:id="rId2"/>
    <sheet name="TablasERxDiv" sheetId="8" r:id="rId3"/>
    <sheet name="ajustes" sheetId="16" r:id="rId4"/>
    <sheet name="mxn-dll" sheetId="15" r:id="rId5"/>
    <sheet name="Costos_Gastos" sheetId="6" r:id="rId6"/>
    <sheet name="Tendencias" sheetId="4" r:id="rId7"/>
    <sheet name="600" sheetId="7" r:id="rId8"/>
    <sheet name="BG" sheetId="9" r:id="rId9"/>
    <sheet name="610" sheetId="10" r:id="rId10"/>
    <sheet name="605" sheetId="11" r:id="rId11"/>
    <sheet name="FE" sheetId="12" r:id="rId12"/>
    <sheet name="612" sheetId="14" r:id="rId13"/>
    <sheet name="otros" sheetId="13" r:id="rId14"/>
  </sheets>
  <functionGroups builtInGroupCount="18"/>
  <externalReferences>
    <externalReference r:id="rId15"/>
  </externalReferences>
  <definedNames>
    <definedName name="_xlnm._FilterDatabase" localSheetId="7" hidden="1">'600'!$A$1:$T$664</definedName>
    <definedName name="_xlnm._FilterDatabase" localSheetId="10" hidden="1">'605'!$A$1:$G$1931</definedName>
    <definedName name="_xlnm._FilterDatabase" localSheetId="9" hidden="1">'610'!$A$1:$J$1621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TablasERxDiv!$AX$31:$BE$53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TablasERxDiv!$AX$4:$BE$26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FE!$B$243:$M$283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FE!$B$601:$M$644</definedName>
    <definedName name="fe_exelco_acum">FE!$B$651:$M$694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mes_alimeu">Tendencias!$P$108:$P$114</definedName>
    <definedName name="mes_alimmx">Tendencias!$P$51:$P$57</definedName>
    <definedName name="mes_aut">Tendencias!$P$70:$P$76</definedName>
    <definedName name="Mes_cierre">Inicio!$B$2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ppto_rng_alimeu">TablasER!$W$4:$W$25</definedName>
    <definedName name="ppto_rng_inmoeu">TablasER!$Y$4:$Y$25</definedName>
    <definedName name="rng_102_600">'600'!$B$222:$P$242</definedName>
    <definedName name="rng_102_610">'610'!$B$542:$I$594</definedName>
    <definedName name="rng_108_600">'600'!$B$244:$P$264</definedName>
    <definedName name="rng_108_610">'610'!$B$596:$I$648</definedName>
    <definedName name="rng_109_600">'600'!$B$266:$P$286</definedName>
    <definedName name="rng_109_610">'610'!$B$650:$I$702</definedName>
    <definedName name="rng_201_600">'600'!$B$2:$L$22</definedName>
    <definedName name="rng_201_605">'605'!$B$2:$F$71</definedName>
    <definedName name="rng_201_610">'610'!$B$2:$I$54</definedName>
    <definedName name="rng_202_600">'600'!$B$24:$L$44</definedName>
    <definedName name="rng_202_605">'605'!$B$73:$F$142</definedName>
    <definedName name="rng_202_610">'610'!$B$56:$I$108</definedName>
    <definedName name="rng_203_600">'600'!$B$46:$L$66</definedName>
    <definedName name="rng_203_603">'605'!$B$144:$F$213</definedName>
    <definedName name="rng_203_610">'610'!$B$110:$I$162</definedName>
    <definedName name="rng_204_600">'600'!$B$68:$L$88</definedName>
    <definedName name="rng_204_605">'605'!$B$215:$F$284</definedName>
    <definedName name="rng_204_610">'610'!$B$164:$I$216</definedName>
    <definedName name="rng_208_600">'600'!$B$90:$L$110</definedName>
    <definedName name="rng_208_605">'605'!$B$286:$F$355</definedName>
    <definedName name="rng_208_610">'610'!$B$218:$I$270</definedName>
    <definedName name="rng_301_600">'600'!$B$288:$Q$308</definedName>
    <definedName name="rng_301_605">'605'!$B$708:$F$779</definedName>
    <definedName name="rng_301_610">'610'!$B$704:$I$756</definedName>
    <definedName name="rng_303_600">'600'!$B$310:$Q$330</definedName>
    <definedName name="rng_303_605">'605'!$B$781:$F$852</definedName>
    <definedName name="rng_303_610">'610'!$B$758:$I$811</definedName>
    <definedName name="rng_305_600">'600'!$B$332:$I$352</definedName>
    <definedName name="rng_305_605">'605'!$B$854:$F$925</definedName>
    <definedName name="rng_305_610">'610'!$B$813:$I$865</definedName>
    <definedName name="rng_307_600">'600'!$B$354:$Q$374</definedName>
    <definedName name="rng_307_605">'605'!$B$927:$F$998</definedName>
    <definedName name="rng_307_610">'610'!$B$867:$I$919</definedName>
    <definedName name="rng_309_600">'600'!$B$376:$Q$396</definedName>
    <definedName name="rng_309_605">'605'!$B$1000:$F$1071</definedName>
    <definedName name="rng_309_610">'610'!$B$921:$I$973</definedName>
    <definedName name="rng_312_600">'600'!$B$398:$Q$418</definedName>
    <definedName name="rng_312_605">'605'!$B$1073:$F$1144</definedName>
    <definedName name="rng_312_610">'610'!$B$975:$I$1027</definedName>
    <definedName name="rng_503_600">'600'!$B$134:$S$154</definedName>
    <definedName name="rng_503_605">'605'!$B$428:$F$496</definedName>
    <definedName name="rng_503_610">'610'!$B$326:$I$378</definedName>
    <definedName name="rng_506_600">'600'!$B$156:$S$176</definedName>
    <definedName name="rng_506_605">'605'!$B$498:$F$566</definedName>
    <definedName name="rng_506_610">'610'!$B$380:$I$432</definedName>
    <definedName name="rng_508_600">'600'!$B$178:$S$198</definedName>
    <definedName name="rng_508_605">'605'!$B$568:$F$636</definedName>
    <definedName name="rng_508_610">'610'!$B$434:$I$486</definedName>
    <definedName name="rng_512_600">'600'!$B$200:$S$220</definedName>
    <definedName name="rng_512_605">'605'!$B$638:$F$706</definedName>
    <definedName name="rng_512_610">'610'!$B$488:$I$540</definedName>
    <definedName name="rng_602_600">'600'!$B$112:$L$132</definedName>
    <definedName name="rng_602_605">'605'!$B$357:$F$426</definedName>
    <definedName name="rng_602_610">'610'!$B$272:$I$324</definedName>
    <definedName name="rng_613_600">'600'!$B$420:$S$440</definedName>
    <definedName name="rng_613_610">'610'!$B$1029:$I$1081</definedName>
    <definedName name="rng_613_650">'605'!$B$1146:$F$1209</definedName>
    <definedName name="rng_615_600">'600'!$B$442:$S$462</definedName>
    <definedName name="rng_615_610">'610'!$B$1083:$I$1135</definedName>
    <definedName name="rng_615_650">'605'!$B$1211:$F$1274</definedName>
    <definedName name="rng_804_600">'600'!$B$464:$P$485</definedName>
    <definedName name="rng_804_605">'605'!$B$1276:$F$1347</definedName>
    <definedName name="rng_804_610">'610'!$B$1137:$I$1189</definedName>
    <definedName name="rng_805_600">'600'!$B$487:$P$508</definedName>
    <definedName name="rng_805_605">'605'!$B$1349:$F$1420</definedName>
    <definedName name="rng_805_610">'610'!$B$1191:$I$1243</definedName>
    <definedName name="rng_807_600">'600'!$B$510:$P$530</definedName>
    <definedName name="rng_807_605">'605'!$B$1422:$F$1493</definedName>
    <definedName name="rng_807_610">'610'!$B$1245:$I$1297</definedName>
    <definedName name="rng_808_600">'600'!$B$532:$P$552</definedName>
    <definedName name="rng_808_605">'605'!$B$1495:$F$1566</definedName>
    <definedName name="rng_808_610">'610'!$B$1299:$I$1351</definedName>
    <definedName name="rng_811_600">'600'!$B$554:$P$575</definedName>
    <definedName name="rng_811_605">'605'!$B$1568:$F$1639</definedName>
    <definedName name="rng_811_610">'610'!$B$1353:$I$1405</definedName>
    <definedName name="rng_812_600">'600'!$B$577:$P$597</definedName>
    <definedName name="rng_812_605">'605'!$B$1641:$F$1712</definedName>
    <definedName name="rng_812_610">'610'!$B$1407:$I$1459</definedName>
    <definedName name="rng_813_600">'600'!$B$599:$P$620</definedName>
    <definedName name="rng_813_605">'605'!$B$1714:$F$1785</definedName>
    <definedName name="rng_813_610">'610'!$B$1461:$I$1513</definedName>
    <definedName name="rng_816_600">'600'!$B$622:$P$642</definedName>
    <definedName name="rng_816_605">'605'!$B$1787:$F$1858</definedName>
    <definedName name="rng_816_610">'610'!$B$1515:$I$1567</definedName>
    <definedName name="rng_817_600">'600'!$B$644:$P$664</definedName>
    <definedName name="rng_817_605">'605'!$B$1860:$F$1931</definedName>
    <definedName name="rng_817_610">'610'!$B$1569:$I$1621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'600'!$A$221:$Q$221</definedName>
    <definedName name="titulo_102_610">'610'!$A$541:$J$541</definedName>
    <definedName name="titulo_108_600">'600'!$A$243:$Q$243</definedName>
    <definedName name="titulo_108_610">'610'!$A$595:$J$595</definedName>
    <definedName name="titulo_109_600">'600'!$A$265:$Q$265</definedName>
    <definedName name="titulo_109_610">'610'!$A$649:$J$649</definedName>
    <definedName name="titulo_201_600">'600'!$A$1:$M$1</definedName>
    <definedName name="titulo_201_605">'605'!$A$1:$G$1</definedName>
    <definedName name="titulo_201_610">'610'!$A$1:$J$1</definedName>
    <definedName name="titulo_202_600">'600'!$A$23:$M$23</definedName>
    <definedName name="titulo_202_605">'605'!$A$72:$G$72</definedName>
    <definedName name="titulo_202_610">'610'!$A$55:$J$55</definedName>
    <definedName name="titulo_203_600">'600'!$A$45:$M$45</definedName>
    <definedName name="titulo_203_603">'605'!$A$143:$G$143</definedName>
    <definedName name="titulo_203_610">'610'!$A$109:$J$109</definedName>
    <definedName name="titulo_204_600">'600'!$A$67:$M$67</definedName>
    <definedName name="titulo_204_605">'605'!$A$214:$G$214</definedName>
    <definedName name="titulo_204_610">'610'!$A$163:$J$163</definedName>
    <definedName name="titulo_208_600">'600'!$A$89:$M$89</definedName>
    <definedName name="titulo_208_605">'605'!$A$285:$G$285</definedName>
    <definedName name="titulo_208_610">'610'!$A$217:$J$217</definedName>
    <definedName name="titulo_301_600">'600'!$A$287:$R$287</definedName>
    <definedName name="titulo_301_605">'605'!$A$707:$G$707</definedName>
    <definedName name="titulo_301_610">'610'!$A$703:$J$703</definedName>
    <definedName name="titulo_303_600">'600'!$A$309:$R$309</definedName>
    <definedName name="titulo_303_605">'605'!$A$780:$G$780</definedName>
    <definedName name="titulo_303_610">'610'!$A$757:$J$757</definedName>
    <definedName name="titulo_305_600">'600'!$A$331:$J$331</definedName>
    <definedName name="titulo_305_605">'605'!$A$853:$G$853</definedName>
    <definedName name="titulo_305_610">'610'!$A$812:$J$812</definedName>
    <definedName name="titulo_307_600">'600'!$A$353:$R$353</definedName>
    <definedName name="titulo_307_605">'605'!$A$926:$G$926</definedName>
    <definedName name="titulo_307_610">'610'!$A$866:$J$866</definedName>
    <definedName name="titulo_309_600">'600'!$A$375:$R$375</definedName>
    <definedName name="titulo_309_605">'605'!$A$999:$G$999</definedName>
    <definedName name="titulo_309_610">'610'!$A$920:$J$920</definedName>
    <definedName name="titulo_312_600">'600'!$A$397:$R$397</definedName>
    <definedName name="titulo_312_605">'605'!$A$1072:$G$1072</definedName>
    <definedName name="titulo_312_610">'610'!$A$974:$J$974</definedName>
    <definedName name="titulo_503_600">'600'!$A$133:$T$133</definedName>
    <definedName name="titulo_503_605">'605'!$A$427:$G$427</definedName>
    <definedName name="titulo_503_610">'610'!$A$325:$J$325</definedName>
    <definedName name="titulo_506_600">'600'!$A$155:$T$155</definedName>
    <definedName name="titulo_506_605">'605'!$A$497:$G$497</definedName>
    <definedName name="titulo_506_610">'610'!$A$379:$J$379</definedName>
    <definedName name="titulo_508_600">'600'!$A$177:$T$177</definedName>
    <definedName name="titulo_508_605">'605'!$A$567:$G$567</definedName>
    <definedName name="titulo_508_610">'610'!$A$433:$J$433</definedName>
    <definedName name="titulo_512_600">'600'!$A$199:$T$199</definedName>
    <definedName name="titulo_512_605">'605'!$A$637:$G$637</definedName>
    <definedName name="titulo_512_610">'610'!$A$487:$J$487</definedName>
    <definedName name="titulo_602_600">'600'!$A$111:$M$111</definedName>
    <definedName name="titulo_602_605">'605'!$A$356:$G$356</definedName>
    <definedName name="titulo_602_610">'610'!$A$271:$J$271</definedName>
    <definedName name="titulo_613_600">'600'!$A$419:$T$419</definedName>
    <definedName name="titulo_613_610">'610'!$A$1028:$J$1028</definedName>
    <definedName name="titulo_613_650">'605'!$A$1145:$G$1145</definedName>
    <definedName name="titulo_615_600">'600'!$A$441:$T$441</definedName>
    <definedName name="titulo_615_610">'610'!$A$1082:$J$1082</definedName>
    <definedName name="titulo_615_650">'605'!$A$1210:$G$1210</definedName>
    <definedName name="titulo_804_600">'600'!$A$463:$Q$463</definedName>
    <definedName name="titulo_804_605">'605'!$A$1275:$G$1275</definedName>
    <definedName name="titulo_804_610">'610'!$A$1136:$J$1136</definedName>
    <definedName name="titulo_805_600">'600'!$A$486:$Q$486</definedName>
    <definedName name="titulo_805_605">'605'!$A$1348:$G$1348</definedName>
    <definedName name="titulo_805_610">'610'!$A$1190:$J$1190</definedName>
    <definedName name="titulo_807_600">'600'!$A$509:$Q$509</definedName>
    <definedName name="titulo_807_605">'605'!$A$1421:$G$1421</definedName>
    <definedName name="titulo_807_610">'610'!$A$1244:$J$1244</definedName>
    <definedName name="titulo_808_600">'600'!$A$531:$Q$531</definedName>
    <definedName name="titulo_808_605">'605'!$A$1494:$G$1494</definedName>
    <definedName name="titulo_808_610">'610'!$A$1298:$J$1298</definedName>
    <definedName name="titulo_811_600">'600'!$A$553:$Q$553</definedName>
    <definedName name="titulo_811_605">'605'!$A$1567:$G$1567</definedName>
    <definedName name="titulo_811_610">'610'!$A$1352:$J$1352</definedName>
    <definedName name="titulo_812_600">'600'!$A$576:$Q$576</definedName>
    <definedName name="titulo_812_605">'605'!$A$1640:$G$1640</definedName>
    <definedName name="titulo_812_610">'610'!$A$1406:$J$1406</definedName>
    <definedName name="titulo_813_600">'600'!$A$598:$Q$598</definedName>
    <definedName name="titulo_813_605">'605'!$A$1713:$G$1713</definedName>
    <definedName name="titulo_813_610">'610'!$A$1460:$J$1460</definedName>
    <definedName name="titulo_816_600">'600'!$A$621:$Q$621</definedName>
    <definedName name="titulo_816_605">'605'!$A$1786:$G$1786</definedName>
    <definedName name="titulo_816_610">'610'!$A$1514:$J$1514</definedName>
    <definedName name="titulo_817_600">'600'!$A$643:$Q$643</definedName>
    <definedName name="titulo_817_605">'605'!$A$1859:$G$1859</definedName>
    <definedName name="titulo_817_610">'610'!$A$1568:$J$1568</definedName>
    <definedName name="Z_B1EDEF4C_89DF_4126_A83B_947936932253_.wvu.Cols" localSheetId="5" hidden="1">Costos_Gastos!$I:$L</definedName>
    <definedName name="Z_B1EDEF4C_89DF_4126_A83B_947936932253_.wvu.PrintArea" localSheetId="5" hidden="1">Costos_Gastos!$A$1:$L$43</definedName>
    <definedName name="Z_B1EDEF4C_89DF_4126_A83B_947936932253_.wvu.PrintArea" localSheetId="6" hidden="1">Tendencias!#REF!</definedName>
    <definedName name="Z_B1EDEF4C_89DF_4126_A83B_947936932253_.wvu.Rows" localSheetId="6" hidden="1">Tendencias!$225:$302,Tendencias!$316:$392,Tendencias!$410:$454,Tendencias!$473:$487,Tendencias!$503:$534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0" i="1" l="1"/>
  <c r="G68" i="1"/>
  <c r="I70" i="1"/>
  <c r="I68" i="1"/>
  <c r="I64" i="1"/>
  <c r="I63" i="1"/>
  <c r="I59" i="1"/>
  <c r="I58" i="1"/>
  <c r="I57" i="1"/>
  <c r="I56" i="1"/>
  <c r="I55" i="1"/>
  <c r="I52" i="1"/>
  <c r="I51" i="1"/>
  <c r="I47" i="1"/>
  <c r="I46" i="1"/>
  <c r="I45" i="1"/>
  <c r="I42" i="1"/>
  <c r="I41" i="1"/>
  <c r="AC5" i="15"/>
  <c r="N5" i="15" l="1"/>
  <c r="G41" i="1" s="1"/>
  <c r="CD49" i="8" l="1"/>
  <c r="CD48" i="8"/>
  <c r="CD44" i="8"/>
  <c r="CD43" i="8"/>
  <c r="CD42" i="8"/>
  <c r="CD38" i="8"/>
  <c r="CD37" i="8"/>
  <c r="CD36" i="8"/>
  <c r="CD33" i="8"/>
  <c r="CD32" i="8"/>
  <c r="CD5" i="8"/>
  <c r="BV5" i="8" s="1"/>
  <c r="CB49" i="8"/>
  <c r="CB48" i="8"/>
  <c r="CB44" i="8"/>
  <c r="CB43" i="8"/>
  <c r="CB42" i="8"/>
  <c r="CB38" i="8"/>
  <c r="CB37" i="8"/>
  <c r="CB36" i="8"/>
  <c r="CB33" i="8"/>
  <c r="BV33" i="8" s="1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V37" i="8" s="1"/>
  <c r="BX36" i="8"/>
  <c r="BX33" i="8"/>
  <c r="BX32" i="8"/>
  <c r="BV49" i="8"/>
  <c r="BV42" i="8"/>
  <c r="BV2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BV10" i="8" s="1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V6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5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5" i="8"/>
  <c r="AP44" i="8"/>
  <c r="AP43" i="8"/>
  <c r="AP42" i="8"/>
  <c r="AP39" i="8"/>
  <c r="AP38" i="8"/>
  <c r="AP37" i="8"/>
  <c r="AP36" i="8"/>
  <c r="AP33" i="8"/>
  <c r="AP31" i="8"/>
  <c r="AP32" i="8"/>
  <c r="AP24" i="8"/>
  <c r="AR51" i="8"/>
  <c r="AR50" i="8"/>
  <c r="AR46" i="8"/>
  <c r="AR45" i="8"/>
  <c r="AR44" i="8"/>
  <c r="AR43" i="8"/>
  <c r="AR42" i="8"/>
  <c r="AR38" i="8"/>
  <c r="AR37" i="8"/>
  <c r="AR36" i="8"/>
  <c r="AR33" i="8"/>
  <c r="AR31" i="8"/>
  <c r="AR32" i="8"/>
  <c r="AR24" i="8"/>
  <c r="AR23" i="8"/>
  <c r="AR19" i="8"/>
  <c r="AR18" i="8"/>
  <c r="AR17" i="8"/>
  <c r="AR16" i="8"/>
  <c r="AR15" i="8"/>
  <c r="AR11" i="8"/>
  <c r="AR10" i="8"/>
  <c r="AR9" i="8"/>
  <c r="AR6" i="8"/>
  <c r="AR5" i="8"/>
  <c r="AR4" i="8"/>
  <c r="AP23" i="8"/>
  <c r="AP19" i="8"/>
  <c r="AP18" i="8"/>
  <c r="AP17" i="8"/>
  <c r="AP16" i="8"/>
  <c r="AP15" i="8"/>
  <c r="AP11" i="8"/>
  <c r="AP10" i="8"/>
  <c r="AP9" i="8"/>
  <c r="AP6" i="8"/>
  <c r="AP5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2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7" i="8"/>
  <c r="AL36" i="8"/>
  <c r="AL33" i="8"/>
  <c r="AL32" i="8"/>
  <c r="AL31" i="8"/>
  <c r="AL24" i="8"/>
  <c r="AL23" i="8"/>
  <c r="AL19" i="8"/>
  <c r="AL18" i="8"/>
  <c r="AL17" i="8"/>
  <c r="AL16" i="8"/>
  <c r="AL15" i="8"/>
  <c r="AL11" i="8"/>
  <c r="AL10" i="8"/>
  <c r="AL9" i="8"/>
  <c r="AL6" i="8"/>
  <c r="AL5" i="8"/>
  <c r="AL4" i="8"/>
  <c r="AJ32" i="8"/>
  <c r="AF51" i="8"/>
  <c r="AF50" i="8"/>
  <c r="AF46" i="8"/>
  <c r="AF45" i="8"/>
  <c r="AF44" i="8"/>
  <c r="AF43" i="8"/>
  <c r="AF42" i="8"/>
  <c r="AF38" i="8"/>
  <c r="AF37" i="8"/>
  <c r="AF36" i="8"/>
  <c r="AF33" i="8"/>
  <c r="AF31" i="8"/>
  <c r="AF32" i="8"/>
  <c r="AF24" i="8"/>
  <c r="AJ51" i="8"/>
  <c r="AJ50" i="8"/>
  <c r="AJ46" i="8"/>
  <c r="AJ45" i="8"/>
  <c r="AJ44" i="8"/>
  <c r="AJ43" i="8"/>
  <c r="AJ42" i="8"/>
  <c r="AJ38" i="8"/>
  <c r="AJ37" i="8"/>
  <c r="AJ36" i="8"/>
  <c r="AJ33" i="8"/>
  <c r="AJ24" i="8"/>
  <c r="AJ23" i="8"/>
  <c r="AJ19" i="8"/>
  <c r="AJ18" i="8"/>
  <c r="AJ17" i="8"/>
  <c r="AJ16" i="8"/>
  <c r="AJ15" i="8"/>
  <c r="AJ11" i="8"/>
  <c r="AJ10" i="8"/>
  <c r="AJ9" i="8"/>
  <c r="AJ6" i="8"/>
  <c r="AJ31" i="8"/>
  <c r="AJ5" i="8"/>
  <c r="AH51" i="8"/>
  <c r="AH50" i="8"/>
  <c r="AH46" i="8"/>
  <c r="AH45" i="8"/>
  <c r="AH44" i="8"/>
  <c r="AH43" i="8"/>
  <c r="AH42" i="8"/>
  <c r="AH39" i="8"/>
  <c r="AH38" i="8"/>
  <c r="AH37" i="8"/>
  <c r="AH36" i="8"/>
  <c r="AH33" i="8"/>
  <c r="AH31" i="8"/>
  <c r="AH32" i="8"/>
  <c r="AH23" i="8"/>
  <c r="AH24" i="8"/>
  <c r="AH19" i="8"/>
  <c r="AH18" i="8"/>
  <c r="AH17" i="8"/>
  <c r="AH16" i="8"/>
  <c r="AH15" i="8"/>
  <c r="AH11" i="8"/>
  <c r="AH10" i="8"/>
  <c r="AH9" i="8"/>
  <c r="AH6" i="8"/>
  <c r="AH5" i="8"/>
  <c r="AH4" i="8"/>
  <c r="AF23" i="8"/>
  <c r="AF19" i="8"/>
  <c r="AF18" i="8"/>
  <c r="AF17" i="8"/>
  <c r="AF16" i="8"/>
  <c r="AF15" i="8"/>
  <c r="AF11" i="8"/>
  <c r="AF10" i="8"/>
  <c r="AF9" i="8"/>
  <c r="AF6" i="8"/>
  <c r="AF5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9" i="8"/>
  <c r="W38" i="8"/>
  <c r="W37" i="8"/>
  <c r="W36" i="8"/>
  <c r="W34" i="8"/>
  <c r="W33" i="8"/>
  <c r="W32" i="8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9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4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20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BV32" i="8" l="1"/>
  <c r="BV38" i="8"/>
  <c r="BV48" i="8"/>
  <c r="BV44" i="8"/>
  <c r="BV43" i="8"/>
  <c r="BV36" i="8"/>
  <c r="BV16" i="8"/>
  <c r="BV9" i="8"/>
  <c r="BV21" i="8"/>
  <c r="BV17" i="8"/>
  <c r="BV15" i="8"/>
  <c r="BV11" i="8"/>
  <c r="U20" i="8"/>
  <c r="I51" i="8"/>
  <c r="I50" i="8"/>
  <c r="I46" i="8"/>
  <c r="I45" i="8"/>
  <c r="I44" i="8"/>
  <c r="I43" i="8"/>
  <c r="I42" i="8"/>
  <c r="I38" i="8"/>
  <c r="I37" i="8"/>
  <c r="I36" i="8"/>
  <c r="I33" i="8"/>
  <c r="I31" i="8"/>
  <c r="G51" i="8"/>
  <c r="G50" i="8"/>
  <c r="G46" i="8"/>
  <c r="G45" i="8"/>
  <c r="G44" i="8"/>
  <c r="G43" i="8"/>
  <c r="G47" i="8" s="1"/>
  <c r="G42" i="8"/>
  <c r="G38" i="8"/>
  <c r="G37" i="8"/>
  <c r="G36" i="8"/>
  <c r="G33" i="8"/>
  <c r="G34" i="8" s="1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C5" i="8"/>
  <c r="E51" i="8"/>
  <c r="E50" i="8"/>
  <c r="E46" i="8"/>
  <c r="E45" i="8"/>
  <c r="E44" i="8"/>
  <c r="E43" i="8"/>
  <c r="E42" i="8"/>
  <c r="E38" i="8"/>
  <c r="E37" i="8"/>
  <c r="E36" i="8"/>
  <c r="E39" i="8" s="1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BV18" i="8" l="1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9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H11" i="9"/>
  <c r="G11" i="9"/>
  <c r="F11" i="9"/>
  <c r="D11" i="9"/>
  <c r="C11" i="9"/>
  <c r="E11" i="9"/>
  <c r="E10" i="9"/>
  <c r="E9" i="9"/>
  <c r="E8" i="9"/>
  <c r="E7" i="9"/>
  <c r="E6" i="9"/>
  <c r="E5" i="9"/>
  <c r="E4" i="9"/>
  <c r="H56" i="9" l="1"/>
  <c r="C56" i="9"/>
  <c r="H55" i="9"/>
  <c r="G55" i="9"/>
  <c r="F55" i="9"/>
  <c r="E55" i="9"/>
  <c r="D55" i="9"/>
  <c r="C55" i="9"/>
  <c r="H39" i="9"/>
  <c r="G39" i="9"/>
  <c r="F39" i="9"/>
  <c r="E39" i="9"/>
  <c r="D39" i="9"/>
  <c r="D56" i="9" s="1"/>
  <c r="C39" i="9"/>
  <c r="H47" i="9"/>
  <c r="F47" i="9"/>
  <c r="F56" i="9" s="1"/>
  <c r="E47" i="9"/>
  <c r="D47" i="9"/>
  <c r="C47" i="9"/>
  <c r="H29" i="9"/>
  <c r="H30" i="9" s="1"/>
  <c r="G29" i="9"/>
  <c r="G30" i="9" s="1"/>
  <c r="F29" i="9"/>
  <c r="F30" i="9" s="1"/>
  <c r="E29" i="9"/>
  <c r="E30" i="9" s="1"/>
  <c r="D29" i="9"/>
  <c r="D30" i="9" s="1"/>
  <c r="C29" i="9"/>
  <c r="C30" i="9" s="1"/>
  <c r="O30" i="4"/>
  <c r="E56" i="9" l="1"/>
  <c r="G47" i="9"/>
  <c r="G56" i="9" s="1"/>
  <c r="M134" i="1" l="1"/>
  <c r="K134" i="1"/>
  <c r="E134" i="1"/>
  <c r="C134" i="1"/>
  <c r="M132" i="1"/>
  <c r="K132" i="1"/>
  <c r="E132" i="1"/>
  <c r="C132" i="1"/>
  <c r="I134" i="1" l="1"/>
  <c r="G134" i="1"/>
  <c r="I132" i="1"/>
  <c r="G132" i="1"/>
  <c r="AC87" i="15" l="1"/>
  <c r="AC86" i="15"/>
  <c r="AC85" i="15"/>
  <c r="AC84" i="15"/>
  <c r="AC82" i="15"/>
  <c r="AC81" i="15"/>
  <c r="AC80" i="15"/>
  <c r="AC79" i="15"/>
  <c r="AC78" i="15"/>
  <c r="AC77" i="15"/>
  <c r="AC76" i="15"/>
  <c r="AC74" i="15"/>
  <c r="AC73" i="15"/>
  <c r="AC72" i="15"/>
  <c r="AC71" i="15"/>
  <c r="AC70" i="15"/>
  <c r="AC68" i="15"/>
  <c r="AC67" i="15"/>
  <c r="AC66" i="15"/>
  <c r="AC61" i="15"/>
  <c r="AC60" i="15"/>
  <c r="AC59" i="15"/>
  <c r="AC58" i="15"/>
  <c r="AC56" i="15"/>
  <c r="AC55" i="15"/>
  <c r="AC54" i="15"/>
  <c r="AC53" i="15"/>
  <c r="AC52" i="15"/>
  <c r="AC51" i="15"/>
  <c r="AC50" i="15"/>
  <c r="AC48" i="15"/>
  <c r="AC47" i="15"/>
  <c r="AC46" i="15"/>
  <c r="AC45" i="15"/>
  <c r="AC44" i="15"/>
  <c r="AC42" i="15"/>
  <c r="AC41" i="15"/>
  <c r="AC40" i="15"/>
  <c r="AC35" i="15"/>
  <c r="AC34" i="15"/>
  <c r="AC33" i="15"/>
  <c r="AC32" i="15"/>
  <c r="AC31" i="15"/>
  <c r="AC30" i="15"/>
  <c r="AC29" i="15"/>
  <c r="AC28" i="15"/>
  <c r="AC27" i="15"/>
  <c r="AC25" i="15"/>
  <c r="AC24" i="15"/>
  <c r="AC23" i="15"/>
  <c r="AC22" i="15"/>
  <c r="AC21" i="15"/>
  <c r="AC20" i="15"/>
  <c r="AC19" i="15"/>
  <c r="AC17" i="15"/>
  <c r="AC16" i="15"/>
  <c r="AC15" i="15"/>
  <c r="AC14" i="15"/>
  <c r="AC12" i="15"/>
  <c r="AC11" i="15"/>
  <c r="AC10" i="15"/>
  <c r="AC9" i="15"/>
  <c r="AC7" i="15"/>
  <c r="AC6" i="15"/>
  <c r="N87" i="15"/>
  <c r="N86" i="15"/>
  <c r="N85" i="15"/>
  <c r="N84" i="15"/>
  <c r="N82" i="15"/>
  <c r="N81" i="15"/>
  <c r="N80" i="15"/>
  <c r="N79" i="15"/>
  <c r="N78" i="15"/>
  <c r="N77" i="15"/>
  <c r="N76" i="15"/>
  <c r="N74" i="15"/>
  <c r="N73" i="15"/>
  <c r="N72" i="15"/>
  <c r="N71" i="15"/>
  <c r="N70" i="15"/>
  <c r="N68" i="15"/>
  <c r="N67" i="15"/>
  <c r="N66" i="15"/>
  <c r="N61" i="15"/>
  <c r="N60" i="15"/>
  <c r="N59" i="15"/>
  <c r="N58" i="15"/>
  <c r="N56" i="15"/>
  <c r="N55" i="15"/>
  <c r="N54" i="15"/>
  <c r="N53" i="15"/>
  <c r="N52" i="15"/>
  <c r="N51" i="15"/>
  <c r="N50" i="15"/>
  <c r="N48" i="15"/>
  <c r="N47" i="15"/>
  <c r="N46" i="15"/>
  <c r="N45" i="15"/>
  <c r="N44" i="15"/>
  <c r="N42" i="15"/>
  <c r="N41" i="15"/>
  <c r="N40" i="15"/>
  <c r="N35" i="15"/>
  <c r="N34" i="15"/>
  <c r="N33" i="15"/>
  <c r="N32" i="15"/>
  <c r="N31" i="15"/>
  <c r="N30" i="15"/>
  <c r="N29" i="15"/>
  <c r="N28" i="15"/>
  <c r="G64" i="1" s="1"/>
  <c r="N27" i="15"/>
  <c r="G63" i="1" s="1"/>
  <c r="N25" i="15"/>
  <c r="N24" i="15"/>
  <c r="N23" i="15"/>
  <c r="N22" i="15"/>
  <c r="G58" i="1" s="1"/>
  <c r="N21" i="15"/>
  <c r="G57" i="1" s="1"/>
  <c r="N20" i="15"/>
  <c r="G56" i="1" s="1"/>
  <c r="N19" i="15"/>
  <c r="N17" i="15"/>
  <c r="N16" i="15"/>
  <c r="G52" i="1" s="1"/>
  <c r="N15" i="15"/>
  <c r="G51" i="1" s="1"/>
  <c r="N14" i="15"/>
  <c r="N12" i="15"/>
  <c r="N11" i="15"/>
  <c r="G47" i="1" s="1"/>
  <c r="N10" i="15"/>
  <c r="G46" i="1" s="1"/>
  <c r="N9" i="15"/>
  <c r="G45" i="1" s="1"/>
  <c r="N7" i="15"/>
  <c r="N6" i="15"/>
  <c r="G42" i="1" s="1"/>
  <c r="G59" i="1" l="1"/>
  <c r="G123" i="1" s="1"/>
  <c r="G55" i="1"/>
  <c r="G119" i="1" s="1"/>
  <c r="I119" i="1"/>
  <c r="I123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D40" i="8" s="1"/>
  <c r="CD51" i="8" s="1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P40" i="8" s="1"/>
  <c r="BP51" i="8" s="1"/>
  <c r="BN39" i="8"/>
  <c r="BL39" i="8"/>
  <c r="BL40" i="8" s="1"/>
  <c r="BL51" i="8" s="1"/>
  <c r="BJ39" i="8"/>
  <c r="BP34" i="8"/>
  <c r="BN34" i="8"/>
  <c r="BL34" i="8"/>
  <c r="BJ34" i="8"/>
  <c r="CD46" i="8" l="1"/>
  <c r="CD50" i="8" s="1"/>
  <c r="CB40" i="8"/>
  <c r="BZ46" i="8"/>
  <c r="BZ50" i="8" s="1"/>
  <c r="BV40" i="8"/>
  <c r="BV51" i="8" s="1"/>
  <c r="BX40" i="8"/>
  <c r="BX51" i="8" s="1"/>
  <c r="BP46" i="8"/>
  <c r="BP50" i="8" s="1"/>
  <c r="BN40" i="8"/>
  <c r="BN51" i="8" s="1"/>
  <c r="BL46" i="8"/>
  <c r="BL50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G19" i="1" s="1"/>
  <c r="G120" i="1" s="1"/>
  <c r="BL18" i="8"/>
  <c r="CB51" i="8" l="1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BA13" i="8" s="1"/>
  <c r="BA26" i="8" s="1"/>
  <c r="AY12" i="8"/>
  <c r="BA7" i="8"/>
  <c r="AY7" i="8"/>
  <c r="AY13" i="8" s="1"/>
  <c r="AY26" i="8" s="1"/>
  <c r="AO52" i="8"/>
  <c r="AR47" i="8"/>
  <c r="AP47" i="8"/>
  <c r="AN47" i="8"/>
  <c r="AL47" i="8"/>
  <c r="AJ47" i="8"/>
  <c r="AH47" i="8"/>
  <c r="AF47" i="8"/>
  <c r="AR39" i="8"/>
  <c r="AN39" i="8"/>
  <c r="AL39" i="8"/>
  <c r="AL40" i="8" s="1"/>
  <c r="AL53" i="8" s="1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P12" i="8"/>
  <c r="AN12" i="8"/>
  <c r="AN13" i="8" s="1"/>
  <c r="AN26" i="8" s="1"/>
  <c r="AL12" i="8"/>
  <c r="AJ12" i="8"/>
  <c r="AK12" i="8" s="1"/>
  <c r="AH12" i="8"/>
  <c r="AI12" i="8" s="1"/>
  <c r="AF12" i="8"/>
  <c r="AG12" i="8"/>
  <c r="AO12" i="8"/>
  <c r="AO13" i="8"/>
  <c r="AQ12" i="8"/>
  <c r="AS12" i="8"/>
  <c r="AR7" i="8"/>
  <c r="AR13" i="8" s="1"/>
  <c r="AR26" i="8" s="1"/>
  <c r="AP7" i="8"/>
  <c r="AN7" i="8"/>
  <c r="AL7" i="8"/>
  <c r="AJ7" i="8"/>
  <c r="AH7" i="8"/>
  <c r="AF7" i="8"/>
  <c r="AF13" i="8" s="1"/>
  <c r="Y47" i="8"/>
  <c r="W47" i="8"/>
  <c r="U47" i="8"/>
  <c r="S47" i="8"/>
  <c r="Q47" i="8"/>
  <c r="O47" i="8"/>
  <c r="Y39" i="8"/>
  <c r="Y40" i="8" s="1"/>
  <c r="Y53" i="8" s="1"/>
  <c r="U39" i="8"/>
  <c r="Q39" i="8"/>
  <c r="O39" i="8"/>
  <c r="Y34" i="8"/>
  <c r="U34" i="8"/>
  <c r="S34" i="8"/>
  <c r="O34" i="8"/>
  <c r="N196" i="12"/>
  <c r="N199" i="12"/>
  <c r="N200" i="12"/>
  <c r="N201" i="12"/>
  <c r="N202" i="12"/>
  <c r="N203" i="12"/>
  <c r="BF18" i="1"/>
  <c r="BF55" i="1"/>
  <c r="Y12" i="8"/>
  <c r="W12" i="8"/>
  <c r="U12" i="8"/>
  <c r="S12" i="8"/>
  <c r="Q12" i="8"/>
  <c r="O12" i="8"/>
  <c r="Y7" i="8"/>
  <c r="W7" i="8"/>
  <c r="U7" i="8"/>
  <c r="U13" i="8" s="1"/>
  <c r="S7" i="8"/>
  <c r="Q7" i="8"/>
  <c r="O7" i="8"/>
  <c r="W20" i="8"/>
  <c r="S20" i="8"/>
  <c r="Q20" i="8"/>
  <c r="O20" i="8"/>
  <c r="I20" i="8"/>
  <c r="G20" i="8"/>
  <c r="E20" i="8"/>
  <c r="C20" i="8"/>
  <c r="I47" i="8"/>
  <c r="E47" i="8"/>
  <c r="C47" i="8"/>
  <c r="BN13" i="8" l="1"/>
  <c r="BL24" i="8"/>
  <c r="BL19" i="8"/>
  <c r="BL23" i="8" s="1"/>
  <c r="BJ13" i="8"/>
  <c r="BH13" i="8"/>
  <c r="BH24" i="8"/>
  <c r="BH19" i="8"/>
  <c r="BH23" i="8" s="1"/>
  <c r="BA40" i="8"/>
  <c r="BA53" i="8" s="1"/>
  <c r="BA21" i="8"/>
  <c r="BA25" i="8" s="1"/>
  <c r="AY40" i="8"/>
  <c r="AY53" i="8" s="1"/>
  <c r="AY21" i="8"/>
  <c r="AY25" i="8" s="1"/>
  <c r="AP40" i="8"/>
  <c r="AP53" i="8" s="1"/>
  <c r="AR40" i="8"/>
  <c r="AR53" i="8" s="1"/>
  <c r="AR48" i="8"/>
  <c r="AR52" i="8" s="1"/>
  <c r="AS52" i="8" s="1"/>
  <c r="AR21" i="8"/>
  <c r="AR25" i="8" s="1"/>
  <c r="AP13" i="8"/>
  <c r="AQ13" i="8" s="1"/>
  <c r="AN40" i="8"/>
  <c r="AN21" i="8"/>
  <c r="AN25" i="8" s="1"/>
  <c r="AL48" i="8"/>
  <c r="AL52" i="8" s="1"/>
  <c r="AM52" i="8" s="1"/>
  <c r="AL13" i="8"/>
  <c r="AF40" i="8"/>
  <c r="AJ40" i="8"/>
  <c r="AJ53" i="8" s="1"/>
  <c r="AJ48" i="8"/>
  <c r="AJ52" i="8" s="1"/>
  <c r="AK52" i="8" s="1"/>
  <c r="AJ13" i="8"/>
  <c r="AK13" i="8" s="1"/>
  <c r="AH40" i="8"/>
  <c r="AH53" i="8" s="1"/>
  <c r="AH13" i="8"/>
  <c r="AI13" i="8" s="1"/>
  <c r="AH26" i="8"/>
  <c r="AH21" i="8"/>
  <c r="AH25" i="8" s="1"/>
  <c r="AF21" i="8"/>
  <c r="AF25" i="8" s="1"/>
  <c r="AG13" i="8"/>
  <c r="AF26" i="8"/>
  <c r="Y48" i="8"/>
  <c r="Y52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U26" i="8"/>
  <c r="U21" i="8"/>
  <c r="U25" i="8" s="1"/>
  <c r="S13" i="8"/>
  <c r="S26" i="8" s="1"/>
  <c r="S21" i="8"/>
  <c r="S25" i="8" s="1"/>
  <c r="Q13" i="8"/>
  <c r="Q21" i="8" s="1"/>
  <c r="Q25" i="8" s="1"/>
  <c r="O13" i="8"/>
  <c r="O26" i="8" s="1"/>
  <c r="AM12" i="8"/>
  <c r="AS13" i="8"/>
  <c r="BN24" i="8" l="1"/>
  <c r="BN19" i="8"/>
  <c r="BN23" i="8" s="1"/>
  <c r="BJ24" i="8"/>
  <c r="BJ19" i="8"/>
  <c r="BJ23" i="8" s="1"/>
  <c r="BA48" i="8"/>
  <c r="BA52" i="8" s="1"/>
  <c r="AY48" i="8"/>
  <c r="AY52" i="8" s="1"/>
  <c r="AP48" i="8"/>
  <c r="AP52" i="8" s="1"/>
  <c r="AQ52" i="8" s="1"/>
  <c r="AP26" i="8"/>
  <c r="AP21" i="8"/>
  <c r="AP25" i="8" s="1"/>
  <c r="AN48" i="8"/>
  <c r="AN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O21" i="8"/>
  <c r="O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G48" i="8"/>
  <c r="G52" i="8" s="1"/>
  <c r="I196" i="12"/>
  <c r="AZ37" i="8"/>
  <c r="I48" i="8" l="1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H7" i="6"/>
  <c r="G7" i="6"/>
  <c r="F7" i="6"/>
  <c r="E7" i="6"/>
  <c r="D7" i="6"/>
  <c r="C7" i="6"/>
  <c r="H6" i="6"/>
  <c r="G6" i="6"/>
  <c r="F6" i="6"/>
  <c r="E6" i="6"/>
  <c r="D6" i="6"/>
  <c r="C6" i="6"/>
  <c r="H9" i="6"/>
  <c r="G9" i="6"/>
  <c r="D9" i="6"/>
  <c r="C9" i="6"/>
  <c r="C10" i="6"/>
  <c r="H10" i="6"/>
  <c r="G10" i="6"/>
  <c r="F10" i="6"/>
  <c r="E10" i="6"/>
  <c r="D10" i="6"/>
  <c r="E9" i="6"/>
  <c r="F9" i="6"/>
  <c r="C15" i="1" l="1"/>
  <c r="K5" i="8" l="1"/>
  <c r="C4" i="1" l="1"/>
  <c r="D4" i="1" s="1"/>
  <c r="C39" i="8"/>
  <c r="C34" i="8"/>
  <c r="C12" i="8"/>
  <c r="C7" i="8"/>
  <c r="C40" i="8" l="1"/>
  <c r="C53" i="8"/>
  <c r="C48" i="8"/>
  <c r="C52" i="8" s="1"/>
  <c r="C13" i="8"/>
  <c r="C21" i="8" s="1"/>
  <c r="C25" i="8" s="1"/>
  <c r="AA37" i="8"/>
  <c r="E46" i="1" s="1"/>
  <c r="E114" i="1" s="1"/>
  <c r="AA36" i="8"/>
  <c r="AC37" i="8"/>
  <c r="AC36" i="8"/>
  <c r="AA33" i="8"/>
  <c r="E42" i="1" s="1"/>
  <c r="E110" i="1" s="1"/>
  <c r="AC33" i="8"/>
  <c r="AA32" i="8"/>
  <c r="AC32" i="8"/>
  <c r="AA11" i="8"/>
  <c r="E10" i="1" s="1"/>
  <c r="AA10" i="8"/>
  <c r="E9" i="1" s="1"/>
  <c r="AC10" i="8"/>
  <c r="AA9" i="8"/>
  <c r="AC9" i="8"/>
  <c r="AA6" i="8"/>
  <c r="E5" i="1" s="1"/>
  <c r="D8" i="6" s="1"/>
  <c r="AC6" i="8"/>
  <c r="AA5" i="8"/>
  <c r="AC5" i="8"/>
  <c r="E45" i="1" l="1"/>
  <c r="E113" i="1" s="1"/>
  <c r="E41" i="1"/>
  <c r="AA34" i="8"/>
  <c r="E8" i="1"/>
  <c r="AA12" i="8"/>
  <c r="E4" i="1"/>
  <c r="E77" i="1" s="1"/>
  <c r="AA7" i="8"/>
  <c r="C26" i="8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2" i="12"/>
  <c r="E261" i="12"/>
  <c r="E260" i="12"/>
  <c r="E259" i="12"/>
  <c r="E258" i="12"/>
  <c r="E257" i="12"/>
  <c r="E253" i="12"/>
  <c r="E248" i="12"/>
  <c r="E252" i="12"/>
  <c r="E251" i="12"/>
  <c r="E250" i="12"/>
  <c r="E249" i="12"/>
  <c r="E247" i="12"/>
  <c r="E244" i="12"/>
  <c r="G244" i="12"/>
  <c r="F42" i="1" l="1"/>
  <c r="F41" i="1"/>
  <c r="E109" i="1"/>
  <c r="AA13" i="8"/>
  <c r="AA26" i="8" s="1"/>
  <c r="E254" i="12"/>
  <c r="N34" i="4"/>
  <c r="M174" i="4" l="1"/>
  <c r="O175" i="4"/>
  <c r="O176" i="4"/>
  <c r="O174" i="4"/>
  <c r="D206" i="4" l="1"/>
  <c r="D207" i="4"/>
  <c r="D208" i="4"/>
  <c r="D209" i="4"/>
  <c r="D205" i="4"/>
  <c r="Y109" i="1"/>
  <c r="Y77" i="1"/>
  <c r="AO128" i="1"/>
  <c r="AO127" i="1"/>
  <c r="AO124" i="1"/>
  <c r="AO123" i="1"/>
  <c r="AO122" i="1"/>
  <c r="AO121" i="1"/>
  <c r="AO120" i="1"/>
  <c r="AO119" i="1"/>
  <c r="AO115" i="1"/>
  <c r="AO114" i="1"/>
  <c r="AO113" i="1"/>
  <c r="AO110" i="1"/>
  <c r="AO109" i="1"/>
  <c r="AO96" i="1"/>
  <c r="AO95" i="1"/>
  <c r="AO92" i="1"/>
  <c r="AO91" i="1"/>
  <c r="AO90" i="1"/>
  <c r="AO89" i="1"/>
  <c r="AO88" i="1"/>
  <c r="AO87" i="1"/>
  <c r="AO83" i="1"/>
  <c r="AO82" i="1"/>
  <c r="AO81" i="1"/>
  <c r="AO78" i="1"/>
  <c r="AO77" i="1"/>
  <c r="AO60" i="1"/>
  <c r="AO59" i="1"/>
  <c r="AO55" i="1"/>
  <c r="AO54" i="1"/>
  <c r="AO53" i="1"/>
  <c r="AO52" i="1"/>
  <c r="AO51" i="1"/>
  <c r="AO47" i="1"/>
  <c r="AO46" i="1"/>
  <c r="AO45" i="1"/>
  <c r="AO42" i="1"/>
  <c r="AO41" i="1"/>
  <c r="AO23" i="1"/>
  <c r="AO22" i="1"/>
  <c r="AO18" i="1"/>
  <c r="AO17" i="1"/>
  <c r="AO16" i="1"/>
  <c r="AO15" i="1"/>
  <c r="AO14" i="1"/>
  <c r="AO10" i="1"/>
  <c r="AO9" i="1"/>
  <c r="AO8" i="1"/>
  <c r="AO5" i="1"/>
  <c r="AO4" i="1"/>
  <c r="Y23" i="1"/>
  <c r="Y22" i="1"/>
  <c r="Y19" i="1"/>
  <c r="Y18" i="1"/>
  <c r="Y17" i="1"/>
  <c r="Y16" i="1"/>
  <c r="Y15" i="1"/>
  <c r="Y14" i="1"/>
  <c r="Y10" i="1"/>
  <c r="Y9" i="1"/>
  <c r="Y8" i="1"/>
  <c r="Y5" i="1"/>
  <c r="Y4" i="1"/>
  <c r="Y60" i="1"/>
  <c r="Y59" i="1"/>
  <c r="Y55" i="1"/>
  <c r="Y54" i="1"/>
  <c r="Y53" i="1"/>
  <c r="Y52" i="1"/>
  <c r="Y51" i="1"/>
  <c r="Y47" i="1"/>
  <c r="Y46" i="1"/>
  <c r="Y45" i="1"/>
  <c r="Y42" i="1"/>
  <c r="Y41" i="1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I690" i="12"/>
  <c r="K690" i="12" s="1"/>
  <c r="I640" i="12"/>
  <c r="K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41" i="12"/>
  <c r="H441" i="12"/>
  <c r="G441" i="12"/>
  <c r="F441" i="12"/>
  <c r="E441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390" i="12"/>
  <c r="H390" i="12"/>
  <c r="G390" i="12"/>
  <c r="F390" i="12"/>
  <c r="E390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I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I375" i="12" s="1"/>
  <c r="H374" i="12"/>
  <c r="G374" i="12"/>
  <c r="F374" i="12"/>
  <c r="E374" i="12"/>
  <c r="H373" i="12"/>
  <c r="G373" i="12"/>
  <c r="F373" i="12"/>
  <c r="E373" i="12"/>
  <c r="I373" i="12" s="1"/>
  <c r="H372" i="12"/>
  <c r="G372" i="12"/>
  <c r="F372" i="12"/>
  <c r="E372" i="12"/>
  <c r="H371" i="12"/>
  <c r="G371" i="12"/>
  <c r="F371" i="12"/>
  <c r="E371" i="12"/>
  <c r="I371" i="12" s="1"/>
  <c r="J371" i="12" s="1"/>
  <c r="H682" i="12" s="1"/>
  <c r="H370" i="12"/>
  <c r="G370" i="12"/>
  <c r="F370" i="12"/>
  <c r="E370" i="12"/>
  <c r="H369" i="12"/>
  <c r="G369" i="12"/>
  <c r="F369" i="12"/>
  <c r="E369" i="12"/>
  <c r="I369" i="12" s="1"/>
  <c r="H368" i="12"/>
  <c r="G368" i="12"/>
  <c r="F368" i="12"/>
  <c r="E368" i="12"/>
  <c r="H367" i="12"/>
  <c r="G367" i="12"/>
  <c r="F367" i="12"/>
  <c r="E367" i="12"/>
  <c r="I367" i="12" s="1"/>
  <c r="H366" i="12"/>
  <c r="G366" i="12"/>
  <c r="F366" i="12"/>
  <c r="E366" i="12"/>
  <c r="H365" i="12"/>
  <c r="G365" i="12"/>
  <c r="F365" i="12"/>
  <c r="E365" i="12"/>
  <c r="I365" i="12" s="1"/>
  <c r="H364" i="12"/>
  <c r="G364" i="12"/>
  <c r="F364" i="12"/>
  <c r="E364" i="12"/>
  <c r="H363" i="12"/>
  <c r="G363" i="12"/>
  <c r="F363" i="12"/>
  <c r="E363" i="12"/>
  <c r="I363" i="12" s="1"/>
  <c r="H359" i="12"/>
  <c r="G359" i="12"/>
  <c r="F359" i="12"/>
  <c r="E359" i="12"/>
  <c r="H358" i="12"/>
  <c r="G358" i="12"/>
  <c r="F358" i="12"/>
  <c r="E358" i="12"/>
  <c r="I358" i="12" s="1"/>
  <c r="H357" i="12"/>
  <c r="G357" i="12"/>
  <c r="F357" i="12"/>
  <c r="E357" i="12"/>
  <c r="H356" i="12"/>
  <c r="G356" i="12"/>
  <c r="F356" i="12"/>
  <c r="E356" i="12"/>
  <c r="I356" i="12" s="1"/>
  <c r="H355" i="12"/>
  <c r="G355" i="12"/>
  <c r="F355" i="12"/>
  <c r="E355" i="12"/>
  <c r="H354" i="12"/>
  <c r="G354" i="12"/>
  <c r="F354" i="12"/>
  <c r="E354" i="12"/>
  <c r="I354" i="12" s="1"/>
  <c r="H350" i="12"/>
  <c r="G350" i="12"/>
  <c r="F350" i="12"/>
  <c r="E350" i="12"/>
  <c r="H349" i="12"/>
  <c r="G349" i="12"/>
  <c r="F349" i="12"/>
  <c r="E349" i="12"/>
  <c r="I349" i="12" s="1"/>
  <c r="H348" i="12"/>
  <c r="G348" i="12"/>
  <c r="F348" i="12"/>
  <c r="E348" i="12"/>
  <c r="H347" i="12"/>
  <c r="G347" i="12"/>
  <c r="F347" i="12"/>
  <c r="E347" i="12"/>
  <c r="I347" i="12" s="1"/>
  <c r="H346" i="12"/>
  <c r="G346" i="12"/>
  <c r="F346" i="12"/>
  <c r="E346" i="12"/>
  <c r="H345" i="12"/>
  <c r="G345" i="12"/>
  <c r="F345" i="12"/>
  <c r="E345" i="12"/>
  <c r="I345" i="12" s="1"/>
  <c r="H344" i="12"/>
  <c r="G344" i="12"/>
  <c r="F344" i="12"/>
  <c r="E344" i="12"/>
  <c r="H341" i="12"/>
  <c r="G341" i="12"/>
  <c r="F341" i="12"/>
  <c r="E341" i="12"/>
  <c r="I341" i="12" s="1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11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I293" i="12" l="1"/>
  <c r="J293" i="12" s="1"/>
  <c r="I318" i="12"/>
  <c r="J404" i="12"/>
  <c r="I616" i="12" s="1"/>
  <c r="I297" i="12"/>
  <c r="J421" i="12"/>
  <c r="I633" i="12" s="1"/>
  <c r="J482" i="12"/>
  <c r="I693" i="12" s="1"/>
  <c r="I302" i="12"/>
  <c r="I316" i="12"/>
  <c r="J316" i="12" s="1"/>
  <c r="H625" i="12" s="1"/>
  <c r="I324" i="12"/>
  <c r="I344" i="12"/>
  <c r="I350" i="12"/>
  <c r="J350" i="12" s="1"/>
  <c r="H661" i="12" s="1"/>
  <c r="I355" i="12"/>
  <c r="I364" i="12"/>
  <c r="J364" i="12" s="1"/>
  <c r="H675" i="12" s="1"/>
  <c r="I366" i="12"/>
  <c r="J366" i="12" s="1"/>
  <c r="H677" i="12" s="1"/>
  <c r="I372" i="12"/>
  <c r="I374" i="12"/>
  <c r="J374" i="12" s="1"/>
  <c r="H685" i="12" s="1"/>
  <c r="J406" i="12"/>
  <c r="I618" i="12" s="1"/>
  <c r="J457" i="12"/>
  <c r="I668" i="12" s="1"/>
  <c r="J468" i="12"/>
  <c r="I679" i="12" s="1"/>
  <c r="J476" i="12"/>
  <c r="I687" i="12" s="1"/>
  <c r="K687" i="12" s="1"/>
  <c r="J419" i="12"/>
  <c r="I631" i="12" s="1"/>
  <c r="J412" i="12"/>
  <c r="I624" i="12" s="1"/>
  <c r="J422" i="12"/>
  <c r="I634" i="12" s="1"/>
  <c r="I326" i="12"/>
  <c r="I322" i="12"/>
  <c r="G360" i="12"/>
  <c r="J413" i="12"/>
  <c r="I625" i="12" s="1"/>
  <c r="J414" i="12"/>
  <c r="I626" i="12" s="1"/>
  <c r="I301" i="12"/>
  <c r="I306" i="12"/>
  <c r="J306" i="12" s="1"/>
  <c r="H615" i="12" s="1"/>
  <c r="I319" i="12"/>
  <c r="I320" i="12"/>
  <c r="I307" i="12"/>
  <c r="I310" i="12"/>
  <c r="J310" i="12" s="1"/>
  <c r="H619" i="12" s="1"/>
  <c r="J397" i="12"/>
  <c r="I609" i="12" s="1"/>
  <c r="I321" i="12"/>
  <c r="J321" i="12" s="1"/>
  <c r="H630" i="12" s="1"/>
  <c r="I317" i="12"/>
  <c r="J317" i="12" s="1"/>
  <c r="H626" i="12" s="1"/>
  <c r="J415" i="12"/>
  <c r="I627" i="12" s="1"/>
  <c r="H376" i="12"/>
  <c r="J416" i="12"/>
  <c r="I628" i="12" s="1"/>
  <c r="J424" i="12"/>
  <c r="I636" i="12" s="1"/>
  <c r="J417" i="12"/>
  <c r="I629" i="12" s="1"/>
  <c r="J425" i="12"/>
  <c r="I637" i="12" s="1"/>
  <c r="K637" i="12" s="1"/>
  <c r="J448" i="12"/>
  <c r="I659" i="12" s="1"/>
  <c r="J464" i="12"/>
  <c r="I675" i="12" s="1"/>
  <c r="J467" i="12"/>
  <c r="I678" i="12" s="1"/>
  <c r="J470" i="12"/>
  <c r="I681" i="12" s="1"/>
  <c r="I308" i="12"/>
  <c r="J308" i="12" s="1"/>
  <c r="H617" i="12" s="1"/>
  <c r="I309" i="12"/>
  <c r="I325" i="12"/>
  <c r="J325" i="12" s="1"/>
  <c r="H634" i="12" s="1"/>
  <c r="J403" i="12"/>
  <c r="I615" i="12" s="1"/>
  <c r="J423" i="12"/>
  <c r="I635" i="12" s="1"/>
  <c r="I311" i="12"/>
  <c r="J311" i="12" s="1"/>
  <c r="H620" i="12" s="1"/>
  <c r="I315" i="12"/>
  <c r="J315" i="12" s="1"/>
  <c r="H624" i="12" s="1"/>
  <c r="I323" i="12"/>
  <c r="J323" i="12" s="1"/>
  <c r="H632" i="12" s="1"/>
  <c r="I327" i="12"/>
  <c r="J327" i="12" s="1"/>
  <c r="H638" i="12" s="1"/>
  <c r="I346" i="12"/>
  <c r="J346" i="12" s="1"/>
  <c r="H657" i="12" s="1"/>
  <c r="I348" i="12"/>
  <c r="J348" i="12" s="1"/>
  <c r="H659" i="12" s="1"/>
  <c r="I357" i="12"/>
  <c r="J357" i="12" s="1"/>
  <c r="H668" i="12" s="1"/>
  <c r="I359" i="12"/>
  <c r="J359" i="12" s="1"/>
  <c r="H670" i="12" s="1"/>
  <c r="I368" i="12"/>
  <c r="J368" i="12" s="1"/>
  <c r="H679" i="12" s="1"/>
  <c r="I370" i="12"/>
  <c r="E409" i="12"/>
  <c r="J418" i="12"/>
  <c r="I630" i="12" s="1"/>
  <c r="J408" i="12"/>
  <c r="I620" i="12" s="1"/>
  <c r="J395" i="12"/>
  <c r="I607" i="12" s="1"/>
  <c r="J393" i="12"/>
  <c r="I605" i="12" s="1"/>
  <c r="J420" i="12"/>
  <c r="I632" i="12" s="1"/>
  <c r="J405" i="12"/>
  <c r="I617" i="12" s="1"/>
  <c r="J446" i="12"/>
  <c r="I657" i="12" s="1"/>
  <c r="F478" i="12"/>
  <c r="I478" i="12"/>
  <c r="J466" i="12"/>
  <c r="I677" i="12" s="1"/>
  <c r="H478" i="12"/>
  <c r="J471" i="12"/>
  <c r="I682" i="12" s="1"/>
  <c r="J472" i="12"/>
  <c r="I683" i="12" s="1"/>
  <c r="J474" i="12"/>
  <c r="I685" i="12" s="1"/>
  <c r="J456" i="12"/>
  <c r="I667" i="12" s="1"/>
  <c r="J459" i="12"/>
  <c r="I670" i="12" s="1"/>
  <c r="J465" i="12"/>
  <c r="I676" i="12" s="1"/>
  <c r="J473" i="12"/>
  <c r="I684" i="12" s="1"/>
  <c r="J475" i="12"/>
  <c r="I686" i="12" s="1"/>
  <c r="J354" i="12"/>
  <c r="H665" i="12" s="1"/>
  <c r="H460" i="12"/>
  <c r="J367" i="12"/>
  <c r="H678" i="12" s="1"/>
  <c r="J455" i="12"/>
  <c r="I666" i="12" s="1"/>
  <c r="J379" i="12"/>
  <c r="H693" i="12" s="1"/>
  <c r="J469" i="12"/>
  <c r="I680" i="12" s="1"/>
  <c r="J463" i="12"/>
  <c r="I674" i="12" s="1"/>
  <c r="J454" i="12"/>
  <c r="I665" i="12" s="1"/>
  <c r="G478" i="12"/>
  <c r="J477" i="12"/>
  <c r="I688" i="12" s="1"/>
  <c r="J426" i="12"/>
  <c r="I460" i="12"/>
  <c r="J407" i="12"/>
  <c r="G460" i="12"/>
  <c r="F460" i="12"/>
  <c r="J458" i="12"/>
  <c r="J450" i="12"/>
  <c r="I661" i="12" s="1"/>
  <c r="J399" i="12"/>
  <c r="I611" i="12" s="1"/>
  <c r="F451" i="12"/>
  <c r="I451" i="12"/>
  <c r="J449" i="12"/>
  <c r="I660" i="12" s="1"/>
  <c r="J398" i="12"/>
  <c r="I610" i="12" s="1"/>
  <c r="J396" i="12"/>
  <c r="I608" i="12" s="1"/>
  <c r="H451" i="12"/>
  <c r="J447" i="12"/>
  <c r="I658" i="12" s="1"/>
  <c r="F400" i="12"/>
  <c r="G451" i="12"/>
  <c r="J394" i="12"/>
  <c r="I606" i="12" s="1"/>
  <c r="J445" i="12"/>
  <c r="I656" i="12" s="1"/>
  <c r="E451" i="12"/>
  <c r="J390" i="12"/>
  <c r="I602" i="12" s="1"/>
  <c r="E460" i="12"/>
  <c r="E478" i="12"/>
  <c r="J444" i="12"/>
  <c r="I655" i="12" s="1"/>
  <c r="J441" i="12"/>
  <c r="I652" i="12" s="1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H684" i="12" s="1"/>
  <c r="J372" i="12"/>
  <c r="H683" i="12" s="1"/>
  <c r="J370" i="12"/>
  <c r="H681" i="12" s="1"/>
  <c r="J369" i="12"/>
  <c r="H680" i="12" s="1"/>
  <c r="J341" i="12"/>
  <c r="H652" i="12" s="1"/>
  <c r="J356" i="12"/>
  <c r="H667" i="12" s="1"/>
  <c r="J355" i="12"/>
  <c r="H666" i="12" s="1"/>
  <c r="G376" i="12"/>
  <c r="F376" i="12"/>
  <c r="J375" i="12"/>
  <c r="H688" i="12" s="1"/>
  <c r="E376" i="12"/>
  <c r="H360" i="12"/>
  <c r="J365" i="12"/>
  <c r="H676" i="12" s="1"/>
  <c r="F360" i="12"/>
  <c r="J358" i="12"/>
  <c r="H669" i="12" s="1"/>
  <c r="G351" i="12"/>
  <c r="F351" i="12"/>
  <c r="H351" i="12"/>
  <c r="J344" i="12"/>
  <c r="H655" i="12" s="1"/>
  <c r="E351" i="12"/>
  <c r="J349" i="12"/>
  <c r="H660" i="12" s="1"/>
  <c r="J347" i="12"/>
  <c r="H658" i="12" s="1"/>
  <c r="J363" i="12"/>
  <c r="H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H643" i="12" s="1"/>
  <c r="J326" i="12"/>
  <c r="H635" i="12" s="1"/>
  <c r="J324" i="12"/>
  <c r="H633" i="12" s="1"/>
  <c r="J322" i="12"/>
  <c r="H631" i="12" s="1"/>
  <c r="J320" i="12"/>
  <c r="H629" i="12" s="1"/>
  <c r="J319" i="12"/>
  <c r="H628" i="12" s="1"/>
  <c r="J318" i="12"/>
  <c r="H627" i="12" s="1"/>
  <c r="J309" i="12"/>
  <c r="H618" i="12" s="1"/>
  <c r="J307" i="12"/>
  <c r="H616" i="12" s="1"/>
  <c r="I298" i="12" l="1"/>
  <c r="J298" i="12" s="1"/>
  <c r="H607" i="12" s="1"/>
  <c r="I300" i="12"/>
  <c r="I360" i="12"/>
  <c r="G378" i="12"/>
  <c r="G380" i="12" s="1"/>
  <c r="I376" i="12"/>
  <c r="I299" i="12"/>
  <c r="J299" i="12" s="1"/>
  <c r="H608" i="12" s="1"/>
  <c r="J300" i="12"/>
  <c r="H609" i="12" s="1"/>
  <c r="I296" i="12"/>
  <c r="J296" i="12" s="1"/>
  <c r="H605" i="12" s="1"/>
  <c r="J409" i="12"/>
  <c r="I621" i="12" s="1"/>
  <c r="I619" i="12"/>
  <c r="J427" i="12"/>
  <c r="I639" i="12" s="1"/>
  <c r="I638" i="12"/>
  <c r="J478" i="12"/>
  <c r="I689" i="12" s="1"/>
  <c r="H481" i="12"/>
  <c r="H483" i="12" s="1"/>
  <c r="J460" i="12"/>
  <c r="I671" i="12" s="1"/>
  <c r="I669" i="12"/>
  <c r="G481" i="12"/>
  <c r="G483" i="12" s="1"/>
  <c r="I481" i="12"/>
  <c r="I483" i="12" s="1"/>
  <c r="F481" i="12"/>
  <c r="F483" i="12" s="1"/>
  <c r="J400" i="12"/>
  <c r="E481" i="12"/>
  <c r="E483" i="12" s="1"/>
  <c r="J451" i="12"/>
  <c r="I430" i="12"/>
  <c r="I432" i="12" s="1"/>
  <c r="H430" i="12"/>
  <c r="H432" i="12" s="1"/>
  <c r="G430" i="12"/>
  <c r="G432" i="12" s="1"/>
  <c r="F430" i="12"/>
  <c r="F432" i="12" s="1"/>
  <c r="E430" i="12"/>
  <c r="E432" i="12" s="1"/>
  <c r="H378" i="12"/>
  <c r="H380" i="12" s="1"/>
  <c r="F378" i="12"/>
  <c r="F380" i="12" s="1"/>
  <c r="J360" i="12"/>
  <c r="H671" i="12" s="1"/>
  <c r="I351" i="12"/>
  <c r="E378" i="12"/>
  <c r="E380" i="12" s="1"/>
  <c r="J345" i="12"/>
  <c r="J376" i="12"/>
  <c r="H689" i="12" s="1"/>
  <c r="J301" i="12"/>
  <c r="H610" i="12" s="1"/>
  <c r="J302" i="12"/>
  <c r="H611" i="12" s="1"/>
  <c r="J297" i="12"/>
  <c r="H606" i="12" s="1"/>
  <c r="I378" i="12" l="1"/>
  <c r="I380" i="12" s="1"/>
  <c r="J351" i="12"/>
  <c r="H662" i="12" s="1"/>
  <c r="H656" i="12"/>
  <c r="J430" i="12"/>
  <c r="I612" i="12"/>
  <c r="J481" i="12"/>
  <c r="I662" i="12"/>
  <c r="H312" i="12"/>
  <c r="F328" i="12"/>
  <c r="J312" i="12"/>
  <c r="H621" i="12" s="1"/>
  <c r="I312" i="12"/>
  <c r="J328" i="12"/>
  <c r="H639" i="12" s="1"/>
  <c r="I328" i="12"/>
  <c r="J303" i="12"/>
  <c r="H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F668" i="12" s="1"/>
  <c r="K177" i="12"/>
  <c r="F681" i="12" s="1"/>
  <c r="K161" i="12"/>
  <c r="F665" i="12" s="1"/>
  <c r="K171" i="12"/>
  <c r="F675" i="12" s="1"/>
  <c r="K100" i="12"/>
  <c r="F602" i="12" s="1"/>
  <c r="K170" i="12"/>
  <c r="F674" i="12" s="1"/>
  <c r="K173" i="12"/>
  <c r="F677" i="12" s="1"/>
  <c r="K178" i="12"/>
  <c r="F682" i="12" s="1"/>
  <c r="K181" i="12"/>
  <c r="F685" i="12" s="1"/>
  <c r="J119" i="12"/>
  <c r="I330" i="12"/>
  <c r="J378" i="12"/>
  <c r="K162" i="12"/>
  <c r="F666" i="12" s="1"/>
  <c r="K155" i="12"/>
  <c r="F659" i="12" s="1"/>
  <c r="K175" i="12"/>
  <c r="F679" i="12" s="1"/>
  <c r="K172" i="12"/>
  <c r="F676" i="12" s="1"/>
  <c r="K176" i="12"/>
  <c r="F680" i="12" s="1"/>
  <c r="K179" i="12"/>
  <c r="F683" i="12" s="1"/>
  <c r="K180" i="12"/>
  <c r="F684" i="12" s="1"/>
  <c r="J483" i="12"/>
  <c r="I694" i="12" s="1"/>
  <c r="I692" i="12"/>
  <c r="K163" i="12"/>
  <c r="F667" i="12" s="1"/>
  <c r="K174" i="12"/>
  <c r="F678" i="12" s="1"/>
  <c r="J432" i="12"/>
  <c r="I644" i="12" s="1"/>
  <c r="I642" i="12"/>
  <c r="K166" i="12"/>
  <c r="F670" i="12" s="1"/>
  <c r="H602" i="12"/>
  <c r="E330" i="12"/>
  <c r="E332" i="12" s="1"/>
  <c r="H328" i="12"/>
  <c r="H303" i="12"/>
  <c r="G328" i="12"/>
  <c r="G312" i="12"/>
  <c r="G303" i="12"/>
  <c r="F312" i="12"/>
  <c r="F303" i="12"/>
  <c r="K151" i="12"/>
  <c r="F655" i="12" s="1"/>
  <c r="K148" i="12"/>
  <c r="F652" i="12" s="1"/>
  <c r="K186" i="12"/>
  <c r="F693" i="12" s="1"/>
  <c r="K182" i="12"/>
  <c r="F688" i="12" s="1"/>
  <c r="K165" i="12"/>
  <c r="F669" i="12" s="1"/>
  <c r="K157" i="12"/>
  <c r="F661" i="12" s="1"/>
  <c r="K156" i="12"/>
  <c r="F660" i="12" s="1"/>
  <c r="K154" i="12"/>
  <c r="F658" i="12" s="1"/>
  <c r="K153" i="12"/>
  <c r="F657" i="12" s="1"/>
  <c r="K152" i="12"/>
  <c r="F656" i="12" s="1"/>
  <c r="K138" i="12"/>
  <c r="F643" i="12" s="1"/>
  <c r="J380" i="12" l="1"/>
  <c r="H694" i="12" s="1"/>
  <c r="H692" i="12"/>
  <c r="J330" i="12"/>
  <c r="H642" i="12" s="1"/>
  <c r="H330" i="12"/>
  <c r="H332" i="12" s="1"/>
  <c r="I332" i="12"/>
  <c r="G330" i="12"/>
  <c r="G332" i="12" s="1"/>
  <c r="F330" i="12"/>
  <c r="F332" i="12" s="1"/>
  <c r="J332" i="12" l="1"/>
  <c r="H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J685" i="12" s="1"/>
  <c r="G584" i="12"/>
  <c r="J684" i="12" s="1"/>
  <c r="G583" i="12"/>
  <c r="J683" i="12" s="1"/>
  <c r="G582" i="12"/>
  <c r="J682" i="12" s="1"/>
  <c r="G581" i="12"/>
  <c r="J681" i="12" s="1"/>
  <c r="G565" i="12"/>
  <c r="J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J635" i="12" s="1"/>
  <c r="G530" i="12"/>
  <c r="J634" i="12" s="1"/>
  <c r="G529" i="12"/>
  <c r="J633" i="12" s="1"/>
  <c r="G528" i="12"/>
  <c r="J632" i="12" s="1"/>
  <c r="G527" i="12"/>
  <c r="J631" i="12" s="1"/>
  <c r="G511" i="12"/>
  <c r="J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J627" i="12" s="1"/>
  <c r="G503" i="12"/>
  <c r="J610" i="12" s="1"/>
  <c r="G547" i="12"/>
  <c r="J652" i="12" s="1"/>
  <c r="G553" i="12"/>
  <c r="J658" i="12" s="1"/>
  <c r="G557" i="12"/>
  <c r="J660" i="12" s="1"/>
  <c r="G569" i="12"/>
  <c r="J670" i="12" s="1"/>
  <c r="G576" i="12"/>
  <c r="J676" i="12" s="1"/>
  <c r="G580" i="12"/>
  <c r="J680" i="12" s="1"/>
  <c r="G525" i="12"/>
  <c r="J629" i="12" s="1"/>
  <c r="G566" i="12"/>
  <c r="J667" i="12" s="1"/>
  <c r="G573" i="12"/>
  <c r="G577" i="12"/>
  <c r="J677" i="12" s="1"/>
  <c r="G586" i="12"/>
  <c r="J686" i="12" s="1"/>
  <c r="K686" i="12" s="1"/>
  <c r="G515" i="12"/>
  <c r="J620" i="12" s="1"/>
  <c r="K124" i="12"/>
  <c r="F626" i="12" s="1"/>
  <c r="G510" i="12"/>
  <c r="J615" i="12" s="1"/>
  <c r="G505" i="12"/>
  <c r="G587" i="12"/>
  <c r="J688" i="12" s="1"/>
  <c r="G520" i="12"/>
  <c r="J624" i="12" s="1"/>
  <c r="G522" i="12"/>
  <c r="J626" i="12" s="1"/>
  <c r="G524" i="12"/>
  <c r="J628" i="12" s="1"/>
  <c r="G497" i="12"/>
  <c r="J606" i="12" s="1"/>
  <c r="G514" i="12"/>
  <c r="J619" i="12" s="1"/>
  <c r="G500" i="12"/>
  <c r="G521" i="12"/>
  <c r="J625" i="12" s="1"/>
  <c r="G499" i="12"/>
  <c r="J608" i="12" s="1"/>
  <c r="G533" i="12"/>
  <c r="J638" i="12" s="1"/>
  <c r="G568" i="12"/>
  <c r="J669" i="12" s="1"/>
  <c r="G575" i="12"/>
  <c r="J675" i="12" s="1"/>
  <c r="G579" i="12"/>
  <c r="J679" i="12" s="1"/>
  <c r="E570" i="12"/>
  <c r="G512" i="12"/>
  <c r="J617" i="12" s="1"/>
  <c r="G526" i="12"/>
  <c r="G496" i="12"/>
  <c r="J605" i="12" s="1"/>
  <c r="G519" i="12"/>
  <c r="G532" i="12"/>
  <c r="J636" i="12" s="1"/>
  <c r="K636" i="12" s="1"/>
  <c r="G552" i="12"/>
  <c r="J657" i="12" s="1"/>
  <c r="G556" i="12"/>
  <c r="J659" i="12" s="1"/>
  <c r="G560" i="12"/>
  <c r="G498" i="12"/>
  <c r="J607" i="12" s="1"/>
  <c r="F516" i="12"/>
  <c r="E561" i="12"/>
  <c r="G501" i="12"/>
  <c r="G502" i="12"/>
  <c r="J609" i="12" s="1"/>
  <c r="G513" i="12"/>
  <c r="G550" i="12"/>
  <c r="J655" i="12" s="1"/>
  <c r="G554" i="12"/>
  <c r="G558" i="12"/>
  <c r="J661" i="12" s="1"/>
  <c r="G493" i="12"/>
  <c r="J602" i="12" s="1"/>
  <c r="G551" i="12"/>
  <c r="J656" i="12" s="1"/>
  <c r="G555" i="12"/>
  <c r="G559" i="12"/>
  <c r="G567" i="12"/>
  <c r="J668" i="12" s="1"/>
  <c r="G574" i="12"/>
  <c r="J674" i="12" s="1"/>
  <c r="G578" i="12"/>
  <c r="J678" i="12" s="1"/>
  <c r="K129" i="12"/>
  <c r="F631" i="12" s="1"/>
  <c r="G564" i="12"/>
  <c r="J665" i="12" s="1"/>
  <c r="E588" i="12"/>
  <c r="K134" i="12"/>
  <c r="F638" i="12" s="1"/>
  <c r="K131" i="12"/>
  <c r="F633" i="12" s="1"/>
  <c r="K132" i="12"/>
  <c r="F634" i="12" s="1"/>
  <c r="K130" i="12"/>
  <c r="F632" i="12" s="1"/>
  <c r="K128" i="12"/>
  <c r="F630" i="12" s="1"/>
  <c r="K126" i="12"/>
  <c r="F628" i="12" s="1"/>
  <c r="K125" i="12"/>
  <c r="F627" i="12" s="1"/>
  <c r="K122" i="12"/>
  <c r="F624" i="12" s="1"/>
  <c r="K133" i="12"/>
  <c r="F635" i="12" s="1"/>
  <c r="K123" i="12"/>
  <c r="F625" i="12" s="1"/>
  <c r="K127" i="12"/>
  <c r="F629" i="12" s="1"/>
  <c r="F135" i="12"/>
  <c r="E135" i="12"/>
  <c r="G537" i="12"/>
  <c r="J643" i="12" s="1"/>
  <c r="G591" i="12"/>
  <c r="J693" i="12" s="1"/>
  <c r="F570" i="12"/>
  <c r="F588" i="12"/>
  <c r="G506" i="12"/>
  <c r="G504" i="12"/>
  <c r="J611" i="12" s="1"/>
  <c r="F561" i="12"/>
  <c r="F507" i="12"/>
  <c r="E534" i="12"/>
  <c r="E516" i="12"/>
  <c r="E507" i="12"/>
  <c r="F534" i="12"/>
  <c r="E590" i="12" l="1"/>
  <c r="E592" i="12" s="1"/>
  <c r="G516" i="12"/>
  <c r="J621" i="12" s="1"/>
  <c r="J618" i="12"/>
  <c r="G588" i="12"/>
  <c r="J689" i="12" s="1"/>
  <c r="J630" i="12"/>
  <c r="G534" i="12"/>
  <c r="J639" i="12" s="1"/>
  <c r="F590" i="12"/>
  <c r="F592" i="12" s="1"/>
  <c r="G570" i="12"/>
  <c r="J671" i="12" s="1"/>
  <c r="K135" i="12"/>
  <c r="F639" i="12" s="1"/>
  <c r="G561" i="12"/>
  <c r="G507" i="12"/>
  <c r="J612" i="12" s="1"/>
  <c r="F536" i="12"/>
  <c r="F538" i="12" s="1"/>
  <c r="E536" i="12"/>
  <c r="E538" i="12" s="1"/>
  <c r="G590" i="12" l="1"/>
  <c r="J662" i="12"/>
  <c r="G536" i="12"/>
  <c r="J642" i="12" s="1"/>
  <c r="G592" i="12" l="1"/>
  <c r="J694" i="12" s="1"/>
  <c r="J692" i="12"/>
  <c r="G538" i="12"/>
  <c r="J644" i="12" s="1"/>
  <c r="I282" i="12"/>
  <c r="H282" i="12"/>
  <c r="G282" i="12"/>
  <c r="F282" i="12"/>
  <c r="J282" i="12" s="1"/>
  <c r="G693" i="12" s="1"/>
  <c r="I278" i="12"/>
  <c r="H278" i="12"/>
  <c r="G278" i="12"/>
  <c r="F278" i="12"/>
  <c r="I277" i="12"/>
  <c r="H277" i="12"/>
  <c r="G277" i="12"/>
  <c r="F277" i="12"/>
  <c r="J277" i="12" s="1"/>
  <c r="G685" i="12" s="1"/>
  <c r="I276" i="12"/>
  <c r="H276" i="12"/>
  <c r="G276" i="12"/>
  <c r="F276" i="12"/>
  <c r="I275" i="12"/>
  <c r="H275" i="12"/>
  <c r="G275" i="12"/>
  <c r="F275" i="12"/>
  <c r="J275" i="12" s="1"/>
  <c r="G683" i="12" s="1"/>
  <c r="I274" i="12"/>
  <c r="H274" i="12"/>
  <c r="G274" i="12"/>
  <c r="F274" i="12"/>
  <c r="I273" i="12"/>
  <c r="H273" i="12"/>
  <c r="G273" i="12"/>
  <c r="F273" i="12"/>
  <c r="J273" i="12" s="1"/>
  <c r="G681" i="12" s="1"/>
  <c r="I272" i="12"/>
  <c r="H272" i="12"/>
  <c r="G272" i="12"/>
  <c r="F272" i="12"/>
  <c r="J272" i="12" s="1"/>
  <c r="G680" i="12" s="1"/>
  <c r="I271" i="12"/>
  <c r="H271" i="12"/>
  <c r="G271" i="12"/>
  <c r="F271" i="12"/>
  <c r="J271" i="12" s="1"/>
  <c r="G679" i="12" s="1"/>
  <c r="I270" i="12"/>
  <c r="H270" i="12"/>
  <c r="G270" i="12"/>
  <c r="F270" i="12"/>
  <c r="J270" i="12" s="1"/>
  <c r="G678" i="12" s="1"/>
  <c r="I269" i="12"/>
  <c r="H269" i="12"/>
  <c r="G269" i="12"/>
  <c r="F269" i="12"/>
  <c r="J269" i="12" s="1"/>
  <c r="G677" i="12" s="1"/>
  <c r="I268" i="12"/>
  <c r="H268" i="12"/>
  <c r="G268" i="12"/>
  <c r="F268" i="12"/>
  <c r="J268" i="12" s="1"/>
  <c r="G676" i="12" s="1"/>
  <c r="I267" i="12"/>
  <c r="H267" i="12"/>
  <c r="G267" i="12"/>
  <c r="F267" i="12"/>
  <c r="J267" i="12" s="1"/>
  <c r="G675" i="12" s="1"/>
  <c r="I266" i="12"/>
  <c r="H266" i="12"/>
  <c r="G266" i="12"/>
  <c r="F266" i="12"/>
  <c r="J266" i="12" s="1"/>
  <c r="G674" i="12" s="1"/>
  <c r="I262" i="12"/>
  <c r="H262" i="12"/>
  <c r="G262" i="12"/>
  <c r="F262" i="12"/>
  <c r="J262" i="12" s="1"/>
  <c r="G670" i="12" s="1"/>
  <c r="I261" i="12"/>
  <c r="H261" i="12"/>
  <c r="G261" i="12"/>
  <c r="F261" i="12"/>
  <c r="J261" i="12" s="1"/>
  <c r="G669" i="12" s="1"/>
  <c r="I260" i="12"/>
  <c r="H260" i="12"/>
  <c r="G260" i="12"/>
  <c r="F260" i="12"/>
  <c r="J260" i="12" s="1"/>
  <c r="G668" i="12" s="1"/>
  <c r="I259" i="12"/>
  <c r="H259" i="12"/>
  <c r="G259" i="12"/>
  <c r="F259" i="12"/>
  <c r="J259" i="12" s="1"/>
  <c r="G667" i="12" s="1"/>
  <c r="I258" i="12"/>
  <c r="H258" i="12"/>
  <c r="G258" i="12"/>
  <c r="F258" i="12"/>
  <c r="J258" i="12" s="1"/>
  <c r="G666" i="12" s="1"/>
  <c r="I257" i="12"/>
  <c r="H257" i="12"/>
  <c r="G257" i="12"/>
  <c r="F257" i="12"/>
  <c r="J257" i="12" s="1"/>
  <c r="G665" i="12" s="1"/>
  <c r="I253" i="12"/>
  <c r="H253" i="12"/>
  <c r="G253" i="12"/>
  <c r="F253" i="12"/>
  <c r="J253" i="12" s="1"/>
  <c r="G661" i="12" s="1"/>
  <c r="I252" i="12"/>
  <c r="H252" i="12"/>
  <c r="G252" i="12"/>
  <c r="F252" i="12"/>
  <c r="J252" i="12" s="1"/>
  <c r="G660" i="12" s="1"/>
  <c r="I251" i="12"/>
  <c r="H251" i="12"/>
  <c r="G251" i="12"/>
  <c r="F251" i="12"/>
  <c r="J251" i="12" s="1"/>
  <c r="G659" i="12" s="1"/>
  <c r="I250" i="12"/>
  <c r="H250" i="12"/>
  <c r="G250" i="12"/>
  <c r="F250" i="12"/>
  <c r="J250" i="12" s="1"/>
  <c r="G658" i="12" s="1"/>
  <c r="I249" i="12"/>
  <c r="H249" i="12"/>
  <c r="G249" i="12"/>
  <c r="F249" i="12"/>
  <c r="J249" i="12" s="1"/>
  <c r="G657" i="12" s="1"/>
  <c r="I248" i="12"/>
  <c r="H248" i="12"/>
  <c r="G248" i="12"/>
  <c r="F248" i="12"/>
  <c r="J248" i="12" s="1"/>
  <c r="G656" i="12" s="1"/>
  <c r="I247" i="12"/>
  <c r="H247" i="12"/>
  <c r="G247" i="12"/>
  <c r="F247" i="12"/>
  <c r="J247" i="12" s="1"/>
  <c r="G655" i="12" s="1"/>
  <c r="I244" i="12"/>
  <c r="H244" i="12"/>
  <c r="F244" i="12"/>
  <c r="J244" i="12" s="1"/>
  <c r="G652" i="12" s="1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I204" i="12" s="1"/>
  <c r="G610" i="12" s="1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30" i="12" l="1"/>
  <c r="G638" i="12" s="1"/>
  <c r="I199" i="12"/>
  <c r="G605" i="12" s="1"/>
  <c r="I218" i="12"/>
  <c r="G624" i="12" s="1"/>
  <c r="I226" i="12"/>
  <c r="G632" i="12" s="1"/>
  <c r="I221" i="12"/>
  <c r="G627" i="12" s="1"/>
  <c r="I205" i="12"/>
  <c r="G611" i="12" s="1"/>
  <c r="I222" i="12"/>
  <c r="G628" i="12" s="1"/>
  <c r="G602" i="12"/>
  <c r="I209" i="12"/>
  <c r="G615" i="12" s="1"/>
  <c r="I234" i="12"/>
  <c r="G643" i="12" s="1"/>
  <c r="I210" i="12"/>
  <c r="G616" i="12" s="1"/>
  <c r="I229" i="12"/>
  <c r="G635" i="12" s="1"/>
  <c r="I213" i="12"/>
  <c r="G619" i="12" s="1"/>
  <c r="I223" i="12"/>
  <c r="G629" i="12" s="1"/>
  <c r="I211" i="12"/>
  <c r="G617" i="12" s="1"/>
  <c r="I224" i="12"/>
  <c r="G630" i="12" s="1"/>
  <c r="I200" i="12"/>
  <c r="G606" i="12" s="1"/>
  <c r="I202" i="12"/>
  <c r="G608" i="12" s="1"/>
  <c r="I212" i="12"/>
  <c r="G618" i="12" s="1"/>
  <c r="I225" i="12"/>
  <c r="G631" i="12" s="1"/>
  <c r="I214" i="12"/>
  <c r="G620" i="12" s="1"/>
  <c r="J274" i="12"/>
  <c r="G682" i="12" s="1"/>
  <c r="J276" i="12"/>
  <c r="G684" i="12" s="1"/>
  <c r="J278" i="12"/>
  <c r="G688" i="12" s="1"/>
  <c r="I219" i="12"/>
  <c r="G625" i="12" s="1"/>
  <c r="I227" i="12"/>
  <c r="G633" i="12" s="1"/>
  <c r="I220" i="12"/>
  <c r="G626" i="12" s="1"/>
  <c r="I228" i="12"/>
  <c r="G634" i="12" s="1"/>
  <c r="I201" i="12"/>
  <c r="G607" i="12" s="1"/>
  <c r="I203" i="12"/>
  <c r="G609" i="12" s="1"/>
  <c r="F254" i="12"/>
  <c r="F215" i="12"/>
  <c r="F263" i="12"/>
  <c r="F279" i="12"/>
  <c r="E231" i="12"/>
  <c r="G279" i="12" l="1"/>
  <c r="H279" i="12"/>
  <c r="H263" i="12"/>
  <c r="G263" i="12"/>
  <c r="H254" i="12"/>
  <c r="G254" i="12"/>
  <c r="G231" i="12"/>
  <c r="F231" i="12"/>
  <c r="G215" i="12"/>
  <c r="G206" i="12"/>
  <c r="F206" i="12"/>
  <c r="F233" i="12" l="1"/>
  <c r="F235" i="12" s="1"/>
  <c r="E206" i="12"/>
  <c r="G281" i="12"/>
  <c r="G283" i="12" s="1"/>
  <c r="G233" i="12"/>
  <c r="G235" i="12" s="1"/>
  <c r="H281" i="12"/>
  <c r="H283" i="12" s="1"/>
  <c r="H206" i="12"/>
  <c r="E215" i="12"/>
  <c r="H231" i="12"/>
  <c r="I231" i="12" s="1"/>
  <c r="G639" i="12" s="1"/>
  <c r="H215" i="12"/>
  <c r="I254" i="12"/>
  <c r="J254" i="12" s="1"/>
  <c r="G662" i="12" s="1"/>
  <c r="I263" i="12"/>
  <c r="J263" i="12" s="1"/>
  <c r="G671" i="12" s="1"/>
  <c r="I279" i="12"/>
  <c r="J279" i="12" s="1"/>
  <c r="G689" i="12" s="1"/>
  <c r="F281" i="12"/>
  <c r="F283" i="12" s="1"/>
  <c r="I206" i="12" l="1"/>
  <c r="G612" i="12" s="1"/>
  <c r="I215" i="12"/>
  <c r="G621" i="12" s="1"/>
  <c r="I281" i="12"/>
  <c r="I283" i="12" s="1"/>
  <c r="E233" i="12"/>
  <c r="E235" i="12" s="1"/>
  <c r="J281" i="12"/>
  <c r="G692" i="12" s="1"/>
  <c r="H233" i="12"/>
  <c r="H235" i="12" s="1"/>
  <c r="I233" i="12" l="1"/>
  <c r="G642" i="12" s="1"/>
  <c r="J283" i="12"/>
  <c r="G694" i="12" s="1"/>
  <c r="K118" i="12"/>
  <c r="F620" i="12" s="1"/>
  <c r="K117" i="12"/>
  <c r="F619" i="12" s="1"/>
  <c r="K116" i="12"/>
  <c r="F618" i="12" s="1"/>
  <c r="K115" i="12"/>
  <c r="F617" i="12" s="1"/>
  <c r="K114" i="12"/>
  <c r="F616" i="12" s="1"/>
  <c r="K113" i="12"/>
  <c r="F615" i="12" s="1"/>
  <c r="K109" i="12"/>
  <c r="F611" i="12" s="1"/>
  <c r="K108" i="12"/>
  <c r="F610" i="12" s="1"/>
  <c r="K107" i="12"/>
  <c r="F609" i="12" s="1"/>
  <c r="K106" i="12"/>
  <c r="F608" i="12" s="1"/>
  <c r="K105" i="12"/>
  <c r="F607" i="12" s="1"/>
  <c r="K104" i="12"/>
  <c r="F606" i="12" s="1"/>
  <c r="K103" i="12"/>
  <c r="F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G644" i="12" s="1"/>
  <c r="I56" i="12"/>
  <c r="E656" i="12" s="1"/>
  <c r="K656" i="12" s="1"/>
  <c r="I58" i="12"/>
  <c r="E658" i="12" s="1"/>
  <c r="K658" i="12" s="1"/>
  <c r="I60" i="12"/>
  <c r="E660" i="12" s="1"/>
  <c r="K660" i="12" s="1"/>
  <c r="G87" i="12"/>
  <c r="E87" i="12"/>
  <c r="K167" i="12"/>
  <c r="F671" i="12" s="1"/>
  <c r="I65" i="12"/>
  <c r="E665" i="12" s="1"/>
  <c r="K665" i="12" s="1"/>
  <c r="I67" i="12"/>
  <c r="E667" i="12" s="1"/>
  <c r="K667" i="12" s="1"/>
  <c r="I69" i="12"/>
  <c r="E669" i="12" s="1"/>
  <c r="K669" i="12" s="1"/>
  <c r="F87" i="12"/>
  <c r="H87" i="12"/>
  <c r="I57" i="12"/>
  <c r="E657" i="12" s="1"/>
  <c r="K657" i="12" s="1"/>
  <c r="I68" i="12"/>
  <c r="E668" i="12" s="1"/>
  <c r="K668" i="12" s="1"/>
  <c r="I81" i="12"/>
  <c r="E681" i="12" s="1"/>
  <c r="K681" i="12" s="1"/>
  <c r="I55" i="12"/>
  <c r="E655" i="12" s="1"/>
  <c r="K655" i="12" s="1"/>
  <c r="I59" i="12"/>
  <c r="E659" i="12" s="1"/>
  <c r="K659" i="12" s="1"/>
  <c r="I66" i="12"/>
  <c r="E666" i="12" s="1"/>
  <c r="K666" i="12" s="1"/>
  <c r="I70" i="12"/>
  <c r="E670" i="12" s="1"/>
  <c r="K670" i="12" s="1"/>
  <c r="I75" i="12"/>
  <c r="E675" i="12" s="1"/>
  <c r="K675" i="12" s="1"/>
  <c r="I79" i="12"/>
  <c r="E679" i="12" s="1"/>
  <c r="K679" i="12" s="1"/>
  <c r="I83" i="12"/>
  <c r="E683" i="12" s="1"/>
  <c r="K683" i="12" s="1"/>
  <c r="I61" i="12"/>
  <c r="E661" i="12" s="1"/>
  <c r="K661" i="12" s="1"/>
  <c r="K183" i="12"/>
  <c r="F689" i="12" s="1"/>
  <c r="K110" i="12"/>
  <c r="F612" i="12" s="1"/>
  <c r="K119" i="12"/>
  <c r="F621" i="12" s="1"/>
  <c r="K158" i="12"/>
  <c r="F662" i="12" s="1"/>
  <c r="J183" i="12"/>
  <c r="J167" i="12"/>
  <c r="G119" i="12"/>
  <c r="I76" i="12"/>
  <c r="E676" i="12" s="1"/>
  <c r="K676" i="12" s="1"/>
  <c r="I78" i="12"/>
  <c r="E678" i="12" s="1"/>
  <c r="K678" i="12" s="1"/>
  <c r="I80" i="12"/>
  <c r="E680" i="12" s="1"/>
  <c r="K680" i="12" s="1"/>
  <c r="I82" i="12"/>
  <c r="E682" i="12" s="1"/>
  <c r="K682" i="12" s="1"/>
  <c r="I84" i="12"/>
  <c r="E684" i="12" s="1"/>
  <c r="K684" i="12" s="1"/>
  <c r="I110" i="12"/>
  <c r="H119" i="12"/>
  <c r="F137" i="12"/>
  <c r="F139" i="12" s="1"/>
  <c r="F167" i="12"/>
  <c r="I183" i="12"/>
  <c r="E167" i="12"/>
  <c r="I119" i="12"/>
  <c r="I90" i="12"/>
  <c r="E693" i="12" s="1"/>
  <c r="K693" i="12" s="1"/>
  <c r="G110" i="12"/>
  <c r="F158" i="12"/>
  <c r="I158" i="12"/>
  <c r="E183" i="12"/>
  <c r="G158" i="12"/>
  <c r="F183" i="12"/>
  <c r="I77" i="12"/>
  <c r="E677" i="12" s="1"/>
  <c r="K677" i="12" s="1"/>
  <c r="I85" i="12"/>
  <c r="E685" i="12" s="1"/>
  <c r="K685" i="12" s="1"/>
  <c r="H158" i="12"/>
  <c r="H185" i="12" s="1"/>
  <c r="H187" i="12" s="1"/>
  <c r="G183" i="12"/>
  <c r="G167" i="12"/>
  <c r="E119" i="12"/>
  <c r="E158" i="12"/>
  <c r="I167" i="12"/>
  <c r="I86" i="12"/>
  <c r="E688" i="12" s="1"/>
  <c r="K688" i="12" s="1"/>
  <c r="I52" i="12"/>
  <c r="E652" i="12" s="1"/>
  <c r="K652" i="12" s="1"/>
  <c r="I74" i="12"/>
  <c r="E674" i="12" s="1"/>
  <c r="K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689" i="12" s="1"/>
  <c r="K689" i="12" s="1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E671" i="12" s="1"/>
  <c r="K671" i="12" s="1"/>
  <c r="I62" i="12"/>
  <c r="E662" i="12" s="1"/>
  <c r="K662" i="12" s="1"/>
  <c r="K692" i="12" l="1"/>
  <c r="K694" i="12" s="1"/>
  <c r="K187" i="12"/>
  <c r="F694" i="12" s="1"/>
  <c r="F692" i="12"/>
  <c r="K139" i="12"/>
  <c r="F644" i="12" s="1"/>
  <c r="F642" i="12"/>
  <c r="J185" i="12"/>
  <c r="J187" i="12" s="1"/>
  <c r="I89" i="12"/>
  <c r="I4" i="12"/>
  <c r="E602" i="12" s="1"/>
  <c r="K602" i="12" s="1"/>
  <c r="I12" i="12"/>
  <c r="E610" i="12" s="1"/>
  <c r="K610" i="12" s="1"/>
  <c r="I10" i="12"/>
  <c r="E608" i="12" s="1"/>
  <c r="K608" i="12" s="1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E620" i="12" s="1"/>
  <c r="K620" i="12" s="1"/>
  <c r="I21" i="12"/>
  <c r="E619" i="12" s="1"/>
  <c r="K619" i="12" s="1"/>
  <c r="G20" i="12"/>
  <c r="G19" i="12"/>
  <c r="G18" i="12"/>
  <c r="G17" i="12"/>
  <c r="I13" i="12"/>
  <c r="E611" i="12" s="1"/>
  <c r="K611" i="12" s="1"/>
  <c r="G9" i="12"/>
  <c r="G7" i="12"/>
  <c r="G11" i="12"/>
  <c r="I8" i="12"/>
  <c r="E606" i="12" s="1"/>
  <c r="K606" i="12" s="1"/>
  <c r="I38" i="12"/>
  <c r="E638" i="12" s="1"/>
  <c r="K638" i="12" s="1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E694" i="12" s="1"/>
  <c r="E692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618" i="12" s="1"/>
  <c r="K618" i="12" s="1"/>
  <c r="E19" i="12"/>
  <c r="I19" i="12" s="1"/>
  <c r="E617" i="12" s="1"/>
  <c r="K617" i="12" s="1"/>
  <c r="E18" i="12"/>
  <c r="I18" i="12" s="1"/>
  <c r="E616" i="12" s="1"/>
  <c r="K616" i="12" s="1"/>
  <c r="E17" i="12"/>
  <c r="I17" i="12" s="1"/>
  <c r="E615" i="12" s="1"/>
  <c r="K615" i="12" s="1"/>
  <c r="E9" i="12"/>
  <c r="E7" i="12"/>
  <c r="E11" i="12"/>
  <c r="F37" i="12"/>
  <c r="F36" i="12"/>
  <c r="F35" i="12"/>
  <c r="F34" i="12"/>
  <c r="I34" i="12" s="1"/>
  <c r="E632" i="12" s="1"/>
  <c r="K632" i="12" s="1"/>
  <c r="F33" i="12"/>
  <c r="F32" i="12"/>
  <c r="F31" i="12"/>
  <c r="F29" i="12"/>
  <c r="F28" i="12"/>
  <c r="F27" i="12"/>
  <c r="F26" i="12"/>
  <c r="F30" i="12"/>
  <c r="F11" i="12"/>
  <c r="F9" i="12"/>
  <c r="F7" i="12"/>
  <c r="F23" i="12"/>
  <c r="I31" i="12" l="1"/>
  <c r="E629" i="12" s="1"/>
  <c r="K629" i="12" s="1"/>
  <c r="F39" i="12"/>
  <c r="I32" i="12"/>
  <c r="E630" i="12" s="1"/>
  <c r="K630" i="12" s="1"/>
  <c r="I28" i="12"/>
  <c r="E626" i="12" s="1"/>
  <c r="K626" i="12" s="1"/>
  <c r="E39" i="12"/>
  <c r="I26" i="12"/>
  <c r="E624" i="12" s="1"/>
  <c r="K624" i="12" s="1"/>
  <c r="I27" i="12"/>
  <c r="E625" i="12" s="1"/>
  <c r="K625" i="12" s="1"/>
  <c r="I35" i="12"/>
  <c r="E633" i="12" s="1"/>
  <c r="K633" i="12" s="1"/>
  <c r="I7" i="12"/>
  <c r="E605" i="12" s="1"/>
  <c r="K605" i="12" s="1"/>
  <c r="I36" i="12"/>
  <c r="E634" i="12" s="1"/>
  <c r="K634" i="12" s="1"/>
  <c r="F14" i="12"/>
  <c r="I9" i="12"/>
  <c r="E607" i="12" s="1"/>
  <c r="K607" i="12" s="1"/>
  <c r="I29" i="12"/>
  <c r="E627" i="12" s="1"/>
  <c r="K627" i="12" s="1"/>
  <c r="I37" i="12"/>
  <c r="E635" i="12" s="1"/>
  <c r="K635" i="12" s="1"/>
  <c r="I23" i="12"/>
  <c r="E621" i="12" s="1"/>
  <c r="K621" i="12" s="1"/>
  <c r="E14" i="12"/>
  <c r="I11" i="12"/>
  <c r="E609" i="12" s="1"/>
  <c r="K609" i="12" s="1"/>
  <c r="I30" i="12"/>
  <c r="E628" i="12" s="1"/>
  <c r="K628" i="12" s="1"/>
  <c r="I33" i="12"/>
  <c r="E631" i="12" s="1"/>
  <c r="K631" i="12" s="1"/>
  <c r="I42" i="12"/>
  <c r="G41" i="12"/>
  <c r="G43" i="12" s="1"/>
  <c r="H41" i="12"/>
  <c r="H43" i="12" s="1"/>
  <c r="E23" i="12"/>
  <c r="E643" i="12" l="1"/>
  <c r="K643" i="12" s="1"/>
  <c r="I14" i="12"/>
  <c r="E612" i="12" s="1"/>
  <c r="K612" i="12" s="1"/>
  <c r="I39" i="12"/>
  <c r="E639" i="12" s="1"/>
  <c r="K639" i="12" s="1"/>
  <c r="E41" i="12"/>
  <c r="E43" i="12" s="1"/>
  <c r="F41" i="12"/>
  <c r="F43" i="12" s="1"/>
  <c r="K642" i="12" l="1"/>
  <c r="K644" i="12" s="1"/>
  <c r="I41" i="12"/>
  <c r="E642" i="12" s="1"/>
  <c r="I43" i="12" l="1"/>
  <c r="E644" i="12" s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G57" i="9" l="1"/>
  <c r="G45" i="9"/>
  <c r="G44" i="9"/>
  <c r="G2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C57" i="9"/>
  <c r="C54" i="9"/>
  <c r="C53" i="9"/>
  <c r="I53" i="9" s="1"/>
  <c r="C52" i="9"/>
  <c r="C51" i="9"/>
  <c r="C50" i="9"/>
  <c r="C49" i="9"/>
  <c r="C46" i="9"/>
  <c r="C45" i="9"/>
  <c r="I45" i="9" s="1"/>
  <c r="C44" i="9"/>
  <c r="C43" i="9"/>
  <c r="C42" i="9"/>
  <c r="C41" i="9"/>
  <c r="C40" i="9"/>
  <c r="C38" i="9"/>
  <c r="C37" i="9"/>
  <c r="I37" i="9" s="1"/>
  <c r="C36" i="9"/>
  <c r="C35" i="9"/>
  <c r="C34" i="9"/>
  <c r="C28" i="9"/>
  <c r="C26" i="9"/>
  <c r="C25" i="9"/>
  <c r="C24" i="9"/>
  <c r="C23" i="9"/>
  <c r="C22" i="9"/>
  <c r="C21" i="9"/>
  <c r="C20" i="9"/>
  <c r="C19" i="9"/>
  <c r="I19" i="9" s="1"/>
  <c r="C18" i="9"/>
  <c r="C17" i="9"/>
  <c r="C16" i="9"/>
  <c r="C15" i="9"/>
  <c r="C14" i="9"/>
  <c r="C13" i="9"/>
  <c r="C10" i="9"/>
  <c r="C9" i="9"/>
  <c r="C8" i="9"/>
  <c r="C7" i="9"/>
  <c r="C6" i="9"/>
  <c r="C5" i="9"/>
  <c r="I5" i="9" s="1"/>
  <c r="C4" i="9"/>
  <c r="I45" i="12" s="1"/>
  <c r="C3" i="9"/>
  <c r="I23" i="9" l="1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AM4" i="1"/>
  <c r="W23" i="1"/>
  <c r="W22" i="1"/>
  <c r="W19" i="1"/>
  <c r="W18" i="1"/>
  <c r="W17" i="1"/>
  <c r="W16" i="1"/>
  <c r="W15" i="1"/>
  <c r="W14" i="1"/>
  <c r="W10" i="1"/>
  <c r="W9" i="1"/>
  <c r="W8" i="1"/>
  <c r="W5" i="1"/>
  <c r="W4" i="1"/>
  <c r="I11" i="9" l="1"/>
  <c r="I55" i="9"/>
  <c r="I39" i="9"/>
  <c r="I29" i="9"/>
  <c r="I30" i="9" s="1"/>
  <c r="I47" i="9"/>
  <c r="BV50" i="8"/>
  <c r="BW50" i="8" s="1"/>
  <c r="BW44" i="8"/>
  <c r="BP5" i="8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E27" i="1" s="1"/>
  <c r="AT23" i="8"/>
  <c r="K26" i="1" s="1"/>
  <c r="AA15" i="8"/>
  <c r="F13" i="8"/>
  <c r="F23" i="8"/>
  <c r="AT24" i="8"/>
  <c r="K27" i="1" s="1"/>
  <c r="AT19" i="8"/>
  <c r="K22" i="1" s="1"/>
  <c r="AT15" i="8"/>
  <c r="AT11" i="8"/>
  <c r="K10" i="1" s="1"/>
  <c r="F5" i="8"/>
  <c r="F15" i="8"/>
  <c r="F24" i="8"/>
  <c r="F6" i="8"/>
  <c r="F16" i="8"/>
  <c r="F25" i="8"/>
  <c r="AT17" i="8"/>
  <c r="K20" i="1" s="1"/>
  <c r="AT32" i="8"/>
  <c r="F7" i="8"/>
  <c r="F17" i="8"/>
  <c r="F26" i="8"/>
  <c r="AT44" i="8"/>
  <c r="K57" i="1" s="1"/>
  <c r="K121" i="1" s="1"/>
  <c r="AT33" i="8"/>
  <c r="K42" i="1" s="1"/>
  <c r="K110" i="1" s="1"/>
  <c r="F9" i="8"/>
  <c r="F18" i="8"/>
  <c r="F32" i="8"/>
  <c r="F10" i="8"/>
  <c r="F19" i="8"/>
  <c r="F11" i="8"/>
  <c r="AT43" i="8"/>
  <c r="K56" i="1" s="1"/>
  <c r="K120" i="1" s="1"/>
  <c r="AT18" i="8"/>
  <c r="K21" i="1" s="1"/>
  <c r="AT16" i="8"/>
  <c r="K19" i="1" s="1"/>
  <c r="AT9" i="8"/>
  <c r="AT10" i="8"/>
  <c r="K9" i="1" s="1"/>
  <c r="AT5" i="8"/>
  <c r="AT6" i="8"/>
  <c r="K5" i="1" s="1"/>
  <c r="G8" i="6" s="1"/>
  <c r="AT50" i="8"/>
  <c r="K63" i="1" s="1"/>
  <c r="K127" i="1" s="1"/>
  <c r="AA16" i="8"/>
  <c r="E19" i="1" s="1"/>
  <c r="AA17" i="8"/>
  <c r="E20" i="1" s="1"/>
  <c r="CF42" i="8"/>
  <c r="CF32" i="8"/>
  <c r="AT46" i="8"/>
  <c r="K59" i="1" s="1"/>
  <c r="K123" i="1" s="1"/>
  <c r="AT38" i="8"/>
  <c r="K47" i="1" s="1"/>
  <c r="K115" i="1" s="1"/>
  <c r="AA18" i="8"/>
  <c r="E21" i="1" s="1"/>
  <c r="AT42" i="8"/>
  <c r="AT37" i="8"/>
  <c r="K46" i="1" s="1"/>
  <c r="K114" i="1" s="1"/>
  <c r="AA19" i="8"/>
  <c r="E22" i="1" s="1"/>
  <c r="AT45" i="8"/>
  <c r="K58" i="1" s="1"/>
  <c r="K122" i="1" s="1"/>
  <c r="AT36" i="8"/>
  <c r="AT51" i="8"/>
  <c r="K64" i="1" s="1"/>
  <c r="K128" i="1" s="1"/>
  <c r="AA23" i="8"/>
  <c r="E26" i="1" s="1"/>
  <c r="CF22" i="8"/>
  <c r="I27" i="1" s="1"/>
  <c r="I128" i="1" s="1"/>
  <c r="CF10" i="8"/>
  <c r="I9" i="1" s="1"/>
  <c r="I114" i="1" s="1"/>
  <c r="CF48" i="8"/>
  <c r="CF38" i="8"/>
  <c r="CF6" i="8"/>
  <c r="I5" i="1" s="1"/>
  <c r="CF11" i="8"/>
  <c r="I10" i="1" s="1"/>
  <c r="I115" i="1" s="1"/>
  <c r="CF49" i="8"/>
  <c r="CF5" i="8"/>
  <c r="CF36" i="8"/>
  <c r="CF9" i="8"/>
  <c r="CF16" i="8"/>
  <c r="I20" i="1" s="1"/>
  <c r="I121" i="1" s="1"/>
  <c r="CF43" i="8"/>
  <c r="CF33" i="8"/>
  <c r="CF37" i="8"/>
  <c r="CF21" i="8"/>
  <c r="I26" i="1" s="1"/>
  <c r="I127" i="1" s="1"/>
  <c r="CF17" i="8"/>
  <c r="I21" i="1" s="1"/>
  <c r="I122" i="1" s="1"/>
  <c r="BP11" i="8"/>
  <c r="G10" i="1" s="1"/>
  <c r="G115" i="1" s="1"/>
  <c r="BP22" i="8"/>
  <c r="G27" i="1" s="1"/>
  <c r="G128" i="1" s="1"/>
  <c r="BP6" i="8"/>
  <c r="G5" i="1" s="1"/>
  <c r="BP16" i="8"/>
  <c r="BP10" i="8"/>
  <c r="G9" i="1" s="1"/>
  <c r="BP17" i="8"/>
  <c r="G21" i="1" s="1"/>
  <c r="G122" i="1" s="1"/>
  <c r="BP21" i="8"/>
  <c r="G26" i="1" s="1"/>
  <c r="G127" i="1" s="1"/>
  <c r="BP9" i="8"/>
  <c r="BC33" i="8"/>
  <c r="M42" i="1" s="1"/>
  <c r="M110" i="1" s="1"/>
  <c r="BC51" i="8"/>
  <c r="M64" i="1" s="1"/>
  <c r="M128" i="1" s="1"/>
  <c r="BC42" i="8"/>
  <c r="BC32" i="8"/>
  <c r="BC17" i="8"/>
  <c r="M20" i="1" s="1"/>
  <c r="BC9" i="8"/>
  <c r="BC6" i="8"/>
  <c r="M5" i="1" s="1"/>
  <c r="H8" i="6" s="1"/>
  <c r="BC16" i="8"/>
  <c r="M19" i="1" s="1"/>
  <c r="BC11" i="8"/>
  <c r="M10" i="1" s="1"/>
  <c r="BC24" i="8"/>
  <c r="M27" i="1" s="1"/>
  <c r="BC43" i="8"/>
  <c r="M56" i="1" s="1"/>
  <c r="M120" i="1" s="1"/>
  <c r="BC37" i="8"/>
  <c r="M46" i="1" s="1"/>
  <c r="M114" i="1" s="1"/>
  <c r="BC19" i="8"/>
  <c r="M22" i="1" s="1"/>
  <c r="BC18" i="8"/>
  <c r="M21" i="1" s="1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M26" i="1" s="1"/>
  <c r="BC5" i="8"/>
  <c r="BC10" i="8"/>
  <c r="M9" i="1" s="1"/>
  <c r="BC15" i="8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C9" i="1" s="1"/>
  <c r="K11" i="8"/>
  <c r="C10" i="1" s="1"/>
  <c r="K9" i="8"/>
  <c r="K16" i="8"/>
  <c r="C19" i="1" s="1"/>
  <c r="K17" i="8"/>
  <c r="C20" i="1" s="1"/>
  <c r="K18" i="8"/>
  <c r="K19" i="8"/>
  <c r="C22" i="1" s="1"/>
  <c r="K15" i="8"/>
  <c r="C18" i="1" s="1"/>
  <c r="K23" i="8"/>
  <c r="CF45" i="8" l="1"/>
  <c r="CG45" i="8" s="1"/>
  <c r="CF39" i="8"/>
  <c r="CG39" i="8" s="1"/>
  <c r="CF34" i="8"/>
  <c r="I19" i="1"/>
  <c r="CF18" i="8"/>
  <c r="CG18" i="8" s="1"/>
  <c r="I8" i="1"/>
  <c r="CF12" i="8"/>
  <c r="CG12" i="8" s="1"/>
  <c r="I110" i="1"/>
  <c r="F8" i="6"/>
  <c r="I4" i="1"/>
  <c r="I109" i="1" s="1"/>
  <c r="CF7" i="8"/>
  <c r="CG7" i="8" s="1"/>
  <c r="G20" i="1"/>
  <c r="BP18" i="8"/>
  <c r="BQ18" i="8" s="1"/>
  <c r="G82" i="1"/>
  <c r="G114" i="1"/>
  <c r="G8" i="1"/>
  <c r="G113" i="1" s="1"/>
  <c r="BP12" i="8"/>
  <c r="BQ12" i="8" s="1"/>
  <c r="G110" i="1"/>
  <c r="E8" i="6"/>
  <c r="G4" i="1"/>
  <c r="BP7" i="8"/>
  <c r="BQ7" i="8" s="1"/>
  <c r="M55" i="1"/>
  <c r="M119" i="1" s="1"/>
  <c r="BC47" i="8"/>
  <c r="BD47" i="8" s="1"/>
  <c r="M45" i="1"/>
  <c r="M113" i="1" s="1"/>
  <c r="BC39" i="8"/>
  <c r="BD39" i="8" s="1"/>
  <c r="M41" i="1"/>
  <c r="M109" i="1" s="1"/>
  <c r="BC34" i="8"/>
  <c r="M18" i="1"/>
  <c r="M23" i="1" s="1"/>
  <c r="BC20" i="8"/>
  <c r="BD20" i="8" s="1"/>
  <c r="M8" i="1"/>
  <c r="BC12" i="8"/>
  <c r="BD12" i="8" s="1"/>
  <c r="M4" i="1"/>
  <c r="BC7" i="8"/>
  <c r="BD7" i="8" s="1"/>
  <c r="K55" i="1"/>
  <c r="K119" i="1" s="1"/>
  <c r="AT47" i="8"/>
  <c r="AU47" i="8" s="1"/>
  <c r="K45" i="1"/>
  <c r="K113" i="1" s="1"/>
  <c r="AT39" i="8"/>
  <c r="AU39" i="8" s="1"/>
  <c r="K41" i="1"/>
  <c r="K109" i="1" s="1"/>
  <c r="AT34" i="8"/>
  <c r="AU34" i="8" s="1"/>
  <c r="K18" i="1"/>
  <c r="K23" i="1" s="1"/>
  <c r="AT20" i="8"/>
  <c r="AU20" i="8" s="1"/>
  <c r="K8" i="1"/>
  <c r="AT12" i="8"/>
  <c r="AU12" i="8" s="1"/>
  <c r="K4" i="1"/>
  <c r="AT7" i="8"/>
  <c r="E18" i="1"/>
  <c r="E23" i="1" s="1"/>
  <c r="AA20" i="8"/>
  <c r="AA21" i="8" s="1"/>
  <c r="AA25" i="8" s="1"/>
  <c r="AB25" i="8" s="1"/>
  <c r="C41" i="1"/>
  <c r="C109" i="1" s="1"/>
  <c r="K12" i="8"/>
  <c r="C8" i="1"/>
  <c r="C5" i="1"/>
  <c r="C8" i="6" s="1"/>
  <c r="K7" i="8"/>
  <c r="K13" i="8" s="1"/>
  <c r="K26" i="8" s="1"/>
  <c r="I56" i="9"/>
  <c r="K20" i="8"/>
  <c r="K21" i="8" s="1"/>
  <c r="K25" i="8" s="1"/>
  <c r="L25" i="8" s="1"/>
  <c r="C21" i="1"/>
  <c r="C23" i="1" s="1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L7" i="8"/>
  <c r="K33" i="8"/>
  <c r="K37" i="8"/>
  <c r="K45" i="8"/>
  <c r="K43" i="8"/>
  <c r="L11" i="8"/>
  <c r="L12" i="8"/>
  <c r="L19" i="8"/>
  <c r="L10" i="8"/>
  <c r="L18" i="8"/>
  <c r="L9" i="8"/>
  <c r="L26" i="8"/>
  <c r="L17" i="8"/>
  <c r="L16" i="8"/>
  <c r="L6" i="8"/>
  <c r="L15" i="8"/>
  <c r="L5" i="8"/>
  <c r="L23" i="8"/>
  <c r="L13" i="8"/>
  <c r="L32" i="8"/>
  <c r="K38" i="8"/>
  <c r="K46" i="8"/>
  <c r="K44" i="8"/>
  <c r="C57" i="1" s="1"/>
  <c r="C121" i="1" s="1"/>
  <c r="K51" i="8"/>
  <c r="K42" i="8"/>
  <c r="K50" i="8"/>
  <c r="K36" i="8"/>
  <c r="C45" i="1" s="1"/>
  <c r="C113" i="1" s="1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CF40" i="8" l="1"/>
  <c r="CG40" i="8" s="1"/>
  <c r="CG34" i="8"/>
  <c r="I120" i="1"/>
  <c r="I23" i="1"/>
  <c r="CF13" i="8"/>
  <c r="CG13" i="8" s="1"/>
  <c r="I113" i="1"/>
  <c r="I11" i="1"/>
  <c r="G23" i="1"/>
  <c r="BP13" i="8"/>
  <c r="BQ13" i="8" s="1"/>
  <c r="H4" i="1"/>
  <c r="H5" i="1"/>
  <c r="G109" i="1"/>
  <c r="BC40" i="8"/>
  <c r="BD40" i="8" s="1"/>
  <c r="BC13" i="8"/>
  <c r="BD13" i="8" s="1"/>
  <c r="BC26" i="8"/>
  <c r="BD26" i="8" s="1"/>
  <c r="AT13" i="8"/>
  <c r="AU13" i="8" s="1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E122" i="1" s="1"/>
  <c r="AB44" i="8"/>
  <c r="E57" i="1"/>
  <c r="E121" i="1" s="1"/>
  <c r="AB43" i="8"/>
  <c r="E56" i="1"/>
  <c r="E120" i="1" s="1"/>
  <c r="AB42" i="8"/>
  <c r="E55" i="1"/>
  <c r="E119" i="1" s="1"/>
  <c r="AA47" i="8"/>
  <c r="AB47" i="8" s="1"/>
  <c r="AB38" i="8"/>
  <c r="E47" i="1"/>
  <c r="E115" i="1" s="1"/>
  <c r="AA39" i="8"/>
  <c r="AB20" i="8"/>
  <c r="AB21" i="8"/>
  <c r="L51" i="8"/>
  <c r="C64" i="1"/>
  <c r="C128" i="1" s="1"/>
  <c r="L50" i="8"/>
  <c r="C63" i="1"/>
  <c r="C127" i="1" s="1"/>
  <c r="L46" i="8"/>
  <c r="C59" i="1"/>
  <c r="C123" i="1" s="1"/>
  <c r="L45" i="8"/>
  <c r="C58" i="1"/>
  <c r="C122" i="1" s="1"/>
  <c r="L43" i="8"/>
  <c r="C56" i="1"/>
  <c r="C120" i="1" s="1"/>
  <c r="L42" i="8"/>
  <c r="C55" i="1"/>
  <c r="C119" i="1" s="1"/>
  <c r="K47" i="8"/>
  <c r="L38" i="8"/>
  <c r="C47" i="1"/>
  <c r="C115" i="1" s="1"/>
  <c r="L37" i="8"/>
  <c r="C46" i="1"/>
  <c r="C114" i="1" s="1"/>
  <c r="L33" i="8"/>
  <c r="C42" i="1"/>
  <c r="C110" i="1" s="1"/>
  <c r="K34" i="8"/>
  <c r="L34" i="8" s="1"/>
  <c r="L21" i="8"/>
  <c r="L20" i="8"/>
  <c r="L36" i="8"/>
  <c r="K39" i="8"/>
  <c r="L44" i="8"/>
  <c r="K24" i="8"/>
  <c r="L24" i="8" s="1"/>
  <c r="CF46" i="8" l="1"/>
  <c r="CF51" i="8"/>
  <c r="CG51" i="8" s="1"/>
  <c r="CF24" i="8"/>
  <c r="CG24" i="8" s="1"/>
  <c r="CF19" i="8"/>
  <c r="CF23" i="8" s="1"/>
  <c r="CG23" i="8" s="1"/>
  <c r="G121" i="1"/>
  <c r="G60" i="1"/>
  <c r="G124" i="1" s="1"/>
  <c r="BP19" i="8"/>
  <c r="BP24" i="8"/>
  <c r="BQ24" i="8" s="1"/>
  <c r="BP23" i="8"/>
  <c r="BQ23" i="8" s="1"/>
  <c r="BQ19" i="8"/>
  <c r="BC48" i="8"/>
  <c r="BC52" i="8" s="1"/>
  <c r="BD52" i="8" s="1"/>
  <c r="BC53" i="8"/>
  <c r="BD53" i="8" s="1"/>
  <c r="BC21" i="8"/>
  <c r="BC25" i="8" s="1"/>
  <c r="BD25" i="8" s="1"/>
  <c r="AT21" i="8"/>
  <c r="AT25" i="8" s="1"/>
  <c r="AU25" i="8" s="1"/>
  <c r="AT26" i="8"/>
  <c r="AU26" i="8" s="1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2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CG46" i="8" l="1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24" i="1"/>
  <c r="AM119" i="1"/>
  <c r="AM114" i="1"/>
  <c r="AM115" i="1"/>
  <c r="AM113" i="1"/>
  <c r="AM110" i="1"/>
  <c r="AM109" i="1"/>
  <c r="AM96" i="1"/>
  <c r="AM95" i="1"/>
  <c r="AM88" i="1"/>
  <c r="AM89" i="1"/>
  <c r="AM90" i="1"/>
  <c r="AM91" i="1"/>
  <c r="AM92" i="1"/>
  <c r="AM87" i="1"/>
  <c r="AM82" i="1"/>
  <c r="AM83" i="1"/>
  <c r="AM81" i="1"/>
  <c r="AM78" i="1"/>
  <c r="AM77" i="1"/>
  <c r="Y114" i="1"/>
  <c r="Y115" i="1"/>
  <c r="Y113" i="1"/>
  <c r="Y128" i="1"/>
  <c r="Y127" i="1"/>
  <c r="W128" i="1"/>
  <c r="W127" i="1"/>
  <c r="Y120" i="1"/>
  <c r="Y121" i="1"/>
  <c r="Y122" i="1"/>
  <c r="Y123" i="1"/>
  <c r="Y119" i="1"/>
  <c r="W120" i="1"/>
  <c r="W121" i="1"/>
  <c r="W122" i="1"/>
  <c r="W123" i="1"/>
  <c r="W119" i="1"/>
  <c r="W114" i="1"/>
  <c r="W115" i="1"/>
  <c r="W113" i="1"/>
  <c r="Y110" i="1"/>
  <c r="W110" i="1"/>
  <c r="W109" i="1"/>
  <c r="Y92" i="1"/>
  <c r="W92" i="1"/>
  <c r="Y96" i="1"/>
  <c r="Y95" i="1"/>
  <c r="W96" i="1"/>
  <c r="W95" i="1"/>
  <c r="Y88" i="1"/>
  <c r="Y89" i="1"/>
  <c r="Y90" i="1"/>
  <c r="Y91" i="1"/>
  <c r="Y87" i="1"/>
  <c r="Y82" i="1"/>
  <c r="Y83" i="1"/>
  <c r="Y81" i="1"/>
  <c r="AC19" i="1"/>
  <c r="AA19" i="1"/>
  <c r="S19" i="1"/>
  <c r="W88" i="1"/>
  <c r="W89" i="1"/>
  <c r="W90" i="1"/>
  <c r="W91" i="1"/>
  <c r="W87" i="1"/>
  <c r="W82" i="1"/>
  <c r="W83" i="1"/>
  <c r="W81" i="1"/>
  <c r="Y78" i="1"/>
  <c r="Z96" i="1"/>
  <c r="AA52" i="8" l="1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W124" i="1"/>
  <c r="X124" i="1" s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AM85" i="1" l="1"/>
  <c r="AN85" i="1" s="1"/>
  <c r="W56" i="1"/>
  <c r="X56" i="1" s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Y56" i="1"/>
  <c r="Z56" i="1" s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Y124" i="1"/>
  <c r="Z124" i="1" s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AI4" i="1"/>
  <c r="P72" i="4" s="1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B2" i="5"/>
  <c r="N92" i="4" l="1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G6" i="1" l="1"/>
  <c r="G79" i="1" s="1"/>
  <c r="H79" i="1" s="1"/>
  <c r="J8" i="1"/>
  <c r="L15" i="1"/>
  <c r="M6" i="1"/>
  <c r="G11" i="1"/>
  <c r="H9" i="1"/>
  <c r="I84" i="1"/>
  <c r="J84" i="1" s="1"/>
  <c r="D33" i="1"/>
  <c r="L33" i="1"/>
  <c r="H14" i="1"/>
  <c r="J51" i="1" s="1"/>
  <c r="N14" i="1"/>
  <c r="O14" i="1"/>
  <c r="H15" i="1"/>
  <c r="O52" i="1" s="1"/>
  <c r="N15" i="1"/>
  <c r="O15" i="1"/>
  <c r="N18" i="1"/>
  <c r="H19" i="1"/>
  <c r="N20" i="1"/>
  <c r="H21" i="1"/>
  <c r="N22" i="1"/>
  <c r="H23" i="1"/>
  <c r="C26" i="1"/>
  <c r="H26" i="1"/>
  <c r="C27" i="1"/>
  <c r="N27" i="1"/>
  <c r="H31" i="1"/>
  <c r="J31" i="1"/>
  <c r="H33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0" i="1"/>
  <c r="H63" i="1"/>
  <c r="J63" i="1"/>
  <c r="J64" i="1"/>
  <c r="J48" i="1" l="1"/>
  <c r="I116" i="1"/>
  <c r="H48" i="1"/>
  <c r="G116" i="1"/>
  <c r="F15" i="1"/>
  <c r="O4" i="1"/>
  <c r="E6" i="1"/>
  <c r="F6" i="1" s="1"/>
  <c r="N5" i="1"/>
  <c r="H5" i="6" s="1"/>
  <c r="C6" i="1"/>
  <c r="F33" i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C43" i="1"/>
  <c r="D52" i="1"/>
  <c r="D58" i="1"/>
  <c r="D55" i="1"/>
  <c r="D41" i="1"/>
  <c r="O22" i="1"/>
  <c r="D46" i="1"/>
  <c r="O5" i="1"/>
  <c r="O59" i="1"/>
  <c r="O123" i="1" s="1"/>
  <c r="K43" i="1"/>
  <c r="D45" i="1"/>
  <c r="M11" i="1"/>
  <c r="M13" i="1" s="1"/>
  <c r="L9" i="1"/>
  <c r="O56" i="1"/>
  <c r="O120" i="1" s="1"/>
  <c r="O55" i="1"/>
  <c r="O119" i="1" s="1"/>
  <c r="F31" i="1"/>
  <c r="O21" i="1"/>
  <c r="L14" i="1"/>
  <c r="D64" i="1"/>
  <c r="D56" i="1"/>
  <c r="L23" i="1"/>
  <c r="L20" i="1"/>
  <c r="O8" i="1"/>
  <c r="O64" i="1"/>
  <c r="O128" i="1" s="1"/>
  <c r="O46" i="1"/>
  <c r="D59" i="1"/>
  <c r="M60" i="1"/>
  <c r="O41" i="1"/>
  <c r="O109" i="1" s="1"/>
  <c r="N31" i="1"/>
  <c r="D21" i="1"/>
  <c r="O19" i="1"/>
  <c r="D15" i="1"/>
  <c r="E11" i="1"/>
  <c r="L8" i="1"/>
  <c r="P34" i="4"/>
  <c r="D63" i="1"/>
  <c r="O57" i="1"/>
  <c r="O121" i="1" s="1"/>
  <c r="L56" i="1"/>
  <c r="L55" i="1"/>
  <c r="E48" i="1"/>
  <c r="N10" i="1"/>
  <c r="K11" i="1"/>
  <c r="L11" i="1" s="1"/>
  <c r="L59" i="1"/>
  <c r="E60" i="1"/>
  <c r="F57" i="1"/>
  <c r="N33" i="1"/>
  <c r="D23" i="1"/>
  <c r="O20" i="1"/>
  <c r="F5" i="1"/>
  <c r="D5" i="6" s="1"/>
  <c r="P51" i="4"/>
  <c r="M48" i="1"/>
  <c r="O27" i="1"/>
  <c r="O26" i="1"/>
  <c r="C60" i="1"/>
  <c r="D57" i="1"/>
  <c r="F10" i="1"/>
  <c r="O9" i="1"/>
  <c r="D5" i="1"/>
  <c r="C5" i="6" s="1"/>
  <c r="P70" i="4"/>
  <c r="I50" i="1"/>
  <c r="J50" i="1" s="1"/>
  <c r="H11" i="1"/>
  <c r="G84" i="1"/>
  <c r="H84" i="1" s="1"/>
  <c r="H6" i="1"/>
  <c r="G13" i="1"/>
  <c r="G16" i="1" s="1"/>
  <c r="J33" i="1"/>
  <c r="D31" i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C11" i="1"/>
  <c r="D11" i="1" s="1"/>
  <c r="K6" i="1"/>
  <c r="L31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P33" i="1" s="1"/>
  <c r="I6" i="1"/>
  <c r="J20" i="1"/>
  <c r="H43" i="1"/>
  <c r="G50" i="1"/>
  <c r="G53" i="1" s="1"/>
  <c r="G117" i="1" s="1"/>
  <c r="O63" i="1"/>
  <c r="O127" i="1" s="1"/>
  <c r="K60" i="1"/>
  <c r="O58" i="1"/>
  <c r="O122" i="1" s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I60" i="1"/>
  <c r="N45" i="1"/>
  <c r="N64" i="1"/>
  <c r="F64" i="1"/>
  <c r="N59" i="1"/>
  <c r="F59" i="1"/>
  <c r="N55" i="1"/>
  <c r="F55" i="1"/>
  <c r="K48" i="1"/>
  <c r="K116" i="1" s="1"/>
  <c r="C48" i="1"/>
  <c r="C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C102" i="1"/>
  <c r="C100" i="1"/>
  <c r="AS60" i="1"/>
  <c r="AS59" i="1"/>
  <c r="AQ60" i="1"/>
  <c r="AQ59" i="1"/>
  <c r="AK60" i="1"/>
  <c r="AK59" i="1"/>
  <c r="AI60" i="1"/>
  <c r="AI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I52" i="1"/>
  <c r="AI53" i="1"/>
  <c r="AI54" i="1"/>
  <c r="AI55" i="1"/>
  <c r="AI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I46" i="1"/>
  <c r="AI47" i="1"/>
  <c r="AI45" i="1"/>
  <c r="AQ42" i="1"/>
  <c r="AK42" i="1"/>
  <c r="AK41" i="1"/>
  <c r="AI42" i="1"/>
  <c r="AI41" i="1"/>
  <c r="AC60" i="1"/>
  <c r="AC59" i="1"/>
  <c r="AA60" i="1"/>
  <c r="AA59" i="1"/>
  <c r="U60" i="1"/>
  <c r="U59" i="1"/>
  <c r="S60" i="1"/>
  <c r="S59" i="1"/>
  <c r="U52" i="1"/>
  <c r="U53" i="1"/>
  <c r="U54" i="1"/>
  <c r="U55" i="1"/>
  <c r="U51" i="1"/>
  <c r="S52" i="1"/>
  <c r="S53" i="1"/>
  <c r="S54" i="1"/>
  <c r="S55" i="1"/>
  <c r="S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S46" i="1"/>
  <c r="S47" i="1"/>
  <c r="S45" i="1"/>
  <c r="U42" i="1"/>
  <c r="U41" i="1"/>
  <c r="S42" i="1"/>
  <c r="S41" i="1"/>
  <c r="AS23" i="1"/>
  <c r="AS22" i="1"/>
  <c r="AQ23" i="1"/>
  <c r="AQ22" i="1"/>
  <c r="AK23" i="1"/>
  <c r="AK22" i="1"/>
  <c r="AI23" i="1"/>
  <c r="AI22" i="1"/>
  <c r="AQ15" i="1"/>
  <c r="AQ16" i="1"/>
  <c r="AQ17" i="1"/>
  <c r="AQ18" i="1"/>
  <c r="AQ14" i="1"/>
  <c r="AK15" i="1"/>
  <c r="AK16" i="1"/>
  <c r="AK17" i="1"/>
  <c r="AK18" i="1"/>
  <c r="AK14" i="1"/>
  <c r="AI15" i="1"/>
  <c r="AI16" i="1"/>
  <c r="AI17" i="1"/>
  <c r="AI18" i="1"/>
  <c r="AI14" i="1"/>
  <c r="AS15" i="1"/>
  <c r="AS16" i="1"/>
  <c r="AS17" i="1"/>
  <c r="AS18" i="1"/>
  <c r="AS14" i="1"/>
  <c r="AS9" i="1"/>
  <c r="AS10" i="1"/>
  <c r="AS8" i="1"/>
  <c r="AS5" i="1"/>
  <c r="AS4" i="1"/>
  <c r="P92" i="4" s="1"/>
  <c r="AQ9" i="1"/>
  <c r="AQ10" i="1"/>
  <c r="AQ8" i="1"/>
  <c r="AQ5" i="1"/>
  <c r="AQ4" i="1"/>
  <c r="P36" i="4" s="1"/>
  <c r="AK9" i="1"/>
  <c r="AK10" i="1"/>
  <c r="AK8" i="1"/>
  <c r="AI9" i="1"/>
  <c r="AI10" i="1"/>
  <c r="AI8" i="1"/>
  <c r="AK5" i="1"/>
  <c r="AK4" i="1"/>
  <c r="P53" i="4" s="1"/>
  <c r="AI5" i="1"/>
  <c r="AC23" i="1"/>
  <c r="AC22" i="1"/>
  <c r="AA23" i="1"/>
  <c r="AA22" i="1"/>
  <c r="U23" i="1"/>
  <c r="U22" i="1"/>
  <c r="S23" i="1"/>
  <c r="S22" i="1"/>
  <c r="AC15" i="1"/>
  <c r="AC16" i="1"/>
  <c r="AC17" i="1"/>
  <c r="AC18" i="1"/>
  <c r="AC14" i="1"/>
  <c r="AA15" i="1"/>
  <c r="AA16" i="1"/>
  <c r="AA17" i="1"/>
  <c r="AA18" i="1"/>
  <c r="AA14" i="1"/>
  <c r="U15" i="1"/>
  <c r="U16" i="1"/>
  <c r="U17" i="1"/>
  <c r="U18" i="1"/>
  <c r="U14" i="1"/>
  <c r="S15" i="1"/>
  <c r="S16" i="1"/>
  <c r="S17" i="1"/>
  <c r="S18" i="1"/>
  <c r="S14" i="1"/>
  <c r="AC9" i="1"/>
  <c r="AC10" i="1"/>
  <c r="AC8" i="1"/>
  <c r="AC5" i="1"/>
  <c r="AC4" i="1"/>
  <c r="P91" i="4" s="1"/>
  <c r="AA5" i="1"/>
  <c r="AA9" i="1"/>
  <c r="AA10" i="1"/>
  <c r="AA8" i="1"/>
  <c r="U9" i="1"/>
  <c r="U10" i="1"/>
  <c r="U8" i="1"/>
  <c r="S9" i="1"/>
  <c r="S10" i="1"/>
  <c r="S8" i="1"/>
  <c r="U5" i="1"/>
  <c r="U4" i="1"/>
  <c r="P52" i="4" s="1"/>
  <c r="S5" i="1"/>
  <c r="S4" i="1"/>
  <c r="P71" i="4" s="1"/>
  <c r="K77" i="1"/>
  <c r="M96" i="1"/>
  <c r="M95" i="1"/>
  <c r="K96" i="1"/>
  <c r="K95" i="1"/>
  <c r="E96" i="1"/>
  <c r="E95" i="1"/>
  <c r="C96" i="1"/>
  <c r="C95" i="1"/>
  <c r="M92" i="1"/>
  <c r="K92" i="1"/>
  <c r="E92" i="1"/>
  <c r="C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C88" i="1"/>
  <c r="C89" i="1"/>
  <c r="C90" i="1"/>
  <c r="C91" i="1"/>
  <c r="C87" i="1"/>
  <c r="M82" i="1"/>
  <c r="M83" i="1"/>
  <c r="M81" i="1"/>
  <c r="K82" i="1"/>
  <c r="K83" i="1"/>
  <c r="K81" i="1"/>
  <c r="E82" i="1"/>
  <c r="E83" i="1"/>
  <c r="E81" i="1"/>
  <c r="C82" i="1"/>
  <c r="C83" i="1"/>
  <c r="C81" i="1"/>
  <c r="M77" i="1"/>
  <c r="K78" i="1"/>
  <c r="P123" i="4"/>
  <c r="P108" i="4"/>
  <c r="E78" i="1"/>
  <c r="C78" i="1"/>
  <c r="C77" i="1"/>
  <c r="N60" i="1" l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G28" i="1" s="1"/>
  <c r="G29" i="1"/>
  <c r="O23" i="1"/>
  <c r="P23" i="1" s="1"/>
  <c r="D60" i="1"/>
  <c r="C124" i="1"/>
  <c r="D43" i="1"/>
  <c r="C111" i="1"/>
  <c r="O60" i="1"/>
  <c r="F11" i="1"/>
  <c r="E13" i="1"/>
  <c r="D6" i="1"/>
  <c r="C13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I79" i="1"/>
  <c r="J79" i="1" s="1"/>
  <c r="J6" i="1"/>
  <c r="H16" i="1"/>
  <c r="P31" i="1"/>
  <c r="H13" i="1"/>
  <c r="O11" i="1"/>
  <c r="P11" i="1" s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P6" i="1" s="1"/>
  <c r="K13" i="1"/>
  <c r="L6" i="1"/>
  <c r="P58" i="1"/>
  <c r="F43" i="1"/>
  <c r="C50" i="1"/>
  <c r="D48" i="1"/>
  <c r="O48" i="1"/>
  <c r="H50" i="1"/>
  <c r="G66" i="1"/>
  <c r="G130" i="1" s="1"/>
  <c r="K50" i="1"/>
  <c r="L48" i="1"/>
  <c r="P45" i="1"/>
  <c r="AE22" i="1"/>
  <c r="AI56" i="1"/>
  <c r="D120" i="1"/>
  <c r="AI19" i="1"/>
  <c r="AN5" i="1"/>
  <c r="M78" i="1"/>
  <c r="N78" i="1" s="1"/>
  <c r="D68" i="1"/>
  <c r="D127" i="1"/>
  <c r="D70" i="1"/>
  <c r="C16" i="1" l="1"/>
  <c r="C29" i="1" s="1"/>
  <c r="N53" i="1"/>
  <c r="M117" i="1"/>
  <c r="M66" i="1"/>
  <c r="O114" i="1"/>
  <c r="J16" i="1"/>
  <c r="I29" i="1"/>
  <c r="I24" i="1"/>
  <c r="I28" i="1" s="1"/>
  <c r="G98" i="1"/>
  <c r="H29" i="1"/>
  <c r="G30" i="1"/>
  <c r="G97" i="1"/>
  <c r="H97" i="1" s="1"/>
  <c r="H28" i="1"/>
  <c r="P60" i="1"/>
  <c r="O124" i="1"/>
  <c r="E61" i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E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L50" i="1"/>
  <c r="K53" i="1"/>
  <c r="D50" i="1"/>
  <c r="C53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I48" i="1"/>
  <c r="AJ48" i="1" s="1"/>
  <c r="AI43" i="1"/>
  <c r="AJ43" i="1" s="1"/>
  <c r="AK43" i="1"/>
  <c r="AL43" i="1" s="1"/>
  <c r="AQ43" i="1"/>
  <c r="AR43" i="1" s="1"/>
  <c r="AS43" i="1"/>
  <c r="AT43" i="1" s="1"/>
  <c r="AS11" i="1"/>
  <c r="AQ11" i="1"/>
  <c r="AO11" i="1"/>
  <c r="AM11" i="1"/>
  <c r="AK11" i="1"/>
  <c r="AI11" i="1"/>
  <c r="C27" i="6" s="1"/>
  <c r="V8" i="1"/>
  <c r="AS6" i="1"/>
  <c r="AT6" i="1" s="1"/>
  <c r="AQ6" i="1"/>
  <c r="AR6" i="1" s="1"/>
  <c r="AK6" i="1"/>
  <c r="AL6" i="1" s="1"/>
  <c r="AI6" i="1"/>
  <c r="AT5" i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D16" i="1" l="1"/>
  <c r="P73" i="4"/>
  <c r="C98" i="1"/>
  <c r="D98" i="1" s="1"/>
  <c r="D29" i="1"/>
  <c r="C24" i="1"/>
  <c r="M130" i="1"/>
  <c r="N130" i="1" s="1"/>
  <c r="N66" i="1"/>
  <c r="N61" i="1"/>
  <c r="M125" i="1"/>
  <c r="M65" i="1"/>
  <c r="K117" i="1"/>
  <c r="K66" i="1"/>
  <c r="K29" i="1"/>
  <c r="K24" i="1"/>
  <c r="K28" i="1" s="1"/>
  <c r="I30" i="1"/>
  <c r="I97" i="1"/>
  <c r="J97" i="1" s="1"/>
  <c r="J28" i="1"/>
  <c r="I98" i="1"/>
  <c r="J29" i="1"/>
  <c r="H30" i="1"/>
  <c r="G32" i="1"/>
  <c r="G99" i="1"/>
  <c r="H99" i="1" s="1"/>
  <c r="H98" i="1"/>
  <c r="P111" i="4"/>
  <c r="E29" i="1"/>
  <c r="E24" i="1"/>
  <c r="E28" i="1" s="1"/>
  <c r="E130" i="1"/>
  <c r="F130" i="1" s="1"/>
  <c r="F66" i="1"/>
  <c r="F61" i="1"/>
  <c r="E125" i="1"/>
  <c r="E65" i="1"/>
  <c r="C117" i="1"/>
  <c r="C66" i="1"/>
  <c r="O66" i="1"/>
  <c r="O117" i="1"/>
  <c r="J66" i="1"/>
  <c r="J130" i="1"/>
  <c r="J61" i="1"/>
  <c r="I65" i="1"/>
  <c r="I129" i="1" s="1"/>
  <c r="H61" i="1"/>
  <c r="G65" i="1"/>
  <c r="G129" i="1" s="1"/>
  <c r="M30" i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O16" i="1"/>
  <c r="O24" i="1" s="1"/>
  <c r="O28" i="1" s="1"/>
  <c r="P13" i="1"/>
  <c r="L53" i="1"/>
  <c r="K61" i="1"/>
  <c r="D53" i="1"/>
  <c r="C61" i="1"/>
  <c r="O61" i="1"/>
  <c r="P53" i="1"/>
  <c r="AL11" i="1"/>
  <c r="D24" i="6" s="1"/>
  <c r="D27" i="6"/>
  <c r="AI12" i="1"/>
  <c r="AN11" i="1"/>
  <c r="E27" i="6"/>
  <c r="AJ11" i="1"/>
  <c r="C24" i="6" s="1"/>
  <c r="AP11" i="1"/>
  <c r="F27" i="6"/>
  <c r="AO6" i="1"/>
  <c r="AR11" i="1"/>
  <c r="G27" i="6"/>
  <c r="AT11" i="1"/>
  <c r="H27" i="6"/>
  <c r="AP5" i="1"/>
  <c r="AJ6" i="1"/>
  <c r="AQ49" i="1"/>
  <c r="AR49" i="1" s="1"/>
  <c r="AS49" i="1"/>
  <c r="AK49" i="1"/>
  <c r="AL49" i="1" s="1"/>
  <c r="AI49" i="1"/>
  <c r="AJ49" i="1" s="1"/>
  <c r="AS12" i="1"/>
  <c r="AT12" i="1" s="1"/>
  <c r="AQ12" i="1"/>
  <c r="AR12" i="1" s="1"/>
  <c r="AK12" i="1"/>
  <c r="AL12" i="1" s="1"/>
  <c r="C28" i="1" l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K30" i="1"/>
  <c r="L28" i="1"/>
  <c r="K97" i="1"/>
  <c r="L97" i="1" s="1"/>
  <c r="L29" i="1"/>
  <c r="P37" i="4"/>
  <c r="K98" i="1"/>
  <c r="L98" i="1" s="1"/>
  <c r="J98" i="1"/>
  <c r="P126" i="4"/>
  <c r="I32" i="1"/>
  <c r="J30" i="1"/>
  <c r="I99" i="1"/>
  <c r="J99" i="1" s="1"/>
  <c r="G34" i="1"/>
  <c r="G101" i="1"/>
  <c r="H101" i="1" s="1"/>
  <c r="H32" i="1"/>
  <c r="F24" i="1"/>
  <c r="E30" i="1"/>
  <c r="E97" i="1"/>
  <c r="F97" i="1" s="1"/>
  <c r="F28" i="1"/>
  <c r="F29" i="1"/>
  <c r="P54" i="4"/>
  <c r="E98" i="1"/>
  <c r="F98" i="1" s="1"/>
  <c r="E129" i="1"/>
  <c r="F129" i="1" s="1"/>
  <c r="E67" i="1"/>
  <c r="F65" i="1"/>
  <c r="O65" i="1"/>
  <c r="O125" i="1"/>
  <c r="P66" i="1"/>
  <c r="O130" i="1"/>
  <c r="D61" i="1"/>
  <c r="C125" i="1"/>
  <c r="C65" i="1"/>
  <c r="C130" i="1"/>
  <c r="D130" i="1" s="1"/>
  <c r="D66" i="1"/>
  <c r="I67" i="1"/>
  <c r="J65" i="1"/>
  <c r="J129" i="1"/>
  <c r="G67" i="1"/>
  <c r="G131" i="1" s="1"/>
  <c r="H65" i="1"/>
  <c r="H129" i="1"/>
  <c r="M32" i="1"/>
  <c r="N30" i="1"/>
  <c r="M99" i="1"/>
  <c r="N99" i="1" s="1"/>
  <c r="AP6" i="1"/>
  <c r="AO12" i="1"/>
  <c r="O29" i="1"/>
  <c r="P29" i="1" s="1"/>
  <c r="P16" i="1"/>
  <c r="P61" i="1"/>
  <c r="AJ12" i="1"/>
  <c r="AI20" i="1"/>
  <c r="AJ20" i="1" s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68" i="1"/>
  <c r="O132" i="1" s="1"/>
  <c r="Z5" i="1"/>
  <c r="N68" i="1"/>
  <c r="C30" i="1" l="1"/>
  <c r="C97" i="1"/>
  <c r="D97" i="1" s="1"/>
  <c r="D28" i="1"/>
  <c r="M131" i="1"/>
  <c r="N67" i="1"/>
  <c r="K67" i="1"/>
  <c r="K129" i="1"/>
  <c r="L129" i="1" s="1"/>
  <c r="L65" i="1"/>
  <c r="K32" i="1"/>
  <c r="K99" i="1"/>
  <c r="L99" i="1" s="1"/>
  <c r="L30" i="1"/>
  <c r="J32" i="1"/>
  <c r="I34" i="1"/>
  <c r="I101" i="1"/>
  <c r="J101" i="1" s="1"/>
  <c r="J67" i="1"/>
  <c r="I131" i="1"/>
  <c r="H34" i="1"/>
  <c r="G103" i="1"/>
  <c r="H103" i="1" s="1"/>
  <c r="F30" i="1"/>
  <c r="E32" i="1"/>
  <c r="E99" i="1"/>
  <c r="F99" i="1" s="1"/>
  <c r="E131" i="1"/>
  <c r="F131" i="1" s="1"/>
  <c r="F67" i="1"/>
  <c r="C129" i="1"/>
  <c r="D129" i="1" s="1"/>
  <c r="C67" i="1"/>
  <c r="D65" i="1"/>
  <c r="O67" i="1"/>
  <c r="O131" i="1" s="1"/>
  <c r="O129" i="1"/>
  <c r="H67" i="1"/>
  <c r="H131" i="1"/>
  <c r="G69" i="1"/>
  <c r="M34" i="1"/>
  <c r="N32" i="1"/>
  <c r="M101" i="1"/>
  <c r="N101" i="1" s="1"/>
  <c r="P24" i="1"/>
  <c r="P65" i="1"/>
  <c r="AD5" i="1"/>
  <c r="AD18" i="1"/>
  <c r="AD17" i="1"/>
  <c r="AD8" i="1"/>
  <c r="AA56" i="1"/>
  <c r="AB56" i="1" s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S48" i="1"/>
  <c r="T48" i="1" s="1"/>
  <c r="AA48" i="1"/>
  <c r="AB48" i="1" s="1"/>
  <c r="AE16" i="1"/>
  <c r="BA16" i="1" s="1"/>
  <c r="AD14" i="1"/>
  <c r="S43" i="1"/>
  <c r="AA43" i="1"/>
  <c r="AB43" i="1" s="1"/>
  <c r="AE53" i="1"/>
  <c r="AC56" i="1"/>
  <c r="U56" i="1"/>
  <c r="AE52" i="1"/>
  <c r="AE55" i="1"/>
  <c r="S56" i="1"/>
  <c r="T56" i="1" s="1"/>
  <c r="Z14" i="1"/>
  <c r="AE46" i="1"/>
  <c r="AE47" i="1"/>
  <c r="AE45" i="1"/>
  <c r="AE42" i="1"/>
  <c r="AB4" i="1"/>
  <c r="AB14" i="1"/>
  <c r="AB23" i="1"/>
  <c r="AB5" i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X15" i="1"/>
  <c r="V19" i="1"/>
  <c r="V12" i="1"/>
  <c r="V22" i="1"/>
  <c r="V18" i="1"/>
  <c r="V11" i="1"/>
  <c r="D23" i="6" s="1"/>
  <c r="V14" i="1"/>
  <c r="V23" i="1"/>
  <c r="V5" i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BA23" i="1"/>
  <c r="AA6" i="1"/>
  <c r="AB6" i="1" s="1"/>
  <c r="AC6" i="1"/>
  <c r="AD6" i="1" s="1"/>
  <c r="U6" i="1"/>
  <c r="AD19" i="1"/>
  <c r="W11" i="1"/>
  <c r="Y6" i="1"/>
  <c r="Z6" i="1" s="1"/>
  <c r="U11" i="1"/>
  <c r="D26" i="6" s="1"/>
  <c r="S6" i="1"/>
  <c r="T6" i="1" s="1"/>
  <c r="AE8" i="1"/>
  <c r="BA8" i="1" s="1"/>
  <c r="AE10" i="1"/>
  <c r="BA10" i="1" s="1"/>
  <c r="X6" i="1"/>
  <c r="AE5" i="1"/>
  <c r="BA5" i="1" s="1"/>
  <c r="AE9" i="1"/>
  <c r="BA9" i="1" s="1"/>
  <c r="AC11" i="1"/>
  <c r="H26" i="6" s="1"/>
  <c r="AE4" i="1"/>
  <c r="S11" i="1"/>
  <c r="Y11" i="1"/>
  <c r="Z11" i="1" s="1"/>
  <c r="O81" i="1"/>
  <c r="AE17" i="1"/>
  <c r="BA17" i="1" s="1"/>
  <c r="AA11" i="1"/>
  <c r="G26" i="6" s="1"/>
  <c r="O78" i="1"/>
  <c r="AE18" i="1"/>
  <c r="BA18" i="1" s="1"/>
  <c r="O91" i="1"/>
  <c r="O77" i="1"/>
  <c r="O90" i="1"/>
  <c r="O89" i="1"/>
  <c r="O96" i="1"/>
  <c r="O95" i="1"/>
  <c r="D111" i="1"/>
  <c r="O82" i="1"/>
  <c r="O83" i="1"/>
  <c r="O88" i="1"/>
  <c r="AE15" i="1"/>
  <c r="BA15" i="1" s="1"/>
  <c r="O87" i="1"/>
  <c r="J68" i="1"/>
  <c r="L68" i="1"/>
  <c r="N70" i="1"/>
  <c r="L70" i="1"/>
  <c r="F68" i="1"/>
  <c r="H68" i="1"/>
  <c r="J70" i="1"/>
  <c r="H70" i="1"/>
  <c r="F70" i="1"/>
  <c r="N111" i="1"/>
  <c r="C32" i="1" l="1"/>
  <c r="D30" i="1"/>
  <c r="C99" i="1"/>
  <c r="D99" i="1" s="1"/>
  <c r="K131" i="1"/>
  <c r="L131" i="1" s="1"/>
  <c r="L67" i="1"/>
  <c r="K34" i="1"/>
  <c r="L32" i="1"/>
  <c r="K101" i="1"/>
  <c r="L101" i="1" s="1"/>
  <c r="J34" i="1"/>
  <c r="I103" i="1"/>
  <c r="J103" i="1" s="1"/>
  <c r="P67" i="1"/>
  <c r="G133" i="1"/>
  <c r="H133" i="1" s="1"/>
  <c r="E34" i="1"/>
  <c r="E101" i="1"/>
  <c r="F101" i="1" s="1"/>
  <c r="F32" i="1"/>
  <c r="C131" i="1"/>
  <c r="D131" i="1" s="1"/>
  <c r="D67" i="1"/>
  <c r="M103" i="1"/>
  <c r="N103" i="1" s="1"/>
  <c r="N34" i="1"/>
  <c r="P28" i="1"/>
  <c r="O30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C79" i="1"/>
  <c r="D79" i="1" s="1"/>
  <c r="D116" i="1"/>
  <c r="F116" i="1"/>
  <c r="H111" i="1"/>
  <c r="N116" i="1"/>
  <c r="F26" i="6"/>
  <c r="L111" i="1"/>
  <c r="C84" i="1"/>
  <c r="D84" i="1" s="1"/>
  <c r="T11" i="1"/>
  <c r="C23" i="6" s="1"/>
  <c r="C26" i="6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E56" i="1"/>
  <c r="AC57" i="1"/>
  <c r="AC61" i="1" s="1"/>
  <c r="AD61" i="1" s="1"/>
  <c r="S49" i="1"/>
  <c r="S62" i="1" s="1"/>
  <c r="T62" i="1" s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2" i="1" s="1"/>
  <c r="AD11" i="1"/>
  <c r="AA12" i="1"/>
  <c r="AA25" i="1" s="1"/>
  <c r="AB11" i="1"/>
  <c r="BA4" i="1"/>
  <c r="AF10" i="1"/>
  <c r="AF18" i="1"/>
  <c r="AF9" i="1"/>
  <c r="AF17" i="1"/>
  <c r="AF8" i="1"/>
  <c r="AF16" i="1"/>
  <c r="AF15" i="1"/>
  <c r="AF5" i="1"/>
  <c r="AF23" i="1"/>
  <c r="AF4" i="1"/>
  <c r="AF22" i="1"/>
  <c r="AE6" i="1"/>
  <c r="BA6" i="1" s="1"/>
  <c r="W12" i="1"/>
  <c r="Y12" i="1"/>
  <c r="Z12" i="1" s="1"/>
  <c r="U12" i="1"/>
  <c r="AE11" i="1"/>
  <c r="BA11" i="1" s="1"/>
  <c r="B26" i="6" s="1"/>
  <c r="S12" i="1"/>
  <c r="E69" i="1"/>
  <c r="E133" i="1" s="1"/>
  <c r="C69" i="1"/>
  <c r="P68" i="1"/>
  <c r="P70" i="1"/>
  <c r="J111" i="1"/>
  <c r="C34" i="1" l="1"/>
  <c r="D32" i="1"/>
  <c r="C101" i="1"/>
  <c r="D101" i="1" s="1"/>
  <c r="K133" i="1"/>
  <c r="L133" i="1" s="1"/>
  <c r="L34" i="1"/>
  <c r="K103" i="1"/>
  <c r="L103" i="1" s="1"/>
  <c r="E103" i="1"/>
  <c r="F103" i="1" s="1"/>
  <c r="F34" i="1"/>
  <c r="C133" i="1"/>
  <c r="D133" i="1" s="1"/>
  <c r="O32" i="1"/>
  <c r="P30" i="1"/>
  <c r="O99" i="1"/>
  <c r="P99" i="1" s="1"/>
  <c r="X12" i="1"/>
  <c r="W20" i="1"/>
  <c r="AF56" i="1"/>
  <c r="AF48" i="1"/>
  <c r="AF43" i="1"/>
  <c r="AB25" i="1"/>
  <c r="P38" i="4"/>
  <c r="L69" i="1"/>
  <c r="P111" i="1"/>
  <c r="V49" i="1"/>
  <c r="C85" i="1"/>
  <c r="D85" i="1" s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S57" i="1"/>
  <c r="T57" i="1" s="1"/>
  <c r="C71" i="1"/>
  <c r="C135" i="1" s="1"/>
  <c r="D69" i="1"/>
  <c r="AC25" i="1"/>
  <c r="T49" i="1"/>
  <c r="AB12" i="1"/>
  <c r="AA62" i="1"/>
  <c r="AB62" i="1" s="1"/>
  <c r="AB49" i="1"/>
  <c r="AA57" i="1"/>
  <c r="AC20" i="1"/>
  <c r="AD20" i="1" s="1"/>
  <c r="AE49" i="1"/>
  <c r="AF11" i="1"/>
  <c r="AF6" i="1"/>
  <c r="AE12" i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BB6" i="1"/>
  <c r="S25" i="1"/>
  <c r="T12" i="1"/>
  <c r="F69" i="1"/>
  <c r="D34" i="1" l="1"/>
  <c r="C103" i="1"/>
  <c r="D103" i="1" s="1"/>
  <c r="O101" i="1"/>
  <c r="P101" i="1" s="1"/>
  <c r="O34" i="1"/>
  <c r="P32" i="1"/>
  <c r="T25" i="1"/>
  <c r="P74" i="4"/>
  <c r="AD25" i="1"/>
  <c r="P94" i="4"/>
  <c r="AF49" i="1"/>
  <c r="S61" i="1"/>
  <c r="T61" i="1" s="1"/>
  <c r="D117" i="1"/>
  <c r="F117" i="1"/>
  <c r="D71" i="1"/>
  <c r="D135" i="1"/>
  <c r="V57" i="1"/>
  <c r="F71" i="1"/>
  <c r="F135" i="1"/>
  <c r="L117" i="1"/>
  <c r="N117" i="1"/>
  <c r="L71" i="1"/>
  <c r="L135" i="1"/>
  <c r="C93" i="1"/>
  <c r="D93" i="1" s="1"/>
  <c r="AC24" i="1"/>
  <c r="AD24" i="1" s="1"/>
  <c r="AA61" i="1"/>
  <c r="AB61" i="1" s="1"/>
  <c r="AB57" i="1"/>
  <c r="AE62" i="1"/>
  <c r="AE57" i="1"/>
  <c r="BA12" i="1"/>
  <c r="BB12" i="1" s="1"/>
  <c r="AF12" i="1"/>
  <c r="O103" i="1" l="1"/>
  <c r="P103" i="1" s="1"/>
  <c r="P34" i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C25" i="6" s="1"/>
  <c r="B8" i="6"/>
  <c r="B9" i="6"/>
  <c r="B10" i="6"/>
  <c r="M27" i="6"/>
  <c r="M24" i="6"/>
  <c r="M8" i="6"/>
  <c r="M10" i="6" l="1"/>
  <c r="M9" i="6"/>
  <c r="N18" i="4" l="1"/>
  <c r="N20" i="4"/>
  <c r="I149" i="4" l="1"/>
  <c r="B149" i="4"/>
  <c r="A149" i="4"/>
  <c r="D300" i="4"/>
  <c r="K19" i="4"/>
  <c r="L19" i="4"/>
  <c r="M19" i="4"/>
  <c r="B24" i="4"/>
  <c r="B19" i="4" s="1"/>
  <c r="C24" i="4"/>
  <c r="C19" i="4" s="1"/>
  <c r="D24" i="4"/>
  <c r="D19" i="4" s="1"/>
  <c r="E24" i="4"/>
  <c r="E19" i="4" s="1"/>
  <c r="F24" i="4"/>
  <c r="G24" i="4"/>
  <c r="G19" i="4" s="1"/>
  <c r="H24" i="4"/>
  <c r="M180" i="4" l="1"/>
  <c r="L180" i="4"/>
  <c r="K180" i="4"/>
  <c r="J180" i="4"/>
  <c r="D211" i="4" s="1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A167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C40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H129" i="4"/>
  <c r="G129" i="4"/>
  <c r="G167" i="4" s="1"/>
  <c r="F129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C115" i="4"/>
  <c r="B115" i="4"/>
  <c r="F113" i="4"/>
  <c r="E113" i="4"/>
  <c r="D113" i="4"/>
  <c r="C113" i="4"/>
  <c r="B113" i="4"/>
  <c r="A154" i="4"/>
  <c r="A153" i="4"/>
  <c r="A178" i="4" s="1"/>
  <c r="A152" i="4"/>
  <c r="A151" i="4"/>
  <c r="I116" i="4"/>
  <c r="A150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H95" i="4"/>
  <c r="G95" i="4"/>
  <c r="F95" i="4"/>
  <c r="E95" i="4"/>
  <c r="D95" i="4"/>
  <c r="N95" i="4" s="1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C57" i="4"/>
  <c r="C56" i="4" s="1"/>
  <c r="H56" i="4"/>
  <c r="G56" i="4"/>
  <c r="F56" i="4"/>
  <c r="E56" i="4"/>
  <c r="B56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H39" i="4"/>
  <c r="G39" i="4"/>
  <c r="B39" i="4"/>
  <c r="K42" i="4"/>
  <c r="M179" i="4"/>
  <c r="K179" i="4"/>
  <c r="J179" i="4"/>
  <c r="D210" i="4" s="1"/>
  <c r="I179" i="4"/>
  <c r="I11" i="4"/>
  <c r="F8" i="4"/>
  <c r="E8" i="4"/>
  <c r="D8" i="4"/>
  <c r="C8" i="4"/>
  <c r="B8" i="4"/>
  <c r="K150" i="4" l="1"/>
  <c r="K157" i="4" s="1"/>
  <c r="F152" i="4"/>
  <c r="F21" i="4"/>
  <c r="H155" i="4"/>
  <c r="H21" i="4"/>
  <c r="H19" i="4" s="1"/>
  <c r="E154" i="4"/>
  <c r="H174" i="4"/>
  <c r="H115" i="4"/>
  <c r="H165" i="4"/>
  <c r="H150" i="4"/>
  <c r="E40" i="4"/>
  <c r="E180" i="4" s="1"/>
  <c r="J153" i="4"/>
  <c r="J8" i="4" s="1"/>
  <c r="E149" i="4"/>
  <c r="F154" i="4"/>
  <c r="M162" i="4"/>
  <c r="M5" i="4" s="1"/>
  <c r="I152" i="4"/>
  <c r="M152" i="4"/>
  <c r="B181" i="4"/>
  <c r="G182" i="4"/>
  <c r="H97" i="4"/>
  <c r="H164" i="4"/>
  <c r="I153" i="4"/>
  <c r="I8" i="4" s="1"/>
  <c r="I167" i="4"/>
  <c r="D57" i="4"/>
  <c r="D60" i="4" s="1"/>
  <c r="E155" i="4"/>
  <c r="L161" i="4"/>
  <c r="F181" i="4"/>
  <c r="E150" i="4"/>
  <c r="E5" i="4" s="1"/>
  <c r="E12" i="4" s="1"/>
  <c r="D163" i="4"/>
  <c r="D6" i="4" s="1"/>
  <c r="D182" i="4"/>
  <c r="H180" i="4"/>
  <c r="H151" i="4"/>
  <c r="F150" i="4"/>
  <c r="A165" i="4"/>
  <c r="G166" i="4"/>
  <c r="G9" i="4" s="1"/>
  <c r="D40" i="4"/>
  <c r="D3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F40" i="4"/>
  <c r="G149" i="4"/>
  <c r="E152" i="4"/>
  <c r="L154" i="4"/>
  <c r="I161" i="4"/>
  <c r="I168" i="4" s="1"/>
  <c r="J181" i="4"/>
  <c r="B150" i="4"/>
  <c r="F155" i="4"/>
  <c r="F166" i="4"/>
  <c r="K8" i="4"/>
  <c r="J78" i="4"/>
  <c r="D154" i="4"/>
  <c r="L179" i="4"/>
  <c r="M175" i="4"/>
  <c r="M182" i="4" s="1"/>
  <c r="A163" i="4"/>
  <c r="A176" i="4"/>
  <c r="B207" i="4"/>
  <c r="G207" i="4" s="1"/>
  <c r="K131" i="4"/>
  <c r="J150" i="4"/>
  <c r="J5" i="4" s="1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A164" i="4"/>
  <c r="A177" i="4"/>
  <c r="M131" i="4"/>
  <c r="F167" i="4"/>
  <c r="B166" i="4"/>
  <c r="B161" i="4"/>
  <c r="B4" i="4" s="1"/>
  <c r="B155" i="4"/>
  <c r="B167" i="4"/>
  <c r="B164" i="4"/>
  <c r="B152" i="4"/>
  <c r="J166" i="4"/>
  <c r="J154" i="4"/>
  <c r="J161" i="4"/>
  <c r="J152" i="4"/>
  <c r="J155" i="4"/>
  <c r="J167" i="4"/>
  <c r="J164" i="4"/>
  <c r="J149" i="4"/>
  <c r="B151" i="4"/>
  <c r="B163" i="4"/>
  <c r="J151" i="4"/>
  <c r="J163" i="4"/>
  <c r="F169" i="4"/>
  <c r="J178" i="4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K161" i="4"/>
  <c r="C163" i="4"/>
  <c r="C151" i="4"/>
  <c r="K163" i="4"/>
  <c r="K151" i="4"/>
  <c r="G165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A175" i="4"/>
  <c r="A162" i="4"/>
  <c r="L151" i="4"/>
  <c r="B210" i="4"/>
  <c r="G210" i="4" s="1"/>
  <c r="A166" i="4"/>
  <c r="A179" i="4"/>
  <c r="H116" i="4"/>
  <c r="H176" i="4"/>
  <c r="C39" i="4"/>
  <c r="C179" i="4" s="1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1" i="4"/>
  <c r="M166" i="4"/>
  <c r="M154" i="4"/>
  <c r="M151" i="4"/>
  <c r="L166" i="4"/>
  <c r="L167" i="4"/>
  <c r="E182" i="4"/>
  <c r="L153" i="4"/>
  <c r="K162" i="4"/>
  <c r="J131" i="4"/>
  <c r="M149" i="4"/>
  <c r="A161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A174" i="4"/>
  <c r="D162" i="4"/>
  <c r="C169" i="4"/>
  <c r="E181" i="4"/>
  <c r="M181" i="4"/>
  <c r="I155" i="4"/>
  <c r="N21" i="4" l="1"/>
  <c r="O31" i="4" s="1"/>
  <c r="B9" i="4"/>
  <c r="I157" i="4"/>
  <c r="F19" i="4"/>
  <c r="K5" i="4"/>
  <c r="K12" i="4" s="1"/>
  <c r="B10" i="4"/>
  <c r="F7" i="4"/>
  <c r="E156" i="4"/>
  <c r="E39" i="4"/>
  <c r="E179" i="4" s="1"/>
  <c r="E10" i="4"/>
  <c r="H179" i="4"/>
  <c r="M169" i="4"/>
  <c r="H7" i="4"/>
  <c r="E157" i="4"/>
  <c r="M156" i="4"/>
  <c r="F168" i="4"/>
  <c r="D156" i="4"/>
  <c r="H6" i="4"/>
  <c r="D180" i="4"/>
  <c r="D10" i="4"/>
  <c r="F4" i="4"/>
  <c r="D56" i="4"/>
  <c r="F157" i="4"/>
  <c r="F5" i="4"/>
  <c r="F12" i="4" s="1"/>
  <c r="I5" i="4"/>
  <c r="I12" i="4" s="1"/>
  <c r="F180" i="4"/>
  <c r="F39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J10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I62" i="1"/>
  <c r="AJ62" i="1" s="1"/>
  <c r="AQ62" i="1"/>
  <c r="AR62" i="1" s="1"/>
  <c r="AQ56" i="1"/>
  <c r="AR56" i="1" s="1"/>
  <c r="AU22" i="1"/>
  <c r="BC22" i="1" s="1"/>
  <c r="AO48" i="1"/>
  <c r="AP48" i="1" s="1"/>
  <c r="AU47" i="1"/>
  <c r="AM12" i="1"/>
  <c r="AN12" i="1" s="1"/>
  <c r="AI25" i="1"/>
  <c r="AJ25" i="1" s="1"/>
  <c r="AS25" i="1"/>
  <c r="AT25" i="1" s="1"/>
  <c r="AK19" i="1"/>
  <c r="AS19" i="1"/>
  <c r="BC16" i="1"/>
  <c r="AU54" i="1"/>
  <c r="AM56" i="1"/>
  <c r="AN56" i="1" s="1"/>
  <c r="AU46" i="1"/>
  <c r="AU17" i="1"/>
  <c r="BC17" i="1" s="1"/>
  <c r="AO43" i="1"/>
  <c r="AP43" i="1" s="1"/>
  <c r="AM19" i="1"/>
  <c r="AN19" i="1" s="1"/>
  <c r="AT62" i="1"/>
  <c r="AI57" i="1"/>
  <c r="AS56" i="1"/>
  <c r="AU5" i="1"/>
  <c r="BC5" i="1" s="1"/>
  <c r="AU42" i="1"/>
  <c r="AU45" i="1"/>
  <c r="AK62" i="1"/>
  <c r="AL62" i="1" s="1"/>
  <c r="AK56" i="1"/>
  <c r="AU8" i="1"/>
  <c r="AV8" i="1" s="1"/>
  <c r="AU9" i="1"/>
  <c r="BC9" i="1" s="1"/>
  <c r="AU10" i="1"/>
  <c r="BC10" i="1" s="1"/>
  <c r="AQ25" i="1"/>
  <c r="AR25" i="1" s="1"/>
  <c r="AI24" i="1"/>
  <c r="AJ24" i="1" s="1"/>
  <c r="AU14" i="1"/>
  <c r="BC14" i="1" s="1"/>
  <c r="AU55" i="1"/>
  <c r="AU59" i="1"/>
  <c r="AU60" i="1"/>
  <c r="AO56" i="1"/>
  <c r="AP56" i="1" s="1"/>
  <c r="AU52" i="1"/>
  <c r="AU18" i="1"/>
  <c r="BC18" i="1" s="1"/>
  <c r="BH18" i="1" s="1"/>
  <c r="AQ19" i="1"/>
  <c r="BC23" i="1"/>
  <c r="AU15" i="1"/>
  <c r="BC15" i="1" s="1"/>
  <c r="AM43" i="1"/>
  <c r="AN43" i="1" s="1"/>
  <c r="AM48" i="1"/>
  <c r="AN48" i="1" s="1"/>
  <c r="AU51" i="1"/>
  <c r="BC51" i="1" s="1"/>
  <c r="AP12" i="1"/>
  <c r="BC4" i="1"/>
  <c r="AO19" i="1"/>
  <c r="AP19" i="1" s="1"/>
  <c r="U25" i="1"/>
  <c r="P55" i="4" s="1"/>
  <c r="U19" i="1"/>
  <c r="U20" i="1" s="1"/>
  <c r="U24" i="1" s="1"/>
  <c r="M26" i="6"/>
  <c r="M6" i="6" l="1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I61" i="1"/>
  <c r="AJ61" i="1" s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20" i="1" s="1"/>
  <c r="AB19" i="1"/>
  <c r="S20" i="1"/>
  <c r="S24" i="1" s="1"/>
  <c r="T24" i="1" s="1"/>
  <c r="T19" i="1"/>
  <c r="Y20" i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U19" i="1"/>
  <c r="AV19" i="1" s="1"/>
  <c r="AU56" i="1"/>
  <c r="BC56" i="1" s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Z25" i="1" s="1"/>
  <c r="BA47" i="1"/>
  <c r="AT20" i="1" l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AB24" i="1" s="1"/>
  <c r="Y24" i="1"/>
  <c r="Z24" i="1" s="1"/>
  <c r="Z20" i="1"/>
  <c r="BA48" i="1"/>
  <c r="BA55" i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s="1"/>
  <c r="AU20" i="1" l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4" i="1" s="1"/>
  <c r="X20" i="1"/>
  <c r="AU62" i="1"/>
  <c r="AU57" i="1"/>
  <c r="AV57" i="1" s="1"/>
  <c r="AE25" i="1"/>
  <c r="BC20" i="1" l="1"/>
  <c r="BD20" i="1" s="1"/>
  <c r="AU24" i="1"/>
  <c r="BC24" i="1" s="1"/>
  <c r="BD24" i="1" s="1"/>
  <c r="AV25" i="1"/>
  <c r="BD12" i="1"/>
  <c r="BC62" i="1"/>
  <c r="BD62" i="1" s="1"/>
  <c r="AV62" i="1"/>
  <c r="BA25" i="1"/>
  <c r="BB25" i="1" s="1"/>
  <c r="AF25" i="1"/>
  <c r="AU61" i="1"/>
  <c r="BC57" i="1"/>
  <c r="BD57" i="1" s="1"/>
  <c r="BA43" i="1"/>
  <c r="BB43" i="1" s="1"/>
  <c r="AV24" i="1" l="1"/>
  <c r="BC61" i="1"/>
  <c r="BD61" i="1" s="1"/>
  <c r="AV61" i="1"/>
  <c r="AA6" i="6"/>
  <c r="AA5" i="6"/>
  <c r="AC4" i="6"/>
  <c r="BF23" i="1"/>
  <c r="B6" i="6"/>
  <c r="AA7" i="6" l="1"/>
  <c r="C22" i="6" s="1"/>
  <c r="BA49" i="1"/>
  <c r="BB49" i="1" s="1"/>
  <c r="BA62" i="1"/>
  <c r="BB62" i="1" s="1"/>
  <c r="AY45" i="1"/>
  <c r="AK5" i="6"/>
  <c r="AY8" i="1"/>
  <c r="BH8" i="1" s="1"/>
  <c r="AY15" i="1"/>
  <c r="BH15" i="1" s="1"/>
  <c r="AI4" i="6"/>
  <c r="AY16" i="1"/>
  <c r="BF16" i="1" s="1"/>
  <c r="AY22" i="1"/>
  <c r="BH22" i="1" s="1"/>
  <c r="AG6" i="6"/>
  <c r="AI6" i="6"/>
  <c r="AG5" i="6"/>
  <c r="AY14" i="1"/>
  <c r="AY5" i="1"/>
  <c r="BH5" i="1" s="1"/>
  <c r="AK6" i="6"/>
  <c r="AE4" i="6"/>
  <c r="E85" i="1"/>
  <c r="F85" i="1" s="1"/>
  <c r="AK4" i="6"/>
  <c r="AI5" i="6"/>
  <c r="BF45" i="1" l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BG18" i="1" s="1"/>
  <c r="AY23" i="1"/>
  <c r="AY17" i="1"/>
  <c r="BF17" i="1" s="1"/>
  <c r="BE8" i="1"/>
  <c r="AY9" i="1"/>
  <c r="BH9" i="1" s="1"/>
  <c r="BE16" i="1"/>
  <c r="AY41" i="1"/>
  <c r="BE45" i="1"/>
  <c r="AY53" i="1"/>
  <c r="AY59" i="1"/>
  <c r="AY54" i="1"/>
  <c r="AY55" i="1"/>
  <c r="BG55" i="1" s="1"/>
  <c r="AY60" i="1"/>
  <c r="AY52" i="1"/>
  <c r="AY51" i="1"/>
  <c r="BH4" i="1" l="1"/>
  <c r="BF4" i="1"/>
  <c r="BH17" i="1"/>
  <c r="AY10" i="1"/>
  <c r="AY11" i="1" s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Z56" i="1" s="1"/>
  <c r="AY43" i="1"/>
  <c r="BE5" i="1"/>
  <c r="AZ19" i="1" l="1"/>
  <c r="BG10" i="1"/>
  <c r="BH11" i="1"/>
  <c r="B25" i="6"/>
  <c r="BH19" i="1"/>
  <c r="AZ10" i="1"/>
  <c r="BE10" i="1"/>
  <c r="BH6" i="1"/>
  <c r="BF6" i="1"/>
  <c r="BH10" i="1"/>
  <c r="BF10" i="1"/>
  <c r="BG56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Y46" i="1"/>
  <c r="M93" i="1" l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O93" i="1" l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BH25" i="1" s="1"/>
  <c r="AZ20" i="1"/>
  <c r="AY62" i="1"/>
  <c r="BE12" i="1"/>
  <c r="AY24" i="1"/>
  <c r="AY61" i="1"/>
  <c r="BE49" i="1"/>
  <c r="BE11" i="1"/>
  <c r="BE23" i="1"/>
  <c r="O97" i="1" l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BG57" i="1" l="1"/>
  <c r="AZ57" i="1"/>
  <c r="BH57" i="1"/>
  <c r="X14" i="1"/>
  <c r="AE14" i="1"/>
  <c r="AE19" i="1" s="1"/>
  <c r="BA14" i="1" l="1"/>
  <c r="BF14" i="1" s="1"/>
  <c r="BA51" i="1"/>
  <c r="AF19" i="1"/>
  <c r="BA19" i="1"/>
  <c r="AE20" i="1"/>
  <c r="AF14" i="1"/>
  <c r="BB14" i="1" l="1"/>
  <c r="BE14" i="1"/>
  <c r="BB51" i="1"/>
  <c r="BF51" i="1"/>
  <c r="AF20" i="1"/>
  <c r="BA20" i="1"/>
  <c r="AE24" i="1"/>
  <c r="BE19" i="1"/>
  <c r="BF19" i="1"/>
  <c r="BB19" i="1"/>
  <c r="BA56" i="1"/>
  <c r="BE51" i="1"/>
  <c r="BB56" i="1" l="1"/>
  <c r="BF56" i="1"/>
  <c r="BE56" i="1"/>
  <c r="BE20" i="1"/>
  <c r="BF20" i="1"/>
  <c r="BB20" i="1"/>
  <c r="BA57" i="1"/>
  <c r="BA61" i="1"/>
  <c r="BA24" i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<sst xmlns="http://schemas.openxmlformats.org/spreadsheetml/2006/main" count="11582" uniqueCount="713">
  <si>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</si>
  <si>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</si>
  <si>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</si>
  <si>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</si>
  <si>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</si>
  <si>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</si>
  <si>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</si>
  <si>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</si>
  <si>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</si>
  <si>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</si>
  <si>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</si>
  <si>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</si>
  <si>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</si>
  <si>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</si>
  <si>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</si>
  <si>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</si>
  <si>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</si>
  <si>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</si>
  <si>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</si>
  <si>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</si>
  <si>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</si>
  <si>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</si>
  <si>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</si>
  <si>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</si>
  <si>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</si>
  <si>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</si>
  <si>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</si>
  <si>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</si>
  <si>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</si>
  <si>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</si>
  <si>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</si>
  <si>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</si>
  <si>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</si>
  <si>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</si>
  <si>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</si>
  <si>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</si>
  <si>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</si>
  <si>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</si>
  <si>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</si>
  <si>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</si>
  <si>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</si>
  <si>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</si>
  <si>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</si>
  <si>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</si>
  <si>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</si>
  <si>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</si>
  <si>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</si>
  <si>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</si>
  <si>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</si>
  <si>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</si>
  <si>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</si>
  <si>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</si>
  <si>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</si>
  <si>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</si>
  <si>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</si>
  <si>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</si>
  <si>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</si>
  <si>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</si>
  <si>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</si>
  <si>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</si>
  <si>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</si>
  <si>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</si>
  <si>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</si>
  <si>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</si>
  <si>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</si>
  <si>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</si>
  <si>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</si>
  <si>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</si>
  <si>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</si>
  <si>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</si>
  <si>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</si>
  <si>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</si>
  <si>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</si>
  <si>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</si>
  <si>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</si>
  <si>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</si>
  <si>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</si>
  <si>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</si>
  <si>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</si>
  <si>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</si>
  <si>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</si>
  <si>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</si>
  <si>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</si>
  <si>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</si>
  <si>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</si>
  <si>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</si>
  <si>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</si>
  <si>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</si>
  <si>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</si>
  <si>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</si>
  <si>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</si>
  <si>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</si>
  <si>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</si>
  <si>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</si>
  <si>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</si>
  <si>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</si>
  <si>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</si>
  <si>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</si>
  <si>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</si>
  <si>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</si>
  <si>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</si>
  <si>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</si>
  <si>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</si>
  <si>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</si>
  <si>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</si>
  <si>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</si>
  <si>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</si>
  <si>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</si>
  <si>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Vtas. 19</t>
  </si>
  <si>
    <t>Vtas. P. 19</t>
  </si>
  <si>
    <t>Vtas. 18</t>
  </si>
  <si>
    <t>UAFIR FL. 19</t>
  </si>
  <si>
    <t>UAFIR FL. P. 19</t>
  </si>
  <si>
    <t>S. Deuda 19</t>
  </si>
  <si>
    <t>Int. Fin. Corp.: $599 MP</t>
  </si>
  <si>
    <t>Amort. Corp.: $3,065 MP</t>
  </si>
  <si>
    <t>Exelco, S. A. DE C. V.</t>
  </si>
  <si>
    <t>Inmob</t>
  </si>
  <si>
    <t>Real Mes dll:</t>
  </si>
  <si>
    <t>Real Acumulado dll:</t>
  </si>
  <si>
    <t>Mes_cierre</t>
  </si>
  <si>
    <t>Lista diapositivas</t>
  </si>
  <si>
    <t>hoja</t>
  </si>
  <si>
    <t>rango</t>
  </si>
  <si>
    <t>nombre</t>
  </si>
  <si>
    <t>Tendencias</t>
  </si>
  <si>
    <t>g_tend_exelco</t>
  </si>
  <si>
    <t>g_tend_automotriz</t>
  </si>
  <si>
    <t>g_tend_alimentosmx</t>
  </si>
  <si>
    <t>g_tend_alimentoseu</t>
  </si>
  <si>
    <t>g_tend_inmobiliariaeu</t>
  </si>
  <si>
    <t>g_tend_energeticos</t>
  </si>
  <si>
    <t>g_tend_inmobiliaria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</si>
  <si>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</si>
  <si>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</si>
  <si>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</si>
  <si>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</si>
  <si>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</si>
  <si>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</si>
  <si>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</si>
  <si>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</si>
  <si>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Costo 19</t>
  </si>
  <si>
    <t>Costo P.19</t>
  </si>
  <si>
    <t>Costo 18</t>
  </si>
  <si>
    <t>Gasto 19</t>
  </si>
  <si>
    <t>Gasto P.19</t>
  </si>
  <si>
    <t>Gasto 18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</si>
  <si>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</si>
  <si>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</si>
  <si>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</si>
  <si>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</si>
  <si>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</si>
  <si>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</si>
  <si>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</si>
  <si>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</si>
  <si>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</si>
  <si>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</si>
  <si>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</si>
  <si>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</si>
  <si>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</si>
  <si>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</si>
  <si>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</si>
  <si>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</si>
  <si>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</si>
  <si>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</si>
  <si>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</si>
  <si>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</si>
  <si>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</si>
  <si>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*gas Q /2000</t>
  </si>
  <si>
    <t>*Usa x Tipo cambio dll</t>
  </si>
  <si>
    <t>TC_MES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</si>
  <si>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</si>
  <si>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</si>
  <si>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</si>
  <si>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</si>
  <si>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</si>
  <si>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</si>
  <si>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</si>
  <si>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</si>
  <si>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</si>
  <si>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</si>
  <si>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</si>
  <si>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</si>
  <si>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>FECHA</t>
  </si>
  <si>
    <t>09-2019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</si>
  <si>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</si>
  <si>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</si>
  <si>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</si>
  <si>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</si>
  <si>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</si>
  <si>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</si>
  <si>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</si>
  <si>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</si>
  <si>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</si>
  <si>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</si>
  <si>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</si>
  <si>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</si>
  <si>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</si>
  <si>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</si>
  <si>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</si>
  <si>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</si>
  <si>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</si>
  <si>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</si>
  <si>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</si>
  <si>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</si>
  <si>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</si>
  <si>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</si>
  <si>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</si>
  <si>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</si>
  <si>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</si>
  <si>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</si>
  <si>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</si>
  <si>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</si>
  <si>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</si>
  <si>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</si>
  <si>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</si>
  <si>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</si>
  <si>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</si>
  <si>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</si>
  <si>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</si>
  <si>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</si>
  <si>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</si>
  <si>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</si>
  <si>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</si>
  <si>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</si>
  <si>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</si>
  <si>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</si>
  <si>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</si>
  <si>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>automotriz '506'</t>
  </si>
  <si>
    <t>automotriz '508'</t>
  </si>
  <si>
    <t xml:space="preserve">Acum. vs Ppto </t>
  </si>
  <si>
    <t xml:space="preserve">Mes vs AA </t>
  </si>
  <si>
    <t xml:space="preserve">Acum vs AA </t>
  </si>
  <si>
    <t>automotriz '512'</t>
  </si>
  <si>
    <t>corporativo '102'</t>
  </si>
  <si>
    <t xml:space="preserve">Ac vs AA </t>
  </si>
  <si>
    <t xml:space="preserve">Mes vs Ppto </t>
  </si>
  <si>
    <t xml:space="preserve">Ac vs Ppto 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</si>
  <si>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</si>
  <si>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</si>
  <si>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</si>
  <si>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</si>
  <si>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</si>
  <si>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</si>
  <si>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</si>
  <si>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</si>
  <si>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</si>
  <si>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</si>
  <si>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</si>
  <si>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</si>
  <si>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 xml:space="preserve">Proyec Mes Sig 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</si>
  <si>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</si>
  <si>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</si>
  <si>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</si>
  <si>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</si>
  <si>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</si>
  <si>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</si>
  <si>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</si>
  <si>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</si>
  <si>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</si>
  <si>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</si>
  <si>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</si>
  <si>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</si>
  <si>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</si>
  <si>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</si>
  <si>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</si>
  <si>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</si>
  <si>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</si>
  <si>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</si>
  <si>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</si>
  <si>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</si>
  <si>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</si>
  <si>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</si>
  <si>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</si>
  <si>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</si>
  <si>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 xml:space="preserve">Earning before tax                      </t>
  </si>
  <si>
    <t xml:space="preserve">Earnings before tax                     </t>
  </si>
  <si>
    <t xml:space="preserve">Franchise tax                           </t>
  </si>
  <si>
    <t>usa alimentos '811'</t>
  </si>
  <si>
    <t>usa alimentos '813'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</si>
  <si>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</si>
  <si>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</si>
  <si>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</si>
  <si>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</si>
  <si>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</si>
  <si>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</si>
  <si>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</si>
  <si>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</si>
  <si>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</si>
  <si>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</si>
  <si>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</si>
  <si>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</si>
  <si>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</si>
  <si>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</si>
  <si>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</si>
  <si>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</si>
  <si>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</si>
  <si>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</si>
  <si>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</si>
  <si>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</si>
  <si>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</si>
  <si>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</si>
  <si>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</si>
  <si>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</si>
  <si>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</si>
  <si>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</si>
  <si>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</si>
  <si>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</si>
  <si>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</si>
  <si>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</si>
  <si>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</si>
  <si>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</si>
  <si>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</si>
  <si>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</si>
  <si>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</si>
  <si>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</si>
  <si>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</si>
  <si>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</si>
  <si>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</si>
  <si>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</si>
  <si>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</si>
  <si>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</si>
  <si>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</si>
  <si>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</si>
  <si>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</si>
  <si>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</si>
  <si>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</si>
  <si>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</si>
  <si>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</si>
  <si>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</si>
  <si>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</si>
  <si>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</si>
  <si>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</si>
  <si>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</si>
  <si>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</si>
  <si>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</si>
  <si>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</si>
  <si>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</si>
  <si>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</si>
  <si>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</si>
  <si>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</si>
  <si>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</si>
  <si>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</si>
  <si>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</si>
  <si>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</si>
  <si>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</si>
  <si>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</si>
  <si>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</si>
  <si>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</si>
  <si>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</si>
  <si>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</si>
  <si>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</si>
  <si>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</si>
  <si>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</si>
  <si>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</si>
  <si>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</si>
  <si>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</si>
  <si>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</si>
  <si>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</si>
  <si>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</si>
  <si>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</si>
  <si>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</si>
  <si>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</si>
  <si>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</si>
  <si>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</si>
  <si>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</si>
  <si>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</si>
  <si>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</si>
  <si>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</si>
  <si>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</si>
  <si>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</si>
  <si>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</si>
  <si>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</si>
  <si>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</si>
  <si>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</si>
  <si>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</si>
  <si>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</si>
  <si>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</si>
  <si>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</si>
  <si>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</si>
  <si>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</si>
  <si>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</si>
  <si>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</si>
  <si>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</si>
  <si>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</si>
  <si>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</si>
  <si>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</si>
  <si>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</si>
  <si>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</si>
  <si>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</si>
  <si>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</si>
  <si>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</si>
  <si>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</si>
  <si>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</si>
  <si>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</si>
  <si>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</si>
  <si>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</si>
  <si>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</si>
  <si>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</si>
  <si>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</si>
  <si>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</si>
  <si>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</si>
  <si>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</si>
  <si>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</si>
  <si>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</si>
  <si>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</si>
  <si>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</si>
  <si>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</si>
  <si>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</si>
  <si>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</si>
  <si>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</si>
  <si>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</si>
  <si>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</si>
  <si>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</si>
  <si>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</si>
  <si>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</si>
  <si>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</si>
  <si>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</si>
  <si>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</si>
  <si>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</si>
  <si>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</si>
  <si>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</si>
  <si>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</si>
  <si>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</si>
  <si>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</si>
  <si>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</si>
  <si>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</si>
  <si>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</si>
  <si>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</si>
  <si>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</si>
  <si>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</si>
  <si>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</si>
  <si>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</si>
  <si>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</si>
  <si>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</si>
  <si>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</si>
  <si>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</si>
  <si>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</si>
  <si>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</si>
  <si>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</si>
  <si>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</si>
  <si>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</si>
  <si>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</si>
  <si>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</si>
  <si>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</si>
  <si>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</si>
  <si>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</si>
  <si>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</si>
  <si>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</si>
  <si>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</si>
  <si>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</si>
  <si>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</si>
  <si>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</si>
  <si>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</si>
  <si>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</si>
  <si>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</si>
  <si>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</si>
  <si>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</si>
  <si>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</si>
  <si>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</si>
  <si>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</si>
  <si>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>usa alimentos '807'</t>
  </si>
  <si>
    <t>usa alimentos '808'</t>
  </si>
  <si>
    <t>usa alimentos '812'</t>
  </si>
  <si>
    <t>usa alimentos '816'</t>
  </si>
  <si>
    <t>usa alimentos '817'</t>
  </si>
  <si>
    <t>Diferencia</t>
  </si>
  <si>
    <t>*energeticos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</si>
  <si>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</si>
  <si>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</si>
  <si>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</si>
  <si>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</si>
  <si>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</si>
  <si>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</si>
  <si>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</si>
  <si>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</si>
  <si>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</si>
  <si>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</si>
  <si>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</si>
  <si>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</si>
  <si>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</si>
  <si>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</si>
  <si>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</si>
  <si>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</si>
  <si>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</si>
  <si>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</si>
  <si>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</si>
  <si>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Generacion Bruta 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</si>
  <si>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</si>
  <si>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</si>
  <si>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</si>
  <si>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</si>
  <si>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Acreedores diversos                     </t>
  </si>
  <si>
    <t xml:space="preserve">Gts. Ac. por pagar  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</si>
  <si>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</si>
  <si>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</si>
  <si>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</si>
  <si>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</si>
  <si>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</si>
  <si>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</si>
  <si>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</si>
  <si>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Reserva Legal                           </t>
  </si>
  <si>
    <t xml:space="preserve">Reservas. Primas Antiguedad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</si>
  <si>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</si>
  <si>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</si>
  <si>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</si>
  <si>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</si>
  <si>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</si>
  <si>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</si>
  <si>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</si>
  <si>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Mob. y Eq. Oficina        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</si>
  <si>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</si>
  <si>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</si>
  <si>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</si>
  <si>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</si>
  <si>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</si>
  <si>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</si>
  <si>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</si>
  <si>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Const. Terr. Arrendados                 </t>
  </si>
  <si>
    <t xml:space="preserve">Amtz. Const. T.Arrendados               </t>
  </si>
  <si>
    <t xml:space="preserve">Inv. y Mejoras Inm. Arrend              </t>
  </si>
  <si>
    <t xml:space="preserve">Amtz. Ac. Inv. y Mejoras Inm. Arrend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</si>
  <si>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</si>
  <si>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</si>
  <si>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</si>
  <si>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</si>
  <si>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</si>
  <si>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</si>
  <si>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</si>
  <si>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</si>
  <si>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</si>
  <si>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</si>
  <si>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</si>
  <si>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</si>
  <si>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</si>
  <si>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</si>
  <si>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</si>
  <si>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</si>
  <si>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</si>
  <si>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</si>
  <si>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</si>
  <si>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</si>
  <si>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</si>
  <si>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</si>
  <si>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</si>
  <si>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</si>
  <si>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</si>
  <si>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</si>
  <si>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</si>
  <si>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</si>
  <si>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</si>
  <si>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</si>
  <si>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</si>
  <si>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</si>
  <si>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</si>
  <si>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</si>
  <si>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</si>
  <si>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</si>
  <si>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</si>
  <si>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</si>
  <si>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</si>
  <si>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</si>
  <si>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</si>
  <si>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</si>
  <si>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</si>
  <si>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</si>
  <si>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</si>
  <si>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</si>
  <si>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</si>
  <si>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</si>
  <si>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</si>
  <si>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</si>
  <si>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</si>
  <si>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</si>
  <si>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</si>
  <si>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</si>
  <si>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</si>
  <si>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</si>
  <si>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</si>
  <si>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</si>
  <si>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</si>
  <si>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</si>
  <si>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</si>
  <si>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</si>
  <si>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</si>
  <si>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</si>
  <si>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</si>
  <si>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</si>
  <si>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</si>
  <si>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</si>
  <si>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</si>
  <si>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</si>
  <si>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</si>
  <si>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</si>
  <si>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</si>
  <si>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</si>
  <si>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</si>
  <si>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</si>
  <si>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</si>
  <si>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</si>
  <si>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</si>
  <si>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</si>
  <si>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</si>
  <si>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</si>
  <si>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</si>
  <si>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</si>
  <si>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</si>
  <si>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</si>
  <si>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</si>
  <si>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</si>
  <si>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</si>
  <si>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</si>
  <si>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</si>
  <si>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</si>
  <si>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</si>
  <si>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</si>
  <si>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</si>
  <si>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</si>
  <si>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</si>
  <si>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</si>
  <si>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</si>
  <si>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</si>
  <si>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</si>
  <si>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</si>
  <si>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</si>
  <si>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</si>
  <si>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</si>
  <si>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</si>
  <si>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</si>
  <si>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</si>
  <si>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</si>
  <si>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</si>
  <si>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</si>
  <si>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</si>
  <si>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</si>
  <si>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</si>
  <si>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</si>
  <si>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</si>
  <si>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~ '802'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</si>
  <si>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</si>
  <si>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</si>
  <si>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</si>
  <si>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</si>
  <si>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</si>
  <si>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</si>
  <si>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</si>
  <si>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</si>
  <si>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</si>
  <si>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</si>
  <si>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</si>
  <si>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</si>
  <si>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</si>
  <si>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</si>
  <si>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</si>
  <si>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</si>
  <si>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</si>
  <si>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</si>
  <si>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</si>
  <si>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</si>
  <si>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</si>
  <si>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</si>
  <si>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</si>
  <si>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</si>
  <si>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</si>
  <si>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</si>
  <si>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</si>
  <si>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</si>
  <si>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</si>
  <si>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</si>
  <si>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</si>
  <si>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</si>
  <si>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</si>
  <si>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</si>
  <si>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Eliminaciones</t>
  </si>
  <si>
    <t>Anexos</t>
  </si>
  <si>
    <t>Falta dato</t>
  </si>
  <si>
    <t>duda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</si>
  <si>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</si>
  <si>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</si>
  <si>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</si>
  <si>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</si>
  <si>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</si>
  <si>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</si>
  <si>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</si>
  <si>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</si>
  <si>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</si>
  <si>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</si>
  <si>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</si>
  <si>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</si>
  <si>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</si>
  <si>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</si>
  <si>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</si>
  <si>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</si>
  <si>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</si>
  <si>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</si>
  <si>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</si>
  <si>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</si>
  <si>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</si>
  <si>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</si>
  <si>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</si>
  <si>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</si>
  <si>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</si>
  <si>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</si>
  <si>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</si>
  <si>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</si>
  <si>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</si>
  <si>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</si>
  <si>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</si>
  <si>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</si>
  <si>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</si>
  <si>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</si>
  <si>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*verificar el origen reporte de South-Wen</t>
  </si>
  <si>
    <t>unidades()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</si>
</sst>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rgb="FFFF0000"/>
      <name val="Calibri"/>
      <family val="2"/>
    </font>
    <font>
      <b/>
      <sz val="16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09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71" fontId="6" fillId="6" borderId="0" xfId="4" applyNumberFormat="1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6" fillId="6" borderId="0" xfId="3" applyFont="1" applyFill="1"/>
    <xf numFmtId="0" fontId="5" fillId="6" borderId="0" xfId="3" applyFont="1" applyFill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0" fontId="2" fillId="2" borderId="0" xfId="0" applyFont="1" applyFill="1"/>
    <xf numFmtId="0" fontId="3" fillId="2" borderId="0" xfId="0" applyFont="1" applyFill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165" fontId="3" fillId="2" borderId="5" xfId="0" applyNumberFormat="1" applyFont="1" applyFill="1" applyBorder="1"/>
    <xf numFmtId="165" fontId="3" fillId="2" borderId="7" xfId="0" applyNumberFormat="1" applyFont="1" applyFill="1" applyBorder="1"/>
    <xf numFmtId="0" fontId="25" fillId="0" borderId="0" xfId="0" applyFon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6" fillId="0" borderId="0" xfId="0" applyFont="1"/>
    <xf numFmtId="0" fontId="16" fillId="0" borderId="0" xfId="6"/>
    <xf numFmtId="0" fontId="16" fillId="0" borderId="0" xfId="6"/>
    <xf numFmtId="0" fontId="0" fillId="2" borderId="0" xfId="0" applyFill="1"/>
    <xf numFmtId="0" fontId="0" fillId="7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2" fillId="7" borderId="1" xfId="0" applyNumberFormat="1" applyFont="1" applyFill="1" applyBorder="1"/>
    <xf numFmtId="165" fontId="2" fillId="7" borderId="7" xfId="0" applyNumberFormat="1" applyFont="1" applyFill="1" applyBorder="1"/>
    <xf numFmtId="0" fontId="25" fillId="0" borderId="0" xfId="6" applyFont="1"/>
    <xf numFmtId="168" fontId="2" fillId="8" borderId="3" xfId="9" applyNumberFormat="1" applyFont="1" applyFill="1" applyBorder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</cellXfs>
  <cellStyles count="25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Percent 2" xfId="18"/>
    <cellStyle name="Percent 2 2" xfId="22"/>
    <cellStyle name="Porcentaje" xfId="2" builtinId="5"/>
    <cellStyle name="Porcentaje 2" xfId="5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29FED6-25A4-45D9-9106-9B00BCBF5E3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18E927-37C1-4A8F-8EEA-FAE64214D25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DD28CB-565D-4F86-AEE5-6F3B73E3DFF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E0ABDE-084C-428A-BBD4-75D85AD031E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E74884-61E9-402D-A851-6AED30B9B9F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9D7089-6AD3-46A2-9360-DCD2D52997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96F639-4389-453D-9543-2024F334862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7"/>
                <c:pt idx="0">
                  <c:v>0.54371894746540594</c:v>
                </c:pt>
                <c:pt idx="1">
                  <c:v>0.16945951024384279</c:v>
                </c:pt>
                <c:pt idx="2">
                  <c:v>0.40110748746209007</c:v>
                </c:pt>
                <c:pt idx="3">
                  <c:v>0.71086596664262192</c:v>
                </c:pt>
                <c:pt idx="4">
                  <c:v>0.19783534143397161</c:v>
                </c:pt>
                <c:pt idx="5">
                  <c:v>0.21097622914222777</c:v>
                </c:pt>
                <c:pt idx="6">
                  <c:v>8.0377962973136013E-2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7"/>
                  <c:pt idx="0">
                    <c:v> 139.1 </c:v>
                  </c:pt>
                  <c:pt idx="1">
                    <c:v> 5.8 </c:v>
                  </c:pt>
                  <c:pt idx="2">
                    <c:v> 18.9 </c:v>
                  </c:pt>
                  <c:pt idx="3">
                    <c:v> 20.0 </c:v>
                  </c:pt>
                  <c:pt idx="4">
                    <c:v> 0.5 </c:v>
                  </c:pt>
                  <c:pt idx="5">
                    <c:v> 28.9 </c:v>
                  </c:pt>
                  <c:pt idx="6">
                    <c:v> 0.6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B3B01B8-B689-4E3A-AC44-B81902319DCF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538D68-58D4-4832-9C93-5BA8775FDBB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A5BA56-CD1A-4C6E-BDAB-EA9E0017575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76C68F-2387-4CFC-8EEE-8E0F6ABDCD2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ABD690-29D3-4621-84CA-0D75E8696A2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A0656D-BFAF-449C-BF08-46EBDAF8BE3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521D58-838C-47D8-9EEF-C829CAE7B72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7"/>
                <c:pt idx="0">
                  <c:v>0.23397079002095281</c:v>
                </c:pt>
                <c:pt idx="1">
                  <c:v>0.16846489663401459</c:v>
                </c:pt>
                <c:pt idx="2">
                  <c:v>0</c:v>
                </c:pt>
                <c:pt idx="3">
                  <c:v>0.69795269211358135</c:v>
                </c:pt>
                <c:pt idx="4">
                  <c:v>0.27128116938950991</c:v>
                </c:pt>
                <c:pt idx="5">
                  <c:v>0.15597429430140433</c:v>
                </c:pt>
                <c:pt idx="6">
                  <c:v>0.13382289535187869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7"/>
                  <c:pt idx="0">
                    <c:v> 50.1 </c:v>
                  </c:pt>
                  <c:pt idx="1">
                    <c:v> 5.3 </c:v>
                  </c:pt>
                  <c:pt idx="2">
                    <c:v> -   </c:v>
                  </c:pt>
                  <c:pt idx="3">
                    <c:v> 20.7 </c:v>
                  </c:pt>
                  <c:pt idx="4">
                    <c:v> 0.6 </c:v>
                  </c:pt>
                  <c:pt idx="5">
                    <c:v> 23.0 </c:v>
                  </c:pt>
                  <c:pt idx="6">
                    <c:v> 0.4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F30654D-703C-4C1B-B72A-76122080274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F3951B-CA4F-4A37-BDE1-F4AEFE65688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9B9D62-677C-482F-90A6-962CBABE83B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0F8E92-AD17-4E8F-8AB8-261EA598146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63B7E6-A192-469F-9E38-8E1E6870467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DF717A-7B60-45E8-8DD0-74971CFECAD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014442-E6C2-4B07-87E3-578449AE50E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7"/>
                <c:pt idx="0">
                  <c:v>0.31519345079083144</c:v>
                </c:pt>
                <c:pt idx="1">
                  <c:v>0.20467918085882672</c:v>
                </c:pt>
                <c:pt idx="2">
                  <c:v>0.39787853127651546</c:v>
                </c:pt>
                <c:pt idx="3">
                  <c:v>0.696058591966768</c:v>
                </c:pt>
                <c:pt idx="4">
                  <c:v>0.4490755256973139</c:v>
                </c:pt>
                <c:pt idx="5">
                  <c:v>0.21874044868327544</c:v>
                </c:pt>
                <c:pt idx="6">
                  <c:v>0.12772847986351324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7"/>
                  <c:pt idx="0">
                    <c:v> 76.4 </c:v>
                  </c:pt>
                  <c:pt idx="1">
                    <c:v> 5.6 </c:v>
                  </c:pt>
                  <c:pt idx="2">
                    <c:v> 21.9 </c:v>
                  </c:pt>
                  <c:pt idx="3">
                    <c:v> 20.1 </c:v>
                  </c:pt>
                  <c:pt idx="4">
                    <c:v> 1.0 </c:v>
                  </c:pt>
                  <c:pt idx="5">
                    <c:v> 27.2 </c:v>
                  </c:pt>
                  <c:pt idx="6">
                    <c:v> 0.6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263892136"/>
        <c:axId val="263892528"/>
      </c:barChart>
      <c:catAx>
        <c:axId val="2638921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3892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89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389213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D5A5335-DC34-4E70-8C8C-1472709C750B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AE039A-50D0-4A85-AF8B-C31930BD414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038513-C9ED-4AC7-AD36-2E63A80AE36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F85D33-F444-4C0D-BC38-196CC274E12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9E0C86-BA6E-40CC-A841-126832C3C22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318D98-6604-4C62-91DA-D1935E66872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4A0381-B66F-4BA8-9A1B-EE65C3079E5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7"/>
                <c:pt idx="0">
                  <c:v>0.68407509776799125</c:v>
                </c:pt>
                <c:pt idx="1">
                  <c:v>0.86159937059215641</c:v>
                </c:pt>
                <c:pt idx="2">
                  <c:v>0.5487613850599351</c:v>
                </c:pt>
                <c:pt idx="3">
                  <c:v>0.3240796945238697</c:v>
                </c:pt>
                <c:pt idx="4">
                  <c:v>0</c:v>
                </c:pt>
                <c:pt idx="5">
                  <c:v>0.78203131939994541</c:v>
                </c:pt>
                <c:pt idx="6">
                  <c:v>0.50631494414196765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7"/>
                  <c:pt idx="0">
                    <c:v> 175.0 </c:v>
                  </c:pt>
                  <c:pt idx="1">
                    <c:v> 29.5 </c:v>
                  </c:pt>
                  <c:pt idx="2">
                    <c:v> 25.8 </c:v>
                  </c:pt>
                  <c:pt idx="3">
                    <c:v> 9.1 </c:v>
                  </c:pt>
                  <c:pt idx="4">
                    <c:v> -   </c:v>
                  </c:pt>
                  <c:pt idx="5">
                    <c:v> 107.0 </c:v>
                  </c:pt>
                  <c:pt idx="6">
                    <c:v> 3.6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2B705C-2776-421A-93CA-347264FC74D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C94E40-C7DE-49DC-A107-B202D87832F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6D0B5F-FB24-411A-A11C-AFC11BD4394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970A0A-1B05-47C1-949B-C93268EF7BB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4E4AB9-CEE9-4DE1-A89A-2BB53EA2160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09B8DC-0A48-4B76-9E3B-3327B391669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7A0CB9-BB9A-494C-91AD-C7CADC1DAA7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7"/>
                <c:pt idx="0">
                  <c:v>0.71183473844618961</c:v>
                </c:pt>
                <c:pt idx="1">
                  <c:v>0.82783172724060849</c:v>
                </c:pt>
                <c:pt idx="2">
                  <c:v>0</c:v>
                </c:pt>
                <c:pt idx="3">
                  <c:v>0.35151472892926394</c:v>
                </c:pt>
                <c:pt idx="4">
                  <c:v>0</c:v>
                </c:pt>
                <c:pt idx="5">
                  <c:v>0.77473945508949738</c:v>
                </c:pt>
                <c:pt idx="6">
                  <c:v>0.5210492534266189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7"/>
                  <c:pt idx="0">
                    <c:v> 152.4 </c:v>
                  </c:pt>
                  <c:pt idx="1">
                    <c:v> 26.0 </c:v>
                  </c:pt>
                  <c:pt idx="2">
                    <c:v> -   </c:v>
                  </c:pt>
                  <c:pt idx="3">
                    <c:v> 10.4 </c:v>
                  </c:pt>
                  <c:pt idx="4">
                    <c:v> -   </c:v>
                  </c:pt>
                  <c:pt idx="5">
                    <c:v> 114.3 </c:v>
                  </c:pt>
                  <c:pt idx="6">
                    <c:v> 1.6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6137C9E-0AA9-4E6B-B49F-03D8B793454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08BD37-03CF-46BC-94FB-DC7CE5F1FC2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6A95E7-802C-4D2C-9008-2B1DCF50914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6D6403-D03C-48D7-93DB-040062A8608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DA5853-B582-42E2-A3CB-6E029443994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5D6F9B-D398-40AD-A7FE-2D29684AE0C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167C4A-95AC-4FD3-B774-7FC0CF74AE7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7"/>
                <c:pt idx="0">
                  <c:v>0.68654308133223452</c:v>
                </c:pt>
                <c:pt idx="1">
                  <c:v>0.83427242233392451</c:v>
                </c:pt>
                <c:pt idx="2">
                  <c:v>0.57745334858509156</c:v>
                </c:pt>
                <c:pt idx="3">
                  <c:v>0.34561725254967529</c:v>
                </c:pt>
                <c:pt idx="4">
                  <c:v>0</c:v>
                </c:pt>
                <c:pt idx="5">
                  <c:v>0.79943086628928539</c:v>
                </c:pt>
                <c:pt idx="6">
                  <c:v>0.55133412924064684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7"/>
                  <c:pt idx="0">
                    <c:v> 166.5 </c:v>
                  </c:pt>
                  <c:pt idx="1">
                    <c:v> 22.7 </c:v>
                  </c:pt>
                  <c:pt idx="2">
                    <c:v> 31.8 </c:v>
                  </c:pt>
                  <c:pt idx="3">
                    <c:v> 10.0 </c:v>
                  </c:pt>
                  <c:pt idx="4">
                    <c:v> -   </c:v>
                  </c:pt>
                  <c:pt idx="5">
                    <c:v> 99.4 </c:v>
                  </c:pt>
                  <c:pt idx="6">
                    <c:v> 2.5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327655744"/>
        <c:axId val="327656136"/>
      </c:barChart>
      <c:catAx>
        <c:axId val="3276557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56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5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55744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292038.38190979994</c:v>
                </c:pt>
                <c:pt idx="1">
                  <c:v>264740.963233252</c:v>
                </c:pt>
                <c:pt idx="2">
                  <c:v>285169.55220300698</c:v>
                </c:pt>
                <c:pt idx="3">
                  <c:v>263702.720322154</c:v>
                </c:pt>
                <c:pt idx="4">
                  <c:v>250935.18311665201</c:v>
                </c:pt>
                <c:pt idx="5">
                  <c:v>238244.24466629201</c:v>
                </c:pt>
                <c:pt idx="6">
                  <c:v>241217.61922872794</c:v>
                </c:pt>
                <c:pt idx="8">
                  <c:v>28059.990830000002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315332.50669260311</c:v>
                </c:pt>
                <c:pt idx="1">
                  <c:v>295566.01484237233</c:v>
                </c:pt>
                <c:pt idx="2">
                  <c:v>320996.39654754952</c:v>
                </c:pt>
                <c:pt idx="3">
                  <c:v>290992.19483968965</c:v>
                </c:pt>
                <c:pt idx="4">
                  <c:v>284823.36262884387</c:v>
                </c:pt>
                <c:pt idx="5">
                  <c:v>276790.31994619506</c:v>
                </c:pt>
                <c:pt idx="6">
                  <c:v>277630.63007168612</c:v>
                </c:pt>
                <c:pt idx="7">
                  <c:v>280940.54130700411</c:v>
                </c:pt>
                <c:pt idx="8">
                  <c:v>260210.90791151341</c:v>
                </c:pt>
                <c:pt idx="9">
                  <c:v>280034.50973541755</c:v>
                </c:pt>
                <c:pt idx="10">
                  <c:v>295760.09368811827</c:v>
                </c:pt>
                <c:pt idx="11">
                  <c:v>322890.92172404303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260623.96103600002</c:v>
                </c:pt>
                <c:pt idx="1">
                  <c:v>239069.83384989901</c:v>
                </c:pt>
                <c:pt idx="2">
                  <c:v>266818.49179195496</c:v>
                </c:pt>
                <c:pt idx="3">
                  <c:v>254691.16178721198</c:v>
                </c:pt>
                <c:pt idx="4">
                  <c:v>239757.23358879797</c:v>
                </c:pt>
                <c:pt idx="5">
                  <c:v>224767.909816536</c:v>
                </c:pt>
                <c:pt idx="6">
                  <c:v>235249.81693449497</c:v>
                </c:pt>
                <c:pt idx="7">
                  <c:v>227745.89480221597</c:v>
                </c:pt>
                <c:pt idx="8">
                  <c:v>217640.61614816298</c:v>
                </c:pt>
                <c:pt idx="9">
                  <c:v>244142.22283983996</c:v>
                </c:pt>
                <c:pt idx="10">
                  <c:v>239684.44021200002</c:v>
                </c:pt>
                <c:pt idx="11">
                  <c:v>281008.9383162345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657704"/>
        <c:axId val="327662800"/>
      </c:barChart>
      <c:lineChart>
        <c:grouping val="standard"/>
        <c:varyColors val="0"/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1094.16796</c:v>
                </c:pt>
                <c:pt idx="2">
                  <c:v>7038.8634699989998</c:v>
                </c:pt>
                <c:pt idx="3">
                  <c:v>110227.25253384844</c:v>
                </c:pt>
                <c:pt idx="4">
                  <c:v>10660.549727600001</c:v>
                </c:pt>
                <c:pt idx="5">
                  <c:v>6038.0264535570004</c:v>
                </c:pt>
                <c:pt idx="6">
                  <c:v>6430.9231971930003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7704"/>
        <c:axId val="327662800"/>
      </c:line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23729.707573200012</c:v>
                </c:pt>
                <c:pt idx="1">
                  <c:v>24011.208677265011</c:v>
                </c:pt>
                <c:pt idx="2">
                  <c:v>25897.225082459012</c:v>
                </c:pt>
                <c:pt idx="3">
                  <c:v>23537.661098306911</c:v>
                </c:pt>
                <c:pt idx="4">
                  <c:v>19705.408160678013</c:v>
                </c:pt>
                <c:pt idx="5">
                  <c:v>23508.877925132001</c:v>
                </c:pt>
                <c:pt idx="6">
                  <c:v>20675.840943720988</c:v>
                </c:pt>
                <c:pt idx="8">
                  <c:v>2707.9599399999997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20633.838960187117</c:v>
                </c:pt>
                <c:pt idx="1">
                  <c:v>16837.992663153214</c:v>
                </c:pt>
                <c:pt idx="2">
                  <c:v>23753.912835564872</c:v>
                </c:pt>
                <c:pt idx="3">
                  <c:v>21011.234894283247</c:v>
                </c:pt>
                <c:pt idx="4">
                  <c:v>20635.666174638205</c:v>
                </c:pt>
                <c:pt idx="5">
                  <c:v>21962.021052522923</c:v>
                </c:pt>
                <c:pt idx="6">
                  <c:v>20427.153468021275</c:v>
                </c:pt>
                <c:pt idx="7">
                  <c:v>20676.533894174834</c:v>
                </c:pt>
                <c:pt idx="8">
                  <c:v>16531.284944172832</c:v>
                </c:pt>
                <c:pt idx="9">
                  <c:v>18608.973070941985</c:v>
                </c:pt>
                <c:pt idx="10">
                  <c:v>24129.178796182026</c:v>
                </c:pt>
                <c:pt idx="11">
                  <c:v>31638.238967257945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7398.3140787699995</c:v>
                </c:pt>
                <c:pt idx="1">
                  <c:v>8170.4706196119996</c:v>
                </c:pt>
                <c:pt idx="2">
                  <c:v>7604.8606662730008</c:v>
                </c:pt>
                <c:pt idx="3">
                  <c:v>6719.8029408745679</c:v>
                </c:pt>
                <c:pt idx="4">
                  <c:v>6197.144359424</c:v>
                </c:pt>
                <c:pt idx="5">
                  <c:v>5704.3488892240011</c:v>
                </c:pt>
                <c:pt idx="6">
                  <c:v>5700.1569349999991</c:v>
                </c:pt>
                <c:pt idx="8">
                  <c:v>2188.5560500000001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8880"/>
        <c:axId val="327656528"/>
      </c:lineChart>
      <c:catAx>
        <c:axId val="327657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6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6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57704"/>
        <c:crosses val="autoZero"/>
        <c:crossBetween val="between"/>
        <c:majorUnit val="50000"/>
      </c:valAx>
      <c:catAx>
        <c:axId val="327658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7656528"/>
        <c:crosses val="autoZero"/>
        <c:auto val="1"/>
        <c:lblAlgn val="ctr"/>
        <c:lblOffset val="100"/>
        <c:noMultiLvlLbl val="0"/>
      </c:catAx>
      <c:valAx>
        <c:axId val="327656528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58880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134357.96565499998</c:v>
                </c:pt>
                <c:pt idx="1">
                  <c:v>119221.93445000002</c:v>
                </c:pt>
                <c:pt idx="2">
                  <c:v>140174.86512999999</c:v>
                </c:pt>
                <c:pt idx="3">
                  <c:v>132578.11558499999</c:v>
                </c:pt>
                <c:pt idx="4">
                  <c:v>131490.85925000001</c:v>
                </c:pt>
                <c:pt idx="5">
                  <c:v>126230.776725</c:v>
                </c:pt>
                <c:pt idx="6">
                  <c:v>129049.07658999997</c:v>
                </c:pt>
                <c:pt idx="7">
                  <c:v>125157.227765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160317.90435047427</c:v>
                </c:pt>
                <c:pt idx="1">
                  <c:v>149174.45651651203</c:v>
                </c:pt>
                <c:pt idx="2">
                  <c:v>160764.25833241406</c:v>
                </c:pt>
                <c:pt idx="3">
                  <c:v>154988.36378592486</c:v>
                </c:pt>
                <c:pt idx="4">
                  <c:v>161360.80533017436</c:v>
                </c:pt>
                <c:pt idx="5">
                  <c:v>156973.08722103341</c:v>
                </c:pt>
                <c:pt idx="6">
                  <c:v>154772.06931968205</c:v>
                </c:pt>
                <c:pt idx="7">
                  <c:v>153110.78917892464</c:v>
                </c:pt>
                <c:pt idx="8">
                  <c:v>148867.76667506646</c:v>
                </c:pt>
                <c:pt idx="9">
                  <c:v>166199.52856527682</c:v>
                </c:pt>
                <c:pt idx="10">
                  <c:v>170462.49930981535</c:v>
                </c:pt>
                <c:pt idx="11">
                  <c:v>174704.0576069504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118752.63871199999</c:v>
                </c:pt>
                <c:pt idx="1">
                  <c:v>106016.83184890001</c:v>
                </c:pt>
                <c:pt idx="2">
                  <c:v>118287.20777000001</c:v>
                </c:pt>
                <c:pt idx="3">
                  <c:v>119428.62426999999</c:v>
                </c:pt>
                <c:pt idx="4">
                  <c:v>129403.82406100001</c:v>
                </c:pt>
                <c:pt idx="5">
                  <c:v>122768.305687</c:v>
                </c:pt>
                <c:pt idx="6">
                  <c:v>122795.49713399999</c:v>
                </c:pt>
                <c:pt idx="7">
                  <c:v>120063.668383</c:v>
                </c:pt>
                <c:pt idx="8">
                  <c:v>114814.77227104</c:v>
                </c:pt>
                <c:pt idx="9">
                  <c:v>127317.99937143998</c:v>
                </c:pt>
                <c:pt idx="10">
                  <c:v>129227.69776400001</c:v>
                </c:pt>
                <c:pt idx="11">
                  <c:v>140624.59282503449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661624"/>
        <c:axId val="327658488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15292.745060000003</c:v>
                </c:pt>
                <c:pt idx="1">
                  <c:v>11653.494420000014</c:v>
                </c:pt>
                <c:pt idx="2">
                  <c:v>14412.652470000003</c:v>
                </c:pt>
                <c:pt idx="3">
                  <c:v>14855.355669999906</c:v>
                </c:pt>
                <c:pt idx="4">
                  <c:v>11906.973790000004</c:v>
                </c:pt>
                <c:pt idx="5">
                  <c:v>14343.640625000004</c:v>
                </c:pt>
                <c:pt idx="6">
                  <c:v>12835.236629999985</c:v>
                </c:pt>
                <c:pt idx="7">
                  <c:v>10666.292494999992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14734.204882442025</c:v>
                </c:pt>
                <c:pt idx="1">
                  <c:v>11698.702624113903</c:v>
                </c:pt>
                <c:pt idx="2">
                  <c:v>13119.642043605832</c:v>
                </c:pt>
                <c:pt idx="3">
                  <c:v>11561.608383315484</c:v>
                </c:pt>
                <c:pt idx="4">
                  <c:v>12411.919511921098</c:v>
                </c:pt>
                <c:pt idx="5">
                  <c:v>12928.212139989622</c:v>
                </c:pt>
                <c:pt idx="6">
                  <c:v>12459.03119079817</c:v>
                </c:pt>
                <c:pt idx="7">
                  <c:v>12128.119444769742</c:v>
                </c:pt>
                <c:pt idx="8">
                  <c:v>11900.882527770982</c:v>
                </c:pt>
                <c:pt idx="9">
                  <c:v>14642.616608245453</c:v>
                </c:pt>
                <c:pt idx="10">
                  <c:v>16161.895466105809</c:v>
                </c:pt>
                <c:pt idx="11">
                  <c:v>17287.925225655155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1539.2869800000001</c:v>
                </c:pt>
                <c:pt idx="1">
                  <c:v>1962.8995401120001</c:v>
                </c:pt>
                <c:pt idx="2">
                  <c:v>1767.2576977349997</c:v>
                </c:pt>
                <c:pt idx="3">
                  <c:v>1748.9298098999996</c:v>
                </c:pt>
                <c:pt idx="4">
                  <c:v>1791.3976558119998</c:v>
                </c:pt>
                <c:pt idx="5">
                  <c:v>1553.0233949999999</c:v>
                </c:pt>
                <c:pt idx="6">
                  <c:v>1535.5759649999998</c:v>
                </c:pt>
                <c:pt idx="7">
                  <c:v>1622.6271600000002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1">
                  <c:v>510.40854999999999</c:v>
                </c:pt>
                <c:pt idx="2">
                  <c:v>1791.2930760000002</c:v>
                </c:pt>
                <c:pt idx="3">
                  <c:v>1333.5254751</c:v>
                </c:pt>
                <c:pt idx="4">
                  <c:v>630.64531560000012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9272"/>
        <c:axId val="327659664"/>
      </c:lineChart>
      <c:catAx>
        <c:axId val="327661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58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65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61624"/>
        <c:crosses val="autoZero"/>
        <c:crossBetween val="between"/>
      </c:valAx>
      <c:catAx>
        <c:axId val="3276592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27659664"/>
        <c:crosses val="max"/>
        <c:auto val="1"/>
        <c:lblAlgn val="ctr"/>
        <c:lblOffset val="100"/>
        <c:noMultiLvlLbl val="0"/>
      </c:catAx>
      <c:valAx>
        <c:axId val="32765966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7659272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48229.557410000009</c:v>
                </c:pt>
                <c:pt idx="1">
                  <c:v>45289.73904</c:v>
                </c:pt>
                <c:pt idx="2">
                  <c:v>46974.176949999994</c:v>
                </c:pt>
                <c:pt idx="3">
                  <c:v>53070.356799999994</c:v>
                </c:pt>
                <c:pt idx="4">
                  <c:v>53602.18202</c:v>
                </c:pt>
                <c:pt idx="5">
                  <c:v>52730.619179999994</c:v>
                </c:pt>
                <c:pt idx="6">
                  <c:v>53458.350320000005</c:v>
                </c:pt>
                <c:pt idx="7">
                  <c:v>51532.75435000001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48078.255783328845</c:v>
                </c:pt>
                <c:pt idx="1">
                  <c:v>44637.658456160301</c:v>
                </c:pt>
                <c:pt idx="2">
                  <c:v>49222.154581235474</c:v>
                </c:pt>
                <c:pt idx="3">
                  <c:v>49346.488861264763</c:v>
                </c:pt>
                <c:pt idx="4">
                  <c:v>52558.956306469438</c:v>
                </c:pt>
                <c:pt idx="5">
                  <c:v>53213.535672161634</c:v>
                </c:pt>
                <c:pt idx="6">
                  <c:v>56146.866523204073</c:v>
                </c:pt>
                <c:pt idx="7">
                  <c:v>54602.155704879442</c:v>
                </c:pt>
                <c:pt idx="8">
                  <c:v>45873.108107446969</c:v>
                </c:pt>
                <c:pt idx="9">
                  <c:v>48932.326284760537</c:v>
                </c:pt>
                <c:pt idx="10">
                  <c:v>54397.396491212399</c:v>
                </c:pt>
                <c:pt idx="11">
                  <c:v>67860.481107699772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44515.064759999994</c:v>
                </c:pt>
                <c:pt idx="1">
                  <c:v>40098.880979999994</c:v>
                </c:pt>
                <c:pt idx="2">
                  <c:v>44565.026299999998</c:v>
                </c:pt>
                <c:pt idx="3">
                  <c:v>45118.440200000005</c:v>
                </c:pt>
                <c:pt idx="4">
                  <c:v>48567.050029999991</c:v>
                </c:pt>
                <c:pt idx="5">
                  <c:v>48098.082239999996</c:v>
                </c:pt>
                <c:pt idx="6">
                  <c:v>50984.018480000006</c:v>
                </c:pt>
                <c:pt idx="7">
                  <c:v>49007.166169999997</c:v>
                </c:pt>
                <c:pt idx="8">
                  <c:v>41401.754999999997</c:v>
                </c:pt>
                <c:pt idx="9">
                  <c:v>44006.87</c:v>
                </c:pt>
                <c:pt idx="10">
                  <c:v>45841.161999999997</c:v>
                </c:pt>
                <c:pt idx="11">
                  <c:v>62454.741999999998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18392"/>
        <c:axId val="329218784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4752.3889600000093</c:v>
                </c:pt>
                <c:pt idx="1">
                  <c:v>5244.5184900000013</c:v>
                </c:pt>
                <c:pt idx="2">
                  <c:v>6640.2418000000016</c:v>
                </c:pt>
                <c:pt idx="3">
                  <c:v>8009.5251100000078</c:v>
                </c:pt>
                <c:pt idx="4">
                  <c:v>6864.1546000000062</c:v>
                </c:pt>
                <c:pt idx="5">
                  <c:v>7686.4923900000013</c:v>
                </c:pt>
                <c:pt idx="6">
                  <c:v>6252.6970700000084</c:v>
                </c:pt>
                <c:pt idx="7">
                  <c:v>5047.3588400000126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4362.4004297450883</c:v>
                </c:pt>
                <c:pt idx="1">
                  <c:v>2829.4836736981961</c:v>
                </c:pt>
                <c:pt idx="2">
                  <c:v>4961.7696492590439</c:v>
                </c:pt>
                <c:pt idx="3">
                  <c:v>5299.3762890154239</c:v>
                </c:pt>
                <c:pt idx="4">
                  <c:v>4948.7825025394395</c:v>
                </c:pt>
                <c:pt idx="5">
                  <c:v>6039.5934195333029</c:v>
                </c:pt>
                <c:pt idx="6">
                  <c:v>5816.4664821231017</c:v>
                </c:pt>
                <c:pt idx="7">
                  <c:v>4341.9278550050894</c:v>
                </c:pt>
                <c:pt idx="8">
                  <c:v>2008.9745878669191</c:v>
                </c:pt>
                <c:pt idx="9">
                  <c:v>1928.9130405968397</c:v>
                </c:pt>
                <c:pt idx="10">
                  <c:v>4728.6835665427352</c:v>
                </c:pt>
                <c:pt idx="11">
                  <c:v>10977.660712607769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1477.1711235699995</c:v>
                </c:pt>
                <c:pt idx="1">
                  <c:v>545.21419000000003</c:v>
                </c:pt>
                <c:pt idx="2">
                  <c:v>452.58144803800042</c:v>
                </c:pt>
                <c:pt idx="3">
                  <c:v>311.24809999999997</c:v>
                </c:pt>
                <c:pt idx="4">
                  <c:v>288.60628000000003</c:v>
                </c:pt>
                <c:pt idx="5">
                  <c:v>290.15550999999999</c:v>
                </c:pt>
                <c:pt idx="6">
                  <c:v>284.33150000000001</c:v>
                </c:pt>
                <c:pt idx="7">
                  <c:v>285.34873999999996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583.75941</c:v>
                </c:pt>
                <c:pt idx="2">
                  <c:v>5247.5703939989999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219568"/>
        <c:axId val="329222704"/>
      </c:lineChart>
      <c:catAx>
        <c:axId val="329218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18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18392"/>
        <c:crosses val="autoZero"/>
        <c:crossBetween val="between"/>
      </c:valAx>
      <c:catAx>
        <c:axId val="329219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222704"/>
        <c:crosses val="autoZero"/>
        <c:auto val="1"/>
        <c:lblAlgn val="ctr"/>
        <c:lblOffset val="100"/>
        <c:noMultiLvlLbl val="0"/>
      </c:catAx>
      <c:valAx>
        <c:axId val="329222704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19568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  <c:pt idx="0">
                  <c:v>42923.092999999993</c:v>
                </c:pt>
                <c:pt idx="1">
                  <c:v>28716.433639999996</c:v>
                </c:pt>
                <c:pt idx="2">
                  <c:v>25302.674430000003</c:v>
                </c:pt>
                <c:pt idx="3">
                  <c:v>29095.944830000004</c:v>
                </c:pt>
                <c:pt idx="4">
                  <c:v>32264.749890000003</c:v>
                </c:pt>
                <c:pt idx="5">
                  <c:v>24861.460199999998</c:v>
                </c:pt>
                <c:pt idx="6">
                  <c:v>26635.551589999995</c:v>
                </c:pt>
                <c:pt idx="7">
                  <c:v>27727.546549999999</c:v>
                </c:pt>
                <c:pt idx="8">
                  <c:v>28059.990830000002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  <c:pt idx="0">
                  <c:v>40618.376000000004</c:v>
                </c:pt>
                <c:pt idx="1">
                  <c:v>35648.195999999996</c:v>
                </c:pt>
                <c:pt idx="2">
                  <c:v>33678.803999999996</c:v>
                </c:pt>
                <c:pt idx="3">
                  <c:v>31916.085999999999</c:v>
                </c:pt>
                <c:pt idx="4">
                  <c:v>31056.794000000002</c:v>
                </c:pt>
                <c:pt idx="5">
                  <c:v>29911.578000000001</c:v>
                </c:pt>
                <c:pt idx="6">
                  <c:v>33195.293000000005</c:v>
                </c:pt>
                <c:pt idx="7">
                  <c:v>34578.729999999996</c:v>
                </c:pt>
                <c:pt idx="8">
                  <c:v>31420.249</c:v>
                </c:pt>
                <c:pt idx="9">
                  <c:v>31670.260642455403</c:v>
                </c:pt>
                <c:pt idx="10">
                  <c:v>37349.576300089167</c:v>
                </c:pt>
                <c:pt idx="11">
                  <c:v>44832.248968370186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37262.296999999999</c:v>
                </c:pt>
                <c:pt idx="1">
                  <c:v>32205.154979999999</c:v>
                </c:pt>
                <c:pt idx="2">
                  <c:v>32943.708379999996</c:v>
                </c:pt>
                <c:pt idx="3">
                  <c:v>26395.821159999996</c:v>
                </c:pt>
                <c:pt idx="4">
                  <c:v>26802.009260000003</c:v>
                </c:pt>
                <c:pt idx="5">
                  <c:v>20481.989030000001</c:v>
                </c:pt>
                <c:pt idx="6">
                  <c:v>27588.578889999997</c:v>
                </c:pt>
                <c:pt idx="7">
                  <c:v>23906.255020000001</c:v>
                </c:pt>
                <c:pt idx="8">
                  <c:v>27224.508699999998</c:v>
                </c:pt>
                <c:pt idx="9">
                  <c:v>36213.603060000001</c:v>
                </c:pt>
                <c:pt idx="10">
                  <c:v>30801.07906</c:v>
                </c:pt>
                <c:pt idx="11">
                  <c:v>34636.959000000003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20352"/>
        <c:axId val="329219960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1103.7430000000011</c:v>
                </c:pt>
                <c:pt idx="1">
                  <c:v>-429.96137000000317</c:v>
                </c:pt>
                <c:pt idx="2">
                  <c:v>-1295.9741599999977</c:v>
                </c:pt>
                <c:pt idx="3">
                  <c:v>-1412.1541399999996</c:v>
                </c:pt>
                <c:pt idx="4">
                  <c:v>-801.36338999999919</c:v>
                </c:pt>
                <c:pt idx="5">
                  <c:v>-1908.2077300000001</c:v>
                </c:pt>
                <c:pt idx="6">
                  <c:v>-581.71982000000219</c:v>
                </c:pt>
                <c:pt idx="7">
                  <c:v>-620.48084000000358</c:v>
                </c:pt>
                <c:pt idx="8">
                  <c:v>2707.9599399999997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1096.6870000000004</c:v>
                </c:pt>
                <c:pt idx="1">
                  <c:v>657.76599999999826</c:v>
                </c:pt>
                <c:pt idx="2">
                  <c:v>388.36299999999721</c:v>
                </c:pt>
                <c:pt idx="3">
                  <c:v>584.06800000000123</c:v>
                </c:pt>
                <c:pt idx="4">
                  <c:v>434.23299999999995</c:v>
                </c:pt>
                <c:pt idx="5">
                  <c:v>173.54200000000196</c:v>
                </c:pt>
                <c:pt idx="6">
                  <c:v>628.56900000000235</c:v>
                </c:pt>
                <c:pt idx="7">
                  <c:v>1013.377</c:v>
                </c:pt>
                <c:pt idx="8">
                  <c:v>434.99599999999896</c:v>
                </c:pt>
                <c:pt idx="9">
                  <c:v>440.94089194068067</c:v>
                </c:pt>
                <c:pt idx="10">
                  <c:v>957.70499813596098</c:v>
                </c:pt>
                <c:pt idx="11">
                  <c:v>1086.402142639995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222312"/>
        <c:axId val="329221920"/>
      </c:lineChart>
      <c:catAx>
        <c:axId val="329220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19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1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20352"/>
        <c:crosses val="autoZero"/>
        <c:crossBetween val="between"/>
      </c:valAx>
      <c:catAx>
        <c:axId val="329222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221920"/>
        <c:crosses val="autoZero"/>
        <c:auto val="1"/>
        <c:lblAlgn val="ctr"/>
        <c:lblOffset val="100"/>
        <c:noMultiLvlLbl val="0"/>
      </c:catAx>
      <c:valAx>
        <c:axId val="32922192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2231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5487.0693500000007</c:v>
                </c:pt>
                <c:pt idx="1">
                  <c:v>9662.0803799999994</c:v>
                </c:pt>
                <c:pt idx="2">
                  <c:v>3252.37907</c:v>
                </c:pt>
                <c:pt idx="3">
                  <c:v>3373.0484200000001</c:v>
                </c:pt>
                <c:pt idx="4">
                  <c:v>1148.1857399999999</c:v>
                </c:pt>
                <c:pt idx="5">
                  <c:v>4453.5660699999999</c:v>
                </c:pt>
                <c:pt idx="6">
                  <c:v>2791.5713599999999</c:v>
                </c:pt>
                <c:pt idx="7">
                  <c:v>5276.6999800000003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4148.6540000000005</c:v>
                </c:pt>
                <c:pt idx="1">
                  <c:v>4570.2520000000004</c:v>
                </c:pt>
                <c:pt idx="2">
                  <c:v>3954.029</c:v>
                </c:pt>
                <c:pt idx="3">
                  <c:v>6160.0309999999999</c:v>
                </c:pt>
                <c:pt idx="4">
                  <c:v>5488.0300000000007</c:v>
                </c:pt>
                <c:pt idx="5">
                  <c:v>3995.2620000000002</c:v>
                </c:pt>
                <c:pt idx="6">
                  <c:v>1975.424</c:v>
                </c:pt>
                <c:pt idx="7">
                  <c:v>4542.2469999999994</c:v>
                </c:pt>
                <c:pt idx="8">
                  <c:v>3066.1424999999999</c:v>
                </c:pt>
                <c:pt idx="9">
                  <c:v>1781.895</c:v>
                </c:pt>
                <c:pt idx="10">
                  <c:v>2999.3175000000001</c:v>
                </c:pt>
                <c:pt idx="11">
                  <c:v>2724.4825000000001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954.53387999999995</c:v>
                </c:pt>
                <c:pt idx="1">
                  <c:v>1826.3302699999999</c:v>
                </c:pt>
                <c:pt idx="2">
                  <c:v>2393.4870299999998</c:v>
                </c:pt>
                <c:pt idx="3">
                  <c:v>676.09960000000001</c:v>
                </c:pt>
                <c:pt idx="4">
                  <c:v>3945.6126400000003</c:v>
                </c:pt>
                <c:pt idx="5">
                  <c:v>912.45750999999996</c:v>
                </c:pt>
                <c:pt idx="6">
                  <c:v>4132.7812400000003</c:v>
                </c:pt>
                <c:pt idx="7">
                  <c:v>3552.8068199999998</c:v>
                </c:pt>
                <c:pt idx="8">
                  <c:v>4618.2929999999997</c:v>
                </c:pt>
                <c:pt idx="9">
                  <c:v>4634.0119999999997</c:v>
                </c:pt>
                <c:pt idx="10">
                  <c:v>2951.68</c:v>
                </c:pt>
                <c:pt idx="11">
                  <c:v>11431.643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17608"/>
        <c:axId val="329221136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2174.5616000000005</c:v>
                </c:pt>
                <c:pt idx="1">
                  <c:v>3682.7552600000008</c:v>
                </c:pt>
                <c:pt idx="2">
                  <c:v>958.86359999999968</c:v>
                </c:pt>
                <c:pt idx="3">
                  <c:v>421.37944000000005</c:v>
                </c:pt>
                <c:pt idx="4">
                  <c:v>-135.09901000000019</c:v>
                </c:pt>
                <c:pt idx="5">
                  <c:v>1411.3309299999999</c:v>
                </c:pt>
                <c:pt idx="6">
                  <c:v>812.23317999999961</c:v>
                </c:pt>
                <c:pt idx="7">
                  <c:v>1470.4562100000003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1164.145</c:v>
                </c:pt>
                <c:pt idx="1">
                  <c:v>1238.4159999999999</c:v>
                </c:pt>
                <c:pt idx="2">
                  <c:v>1129.4100000000001</c:v>
                </c:pt>
                <c:pt idx="3">
                  <c:v>2022.2600000000002</c:v>
                </c:pt>
                <c:pt idx="4">
                  <c:v>1546.5780000000002</c:v>
                </c:pt>
                <c:pt idx="5">
                  <c:v>1218.8599999999999</c:v>
                </c:pt>
                <c:pt idx="6">
                  <c:v>160.93500000000012</c:v>
                </c:pt>
                <c:pt idx="7">
                  <c:v>1676.8959999999995</c:v>
                </c:pt>
                <c:pt idx="8">
                  <c:v>1086.1365059999998</c:v>
                </c:pt>
                <c:pt idx="9">
                  <c:v>474.84368749999999</c:v>
                </c:pt>
                <c:pt idx="10">
                  <c:v>1031.9219000000003</c:v>
                </c:pt>
                <c:pt idx="11">
                  <c:v>891.81583749999982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218000"/>
        <c:axId val="329221528"/>
      </c:lineChart>
      <c:catAx>
        <c:axId val="3292176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21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21136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17608"/>
        <c:crosses val="autoZero"/>
        <c:crossBetween val="between"/>
        <c:majorUnit val="1500"/>
      </c:valAx>
      <c:catAx>
        <c:axId val="329218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221528"/>
        <c:crosses val="autoZero"/>
        <c:auto val="1"/>
        <c:lblAlgn val="ctr"/>
        <c:lblOffset val="100"/>
        <c:noMultiLvlLbl val="0"/>
      </c:catAx>
      <c:valAx>
        <c:axId val="32922152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21800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3089.0965999999994</c:v>
                </c:pt>
                <c:pt idx="1">
                  <c:v>3093.4637799999996</c:v>
                </c:pt>
                <c:pt idx="2">
                  <c:v>3464.0155499999996</c:v>
                </c:pt>
                <c:pt idx="3">
                  <c:v>2291.0208499999999</c:v>
                </c:pt>
                <c:pt idx="4">
                  <c:v>1520.7242800000001</c:v>
                </c:pt>
                <c:pt idx="5">
                  <c:v>1429.87841</c:v>
                </c:pt>
                <c:pt idx="6">
                  <c:v>1411.55657</c:v>
                </c:pt>
                <c:pt idx="7">
                  <c:v>1486.7998400000001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3149.201</c:v>
                </c:pt>
                <c:pt idx="1">
                  <c:v>3078.7871168068536</c:v>
                </c:pt>
                <c:pt idx="2">
                  <c:v>3682.7723341392702</c:v>
                </c:pt>
                <c:pt idx="3">
                  <c:v>2400.8619270725385</c:v>
                </c:pt>
                <c:pt idx="4">
                  <c:v>1668.5715320623381</c:v>
                </c:pt>
                <c:pt idx="5">
                  <c:v>1530.7982534170853</c:v>
                </c:pt>
                <c:pt idx="6">
                  <c:v>1543.6949299368418</c:v>
                </c:pt>
                <c:pt idx="7">
                  <c:v>1663.3779048795814</c:v>
                </c:pt>
                <c:pt idx="8">
                  <c:v>1505.8801899999999</c:v>
                </c:pt>
                <c:pt idx="9">
                  <c:v>1521.7468355689998</c:v>
                </c:pt>
                <c:pt idx="10">
                  <c:v>1466.5691236788266</c:v>
                </c:pt>
                <c:pt idx="11">
                  <c:v>1563.9949508216757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3060.0421100000008</c:v>
                </c:pt>
                <c:pt idx="1">
                  <c:v>3011.3739199999995</c:v>
                </c:pt>
                <c:pt idx="2">
                  <c:v>3630.8050899999998</c:v>
                </c:pt>
                <c:pt idx="3">
                  <c:v>3236.1736899999996</c:v>
                </c:pt>
                <c:pt idx="4">
                  <c:v>1430.8253699999998</c:v>
                </c:pt>
                <c:pt idx="5">
                  <c:v>1532.8838899999998</c:v>
                </c:pt>
                <c:pt idx="6">
                  <c:v>1477.3822999999998</c:v>
                </c:pt>
                <c:pt idx="7">
                  <c:v>1508.68028</c:v>
                </c:pt>
                <c:pt idx="8">
                  <c:v>1463.9412999999997</c:v>
                </c:pt>
                <c:pt idx="9">
                  <c:v>1455.5450000000001</c:v>
                </c:pt>
                <c:pt idx="10">
                  <c:v>1400.6709999999996</c:v>
                </c:pt>
                <c:pt idx="11">
                  <c:v>1504.4849999999999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034168"/>
        <c:axId val="329032208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-81.031000000000205</c:v>
                </c:pt>
                <c:pt idx="1">
                  <c:v>89.404389999999864</c:v>
                </c:pt>
                <c:pt idx="2">
                  <c:v>153.87095000000033</c:v>
                </c:pt>
                <c:pt idx="3">
                  <c:v>-19.443680000000128</c:v>
                </c:pt>
                <c:pt idx="4">
                  <c:v>-28.692359999999837</c:v>
                </c:pt>
                <c:pt idx="5">
                  <c:v>-5.7767200000000454</c:v>
                </c:pt>
                <c:pt idx="6">
                  <c:v>-49.230890000000095</c:v>
                </c:pt>
                <c:pt idx="7">
                  <c:v>-15.218410000000056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-148.53999999999991</c:v>
                </c:pt>
                <c:pt idx="1">
                  <c:v>-88.154360514018776</c:v>
                </c:pt>
                <c:pt idx="2">
                  <c:v>106.1508228164638</c:v>
                </c:pt>
                <c:pt idx="3">
                  <c:v>-28.265968746113842</c:v>
                </c:pt>
                <c:pt idx="4">
                  <c:v>-40.817177880519267</c:v>
                </c:pt>
                <c:pt idx="5">
                  <c:v>-21.679768944723826</c:v>
                </c:pt>
                <c:pt idx="6">
                  <c:v>-34.218208415789583</c:v>
                </c:pt>
                <c:pt idx="7">
                  <c:v>-25.912900816753737</c:v>
                </c:pt>
                <c:pt idx="8">
                  <c:v>-47.688726568851635</c:v>
                </c:pt>
                <c:pt idx="9">
                  <c:v>-46.327664444843364</c:v>
                </c:pt>
                <c:pt idx="10">
                  <c:v>-39.589488839506672</c:v>
                </c:pt>
                <c:pt idx="11">
                  <c:v>-31.821279545896132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92.75200000000001</c:v>
                </c:pt>
                <c:pt idx="1">
                  <c:v>92.754000000000005</c:v>
                </c:pt>
                <c:pt idx="2">
                  <c:v>92.753999999999991</c:v>
                </c:pt>
                <c:pt idx="3">
                  <c:v>67.775704500001012</c:v>
                </c:pt>
                <c:pt idx="4">
                  <c:v>33.763620000000003</c:v>
                </c:pt>
                <c:pt idx="5">
                  <c:v>32.670520000000039</c:v>
                </c:pt>
                <c:pt idx="6">
                  <c:v>30.5</c:v>
                </c:pt>
                <c:pt idx="7">
                  <c:v>30.5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3">
                  <c:v>5728.2640654999996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30640"/>
        <c:axId val="329036128"/>
      </c:lineChart>
      <c:catAx>
        <c:axId val="329034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2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032208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4168"/>
        <c:crosses val="autoZero"/>
        <c:crossBetween val="between"/>
      </c:valAx>
      <c:catAx>
        <c:axId val="329030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036128"/>
        <c:crosses val="autoZero"/>
        <c:auto val="1"/>
        <c:lblAlgn val="ctr"/>
        <c:lblOffset val="100"/>
        <c:noMultiLvlLbl val="0"/>
      </c:catAx>
      <c:valAx>
        <c:axId val="329036128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064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117.0244</c:v>
                </c:pt>
                <c:pt idx="1">
                  <c:v>117.77857999999998</c:v>
                </c:pt>
                <c:pt idx="2">
                  <c:v>120.76178000000002</c:v>
                </c:pt>
                <c:pt idx="3">
                  <c:v>106.95361</c:v>
                </c:pt>
                <c:pt idx="4">
                  <c:v>130.23874000000001</c:v>
                </c:pt>
                <c:pt idx="5">
                  <c:v>130.23875000000001</c:v>
                </c:pt>
                <c:pt idx="6">
                  <c:v>130.23375000000001</c:v>
                </c:pt>
                <c:pt idx="7">
                  <c:v>130.23375000000001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112.25988994974875</c:v>
                </c:pt>
                <c:pt idx="6">
                  <c:v>116.35650315789474</c:v>
                </c:pt>
                <c:pt idx="7">
                  <c:v>122.30897591623038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118.31789000000001</c:v>
                </c:pt>
                <c:pt idx="1">
                  <c:v>117.30037</c:v>
                </c:pt>
                <c:pt idx="2">
                  <c:v>125.38985999999998</c:v>
                </c:pt>
                <c:pt idx="3">
                  <c:v>120.90785000000001</c:v>
                </c:pt>
                <c:pt idx="4">
                  <c:v>122.98385</c:v>
                </c:pt>
                <c:pt idx="5">
                  <c:v>117.95888999999998</c:v>
                </c:pt>
                <c:pt idx="6">
                  <c:v>118.10305</c:v>
                </c:pt>
                <c:pt idx="7">
                  <c:v>118.9162</c:v>
                </c:pt>
                <c:pt idx="8">
                  <c:v>115.99403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037304"/>
        <c:axId val="329032992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111.02456000000001</c:v>
                </c:pt>
                <c:pt idx="2">
                  <c:v>113.51826</c:v>
                </c:pt>
                <c:pt idx="3">
                  <c:v>106.95361</c:v>
                </c:pt>
                <c:pt idx="4">
                  <c:v>123.93139000000001</c:v>
                </c:pt>
                <c:pt idx="5">
                  <c:v>108.62708000000001</c:v>
                </c:pt>
                <c:pt idx="6">
                  <c:v>120.69938000000003</c:v>
                </c:pt>
                <c:pt idx="7">
                  <c:v>108.79103000000001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105.75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102.17290929648242</c:v>
                </c:pt>
                <c:pt idx="6">
                  <c:v>105.91040815789474</c:v>
                </c:pt>
                <c:pt idx="7">
                  <c:v>111.32848795811519</c:v>
                </c:pt>
                <c:pt idx="8">
                  <c:v>105.85</c:v>
                </c:pt>
                <c:pt idx="9">
                  <c:v>105.85</c:v>
                </c:pt>
                <c:pt idx="10">
                  <c:v>105.95000000000002</c:v>
                </c:pt>
                <c:pt idx="11">
                  <c:v>106.05000000000001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60.302</c:v>
                </c:pt>
                <c:pt idx="1">
                  <c:v>64.331000000000003</c:v>
                </c:pt>
                <c:pt idx="2">
                  <c:v>66.441000000000003</c:v>
                </c:pt>
                <c:pt idx="3">
                  <c:v>66.44</c:v>
                </c:pt>
                <c:pt idx="4">
                  <c:v>64.938999999999993</c:v>
                </c:pt>
                <c:pt idx="5">
                  <c:v>57.441000000000003</c:v>
                </c:pt>
                <c:pt idx="6">
                  <c:v>62.899999999999977</c:v>
                </c:pt>
                <c:pt idx="7">
                  <c:v>62.506390000000003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4">
                  <c:v>470.62</c:v>
                </c:pt>
                <c:pt idx="5">
                  <c:v>234.33811</c:v>
                </c:pt>
                <c:pt idx="6">
                  <c:v>256.59617000000003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35736"/>
        <c:axId val="329036520"/>
      </c:lineChart>
      <c:catAx>
        <c:axId val="329037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032992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7304"/>
        <c:crosses val="autoZero"/>
        <c:crossBetween val="between"/>
      </c:valAx>
      <c:catAx>
        <c:axId val="329035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036520"/>
        <c:crosses val="autoZero"/>
        <c:auto val="1"/>
        <c:lblAlgn val="ctr"/>
        <c:lblOffset val="100"/>
        <c:noMultiLvlLbl val="0"/>
      </c:catAx>
      <c:valAx>
        <c:axId val="329036520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573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28059.990830000002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229227.26628251342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188059.32897104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29036912"/>
        <c:axId val="329031032"/>
      </c:barChart>
      <c:catAx>
        <c:axId val="32903691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29031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031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9033776"/>
        <c:axId val="329034560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1505.88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1463.9413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29031424"/>
        <c:axId val="329031816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33776"/>
        <c:axId val="32903456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2903142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29031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031816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29031424"/>
        <c:crosses val="autoZero"/>
        <c:crossBetween val="between"/>
      </c:valAx>
      <c:catAx>
        <c:axId val="3290337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034560"/>
        <c:crosses val="autoZero"/>
        <c:auto val="1"/>
        <c:lblAlgn val="ctr"/>
        <c:lblOffset val="100"/>
        <c:noMultiLvlLbl val="0"/>
      </c:catAx>
      <c:valAx>
        <c:axId val="329034560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29033776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801687</xdr:colOff>
      <xdr:row>0</xdr:row>
      <xdr:rowOff>184149</xdr:rowOff>
    </xdr:from>
    <xdr:to>
      <xdr:col>31</xdr:col>
      <xdr:colOff>79374</xdr:colOff>
      <xdr:row>21</xdr:row>
      <xdr:rowOff>142874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127002</xdr:colOff>
      <xdr:row>185</xdr:row>
      <xdr:rowOff>71442</xdr:rowOff>
    </xdr:from>
    <xdr:to>
      <xdr:col>8</xdr:col>
      <xdr:colOff>127001</xdr:colOff>
      <xdr:row>188</xdr:row>
      <xdr:rowOff>47625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478391" y="41226498"/>
          <a:ext cx="5150554" cy="653516"/>
          <a:chOff x="2713038" y="1182535"/>
          <a:chExt cx="1716084" cy="547712"/>
        </a:xfrm>
      </xdr:grpSpPr>
      <xdr:sp macro="" textlink="">
        <xdr:nvSpPr>
          <xdr:cNvPr id="12" name="Text Box 6"/>
          <xdr:cNvSpPr txBox="1">
            <a:spLocks noChangeArrowheads="1"/>
          </xdr:cNvSpPr>
        </xdr:nvSpPr>
        <xdr:spPr bwMode="auto">
          <a:xfrm>
            <a:off x="3987189" y="1196229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18</a:t>
            </a:r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4" name="Text Box 8"/>
          <xdr:cNvSpPr txBox="1">
            <a:spLocks noChangeArrowheads="1"/>
          </xdr:cNvSpPr>
        </xdr:nvSpPr>
        <xdr:spPr bwMode="auto">
          <a:xfrm>
            <a:off x="3471541" y="1196229"/>
            <a:ext cx="245973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r>
              <a:rPr lang="es-ES" sz="1000"/>
              <a:t>Vts. P. 19</a:t>
            </a:r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">
        <xdr:nvSpPr>
          <xdr:cNvPr id="16" name="Text Box 10"/>
          <xdr:cNvSpPr txBox="1">
            <a:spLocks noChangeArrowheads="1"/>
          </xdr:cNvSpPr>
        </xdr:nvSpPr>
        <xdr:spPr bwMode="auto">
          <a:xfrm>
            <a:off x="3009191" y="1182535"/>
            <a:ext cx="194014" cy="246246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r>
              <a:rPr lang="es-ES" sz="1000"/>
              <a:t>Vts. 19</a:t>
            </a:r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6792" y="1214983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53339" y="1196229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UNF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F25"/>
  <sheetViews>
    <sheetView topLeftCell="A8" workbookViewId="0">
      <selection activeCell="B25" sqref="B25"/>
    </sheetView>
  </sheetViews>
  <sheetFormatPr baseColWidth="10" defaultRowHeight="14.5" x14ac:dyDescent="0.35"/>
  <sheetData>
    <row r="1" spans="1:6" x14ac:dyDescent="0.35">
      <c r="E1">
        <v>30</v>
      </c>
      <c r="F1" t="s">
        <v>147</v>
      </c>
    </row>
    <row r="2" spans="1:6" x14ac:dyDescent="0.35">
      <c r="A2" t="s">
        <v>120</v>
      </c>
      <c r="B2" s="148" t="str">
        <f>'600'!M2</f>
        <v>09-2019</v>
      </c>
      <c r="E2">
        <v>40</v>
      </c>
      <c r="F2" t="s">
        <v>148</v>
      </c>
    </row>
    <row r="3" spans="1:6" x14ac:dyDescent="0.35">
      <c r="E3">
        <v>50</v>
      </c>
      <c r="F3" t="s">
        <v>149</v>
      </c>
    </row>
    <row r="4" spans="1:6" x14ac:dyDescent="0.35">
      <c r="A4" t="s">
        <v>170</v>
      </c>
      <c r="B4" s="278">
        <v>19.734500000000001</v>
      </c>
      <c r="E4">
        <v>60</v>
      </c>
      <c r="F4" t="s">
        <v>150</v>
      </c>
    </row>
    <row r="5" spans="1:6" x14ac:dyDescent="0.35">
      <c r="A5" t="s">
        <v>707</v>
      </c>
      <c r="B5">
        <v>19.370622222222224</v>
      </c>
      <c r="E5">
        <v>70</v>
      </c>
      <c r="F5" t="s">
        <v>151</v>
      </c>
    </row>
    <row r="6" spans="1:6" x14ac:dyDescent="0.35">
      <c r="E6">
        <v>80</v>
      </c>
      <c r="F6" t="s">
        <v>152</v>
      </c>
    </row>
    <row r="7" spans="1:6" x14ac:dyDescent="0.35">
      <c r="A7" s="295" t="s">
        <v>675</v>
      </c>
      <c r="E7">
        <v>90</v>
      </c>
      <c r="F7" t="s">
        <v>153</v>
      </c>
    </row>
    <row r="8" spans="1:6" x14ac:dyDescent="0.35">
      <c r="A8" s="296" t="s">
        <v>676</v>
      </c>
      <c r="E8">
        <v>100</v>
      </c>
      <c r="F8" t="s">
        <v>154</v>
      </c>
    </row>
    <row r="9" spans="1:6" x14ac:dyDescent="0.35">
      <c r="E9">
        <v>110</v>
      </c>
      <c r="F9" t="s">
        <v>155</v>
      </c>
    </row>
    <row r="10" spans="1:6" x14ac:dyDescent="0.35">
      <c r="E10">
        <v>120</v>
      </c>
      <c r="F10" t="s">
        <v>156</v>
      </c>
    </row>
    <row r="11" spans="1:6" x14ac:dyDescent="0.35">
      <c r="E11">
        <v>130</v>
      </c>
      <c r="F11" t="s">
        <v>157</v>
      </c>
    </row>
    <row r="12" spans="1:6" x14ac:dyDescent="0.35">
      <c r="A12" t="s">
        <v>121</v>
      </c>
      <c r="E12">
        <v>135</v>
      </c>
      <c r="F12" t="s">
        <v>158</v>
      </c>
    </row>
    <row r="13" spans="1:6" x14ac:dyDescent="0.35">
      <c r="A13" t="s">
        <v>122</v>
      </c>
      <c r="B13" t="s">
        <v>123</v>
      </c>
      <c r="C13" t="s">
        <v>124</v>
      </c>
      <c r="E13">
        <v>140</v>
      </c>
      <c r="F13" t="s">
        <v>159</v>
      </c>
    </row>
    <row r="14" spans="1:6" x14ac:dyDescent="0.35">
      <c r="A14" t="s">
        <v>125</v>
      </c>
      <c r="B14" t="s">
        <v>126</v>
      </c>
      <c r="E14">
        <v>150</v>
      </c>
      <c r="F14" t="s">
        <v>160</v>
      </c>
    </row>
    <row r="15" spans="1:6" x14ac:dyDescent="0.35">
      <c r="A15" t="s">
        <v>125</v>
      </c>
      <c r="B15" t="s">
        <v>127</v>
      </c>
      <c r="E15">
        <v>155</v>
      </c>
      <c r="F15" t="s">
        <v>161</v>
      </c>
    </row>
    <row r="16" spans="1:6" x14ac:dyDescent="0.35">
      <c r="A16" t="s">
        <v>125</v>
      </c>
      <c r="B16" t="s">
        <v>128</v>
      </c>
      <c r="E16">
        <v>160</v>
      </c>
      <c r="F16" t="s">
        <v>162</v>
      </c>
    </row>
    <row r="17" spans="1:6" x14ac:dyDescent="0.35">
      <c r="A17" t="s">
        <v>125</v>
      </c>
      <c r="B17" t="s">
        <v>129</v>
      </c>
      <c r="E17">
        <v>170</v>
      </c>
      <c r="F17" t="s">
        <v>163</v>
      </c>
    </row>
    <row r="18" spans="1:6" x14ac:dyDescent="0.35">
      <c r="A18" t="s">
        <v>125</v>
      </c>
      <c r="B18" t="s">
        <v>130</v>
      </c>
      <c r="E18">
        <v>180</v>
      </c>
      <c r="F18" t="s">
        <v>164</v>
      </c>
    </row>
    <row r="19" spans="1:6" x14ac:dyDescent="0.35">
      <c r="A19" t="s">
        <v>125</v>
      </c>
      <c r="B19" t="s">
        <v>131</v>
      </c>
      <c r="E19">
        <v>190</v>
      </c>
      <c r="F19" t="s">
        <v>165</v>
      </c>
    </row>
    <row r="20" spans="1:6" x14ac:dyDescent="0.35">
      <c r="A20" t="s">
        <v>125</v>
      </c>
      <c r="B20" t="s">
        <v>132</v>
      </c>
      <c r="E20">
        <v>200</v>
      </c>
      <c r="F20" t="s">
        <v>166</v>
      </c>
    </row>
    <row r="21" spans="1:6" x14ac:dyDescent="0.35">
      <c r="E21">
        <v>210</v>
      </c>
      <c r="F21" t="s">
        <v>167</v>
      </c>
    </row>
    <row r="23" spans="1:6" x14ac:dyDescent="0.35">
      <c r="A23" s="186" t="s">
        <v>168</v>
      </c>
    </row>
    <row r="24" spans="1:6" x14ac:dyDescent="0.35">
      <c r="A24" s="186" t="s">
        <v>169</v>
      </c>
    </row>
    <row r="25" spans="1:6" x14ac:dyDescent="0.35">
      <c r="A25" t="s">
        <v>711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abSelected="1" topLeftCell="A44" zoomScale="70" zoomScaleNormal="70" workbookViewId="0">
      <selection activeCell="G70" sqref="G70"/>
    </sheetView>
  </sheetViews>
  <sheetFormatPr baseColWidth="10" defaultRowHeight="14.5" x14ac:dyDescent="0.35"/>
  <cols>
    <col min="2" max="2" width="21.1796875" bestFit="1" customWidth="1"/>
    <col min="3" max="3" width="13.54296875" bestFit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140</v>
      </c>
      <c r="B2" s="307">
        <v>14</v>
      </c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07" t="s">
        <v>23</v>
      </c>
      <c r="AY2" s="307"/>
      <c r="AZ2" s="307"/>
      <c r="BA2" s="307"/>
      <c r="BB2" s="307"/>
      <c r="BC2" s="307"/>
      <c r="BD2" s="307"/>
      <c r="BE2" s="307"/>
      <c r="BF2" s="307"/>
      <c r="BG2" s="307"/>
      <c r="BH2" s="307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90"/>
      <c r="BG3" s="26" t="s">
        <v>4</v>
      </c>
      <c r="BH3" s="191"/>
    </row>
    <row r="4" spans="1:60" x14ac:dyDescent="0.35">
      <c r="B4" s="7" t="s">
        <v>5</v>
      </c>
      <c r="C4" s="199">
        <f>TablasERxDiv!$K$5</f>
        <v>34263.672139999995</v>
      </c>
      <c r="D4" s="29">
        <f>IF(C$4=0,"N.D.",C4/C$4)</f>
        <v>1</v>
      </c>
      <c r="E4" s="200">
        <f>TablasERxDiv!AA5</f>
        <v>47019.344039999996</v>
      </c>
      <c r="F4" s="29">
        <f>IF(E$4=0,"N.D.",E4/E$4)</f>
        <v>1</v>
      </c>
      <c r="G4" s="200">
        <f>TablasERxDiv!BP5*TC_MES</f>
        <v>28076.887484985</v>
      </c>
      <c r="H4" s="29">
        <f>IF(G$4=0,"N.D.",G4/G$4)</f>
        <v>1</v>
      </c>
      <c r="I4" s="200">
        <f>TablasERxDiv!CF5*TC_MES</f>
        <v>2570.0979393749999</v>
      </c>
      <c r="J4" s="29">
        <f>IF(I$4=0,"N.D.",I4/I$4)</f>
        <v>1</v>
      </c>
      <c r="K4" s="200">
        <f>TablasERxDiv!AT5</f>
        <v>136793.436575</v>
      </c>
      <c r="L4" s="29">
        <f>IF(K$4=0,"N.D.",K4/K$4)</f>
        <v>1</v>
      </c>
      <c r="M4" s="200">
        <f>TablasERxDiv!BC5</f>
        <v>7056.4139599999999</v>
      </c>
      <c r="N4" s="29">
        <f>IF(M$4=0,"N.D.",M4/M$4)</f>
        <v>1</v>
      </c>
      <c r="O4" s="200">
        <f>+K4+E4+C4+M4+G4+I4</f>
        <v>255779.85213935998</v>
      </c>
      <c r="P4" s="29">
        <f>IF(O$4=0,"N.D.",O4/O$4)</f>
        <v>1</v>
      </c>
      <c r="R4" s="7" t="s">
        <v>5</v>
      </c>
      <c r="S4" s="8">
        <f>('600'!K136+'600'!K158+'600'!K180+'600'!K202)/1000</f>
        <v>31420.249</v>
      </c>
      <c r="T4" s="29">
        <f>IF(S$4=0,"N.D.",S4/S$4)</f>
        <v>1</v>
      </c>
      <c r="U4" s="8">
        <f>('600'!K4+'600'!K26+'600'!K48+'600'!K70+'600'!K92+'600'!K114)/1000</f>
        <v>0</v>
      </c>
      <c r="V4" s="29" t="str">
        <f>IF(U$4=0,"N.D.",U4/U$4)</f>
        <v>N.D.</v>
      </c>
      <c r="W4" s="8">
        <f>('600'!K466+'600'!K489+'600'!K556+'600'!K601)*TC_MES/1000</f>
        <v>29717.788860000001</v>
      </c>
      <c r="X4" s="29">
        <f>IF(W$4=0,"N.D.",W4/W$4)</f>
        <v>1</v>
      </c>
      <c r="Y4" s="8">
        <f>('600'!K512)*TC_MES/1000</f>
        <v>2295.1223500000001</v>
      </c>
      <c r="Z4" s="29">
        <f t="shared" ref="Z4:AB6" si="0">IF(Y$4=0,"N.D.",Y4/Y$4)</f>
        <v>1</v>
      </c>
      <c r="AA4" s="8">
        <f>('600'!K290+'600'!K312+'600'!G334+'600'!K356+'600'!K378+'600'!K400)/1000</f>
        <v>147556.231</v>
      </c>
      <c r="AB4" s="29">
        <f t="shared" si="0"/>
        <v>1</v>
      </c>
      <c r="AC4" s="8">
        <f>('600'!K422+'600'!K444)/1000</f>
        <v>3066.1419999999998</v>
      </c>
      <c r="AD4" s="29">
        <f t="shared" ref="AD4" si="1">IF(AC$4=0,"N.D.",AC4/AC$4)</f>
        <v>1</v>
      </c>
      <c r="AE4" s="8">
        <f>+AA4+U4+S4+AC4+W4+Y4</f>
        <v>214055.53320999999</v>
      </c>
      <c r="AF4" s="29">
        <f t="shared" ref="AF4" si="2">IF(AE$4=0,"N.D.",AE4/AE$4)</f>
        <v>1</v>
      </c>
      <c r="AG4" s="25"/>
      <c r="AH4" s="7" t="s">
        <v>5</v>
      </c>
      <c r="AI4" s="8">
        <f>('600'!G136+'600'!G158+'600'!G180+'600'!G202)/1000</f>
        <v>27224.508699999998</v>
      </c>
      <c r="AJ4" s="29">
        <f>IF(AI$4=0,"N.D.",AI4/AI$4)</f>
        <v>1</v>
      </c>
      <c r="AK4" s="8">
        <f>('600'!G4+'600'!G26+'600'!G48+'600'!G70+'600'!G92+'600'!G114)/1000</f>
        <v>55102.28961</v>
      </c>
      <c r="AL4" s="29">
        <f t="shared" ref="AL4:AL6" si="3">IF(AK$4=0,"N.D.",AK4/AK$4)</f>
        <v>1</v>
      </c>
      <c r="AM4" s="8">
        <f>('600'!G466+'600'!G489+'600'!G556+'600'!G601)*TC_MES/1000</f>
        <v>28890.149584850002</v>
      </c>
      <c r="AN4" s="29">
        <f t="shared" ref="AN4:AN6" si="4">IF(AM$4=0,"N.D.",AM4/AM$4)</f>
        <v>1</v>
      </c>
      <c r="AO4" s="8">
        <f>('600'!G512)*TC_MES/1000</f>
        <v>2289.0841850350002</v>
      </c>
      <c r="AP4" s="29">
        <f t="shared" ref="AP4:AP6" si="5">IF(AO$4=0,"N.D.",AO4/AO$4)</f>
        <v>1</v>
      </c>
      <c r="AQ4" s="8">
        <f>('600'!G290+'600'!G312+'600'!E334+'600'!G356+'600'!G378+'600'!G400)/1000</f>
        <v>124323.66361</v>
      </c>
      <c r="AR4" s="29">
        <f t="shared" ref="AR4:AR6" si="6">IF(AQ$4=0,"N.D.",AQ4/AQ$4)</f>
        <v>1</v>
      </c>
      <c r="AS4" s="8">
        <f>('600'!G422+'600'!G444)/1000</f>
        <v>4618.2932000000001</v>
      </c>
      <c r="AT4" s="29">
        <f t="shared" ref="AT4:AT6" si="7">IF(AS$4=0,"N.D.",AS4/AS$4)</f>
        <v>1</v>
      </c>
      <c r="AU4" s="8">
        <f>+AQ4+AK4+AI4+AS4+AM4+AO4</f>
        <v>242447.98888988499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255779.85213935998</v>
      </c>
      <c r="AZ4" s="9">
        <f>IF(AY$4=0,"N.D.",AY4/AY$4)</f>
        <v>1</v>
      </c>
      <c r="BA4" s="8">
        <f t="shared" ref="BA4:BA25" si="9">AE4</f>
        <v>214055.53320999999</v>
      </c>
      <c r="BB4" s="9">
        <f>IF(BA$4=0,"N.D.",BA4/BA$4)</f>
        <v>1</v>
      </c>
      <c r="BC4" s="8">
        <f t="shared" ref="BC4:BC25" si="10">AU4</f>
        <v>242447.98888988499</v>
      </c>
      <c r="BD4" s="9">
        <f>IF(BC$4=0,"N.D.",BC4/BC$4)</f>
        <v>1</v>
      </c>
      <c r="BE4" s="8">
        <f>+AY4-BA4</f>
        <v>41724.318929359986</v>
      </c>
      <c r="BF4" s="10">
        <f>IF(BA4=0,"N.D.",AY4/BA4-1)</f>
        <v>0.19492287026482136</v>
      </c>
      <c r="BG4" s="8">
        <f>AY4-BC4</f>
        <v>13331.863249474991</v>
      </c>
      <c r="BH4" s="10">
        <f>IF(BC4=0, "N.D.",AY4/BC4-1)</f>
        <v>5.4988549546311383E-2</v>
      </c>
    </row>
    <row r="5" spans="1:60" x14ac:dyDescent="0.35">
      <c r="B5" s="7" t="s">
        <v>6</v>
      </c>
      <c r="C5" s="201">
        <f>TablasERxDiv!$K$6</f>
        <v>29521.558349999999</v>
      </c>
      <c r="D5" s="198">
        <f>IF(C$4=0,"N.D.",C5/C$4)</f>
        <v>0.86159937059215641</v>
      </c>
      <c r="E5" s="202">
        <f>TablasERxDiv!AA6</f>
        <v>25802.400360000003</v>
      </c>
      <c r="F5" s="195">
        <f>IF(E$4=0,"N.D.",E5/E$4)</f>
        <v>0.5487613850599351</v>
      </c>
      <c r="G5" s="202">
        <f>TablasERxDiv!BP6*TC_MES</f>
        <v>9099.1491193149996</v>
      </c>
      <c r="H5" s="198">
        <f>IF(G$4=0,"N.D.",G5/G$4)</f>
        <v>0.3240796945238697</v>
      </c>
      <c r="I5" s="202">
        <f>TablasERxDiv!CF6*TC_MES</f>
        <v>0</v>
      </c>
      <c r="J5" s="195">
        <f>IF(I$4=0,"N.D.",I5/I$4)</f>
        <v>0</v>
      </c>
      <c r="K5" s="202">
        <f>TablasERxDiv!AT6</f>
        <v>106976.75169</v>
      </c>
      <c r="L5" s="195">
        <f>IF(K$4=0,"N.D.",K5/K$4)</f>
        <v>0.78203131939994541</v>
      </c>
      <c r="M5" s="202">
        <f>TablasERxDiv!BC6</f>
        <v>3572.7678400000004</v>
      </c>
      <c r="N5" s="195">
        <f>IF(M$4=0,"N.D.",M5/M$4)</f>
        <v>0.50631494414196765</v>
      </c>
      <c r="O5" s="202">
        <f>+K5+E5+C5+M5+G5+I5</f>
        <v>174972.62735931503</v>
      </c>
      <c r="P5" s="198">
        <f>IF(O$4=0,"N.D.",O5/O$4)</f>
        <v>0.68407509776799125</v>
      </c>
      <c r="R5" s="7" t="s">
        <v>6</v>
      </c>
      <c r="S5" s="8">
        <f>('600'!K137+'600'!K159+'600'!K181+'600'!K203)/1000</f>
        <v>26010.679</v>
      </c>
      <c r="T5" s="42">
        <f t="shared" ref="T5:T6" si="11">IF(S$4=0,"N.D.",S5/S$4)</f>
        <v>0.82783172724060849</v>
      </c>
      <c r="U5" s="8">
        <f>('600'!K5+'600'!K27+'600'!K49+'600'!K71+'600'!K93+'600'!K115)/1000</f>
        <v>0</v>
      </c>
      <c r="V5" s="42" t="str">
        <f t="shared" ref="V5:V6" si="12">IF(U$4=0,"N.D.",U5/U$4)</f>
        <v>N.D.</v>
      </c>
      <c r="W5" s="8">
        <f>('600'!K467+'600'!K490+'600'!K557+'600'!K602)*TC_MES/1000</f>
        <v>10446.2404955</v>
      </c>
      <c r="X5" s="42">
        <f t="shared" ref="X5:X6" si="13">IF(W$4=0,"N.D.",W5/W$4)</f>
        <v>0.35151472892926394</v>
      </c>
      <c r="Y5" s="8">
        <f>('600'!K513)*TC_MES/1000</f>
        <v>0</v>
      </c>
      <c r="Z5" s="42">
        <f t="shared" ref="Z5" si="14">IF(Y$4=0,"N.D.",Y5/Y$4)</f>
        <v>0</v>
      </c>
      <c r="AA5" s="8">
        <f>('600'!K291+'600'!K313+'600'!G335+'600'!K357+'600'!K379+'600'!K401)/1000</f>
        <v>114317.63400000001</v>
      </c>
      <c r="AB5" s="42">
        <f t="shared" si="0"/>
        <v>0.77473945508949738</v>
      </c>
      <c r="AC5" s="8">
        <f>('600'!K423+'600'!K445)/1000</f>
        <v>1597.6110000000001</v>
      </c>
      <c r="AD5" s="42">
        <f t="shared" ref="AD5" si="15">IF(AC$4=0,"N.D.",AC5/AC$4)</f>
        <v>0.5210492534266189</v>
      </c>
      <c r="AE5" s="11">
        <f>+AA5+U5+S5+AC5+W5+Y5</f>
        <v>152372.16449550001</v>
      </c>
      <c r="AF5" s="42">
        <f t="shared" ref="AF5" si="16">IF(AE$4=0,"N.D.",AE5/AE$4)</f>
        <v>0.71183473844618961</v>
      </c>
      <c r="AG5" s="40"/>
      <c r="AH5" s="7" t="s">
        <v>6</v>
      </c>
      <c r="AI5" s="8">
        <f>('600'!G137+'600'!G159+'600'!G181+'600'!G203)/1000</f>
        <v>22712.65682</v>
      </c>
      <c r="AJ5" s="42">
        <f t="shared" ref="AJ5:AJ6" si="17">IF(AI$4=0,"N.D.",AI5/AI$4)</f>
        <v>0.83427242233392451</v>
      </c>
      <c r="AK5" s="8">
        <f>('600'!G5+'600'!G27+'600'!G49+'600'!G71+'600'!G93+'600'!G115)/1000</f>
        <v>31819.001650000002</v>
      </c>
      <c r="AL5" s="42">
        <f t="shared" si="3"/>
        <v>0.57745334858509156</v>
      </c>
      <c r="AM5" s="8">
        <f>('600'!G467+'600'!G490+'600'!G557+'600'!G602)*TC_MES/1000</f>
        <v>9984.9341252649992</v>
      </c>
      <c r="AN5" s="42">
        <f>IF(AM$4=0,"N.D.",AM5/AM$4)</f>
        <v>0.34561725254967529</v>
      </c>
      <c r="AO5" s="8">
        <f>('600'!G513)*TC_MES/1000</f>
        <v>0</v>
      </c>
      <c r="AP5" s="42">
        <f t="shared" si="5"/>
        <v>0</v>
      </c>
      <c r="AQ5" s="8">
        <f>('600'!G291+'600'!G313+'600'!E335+'600'!G357+'600'!G379+'600'!G401)/1000</f>
        <v>99388.174100000004</v>
      </c>
      <c r="AR5" s="42">
        <f t="shared" si="6"/>
        <v>0.79943086628928539</v>
      </c>
      <c r="AS5" s="8">
        <f>('600'!G423+'600'!G445)/1000</f>
        <v>2546.2226600000004</v>
      </c>
      <c r="AT5" s="42">
        <f t="shared" si="7"/>
        <v>0.55133412924064684</v>
      </c>
      <c r="AU5" s="11">
        <f>+AQ5+AK5+AI5+AS5+AM5+AO5</f>
        <v>166450.98935526499</v>
      </c>
      <c r="AV5" s="42">
        <f t="shared" si="8"/>
        <v>0.68654308133223452</v>
      </c>
      <c r="AW5" s="25"/>
      <c r="AX5" s="1" t="s">
        <v>6</v>
      </c>
      <c r="AY5" s="11">
        <f>O5</f>
        <v>174972.62735931503</v>
      </c>
      <c r="AZ5" s="12">
        <f t="shared" ref="AZ5:AZ6" si="18">IF(AY$4=0,"N.D.",AY5/AY$4)</f>
        <v>0.68407509776799125</v>
      </c>
      <c r="BA5" s="11">
        <f t="shared" si="9"/>
        <v>152372.16449550001</v>
      </c>
      <c r="BB5" s="12">
        <f t="shared" ref="BB5:BB6" si="19">IF(BA$4=0,"N.D.",BA5/BA$4)</f>
        <v>0.71183473844618961</v>
      </c>
      <c r="BC5" s="11">
        <f>AU5</f>
        <v>166450.98935526499</v>
      </c>
      <c r="BD5" s="12">
        <f t="shared" ref="BD5:BD6" si="20">IF(BC$4=0,"N.D.",BC5/BC$4)</f>
        <v>0.68654308133223452</v>
      </c>
      <c r="BE5" s="11">
        <f>+AY5-BA5</f>
        <v>22600.462863815017</v>
      </c>
      <c r="BF5" s="13">
        <f>IF(BA5=0,"N.D.",AY5/BA5-1)</f>
        <v>0.14832409146804815</v>
      </c>
      <c r="BG5" s="11">
        <f>AY5-BC5</f>
        <v>8521.6380040500371</v>
      </c>
      <c r="BH5" s="13">
        <f>IF(BC5=0, "N.D.",AY5/BC5-1)</f>
        <v>5.1196079020364715E-2</v>
      </c>
    </row>
    <row r="6" spans="1:60" x14ac:dyDescent="0.35">
      <c r="B6" s="4" t="s">
        <v>7</v>
      </c>
      <c r="C6" s="20">
        <f>+C4-C5</f>
        <v>4742.1137899999958</v>
      </c>
      <c r="D6" s="35">
        <f>IF(C$4=0,"N.D.",C6/C$4)</f>
        <v>0.13840062940784362</v>
      </c>
      <c r="E6" s="20">
        <f>+E4-E5</f>
        <v>21216.943679999993</v>
      </c>
      <c r="F6" s="35">
        <f>IF(E$4=0,"N.D.",E6/E$4)</f>
        <v>0.4512386149400649</v>
      </c>
      <c r="G6" s="20">
        <f>+G4-G5</f>
        <v>18977.73836567</v>
      </c>
      <c r="H6" s="35">
        <f>IF(G$4=0,"N.D.",G6/G$4)</f>
        <v>0.67592030547613025</v>
      </c>
      <c r="I6" s="20">
        <f>+I4-I5</f>
        <v>2570.0979393749999</v>
      </c>
      <c r="J6" s="35">
        <f>IF(I$4=0,"N.D.",I6/I$4)</f>
        <v>1</v>
      </c>
      <c r="K6" s="20">
        <f>+K4-K5</f>
        <v>29816.684884999995</v>
      </c>
      <c r="L6" s="35">
        <f>IF(K$4=0,"N.D.",K6/K$4)</f>
        <v>0.21796868060005456</v>
      </c>
      <c r="M6" s="196">
        <f>+M4-M5</f>
        <v>3483.6461199999994</v>
      </c>
      <c r="N6" s="35">
        <f>IF(M$4=0,"N.D.",M6/M$4)</f>
        <v>0.49368505585803241</v>
      </c>
      <c r="O6" s="197">
        <f>+O4-O5</f>
        <v>80807.224780044955</v>
      </c>
      <c r="P6" s="35">
        <f>IF(O$4=0,"N.D.",O6/O$4)</f>
        <v>0.31592490223200875</v>
      </c>
      <c r="R6" s="4" t="s">
        <v>7</v>
      </c>
      <c r="S6" s="14">
        <f>S4-S5</f>
        <v>5409.57</v>
      </c>
      <c r="T6" s="43">
        <f t="shared" si="11"/>
        <v>0.17216827275939156</v>
      </c>
      <c r="U6" s="14">
        <f>U4-U5</f>
        <v>0</v>
      </c>
      <c r="V6" s="43" t="str">
        <f t="shared" si="12"/>
        <v>N.D.</v>
      </c>
      <c r="W6" s="14">
        <f>W4-W5</f>
        <v>19271.548364499999</v>
      </c>
      <c r="X6" s="43">
        <f t="shared" si="13"/>
        <v>0.64848527107073595</v>
      </c>
      <c r="Y6" s="14">
        <f>Y4-Y5</f>
        <v>2295.1223500000001</v>
      </c>
      <c r="Z6" s="43">
        <f t="shared" ref="Z6" si="21">IF(Y$4=0,"N.D.",Y6/Y$4)</f>
        <v>1</v>
      </c>
      <c r="AA6" s="14">
        <f>AA4-AA5</f>
        <v>33238.596999999994</v>
      </c>
      <c r="AB6" s="43">
        <f t="shared" si="0"/>
        <v>0.2252605449105026</v>
      </c>
      <c r="AC6" s="14">
        <f>AC4-AC5</f>
        <v>1468.5309999999997</v>
      </c>
      <c r="AD6" s="43">
        <f t="shared" ref="AD6" si="22">IF(AC$4=0,"N.D.",AC6/AC$4)</f>
        <v>0.4789507465733811</v>
      </c>
      <c r="AE6" s="14">
        <f>AE4-AE5</f>
        <v>61683.368714499986</v>
      </c>
      <c r="AF6" s="43">
        <f t="shared" ref="AF6" si="23">IF(AE$4=0,"N.D.",AE6/AE$4)</f>
        <v>0.28816526155381034</v>
      </c>
      <c r="AG6" s="25"/>
      <c r="AH6" s="4" t="s">
        <v>7</v>
      </c>
      <c r="AI6" s="14">
        <f>+AI4-AI5</f>
        <v>4511.8518799999983</v>
      </c>
      <c r="AJ6" s="43">
        <f t="shared" si="17"/>
        <v>0.16572757766607552</v>
      </c>
      <c r="AK6" s="14">
        <f>+AK4-AK5</f>
        <v>23283.287959999998</v>
      </c>
      <c r="AL6" s="43">
        <f t="shared" si="3"/>
        <v>0.42254665141490838</v>
      </c>
      <c r="AM6" s="14">
        <f>+AM4-AM5</f>
        <v>18905.215459585001</v>
      </c>
      <c r="AN6" s="43">
        <f t="shared" si="4"/>
        <v>0.65438274745032465</v>
      </c>
      <c r="AO6" s="14">
        <f>+AO4-AO5</f>
        <v>2289.0841850350002</v>
      </c>
      <c r="AP6" s="43">
        <f t="shared" si="5"/>
        <v>1</v>
      </c>
      <c r="AQ6" s="14">
        <f>+AQ4-AQ5</f>
        <v>24935.489509999999</v>
      </c>
      <c r="AR6" s="43">
        <f t="shared" si="6"/>
        <v>0.20056913371071464</v>
      </c>
      <c r="AS6" s="14">
        <f>+AS4-AS5</f>
        <v>2072.0705399999997</v>
      </c>
      <c r="AT6" s="43">
        <f t="shared" si="7"/>
        <v>0.44866587075935321</v>
      </c>
      <c r="AU6" s="14">
        <f>+AQ6+AK6+AI6+AS6+AM6+AO6</f>
        <v>75996.999534620001</v>
      </c>
      <c r="AV6" s="43">
        <f t="shared" si="8"/>
        <v>0.31345691866776554</v>
      </c>
      <c r="AW6" s="25"/>
      <c r="AX6" s="26" t="s">
        <v>7</v>
      </c>
      <c r="AY6" s="14">
        <f>O6</f>
        <v>80807.224780044955</v>
      </c>
      <c r="AZ6" s="15">
        <f t="shared" si="18"/>
        <v>0.31592490223200875</v>
      </c>
      <c r="BA6" s="14">
        <f t="shared" si="9"/>
        <v>61683.368714499986</v>
      </c>
      <c r="BB6" s="15">
        <f t="shared" si="19"/>
        <v>0.28816526155381034</v>
      </c>
      <c r="BC6" s="14">
        <f t="shared" si="10"/>
        <v>75996.999534620001</v>
      </c>
      <c r="BD6" s="15">
        <f t="shared" si="20"/>
        <v>0.31345691866776554</v>
      </c>
      <c r="BE6" s="14">
        <f>+AY6-BA6</f>
        <v>19123.856065544969</v>
      </c>
      <c r="BF6" s="16">
        <f>IF(BA6=0,"N.D.",AY6/BA6-1)</f>
        <v>0.31003261436740415</v>
      </c>
      <c r="BG6" s="14">
        <f>AY6-BC6</f>
        <v>4810.2252454249538</v>
      </c>
      <c r="BH6" s="16">
        <f>IF(BC6=0, "N.D.",AY6/BC6-1)</f>
        <v>6.329493631171168E-2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92"/>
      <c r="BA7" s="30"/>
      <c r="BB7" s="192"/>
      <c r="BC7" s="30"/>
      <c r="BD7" s="192"/>
      <c r="BE7" s="30"/>
      <c r="BF7" s="193"/>
      <c r="BG7" s="30"/>
      <c r="BH7" s="193"/>
    </row>
    <row r="8" spans="1:60" x14ac:dyDescent="0.35">
      <c r="B8" s="7" t="s">
        <v>8</v>
      </c>
      <c r="C8" s="199">
        <f>TablasERxDiv!$K$9</f>
        <v>2263.9652799999999</v>
      </c>
      <c r="D8" s="29">
        <f>IF(C$4=0,"N.D.",C8/C$4)</f>
        <v>6.6074799885707761E-2</v>
      </c>
      <c r="E8" s="200">
        <f>TablasERxDiv!AA9</f>
        <v>12853.50029</v>
      </c>
      <c r="F8" s="29">
        <f>IF(E$4=0,"N.D.",E8/E$4)</f>
        <v>0.27336621878572681</v>
      </c>
      <c r="G8" s="200">
        <f>TablasERxDiv!BP9*TC_MES</f>
        <v>18558.299723909997</v>
      </c>
      <c r="H8" s="29">
        <f>IF(G$4=0,"N.D.",G8/G$4)</f>
        <v>0.66098137601023732</v>
      </c>
      <c r="I8" s="200">
        <f>TablasERxDiv!CF9*TC_MES</f>
        <v>454.46915536499995</v>
      </c>
      <c r="J8" s="29">
        <f>IF(I$4=0,"N.D.",I8/I$4)</f>
        <v>0.17682950847994469</v>
      </c>
      <c r="K8" s="200">
        <f>TablasERxDiv!AT9</f>
        <v>20060.712885000001</v>
      </c>
      <c r="L8" s="29">
        <f>IF(K$4=0,"N.D.",K8/K$4)</f>
        <v>0.1466496740433981</v>
      </c>
      <c r="M8" s="200">
        <f>TablasERxDiv!BC9</f>
        <v>251.89367000000001</v>
      </c>
      <c r="N8" s="29">
        <f>IF(M$4=0,"N.D.",M8/M$4)</f>
        <v>3.5697121998211116E-2</v>
      </c>
      <c r="O8" s="200">
        <f>+K8+E8+C8+M8+G8+I8</f>
        <v>54442.841004274982</v>
      </c>
      <c r="P8" s="29">
        <f>IF(O$4=0,"N.D.",O8/O$4)</f>
        <v>0.21285038891418295</v>
      </c>
      <c r="R8" s="7" t="s">
        <v>8</v>
      </c>
      <c r="S8" s="8">
        <f>('600'!K139+'600'!K161+'600'!K183+'600'!K205)/1000</f>
        <v>2094.5230000000001</v>
      </c>
      <c r="T8" s="29">
        <f t="shared" ref="T8:T12" si="24">IF(S$4=0,"N.D.",S8/S$4)</f>
        <v>6.6661565922026905E-2</v>
      </c>
      <c r="U8" s="8">
        <f>('600'!K7+'600'!K29+'600'!K51+'600'!K73+'600'!K95+'600'!K117)/1000</f>
        <v>0</v>
      </c>
      <c r="V8" s="29" t="str">
        <f>IF(U$4=0,"N.D.",U8/U$4)</f>
        <v>N.D.</v>
      </c>
      <c r="W8" s="8">
        <f>('600'!K470+'600'!K493+'600'!K560+'600'!K605)*TC_MES/1000</f>
        <v>19042.568961000001</v>
      </c>
      <c r="X8" s="29">
        <f t="shared" ref="X8:X12" si="25">IF(W$4=0,"N.D.",W8/W$4)</f>
        <v>0.6407801418439717</v>
      </c>
      <c r="Y8" s="8">
        <f>('600'!K515)*TC_MES/1000</f>
        <v>122.35390000000001</v>
      </c>
      <c r="Z8" s="29">
        <f t="shared" ref="Z8" si="26">IF(Y$4=0,"N.D.",Y8/Y$4)</f>
        <v>5.3310404127257092E-2</v>
      </c>
      <c r="AA8" s="8">
        <f>('600'!K293+'600'!K315+'600'!G337+'600'!K359+'600'!K381+'600'!K403)/1000</f>
        <v>15646.991</v>
      </c>
      <c r="AB8" s="29">
        <f t="shared" ref="AB8" si="27">IF(AA$4=0,"N.D.",AA8/AA$4)</f>
        <v>0.10604086926020766</v>
      </c>
      <c r="AC8" s="8">
        <f>('600'!K425+'600'!K447)/1000</f>
        <v>99.844999999999999</v>
      </c>
      <c r="AD8" s="29">
        <f t="shared" ref="AD8" si="28">IF(AC$4=0,"N.D.",AC8/AC$4)</f>
        <v>3.256372340224295E-2</v>
      </c>
      <c r="AE8" s="8">
        <f>+AA8+U8+S8+AC8+W8+Y8</f>
        <v>37006.281861000003</v>
      </c>
      <c r="AF8" s="29">
        <f t="shared" ref="AF8" si="29">IF(AE$4=0,"N.D.",AE8/AE$4)</f>
        <v>0.17288168778470608</v>
      </c>
      <c r="AG8" s="25"/>
      <c r="AH8" s="7" t="s">
        <v>8</v>
      </c>
      <c r="AI8" s="8">
        <f>('600'!G139+'600'!G161+'600'!G183+'600'!G205)/1000</f>
        <v>2226.3399199999999</v>
      </c>
      <c r="AJ8" s="29">
        <f t="shared" ref="AJ8:AJ12" si="30">IF(AI$4=0,"N.D.",AI8/AI$4)</f>
        <v>8.1777046724079178E-2</v>
      </c>
      <c r="AK8" s="8">
        <f>('600'!G7+'600'!G29+'600'!G51+'600'!G73+'600'!G95+'600'!G117)/1000</f>
        <v>13801.435160000001</v>
      </c>
      <c r="AL8" s="29">
        <f t="shared" ref="AL8:AL12" si="31">IF(AK$4=0,"N.D.",AK8/AK$4)</f>
        <v>0.25046935903540579</v>
      </c>
      <c r="AM8" s="8">
        <f>('600'!G470+'600'!G493+'600'!G560+'600'!G605)*TC_MES/1000</f>
        <v>18204.350217744999</v>
      </c>
      <c r="AN8" s="29">
        <f t="shared" ref="AN8:AN12" si="32">IF(AM$4=0,"N.D.",AM8/AM$4)</f>
        <v>0.6301230862193723</v>
      </c>
      <c r="AO8" s="8">
        <f>('600'!G515)*TC_MES/1000</f>
        <v>208.45355004999999</v>
      </c>
      <c r="AP8" s="29">
        <f t="shared" ref="AP8:AP12" si="33">IF(AO$4=0,"N.D.",AO8/AO$4)</f>
        <v>9.1064169423202196E-2</v>
      </c>
      <c r="AQ8" s="8">
        <f>('600'!G293+'600'!G315+'600'!E337+'600'!G359+'600'!G381+'600'!G403)/1000</f>
        <v>19673.45318</v>
      </c>
      <c r="AR8" s="29">
        <f t="shared" ref="AR8:AR12" si="34">IF(AQ$4=0,"N.D.",AQ8/AQ$4)</f>
        <v>0.15824383394713251</v>
      </c>
      <c r="AS8" s="8">
        <f>('600'!G425+'600'!G447)/1000</f>
        <v>143.74396999999999</v>
      </c>
      <c r="AT8" s="29">
        <f>IF(AS$4=0,"N.D.",AS8/AS$4)</f>
        <v>3.1124912121213957E-2</v>
      </c>
      <c r="AU8" s="8">
        <f>+AQ8+AK8+AI8+AS8+AM8+AO8</f>
        <v>54257.775997795005</v>
      </c>
      <c r="AV8" s="29">
        <f t="shared" ref="AV8:AV12" si="35">IF(AU$4=0,"N.D.",AU8/AU$4)</f>
        <v>0.22379140468943134</v>
      </c>
      <c r="AW8" s="25"/>
      <c r="AX8" s="1" t="s">
        <v>8</v>
      </c>
      <c r="AY8" s="8">
        <f>O8</f>
        <v>54442.841004274982</v>
      </c>
      <c r="AZ8" s="9">
        <f t="shared" ref="AZ8:AZ12" si="36">IF(AY$4=0,"N.D.",AY8/AY$4)</f>
        <v>0.21285038891418295</v>
      </c>
      <c r="BA8" s="8">
        <f t="shared" si="9"/>
        <v>37006.281861000003</v>
      </c>
      <c r="BB8" s="9">
        <f t="shared" ref="BB8:BB12" si="37">IF(BA$4=0,"N.D.",BA8/BA$4)</f>
        <v>0.17288168778470608</v>
      </c>
      <c r="BC8" s="8">
        <f t="shared" si="10"/>
        <v>54257.775997795005</v>
      </c>
      <c r="BD8" s="9">
        <f t="shared" ref="BD8:BD25" si="38">IF(BC$4=0,"N.D.",BC8/BC$4)</f>
        <v>0.22379140468943134</v>
      </c>
      <c r="BE8" s="8">
        <f>+AY8-BA8</f>
        <v>17436.559143274979</v>
      </c>
      <c r="BF8" s="10">
        <f>IF(BA8=0,"N.D.",AY8/BA8-1)</f>
        <v>0.47117835854919909</v>
      </c>
      <c r="BG8" s="8">
        <f>AY8-BC8</f>
        <v>185.06500647997746</v>
      </c>
      <c r="BH8" s="10">
        <f>IF(BC8=0, "N.D.",AY8/BC8-1)</f>
        <v>3.4108476264766985E-3</v>
      </c>
    </row>
    <row r="9" spans="1:60" x14ac:dyDescent="0.35">
      <c r="B9" s="7" t="s">
        <v>9</v>
      </c>
      <c r="C9" s="203">
        <f>TablasERxDiv!$K$10-C15-C14</f>
        <v>2269.69767</v>
      </c>
      <c r="D9" s="42">
        <f>IF(C$4=0,"N.D.",C9/C$4)</f>
        <v>6.6242102151984936E-2</v>
      </c>
      <c r="E9" s="30">
        <f>TablasERxDiv!AA10-E15-E14</f>
        <v>2636.5970099999995</v>
      </c>
      <c r="F9" s="42">
        <f>IF(E$4=0,"N.D.",E9/E$4)</f>
        <v>5.6074729748611774E-2</v>
      </c>
      <c r="G9" s="30">
        <f>TablasERxDiv!BP10*TC_MES-G15-G14</f>
        <v>845.05023512000002</v>
      </c>
      <c r="H9" s="42">
        <f>IF(G$4=0,"N.D.",G9/G$4)</f>
        <v>3.0097717760628463E-2</v>
      </c>
      <c r="I9" s="30">
        <f>TablasERxDiv!CF10*TC_MES-I15-I14</f>
        <v>32.984637990000003</v>
      </c>
      <c r="J9" s="42">
        <f>IF(I$4=0,"N.D.",I9/I$4)</f>
        <v>1.2834000403121312E-2</v>
      </c>
      <c r="K9" s="30">
        <f>TablasERxDiv!AT10-K15-K14</f>
        <v>4070.8992150000004</v>
      </c>
      <c r="L9" s="42">
        <f>IF(K$4=0,"N.D.",K9/K$4)</f>
        <v>2.9759463004411332E-2</v>
      </c>
      <c r="M9" s="30">
        <f>TablasERxDiv!BC10-M15-M14</f>
        <v>213.46260000000001</v>
      </c>
      <c r="N9" s="42">
        <f>IF(M$4=0,"N.D.",M9/M$4)</f>
        <v>3.0250861302927305E-2</v>
      </c>
      <c r="O9" s="30">
        <f>+K9+E9+C9+M9+G9+I9</f>
        <v>10068.69136811</v>
      </c>
      <c r="P9" s="42">
        <f>IF(O$4=0,"N.D.",O9/O$4)</f>
        <v>3.9364677412606131E-2</v>
      </c>
      <c r="R9" s="7" t="s">
        <v>9</v>
      </c>
      <c r="S9" s="8">
        <f>('600'!K140+'600'!K162+'600'!K184+'600'!K206)/1000</f>
        <v>2880.0509999999999</v>
      </c>
      <c r="T9" s="42">
        <f t="shared" si="24"/>
        <v>9.166225894645201E-2</v>
      </c>
      <c r="U9" s="8">
        <f>('600'!K8+'600'!K30+'600'!K52+'600'!K74+'600'!K96+'600'!K118)/1000</f>
        <v>0</v>
      </c>
      <c r="V9" s="42" t="str">
        <f t="shared" ref="V9:V12" si="39">IF(U$4=0,"N.D.",U9/U$4)</f>
        <v>N.D.</v>
      </c>
      <c r="W9" s="8">
        <f>('600'!K471+'600'!K494+'600'!K561+'600'!K606)*TC_MES/1000</f>
        <v>1170.0782395000001</v>
      </c>
      <c r="X9" s="42">
        <f t="shared" si="25"/>
        <v>3.9372991207798767E-2</v>
      </c>
      <c r="Y9" s="8">
        <f>('600'!K516)*TC_MES/1000</f>
        <v>83.871624999999995</v>
      </c>
      <c r="Z9" s="42">
        <f t="shared" ref="Z9" si="40">IF(Y$4=0,"N.D.",Y9/Y$4)</f>
        <v>3.6543422184006878E-2</v>
      </c>
      <c r="AA9" s="8">
        <f>('600'!K294+'600'!K316+'600'!G338+'600'!K360+'600'!K382+'600'!K404)/1000</f>
        <v>5907.48</v>
      </c>
      <c r="AB9" s="42">
        <f t="shared" ref="AB9" si="41">IF(AA$4=0,"N.D.",AA9/AA$4)</f>
        <v>4.0035449265439692E-2</v>
      </c>
      <c r="AC9" s="8">
        <f>('600'!K426+'600'!K448)/1000</f>
        <v>282.55</v>
      </c>
      <c r="AD9" s="42">
        <f t="shared" ref="AD9" si="42">IF(AC$4=0,"N.D.",AC9/AC$4)</f>
        <v>9.215163550807498E-2</v>
      </c>
      <c r="AE9" s="11">
        <f>+AA9+U9+S9+AC9+W9+Y9</f>
        <v>10324.030864499999</v>
      </c>
      <c r="AF9" s="42">
        <f t="shared" ref="AF9" si="43">IF(AE$4=0,"N.D.",AE9/AE$4)</f>
        <v>4.8230618987884645E-2</v>
      </c>
      <c r="AG9" s="25"/>
      <c r="AH9" s="7" t="s">
        <v>9</v>
      </c>
      <c r="AI9" s="8">
        <f>('600'!G140+'600'!G162+'600'!G184+'600'!G206)/1000</f>
        <v>3040.5191400000003</v>
      </c>
      <c r="AJ9" s="42">
        <f t="shared" si="30"/>
        <v>0.11168315922630408</v>
      </c>
      <c r="AK9" s="8">
        <f>('600'!G8+'600'!G30+'600'!G52+'600'!G74+'600'!G96+'600'!G118)/1000</f>
        <v>7155.2395299999989</v>
      </c>
      <c r="AL9" s="42">
        <f t="shared" si="31"/>
        <v>0.12985376071743962</v>
      </c>
      <c r="AM9" s="8">
        <f>('600'!G471+'600'!G494+'600'!G561+'600'!G606)*TC_MES/1000</f>
        <v>1276.65677489</v>
      </c>
      <c r="AN9" s="42">
        <f t="shared" si="32"/>
        <v>4.419003685461978E-2</v>
      </c>
      <c r="AO9" s="8">
        <f>('600'!G516)*TC_MES/1000</f>
        <v>0.39172982500000009</v>
      </c>
      <c r="AP9" s="42">
        <f t="shared" si="33"/>
        <v>1.7112949692324683E-4</v>
      </c>
      <c r="AQ9" s="8">
        <f>('600'!G294+'600'!G316+'600'!E338+'600'!G360+'600'!G382+'600'!G404)/1000</f>
        <v>5803.4095099999995</v>
      </c>
      <c r="AR9" s="42">
        <f t="shared" si="34"/>
        <v>4.6679846309912003E-2</v>
      </c>
      <c r="AS9" s="8">
        <f>('600'!G426+'600'!G448)/1000</f>
        <v>446.14360000000005</v>
      </c>
      <c r="AT9" s="42">
        <f t="shared" ref="AT9:AT12" si="44">IF(AS$4=0,"N.D.",AS9/AS$4)</f>
        <v>9.6603567742299265E-2</v>
      </c>
      <c r="AU9" s="11">
        <f>+AQ9+AK9+AI9+AS9+AM9+AO9</f>
        <v>17722.360284715003</v>
      </c>
      <c r="AV9" s="42">
        <f t="shared" si="35"/>
        <v>7.309757596201033E-2</v>
      </c>
      <c r="AW9" s="25"/>
      <c r="AX9" s="1" t="s">
        <v>9</v>
      </c>
      <c r="AY9" s="11">
        <f>O9+O14+O15</f>
        <v>16391.176173110001</v>
      </c>
      <c r="AZ9" s="12">
        <f t="shared" si="36"/>
        <v>6.4083140388162305E-2</v>
      </c>
      <c r="BA9" s="11">
        <f t="shared" si="9"/>
        <v>10324.030864499999</v>
      </c>
      <c r="BB9" s="12">
        <f t="shared" si="37"/>
        <v>4.8230618987884645E-2</v>
      </c>
      <c r="BC9" s="11">
        <f t="shared" si="10"/>
        <v>17722.360284715003</v>
      </c>
      <c r="BD9" s="12">
        <f t="shared" si="38"/>
        <v>7.309757596201033E-2</v>
      </c>
      <c r="BE9" s="11">
        <f>+AY9-BA9</f>
        <v>6067.1453086100028</v>
      </c>
      <c r="BF9" s="13">
        <f>IF(BA9=0,"N.D.",AY9/BA9-1)</f>
        <v>0.58767213971360399</v>
      </c>
      <c r="BG9" s="11">
        <f>AY9-BC9</f>
        <v>-1331.1841116050018</v>
      </c>
      <c r="BH9" s="13">
        <f>IF(BC9=0, "N.D.",AY9/BC9-1)</f>
        <v>-7.5113251859184271E-2</v>
      </c>
    </row>
    <row r="10" spans="1:60" x14ac:dyDescent="0.35">
      <c r="B10" s="7" t="s">
        <v>10</v>
      </c>
      <c r="C10" s="201">
        <f>TablasERxDiv!$K$11</f>
        <v>269.09971999999999</v>
      </c>
      <c r="D10" s="198">
        <f>IF(C$4=0,"N.D.",C10/C$4)</f>
        <v>7.8537910034998382E-3</v>
      </c>
      <c r="E10" s="202">
        <f>TablasERxDiv!AA11</f>
        <v>780.71365000000003</v>
      </c>
      <c r="F10" s="198">
        <f>IF(E$4=0,"N.D.",E10/E$4)</f>
        <v>1.6604094887751653E-2</v>
      </c>
      <c r="G10" s="202">
        <f>TablasERxDiv!BP11*TC_MES</f>
        <v>402.61142830000006</v>
      </c>
      <c r="H10" s="198">
        <f>IF(G$4=0,"N.D.",G10/G$4)</f>
        <v>1.4339603295248065E-2</v>
      </c>
      <c r="I10" s="202">
        <f>TablasERxDiv!CF11</f>
        <v>21.002410000000001</v>
      </c>
      <c r="J10" s="198">
        <f>IF(I$4=0,"N.D.",I10/I$4)</f>
        <v>8.1718325509055889E-3</v>
      </c>
      <c r="K10" s="202">
        <f>TablasERxDiv!AT11</f>
        <v>2228.55132</v>
      </c>
      <c r="L10" s="198">
        <f>IF(K$4=0,"N.D.",K10/K$4)</f>
        <v>1.6291361455621798E-2</v>
      </c>
      <c r="M10" s="202">
        <f>TablasERxDiv!BC11</f>
        <v>24.823910000000001</v>
      </c>
      <c r="N10" s="198">
        <f>IF(M$4=0,"N.D.",M10/M$4)</f>
        <v>3.5179214457537297E-3</v>
      </c>
      <c r="O10" s="202">
        <f>+K10+E10+C10+M10+G10+I10</f>
        <v>3726.8024383000006</v>
      </c>
      <c r="P10" s="198">
        <f>IF(O$4=0,"N.D.",O10/O$4)</f>
        <v>1.4570351836271594E-2</v>
      </c>
      <c r="R10" s="7" t="s">
        <v>10</v>
      </c>
      <c r="S10" s="8">
        <f>('600'!K141+'600'!K163+'600'!K185+'600'!K207)/1000</f>
        <v>318.63499999999999</v>
      </c>
      <c r="T10" s="42">
        <f t="shared" si="24"/>
        <v>1.0141071765535657E-2</v>
      </c>
      <c r="U10" s="8">
        <f>('600'!K9+'600'!K31+'600'!K53+'600'!K75+'600'!K97+'600'!K119)/1000</f>
        <v>0</v>
      </c>
      <c r="V10" s="42" t="str">
        <f t="shared" si="39"/>
        <v>N.D.</v>
      </c>
      <c r="W10" s="8">
        <f>('600'!K472+'600'!K495+'600'!K562+'600'!K607)*TC_MES/1000</f>
        <v>528.96353800000009</v>
      </c>
      <c r="X10" s="42">
        <f t="shared" si="25"/>
        <v>1.7799559061811035E-2</v>
      </c>
      <c r="Y10" s="8">
        <f>('600'!K517)*TC_MES/1000</f>
        <v>416.39795000000004</v>
      </c>
      <c r="Z10" s="42">
        <f t="shared" ref="Z10" si="45">IF(Y$4=0,"N.D.",Y10/Y$4)</f>
        <v>0.18142734307824593</v>
      </c>
      <c r="AA10" s="8">
        <f>('600'!K295+'600'!K317+'600'!G339+'600'!K361+'600'!K383+'600'!K405)/1000</f>
        <v>1460.508</v>
      </c>
      <c r="AB10" s="42">
        <f t="shared" ref="AB10" si="46">IF(AA$4=0,"N.D.",AA10/AA$4)</f>
        <v>9.8979757757569724E-3</v>
      </c>
      <c r="AC10" s="8">
        <f>('600'!K427+'600'!K449)/1000</f>
        <v>27.925000000000001</v>
      </c>
      <c r="AD10" s="42">
        <f t="shared" ref="AD10" si="47">IF(AC$4=0,"N.D.",AC10/AC$4)</f>
        <v>9.1075364415607631E-3</v>
      </c>
      <c r="AE10" s="11">
        <f>+AA10+U10+S10+AC10+W10+Y10</f>
        <v>2752.4294880000002</v>
      </c>
      <c r="AF10" s="42">
        <f t="shared" ref="AF10" si="48">IF(AE$4=0,"N.D.",AE10/AE$4)</f>
        <v>1.2858483248362092E-2</v>
      </c>
      <c r="AG10" s="25"/>
      <c r="AH10" s="7" t="s">
        <v>10</v>
      </c>
      <c r="AI10" s="8">
        <f>('600'!G141+'600'!G163+'600'!G185+'600'!G207)/1000</f>
        <v>305.43107999999995</v>
      </c>
      <c r="AJ10" s="42">
        <f t="shared" si="30"/>
        <v>1.1218974908443435E-2</v>
      </c>
      <c r="AK10" s="8">
        <f>('600'!G9+'600'!G31+'600'!G53+'600'!G75+'600'!G97+'600'!G119)/1000</f>
        <v>967.34337000000005</v>
      </c>
      <c r="AL10" s="42">
        <f t="shared" si="31"/>
        <v>1.7555411523670079E-2</v>
      </c>
      <c r="AM10" s="8">
        <f>('600'!G472+'600'!G495+'600'!G562+'600'!G607)*TC_MES/1000</f>
        <v>628.22984910499986</v>
      </c>
      <c r="AN10" s="42">
        <f t="shared" si="32"/>
        <v>2.1745468892775954E-2</v>
      </c>
      <c r="AO10" s="8">
        <f>('600'!G517)*TC_MES/1000</f>
        <v>819.12640388500006</v>
      </c>
      <c r="AP10" s="42">
        <f t="shared" si="33"/>
        <v>0.35784022677718841</v>
      </c>
      <c r="AQ10" s="8">
        <f>('600'!G295+'600'!G317+'600'!E339+'600'!G361+'600'!G383+'600'!G405)/1000</f>
        <v>1717.75127</v>
      </c>
      <c r="AR10" s="42">
        <f t="shared" si="34"/>
        <v>1.3816768426230903E-2</v>
      </c>
      <c r="AS10" s="8">
        <f>('600'!G427+'600'!G449)/1000</f>
        <v>0</v>
      </c>
      <c r="AT10" s="42">
        <f t="shared" si="44"/>
        <v>0</v>
      </c>
      <c r="AU10" s="11">
        <f>+AQ10+AK10+AI10+AS10+AM10+AO10</f>
        <v>4437.8819729900006</v>
      </c>
      <c r="AV10" s="42">
        <f t="shared" si="35"/>
        <v>1.8304470139389763E-2</v>
      </c>
      <c r="AW10" s="25"/>
      <c r="AX10" s="1" t="s">
        <v>10</v>
      </c>
      <c r="AY10" s="11">
        <f>O11</f>
        <v>68238.334810684988</v>
      </c>
      <c r="AZ10" s="12">
        <f t="shared" si="36"/>
        <v>0.26678541816306067</v>
      </c>
      <c r="BA10" s="11">
        <f t="shared" si="9"/>
        <v>2752.4294880000002</v>
      </c>
      <c r="BB10" s="12">
        <f t="shared" si="37"/>
        <v>1.2858483248362092E-2</v>
      </c>
      <c r="BC10" s="11">
        <f t="shared" si="10"/>
        <v>4437.8819729900006</v>
      </c>
      <c r="BD10" s="12">
        <f t="shared" si="38"/>
        <v>1.8304470139389763E-2</v>
      </c>
      <c r="BE10" s="11">
        <f>+AY10-BA10</f>
        <v>65485.905322684986</v>
      </c>
      <c r="BF10" s="13">
        <f>IF(BA10=0,"N.D.",AY10/BA10-1)</f>
        <v>23.792037401208436</v>
      </c>
      <c r="BG10" s="11">
        <f>AY10-BC10</f>
        <v>63800.452837694989</v>
      </c>
      <c r="BH10" s="13">
        <f>IF(BC10=0, "N.D.",AY10/BC10-1)</f>
        <v>14.376329344944196</v>
      </c>
    </row>
    <row r="11" spans="1:60" x14ac:dyDescent="0.35">
      <c r="B11" s="4" t="s">
        <v>11</v>
      </c>
      <c r="C11" s="20">
        <f>SUM(C8:C10)</f>
        <v>4802.7626700000001</v>
      </c>
      <c r="D11" s="35">
        <f>IF(C$4=0,"N.D.",C11/C$4)</f>
        <v>0.14017069304119253</v>
      </c>
      <c r="E11" s="20">
        <f>SUM(E8:E10)</f>
        <v>16270.810949999999</v>
      </c>
      <c r="F11" s="35">
        <f>IF(E$4=0,"N.D.",E11/E$4)</f>
        <v>0.34604504342209025</v>
      </c>
      <c r="G11" s="20">
        <f>SUM(G8:G10)</f>
        <v>19805.961387329997</v>
      </c>
      <c r="H11" s="35">
        <f>IF(G$4=0,"N.D.",G11/G$4)</f>
        <v>0.70541869706611382</v>
      </c>
      <c r="I11" s="20">
        <f>SUM(I8:I10)</f>
        <v>508.45620335499996</v>
      </c>
      <c r="J11" s="35">
        <f>IF(I$4=0,"N.D.",I11/I$4)</f>
        <v>0.19783534143397161</v>
      </c>
      <c r="K11" s="20">
        <f>SUM(K8:K10)</f>
        <v>26360.163420000001</v>
      </c>
      <c r="L11" s="35">
        <f>IF(K$4=0,"N.D.",K11/K$4)</f>
        <v>0.19270049850343121</v>
      </c>
      <c r="M11" s="20">
        <f>SUM(M8:M10)</f>
        <v>490.18018000000001</v>
      </c>
      <c r="N11" s="35">
        <f>IF(M$4=0,"N.D.",M11/M$4)</f>
        <v>6.9465904746892154E-2</v>
      </c>
      <c r="O11" s="20">
        <f>+O8+O10+O9</f>
        <v>68238.334810684988</v>
      </c>
      <c r="P11" s="35">
        <f>IF(O$4=0,"N.D.",O11/O$4)</f>
        <v>0.26678541816306067</v>
      </c>
      <c r="R11" s="4" t="s">
        <v>11</v>
      </c>
      <c r="S11" s="14">
        <f>SUM(S8:S10)</f>
        <v>5293.2090000000007</v>
      </c>
      <c r="T11" s="43">
        <f t="shared" si="24"/>
        <v>0.16846489663401459</v>
      </c>
      <c r="U11" s="14">
        <f>SUM(U8:U10)</f>
        <v>0</v>
      </c>
      <c r="V11" s="43" t="str">
        <f t="shared" si="39"/>
        <v>N.D.</v>
      </c>
      <c r="W11" s="14">
        <f>SUM(W8:W10)</f>
        <v>20741.6107385</v>
      </c>
      <c r="X11" s="43">
        <f t="shared" si="25"/>
        <v>0.69795269211358135</v>
      </c>
      <c r="Y11" s="14">
        <f>SUM(Y8:Y10)</f>
        <v>622.6234750000001</v>
      </c>
      <c r="Z11" s="43">
        <f>IF(Y$4=0,"N.D.",Y11/Y$4)</f>
        <v>0.27128116938950991</v>
      </c>
      <c r="AA11" s="14">
        <f>SUM(AA8:AA10)</f>
        <v>23014.978999999999</v>
      </c>
      <c r="AB11" s="43">
        <f t="shared" ref="AB11" si="49">IF(AA$4=0,"N.D.",AA11/AA$4)</f>
        <v>0.15597429430140433</v>
      </c>
      <c r="AC11" s="14">
        <f>SUM(AC8:AC10)</f>
        <v>410.32</v>
      </c>
      <c r="AD11" s="43">
        <f t="shared" ref="AD11" si="50">IF(AC$4=0,"N.D.",AC11/AC$4)</f>
        <v>0.13382289535187869</v>
      </c>
      <c r="AE11" s="14">
        <f>SUM(AE8:AE10)</f>
        <v>50082.742213500002</v>
      </c>
      <c r="AF11" s="43">
        <f t="shared" ref="AF11" si="51">IF(AE$4=0,"N.D.",AE11/AE$4)</f>
        <v>0.23397079002095281</v>
      </c>
      <c r="AG11" s="25"/>
      <c r="AH11" s="4" t="s">
        <v>11</v>
      </c>
      <c r="AI11" s="14">
        <f>SUM(AI8:AI10)</f>
        <v>5572.290140000001</v>
      </c>
      <c r="AJ11" s="43">
        <f t="shared" si="30"/>
        <v>0.20467918085882672</v>
      </c>
      <c r="AK11" s="14">
        <f>SUM(AK8:AK10)</f>
        <v>21924.018059999999</v>
      </c>
      <c r="AL11" s="43">
        <f t="shared" si="31"/>
        <v>0.39787853127651546</v>
      </c>
      <c r="AM11" s="14">
        <f>SUM(AM8:AM10)</f>
        <v>20109.236841739999</v>
      </c>
      <c r="AN11" s="43">
        <f t="shared" si="32"/>
        <v>0.696058591966768</v>
      </c>
      <c r="AO11" s="14">
        <f>SUM(AO8:AO10)</f>
        <v>1027.9716837600001</v>
      </c>
      <c r="AP11" s="43">
        <f t="shared" si="33"/>
        <v>0.4490755256973139</v>
      </c>
      <c r="AQ11" s="14">
        <f>SUM(AQ8:AQ10)</f>
        <v>27194.613960000002</v>
      </c>
      <c r="AR11" s="43">
        <f t="shared" si="34"/>
        <v>0.21874044868327544</v>
      </c>
      <c r="AS11" s="14">
        <f>SUM(AS8:AS10)</f>
        <v>589.8875700000001</v>
      </c>
      <c r="AT11" s="43">
        <f t="shared" si="44"/>
        <v>0.12772847986351324</v>
      </c>
      <c r="AU11" s="14">
        <f>SUM(AU8:AU10)</f>
        <v>76418.018255500006</v>
      </c>
      <c r="AV11" s="43">
        <f t="shared" si="35"/>
        <v>0.31519345079083144</v>
      </c>
      <c r="AW11" s="25"/>
      <c r="AX11" s="26" t="s">
        <v>11</v>
      </c>
      <c r="AY11" s="14">
        <f>+AY8+AY9+AY10</f>
        <v>139072.35198806998</v>
      </c>
      <c r="AZ11" s="15">
        <f t="shared" si="36"/>
        <v>0.54371894746540594</v>
      </c>
      <c r="BA11" s="14">
        <f t="shared" si="9"/>
        <v>50082.742213500002</v>
      </c>
      <c r="BB11" s="15">
        <f t="shared" si="37"/>
        <v>0.23397079002095281</v>
      </c>
      <c r="BC11" s="14">
        <f t="shared" si="10"/>
        <v>76418.018255500006</v>
      </c>
      <c r="BD11" s="15">
        <f t="shared" si="38"/>
        <v>0.31519345079083144</v>
      </c>
      <c r="BE11" s="14">
        <f>+AY11-BA11</f>
        <v>88989.609774569981</v>
      </c>
      <c r="BF11" s="16">
        <f>IF(BA11=0,"N.D.",AY11/BA11-1)</f>
        <v>1.776851782500489</v>
      </c>
      <c r="BG11" s="14">
        <f>AY11-BC11</f>
        <v>62654.333732569969</v>
      </c>
      <c r="BH11" s="16">
        <f>IF(BC11=0, "N.D.",AY11/BC11-1)</f>
        <v>0.81988953865681502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>
        <f>S6-S11</f>
        <v>116.36099999999897</v>
      </c>
      <c r="T12" s="45">
        <f t="shared" si="24"/>
        <v>3.7033761253769493E-3</v>
      </c>
      <c r="U12" s="20">
        <f>U6-U11</f>
        <v>0</v>
      </c>
      <c r="V12" s="45" t="str">
        <f t="shared" si="39"/>
        <v>N.D.</v>
      </c>
      <c r="W12" s="20">
        <f>W6-W11</f>
        <v>-1470.062374000001</v>
      </c>
      <c r="X12" s="45">
        <f t="shared" si="25"/>
        <v>-4.9467421042845412E-2</v>
      </c>
      <c r="Y12" s="20">
        <f>Y6-Y11</f>
        <v>1672.498875</v>
      </c>
      <c r="Z12" s="45">
        <f t="shared" ref="Z12" si="52">IF(Y$4=0,"N.D.",Y12/Y$4)</f>
        <v>0.72871883061049003</v>
      </c>
      <c r="AA12" s="20">
        <f>AA6-AA11</f>
        <v>10223.617999999995</v>
      </c>
      <c r="AB12" s="45">
        <f t="shared" ref="AB12" si="53">IF(AA$4=0,"N.D.",AA12/AA$4)</f>
        <v>6.9286250609098265E-2</v>
      </c>
      <c r="AC12" s="20">
        <f>AC6-AC11</f>
        <v>1058.2109999999998</v>
      </c>
      <c r="AD12" s="45">
        <f t="shared" ref="AD12" si="54">IF(AC$4=0,"N.D.",AC12/AC$4)</f>
        <v>0.34512785122150241</v>
      </c>
      <c r="AE12" s="20">
        <f>AE6-AE11</f>
        <v>11600.626500999984</v>
      </c>
      <c r="AF12" s="45">
        <f t="shared" ref="AF12" si="55">IF(AE$4=0,"N.D.",AE12/AE$4)</f>
        <v>5.419447153285753E-2</v>
      </c>
      <c r="AG12" s="25"/>
      <c r="AH12" s="4" t="s">
        <v>12</v>
      </c>
      <c r="AI12" s="20">
        <f>+AI6-AI11</f>
        <v>-1060.4382600000026</v>
      </c>
      <c r="AJ12" s="45">
        <f t="shared" si="30"/>
        <v>-3.8951603192751198E-2</v>
      </c>
      <c r="AK12" s="20">
        <f>+AK6-AK11</f>
        <v>1359.2698999999993</v>
      </c>
      <c r="AL12" s="45">
        <f t="shared" si="31"/>
        <v>2.466812013839291E-2</v>
      </c>
      <c r="AM12" s="20">
        <f>+AM6-AM11</f>
        <v>-1204.0213821549987</v>
      </c>
      <c r="AN12" s="45">
        <f t="shared" si="32"/>
        <v>-4.1675844516443336E-2</v>
      </c>
      <c r="AO12" s="20">
        <f>+AO6-AO11</f>
        <v>1261.1125012750001</v>
      </c>
      <c r="AP12" s="45">
        <f t="shared" si="33"/>
        <v>0.5509244743026861</v>
      </c>
      <c r="AQ12" s="20">
        <f>+AQ6-AQ11</f>
        <v>-2259.124450000003</v>
      </c>
      <c r="AR12" s="45">
        <f t="shared" si="34"/>
        <v>-1.8171314972560779E-2</v>
      </c>
      <c r="AS12" s="20">
        <f>+AS6-AS11</f>
        <v>1482.1829699999996</v>
      </c>
      <c r="AT12" s="45">
        <f t="shared" si="44"/>
        <v>0.32093739089583995</v>
      </c>
      <c r="AU12" s="20">
        <f>+AU6-AU11</f>
        <v>-421.01872088000528</v>
      </c>
      <c r="AV12" s="45">
        <f t="shared" si="35"/>
        <v>-1.7365321230658818E-3</v>
      </c>
      <c r="AW12" s="25"/>
      <c r="AX12" s="26" t="s">
        <v>12</v>
      </c>
      <c r="AY12" s="20">
        <f>O16</f>
        <v>6246.4051643599669</v>
      </c>
      <c r="AZ12" s="15">
        <f t="shared" si="36"/>
        <v>2.4421021093391882E-2</v>
      </c>
      <c r="BA12" s="20">
        <f t="shared" si="9"/>
        <v>11600.626500999984</v>
      </c>
      <c r="BB12" s="15">
        <f t="shared" si="37"/>
        <v>5.419447153285753E-2</v>
      </c>
      <c r="BC12" s="20">
        <f t="shared" si="10"/>
        <v>-421.01872088000528</v>
      </c>
      <c r="BD12" s="15">
        <f t="shared" si="38"/>
        <v>-1.7365321230658818E-3</v>
      </c>
      <c r="BE12" s="14">
        <f>+AY12-BA12</f>
        <v>-5354.2213366400174</v>
      </c>
      <c r="BF12" s="16">
        <f>IF(BA12=0,"N.D.",AY12/BA12-1)</f>
        <v>-0.46154587738674968</v>
      </c>
      <c r="BG12" s="14">
        <f>AY12-BC12</f>
        <v>6667.4238852399722</v>
      </c>
      <c r="BH12" s="16">
        <f>IF(BC12=0, "N.D.",AY12/BC12-1)</f>
        <v>-15.836407158579197</v>
      </c>
    </row>
    <row r="13" spans="1:60" x14ac:dyDescent="0.35">
      <c r="B13" s="4" t="s">
        <v>32</v>
      </c>
      <c r="C13" s="20">
        <f>+C6-C11</f>
        <v>-60.648880000004283</v>
      </c>
      <c r="D13" s="22">
        <f>IF(C$4=0,"N.D.",C13/C$4)</f>
        <v>-1.770063633348912E-3</v>
      </c>
      <c r="E13" s="20">
        <f>+E6-E11</f>
        <v>4946.1327299999939</v>
      </c>
      <c r="F13" s="22">
        <f>IF(E$4=0,"N.D.",E13/E$4)</f>
        <v>0.10519357151797464</v>
      </c>
      <c r="G13" s="20">
        <f>+G6-G11</f>
        <v>-828.22302165999645</v>
      </c>
      <c r="H13" s="22">
        <f>IF(G$4=0,"N.D.",G13/G$4)</f>
        <v>-2.9498391589983568E-2</v>
      </c>
      <c r="I13" s="20">
        <f>+I6-I11</f>
        <v>2061.6417360199998</v>
      </c>
      <c r="J13" s="22">
        <f>IF(I$4=0,"N.D.",I13/I$4)</f>
        <v>0.80216465856602837</v>
      </c>
      <c r="K13" s="20">
        <f>+K6-K11</f>
        <v>3456.5214649999944</v>
      </c>
      <c r="L13" s="22">
        <f>IF(K$4=0,"N.D.",K13/K$4)</f>
        <v>2.5268182096623331E-2</v>
      </c>
      <c r="M13" s="20">
        <f>+M6-M11</f>
        <v>2993.4659399999996</v>
      </c>
      <c r="N13" s="22">
        <f>IF(M$4=0,"N.D.",M13/M$4)</f>
        <v>0.42421915111114028</v>
      </c>
      <c r="O13" s="20">
        <f>+O6-O11</f>
        <v>12568.889969359967</v>
      </c>
      <c r="P13" s="22">
        <f>IF(O$4=0,"N.D.",O13/O$4)</f>
        <v>4.9139484068948046E-2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92"/>
      <c r="BA13" s="30"/>
      <c r="BB13" s="192"/>
      <c r="BC13" s="30"/>
      <c r="BD13" s="192"/>
      <c r="BE13" s="30"/>
      <c r="BF13" s="193"/>
      <c r="BG13" s="30"/>
      <c r="BH13" s="193"/>
    </row>
    <row r="14" spans="1:60" x14ac:dyDescent="0.35">
      <c r="B14" s="187" t="s">
        <v>33</v>
      </c>
      <c r="C14" s="8">
        <v>793</v>
      </c>
      <c r="D14" s="33">
        <f>IF(C$4=0,"N.D.",C14/C$4)</f>
        <v>2.3144045879257592E-2</v>
      </c>
      <c r="E14" s="8">
        <v>2589</v>
      </c>
      <c r="F14" s="33">
        <f t="shared" ref="F14:F16" si="56">IF(E$4=0,"N.D.",E14/E$4)</f>
        <v>5.5062444039999846E-2</v>
      </c>
      <c r="G14" s="8">
        <v>152.942375</v>
      </c>
      <c r="H14" s="33">
        <f t="shared" ref="H14:H16" si="57">IF(G$4=0,"N.D.",G14/G$4)</f>
        <v>5.4472695765081063E-3</v>
      </c>
      <c r="I14" s="8">
        <v>0</v>
      </c>
      <c r="J14" s="33">
        <f t="shared" ref="J14:J16" si="58">IF(I$4=0,"N.D.",I14/I$4)</f>
        <v>0</v>
      </c>
      <c r="K14" s="8">
        <v>2500</v>
      </c>
      <c r="L14" s="33">
        <f t="shared" ref="L14:L16" si="59">IF(K$4=0,"N.D.",K14/K$4)</f>
        <v>1.8275730638796551E-2</v>
      </c>
      <c r="M14" s="8">
        <v>77</v>
      </c>
      <c r="N14" s="33">
        <f t="shared" ref="N14:N16" si="60">IF(M$4=0,"N.D.",M14/M$4)</f>
        <v>1.0912058226243859E-2</v>
      </c>
      <c r="O14" s="8">
        <f>+K14+E14+C14+M14+G14+I14</f>
        <v>6111.9423749999996</v>
      </c>
      <c r="P14" s="33">
        <f t="shared" ref="P14:P16" si="61">IF(O$4=0,"N.D.",O14/O$4)</f>
        <v>2.3895323747665426E-2</v>
      </c>
      <c r="R14" s="7" t="s">
        <v>13</v>
      </c>
      <c r="S14" s="8">
        <f>('600'!K144+'600'!K166+'600'!K188+'600'!K210)/1000</f>
        <v>0</v>
      </c>
      <c r="T14" s="29">
        <f t="shared" ref="T14:T18" si="62">IF(S$4=0,"N.D.",S14/S$4)</f>
        <v>0</v>
      </c>
      <c r="U14" s="8">
        <f>('600'!K12+'600'!K34+'600'!K56+'600'!K78+'600'!K100+'600'!K122)/1000</f>
        <v>0</v>
      </c>
      <c r="V14" s="29" t="str">
        <f t="shared" ref="V14:V20" si="63">IF(U$4=0,"N.D.",U14/U$4)</f>
        <v>N.D.</v>
      </c>
      <c r="W14" s="8">
        <f>('600'!K475+'600'!K498+'600'!K565+'600'!K610)*TC_MES/1000</f>
        <v>0</v>
      </c>
      <c r="X14" s="29">
        <f t="shared" ref="X14:X20" si="64">IF(W$4=0,"N.D.",W14/W$4)</f>
        <v>0</v>
      </c>
      <c r="Y14" s="8">
        <f>('600'!K520)*TC_MES/1000</f>
        <v>0</v>
      </c>
      <c r="Z14" s="29">
        <f t="shared" ref="Z14" si="65">IF(Y$4=0,"N.D.",Y14/Y$4)</f>
        <v>0</v>
      </c>
      <c r="AA14" s="8">
        <f>('600'!K298+'600'!K320+'600'!G342+'600'!K364+'600'!K386+'600'!K408)/1000</f>
        <v>-1228.605</v>
      </c>
      <c r="AB14" s="29">
        <f t="shared" ref="AB14" si="66">IF(AA$4=0,"N.D.",AA14/AA$4)</f>
        <v>-8.3263511928547435E-3</v>
      </c>
      <c r="AC14" s="8">
        <f>('600'!K430+'600'!K452)/1000</f>
        <v>-145.63800000000001</v>
      </c>
      <c r="AD14" s="29">
        <f t="shared" ref="AD14" si="67">IF(AC$4=0,"N.D.",AC14/AC$4)</f>
        <v>-4.749877859538143E-2</v>
      </c>
      <c r="AE14" s="8">
        <f>+AA14+U14+S14+AC14+W14+Y14</f>
        <v>-1374.2429999999999</v>
      </c>
      <c r="AF14" s="29">
        <f t="shared" ref="AF14" si="68">IF(AE$4=0,"N.D.",AE14/AE$4)</f>
        <v>-6.4200302575303844E-3</v>
      </c>
      <c r="AG14" s="25"/>
      <c r="AH14" s="7" t="s">
        <v>13</v>
      </c>
      <c r="AI14" s="8">
        <f>('600'!G144+'600'!G166+'600'!G188+'600'!G210)/1000</f>
        <v>0</v>
      </c>
      <c r="AJ14" s="29">
        <f t="shared" ref="AJ14:AJ20" si="69">IF(AI$4=0,"N.D.",AI14/AI$4)</f>
        <v>0</v>
      </c>
      <c r="AK14" s="8">
        <f>('600'!G12+'600'!G34+'600'!G56+'600'!G78+'600'!G100+'600'!G122)/1000</f>
        <v>-838.68437000000006</v>
      </c>
      <c r="AL14" s="29">
        <f t="shared" ref="AL14:AL20" si="70">IF(AK$4=0,"N.D.",AK14/AK$4)</f>
        <v>-1.5220499473542658E-2</v>
      </c>
      <c r="AM14" s="8">
        <f>('600'!G475+'600'!G498+'600'!G565+'600'!G610)*TC_MES/1000</f>
        <v>0</v>
      </c>
      <c r="AN14" s="29">
        <f t="shared" ref="AN14:AN20" si="71">IF(AM$4=0,"N.D.",AM14/AM$4)</f>
        <v>0</v>
      </c>
      <c r="AO14" s="8">
        <f>('600'!G520)*TC_MES/1000</f>
        <v>0</v>
      </c>
      <c r="AP14" s="29">
        <f t="shared" ref="AP14:AP20" si="72">IF(AO$4=0,"N.D.",AO14/AO$4)</f>
        <v>0</v>
      </c>
      <c r="AQ14" s="8">
        <f>('600'!G298+'600'!G320+'600'!E342+'600'!G364+'600'!G386+'600'!G408)/1000</f>
        <v>-1238.9779099999998</v>
      </c>
      <c r="AR14" s="29">
        <f t="shared" ref="AR14:AR20" si="73">IF(AQ$4=0,"N.D.",AQ14/AQ$4)</f>
        <v>-9.9657448471486519E-3</v>
      </c>
      <c r="AS14" s="8">
        <f>('600'!G430+'600'!G452)/1000</f>
        <v>-112.679</v>
      </c>
      <c r="AT14" s="29">
        <f t="shared" ref="AT14:AT20" si="74">IF(AS$4=0,"N.D.",AS14/AS$4)</f>
        <v>-2.4398407619507571E-2</v>
      </c>
      <c r="AU14" s="8">
        <f>+AQ14+AK14+AI14+AS14+AM14+AO14</f>
        <v>-2190.3412800000001</v>
      </c>
      <c r="AV14" s="42">
        <f>IF(AU$4=0,"N.D.",AU14/AU$4)</f>
        <v>-9.034272835295858E-3</v>
      </c>
      <c r="AW14" s="25"/>
      <c r="AX14" s="1" t="s">
        <v>13</v>
      </c>
      <c r="AY14" s="8">
        <f t="shared" ref="AY14:AY20" si="75">O18</f>
        <v>-993.84044999999992</v>
      </c>
      <c r="AZ14" s="9">
        <f t="shared" ref="AZ14:AZ20" si="76">IF(AY$4=0,"N.D.",AY14/AY$4)</f>
        <v>-3.885530629904784E-3</v>
      </c>
      <c r="BA14" s="8">
        <f t="shared" si="9"/>
        <v>-1374.2429999999999</v>
      </c>
      <c r="BB14" s="9">
        <f t="shared" ref="BB14:BB20" si="77">IF(BA$4=0,"N.D.",BA14/BA$4)</f>
        <v>-6.4200302575303844E-3</v>
      </c>
      <c r="BC14" s="8">
        <f t="shared" si="10"/>
        <v>-2190.3412800000001</v>
      </c>
      <c r="BD14" s="9">
        <f t="shared" si="38"/>
        <v>-9.034272835295858E-3</v>
      </c>
      <c r="BE14" s="8">
        <f t="shared" ref="BE14:BE20" si="78">+AY14-BA14</f>
        <v>380.40255000000002</v>
      </c>
      <c r="BF14" s="10">
        <f t="shared" ref="BF14:BF20" si="79">IF(BA14=0,"N.D.",AY14/BA14-1)</f>
        <v>-0.27680879582431928</v>
      </c>
      <c r="BG14" s="8">
        <f t="shared" ref="BG14:BG20" si="80">AY14-BC14</f>
        <v>1196.5008300000002</v>
      </c>
      <c r="BH14" s="10">
        <f t="shared" ref="BH14:BH20" si="81">IF(BC14=0, "N.D.",AY14/BC14-1)</f>
        <v>-0.54626228383916509</v>
      </c>
    </row>
    <row r="15" spans="1:60" x14ac:dyDescent="0.35">
      <c r="B15" s="187" t="s">
        <v>34</v>
      </c>
      <c r="C15" s="34">
        <f>210542.43 /1000</f>
        <v>210.54243</v>
      </c>
      <c r="D15" s="35">
        <f>IF(C$4=0,"N.D.",C15/C$4)</f>
        <v>6.1447713233926601E-3</v>
      </c>
      <c r="E15" s="34">
        <v>0</v>
      </c>
      <c r="F15" s="35">
        <f t="shared" si="56"/>
        <v>0</v>
      </c>
      <c r="G15" s="34">
        <v>0</v>
      </c>
      <c r="H15" s="35">
        <f t="shared" si="57"/>
        <v>0</v>
      </c>
      <c r="I15" s="34">
        <v>0</v>
      </c>
      <c r="J15" s="35">
        <f t="shared" si="58"/>
        <v>0</v>
      </c>
      <c r="K15" s="34">
        <v>0</v>
      </c>
      <c r="L15" s="35">
        <f t="shared" si="59"/>
        <v>0</v>
      </c>
      <c r="M15" s="34">
        <v>0</v>
      </c>
      <c r="N15" s="35">
        <f t="shared" si="60"/>
        <v>0</v>
      </c>
      <c r="O15" s="34">
        <f>+K15+E15+C15+M15+G15+I15</f>
        <v>210.54243</v>
      </c>
      <c r="P15" s="35">
        <f t="shared" si="61"/>
        <v>8.2313922789073837E-4</v>
      </c>
      <c r="R15" s="7" t="s">
        <v>14</v>
      </c>
      <c r="S15" s="8">
        <f>('600'!K145+'600'!K167+'600'!K189+'600'!K211)/1000</f>
        <v>0</v>
      </c>
      <c r="T15" s="42">
        <f t="shared" si="62"/>
        <v>0</v>
      </c>
      <c r="U15" s="8">
        <f>('600'!K13+'600'!K35+'600'!K57+'600'!K79+'600'!K101+'600'!K123)/1000</f>
        <v>0</v>
      </c>
      <c r="V15" s="42" t="str">
        <f t="shared" si="63"/>
        <v>N.D.</v>
      </c>
      <c r="W15" s="8">
        <f>('600'!K476+'600'!K499+'600'!K566+'600'!K611)*TC_MES/1000</f>
        <v>-738.93861800000002</v>
      </c>
      <c r="X15" s="42">
        <f t="shared" si="64"/>
        <v>-2.4865195101867348E-2</v>
      </c>
      <c r="Y15" s="8">
        <f>('600'!K521)*TC_MES/1000</f>
        <v>0</v>
      </c>
      <c r="Z15" s="42">
        <f t="shared" ref="Z15" si="82">IF(Y$4=0,"N.D.",Y15/Y$4)</f>
        <v>0</v>
      </c>
      <c r="AA15" s="8">
        <f>('600'!K299+'600'!K321+'600'!G343+'600'!K365+'600'!K387+'600'!K409)/1000</f>
        <v>0</v>
      </c>
      <c r="AB15" s="42">
        <f t="shared" ref="AB15" si="83">IF(AA$4=0,"N.D.",AA15/AA$4)</f>
        <v>0</v>
      </c>
      <c r="AC15" s="8">
        <f>('600'!K431+'600'!K453)/1000</f>
        <v>-28.207999999999998</v>
      </c>
      <c r="AD15" s="42">
        <f t="shared" ref="AD15" si="84">IF(AC$4=0,"N.D.",AC15/AC$4)</f>
        <v>-9.1998348413087194E-3</v>
      </c>
      <c r="AE15" s="11">
        <f>+AA15+U15+S15+AC15+W15+Y15</f>
        <v>-767.14661799999999</v>
      </c>
      <c r="AF15" s="42">
        <f t="shared" ref="AF15" si="85">IF(AE$4=0,"N.D.",AE15/AE$4)</f>
        <v>-3.5838672633021259E-3</v>
      </c>
      <c r="AG15" s="25"/>
      <c r="AH15" s="7" t="s">
        <v>14</v>
      </c>
      <c r="AI15" s="8">
        <f>('600'!G145+'600'!G167+'600'!G189+'600'!G211)/1000</f>
        <v>0</v>
      </c>
      <c r="AJ15" s="42">
        <f t="shared" si="69"/>
        <v>0</v>
      </c>
      <c r="AK15" s="8">
        <f>('600'!G13+'600'!G35+'600'!G57+'600'!G79+'600'!G101+'600'!G123)/1000</f>
        <v>-158.69577000000001</v>
      </c>
      <c r="AL15" s="42">
        <f t="shared" si="70"/>
        <v>-2.8800213407320883E-3</v>
      </c>
      <c r="AM15" s="8">
        <f>('600'!G476+'600'!G499+'600'!G566+'600'!G611)*TC_MES/1000</f>
        <v>-234.75805979</v>
      </c>
      <c r="AN15" s="42">
        <f t="shared" si="71"/>
        <v>-8.125885921792083E-3</v>
      </c>
      <c r="AO15" s="8">
        <f>('600'!G521)*TC_MES/1000</f>
        <v>25.664717250000002</v>
      </c>
      <c r="AP15" s="42">
        <f t="shared" si="72"/>
        <v>1.1211783916810202E-2</v>
      </c>
      <c r="AQ15" s="8">
        <f>('600'!G299+'600'!G321+'600'!E343+'600'!G365+'600'!G387+'600'!G409)/1000</f>
        <v>-1486.2752200000002</v>
      </c>
      <c r="AR15" s="42">
        <f t="shared" si="73"/>
        <v>-1.1954885955278841E-2</v>
      </c>
      <c r="AS15" s="8">
        <f>('600'!G431+'600'!G453)/1000</f>
        <v>0</v>
      </c>
      <c r="AT15" s="42">
        <f t="shared" si="74"/>
        <v>0</v>
      </c>
      <c r="AU15" s="11">
        <f>+AQ15+AK15+AI15+AS15+AM15+AO15</f>
        <v>-1854.0643325400004</v>
      </c>
      <c r="AV15" s="42">
        <f t="shared" ref="AV15:AV20" si="86">IF(AU$4=0,"N.D.",AU15/AU$4)</f>
        <v>-7.6472662900993549E-3</v>
      </c>
      <c r="AW15" s="25"/>
      <c r="AX15" s="1" t="s">
        <v>14</v>
      </c>
      <c r="AY15" s="11">
        <f t="shared" si="75"/>
        <v>-8917.8453101350005</v>
      </c>
      <c r="AZ15" s="12">
        <f t="shared" si="76"/>
        <v>-3.4865315760977809E-2</v>
      </c>
      <c r="BA15" s="11">
        <f t="shared" si="9"/>
        <v>-767.14661799999999</v>
      </c>
      <c r="BB15" s="12">
        <f t="shared" si="77"/>
        <v>-3.5838672633021259E-3</v>
      </c>
      <c r="BC15" s="11">
        <f t="shared" si="10"/>
        <v>-1854.0643325400004</v>
      </c>
      <c r="BD15" s="12">
        <f t="shared" si="38"/>
        <v>-7.6472662900993549E-3</v>
      </c>
      <c r="BE15" s="11">
        <f t="shared" si="78"/>
        <v>-8150.6986921350008</v>
      </c>
      <c r="BF15" s="21">
        <f>IF(BA15=0,"N.D.",AY15/BA15-1)</f>
        <v>10.62469481177456</v>
      </c>
      <c r="BG15" s="11">
        <f t="shared" si="80"/>
        <v>-7063.780977595</v>
      </c>
      <c r="BH15" s="13">
        <f t="shared" si="81"/>
        <v>3.8098899016723324</v>
      </c>
    </row>
    <row r="16" spans="1:60" x14ac:dyDescent="0.35">
      <c r="B16" s="4" t="s">
        <v>12</v>
      </c>
      <c r="C16" s="14">
        <f>+C13-C14-C15</f>
        <v>-1064.1913100000043</v>
      </c>
      <c r="D16" s="22">
        <f>IF(C$4=0,"N.D.",C16/C$4)</f>
        <v>-3.1058880835999163E-2</v>
      </c>
      <c r="E16" s="14">
        <f>+E13-E14-E15</f>
        <v>2357.1327299999939</v>
      </c>
      <c r="F16" s="22">
        <f t="shared" si="56"/>
        <v>5.0131127477974789E-2</v>
      </c>
      <c r="G16" s="14">
        <f>+G13-G14-G15</f>
        <v>-981.16539665999642</v>
      </c>
      <c r="H16" s="22">
        <f t="shared" si="57"/>
        <v>-3.4945661166491677E-2</v>
      </c>
      <c r="I16" s="14">
        <f>+I13-I14-I15</f>
        <v>2061.6417360199998</v>
      </c>
      <c r="J16" s="22">
        <f t="shared" si="58"/>
        <v>0.80216465856602837</v>
      </c>
      <c r="K16" s="14">
        <f>+K13-K14-K15</f>
        <v>956.52146499999435</v>
      </c>
      <c r="L16" s="22">
        <f t="shared" si="59"/>
        <v>6.9924514578267828E-3</v>
      </c>
      <c r="M16" s="14">
        <f>+M13-M14-M15</f>
        <v>2916.4659399999996</v>
      </c>
      <c r="N16" s="22">
        <f t="shared" si="60"/>
        <v>0.41330709288489642</v>
      </c>
      <c r="O16" s="14">
        <f>+O13-O14-O15</f>
        <v>6246.4051643599669</v>
      </c>
      <c r="P16" s="22">
        <f t="shared" si="61"/>
        <v>2.4421021093391882E-2</v>
      </c>
      <c r="R16" s="7" t="s">
        <v>15</v>
      </c>
      <c r="S16" s="8">
        <f>('600'!K146+'600'!K168+'600'!K190+'600'!K212)/1000</f>
        <v>45.154000000000003</v>
      </c>
      <c r="T16" s="42">
        <f t="shared" si="62"/>
        <v>1.4370987320947075E-3</v>
      </c>
      <c r="U16" s="8">
        <f>('600'!K14+'600'!K36+'600'!K58+'600'!K80+'600'!K102+'600'!K124)/1000</f>
        <v>0</v>
      </c>
      <c r="V16" s="42" t="str">
        <f t="shared" si="63"/>
        <v>N.D.</v>
      </c>
      <c r="W16" s="8">
        <f>('600'!K477+'600'!K500+'600'!K567+'600'!K612)*TC_MES/1000</f>
        <v>327.395355</v>
      </c>
      <c r="X16" s="42">
        <f t="shared" si="64"/>
        <v>1.1016814088772014E-2</v>
      </c>
      <c r="Y16" s="8">
        <f>('600'!K522)*TC_MES/1000</f>
        <v>503.22975000000002</v>
      </c>
      <c r="Z16" s="42">
        <f t="shared" ref="Z16" si="87">IF(Y$4=0,"N.D.",Y16/Y$4)</f>
        <v>0.21926053310404128</v>
      </c>
      <c r="AA16" s="8">
        <f>('600'!K300+'600'!K322+'600'!G344+'600'!K366+'600'!K388+'600'!K410)/1000</f>
        <v>746.34100000000001</v>
      </c>
      <c r="AB16" s="42">
        <f t="shared" ref="AB16" si="88">IF(AA$4=0,"N.D.",AA16/AA$4)</f>
        <v>5.0580107321933424E-3</v>
      </c>
      <c r="AC16" s="8">
        <f>('600'!K432+'600'!K454)/1000</f>
        <v>-25.207999999999998</v>
      </c>
      <c r="AD16" s="42">
        <f t="shared" ref="AD16" si="89">IF(AC$4=0,"N.D.",AC16/AC$4)</f>
        <v>-8.2214065754293176E-3</v>
      </c>
      <c r="AE16" s="11">
        <f>+AA16+U16+S16+AC16+W16+Y16</f>
        <v>1596.9121049999999</v>
      </c>
      <c r="AF16" s="42">
        <f t="shared" ref="AF16" si="90">IF(AE$4=0,"N.D.",AE16/AE$4)</f>
        <v>7.4602701507059067E-3</v>
      </c>
      <c r="AG16" s="25"/>
      <c r="AH16" s="7" t="s">
        <v>15</v>
      </c>
      <c r="AI16" s="8">
        <f>('600'!G146+'600'!G168+'600'!G190+'600'!G212)/1000</f>
        <v>42.213879999999996</v>
      </c>
      <c r="AJ16" s="42">
        <f t="shared" si="69"/>
        <v>1.5505837209102693E-3</v>
      </c>
      <c r="AK16" s="8">
        <f>('600'!G14+'600'!G36+'600'!G58+'600'!G80+'600'!G102+'600'!G124)/1000</f>
        <v>610.39132999999993</v>
      </c>
      <c r="AL16" s="42">
        <f t="shared" si="70"/>
        <v>1.1077422269023567E-2</v>
      </c>
      <c r="AM16" s="8">
        <f>('600'!G477+'600'!G500+'600'!G567+'600'!G612)*TC_MES/1000</f>
        <v>529.95953821500007</v>
      </c>
      <c r="AN16" s="42">
        <f t="shared" si="71"/>
        <v>1.8343952725426903E-2</v>
      </c>
      <c r="AO16" s="8">
        <f>('600'!G522)*TC_MES/1000</f>
        <v>540.85969194500012</v>
      </c>
      <c r="AP16" s="42">
        <f t="shared" si="72"/>
        <v>0.23627776360559249</v>
      </c>
      <c r="AQ16" s="8">
        <f>('600'!G300+'600'!G322+'600'!E344+'600'!G366+'600'!G388+'600'!G410)/1000</f>
        <v>662.69567999999992</v>
      </c>
      <c r="AR16" s="42">
        <f t="shared" si="73"/>
        <v>5.330406623785304E-3</v>
      </c>
      <c r="AS16" s="8">
        <f>('600'!G432+'600'!G454)/1000</f>
        <v>36.78528</v>
      </c>
      <c r="AT16" s="42">
        <f t="shared" si="74"/>
        <v>7.9651244316839825E-3</v>
      </c>
      <c r="AU16" s="11">
        <f>+AQ16+AK16+AI16+AS16+AM16+AO16</f>
        <v>2422.9054001599998</v>
      </c>
      <c r="AV16" s="42">
        <f t="shared" si="86"/>
        <v>9.9935058700793538E-3</v>
      </c>
      <c r="AW16" s="25"/>
      <c r="AX16" s="1" t="s">
        <v>15</v>
      </c>
      <c r="AY16" s="11">
        <f t="shared" si="75"/>
        <v>1852.68576192</v>
      </c>
      <c r="AZ16" s="12">
        <f t="shared" si="76"/>
        <v>7.2432826370959673E-3</v>
      </c>
      <c r="BA16" s="11">
        <f t="shared" si="9"/>
        <v>1596.9121049999999</v>
      </c>
      <c r="BB16" s="12">
        <f t="shared" si="77"/>
        <v>7.4602701507059067E-3</v>
      </c>
      <c r="BC16" s="11">
        <f t="shared" si="10"/>
        <v>2422.9054001599998</v>
      </c>
      <c r="BD16" s="12">
        <f t="shared" si="38"/>
        <v>9.9935058700793538E-3</v>
      </c>
      <c r="BE16" s="11">
        <f t="shared" si="78"/>
        <v>255.77365692000012</v>
      </c>
      <c r="BF16" s="13">
        <f t="shared" si="79"/>
        <v>0.16016764862584609</v>
      </c>
      <c r="BG16" s="11">
        <f t="shared" si="80"/>
        <v>-570.21963823999977</v>
      </c>
      <c r="BH16" s="13">
        <f t="shared" si="81"/>
        <v>-0.23534539904130991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>
        <f>('600'!K147+'600'!K169+'600'!K191+'600'!K213)/1000</f>
        <v>29.492999999999999</v>
      </c>
      <c r="T17" s="42">
        <f>IF(S$4=0,"N.D.",S17/S$4)</f>
        <v>9.3866219838041381E-4</v>
      </c>
      <c r="U17" s="8">
        <f>('600'!K15+'600'!K37+'600'!K59+'600'!K81+'600'!K103+'600'!K125)/1000</f>
        <v>0</v>
      </c>
      <c r="V17" s="42" t="str">
        <f t="shared" si="63"/>
        <v>N.D.</v>
      </c>
      <c r="W17" s="8">
        <f>('600'!K478+'600'!K501+'600'!K568+'600'!K613)*TC_MES/1000</f>
        <v>0</v>
      </c>
      <c r="X17" s="42">
        <f t="shared" si="64"/>
        <v>0</v>
      </c>
      <c r="Y17" s="8">
        <f>('600'!K523)*TC_MES/1000</f>
        <v>0</v>
      </c>
      <c r="Z17" s="42">
        <f t="shared" ref="Z17" si="91">IF(Y$4=0,"N.D.",Y17/Y$4)</f>
        <v>0</v>
      </c>
      <c r="AA17" s="8">
        <f>('600'!K301+'600'!K323+'600'!G345+'600'!K367+'600'!K389+'600'!K411)/1000</f>
        <v>445.04500000000002</v>
      </c>
      <c r="AB17" s="42">
        <f t="shared" ref="AB17" si="92">IF(AA$4=0,"N.D.",AA17/AA$4)</f>
        <v>3.0161044164919069E-3</v>
      </c>
      <c r="AC17" s="8">
        <f>('600'!K433+'600'!K455)/1000</f>
        <v>265.79399999999998</v>
      </c>
      <c r="AD17" s="42">
        <f t="shared" ref="AD17" si="93">IF(AC$4=0,"N.D.",AC17/AC$4)</f>
        <v>8.6686787500383222E-2</v>
      </c>
      <c r="AE17" s="11">
        <f>+AA17+U17+S17+AC17+W17+Y17</f>
        <v>740.33199999999999</v>
      </c>
      <c r="AF17" s="42">
        <f t="shared" ref="AF17" si="94">IF(AE$4=0,"N.D.",AE17/AE$4)</f>
        <v>3.4585978175751919E-3</v>
      </c>
      <c r="AG17" s="25"/>
      <c r="AH17" s="7" t="s">
        <v>16</v>
      </c>
      <c r="AI17" s="8">
        <f>('600'!G147+'600'!G169+'600'!G191+'600'!G213)/1000</f>
        <v>0.23530999999999996</v>
      </c>
      <c r="AJ17" s="42">
        <f t="shared" si="69"/>
        <v>8.643314837854172E-6</v>
      </c>
      <c r="AK17" s="8">
        <f>('600'!G15+'600'!G37+'600'!G59+'600'!G81+'600'!G103+'600'!G125)/1000</f>
        <v>0.11259999999999999</v>
      </c>
      <c r="AL17" s="42">
        <f t="shared" si="70"/>
        <v>2.0434722549090823E-6</v>
      </c>
      <c r="AM17" s="8">
        <f>('600'!G478+'600'!G501+'600'!G568+'600'!G613)*TC_MES/1000</f>
        <v>0</v>
      </c>
      <c r="AN17" s="42">
        <f t="shared" si="71"/>
        <v>0</v>
      </c>
      <c r="AO17" s="8">
        <f>('600'!G523)*TC_MES/1000</f>
        <v>0</v>
      </c>
      <c r="AP17" s="42">
        <f t="shared" si="72"/>
        <v>0</v>
      </c>
      <c r="AQ17" s="8">
        <f>('600'!G301+'600'!G323+'600'!E345+'600'!G367+'600'!G389+'600'!G411)/1000</f>
        <v>9.11E-3</v>
      </c>
      <c r="AR17" s="42">
        <f t="shared" si="73"/>
        <v>7.3276476380054452E-8</v>
      </c>
      <c r="AS17" s="8">
        <f>('600'!G433+'600'!G455)/1000</f>
        <v>242.83790999999999</v>
      </c>
      <c r="AT17" s="42">
        <f t="shared" si="74"/>
        <v>5.2581743835579772E-2</v>
      </c>
      <c r="AU17" s="11">
        <f>+AQ17+AK17+AI17+AS17+AM17+AO17</f>
        <v>243.19493</v>
      </c>
      <c r="AV17" s="42">
        <f t="shared" si="86"/>
        <v>1.0030808302990471E-3</v>
      </c>
      <c r="AW17" s="25"/>
      <c r="AX17" s="1" t="s">
        <v>16</v>
      </c>
      <c r="AY17" s="11">
        <f t="shared" si="75"/>
        <v>654.55098999999996</v>
      </c>
      <c r="AZ17" s="12">
        <f t="shared" si="76"/>
        <v>2.5590404581333956E-3</v>
      </c>
      <c r="BA17" s="11">
        <f t="shared" si="9"/>
        <v>740.33199999999999</v>
      </c>
      <c r="BB17" s="12">
        <f t="shared" si="77"/>
        <v>3.4585978175751919E-3</v>
      </c>
      <c r="BC17" s="11">
        <f t="shared" si="10"/>
        <v>243.19493</v>
      </c>
      <c r="BD17" s="12">
        <f t="shared" si="38"/>
        <v>1.0030808302990471E-3</v>
      </c>
      <c r="BE17" s="11">
        <f t="shared" si="78"/>
        <v>-85.781010000000038</v>
      </c>
      <c r="BF17" s="13">
        <f t="shared" si="79"/>
        <v>-0.11586829962773459</v>
      </c>
      <c r="BG17" s="11">
        <f t="shared" si="80"/>
        <v>411.35605999999996</v>
      </c>
      <c r="BH17" s="13">
        <f t="shared" si="81"/>
        <v>1.6914664298305886</v>
      </c>
    </row>
    <row r="18" spans="2:60" x14ac:dyDescent="0.35">
      <c r="B18" s="7" t="s">
        <v>13</v>
      </c>
      <c r="C18" s="8">
        <f>TablasERxDiv!K15</f>
        <v>0</v>
      </c>
      <c r="D18" s="144">
        <f>IF(C$4=0,"N.D.",C18/C$4)</f>
        <v>0</v>
      </c>
      <c r="E18" s="8">
        <f>TablasERxDiv!AA15</f>
        <v>111.91982</v>
      </c>
      <c r="F18" s="144">
        <f>IF(E$4=0,"N.D.",E18/E$4)</f>
        <v>2.3802930960667651E-3</v>
      </c>
      <c r="G18" s="8">
        <v>0</v>
      </c>
      <c r="H18" s="144">
        <f>IF(G$4=0,"N.D.",G18/G$4)</f>
        <v>0</v>
      </c>
      <c r="I18" s="8">
        <v>0</v>
      </c>
      <c r="J18" s="144">
        <f>IF(I$4=0,"N.D.",I18/I$4)</f>
        <v>0</v>
      </c>
      <c r="K18" s="8">
        <f>TablasERxDiv!AT15</f>
        <v>-1160.3705199999999</v>
      </c>
      <c r="L18" s="144">
        <f>IF(K$4=0,"N.D.",K18/K$4)</f>
        <v>-8.4826476258881133E-3</v>
      </c>
      <c r="M18" s="8">
        <f>TablasERxDiv!BC15</f>
        <v>54.610250000000001</v>
      </c>
      <c r="N18" s="144">
        <f>IF(M$4=0,"N.D.",M18/M$4)</f>
        <v>7.7390938668796582E-3</v>
      </c>
      <c r="O18" s="8">
        <f>+K18+E18+C18+M18+G18+I18</f>
        <v>-993.84044999999992</v>
      </c>
      <c r="P18" s="144">
        <f>IF(O$4=0,"N.D.",O18/O$4)</f>
        <v>-3.885530629904784E-3</v>
      </c>
      <c r="R18" s="7"/>
      <c r="S18" s="8">
        <f>('600'!K148+'600'!K170+'600'!K192+'600'!K214)/1000</f>
        <v>0</v>
      </c>
      <c r="T18" s="42">
        <f t="shared" si="62"/>
        <v>0</v>
      </c>
      <c r="U18" s="8">
        <f>('600'!K16+'600'!K38+'600'!K60+'600'!K82+'600'!K104+'600'!K126)/1000</f>
        <v>0</v>
      </c>
      <c r="V18" s="42" t="str">
        <f t="shared" si="63"/>
        <v>N.D.</v>
      </c>
      <c r="W18" s="8">
        <f>('600'!K479+'600'!K502+'600'!K569+'600'!K614)*TC_MES/1000</f>
        <v>0</v>
      </c>
      <c r="X18" s="42">
        <f t="shared" si="64"/>
        <v>0</v>
      </c>
      <c r="Y18" s="8">
        <f>('600'!K524)*TC_MES/1000</f>
        <v>0</v>
      </c>
      <c r="Z18" s="42">
        <f t="shared" ref="Z18" si="95">IF(Y$4=0,"N.D.",Y18/Y$4)</f>
        <v>0</v>
      </c>
      <c r="AA18" s="8">
        <f>('600'!K302+'600'!K324+'600'!G346+'600'!K368+'600'!K390+'600'!K412)/1000</f>
        <v>0</v>
      </c>
      <c r="AB18" s="42">
        <f t="shared" ref="AB18" si="96">IF(AA$4=0,"N.D.",AA18/AA$4)</f>
        <v>0</v>
      </c>
      <c r="AC18" s="8">
        <f>('600'!K434+'600'!K456)/1000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>
        <f>('600'!G148+'600'!G170+'600'!G192+'600'!G214)/1000</f>
        <v>0</v>
      </c>
      <c r="AJ18" s="42">
        <f t="shared" si="69"/>
        <v>0</v>
      </c>
      <c r="AK18" s="8">
        <f>('600'!G16+'600'!G38+'600'!G60+'600'!G82+'600'!G104+'600'!G126)/1000</f>
        <v>0</v>
      </c>
      <c r="AL18" s="42">
        <f t="shared" si="70"/>
        <v>0</v>
      </c>
      <c r="AM18" s="8">
        <f>('600'!G479+'600'!G502+'600'!G569+'600'!G614)*TC_MES/1000</f>
        <v>0</v>
      </c>
      <c r="AN18" s="42">
        <f t="shared" si="71"/>
        <v>0</v>
      </c>
      <c r="AO18" s="8">
        <f>('600'!G524)*TC_MES/1000</f>
        <v>0</v>
      </c>
      <c r="AP18" s="42">
        <f t="shared" si="72"/>
        <v>0</v>
      </c>
      <c r="AQ18" s="8">
        <f>('600'!G302+'600'!G324+'600'!E346+'600'!G368+'600'!G390+'600'!G412)/1000</f>
        <v>0</v>
      </c>
      <c r="AR18" s="42">
        <f t="shared" si="73"/>
        <v>0</v>
      </c>
      <c r="AS18" s="8">
        <f>('600'!G434+'600'!G456)/1000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>
        <f>TablasERxDiv!K16</f>
        <v>0</v>
      </c>
      <c r="D19" s="141">
        <f t="shared" ref="D19:P29" si="99">IF(C$4=0,"N.D.",C19/C$4)</f>
        <v>0</v>
      </c>
      <c r="E19" s="11">
        <f>TablasERxDiv!AA16</f>
        <v>-138.64372999999998</v>
      </c>
      <c r="F19" s="141">
        <f t="shared" ref="F19:F24" si="100">IF(E$4=0,"N.D.",E19/E$4)</f>
        <v>-2.9486530029439345E-3</v>
      </c>
      <c r="G19" s="11">
        <f>TablasERxDiv!BP15*TC_MES</f>
        <v>-2223.8806076550004</v>
      </c>
      <c r="H19" s="141">
        <f t="shared" ref="H19:H23" si="101">IF(G$4=0,"N.D.",G19/G$4)</f>
        <v>-7.9206806981161657E-2</v>
      </c>
      <c r="I19" s="11">
        <f>TablasERxDiv!CF15*TC_MES</f>
        <v>9.4757175200000017</v>
      </c>
      <c r="J19" s="141">
        <f t="shared" ref="J19:J24" si="102">IF(I$4=0,"N.D.",I19/I$4)</f>
        <v>3.6869091153406862E-3</v>
      </c>
      <c r="K19" s="11">
        <f>TablasERxDiv!AT16</f>
        <v>-6564.7966900000001</v>
      </c>
      <c r="L19" s="141">
        <f t="shared" ref="L19:L24" si="103">IF(K$4=0,"N.D.",K19/K$4)</f>
        <v>-4.7990582401961267E-2</v>
      </c>
      <c r="M19" s="11">
        <f>TablasERxDiv!BC16</f>
        <v>0</v>
      </c>
      <c r="N19" s="141">
        <f t="shared" ref="N19:N24" si="104">IF(M$4=0,"N.D.",M19/M$4)</f>
        <v>0</v>
      </c>
      <c r="O19" s="11">
        <f>+K19+E19+C19+M19+G19+I19</f>
        <v>-8917.8453101350005</v>
      </c>
      <c r="P19" s="141">
        <f t="shared" ref="P19:P24" si="105">IF(O$4=0,"N.D.",O19/O$4)</f>
        <v>-3.4865315760977809E-2</v>
      </c>
      <c r="R19" s="4" t="s">
        <v>17</v>
      </c>
      <c r="S19" s="205">
        <f>('600'!K149+'600'!K171+'600'!K193+'600'!K215)/1000</f>
        <v>15.661</v>
      </c>
      <c r="T19" s="43">
        <f>IF(S$4=0,"N.D.",S19/S$4)</f>
        <v>4.9843653371429357E-4</v>
      </c>
      <c r="U19" s="14">
        <f>U14+U15+U16-U17</f>
        <v>0</v>
      </c>
      <c r="V19" s="43" t="str">
        <f t="shared" si="63"/>
        <v>N.D.</v>
      </c>
      <c r="W19" s="205">
        <f>('600'!K480+'600'!K503+'600'!K570+'600'!K615)*TC_MES/1000</f>
        <v>-411.54326300000002</v>
      </c>
      <c r="X19" s="43">
        <f t="shared" si="64"/>
        <v>-1.3848381013095334E-2</v>
      </c>
      <c r="Y19" s="205">
        <f>('600'!K525)*TC_MES/1000</f>
        <v>503.22975000000002</v>
      </c>
      <c r="Z19" s="43">
        <f t="shared" ref="Z19" si="106">IF(Y$4=0,"N.D.",Y19/Y$4)</f>
        <v>0.21926053310404128</v>
      </c>
      <c r="AA19" s="205">
        <f>('600'!K303+'600'!K325+'600'!G347+'600'!K369+'600'!K391+'600'!K413)/1000</f>
        <v>-927.30899999999997</v>
      </c>
      <c r="AB19" s="43">
        <f t="shared" ref="AB19" si="107">IF(AA$4=0,"N.D.",AA19/AA$4)</f>
        <v>-6.2844448771533067E-3</v>
      </c>
      <c r="AC19" s="205">
        <f>('600'!K435+'600'!K457)/1000</f>
        <v>-464.84800000000001</v>
      </c>
      <c r="AD19" s="43">
        <f t="shared" ref="AD19" si="108">IF(AC$4=0,"N.D.",AC19/AC$4)</f>
        <v>-0.15160680751250269</v>
      </c>
      <c r="AE19" s="14">
        <f>AE14+AE15+AE16-AE17</f>
        <v>-1284.8095130000002</v>
      </c>
      <c r="AF19" s="43">
        <f t="shared" ref="AF19" si="109">IF(AE$4=0,"N.D.",AE19/AE$4)</f>
        <v>-6.0022251877017959E-3</v>
      </c>
      <c r="AG19" s="25"/>
      <c r="AH19" s="4" t="s">
        <v>17</v>
      </c>
      <c r="AI19" s="14">
        <f>AI14+AI15+AI16-AI17</f>
        <v>41.978569999999998</v>
      </c>
      <c r="AJ19" s="43">
        <f t="shared" si="69"/>
        <v>1.5419404060724152E-3</v>
      </c>
      <c r="AK19" s="14">
        <f>AK14+AK15+AK16-AK17</f>
        <v>-387.10141000000016</v>
      </c>
      <c r="AL19" s="43">
        <f t="shared" si="70"/>
        <v>-7.0251420175060884E-3</v>
      </c>
      <c r="AM19" s="14">
        <f>+AM15+AM16</f>
        <v>295.20147842500006</v>
      </c>
      <c r="AN19" s="43">
        <f t="shared" si="71"/>
        <v>1.021806680363482E-2</v>
      </c>
      <c r="AO19" s="14">
        <f>+AO15+AO16</f>
        <v>566.52440919500009</v>
      </c>
      <c r="AP19" s="43">
        <f t="shared" si="72"/>
        <v>0.24748954752240268</v>
      </c>
      <c r="AQ19" s="14">
        <f>AQ14+AQ15+AQ16-AQ17</f>
        <v>-2062.5665600000002</v>
      </c>
      <c r="AR19" s="43">
        <f t="shared" si="73"/>
        <v>-1.6590297455118568E-2</v>
      </c>
      <c r="AS19" s="14">
        <f>AS14+AS15+AS16-AS17</f>
        <v>-318.73163</v>
      </c>
      <c r="AT19" s="43">
        <f t="shared" si="74"/>
        <v>-6.9015027023403369E-2</v>
      </c>
      <c r="AU19" s="14">
        <f>AU14+AU15+AU16-AU17</f>
        <v>-1864.6951423800006</v>
      </c>
      <c r="AV19" s="43">
        <f t="shared" si="86"/>
        <v>-7.6911140856149056E-3</v>
      </c>
      <c r="AW19" s="25"/>
      <c r="AX19" s="26" t="s">
        <v>17</v>
      </c>
      <c r="AY19" s="14">
        <f t="shared" si="75"/>
        <v>-7404.4490082150005</v>
      </c>
      <c r="AZ19" s="22">
        <f t="shared" si="76"/>
        <v>-2.8948523295653228E-2</v>
      </c>
      <c r="BA19" s="14">
        <f t="shared" si="9"/>
        <v>-1284.8095130000002</v>
      </c>
      <c r="BB19" s="22">
        <f t="shared" si="77"/>
        <v>-6.0022251877017959E-3</v>
      </c>
      <c r="BC19" s="14">
        <f t="shared" si="10"/>
        <v>-1864.6951423800006</v>
      </c>
      <c r="BD19" s="22">
        <f t="shared" si="38"/>
        <v>-7.6911140856149056E-3</v>
      </c>
      <c r="BE19" s="14">
        <f t="shared" si="78"/>
        <v>-6119.6394952150004</v>
      </c>
      <c r="BF19" s="23">
        <f t="shared" si="79"/>
        <v>4.7630714384467669</v>
      </c>
      <c r="BG19" s="14">
        <f t="shared" si="80"/>
        <v>-5539.7538658350004</v>
      </c>
      <c r="BH19" s="16">
        <f t="shared" si="81"/>
        <v>2.9708630327445076</v>
      </c>
    </row>
    <row r="20" spans="2:60" x14ac:dyDescent="0.35">
      <c r="B20" s="7" t="s">
        <v>15</v>
      </c>
      <c r="C20" s="11">
        <f>TablasERxDiv!K17</f>
        <v>51.376269999999998</v>
      </c>
      <c r="D20" s="141">
        <f t="shared" si="99"/>
        <v>1.4994385245714066E-3</v>
      </c>
      <c r="E20" s="11">
        <f>TablasERxDiv!AA17</f>
        <v>566.68397000000004</v>
      </c>
      <c r="F20" s="141">
        <f t="shared" si="100"/>
        <v>1.2052145379100021E-2</v>
      </c>
      <c r="G20" s="11">
        <f>TablasERxDiv!BP16*TC_MES</f>
        <v>88.173746000000008</v>
      </c>
      <c r="H20" s="141">
        <f t="shared" si="101"/>
        <v>3.1404387700436419E-3</v>
      </c>
      <c r="I20" s="11">
        <f>TablasERxDiv!CF16*TC_MES</f>
        <v>618.03244092</v>
      </c>
      <c r="J20" s="141">
        <f t="shared" si="102"/>
        <v>0.24047038498085174</v>
      </c>
      <c r="K20" s="11">
        <f>TablasERxDiv!AT17</f>
        <v>523.97081500000002</v>
      </c>
      <c r="L20" s="141">
        <f t="shared" si="103"/>
        <v>3.8303797910122796E-3</v>
      </c>
      <c r="M20" s="11">
        <f>TablasERxDiv!BC17</f>
        <v>4.4485200000000003</v>
      </c>
      <c r="N20" s="141">
        <f t="shared" si="104"/>
        <v>6.3042219818974462E-4</v>
      </c>
      <c r="O20" s="11">
        <f>+K20+E20+C20+M20+G20+I20</f>
        <v>1852.68576192</v>
      </c>
      <c r="P20" s="141">
        <f t="shared" si="105"/>
        <v>7.2432826370959673E-3</v>
      </c>
      <c r="R20" s="4" t="s">
        <v>18</v>
      </c>
      <c r="S20" s="14">
        <f>+S12-S19</f>
        <v>100.69999999999897</v>
      </c>
      <c r="T20" s="43">
        <f>IF(S$4=0,"N.D.",S20/S$4)</f>
        <v>3.2049395916626559E-3</v>
      </c>
      <c r="U20" s="14">
        <f>+U12-U19</f>
        <v>0</v>
      </c>
      <c r="V20" s="43" t="str">
        <f t="shared" si="63"/>
        <v>N.D.</v>
      </c>
      <c r="W20" s="14">
        <f>+W12-W19</f>
        <v>-1058.519111000001</v>
      </c>
      <c r="X20" s="43">
        <f t="shared" si="64"/>
        <v>-3.5619040029750082E-2</v>
      </c>
      <c r="Y20" s="14">
        <f>+Y12-Y19</f>
        <v>1169.269125</v>
      </c>
      <c r="Z20" s="43">
        <f t="shared" ref="Z20" si="110">IF(Y$4=0,"N.D.",Y20/Y$4)</f>
        <v>0.50945829750644878</v>
      </c>
      <c r="AA20" s="14">
        <f>+AA12-AA19</f>
        <v>11150.926999999994</v>
      </c>
      <c r="AB20" s="43">
        <f t="shared" ref="AB20" si="111">IF(AA$4=0,"N.D.",AA20/AA$4)</f>
        <v>7.5570695486251574E-2</v>
      </c>
      <c r="AC20" s="14">
        <f>+AC12-AC19</f>
        <v>1523.0589999999997</v>
      </c>
      <c r="AD20" s="43">
        <f t="shared" ref="AD20" si="112">IF(AC$4=0,"N.D.",AC20/AC$4)</f>
        <v>0.49673465873400507</v>
      </c>
      <c r="AE20" s="14">
        <f>+AE12-AE19</f>
        <v>12885.436013999984</v>
      </c>
      <c r="AF20" s="43">
        <f t="shared" ref="AF20" si="113">IF(AE$4=0,"N.D.",AE20/AE$4)</f>
        <v>6.0196696720559328E-2</v>
      </c>
      <c r="AG20" s="25"/>
      <c r="AH20" s="4" t="s">
        <v>18</v>
      </c>
      <c r="AI20" s="14">
        <f>+AI12-AI19</f>
        <v>-1102.4168300000026</v>
      </c>
      <c r="AJ20" s="43">
        <f t="shared" si="69"/>
        <v>-4.0493543598823609E-2</v>
      </c>
      <c r="AK20" s="14">
        <f>+AK12-AK19</f>
        <v>1746.3713099999995</v>
      </c>
      <c r="AL20" s="43">
        <f t="shared" si="70"/>
        <v>3.1693262155898995E-2</v>
      </c>
      <c r="AM20" s="14">
        <f>+AM12-AM19</f>
        <v>-1499.2228605799987</v>
      </c>
      <c r="AN20" s="43">
        <f t="shared" si="71"/>
        <v>-5.1893911320078152E-2</v>
      </c>
      <c r="AO20" s="14">
        <f>+AO12-AO19</f>
        <v>694.58809208000002</v>
      </c>
      <c r="AP20" s="43">
        <f t="shared" si="72"/>
        <v>0.30343492678028339</v>
      </c>
      <c r="AQ20" s="14">
        <f>+AQ12-AQ19</f>
        <v>-196.55789000000277</v>
      </c>
      <c r="AR20" s="43">
        <f t="shared" si="73"/>
        <v>-1.5810175174422111E-3</v>
      </c>
      <c r="AS20" s="14">
        <f>+AS12-AS19</f>
        <v>1800.9145999999996</v>
      </c>
      <c r="AT20" s="43">
        <f t="shared" si="74"/>
        <v>0.38995241791924334</v>
      </c>
      <c r="AU20" s="14">
        <f>+AU12-AU19</f>
        <v>1443.6764214999953</v>
      </c>
      <c r="AV20" s="43">
        <f t="shared" si="86"/>
        <v>5.9545819625490236E-3</v>
      </c>
      <c r="AW20" s="25"/>
      <c r="AX20" s="26" t="s">
        <v>18</v>
      </c>
      <c r="AY20" s="20">
        <f t="shared" si="75"/>
        <v>13650.854172574967</v>
      </c>
      <c r="AZ20" s="15">
        <f t="shared" si="76"/>
        <v>5.3369544389045113E-2</v>
      </c>
      <c r="BA20" s="20">
        <f t="shared" si="9"/>
        <v>12885.436013999984</v>
      </c>
      <c r="BB20" s="15">
        <f t="shared" si="77"/>
        <v>6.0196696720559328E-2</v>
      </c>
      <c r="BC20" s="20">
        <f t="shared" si="10"/>
        <v>1443.6764214999953</v>
      </c>
      <c r="BD20" s="15">
        <f t="shared" si="38"/>
        <v>5.9545819625490236E-3</v>
      </c>
      <c r="BE20" s="14">
        <f t="shared" si="78"/>
        <v>765.41815857498295</v>
      </c>
      <c r="BF20" s="16">
        <f t="shared" si="79"/>
        <v>5.9401805087802906E-2</v>
      </c>
      <c r="BG20" s="14">
        <f t="shared" si="80"/>
        <v>12207.177751074973</v>
      </c>
      <c r="BH20" s="16">
        <f t="shared" si="81"/>
        <v>8.4556189803194144</v>
      </c>
    </row>
    <row r="21" spans="2:60" x14ac:dyDescent="0.35">
      <c r="B21" s="7" t="s">
        <v>16</v>
      </c>
      <c r="C21" s="11">
        <f>TablasERxDiv!K18</f>
        <v>7.8799999999999999E-3</v>
      </c>
      <c r="D21" s="141">
        <f t="shared" si="99"/>
        <v>2.2998118729955841E-7</v>
      </c>
      <c r="E21" s="11">
        <f>TablasERxDiv!AA18</f>
        <v>144.95105000000001</v>
      </c>
      <c r="F21" s="141">
        <f t="shared" si="100"/>
        <v>3.0827960908320663E-3</v>
      </c>
      <c r="G21" s="11">
        <f>TablasERxDiv!BP17*TC_MES</f>
        <v>0</v>
      </c>
      <c r="H21" s="141">
        <f t="shared" si="101"/>
        <v>0</v>
      </c>
      <c r="I21" s="11">
        <f>TablasERxDiv!CF17*TC_MES</f>
        <v>0</v>
      </c>
      <c r="J21" s="141">
        <f t="shared" si="102"/>
        <v>0</v>
      </c>
      <c r="K21" s="11">
        <f>TablasERxDiv!AT18</f>
        <v>8.6700000000000006E-3</v>
      </c>
      <c r="L21" s="141">
        <f t="shared" si="103"/>
        <v>6.3380233855346444E-8</v>
      </c>
      <c r="M21" s="11">
        <f>TablasERxDiv!BC18</f>
        <v>509.58339000000001</v>
      </c>
      <c r="N21" s="141">
        <f t="shared" si="104"/>
        <v>7.2215631465022495E-2</v>
      </c>
      <c r="O21" s="11">
        <f>+K21+E21+C21+M21+G21+I21</f>
        <v>654.55098999999996</v>
      </c>
      <c r="P21" s="141">
        <f t="shared" si="105"/>
        <v>2.5590404581333956E-3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92"/>
      <c r="BA21" s="30"/>
      <c r="BB21" s="192"/>
      <c r="BC21" s="30"/>
      <c r="BD21" s="192"/>
      <c r="BE21" s="30"/>
      <c r="BF21" s="193"/>
      <c r="BG21" s="30"/>
      <c r="BH21" s="193"/>
    </row>
    <row r="22" spans="2:60" x14ac:dyDescent="0.35">
      <c r="B22" s="7"/>
      <c r="C22" s="11">
        <f>TablasERxDiv!K19</f>
        <v>0</v>
      </c>
      <c r="D22" s="141">
        <f t="shared" si="99"/>
        <v>0</v>
      </c>
      <c r="E22" s="11">
        <f>TablasERxDiv!AA19</f>
        <v>0</v>
      </c>
      <c r="F22" s="141">
        <f t="shared" si="100"/>
        <v>0</v>
      </c>
      <c r="G22" s="11">
        <v>0</v>
      </c>
      <c r="H22" s="141">
        <f t="shared" si="101"/>
        <v>0</v>
      </c>
      <c r="I22" s="11">
        <v>0</v>
      </c>
      <c r="J22" s="141">
        <f t="shared" si="102"/>
        <v>0</v>
      </c>
      <c r="K22" s="11">
        <f>TablasERxDiv!AT19</f>
        <v>0</v>
      </c>
      <c r="L22" s="141">
        <f t="shared" si="103"/>
        <v>0</v>
      </c>
      <c r="M22" s="11">
        <f>TablasERxDiv!BC19</f>
        <v>0</v>
      </c>
      <c r="N22" s="141">
        <f t="shared" si="104"/>
        <v>0</v>
      </c>
      <c r="O22" s="11">
        <f>+K22+E22+C22+M22+G22+I22</f>
        <v>0</v>
      </c>
      <c r="P22" s="141">
        <f t="shared" si="105"/>
        <v>0</v>
      </c>
      <c r="R22" s="7" t="s">
        <v>35</v>
      </c>
      <c r="S22" s="8">
        <f>('600'!K151+'600'!K173+'600'!K195+'600'!K217)/1000</f>
        <v>60.496000000000002</v>
      </c>
      <c r="T22" s="29">
        <f t="shared" ref="T22:T25" si="114">IF(S$4=0,"N.D.",S22/S$4)</f>
        <v>1.9253825773309435E-3</v>
      </c>
      <c r="U22" s="8">
        <f>('600'!K19+'600'!K41+'600'!K63+'600'!K85+'600'!K107+'600'!K129)/1000</f>
        <v>0</v>
      </c>
      <c r="V22" s="29" t="str">
        <f t="shared" ref="V22:V25" si="115">IF(U$4=0,"N.D.",U22/U$4)</f>
        <v>N.D.</v>
      </c>
      <c r="W22" s="8">
        <f>('600'!K482+'600'!K505+'600'!K572+'600'!K617)*TC_MES/1000</f>
        <v>0</v>
      </c>
      <c r="X22" s="29">
        <f t="shared" ref="X22:X25" si="116">IF(W$4=0,"N.D.",W22/W$4)</f>
        <v>0</v>
      </c>
      <c r="Y22" s="8">
        <f>('600'!K527)*TC_MES/1000</f>
        <v>0</v>
      </c>
      <c r="Z22" s="29">
        <f t="shared" ref="Z22" si="117">IF(Y$4=0,"N.D.",Y22/Y$4)</f>
        <v>0</v>
      </c>
      <c r="AA22" s="8">
        <f>('600'!K305+'600'!K327+'600'!G349+'600'!K371+'600'!K393+'600'!K415)/1000</f>
        <v>1337.171</v>
      </c>
      <c r="AB22" s="29">
        <f t="shared" ref="AB22" si="118">IF(AA$4=0,"N.D.",AA22/AA$4)</f>
        <v>9.0621113790850354E-3</v>
      </c>
      <c r="AC22" s="8">
        <f>('600'!K437+'600'!K459)/1000</f>
        <v>58.491</v>
      </c>
      <c r="AD22" s="29">
        <f t="shared" ref="AD22" si="119">IF(AC$4=0,"N.D.",AC22/AC$4)</f>
        <v>1.9076415899850693E-2</v>
      </c>
      <c r="AE22" s="8">
        <f>+AA22+U22+S22+AC22+W22+Y22</f>
        <v>1456.1580000000001</v>
      </c>
      <c r="AF22" s="29">
        <f t="shared" ref="AF22" si="120">IF(AE$4=0,"N.D.",AE22/AE$4)</f>
        <v>6.8027113252495594E-3</v>
      </c>
      <c r="AH22" s="7" t="s">
        <v>35</v>
      </c>
      <c r="AI22" s="8">
        <f>('600'!G151+'600'!G173+'600'!G195+'600'!G217)/1000</f>
        <v>41.018000000000001</v>
      </c>
      <c r="AJ22" s="29">
        <f t="shared" ref="AJ22:AJ25" si="121">IF(AI$4=0,"N.D.",AI22/AI$4)</f>
        <v>1.5066571247252666E-3</v>
      </c>
      <c r="AK22" s="8">
        <f>('600'!G19+'600'!G41+'600'!G63+'600'!G85+'600'!G107+'600'!G129)/1000</f>
        <v>1185.7870699999999</v>
      </c>
      <c r="AL22" s="29">
        <f t="shared" ref="AL22:AL25" si="122">IF(AK$4=0,"N.D.",AK22/AK$4)</f>
        <v>2.1519742253773833E-2</v>
      </c>
      <c r="AM22" s="8">
        <f>('600'!G482+'600'!G505+'600'!G572+'600'!G617)*TC_MES/1000</f>
        <v>0</v>
      </c>
      <c r="AN22" s="29">
        <f t="shared" ref="AN22:AN25" si="123">IF(AM$4=0,"N.D.",AM22/AM$4)</f>
        <v>0</v>
      </c>
      <c r="AO22" s="8">
        <f>('600'!G527)*TC_MES/1000</f>
        <v>0</v>
      </c>
      <c r="AP22" s="29">
        <f t="shared" ref="AP22:AP25" si="124">IF(AO$4=0,"N.D.",AO22/AO$4)</f>
        <v>0</v>
      </c>
      <c r="AQ22" s="8">
        <f>('600'!G305+'600'!G327+'600'!E349+'600'!G371+'600'!G393+'600'!G415)/1000</f>
        <v>2024.0110400000001</v>
      </c>
      <c r="AR22" s="29">
        <f t="shared" ref="AR22:AR25" si="125">IF(AQ$4=0,"N.D.",AQ22/AQ$4)</f>
        <v>1.6280175320036162E-2</v>
      </c>
      <c r="AS22" s="8">
        <f>('600'!G437+'600'!G459)/1000</f>
        <v>0</v>
      </c>
      <c r="AT22" s="29">
        <f t="shared" ref="AT22:AT25" si="126">IF(AS$4=0,"N.D.",AS22/AS$4)</f>
        <v>0</v>
      </c>
      <c r="AU22" s="8">
        <f>+AQ22+AK22+AI22+AS22+AM22+AO22</f>
        <v>3250.8161099999998</v>
      </c>
      <c r="AV22" s="29">
        <f t="shared" ref="AV22:AV25" si="127">IF(AU$4=0,"N.D.",AU22/AU$4)</f>
        <v>1.3408303054542783E-2</v>
      </c>
      <c r="AX22" s="1" t="s">
        <v>19</v>
      </c>
      <c r="AY22" s="8">
        <f>O26</f>
        <v>3311.8745599999997</v>
      </c>
      <c r="AZ22" s="9">
        <f t="shared" ref="AZ22:AZ25" si="128">IF(AY$4=0,"N.D.",AY22/AY$4)</f>
        <v>1.294814479052692E-2</v>
      </c>
      <c r="BA22" s="8">
        <f t="shared" si="9"/>
        <v>1456.1580000000001</v>
      </c>
      <c r="BB22" s="9">
        <f t="shared" ref="BB22:BB25" si="129">IF(BA$4=0,"N.D.",BA22/BA$4)</f>
        <v>6.8027113252495594E-3</v>
      </c>
      <c r="BC22" s="8">
        <f t="shared" si="10"/>
        <v>3250.8161099999998</v>
      </c>
      <c r="BD22" s="9">
        <f t="shared" si="38"/>
        <v>1.3408303054542783E-2</v>
      </c>
      <c r="BE22" s="8">
        <f>+AY22-BA22</f>
        <v>1855.7165599999996</v>
      </c>
      <c r="BF22" s="10">
        <f>IF(BA22=0,"N.D.",AY22/BA22-1)</f>
        <v>1.2743923118233047</v>
      </c>
      <c r="BG22" s="8">
        <f>AY22-BC22</f>
        <v>61.058449999999993</v>
      </c>
      <c r="BH22" s="10">
        <f>IF(BC22=0, "N.D.",AY22/BC22-1)</f>
        <v>1.8782498896869226E-2</v>
      </c>
    </row>
    <row r="23" spans="2:60" x14ac:dyDescent="0.35">
      <c r="B23" s="4" t="s">
        <v>17</v>
      </c>
      <c r="C23" s="14">
        <f>SUM(C18:C21)</f>
        <v>51.384149999999998</v>
      </c>
      <c r="D23" s="142">
        <f t="shared" si="99"/>
        <v>1.499668505758706E-3</v>
      </c>
      <c r="E23" s="14">
        <f>SUM(E18:E21)</f>
        <v>684.91111000000012</v>
      </c>
      <c r="F23" s="142">
        <f t="shared" si="100"/>
        <v>1.4566581563054919E-2</v>
      </c>
      <c r="G23" s="14">
        <f>SUM(G18:G21)</f>
        <v>-2135.7068616550005</v>
      </c>
      <c r="H23" s="142">
        <f t="shared" si="101"/>
        <v>-7.6066368211118021E-2</v>
      </c>
      <c r="I23" s="14">
        <f>SUM(I18:I21)</f>
        <v>627.50815843999999</v>
      </c>
      <c r="J23" s="142">
        <f>IF(I$4=0,"N.D.",I23/I$4)</f>
        <v>0.24415729409619244</v>
      </c>
      <c r="K23" s="14">
        <f>SUM(K18:K21)</f>
        <v>-7201.1877249999998</v>
      </c>
      <c r="L23" s="142">
        <f t="shared" si="103"/>
        <v>-5.2642786856603244E-2</v>
      </c>
      <c r="M23" s="14">
        <f>SUM(M18:M21)</f>
        <v>568.64215999999999</v>
      </c>
      <c r="N23" s="142">
        <f t="shared" si="104"/>
        <v>8.0585147530091897E-2</v>
      </c>
      <c r="O23" s="14">
        <f>SUM(O18:O21)</f>
        <v>-7404.4490082150005</v>
      </c>
      <c r="P23" s="142">
        <f t="shared" si="105"/>
        <v>-2.8948523295653228E-2</v>
      </c>
      <c r="R23" s="7" t="s">
        <v>43</v>
      </c>
      <c r="S23" s="8">
        <f>('600'!K152+'600'!K174+'600'!K196+'600'!K218)/1000</f>
        <v>0</v>
      </c>
      <c r="T23" s="42">
        <f t="shared" si="114"/>
        <v>0</v>
      </c>
      <c r="U23" s="8">
        <f>('600'!K20+'600'!K42+'600'!K64+'600'!K86+'600'!K108+'600'!K130)/1000</f>
        <v>0</v>
      </c>
      <c r="V23" s="42" t="str">
        <f t="shared" si="115"/>
        <v>N.D.</v>
      </c>
      <c r="W23" s="8">
        <f>('600'!K483+'600'!K506+'600'!K573+'600'!K618)*TC_MES/1000</f>
        <v>0</v>
      </c>
      <c r="X23" s="42">
        <f t="shared" si="116"/>
        <v>0</v>
      </c>
      <c r="Y23" s="8">
        <f>('600'!K528)*TC_MES/1000</f>
        <v>0</v>
      </c>
      <c r="Z23" s="42">
        <f t="shared" ref="Z23" si="130">IF(Y$4=0,"N.D.",Y23/Y$4)</f>
        <v>0</v>
      </c>
      <c r="AA23" s="8">
        <f>('600'!K306+'600'!K328+'600'!G350+'600'!K372+'600'!K394+'600'!K416)/1000</f>
        <v>0</v>
      </c>
      <c r="AB23" s="42">
        <f t="shared" ref="AB23" si="131">IF(AA$4=0,"N.D.",AA23/AA$4)</f>
        <v>0</v>
      </c>
      <c r="AC23" s="8">
        <f>('600'!K438+'600'!K460)/1000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>
        <f>('600'!G152+'600'!G174+'600'!G196+'600'!G218)/1000</f>
        <v>8.0830000000000002</v>
      </c>
      <c r="AJ23" s="42">
        <f t="shared" si="121"/>
        <v>2.9690159293857158E-4</v>
      </c>
      <c r="AK23" s="8">
        <f>('600'!G20+'600'!G42+'600'!G64+'600'!G86+'600'!G108+'600'!G130)/1000</f>
        <v>0</v>
      </c>
      <c r="AL23" s="42">
        <f t="shared" si="122"/>
        <v>0</v>
      </c>
      <c r="AM23" s="8">
        <f>('600'!G483+'600'!G506+'600'!G573+'600'!G618)*TC_MES/1000</f>
        <v>0</v>
      </c>
      <c r="AN23" s="42">
        <f t="shared" si="123"/>
        <v>0</v>
      </c>
      <c r="AO23" s="8">
        <f>('600'!G528)*TC_MES/1000</f>
        <v>0</v>
      </c>
      <c r="AP23" s="42">
        <f t="shared" si="124"/>
        <v>0</v>
      </c>
      <c r="AQ23" s="8">
        <f>('600'!G306+'600'!G328+'600'!E350+'600'!G372+'600'!G394+'600'!G416)/1000</f>
        <v>0</v>
      </c>
      <c r="AR23" s="42">
        <f t="shared" si="125"/>
        <v>0</v>
      </c>
      <c r="AS23" s="8">
        <f>('600'!G438+'600'!G460)/1000</f>
        <v>0</v>
      </c>
      <c r="AT23" s="42">
        <f t="shared" si="126"/>
        <v>0</v>
      </c>
      <c r="AU23" s="8">
        <f>+AQ23+AK23+AI23+AS23+AM23+AO23</f>
        <v>8.0830000000000002</v>
      </c>
      <c r="AV23" s="42">
        <f t="shared" si="127"/>
        <v>3.3339109295194592E-5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8.0830000000000002</v>
      </c>
      <c r="BD23" s="12">
        <f t="shared" si="38"/>
        <v>3.3339109295194592E-5</v>
      </c>
      <c r="BE23" s="11">
        <f>+AY23-BA23</f>
        <v>0</v>
      </c>
      <c r="BF23" s="13" t="str">
        <f>IF(BA23=0,"N.D.",AY23/BA23-1)</f>
        <v>N.D.</v>
      </c>
      <c r="BG23" s="11">
        <f>AY23-BC23</f>
        <v>-8.0830000000000002</v>
      </c>
      <c r="BH23" s="13">
        <f>IF(BC23=0, "N.D.",AY23/BC23-1)</f>
        <v>-1</v>
      </c>
    </row>
    <row r="24" spans="2:60" x14ac:dyDescent="0.35">
      <c r="B24" s="4" t="s">
        <v>18</v>
      </c>
      <c r="C24" s="14">
        <f>+C16-C23</f>
        <v>-1115.5754600000043</v>
      </c>
      <c r="D24" s="142">
        <f t="shared" si="99"/>
        <v>-3.2558549341757871E-2</v>
      </c>
      <c r="E24" s="14">
        <f>+E16-E23</f>
        <v>1672.2216199999939</v>
      </c>
      <c r="F24" s="142">
        <f t="shared" si="100"/>
        <v>3.5564545914919872E-2</v>
      </c>
      <c r="G24" s="14">
        <f>+G16-G23</f>
        <v>1154.5414649950039</v>
      </c>
      <c r="H24" s="142">
        <f>IF(G$4=0,"N.D.",G24/G$4)</f>
        <v>4.1120707044626344E-2</v>
      </c>
      <c r="I24" s="14">
        <f>+I16-I23</f>
        <v>1434.1335775799998</v>
      </c>
      <c r="J24" s="142">
        <f t="shared" si="102"/>
        <v>0.5580073644698359</v>
      </c>
      <c r="K24" s="14">
        <f>+K16-K23</f>
        <v>8157.7091899999941</v>
      </c>
      <c r="L24" s="142">
        <f t="shared" si="103"/>
        <v>5.9635238314430031E-2</v>
      </c>
      <c r="M24" s="14">
        <f>+M16-M23</f>
        <v>2347.8237799999997</v>
      </c>
      <c r="N24" s="142">
        <f t="shared" si="104"/>
        <v>0.33272194535480454</v>
      </c>
      <c r="O24" s="14">
        <f>+O16-O23</f>
        <v>13650.854172574967</v>
      </c>
      <c r="P24" s="142">
        <f t="shared" si="105"/>
        <v>5.3369544389045113E-2</v>
      </c>
      <c r="R24" s="4" t="s">
        <v>21</v>
      </c>
      <c r="S24" s="14">
        <f>+S20-S22-S23</f>
        <v>40.203999999998963</v>
      </c>
      <c r="T24" s="43">
        <f t="shared" si="114"/>
        <v>1.2795570143317122E-3</v>
      </c>
      <c r="U24" s="14">
        <f>+U20-U22-U23</f>
        <v>0</v>
      </c>
      <c r="V24" s="43" t="str">
        <f t="shared" si="115"/>
        <v>N.D.</v>
      </c>
      <c r="W24" s="14">
        <f>+W20-W22-W23</f>
        <v>-1058.519111000001</v>
      </c>
      <c r="X24" s="43">
        <f t="shared" si="116"/>
        <v>-3.5619040029750082E-2</v>
      </c>
      <c r="Y24" s="14">
        <f>+Y20-Y22-Y23</f>
        <v>1169.269125</v>
      </c>
      <c r="Z24" s="43">
        <f t="shared" ref="Z24" si="134">IF(Y$4=0,"N.D.",Y24/Y$4)</f>
        <v>0.50945829750644878</v>
      </c>
      <c r="AA24" s="14">
        <f>+AA20-AA22-AA23</f>
        <v>9813.7559999999939</v>
      </c>
      <c r="AB24" s="43">
        <f t="shared" ref="AB24" si="135">IF(AA$4=0,"N.D.",AA24/AA$4)</f>
        <v>6.6508584107166535E-2</v>
      </c>
      <c r="AC24" s="14">
        <f>+AC20-AC22-AC23</f>
        <v>1464.5679999999998</v>
      </c>
      <c r="AD24" s="43">
        <f t="shared" ref="AD24" si="136">IF(AC$4=0,"N.D.",AC24/AC$4)</f>
        <v>0.47765824283415442</v>
      </c>
      <c r="AE24" s="14">
        <f>+AE20-AE22-AE23</f>
        <v>11429.278013999985</v>
      </c>
      <c r="AF24" s="43">
        <f t="shared" ref="AF24" si="137">IF(AE$4=0,"N.D.",AE24/AE$4)</f>
        <v>5.3393985395309769E-2</v>
      </c>
      <c r="AH24" s="4" t="s">
        <v>21</v>
      </c>
      <c r="AI24" s="14">
        <f>+AI20-AI22-AI23</f>
        <v>-1151.5178300000027</v>
      </c>
      <c r="AJ24" s="43">
        <f t="shared" si="121"/>
        <v>-4.229710231648745E-2</v>
      </c>
      <c r="AK24" s="14">
        <f>+AK20-AK22-AK23</f>
        <v>560.58423999999968</v>
      </c>
      <c r="AL24" s="43">
        <f t="shared" si="122"/>
        <v>1.0173519902125165E-2</v>
      </c>
      <c r="AM24" s="14">
        <f>+AM20-AM22-AM23</f>
        <v>-1499.2228605799987</v>
      </c>
      <c r="AN24" s="43">
        <f t="shared" si="123"/>
        <v>-5.1893911320078152E-2</v>
      </c>
      <c r="AO24" s="14">
        <f>+AO20-AO22-AO23</f>
        <v>694.58809208000002</v>
      </c>
      <c r="AP24" s="43">
        <f t="shared" si="124"/>
        <v>0.30343492678028339</v>
      </c>
      <c r="AQ24" s="14">
        <f>+AQ20-AQ22-AQ23</f>
        <v>-2220.5689300000031</v>
      </c>
      <c r="AR24" s="43">
        <f t="shared" si="125"/>
        <v>-1.7861192837478376E-2</v>
      </c>
      <c r="AS24" s="14">
        <f>+AS20-AS22-AS23</f>
        <v>1800.9145999999996</v>
      </c>
      <c r="AT24" s="43">
        <f t="shared" si="126"/>
        <v>0.38995241791924334</v>
      </c>
      <c r="AU24" s="14">
        <f>+AU20-AU22-AU23</f>
        <v>-1815.2226885000046</v>
      </c>
      <c r="AV24" s="43">
        <f t="shared" si="127"/>
        <v>-7.4870602012889545E-3</v>
      </c>
      <c r="AX24" s="26" t="s">
        <v>21</v>
      </c>
      <c r="AY24" s="14">
        <f>O28</f>
        <v>10338.979612574967</v>
      </c>
      <c r="AZ24" s="15">
        <f t="shared" si="128"/>
        <v>4.042139959851819E-2</v>
      </c>
      <c r="BA24" s="14">
        <f t="shared" si="9"/>
        <v>11429.278013999985</v>
      </c>
      <c r="BB24" s="15">
        <f t="shared" si="129"/>
        <v>5.3393985395309769E-2</v>
      </c>
      <c r="BC24" s="14">
        <f t="shared" si="10"/>
        <v>-1815.2226885000046</v>
      </c>
      <c r="BD24" s="15">
        <f t="shared" si="38"/>
        <v>-7.4870602012889545E-3</v>
      </c>
      <c r="BE24" s="14">
        <f>+AY24-BA24</f>
        <v>-1090.2984014250178</v>
      </c>
      <c r="BF24" s="16">
        <f>IF(BA24=0,"N.D.",AY24/BA24-1)</f>
        <v>-9.5395212198835844E-2</v>
      </c>
      <c r="BG24" s="14">
        <f>AY24-BC24</f>
        <v>12154.202301074973</v>
      </c>
      <c r="BH24" s="16">
        <f>IF(BC24=0, "N.D.",AY24/BC24-1)</f>
        <v>-6.6957086742445382</v>
      </c>
    </row>
    <row r="25" spans="2:60" x14ac:dyDescent="0.35">
      <c r="B25" s="1"/>
      <c r="C25" s="30"/>
      <c r="D25" s="143"/>
      <c r="E25" s="30"/>
      <c r="F25" s="143"/>
      <c r="G25" s="30"/>
      <c r="H25" s="143"/>
      <c r="I25" s="30"/>
      <c r="J25" s="143"/>
      <c r="K25" s="30"/>
      <c r="L25" s="143"/>
      <c r="M25" s="30"/>
      <c r="N25" s="143"/>
      <c r="O25" s="30"/>
      <c r="P25" s="143"/>
      <c r="R25" s="4" t="s">
        <v>22</v>
      </c>
      <c r="S25" s="20">
        <f>+S12+S10</f>
        <v>434.99599999999896</v>
      </c>
      <c r="T25" s="45">
        <f t="shared" si="114"/>
        <v>1.3844447890912607E-2</v>
      </c>
      <c r="U25" s="20">
        <f>+U12+U10</f>
        <v>0</v>
      </c>
      <c r="V25" s="45" t="str">
        <f t="shared" si="115"/>
        <v>N.D.</v>
      </c>
      <c r="W25" s="20">
        <f>+W12+W10</f>
        <v>-941.09883600000092</v>
      </c>
      <c r="X25" s="45">
        <f t="shared" si="116"/>
        <v>-3.1667861981034377E-2</v>
      </c>
      <c r="Y25" s="20">
        <f>+Y12+Y10</f>
        <v>2088.8968249999998</v>
      </c>
      <c r="Z25" s="45">
        <f t="shared" ref="Z25" si="138">IF(Y$4=0,"N.D.",Y25/Y$4)</f>
        <v>0.91014617368873596</v>
      </c>
      <c r="AA25" s="20">
        <f>+AA12+AA10</f>
        <v>11684.125999999995</v>
      </c>
      <c r="AB25" s="45">
        <f t="shared" ref="AB25" si="139">IF(AA$4=0,"N.D.",AA25/AA$4)</f>
        <v>7.9184226384855241E-2</v>
      </c>
      <c r="AC25" s="20">
        <f>+AC12+AC10</f>
        <v>1086.1359999999997</v>
      </c>
      <c r="AD25" s="45">
        <f t="shared" ref="AD25" si="140">IF(AC$4=0,"N.D.",AC25/AC$4)</f>
        <v>0.35423538766306317</v>
      </c>
      <c r="AE25" s="20">
        <f>+AE12+AE10</f>
        <v>14353.055988999984</v>
      </c>
      <c r="AF25" s="45">
        <f t="shared" ref="AF25" si="141">IF(AE$4=0,"N.D.",AE25/AE$4)</f>
        <v>6.7052954781219615E-2</v>
      </c>
      <c r="AH25" s="4" t="s">
        <v>22</v>
      </c>
      <c r="AI25" s="20">
        <f>+AI12+AI10</f>
        <v>-755.00718000000268</v>
      </c>
      <c r="AJ25" s="45">
        <f t="shared" si="121"/>
        <v>-2.773262828430776E-2</v>
      </c>
      <c r="AK25" s="20">
        <f>+AK12+AK10</f>
        <v>2326.6132699999994</v>
      </c>
      <c r="AL25" s="45">
        <f t="shared" si="122"/>
        <v>4.2223531662062989E-2</v>
      </c>
      <c r="AM25" s="20">
        <f>+AM12+AM10</f>
        <v>-575.79153304999886</v>
      </c>
      <c r="AN25" s="45">
        <f t="shared" si="123"/>
        <v>-1.9930375623667385E-2</v>
      </c>
      <c r="AO25" s="20">
        <f>+AO12+AO10</f>
        <v>2080.2389051600003</v>
      </c>
      <c r="AP25" s="45">
        <f t="shared" si="124"/>
        <v>0.90876470107987461</v>
      </c>
      <c r="AQ25" s="20">
        <f>+AQ12+AQ10</f>
        <v>-541.373180000003</v>
      </c>
      <c r="AR25" s="45">
        <f t="shared" si="125"/>
        <v>-4.354546546329878E-3</v>
      </c>
      <c r="AS25" s="20">
        <f>+AS12+AS10</f>
        <v>1482.1829699999996</v>
      </c>
      <c r="AT25" s="45">
        <f t="shared" si="126"/>
        <v>0.32093739089583995</v>
      </c>
      <c r="AU25" s="20">
        <f>+AU12+AU10</f>
        <v>4016.8632521099953</v>
      </c>
      <c r="AV25" s="45">
        <f t="shared" si="127"/>
        <v>1.6567938016323881E-2</v>
      </c>
      <c r="AX25" s="26" t="s">
        <v>22</v>
      </c>
      <c r="AY25" s="14">
        <f>O29</f>
        <v>9973.207602659968</v>
      </c>
      <c r="AZ25" s="15">
        <f t="shared" si="128"/>
        <v>3.8991372929663481E-2</v>
      </c>
      <c r="BA25" s="14">
        <f t="shared" si="9"/>
        <v>14353.055988999984</v>
      </c>
      <c r="BB25" s="15">
        <f t="shared" si="129"/>
        <v>6.7052954781219615E-2</v>
      </c>
      <c r="BC25" s="14">
        <f t="shared" si="10"/>
        <v>4016.8632521099953</v>
      </c>
      <c r="BD25" s="15">
        <f t="shared" si="38"/>
        <v>1.6567938016323881E-2</v>
      </c>
      <c r="BE25" s="14">
        <f>+AY25-BA25</f>
        <v>-4379.8483863400161</v>
      </c>
      <c r="BF25" s="16">
        <f>IF(BA25=0,"N.D.",AY25/BA25-1)</f>
        <v>-0.30515093020585171</v>
      </c>
      <c r="BG25" s="14">
        <f>AY25-BC25</f>
        <v>5956.3443505499727</v>
      </c>
      <c r="BH25" s="16">
        <f>IF(BC25=0, "N.D.",AY25/BC25-1)</f>
        <v>1.4828347336497449</v>
      </c>
    </row>
    <row r="26" spans="2:60" x14ac:dyDescent="0.35">
      <c r="B26" s="7" t="s">
        <v>35</v>
      </c>
      <c r="C26" s="8">
        <f>('600'!C151+'600'!C173+'600'!C195+'600'!C217)/1000</f>
        <v>0</v>
      </c>
      <c r="D26" s="144">
        <f t="shared" si="99"/>
        <v>0</v>
      </c>
      <c r="E26" s="8">
        <f>TablasERxDiv!AA23</f>
        <v>1212.1075799999999</v>
      </c>
      <c r="F26" s="144">
        <f t="shared" si="99"/>
        <v>2.5778913014372202E-2</v>
      </c>
      <c r="G26" s="8">
        <f>TablasERxDiv!BP21*TC_MES</f>
        <v>0</v>
      </c>
      <c r="H26" s="144">
        <f>IF(G$4=0,"N.D.",G26/G$4)</f>
        <v>0</v>
      </c>
      <c r="I26" s="8">
        <f>TablasERxDiv!CF21*TC_MES</f>
        <v>0</v>
      </c>
      <c r="J26" s="144">
        <f t="shared" si="99"/>
        <v>0</v>
      </c>
      <c r="K26" s="8">
        <f>TablasERxDiv!AT23</f>
        <v>2099.7669799999999</v>
      </c>
      <c r="L26" s="144">
        <f t="shared" si="99"/>
        <v>1.534991029228772E-2</v>
      </c>
      <c r="M26" s="8">
        <f>TablasERxDiv!BC23</f>
        <v>0</v>
      </c>
      <c r="N26" s="144">
        <f t="shared" si="99"/>
        <v>0</v>
      </c>
      <c r="O26" s="8">
        <f>+K26+E26+C26+M26+G26+I26</f>
        <v>3311.8745599999997</v>
      </c>
      <c r="P26" s="144">
        <f t="shared" si="99"/>
        <v>1.294814479052692E-2</v>
      </c>
      <c r="AX26" s="25"/>
    </row>
    <row r="27" spans="2:60" x14ac:dyDescent="0.35">
      <c r="B27" s="7" t="s">
        <v>20</v>
      </c>
      <c r="C27" s="11">
        <f>('600'!C152+'600'!C174+'600'!C196+'600'!C218)/1000</f>
        <v>0</v>
      </c>
      <c r="D27" s="141">
        <f t="shared" si="99"/>
        <v>0</v>
      </c>
      <c r="E27" s="11">
        <f>TablasERxDiv!AA24</f>
        <v>0</v>
      </c>
      <c r="F27" s="141">
        <f t="shared" ref="F27" si="142">IF(E$4=0,"N.D.",E27/E$4)</f>
        <v>0</v>
      </c>
      <c r="G27" s="11">
        <f>TablasERxDiv!BP22*TC_MES</f>
        <v>0</v>
      </c>
      <c r="H27" s="141">
        <f t="shared" ref="H27:H29" si="143">IF(G$4=0,"N.D.",G27/G$4)</f>
        <v>0</v>
      </c>
      <c r="I27" s="11">
        <f>TablasERxDiv!CF22*TC_MES</f>
        <v>0</v>
      </c>
      <c r="J27" s="141">
        <f t="shared" ref="J27" si="144">IF(I$4=0,"N.D.",I27/I$4)</f>
        <v>0</v>
      </c>
      <c r="K27" s="11">
        <f>TablasERxDiv!AT24</f>
        <v>0</v>
      </c>
      <c r="L27" s="141">
        <f t="shared" ref="L27" si="145">IF(K$4=0,"N.D.",K27/K$4)</f>
        <v>0</v>
      </c>
      <c r="M27" s="11">
        <f>TablasERxDiv!BC24</f>
        <v>0</v>
      </c>
      <c r="N27" s="141">
        <f t="shared" ref="N27" si="146">IF(M$4=0,"N.D.",M27/M$4)</f>
        <v>0</v>
      </c>
      <c r="O27" s="11">
        <f>+K27+E27+C27+M27+G27+I27</f>
        <v>0</v>
      </c>
      <c r="P27" s="141">
        <f t="shared" ref="P27" si="147">IF(O$4=0,"N.D.",O27/O$4)</f>
        <v>0</v>
      </c>
    </row>
    <row r="28" spans="2:60" x14ac:dyDescent="0.35">
      <c r="B28" s="4" t="s">
        <v>21</v>
      </c>
      <c r="C28" s="14">
        <f>C24-C26-C27</f>
        <v>-1115.5754600000043</v>
      </c>
      <c r="D28" s="142">
        <f t="shared" si="99"/>
        <v>-3.2558549341757871E-2</v>
      </c>
      <c r="E28" s="14">
        <f>E24-E26-E27</f>
        <v>460.11403999999402</v>
      </c>
      <c r="F28" s="142">
        <f t="shared" ref="F28" si="148">IF(E$4=0,"N.D.",E28/E$4)</f>
        <v>9.7856329005476719E-3</v>
      </c>
      <c r="G28" s="14">
        <f>G24-G26-G27</f>
        <v>1154.5414649950039</v>
      </c>
      <c r="H28" s="142">
        <f t="shared" si="143"/>
        <v>4.1120707044626344E-2</v>
      </c>
      <c r="I28" s="14">
        <f>I24-I26-I27</f>
        <v>1434.1335775799998</v>
      </c>
      <c r="J28" s="142">
        <f t="shared" ref="J28" si="149">IF(I$4=0,"N.D.",I28/I$4)</f>
        <v>0.5580073644698359</v>
      </c>
      <c r="K28" s="14">
        <f>K24-K26-K27</f>
        <v>6057.9422099999938</v>
      </c>
      <c r="L28" s="142">
        <f t="shared" ref="L28" si="150">IF(K$4=0,"N.D.",K28/K$4)</f>
        <v>4.4285328022142308E-2</v>
      </c>
      <c r="M28" s="14">
        <f>M24-M26-M27</f>
        <v>2347.8237799999997</v>
      </c>
      <c r="N28" s="142">
        <f t="shared" ref="N28" si="151">IF(M$4=0,"N.D.",M28/M$4)</f>
        <v>0.33272194535480454</v>
      </c>
      <c r="O28" s="14">
        <f>O24-O26-O27</f>
        <v>10338.979612574967</v>
      </c>
      <c r="P28" s="142">
        <f t="shared" ref="P28" si="152">IF(O$4=0,"N.D.",O28/O$4)</f>
        <v>4.042139959851819E-2</v>
      </c>
    </row>
    <row r="29" spans="2:60" x14ac:dyDescent="0.35">
      <c r="B29" s="4" t="s">
        <v>22</v>
      </c>
      <c r="C29" s="20">
        <f>C16+C10</f>
        <v>-795.09159000000432</v>
      </c>
      <c r="D29" s="145">
        <f t="shared" si="99"/>
        <v>-2.3205089832499325E-2</v>
      </c>
      <c r="E29" s="20">
        <f>E16+E10</f>
        <v>3137.846379999994</v>
      </c>
      <c r="F29" s="145">
        <f>IF(E$4=0,"N.D.",E29/E$4)</f>
        <v>6.6735222365726446E-2</v>
      </c>
      <c r="G29" s="20">
        <f>G16+G10</f>
        <v>-578.55396835999636</v>
      </c>
      <c r="H29" s="145">
        <f t="shared" si="143"/>
        <v>-2.0606057871243609E-2</v>
      </c>
      <c r="I29" s="20">
        <f>I16+I10</f>
        <v>2082.6441460199999</v>
      </c>
      <c r="J29" s="145">
        <f t="shared" ref="J29" si="153">IF(I$4=0,"N.D.",I29/I$4)</f>
        <v>0.81033649111693395</v>
      </c>
      <c r="K29" s="20">
        <f>K16+K10</f>
        <v>3185.0727849999944</v>
      </c>
      <c r="L29" s="145">
        <f t="shared" ref="L29" si="154">IF(K$4=0,"N.D.",K29/K$4)</f>
        <v>2.3283812913448582E-2</v>
      </c>
      <c r="M29" s="20">
        <f>M16+M10</f>
        <v>2941.2898499999997</v>
      </c>
      <c r="N29" s="145">
        <f t="shared" ref="N29" si="155">IF(M$4=0,"N.D.",M29/M$4)</f>
        <v>0.41682501433065017</v>
      </c>
      <c r="O29" s="20">
        <f>+O16+O10</f>
        <v>9973.207602659968</v>
      </c>
      <c r="P29" s="145">
        <f t="shared" ref="P29" si="156">IF(O$4=0,"N.D.",O29/O$4)</f>
        <v>3.8991372929663481E-2</v>
      </c>
    </row>
    <row r="30" spans="2:60" x14ac:dyDescent="0.35">
      <c r="B30" s="4" t="s">
        <v>36</v>
      </c>
      <c r="C30" s="20">
        <f>C10+C18+C28</f>
        <v>-846.47574000000441</v>
      </c>
      <c r="D30" s="145">
        <f>IF(C30=0, 0, C30/C4)</f>
        <v>-2.4704758338258036E-2</v>
      </c>
      <c r="E30" s="280">
        <f>E10+E18+E28</f>
        <v>1352.747509999994</v>
      </c>
      <c r="F30" s="145">
        <f>IF(E30=0, 0, E30/E4)</f>
        <v>2.8770020884366088E-2</v>
      </c>
      <c r="G30" s="20">
        <f>G10+G18+G28</f>
        <v>1557.1528932950041</v>
      </c>
      <c r="H30" s="145">
        <f>IF(G30=0, 0, G30/G4)</f>
        <v>5.5460310339874412E-2</v>
      </c>
      <c r="I30" s="20">
        <f>I10+I18+I28</f>
        <v>1455.1359875799999</v>
      </c>
      <c r="J30" s="145">
        <f>IF(I30=0, 0, I30/I4)</f>
        <v>0.56617919702074149</v>
      </c>
      <c r="K30" s="20">
        <f>K10+K18+K28</f>
        <v>7126.1230099999939</v>
      </c>
      <c r="L30" s="145">
        <f t="shared" ref="L30:L34" si="157">IF(K$10=0,"N.D.",K30/K$10)</f>
        <v>3.1976481519842199</v>
      </c>
      <c r="M30" s="20">
        <f>M10+M18+M28</f>
        <v>2427.2579399999995</v>
      </c>
      <c r="N30" s="145">
        <f>IF(M30=0, 0, M30/M4)</f>
        <v>0.34397896066743788</v>
      </c>
      <c r="O30" s="20">
        <f>O10+O18+O28</f>
        <v>13071.941600874969</v>
      </c>
      <c r="P30" s="145">
        <f>IF(O30=0, 0, O30/O4)</f>
        <v>5.1106220804885E-2</v>
      </c>
    </row>
    <row r="31" spans="2:60" x14ac:dyDescent="0.35">
      <c r="B31" s="187" t="s">
        <v>37</v>
      </c>
      <c r="C31" s="20"/>
      <c r="D31" s="145">
        <f>IF(C$10=0,"N.D.",C31/C$10)</f>
        <v>0</v>
      </c>
      <c r="E31" s="20">
        <v>179</v>
      </c>
      <c r="F31" s="145">
        <f>IF(E$10=0,"N.D.",E31/E$10)</f>
        <v>0.22927740535854599</v>
      </c>
      <c r="G31" s="20"/>
      <c r="H31" s="145">
        <f>IF(G$10=0,"N.D.",G31/G$10)</f>
        <v>0</v>
      </c>
      <c r="I31" s="20"/>
      <c r="J31" s="145">
        <f>IF(I$10=0,"N.D.",I31/I$10)</f>
        <v>0</v>
      </c>
      <c r="K31" s="20"/>
      <c r="L31" s="145">
        <f t="shared" si="157"/>
        <v>0</v>
      </c>
      <c r="M31" s="20"/>
      <c r="N31" s="145">
        <f>IF(M$10=0,"N.D.",M31/M$10)</f>
        <v>0</v>
      </c>
      <c r="O31" s="20"/>
      <c r="P31" s="145">
        <f>IF(O$10=0,"N.D.",O31/O$10)</f>
        <v>0</v>
      </c>
    </row>
    <row r="32" spans="2:60" x14ac:dyDescent="0.35">
      <c r="B32" s="4" t="s">
        <v>38</v>
      </c>
      <c r="C32" s="20">
        <f>+C30-C31</f>
        <v>-846.47574000000441</v>
      </c>
      <c r="D32" s="145">
        <f>IF(C$10=0,"N.D.",C32/C$10)</f>
        <v>-3.1455838750036769</v>
      </c>
      <c r="E32" s="20">
        <f>+E30-E31</f>
        <v>1173.747509999994</v>
      </c>
      <c r="F32" s="145">
        <f>IF(E$10=0,"N.D.",E32/E$10)</f>
        <v>1.5034289588762717</v>
      </c>
      <c r="G32" s="20">
        <f>+G30-G31</f>
        <v>1557.1528932950041</v>
      </c>
      <c r="H32" s="145">
        <f>IF(G$10=0,"N.D.",G32/G$10)</f>
        <v>3.8676321232856665</v>
      </c>
      <c r="I32" s="20">
        <f>+I30-I31</f>
        <v>1455.1359875799999</v>
      </c>
      <c r="J32" s="145">
        <f>IF(I$10=0,"N.D.",I32/I$10)</f>
        <v>69.284238693559445</v>
      </c>
      <c r="K32" s="20">
        <f>+K30-K31</f>
        <v>7126.1230099999939</v>
      </c>
      <c r="L32" s="145">
        <f t="shared" si="157"/>
        <v>3.1976481519842199</v>
      </c>
      <c r="M32" s="20">
        <f>+M30-M31</f>
        <v>2427.2579399999995</v>
      </c>
      <c r="N32" s="145">
        <f>IF(M$10=0,"N.D.",M32/M$10)</f>
        <v>97.779034003909914</v>
      </c>
      <c r="O32" s="20">
        <f>+O30-O31</f>
        <v>13071.941600874969</v>
      </c>
      <c r="P32" s="145">
        <f>IF(O$10=0,"N.D.",O32/O$10)</f>
        <v>3.5075488484540651</v>
      </c>
    </row>
    <row r="33" spans="1:60" x14ac:dyDescent="0.35">
      <c r="B33" s="187" t="s">
        <v>39</v>
      </c>
      <c r="C33" s="20"/>
      <c r="D33" s="145">
        <f>IF(C$10=0,"N.D.",C33/C$10)</f>
        <v>0</v>
      </c>
      <c r="E33" s="20">
        <v>722</v>
      </c>
      <c r="F33" s="145">
        <f>IF(E$10=0,"N.D.",E33/E$10)</f>
        <v>0.92479489759145361</v>
      </c>
      <c r="G33" s="20"/>
      <c r="H33" s="145">
        <f>IF(G$10=0,"N.D.",G33/G$10)</f>
        <v>0</v>
      </c>
      <c r="I33" s="20"/>
      <c r="J33" s="145">
        <f>IF(I$10=0,"N.D.",I33/I$10)</f>
        <v>0</v>
      </c>
      <c r="K33" s="20">
        <v>0</v>
      </c>
      <c r="L33" s="145">
        <f t="shared" si="157"/>
        <v>0</v>
      </c>
      <c r="M33" s="20"/>
      <c r="N33" s="145">
        <f>IF(M$10=0,"N.D.",M33/M$10)</f>
        <v>0</v>
      </c>
      <c r="O33" s="20">
        <f>+G33+M33+C33+E33+K33+I33</f>
        <v>722</v>
      </c>
      <c r="P33" s="145">
        <f>IF(O$10=0,"N.D.",O33/O$10)</f>
        <v>0.19373176119562266</v>
      </c>
    </row>
    <row r="34" spans="1:60" x14ac:dyDescent="0.35">
      <c r="B34" s="4" t="s">
        <v>40</v>
      </c>
      <c r="C34" s="20">
        <f>+C32-C33</f>
        <v>-846.47574000000441</v>
      </c>
      <c r="D34" s="145">
        <f>IF(C$10=0,"N.D.",C34/C$10)</f>
        <v>-3.1455838750036769</v>
      </c>
      <c r="E34" s="20">
        <f>+E32-E33</f>
        <v>451.74750999999401</v>
      </c>
      <c r="F34" s="145">
        <f>IF(E$10=0,"N.D.",E34/E$10)</f>
        <v>0.57863406128481809</v>
      </c>
      <c r="G34" s="20">
        <f>+G32-G33</f>
        <v>1557.1528932950041</v>
      </c>
      <c r="H34" s="145">
        <f>IF(G$10=0,"N.D.",G34/G$10)</f>
        <v>3.8676321232856665</v>
      </c>
      <c r="I34" s="20">
        <f>+I32-I33</f>
        <v>1455.1359875799999</v>
      </c>
      <c r="J34" s="145">
        <f>IF(I$10=0,"N.D.",I34/I$10)</f>
        <v>69.284238693559445</v>
      </c>
      <c r="K34" s="20">
        <f>+K32-K33</f>
        <v>7126.1230099999939</v>
      </c>
      <c r="L34" s="145">
        <f t="shared" si="157"/>
        <v>3.1976481519842199</v>
      </c>
      <c r="M34" s="20">
        <f>+M32-M33</f>
        <v>2427.2579399999995</v>
      </c>
      <c r="N34" s="145">
        <f>IF(M$10=0,"N.D.",M34/M$10)</f>
        <v>97.779034003909914</v>
      </c>
      <c r="O34" s="20">
        <f>+O32-O33</f>
        <v>12349.941600874969</v>
      </c>
      <c r="P34" s="145">
        <f>IF(O$10=0,"N.D.",O34/O$10)</f>
        <v>3.313817087258442</v>
      </c>
    </row>
    <row r="38" spans="1:60" x14ac:dyDescent="0.35">
      <c r="G38" s="206"/>
    </row>
    <row r="39" spans="1:60" x14ac:dyDescent="0.35">
      <c r="A39" t="s">
        <v>140</v>
      </c>
      <c r="B39" s="307">
        <v>15</v>
      </c>
      <c r="C39" s="307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06" t="s">
        <v>24</v>
      </c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9">
        <f>TablasERxDiv!K32</f>
        <v>271791.12578999996</v>
      </c>
      <c r="D41" s="29">
        <f>IF(C$41=0,"N.D.",C41/C$41)</f>
        <v>1</v>
      </c>
      <c r="E41" s="200">
        <f>TablasERxDiv!AA32</f>
        <v>451907.08010999986</v>
      </c>
      <c r="F41" s="29">
        <f>IF(E$41=0,"N.D.",E41/E$41)</f>
        <v>1</v>
      </c>
      <c r="G41" s="200">
        <f>'mxn-dll'!N5</f>
        <v>371135.39684698294</v>
      </c>
      <c r="H41" s="29">
        <f>IF(G$41=0,"N.D.",G41/G$41)</f>
        <v>1</v>
      </c>
      <c r="I41" s="200">
        <f>'mxn-dll'!AC5</f>
        <v>21587.087520126002</v>
      </c>
      <c r="J41" s="29">
        <f>IF(I$41=0,"N.D.",I41/I$41)</f>
        <v>1</v>
      </c>
      <c r="K41" s="200">
        <f>TablasERxDiv!AT32</f>
        <v>1230147.15478</v>
      </c>
      <c r="L41" s="29">
        <f>IF(K$41=0,"N.D.",K41/K$41)</f>
        <v>1</v>
      </c>
      <c r="M41" s="200">
        <f>TablasERxDiv!BC32</f>
        <v>42501.014330000005</v>
      </c>
      <c r="N41" s="29">
        <f>IF(M$41=0,"N.D.",M41/M$41)</f>
        <v>1</v>
      </c>
      <c r="O41" s="200">
        <f>K41+E41+C41+M41+G41+I41</f>
        <v>2389068.8593771085</v>
      </c>
      <c r="P41" s="29">
        <f>IF(O$41=0,"N.D.",O41/O$41)</f>
        <v>1</v>
      </c>
      <c r="R41" s="7" t="s">
        <v>5</v>
      </c>
      <c r="S41" s="8">
        <f>('600'!L136+'600'!L158+'600'!L180+'600'!L202)/1000</f>
        <v>302024.10600000003</v>
      </c>
      <c r="T41" s="29">
        <f>IF(S$41=0,"N.D.",S41/S$41)</f>
        <v>1</v>
      </c>
      <c r="U41" s="8">
        <f>('600'!L4+'600'!L26+'600'!L48+'600'!L70+'600'!L92+'600'!L114)/1000</f>
        <v>96648.784</v>
      </c>
      <c r="V41" s="29">
        <f t="shared" ref="V41:V43" si="158">IF(U$41=0,"N.D.",U41/U$41)</f>
        <v>1</v>
      </c>
      <c r="W41" s="8">
        <f>('600'!L466+'600'!L489+'600'!L556+'600'!L601)*TC_MES/1000</f>
        <v>277057.08576250001</v>
      </c>
      <c r="X41" s="29">
        <f t="shared" ref="X41:X43" si="159">IF(W$41=0,"N.D.",W41/W$41)</f>
        <v>1</v>
      </c>
      <c r="Y41" s="8">
        <f>('600'!L512)*TC_MES/1000</f>
        <v>20652.15425</v>
      </c>
      <c r="Z41" s="29">
        <f t="shared" ref="Z41:Z43" si="160">IF(Y$41=0,"N.D.",Y41/Y$41)</f>
        <v>1</v>
      </c>
      <c r="AA41" s="8">
        <f>('600'!L290+'600'!L312+'600'!H334+'600'!L356+'600'!L378+'600'!L400)/1000</f>
        <v>1387584.375</v>
      </c>
      <c r="AB41" s="29">
        <f t="shared" ref="AB41:AB43" si="161">IF(AA$41=0,"N.D.",AA41/AA$41)</f>
        <v>1</v>
      </c>
      <c r="AC41" s="8">
        <f>('600'!L422+'600'!L444)/1000</f>
        <v>37900.071000000004</v>
      </c>
      <c r="AD41" s="29">
        <f t="shared" ref="AD41:AD43" si="162">IF(AC$41=0,"N.D.",AC41/AC$41)</f>
        <v>1</v>
      </c>
      <c r="AE41" s="8">
        <f>+AA41+U41+S41+AC41+W41+Y41</f>
        <v>2121866.5760125001</v>
      </c>
      <c r="AF41" s="29">
        <f t="shared" ref="AF41:AF43" si="163">IF(AE$41=0,"N.D.",AE41/AE$41)</f>
        <v>1</v>
      </c>
      <c r="AH41" s="7" t="s">
        <v>5</v>
      </c>
      <c r="AI41" s="8">
        <f>('600'!H136+'600'!H158+'600'!H180+'600'!H202)/1000</f>
        <v>259256.56406</v>
      </c>
      <c r="AJ41" s="29">
        <f>IF(AI$41=0,"N.D.",AI41/AI$41)</f>
        <v>1</v>
      </c>
      <c r="AK41" s="8">
        <f>('600'!H4+'600'!H26+'600'!H48+'600'!H70+'600'!H92+'600'!H114)/1000</f>
        <v>548668.20736</v>
      </c>
      <c r="AL41" s="29">
        <f t="shared" ref="AL41:AL43" si="164">IF(AK$41=0,"N.D.",AK41/AK$41)</f>
        <v>1</v>
      </c>
      <c r="AM41" s="8">
        <f>('600'!H466+'600'!H489+'600'!H556+'600'!H601)*TC_MES/1000</f>
        <v>266795.76226827997</v>
      </c>
      <c r="AN41" s="29">
        <f t="shared" ref="AN41:AN43" si="165">IF(AM$41=0,"N.D.",AM41/AM$41)</f>
        <v>1</v>
      </c>
      <c r="AO41" s="8">
        <f>('600'!H512)*TC_MES/1000</f>
        <v>21231.795786655002</v>
      </c>
      <c r="AP41" s="29">
        <f t="shared" ref="AP41:AP43" si="166">IF(AO$41=0,"N.D.",AO41/AO$41)</f>
        <v>1</v>
      </c>
      <c r="AQ41" s="8">
        <f>('600'!H290+'600'!H312+'600'!F334+'600'!H356+'600'!H378+'600'!H400)/1000</f>
        <v>1096310.7063200001</v>
      </c>
      <c r="AR41" s="29">
        <f t="shared" ref="AR41:AR43" si="167">IF(AQ$41=0,"N.D.",AQ41/AQ$41)</f>
        <v>1</v>
      </c>
      <c r="AS41" s="8">
        <f>('600'!H422+'600'!H444)/1000</f>
        <v>23012.402190000001</v>
      </c>
      <c r="AT41" s="29">
        <f t="shared" ref="AT41:AT43" si="168">IF(AS$41=0,"N.D.",AS41/AS$41)</f>
        <v>1</v>
      </c>
      <c r="AU41" s="8">
        <f>+AQ41+AK41+AI41+AS41+AM41+AO41</f>
        <v>2215275.4379849355</v>
      </c>
      <c r="AV41" s="29">
        <f t="shared" ref="AV41:AV43" si="169">IF(AU$41=0,"N.D.",AU41/AU$41)</f>
        <v>1</v>
      </c>
      <c r="AW41" s="25"/>
      <c r="AX41" s="7" t="s">
        <v>5</v>
      </c>
      <c r="AY41" s="8">
        <f>O41</f>
        <v>2389068.8593771085</v>
      </c>
      <c r="AZ41" s="9">
        <f>IF(AY$41=0,"N.D.",AY41/AY$41)</f>
        <v>1</v>
      </c>
      <c r="BA41" s="8">
        <f t="shared" ref="BA41:BA62" si="170">AE41</f>
        <v>2121866.5760125001</v>
      </c>
      <c r="BB41" s="9">
        <f t="shared" ref="BB41:BB62" si="171">IF(BA$41=0,"N.D.",BA41/BA$41)</f>
        <v>1</v>
      </c>
      <c r="BC41" s="8">
        <f t="shared" ref="BC41:BC62" si="172">AU41</f>
        <v>2215275.4379849355</v>
      </c>
      <c r="BD41" s="9">
        <f t="shared" ref="BD41:BD62" si="173">IF(BC$41=0,"N.D.",BC41/BC$41)</f>
        <v>1</v>
      </c>
      <c r="BE41" s="8">
        <f>+AY41-BA41</f>
        <v>267202.28336460842</v>
      </c>
      <c r="BF41" s="10">
        <f>IF(BA41=0,"N.D.",AY41/BA41-1)</f>
        <v>0.12592793834697469</v>
      </c>
      <c r="BG41" s="8">
        <f>AY41-BC41</f>
        <v>173793.42139217304</v>
      </c>
      <c r="BH41" s="10">
        <f>IF(BC41=0, "N.D.",AY41/BC41-1)</f>
        <v>7.8452285621990026E-2</v>
      </c>
    </row>
    <row r="42" spans="1:60" x14ac:dyDescent="0.35">
      <c r="B42" s="7" t="s">
        <v>6</v>
      </c>
      <c r="C42" s="201">
        <f>TablasERxDiv!K33</f>
        <v>226619.96637000001</v>
      </c>
      <c r="D42" s="198">
        <f>IF(C$41=0,"N.D.",C42/C$41)</f>
        <v>0.83380193415548987</v>
      </c>
      <c r="E42" s="202">
        <f>TablasERxDiv!AA33</f>
        <v>241209.68238000001</v>
      </c>
      <c r="F42" s="195">
        <f>IF(E$41=0,"N.D.",E42/E$41)</f>
        <v>0.5337594673694569</v>
      </c>
      <c r="G42" s="202">
        <f>'mxn-dll'!N6</f>
        <v>128051.382868335</v>
      </c>
      <c r="H42" s="198">
        <f>IF(G$41=0,"N.D.",G42/G$41)</f>
        <v>0.34502605775737921</v>
      </c>
      <c r="I42" s="202">
        <f>'mxn-dll'!AC6</f>
        <v>0</v>
      </c>
      <c r="J42" s="195">
        <f>IF(I$41=0,"N.D.",I42/I$41)</f>
        <v>0</v>
      </c>
      <c r="K42" s="202">
        <f>TablasERxDiv!AT33</f>
        <v>956759.20450499991</v>
      </c>
      <c r="L42" s="195">
        <f>IF(K$41=0,"N.D.",K42/K$41)</f>
        <v>0.77775996212104159</v>
      </c>
      <c r="M42" s="202">
        <f>TablasERxDiv!BC33</f>
        <v>24688.23832</v>
      </c>
      <c r="N42" s="195">
        <f>IF(M$41=0,"N.D.",M42/M$41)</f>
        <v>0.58088586141280452</v>
      </c>
      <c r="O42" s="202">
        <f>K42+E42+C42+M42+G42+I42</f>
        <v>1577328.4744433351</v>
      </c>
      <c r="P42" s="198">
        <f>IF(O$41=0,"N.D.",O42/O$41)</f>
        <v>0.66022729661069079</v>
      </c>
      <c r="R42" s="7" t="s">
        <v>6</v>
      </c>
      <c r="S42" s="8">
        <f>('600'!L137+'600'!L159+'600'!L181+'600'!L203)/1000</f>
        <v>250530.39300000001</v>
      </c>
      <c r="T42" s="42">
        <f t="shared" ref="T42:T43" si="174">IF(S$41=0,"N.D.",S42/S$41)</f>
        <v>0.82950462570030747</v>
      </c>
      <c r="U42" s="8">
        <f>('600'!L5+'600'!L27+'600'!L49+'600'!L71+'600'!L93+'600'!L115)/1000</f>
        <v>35160.080999999998</v>
      </c>
      <c r="V42" s="42">
        <f t="shared" si="158"/>
        <v>0.36379227492401767</v>
      </c>
      <c r="W42" s="8">
        <f>('600'!L467+'600'!L490+'600'!L557+'600'!L602)*TC_MES/1000</f>
        <v>97390.507410999999</v>
      </c>
      <c r="X42" s="42">
        <f t="shared" si="159"/>
        <v>0.35151783663272007</v>
      </c>
      <c r="Y42" s="8">
        <f>('600'!L513)*TC_MES/1000</f>
        <v>0</v>
      </c>
      <c r="Z42" s="42">
        <f t="shared" si="160"/>
        <v>0</v>
      </c>
      <c r="AA42" s="8">
        <f>('600'!L291+'600'!L313+'600'!H335+'600'!L357+'600'!L379+'600'!L401)/1000</f>
        <v>1077434.3119999999</v>
      </c>
      <c r="AB42" s="42">
        <f t="shared" si="161"/>
        <v>0.77648201537293893</v>
      </c>
      <c r="AC42" s="8">
        <f>('600'!L423+'600'!L445)/1000</f>
        <v>22668.102999999999</v>
      </c>
      <c r="AD42" s="42">
        <f t="shared" si="162"/>
        <v>0.59810186107566909</v>
      </c>
      <c r="AE42" s="11">
        <f>+AA42+U42+S42+AC42+W42+Y42</f>
        <v>1483183.3964109998</v>
      </c>
      <c r="AF42" s="42">
        <f t="shared" si="163"/>
        <v>0.69899936837605492</v>
      </c>
      <c r="AH42" s="7" t="s">
        <v>6</v>
      </c>
      <c r="AI42" s="8">
        <f>('600'!H137+'600'!H159+'600'!H181+'600'!H203)/1000</f>
        <v>214366.52537000002</v>
      </c>
      <c r="AJ42" s="42">
        <f t="shared" ref="AJ42:AJ43" si="175">IF(AI$41=0,"N.D.",AI42/AI$41)</f>
        <v>0.82685090789211013</v>
      </c>
      <c r="AK42" s="8">
        <f>('600'!H5+'600'!H27+'600'!H49+'600'!H71+'600'!H93+'600'!H115)/1000</f>
        <v>326405.51329999999</v>
      </c>
      <c r="AL42" s="42">
        <f t="shared" si="164"/>
        <v>0.59490509732748953</v>
      </c>
      <c r="AM42" s="8">
        <f>('600'!H467+'600'!H490+'600'!H557+'600'!H602)*TC_MES/1000</f>
        <v>93668.659451654996</v>
      </c>
      <c r="AN42" s="42">
        <f t="shared" si="165"/>
        <v>0.35108750849447617</v>
      </c>
      <c r="AO42" s="8">
        <f>('600'!H513)*TC_MES/1000</f>
        <v>0</v>
      </c>
      <c r="AP42" s="42">
        <f t="shared" si="166"/>
        <v>0</v>
      </c>
      <c r="AQ42" s="8">
        <f>('600'!H291+'600'!H313+'600'!F335+'600'!H357+'600'!H379+'600'!H401)/1000</f>
        <v>873574.85178000003</v>
      </c>
      <c r="AR42" s="42">
        <f t="shared" si="167"/>
        <v>0.79683145183571147</v>
      </c>
      <c r="AS42" s="8">
        <f>('600'!H423+'600'!H445)/1000</f>
        <v>13631.570720000002</v>
      </c>
      <c r="AT42" s="42">
        <f t="shared" si="168"/>
        <v>0.5923575734272355</v>
      </c>
      <c r="AU42" s="11">
        <f>+AQ42+AK42+AI42+AS42+AM42+AO42</f>
        <v>1521647.1206216547</v>
      </c>
      <c r="AV42" s="42">
        <f t="shared" si="169"/>
        <v>0.68688845392777853</v>
      </c>
      <c r="AW42" s="25"/>
      <c r="AX42" s="7" t="s">
        <v>6</v>
      </c>
      <c r="AY42" s="11">
        <f>O42</f>
        <v>1577328.4744433351</v>
      </c>
      <c r="AZ42" s="12">
        <f t="shared" ref="AZ42:AZ62" si="176">IF(AY$41=0,"N.D.",AY42/AY$41)</f>
        <v>0.66022729661069079</v>
      </c>
      <c r="BA42" s="11">
        <f t="shared" si="170"/>
        <v>1483183.3964109998</v>
      </c>
      <c r="BB42" s="12">
        <f t="shared" si="171"/>
        <v>0.69899936837605492</v>
      </c>
      <c r="BC42" s="11">
        <f t="shared" si="172"/>
        <v>1521647.1206216547</v>
      </c>
      <c r="BD42" s="12">
        <f t="shared" si="173"/>
        <v>0.68688845392777853</v>
      </c>
      <c r="BE42" s="11">
        <f>+AY42-BA42</f>
        <v>94145.078032335266</v>
      </c>
      <c r="BF42" s="13">
        <f>IF(BA42=0,"N.D.",AY42/BA42-1)</f>
        <v>6.3475008053722304E-2</v>
      </c>
      <c r="BG42" s="11">
        <f>AY42-BC42</f>
        <v>55681.353821680415</v>
      </c>
      <c r="BH42" s="13">
        <f>IF(BC42=0, "N.D.",AY42/BC42-1)</f>
        <v>3.6592816473068002E-2</v>
      </c>
    </row>
    <row r="43" spans="1:60" x14ac:dyDescent="0.35">
      <c r="B43" s="4" t="s">
        <v>7</v>
      </c>
      <c r="C43" s="20">
        <f>+C41-C42</f>
        <v>45171.159419999953</v>
      </c>
      <c r="D43" s="35">
        <f>IF(C$41=0,"N.D.",C43/C$41)</f>
        <v>0.16619806584451013</v>
      </c>
      <c r="E43" s="20">
        <f>+E41-E42</f>
        <v>210697.39772999985</v>
      </c>
      <c r="F43" s="35">
        <f>IF(E$41=0,"N.D.",E43/E$41)</f>
        <v>0.4662405326305431</v>
      </c>
      <c r="G43" s="20">
        <f>+G41-G42</f>
        <v>243084.01397864794</v>
      </c>
      <c r="H43" s="35">
        <f>IF(G$41=0,"N.D.",G43/G$41)</f>
        <v>0.65497394224262073</v>
      </c>
      <c r="I43" s="20">
        <f>+I41-I42</f>
        <v>21587.087520126002</v>
      </c>
      <c r="J43" s="35">
        <f>IF(I$41=0,"N.D.",I43/I$41)</f>
        <v>1</v>
      </c>
      <c r="K43" s="20">
        <f>+K41-K42</f>
        <v>273387.95027500007</v>
      </c>
      <c r="L43" s="35">
        <f>IF(K$41=0,"N.D.",K43/K$41)</f>
        <v>0.22224003787895838</v>
      </c>
      <c r="M43" s="196">
        <f>+M41-M42</f>
        <v>17812.776010000005</v>
      </c>
      <c r="N43" s="35">
        <f>IF(M$41=0,"N.D.",M43/M$41)</f>
        <v>0.41911413858719554</v>
      </c>
      <c r="O43" s="197">
        <f>+O41-O42</f>
        <v>811740.38493377343</v>
      </c>
      <c r="P43" s="35">
        <f>IF(O$41=0,"N.D.",O43/O$41)</f>
        <v>0.33977270338930915</v>
      </c>
      <c r="R43" s="4" t="s">
        <v>7</v>
      </c>
      <c r="S43" s="14">
        <f>+S41-S42</f>
        <v>51493.713000000018</v>
      </c>
      <c r="T43" s="43">
        <f t="shared" si="174"/>
        <v>0.17049537429969253</v>
      </c>
      <c r="U43" s="14">
        <f>+U41-U42</f>
        <v>61488.703000000001</v>
      </c>
      <c r="V43" s="43">
        <f t="shared" si="158"/>
        <v>0.63620772507598233</v>
      </c>
      <c r="W43" s="14">
        <f>+W41-W42</f>
        <v>179666.57835150001</v>
      </c>
      <c r="X43" s="43">
        <f t="shared" si="159"/>
        <v>0.64848216336727993</v>
      </c>
      <c r="Y43" s="14">
        <f>+Y41-Y42</f>
        <v>20652.15425</v>
      </c>
      <c r="Z43" s="43">
        <f t="shared" si="160"/>
        <v>1</v>
      </c>
      <c r="AA43" s="14">
        <f>+AA41-AA42</f>
        <v>310150.06300000008</v>
      </c>
      <c r="AB43" s="43">
        <f t="shared" si="161"/>
        <v>0.22351798462706102</v>
      </c>
      <c r="AC43" s="14">
        <f>+AC41-AC42</f>
        <v>15231.968000000004</v>
      </c>
      <c r="AD43" s="43">
        <f t="shared" si="162"/>
        <v>0.40189813892433085</v>
      </c>
      <c r="AE43" s="14">
        <f>+AA43+U43+S43+AC43+W43+Y43</f>
        <v>638683.17960150004</v>
      </c>
      <c r="AF43" s="43">
        <f t="shared" si="163"/>
        <v>0.30100063162394503</v>
      </c>
      <c r="AH43" s="4" t="s">
        <v>7</v>
      </c>
      <c r="AI43" s="14">
        <f>+AI41-AI42</f>
        <v>44890.038689999987</v>
      </c>
      <c r="AJ43" s="43">
        <f t="shared" si="175"/>
        <v>0.17314909210788984</v>
      </c>
      <c r="AK43" s="14">
        <f>+AK41-AK42</f>
        <v>222262.69406000001</v>
      </c>
      <c r="AL43" s="43">
        <f t="shared" si="164"/>
        <v>0.40509490267251053</v>
      </c>
      <c r="AM43" s="14">
        <f>+AM41-AM42</f>
        <v>173127.10281662497</v>
      </c>
      <c r="AN43" s="43">
        <f t="shared" si="165"/>
        <v>0.64891249150552377</v>
      </c>
      <c r="AO43" s="14">
        <f>+AO41-AO42</f>
        <v>21231.795786655002</v>
      </c>
      <c r="AP43" s="43">
        <f t="shared" si="166"/>
        <v>1</v>
      </c>
      <c r="AQ43" s="14">
        <f>+AQ41-AQ42</f>
        <v>222735.85454000009</v>
      </c>
      <c r="AR43" s="43">
        <f t="shared" si="167"/>
        <v>0.2031685481642885</v>
      </c>
      <c r="AS43" s="14">
        <f>+AS41-AS42</f>
        <v>9380.8314699999992</v>
      </c>
      <c r="AT43" s="43">
        <f t="shared" si="168"/>
        <v>0.40764242657276445</v>
      </c>
      <c r="AU43" s="14">
        <f>+AQ43+AK43+AI43+AS43+AM43+AO43</f>
        <v>693628.3173632801</v>
      </c>
      <c r="AV43" s="43">
        <f t="shared" si="169"/>
        <v>0.31311154607222119</v>
      </c>
      <c r="AW43" s="25"/>
      <c r="AX43" s="4" t="s">
        <v>7</v>
      </c>
      <c r="AY43" s="14">
        <f>O43</f>
        <v>811740.38493377343</v>
      </c>
      <c r="AZ43" s="15">
        <f t="shared" si="176"/>
        <v>0.33977270338930915</v>
      </c>
      <c r="BA43" s="14">
        <f t="shared" si="170"/>
        <v>638683.17960150004</v>
      </c>
      <c r="BB43" s="15">
        <f t="shared" si="171"/>
        <v>0.30100063162394503</v>
      </c>
      <c r="BC43" s="14">
        <f t="shared" si="172"/>
        <v>693628.3173632801</v>
      </c>
      <c r="BD43" s="15">
        <f t="shared" si="173"/>
        <v>0.31311154607222119</v>
      </c>
      <c r="BE43" s="14">
        <f>+AY43-BA43</f>
        <v>173057.20533227338</v>
      </c>
      <c r="BF43" s="16">
        <f>IF(BA43=0,"N.D.",AY43/BA43-1)</f>
        <v>0.27095939091467969</v>
      </c>
      <c r="BG43" s="14">
        <f>AY43-BC43</f>
        <v>118112.06757049332</v>
      </c>
      <c r="BH43" s="16">
        <f>IF(BC43=0, "N.D.",AY43/BC43-1)</f>
        <v>0.17028149603158926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9">
        <f>TablasERxDiv!K36</f>
        <v>23705.575720000001</v>
      </c>
      <c r="D45" s="29">
        <f>IF(C$41=0,"N.D.",C45/C$41)</f>
        <v>8.721982975380943E-2</v>
      </c>
      <c r="E45" s="200">
        <f>TablasERxDiv!AA36</f>
        <v>113548.83383</v>
      </c>
      <c r="F45" s="29">
        <f>IF(E$41=0,"N.D.",E45/E$41)</f>
        <v>0.25126588811655881</v>
      </c>
      <c r="G45" s="200">
        <f>'mxn-dll'!N9</f>
        <v>224844.25492170305</v>
      </c>
      <c r="H45" s="29">
        <f>IF(G$41=0,"N.D.",G45/G$41)</f>
        <v>0.60582810702479306</v>
      </c>
      <c r="I45" s="200">
        <f>'mxn-dll'!AC9</f>
        <v>2352.3711922789998</v>
      </c>
      <c r="J45" s="29">
        <f>IF(I$41=0,"N.D.",I45/I$41)</f>
        <v>0.10897121670933353</v>
      </c>
      <c r="K45" s="200">
        <f>TablasERxDiv!AT36</f>
        <v>207535.19581499998</v>
      </c>
      <c r="L45" s="29">
        <f>IF(K$41=0,"N.D.",K45/K$41)</f>
        <v>0.16870761762816552</v>
      </c>
      <c r="M45" s="200">
        <f>TablasERxDiv!BC36</f>
        <v>1440.6076200000002</v>
      </c>
      <c r="N45" s="29">
        <f>IF(M$41=0,"N.D.",M45/M$41)</f>
        <v>3.3895840904275193E-2</v>
      </c>
      <c r="O45" s="200">
        <f>K45+E45+C45+M45+G45+I45</f>
        <v>573426.83909898216</v>
      </c>
      <c r="P45" s="29">
        <f>IF(O$41=0,"N.D.",O45/O$41)</f>
        <v>0.2400210596058287</v>
      </c>
      <c r="R45" s="7" t="s">
        <v>8</v>
      </c>
      <c r="S45" s="8">
        <f>('600'!L139+'600'!L161+'600'!L183+'600'!L205)/1000</f>
        <v>19779.419000000002</v>
      </c>
      <c r="T45" s="29">
        <f t="shared" ref="T45:T49" si="177">IF(S$41=0,"N.D.",S45/S$41)</f>
        <v>6.548953744771617E-2</v>
      </c>
      <c r="U45" s="8">
        <f>('600'!L7+'600'!L29+'600'!L51+'600'!L73+'600'!L95+'600'!L117)/1000</f>
        <v>3.1970000000000001</v>
      </c>
      <c r="V45" s="29">
        <f t="shared" ref="V45:V49" si="178">IF(U$41=0,"N.D.",U45/U$41)</f>
        <v>3.3078533093597949E-5</v>
      </c>
      <c r="W45" s="8">
        <f>('600'!L470+'600'!L493+'600'!L560+'600'!L605)*TC_MES/1000</f>
        <v>174218.21838800001</v>
      </c>
      <c r="X45" s="29">
        <f t="shared" ref="X45:X49" si="179">IF(W$41=0,"N.D.",W45/W$41)</f>
        <v>0.62881704652500403</v>
      </c>
      <c r="Y45" s="8">
        <f>('600'!L515)*TC_MES/1000</f>
        <v>1101.1851000000001</v>
      </c>
      <c r="Z45" s="29">
        <f t="shared" ref="Z45:Z49" si="180">IF(Y$41=0,"N.D.",Y45/Y$41)</f>
        <v>5.3320592451027243E-2</v>
      </c>
      <c r="AA45" s="8">
        <f>('600'!L293+'600'!L315+'600'!H337+'600'!L359+'600'!L381+'600'!L403)/1000</f>
        <v>145599.10999999999</v>
      </c>
      <c r="AB45" s="29">
        <f t="shared" ref="AB45:AB49" si="181">IF(AA$41=0,"N.D.",AA45/AA$41)</f>
        <v>0.104929914622309</v>
      </c>
      <c r="AC45" s="8">
        <f>('600'!L425+'600'!L447)/1000</f>
        <v>1062.7660000000001</v>
      </c>
      <c r="AD45" s="29">
        <f t="shared" ref="AD45:AD49" si="182">IF(AC$41=0,"N.D.",AC45/AC$41)</f>
        <v>2.8041266730080797E-2</v>
      </c>
      <c r="AE45" s="8">
        <f>+AA45+U45+S45+AC45+W45+Y45</f>
        <v>341763.89548800001</v>
      </c>
      <c r="AF45" s="29">
        <f t="shared" ref="AF45:AF49" si="183">IF(AE$41=0,"N.D.",AE45/AE$41)</f>
        <v>0.16106757104881539</v>
      </c>
      <c r="AH45" s="7" t="s">
        <v>8</v>
      </c>
      <c r="AI45" s="8">
        <f>('600'!H139+'600'!H161+'600'!H183+'600'!H205)/1000</f>
        <v>19784.30444</v>
      </c>
      <c r="AJ45" s="29">
        <f t="shared" ref="AJ45:AJ49" si="184">IF(AI$41=0,"N.D.",AI45/AI$41)</f>
        <v>7.6311681872869755E-2</v>
      </c>
      <c r="AK45" s="8">
        <f>('600'!H7+'600'!H29+'600'!H51+'600'!H73+'600'!H95+'600'!H117)/1000</f>
        <v>115230.06875999999</v>
      </c>
      <c r="AL45" s="29">
        <f t="shared" ref="AL45:AL49" si="185">IF(AK$41=0,"N.D.",AK45/AK$41)</f>
        <v>0.21001776158025792</v>
      </c>
      <c r="AM45" s="8">
        <f>('600'!H470+'600'!H493+'600'!H560+'600'!H605)*TC_MES/1000</f>
        <v>170643.25075994502</v>
      </c>
      <c r="AN45" s="29">
        <f t="shared" ref="AN45:AN49" si="186">IF(AM$41=0,"N.D.",AM45/AM$41)</f>
        <v>0.63960255331324367</v>
      </c>
      <c r="AO45" s="8">
        <f>('600'!H515)*TC_MES/1000</f>
        <v>1526.8663561450001</v>
      </c>
      <c r="AP45" s="29">
        <f t="shared" ref="AP45:AP49" si="187">IF(AO$41=0,"N.D.",AO45/AO$41)</f>
        <v>7.1914141012259264E-2</v>
      </c>
      <c r="AQ45" s="8">
        <f>('600'!H293+'600'!H315+'600'!F337+'600'!H359+'600'!H381+'600'!H403)/1000</f>
        <v>233696.43075999999</v>
      </c>
      <c r="AR45" s="29">
        <f t="shared" ref="AR45:AR49" si="188">IF(AQ$41=0,"N.D.",AQ45/AQ$41)</f>
        <v>0.21316623965522669</v>
      </c>
      <c r="AS45" s="8">
        <f>('600'!H425+'600'!H447)/1000</f>
        <v>740.47516000000007</v>
      </c>
      <c r="AT45" s="29">
        <f t="shared" ref="AT45:AT49" si="189">IF(AS$41=0,"N.D.",AS45/AS$41)</f>
        <v>3.2177221390723487E-2</v>
      </c>
      <c r="AU45" s="8">
        <f>+AQ45+AK45+AI45+AS45+AM45+AO45</f>
        <v>541621.39623608987</v>
      </c>
      <c r="AV45" s="29">
        <f t="shared" ref="AV45:AV49" si="190">IF(AU$41=0,"N.D.",AU45/AU$41)</f>
        <v>0.24449392926450758</v>
      </c>
      <c r="AW45" s="25"/>
      <c r="AX45" s="7" t="s">
        <v>8</v>
      </c>
      <c r="AY45" s="8">
        <f>O45</f>
        <v>573426.83909898216</v>
      </c>
      <c r="AZ45" s="9">
        <f t="shared" si="176"/>
        <v>0.2400210596058287</v>
      </c>
      <c r="BA45" s="8">
        <f t="shared" si="170"/>
        <v>341763.89548800001</v>
      </c>
      <c r="BB45" s="9">
        <f t="shared" si="171"/>
        <v>0.16106757104881539</v>
      </c>
      <c r="BC45" s="8">
        <f t="shared" si="172"/>
        <v>541621.39623608987</v>
      </c>
      <c r="BD45" s="9">
        <f t="shared" si="173"/>
        <v>0.24449392926450758</v>
      </c>
      <c r="BE45" s="8">
        <f>+AY45-BA45</f>
        <v>231662.94361098215</v>
      </c>
      <c r="BF45" s="10">
        <f t="shared" ref="BF45:BF49" si="191">IF(BA45=0,"N.D.",AY45/BA45-1)</f>
        <v>0.67784498792710046</v>
      </c>
      <c r="BG45" s="8">
        <f>AY45-BC45</f>
        <v>31805.442862892291</v>
      </c>
      <c r="BH45" s="10">
        <f>IF(BC45=0, "N.D.",AY45/BC45-1)</f>
        <v>5.8722648484567097E-2</v>
      </c>
    </row>
    <row r="46" spans="1:60" x14ac:dyDescent="0.35">
      <c r="B46" s="7" t="s">
        <v>9</v>
      </c>
      <c r="C46" s="203">
        <f>TablasERxDiv!K37-C51-C52</f>
        <v>19989.420850000002</v>
      </c>
      <c r="D46" s="42">
        <f t="shared" ref="D46:F47" si="192">IF(C$41=0,"N.D.",C46/C$41)</f>
        <v>7.3546996031963435E-2</v>
      </c>
      <c r="E46" s="30">
        <f>TablasERxDiv!AA37-E52-E51</f>
        <v>20212.340259999997</v>
      </c>
      <c r="F46" s="42">
        <f t="shared" si="192"/>
        <v>4.4726761649939321E-2</v>
      </c>
      <c r="G46" s="30">
        <f>'mxn-dll'!N10</f>
        <v>16389.964606339003</v>
      </c>
      <c r="H46" s="42">
        <f t="shared" ref="H46" si="193">IF(G$41=0,"N.D.",G46/G$41)</f>
        <v>4.4161685319108739E-2</v>
      </c>
      <c r="I46" s="30">
        <f>'mxn-dll'!AC10</f>
        <v>35.929660679000001</v>
      </c>
      <c r="J46" s="42">
        <f t="shared" ref="J46" si="194">IF(I$41=0,"N.D.",I46/I$41)</f>
        <v>1.6644051980380483E-3</v>
      </c>
      <c r="K46" s="30">
        <f>TablasERxDiv!AT37-K52-K51</f>
        <v>57957.58855</v>
      </c>
      <c r="L46" s="42">
        <f t="shared" ref="L46" si="195">IF(K$41=0,"N.D.",K46/K$41)</f>
        <v>4.7114354022438201E-2</v>
      </c>
      <c r="M46" s="30">
        <f>TablasERxDiv!BC37-M52-M51</f>
        <v>1941.3973299999998</v>
      </c>
      <c r="N46" s="42">
        <f t="shared" ref="N46" si="196">IF(M$41=0,"N.D.",M46/M$41)</f>
        <v>4.5678846978238687E-2</v>
      </c>
      <c r="O46" s="30">
        <f>K46+E46+C46+M46+G46+I46</f>
        <v>116526.64125701801</v>
      </c>
      <c r="P46" s="42">
        <f t="shared" ref="P46" si="197">IF(O$41=0,"N.D.",O46/O$41)</f>
        <v>4.8774919483651674E-2</v>
      </c>
      <c r="R46" s="7" t="s">
        <v>9</v>
      </c>
      <c r="S46" s="8">
        <f>('600'!L140+'600'!L162+'600'!L184+'600'!L206)/1000</f>
        <v>26302.692999999999</v>
      </c>
      <c r="T46" s="42">
        <f t="shared" si="177"/>
        <v>8.7088058461134876E-2</v>
      </c>
      <c r="U46" s="8">
        <f>('600'!L8+'600'!L30+'600'!L52+'600'!L74+'600'!L96+'600'!L118)/1000</f>
        <v>54915.837</v>
      </c>
      <c r="V46" s="42">
        <f t="shared" si="178"/>
        <v>0.56819997859466087</v>
      </c>
      <c r="W46" s="8">
        <f>('600'!L471+'600'!L494+'600'!L561+'600'!L606)*TC_MES/1000</f>
        <v>12036.071550000001</v>
      </c>
      <c r="X46" s="42">
        <f t="shared" si="179"/>
        <v>4.3442568945223116E-2</v>
      </c>
      <c r="Y46" s="8">
        <f>('600'!L516)*TC_MES/1000</f>
        <v>754.84462499999995</v>
      </c>
      <c r="Z46" s="42">
        <f t="shared" si="180"/>
        <v>3.6550406115623504E-2</v>
      </c>
      <c r="AA46" s="8">
        <f>('600'!L294+'600'!L316+'600'!H338+'600'!L360+'600'!L382+'600'!L404)/1000</f>
        <v>53410.720000000001</v>
      </c>
      <c r="AB46" s="42">
        <f t="shared" si="181"/>
        <v>3.8491871890673317E-2</v>
      </c>
      <c r="AC46" s="8">
        <f>('600'!L426+'600'!L448)/1000</f>
        <v>2504.9499999999998</v>
      </c>
      <c r="AD46" s="42">
        <f t="shared" si="182"/>
        <v>6.6093543729772955E-2</v>
      </c>
      <c r="AE46" s="11">
        <f>+AA46+U46+S46+AC46+W46+Y46</f>
        <v>149925.116175</v>
      </c>
      <c r="AF46" s="42">
        <f t="shared" si="183"/>
        <v>7.0657183571242968E-2</v>
      </c>
      <c r="AH46" s="7" t="s">
        <v>9</v>
      </c>
      <c r="AI46" s="8">
        <f>('600'!H140+'600'!H162+'600'!H184+'600'!H206)/1000</f>
        <v>29215.87153</v>
      </c>
      <c r="AJ46" s="42">
        <f t="shared" si="184"/>
        <v>0.11269096169630075</v>
      </c>
      <c r="AK46" s="8">
        <f>('600'!H8+'600'!H30+'600'!H52+'600'!H74+'600'!H96+'600'!H118)/1000</f>
        <v>65518.472770000008</v>
      </c>
      <c r="AL46" s="42">
        <f t="shared" si="185"/>
        <v>0.11941364907081466</v>
      </c>
      <c r="AM46" s="8">
        <f>('600'!H471+'600'!H494+'600'!H561+'600'!H606)*TC_MES/1000</f>
        <v>12575.084882125</v>
      </c>
      <c r="AN46" s="42">
        <f t="shared" si="186"/>
        <v>4.713375045844978E-2</v>
      </c>
      <c r="AO46" s="8">
        <f>('600'!H516)*TC_MES/1000</f>
        <v>43.029301144999998</v>
      </c>
      <c r="AP46" s="42">
        <f t="shared" si="187"/>
        <v>2.0266444523757885E-3</v>
      </c>
      <c r="AQ46" s="8">
        <f>('600'!H294+'600'!H316+'600'!F338+'600'!H360+'600'!H382+'600'!H404)/1000</f>
        <v>55182.194880000003</v>
      </c>
      <c r="AR46" s="42">
        <f t="shared" si="188"/>
        <v>5.0334448584590373E-2</v>
      </c>
      <c r="AS46" s="8">
        <f>('600'!H426+'600'!H448)/1000</f>
        <v>3546.1325899999997</v>
      </c>
      <c r="AT46" s="42">
        <f t="shared" si="189"/>
        <v>0.15409658499454548</v>
      </c>
      <c r="AU46" s="11">
        <f>+AQ46+AK46+AI46+AS46+AM46+AO46</f>
        <v>166080.78595327001</v>
      </c>
      <c r="AV46" s="42">
        <f t="shared" si="190"/>
        <v>7.497071610397163E-2</v>
      </c>
      <c r="AW46" s="25"/>
      <c r="AX46" s="7" t="s">
        <v>9</v>
      </c>
      <c r="AY46" s="11">
        <f>O46</f>
        <v>116526.64125701801</v>
      </c>
      <c r="AZ46" s="12">
        <f t="shared" si="176"/>
        <v>4.8774919483651674E-2</v>
      </c>
      <c r="BA46" s="11">
        <f t="shared" si="170"/>
        <v>149925.116175</v>
      </c>
      <c r="BB46" s="12">
        <f t="shared" si="171"/>
        <v>7.0657183571242968E-2</v>
      </c>
      <c r="BC46" s="11">
        <f t="shared" si="172"/>
        <v>166080.78595327001</v>
      </c>
      <c r="BD46" s="12">
        <f t="shared" si="173"/>
        <v>7.497071610397163E-2</v>
      </c>
      <c r="BE46" s="11">
        <f>+AY46-BA46</f>
        <v>-33398.474917981992</v>
      </c>
      <c r="BF46" s="13">
        <f t="shared" si="191"/>
        <v>-0.22276771077500879</v>
      </c>
      <c r="BG46" s="11">
        <f>AY46-BC46</f>
        <v>-49554.144696251999</v>
      </c>
      <c r="BH46" s="13">
        <f>IF(BC46=0, "N.D.",AY46/BC46-1)</f>
        <v>-0.29837373668375466</v>
      </c>
    </row>
    <row r="47" spans="1:60" x14ac:dyDescent="0.35">
      <c r="B47" s="7" t="s">
        <v>10</v>
      </c>
      <c r="C47" s="201">
        <f>TablasERxDiv!K38</f>
        <v>2628.5965900000001</v>
      </c>
      <c r="D47" s="198">
        <f t="shared" si="192"/>
        <v>9.6713849002965282E-3</v>
      </c>
      <c r="E47" s="202">
        <f>TablasERxDiv!AA38</f>
        <v>7136.7890100000004</v>
      </c>
      <c r="F47" s="198">
        <f t="shared" si="192"/>
        <v>1.5792602780781432E-2</v>
      </c>
      <c r="G47" s="202">
        <f>'mxn-dll'!N11</f>
        <v>5308.1170277219999</v>
      </c>
      <c r="H47" s="198">
        <f t="shared" ref="H47" si="198">IF(G$41=0,"N.D.",G47/G$41)</f>
        <v>1.4302373400159692E-2</v>
      </c>
      <c r="I47" s="202">
        <f>'mxn-dll'!AC11</f>
        <v>3267.998098651</v>
      </c>
      <c r="J47" s="198">
        <f t="shared" ref="J47" si="199">IF(I$41=0,"N.D.",I47/I$41)</f>
        <v>0.15138670724358674</v>
      </c>
      <c r="K47" s="202">
        <f>TablasERxDiv!AT38</f>
        <v>18139.939679999999</v>
      </c>
      <c r="L47" s="198">
        <f t="shared" ref="L47" si="200">IF(K$41=0,"N.D.",K47/K$41)</f>
        <v>1.4746154238144097E-2</v>
      </c>
      <c r="M47" s="202">
        <f>TablasERxDiv!BC38</f>
        <v>246.84710999999999</v>
      </c>
      <c r="N47" s="198">
        <f t="shared" ref="N47" si="201">IF(M$41=0,"N.D.",M47/M$41)</f>
        <v>5.8080286762887704E-3</v>
      </c>
      <c r="O47" s="202">
        <f>K47+E47+C47+M47+G47+I47</f>
        <v>36728.287516372999</v>
      </c>
      <c r="P47" s="198">
        <f t="shared" ref="P47" si="202">IF(O$41=0,"N.D.",O47/O$41)</f>
        <v>1.5373473800143627E-2</v>
      </c>
      <c r="R47" s="7" t="s">
        <v>10</v>
      </c>
      <c r="S47" s="8">
        <f>('600'!L141+'600'!L163+'600'!L185+'600'!L207)/1000</f>
        <v>2788.6320000000001</v>
      </c>
      <c r="T47" s="42">
        <f t="shared" si="177"/>
        <v>9.23314379415794E-3</v>
      </c>
      <c r="U47" s="8">
        <f>('600'!L9+'600'!L31+'600'!L53+'600'!L75+'600'!L97+'600'!L119)/1000</f>
        <v>955.66899999999998</v>
      </c>
      <c r="V47" s="42">
        <f t="shared" si="178"/>
        <v>9.8880602574368658E-3</v>
      </c>
      <c r="W47" s="8">
        <f>('600'!L472+'600'!L495+'600'!L562+'600'!L607)*TC_MES/1000</f>
        <v>4760.6718419999997</v>
      </c>
      <c r="X47" s="42">
        <f t="shared" si="179"/>
        <v>1.7182999773847914E-2</v>
      </c>
      <c r="Y47" s="8">
        <f>('600'!L517)*TC_MES/1000</f>
        <v>3747.5815500000003</v>
      </c>
      <c r="Z47" s="42">
        <f t="shared" si="180"/>
        <v>0.18146201624462496</v>
      </c>
      <c r="AA47" s="8">
        <f>('600'!L295+'600'!L317+'600'!H339+'600'!L361+'600'!L383+'600'!L405)/1000</f>
        <v>13144.572</v>
      </c>
      <c r="AB47" s="42">
        <f t="shared" si="181"/>
        <v>9.4729893452425197E-3</v>
      </c>
      <c r="AC47" s="8">
        <f>('600'!L427+'600'!L449)/1000</f>
        <v>251.32499999999999</v>
      </c>
      <c r="AD47" s="42">
        <f t="shared" si="182"/>
        <v>6.6312540680992385E-3</v>
      </c>
      <c r="AE47" s="11">
        <f>+AA47+U47+S47+AC47+W47+Y47</f>
        <v>25648.451391999999</v>
      </c>
      <c r="AF47" s="42">
        <f t="shared" si="183"/>
        <v>1.2087683401941151E-2</v>
      </c>
      <c r="AH47" s="7" t="s">
        <v>10</v>
      </c>
      <c r="AI47" s="8">
        <f>('600'!H141+'600'!H163+'600'!H185+'600'!H207)/1000</f>
        <v>2751.5579400000001</v>
      </c>
      <c r="AJ47" s="42">
        <f t="shared" si="184"/>
        <v>1.0613262387305282E-2</v>
      </c>
      <c r="AK47" s="8">
        <f>('600'!H9+'600'!H31+'600'!H53+'600'!H75+'600'!H97+'600'!H119)/1000</f>
        <v>8260.9509299999991</v>
      </c>
      <c r="AL47" s="42">
        <f t="shared" si="185"/>
        <v>1.5056368893231144E-2</v>
      </c>
      <c r="AM47" s="8">
        <f>('600'!H472+'600'!H495+'600'!H562+'600'!H607)*TC_MES/1000</f>
        <v>5654.0686419450012</v>
      </c>
      <c r="AN47" s="42">
        <f t="shared" si="186"/>
        <v>2.1192497938777147E-2</v>
      </c>
      <c r="AO47" s="8">
        <f>('600'!H517)*TC_MES/1000</f>
        <v>7372.137634965</v>
      </c>
      <c r="AP47" s="42">
        <f t="shared" si="187"/>
        <v>0.34722157791281466</v>
      </c>
      <c r="AQ47" s="8">
        <f>('600'!H295+'600'!H317+'600'!F339+'600'!H361+'600'!H383+'600'!H405)/1000</f>
        <v>14835.226990000001</v>
      </c>
      <c r="AR47" s="42">
        <f t="shared" si="188"/>
        <v>1.3531954859583186E-2</v>
      </c>
      <c r="AS47" s="8">
        <f>('600'!H427+'600'!H449)/1000</f>
        <v>202.17454000000001</v>
      </c>
      <c r="AT47" s="42">
        <f t="shared" si="189"/>
        <v>8.7854600458814602E-3</v>
      </c>
      <c r="AU47" s="11">
        <f>+AQ47+AK47+AI47+AS47+AM47+AO47</f>
        <v>39076.116676910002</v>
      </c>
      <c r="AV47" s="42">
        <f t="shared" si="190"/>
        <v>1.7639394184072441E-2</v>
      </c>
      <c r="AW47" s="25"/>
      <c r="AX47" s="7" t="s">
        <v>10</v>
      </c>
      <c r="AY47" s="11">
        <f>O47</f>
        <v>36728.287516372999</v>
      </c>
      <c r="AZ47" s="12">
        <f t="shared" si="176"/>
        <v>1.5373473800143627E-2</v>
      </c>
      <c r="BA47" s="11">
        <f t="shared" si="170"/>
        <v>25648.451391999999</v>
      </c>
      <c r="BB47" s="12">
        <f t="shared" si="171"/>
        <v>1.2087683401941151E-2</v>
      </c>
      <c r="BC47" s="11">
        <f t="shared" si="172"/>
        <v>39076.116676910002</v>
      </c>
      <c r="BD47" s="12">
        <f t="shared" si="173"/>
        <v>1.7639394184072441E-2</v>
      </c>
      <c r="BE47" s="11">
        <f>+AY47-BA47</f>
        <v>11079.836124373</v>
      </c>
      <c r="BF47" s="13">
        <f t="shared" si="191"/>
        <v>0.43198850312767445</v>
      </c>
      <c r="BG47" s="11">
        <f>AY47-BC47</f>
        <v>-2347.8291605370032</v>
      </c>
      <c r="BH47" s="13">
        <f>IF(BC47=0, "N.D.",AY47/BC47-1)</f>
        <v>-6.0083482193212134E-2</v>
      </c>
    </row>
    <row r="48" spans="1:60" x14ac:dyDescent="0.35">
      <c r="B48" s="4" t="s">
        <v>11</v>
      </c>
      <c r="C48" s="20">
        <f>+C45+C47+C46</f>
        <v>46323.593160000004</v>
      </c>
      <c r="D48" s="35">
        <f>IF(C$41=0,"N.D.",C48/C$41)</f>
        <v>0.1704382106860694</v>
      </c>
      <c r="E48" s="20">
        <f>+E45+E47+E46</f>
        <v>140897.96309999999</v>
      </c>
      <c r="F48" s="35">
        <f>IF(E$41=0,"N.D.",E48/E$41)</f>
        <v>0.31178525254727951</v>
      </c>
      <c r="G48" s="20">
        <f>+G45+G47+G46</f>
        <v>246542.33655576405</v>
      </c>
      <c r="H48" s="35">
        <f>IF(G$41=0,"N.D.",G48/G$41)</f>
        <v>0.66429216574406158</v>
      </c>
      <c r="I48" s="20">
        <f>+I45+I47+I46</f>
        <v>5656.2989516090001</v>
      </c>
      <c r="J48" s="35">
        <f>IF(I$41=0,"N.D.",I48/I$41)</f>
        <v>0.26202232915095836</v>
      </c>
      <c r="K48" s="20">
        <f>+K45+K47+K46</f>
        <v>283632.72404499998</v>
      </c>
      <c r="L48" s="35">
        <f>IF(K$41=0,"N.D.",K48/K$41)</f>
        <v>0.23056812588874781</v>
      </c>
      <c r="M48" s="20">
        <f>+M45+M47+M46</f>
        <v>3628.8520600000002</v>
      </c>
      <c r="N48" s="35">
        <f>IF(M$41=0,"N.D.",M48/M$41)</f>
        <v>8.5382716558802654E-2</v>
      </c>
      <c r="O48" s="20">
        <f>+O45+O47+O46</f>
        <v>726681.76787237311</v>
      </c>
      <c r="P48" s="35">
        <f>IF(O$41=0,"N.D.",O48/O$41)</f>
        <v>0.30416945288962399</v>
      </c>
      <c r="R48" s="4" t="s">
        <v>11</v>
      </c>
      <c r="S48" s="14">
        <f>+S47+S46+S45</f>
        <v>48870.744000000006</v>
      </c>
      <c r="T48" s="43">
        <f t="shared" si="177"/>
        <v>0.16181073970300902</v>
      </c>
      <c r="U48" s="14">
        <f>+U47+U46+U45</f>
        <v>55874.703000000001</v>
      </c>
      <c r="V48" s="43">
        <f t="shared" si="178"/>
        <v>0.57812111738519134</v>
      </c>
      <c r="W48" s="14">
        <f>+W47+W46+W45</f>
        <v>191014.96178000001</v>
      </c>
      <c r="X48" s="43">
        <f t="shared" si="179"/>
        <v>0.68944261524407513</v>
      </c>
      <c r="Y48" s="14">
        <f>+Y47+Y46+Y45</f>
        <v>5603.6112750000011</v>
      </c>
      <c r="Z48" s="43">
        <f t="shared" si="180"/>
        <v>0.27133301481127575</v>
      </c>
      <c r="AA48" s="14">
        <f>+AA47+AA46+AA45</f>
        <v>212154.402</v>
      </c>
      <c r="AB48" s="43">
        <f t="shared" si="181"/>
        <v>0.15289477585822484</v>
      </c>
      <c r="AC48" s="14">
        <f>+AC47+AC46+AC45</f>
        <v>3819.0409999999997</v>
      </c>
      <c r="AD48" s="43">
        <f t="shared" si="182"/>
        <v>0.10076606452795298</v>
      </c>
      <c r="AE48" s="14">
        <f>+AA48+U48+S48+AC48+W48+Y48</f>
        <v>517337.463055</v>
      </c>
      <c r="AF48" s="43">
        <f t="shared" si="183"/>
        <v>0.24381243802199951</v>
      </c>
      <c r="AH48" s="4" t="s">
        <v>11</v>
      </c>
      <c r="AI48" s="14">
        <f>+AI47+AI46+AI45</f>
        <v>51751.733909999995</v>
      </c>
      <c r="AJ48" s="43">
        <f t="shared" si="184"/>
        <v>0.19961590595647577</v>
      </c>
      <c r="AK48" s="14">
        <f>+AK47+AK46+AK45</f>
        <v>189009.49246000001</v>
      </c>
      <c r="AL48" s="43">
        <f t="shared" si="185"/>
        <v>0.34448777954430376</v>
      </c>
      <c r="AM48" s="14">
        <f>+AM47+AM46+AM45</f>
        <v>188872.40428401501</v>
      </c>
      <c r="AN48" s="43">
        <f t="shared" si="186"/>
        <v>0.70792880171047057</v>
      </c>
      <c r="AO48" s="14">
        <f>+AO47+AO46+AO45</f>
        <v>8942.0332922550006</v>
      </c>
      <c r="AP48" s="43">
        <f t="shared" si="187"/>
        <v>0.42116236337744972</v>
      </c>
      <c r="AQ48" s="14">
        <f>+AQ47+AQ46+AQ45</f>
        <v>303713.85262999998</v>
      </c>
      <c r="AR48" s="43">
        <f t="shared" si="188"/>
        <v>0.27703264309940023</v>
      </c>
      <c r="AS48" s="14">
        <f>+AS47+AS46+AS45</f>
        <v>4488.7822900000001</v>
      </c>
      <c r="AT48" s="43">
        <f t="shared" si="189"/>
        <v>0.19505926643115046</v>
      </c>
      <c r="AU48" s="14">
        <f>+AQ48+AK48+AI48+AS48+AM48+AO48</f>
        <v>746778.29886626999</v>
      </c>
      <c r="AV48" s="43">
        <f t="shared" si="190"/>
        <v>0.33710403955255169</v>
      </c>
      <c r="AW48" s="25"/>
      <c r="AX48" s="4" t="s">
        <v>11</v>
      </c>
      <c r="AY48" s="14">
        <f>O48</f>
        <v>726681.76787237311</v>
      </c>
      <c r="AZ48" s="15">
        <f t="shared" si="176"/>
        <v>0.30416945288962399</v>
      </c>
      <c r="BA48" s="14">
        <f t="shared" si="170"/>
        <v>517337.463055</v>
      </c>
      <c r="BB48" s="15">
        <f t="shared" si="171"/>
        <v>0.24381243802199951</v>
      </c>
      <c r="BC48" s="14">
        <f t="shared" si="172"/>
        <v>746778.29886626999</v>
      </c>
      <c r="BD48" s="15">
        <f t="shared" si="173"/>
        <v>0.33710403955255169</v>
      </c>
      <c r="BE48" s="14">
        <f>+AY48-BA48</f>
        <v>209344.30481737311</v>
      </c>
      <c r="BF48" s="16">
        <f t="shared" si="191"/>
        <v>0.40465715276281267</v>
      </c>
      <c r="BG48" s="14">
        <f>AY48-BC48</f>
        <v>-20096.530993896886</v>
      </c>
      <c r="BH48" s="16">
        <f>IF(BC48=0, "N.D.",AY48/BC48-1)</f>
        <v>-2.691097347687621E-2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>
        <f>+S43-S48</f>
        <v>2622.9690000000119</v>
      </c>
      <c r="T49" s="45">
        <f t="shared" si="177"/>
        <v>8.6846345966835239E-3</v>
      </c>
      <c r="U49" s="20">
        <f>+U43-U48</f>
        <v>5614</v>
      </c>
      <c r="V49" s="45">
        <f t="shared" si="178"/>
        <v>5.808660769079102E-2</v>
      </c>
      <c r="W49" s="20">
        <f>+W43-W48</f>
        <v>-11348.383428500005</v>
      </c>
      <c r="X49" s="45">
        <f t="shared" si="179"/>
        <v>-4.0960451876795208E-2</v>
      </c>
      <c r="Y49" s="20">
        <f>+Y43-Y48</f>
        <v>15048.542974999998</v>
      </c>
      <c r="Z49" s="45">
        <f t="shared" si="180"/>
        <v>0.7286669851887243</v>
      </c>
      <c r="AA49" s="20">
        <f>+AA43-AA48</f>
        <v>97995.66100000008</v>
      </c>
      <c r="AB49" s="45">
        <f t="shared" si="181"/>
        <v>7.0623208768836182E-2</v>
      </c>
      <c r="AC49" s="20">
        <f>+AC43-AC48</f>
        <v>11412.927000000005</v>
      </c>
      <c r="AD49" s="45">
        <f t="shared" si="182"/>
        <v>0.3011320743963779</v>
      </c>
      <c r="AE49" s="20">
        <f>+AA49+U49+S49+AC49+W49+Y49</f>
        <v>121345.7165465001</v>
      </c>
      <c r="AF49" s="45">
        <f t="shared" si="183"/>
        <v>5.7188193601945519E-2</v>
      </c>
      <c r="AH49" s="4" t="s">
        <v>12</v>
      </c>
      <c r="AI49" s="20">
        <f>+AI43-AI48</f>
        <v>-6861.6952200000087</v>
      </c>
      <c r="AJ49" s="45">
        <f t="shared" si="184"/>
        <v>-2.6466813848585912E-2</v>
      </c>
      <c r="AK49" s="20">
        <f>+AK43-AK48</f>
        <v>33253.2016</v>
      </c>
      <c r="AL49" s="45">
        <f t="shared" si="185"/>
        <v>6.0607123128206764E-2</v>
      </c>
      <c r="AM49" s="20">
        <f>+AM43-AM48</f>
        <v>-15745.301467390032</v>
      </c>
      <c r="AN49" s="45">
        <f t="shared" si="186"/>
        <v>-5.9016310204946729E-2</v>
      </c>
      <c r="AO49" s="20">
        <f>+AO43-AO48</f>
        <v>12289.762494400002</v>
      </c>
      <c r="AP49" s="45">
        <f t="shared" si="187"/>
        <v>0.57883763662255028</v>
      </c>
      <c r="AQ49" s="20">
        <f>+AQ43-AQ48</f>
        <v>-80977.998089999892</v>
      </c>
      <c r="AR49" s="45">
        <f t="shared" si="188"/>
        <v>-7.3864094935111743E-2</v>
      </c>
      <c r="AS49" s="20">
        <f>+AS43-AS48</f>
        <v>4892.0491799999991</v>
      </c>
      <c r="AT49" s="45">
        <f t="shared" si="189"/>
        <v>0.21258316014161402</v>
      </c>
      <c r="AU49" s="20">
        <f>+AQ49+AK49+AI49+AS49+AM49+AO49</f>
        <v>-53149.981502989933</v>
      </c>
      <c r="AV49" s="45">
        <f t="shared" si="190"/>
        <v>-2.3992493480330532E-2</v>
      </c>
      <c r="AW49" s="25"/>
      <c r="AX49" s="4" t="s">
        <v>12</v>
      </c>
      <c r="AY49" s="20">
        <f>O53</f>
        <v>51492.142281400316</v>
      </c>
      <c r="AZ49" s="15">
        <f t="shared" si="176"/>
        <v>2.1553226513038069E-2</v>
      </c>
      <c r="BA49" s="20">
        <f t="shared" si="170"/>
        <v>121345.7165465001</v>
      </c>
      <c r="BB49" s="15">
        <f t="shared" si="171"/>
        <v>5.7188193601945519E-2</v>
      </c>
      <c r="BC49" s="20">
        <f t="shared" si="172"/>
        <v>-53149.981502989933</v>
      </c>
      <c r="BD49" s="15">
        <f t="shared" si="173"/>
        <v>-2.3992493480330532E-2</v>
      </c>
      <c r="BE49" s="14">
        <f>+AY49-BA49</f>
        <v>-69853.574265099785</v>
      </c>
      <c r="BF49" s="16">
        <f t="shared" si="191"/>
        <v>-0.57565752012623905</v>
      </c>
      <c r="BG49" s="14">
        <f>AY49-BC49</f>
        <v>104642.12378439025</v>
      </c>
      <c r="BH49" s="16">
        <f>IF(BC49=0, "N.D.",AY49/BC49-1)</f>
        <v>-1.9688082822475421</v>
      </c>
    </row>
    <row r="50" spans="2:60" x14ac:dyDescent="0.35">
      <c r="B50" s="4" t="s">
        <v>32</v>
      </c>
      <c r="C50" s="20">
        <f>+C43-C48</f>
        <v>-1152.4337400000513</v>
      </c>
      <c r="D50" s="22">
        <f>IF(C$41=0,"N.D.",C50/C$41)</f>
        <v>-4.2401448415592567E-3</v>
      </c>
      <c r="E50" s="20">
        <f>+E43-E48</f>
        <v>69799.434629999858</v>
      </c>
      <c r="F50" s="22">
        <f t="shared" ref="F50:F53" si="203">IF(E$41=0,"N.D.",E50/E$41)</f>
        <v>0.15445528008326356</v>
      </c>
      <c r="G50" s="20">
        <f>+G43-G48</f>
        <v>-3458.3225771161087</v>
      </c>
      <c r="H50" s="22">
        <f t="shared" ref="H50:H53" si="204">IF(G$41=0,"N.D.",G50/G$41)</f>
        <v>-9.3182235014407852E-3</v>
      </c>
      <c r="I50" s="20">
        <f>+I43-I48</f>
        <v>15930.788568517002</v>
      </c>
      <c r="J50" s="22">
        <f t="shared" ref="J50:J53" si="205">IF(I$41=0,"N.D.",I50/I$41)</f>
        <v>0.73797767084904164</v>
      </c>
      <c r="K50" s="20">
        <f>+K43-K48</f>
        <v>-10244.773769999912</v>
      </c>
      <c r="L50" s="22">
        <f t="shared" ref="L50:L53" si="206">IF(K$41=0,"N.D.",K50/K$41)</f>
        <v>-8.3280880097894409E-3</v>
      </c>
      <c r="M50" s="20">
        <f>+M43-M48</f>
        <v>14183.923950000004</v>
      </c>
      <c r="N50" s="22">
        <f t="shared" ref="N50:N53" si="207">IF(M$41=0,"N.D.",M50/M$41)</f>
        <v>0.33373142202839284</v>
      </c>
      <c r="O50" s="20">
        <f>+O43-O48</f>
        <v>85058.61706140032</v>
      </c>
      <c r="P50" s="22">
        <f t="shared" ref="P50:P53" si="208">IF(O$41=0,"N.D.",O50/O$41)</f>
        <v>3.5603250499685171E-2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301">
        <v>7137</v>
      </c>
      <c r="D51" s="33">
        <f t="shared" ref="D51:D53" si="209">IF(C$41=0,"N.D.",C51/C$41)</f>
        <v>2.6259135500672746E-2</v>
      </c>
      <c r="E51" s="8">
        <v>23301</v>
      </c>
      <c r="F51" s="33">
        <f t="shared" si="203"/>
        <v>5.1561484706830092E-2</v>
      </c>
      <c r="G51" s="8">
        <f>'mxn-dll'!N15</f>
        <v>1351.1008999999999</v>
      </c>
      <c r="H51" s="33">
        <f t="shared" si="204"/>
        <v>3.6404528144671992E-3</v>
      </c>
      <c r="I51" s="8">
        <f>'mxn-dll'!AC15</f>
        <v>0</v>
      </c>
      <c r="J51" s="33">
        <f t="shared" si="205"/>
        <v>0</v>
      </c>
      <c r="K51" s="8">
        <v>0</v>
      </c>
      <c r="L51" s="33">
        <f t="shared" si="206"/>
        <v>0</v>
      </c>
      <c r="M51" s="8">
        <v>693</v>
      </c>
      <c r="N51" s="33">
        <f t="shared" si="207"/>
        <v>1.630549319644908E-2</v>
      </c>
      <c r="O51" s="8">
        <f>+K51+E51+C51+M51+G51+I51</f>
        <v>32482.100900000001</v>
      </c>
      <c r="P51" s="33">
        <f t="shared" si="208"/>
        <v>1.3596134231337693E-2</v>
      </c>
      <c r="R51" s="7" t="s">
        <v>13</v>
      </c>
      <c r="S51" s="8">
        <f>('600'!L144+'600'!L166+'600'!L188+'600'!L210)/1000</f>
        <v>0</v>
      </c>
      <c r="T51" s="29">
        <f t="shared" ref="T51:T57" si="210">IF(S$41=0,"N.D.",S51/S$41)</f>
        <v>0</v>
      </c>
      <c r="U51" s="8">
        <f>('600'!L12+'600'!L34+'600'!L56+'600'!L78+'600'!L100+'600'!L122)/1000</f>
        <v>55.881</v>
      </c>
      <c r="V51" s="29">
        <f t="shared" ref="V51:V57" si="211">IF(U$41=0,"N.D.",U51/U$41)</f>
        <v>5.7818627081743733E-4</v>
      </c>
      <c r="W51" s="8">
        <f>('600'!L475+'600'!L498+'600'!L565+'600'!L610)*TC_MES/1000</f>
        <v>0</v>
      </c>
      <c r="X51" s="29">
        <f t="shared" ref="X51:X57" si="212">IF(W$41=0,"N.D.",W51/W$41)</f>
        <v>0</v>
      </c>
      <c r="Y51" s="8">
        <f>('600'!L520)*TC_MES/1000</f>
        <v>0</v>
      </c>
      <c r="Z51" s="29">
        <f t="shared" ref="Z51:Z57" si="213">IF(Y$41=0,"N.D.",Y51/Y$41)</f>
        <v>0</v>
      </c>
      <c r="AA51" s="8">
        <f>('600'!L298+'600'!L320+'600'!H342+'600'!L364+'600'!L386+'600'!L408)/1000</f>
        <v>-121.26900000000001</v>
      </c>
      <c r="AB51" s="29">
        <f t="shared" ref="AB51:AB57" si="214">IF(AA$41=0,"N.D.",AA51/AA$41)</f>
        <v>-8.7395766473660392E-5</v>
      </c>
      <c r="AC51" s="8">
        <f>('600'!L430+'600'!L452)/1000</f>
        <v>-846.88499999999999</v>
      </c>
      <c r="AD51" s="29">
        <f t="shared" ref="AD51:AD57" si="215">IF(AC$41=0,"N.D.",AC51/AC$41)</f>
        <v>-2.2345208799213066E-2</v>
      </c>
      <c r="AE51" s="8">
        <f>+AA51+U51+S51+AC51+W51+Y51</f>
        <v>-912.27300000000002</v>
      </c>
      <c r="AF51" s="29">
        <f>IF(AE$41=0,"N.D.",AE51/AE$41)</f>
        <v>-4.2993890865389913E-4</v>
      </c>
      <c r="AH51" s="7" t="s">
        <v>13</v>
      </c>
      <c r="AI51" s="8">
        <f>('600'!H144+'600'!H166+'600'!H188+'600'!H210)/1000</f>
        <v>0</v>
      </c>
      <c r="AJ51" s="29">
        <f t="shared" ref="AJ51:AJ57" si="216">IF(AI$41=0,"N.D.",AI51/AI$41)</f>
        <v>0</v>
      </c>
      <c r="AK51" s="8">
        <f>('600'!H12+'600'!H34+'600'!H56+'600'!H78+'600'!H100+'600'!H122)/1000</f>
        <v>-1588.2554899999998</v>
      </c>
      <c r="AL51" s="29">
        <f t="shared" ref="AL51:AL57" si="217">IF(AK$41=0,"N.D.",AK51/AK$41)</f>
        <v>-2.8947467133955715E-3</v>
      </c>
      <c r="AM51" s="8">
        <f>('600'!H475+'600'!H498+'600'!H565+'600'!H610)*TC_MES/1000</f>
        <v>0</v>
      </c>
      <c r="AN51" s="29">
        <f t="shared" ref="AN51:AN57" si="218">IF(AM$41=0,"N.D.",AM51/AM$41)</f>
        <v>0</v>
      </c>
      <c r="AO51" s="8">
        <f>('600'!H520)*TC_MES/1000</f>
        <v>0</v>
      </c>
      <c r="AP51" s="29">
        <f t="shared" ref="AP51:AP57" si="219">IF(AO$41=0,"N.D.",AO51/AO$41)</f>
        <v>0</v>
      </c>
      <c r="AQ51" s="8">
        <f>('600'!H298+'600'!H320+'600'!F342+'600'!H364+'600'!H386+'600'!H408)/1000</f>
        <v>-3210.9673700000003</v>
      </c>
      <c r="AR51" s="29">
        <f t="shared" ref="AR51:AR57" si="220">IF(AQ$41=0,"N.D.",AQ51/AQ$41)</f>
        <v>-2.9288844407789234E-3</v>
      </c>
      <c r="AS51" s="8">
        <f>('600'!H430+'600'!H452)/1000</f>
        <v>-885.69908999999996</v>
      </c>
      <c r="AT51" s="29">
        <f t="shared" ref="AT51:AT57" si="221">IF(AS$41=0,"N.D.",AS51/AS$41)</f>
        <v>-3.8487902422671846E-2</v>
      </c>
      <c r="AU51" s="8">
        <f>+AQ51+AK51+AI51+AS51+AM51+AO51</f>
        <v>-5684.9219499999999</v>
      </c>
      <c r="AV51" s="29">
        <f t="shared" ref="AV51:AV57" si="222">IF(AU$41=0,"N.D.",AU51/AU$41)</f>
        <v>-2.5662370703532617E-3</v>
      </c>
      <c r="AW51" s="25"/>
      <c r="AX51" s="7" t="s">
        <v>13</v>
      </c>
      <c r="AY51" s="8">
        <f t="shared" ref="AY51:AY57" si="223">O55</f>
        <v>557.67665</v>
      </c>
      <c r="AZ51" s="9">
        <f t="shared" si="176"/>
        <v>2.3342845385603518E-4</v>
      </c>
      <c r="BA51" s="8">
        <f t="shared" si="170"/>
        <v>-912.27300000000002</v>
      </c>
      <c r="BB51" s="9">
        <f t="shared" si="171"/>
        <v>-4.2993890865389913E-4</v>
      </c>
      <c r="BC51" s="8">
        <f t="shared" si="172"/>
        <v>-5684.9219499999999</v>
      </c>
      <c r="BD51" s="9">
        <f t="shared" si="173"/>
        <v>-2.5662370703532617E-3</v>
      </c>
      <c r="BE51" s="8">
        <f t="shared" ref="BE51:BE57" si="224">+AY51-BA51</f>
        <v>1469.94965</v>
      </c>
      <c r="BF51" s="10">
        <f t="shared" ref="BF51:BF57" si="225">IF(BA51=0,"N.D.",AY51/BA51-1)</f>
        <v>-1.6113045656289291</v>
      </c>
      <c r="BG51" s="8">
        <f t="shared" ref="BG51:BG57" si="226">AY51-BC51</f>
        <v>6242.5986000000003</v>
      </c>
      <c r="BH51" s="10">
        <f t="shared" ref="BH51:BH57" si="227">IF(BC51=0, "N.D.",AY51/BC51-1)</f>
        <v>-1.0980975033439113</v>
      </c>
    </row>
    <row r="52" spans="2:60" x14ac:dyDescent="0.35">
      <c r="B52" s="7" t="s">
        <v>34</v>
      </c>
      <c r="C52" s="302">
        <v>1084.3738800000001</v>
      </c>
      <c r="D52" s="35">
        <f t="shared" si="209"/>
        <v>3.989732471389975E-3</v>
      </c>
      <c r="E52" s="34">
        <v>0</v>
      </c>
      <c r="F52" s="35">
        <f t="shared" si="203"/>
        <v>0</v>
      </c>
      <c r="G52" s="34">
        <f>'mxn-dll'!N16</f>
        <v>0</v>
      </c>
      <c r="H52" s="35">
        <f t="shared" si="204"/>
        <v>0</v>
      </c>
      <c r="I52" s="34">
        <f>'mxn-dll'!AC16</f>
        <v>0</v>
      </c>
      <c r="J52" s="35">
        <f t="shared" si="205"/>
        <v>0</v>
      </c>
      <c r="K52" s="34">
        <v>0</v>
      </c>
      <c r="L52" s="35">
        <f t="shared" si="206"/>
        <v>0</v>
      </c>
      <c r="M52" s="34">
        <v>0</v>
      </c>
      <c r="N52" s="35">
        <f t="shared" si="207"/>
        <v>0</v>
      </c>
      <c r="O52" s="34">
        <f>+K52+E52+C52+M52+G52+I52</f>
        <v>1084.3738800000001</v>
      </c>
      <c r="P52" s="35">
        <f t="shared" si="208"/>
        <v>4.538897553094071E-4</v>
      </c>
      <c r="R52" s="7" t="s">
        <v>14</v>
      </c>
      <c r="S52" s="8">
        <f>('600'!L145+'600'!L167+'600'!L189+'600'!L211)/1000</f>
        <v>0</v>
      </c>
      <c r="T52" s="42">
        <f t="shared" si="210"/>
        <v>0</v>
      </c>
      <c r="U52" s="8">
        <f>('600'!L13+'600'!L35+'600'!L57+'600'!L79+'600'!L101+'600'!L123)/1000</f>
        <v>-1740</v>
      </c>
      <c r="V52" s="42">
        <f t="shared" si="211"/>
        <v>-1.8003330491980118E-2</v>
      </c>
      <c r="W52" s="8">
        <f>('600'!L476+'600'!L499+'600'!L566+'600'!L611)*TC_MES/1000</f>
        <v>-3690.2725620000001</v>
      </c>
      <c r="X52" s="42">
        <f t="shared" si="212"/>
        <v>-1.3319538649747404E-2</v>
      </c>
      <c r="Y52" s="8">
        <f>('600'!L521)*TC_MES/1000</f>
        <v>0</v>
      </c>
      <c r="Z52" s="42">
        <f t="shared" si="213"/>
        <v>0</v>
      </c>
      <c r="AA52" s="8">
        <f>('600'!L299+'600'!L321+'600'!H343+'600'!L365+'600'!L387+'600'!L409)/1000</f>
        <v>0</v>
      </c>
      <c r="AB52" s="42">
        <f t="shared" si="214"/>
        <v>0</v>
      </c>
      <c r="AC52" s="8">
        <f>('600'!L431+'600'!L453)/1000</f>
        <v>113.61</v>
      </c>
      <c r="AD52" s="42">
        <f t="shared" si="215"/>
        <v>2.9976197142216432E-3</v>
      </c>
      <c r="AE52" s="11">
        <f>+AA52+U52+S52+AC52+W52+Y52</f>
        <v>-5316.6625620000004</v>
      </c>
      <c r="AF52" s="42">
        <f>IF(AE$41=0,"N.D.",AE52/AE$41)</f>
        <v>-2.5056535703537465E-3</v>
      </c>
      <c r="AH52" s="7" t="s">
        <v>14</v>
      </c>
      <c r="AI52" s="8">
        <f>('600'!H145+'600'!H167+'600'!H189+'600'!H211)/1000</f>
        <v>0</v>
      </c>
      <c r="AJ52" s="42">
        <f t="shared" si="216"/>
        <v>0</v>
      </c>
      <c r="AK52" s="8">
        <f>('600'!H13+'600'!H35+'600'!H57+'600'!H79+'600'!H101+'600'!H123)/1000</f>
        <v>-1196.2835199999997</v>
      </c>
      <c r="AL52" s="42">
        <f t="shared" si="217"/>
        <v>-2.1803405117203686E-3</v>
      </c>
      <c r="AM52" s="8">
        <f>('600'!H476+'600'!H499+'600'!H566+'600'!H611)*TC_MES/1000</f>
        <v>-1241.2240721750002</v>
      </c>
      <c r="AN52" s="42">
        <f t="shared" si="218"/>
        <v>-4.6523380342408556E-3</v>
      </c>
      <c r="AO52" s="8">
        <f>('600'!H521)*TC_MES/1000</f>
        <v>26.128280655000001</v>
      </c>
      <c r="AP52" s="42">
        <f t="shared" si="219"/>
        <v>1.2306203826349265E-3</v>
      </c>
      <c r="AQ52" s="8">
        <f>('600'!H299+'600'!H321+'600'!F343+'600'!H365+'600'!H387+'600'!H409)/1000</f>
        <v>-155361.32954000004</v>
      </c>
      <c r="AR52" s="42">
        <f t="shared" si="220"/>
        <v>-0.14171286355626622</v>
      </c>
      <c r="AS52" s="8">
        <f>('600'!H431+'600'!H453)/1000</f>
        <v>0</v>
      </c>
      <c r="AT52" s="42">
        <f t="shared" si="221"/>
        <v>0</v>
      </c>
      <c r="AU52" s="11">
        <f>+AQ52+AK52+AI52+AS52+AM52+AO52</f>
        <v>-157772.70885152006</v>
      </c>
      <c r="AV52" s="42">
        <f t="shared" si="222"/>
        <v>-7.1220357589047115E-2</v>
      </c>
      <c r="AW52" s="25"/>
      <c r="AX52" s="7" t="s">
        <v>14</v>
      </c>
      <c r="AY52" s="11">
        <f t="shared" si="223"/>
        <v>-101324.49571306302</v>
      </c>
      <c r="AZ52" s="12">
        <f t="shared" si="176"/>
        <v>-4.2411710033121823E-2</v>
      </c>
      <c r="BA52" s="11">
        <f t="shared" si="170"/>
        <v>-5316.6625620000004</v>
      </c>
      <c r="BB52" s="12">
        <f t="shared" si="171"/>
        <v>-2.5056535703537465E-3</v>
      </c>
      <c r="BC52" s="11">
        <f t="shared" si="172"/>
        <v>-157772.70885152006</v>
      </c>
      <c r="BD52" s="12">
        <f t="shared" si="173"/>
        <v>-7.1220357589047115E-2</v>
      </c>
      <c r="BE52" s="11">
        <f t="shared" si="224"/>
        <v>-96007.833151063023</v>
      </c>
      <c r="BF52" s="13">
        <f t="shared" si="225"/>
        <v>18.057913593626147</v>
      </c>
      <c r="BG52" s="11">
        <f t="shared" si="226"/>
        <v>56448.213138457038</v>
      </c>
      <c r="BH52" s="13">
        <f t="shared" si="227"/>
        <v>-0.35778185941892182</v>
      </c>
    </row>
    <row r="53" spans="2:60" x14ac:dyDescent="0.35">
      <c r="B53" s="4" t="s">
        <v>12</v>
      </c>
      <c r="C53" s="14">
        <f>+C50-C51-C52</f>
        <v>-9373.8076200000505</v>
      </c>
      <c r="D53" s="22">
        <f t="shared" si="209"/>
        <v>-3.4489012813621975E-2</v>
      </c>
      <c r="E53" s="14">
        <f>+E50-E51-E52</f>
        <v>46498.434629999858</v>
      </c>
      <c r="F53" s="22">
        <f t="shared" si="203"/>
        <v>0.10289379537643348</v>
      </c>
      <c r="G53" s="14">
        <f>+G50-G51-G52</f>
        <v>-4809.4234771161082</v>
      </c>
      <c r="H53" s="22">
        <f t="shared" si="204"/>
        <v>-1.2958676315907983E-2</v>
      </c>
      <c r="I53" s="14">
        <f>+I50-I51-I52</f>
        <v>15930.788568517002</v>
      </c>
      <c r="J53" s="22">
        <f t="shared" si="205"/>
        <v>0.73797767084904164</v>
      </c>
      <c r="K53" s="14">
        <f>+K50-K51-K52</f>
        <v>-10244.773769999912</v>
      </c>
      <c r="L53" s="22">
        <f t="shared" si="206"/>
        <v>-8.3280880097894409E-3</v>
      </c>
      <c r="M53" s="14">
        <f>+M50-M51-M52</f>
        <v>13490.923950000004</v>
      </c>
      <c r="N53" s="22">
        <f t="shared" si="207"/>
        <v>0.31742592883194376</v>
      </c>
      <c r="O53" s="14">
        <f>+O50-O51-O52</f>
        <v>51492.142281400316</v>
      </c>
      <c r="P53" s="22">
        <f t="shared" si="208"/>
        <v>2.1553226513038069E-2</v>
      </c>
      <c r="R53" s="7" t="s">
        <v>15</v>
      </c>
      <c r="S53" s="8">
        <f>('600'!L146+'600'!L168+'600'!L190+'600'!L212)/1000</f>
        <v>369.79399999999998</v>
      </c>
      <c r="T53" s="42">
        <f t="shared" si="210"/>
        <v>1.224385711781562E-3</v>
      </c>
      <c r="U53" s="8">
        <f>('600'!L14+'600'!L36+'600'!L58+'600'!L80+'600'!L102+'600'!L124)/1000</f>
        <v>241.71299999999999</v>
      </c>
      <c r="V53" s="42">
        <f t="shared" si="211"/>
        <v>2.5009419673609136E-3</v>
      </c>
      <c r="W53" s="8">
        <f>('600'!L477+'600'!L500+'600'!L567+'600'!L612)*TC_MES/1000</f>
        <v>3383.3813525</v>
      </c>
      <c r="X53" s="42">
        <f t="shared" si="212"/>
        <v>1.2211856423698602E-2</v>
      </c>
      <c r="Y53" s="8">
        <f>('600'!L522)*TC_MES/1000</f>
        <v>4671.7087160000001</v>
      </c>
      <c r="Z53" s="42">
        <f t="shared" si="213"/>
        <v>0.22620926899187771</v>
      </c>
      <c r="AA53" s="8">
        <f>('600'!L300+'600'!L322+'600'!H344+'600'!L366+'600'!L388+'600'!L410)/1000</f>
        <v>6523.2640000000001</v>
      </c>
      <c r="AB53" s="42">
        <f t="shared" si="214"/>
        <v>4.7011656498366092E-3</v>
      </c>
      <c r="AC53" s="8">
        <f>('600'!L432+'600'!L454)/1000</f>
        <v>140.61000000000001</v>
      </c>
      <c r="AD53" s="42">
        <f t="shared" si="215"/>
        <v>3.7100194350559398E-3</v>
      </c>
      <c r="AE53" s="11">
        <f>+AA53+U53+S53+AC53+W53+Y53</f>
        <v>15330.471068499999</v>
      </c>
      <c r="AF53" s="42">
        <f t="shared" ref="AF53:AF57" si="228">IF(AE$41=0,"N.D.",AE53/AE$41)</f>
        <v>7.2249929575259426E-3</v>
      </c>
      <c r="AH53" s="7" t="s">
        <v>15</v>
      </c>
      <c r="AI53" s="8">
        <f>('600'!H146+'600'!H168+'600'!H190+'600'!H212)/1000</f>
        <v>420.25788</v>
      </c>
      <c r="AJ53" s="42">
        <f t="shared" si="216"/>
        <v>1.6210115316607346E-3</v>
      </c>
      <c r="AK53" s="8">
        <f>('600'!H14+'600'!H36+'600'!H58+'600'!H80+'600'!H102+'600'!H124)/1000</f>
        <v>5224.180800000001</v>
      </c>
      <c r="AL53" s="42">
        <f t="shared" si="217"/>
        <v>9.521566458419263E-3</v>
      </c>
      <c r="AM53" s="8">
        <f>('600'!H477+'600'!H500+'600'!H567+'600'!H612)*TC_MES/1000</f>
        <v>4053.0319436549998</v>
      </c>
      <c r="AN53" s="42">
        <f t="shared" si="218"/>
        <v>1.5191515446858636E-2</v>
      </c>
      <c r="AO53" s="8">
        <f>('600'!H522)*TC_MES/1000</f>
        <v>4734.9072681800008</v>
      </c>
      <c r="AP53" s="42">
        <f t="shared" si="219"/>
        <v>0.22301021146577113</v>
      </c>
      <c r="AQ53" s="8">
        <f>('600'!H300+'600'!H322+'600'!F344+'600'!H366+'600'!H388+'600'!H410)/1000</f>
        <v>6043.2223200000017</v>
      </c>
      <c r="AR53" s="42">
        <f t="shared" si="220"/>
        <v>5.512326282286672E-3</v>
      </c>
      <c r="AS53" s="8">
        <f>('600'!H432+'600'!H454)/1000</f>
        <v>340.04435000000001</v>
      </c>
      <c r="AT53" s="42">
        <f t="shared" si="221"/>
        <v>1.4776569051438085E-2</v>
      </c>
      <c r="AU53" s="11">
        <f>+AQ53+AK53+AI53+AS53+AM53+AO53</f>
        <v>20815.644561835004</v>
      </c>
      <c r="AV53" s="42">
        <f t="shared" si="222"/>
        <v>9.3964137393088166E-3</v>
      </c>
      <c r="AW53" s="25"/>
      <c r="AX53" s="7" t="s">
        <v>15</v>
      </c>
      <c r="AY53" s="11">
        <f t="shared" si="223"/>
        <v>20510.491669226998</v>
      </c>
      <c r="AZ53" s="12">
        <f t="shared" si="176"/>
        <v>8.5851404360837921E-3</v>
      </c>
      <c r="BA53" s="11">
        <f t="shared" si="170"/>
        <v>15330.471068499999</v>
      </c>
      <c r="BB53" s="12">
        <f t="shared" si="171"/>
        <v>7.2249929575259426E-3</v>
      </c>
      <c r="BC53" s="11">
        <f t="shared" si="172"/>
        <v>20815.644561835004</v>
      </c>
      <c r="BD53" s="12">
        <f t="shared" si="173"/>
        <v>9.3964137393088166E-3</v>
      </c>
      <c r="BE53" s="11">
        <f t="shared" si="224"/>
        <v>5180.020600726999</v>
      </c>
      <c r="BF53" s="13">
        <f t="shared" si="225"/>
        <v>0.3378905043153273</v>
      </c>
      <c r="BG53" s="11">
        <f t="shared" si="226"/>
        <v>-305.15289260800637</v>
      </c>
      <c r="BH53" s="13">
        <f t="shared" si="227"/>
        <v>-1.4659785898126665E-2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>
        <f>('600'!L147+'600'!L169+'600'!L191+'600'!L213)/1000</f>
        <v>199.148</v>
      </c>
      <c r="T54" s="42">
        <f t="shared" si="210"/>
        <v>6.5937783125165502E-4</v>
      </c>
      <c r="U54" s="8">
        <f>('600'!L15+'600'!L37+'600'!L59+'600'!L81+'600'!L103+'600'!L125)/1000</f>
        <v>60.744999999999997</v>
      </c>
      <c r="V54" s="42">
        <f t="shared" si="211"/>
        <v>6.2851282226168508E-4</v>
      </c>
      <c r="W54" s="8">
        <f>('600'!L478+'600'!L501+'600'!L568+'600'!L613)*TC_MES/1000</f>
        <v>0</v>
      </c>
      <c r="X54" s="42">
        <f t="shared" si="212"/>
        <v>0</v>
      </c>
      <c r="Y54" s="8">
        <f>('600'!L523)*TC_MES/1000</f>
        <v>0</v>
      </c>
      <c r="Z54" s="42">
        <f t="shared" si="213"/>
        <v>0</v>
      </c>
      <c r="AA54" s="8">
        <f>('600'!L301+'600'!L323+'600'!H345+'600'!L367+'600'!L389+'600'!L411)/1000</f>
        <v>2232.4769999999999</v>
      </c>
      <c r="AB54" s="42">
        <f t="shared" si="214"/>
        <v>1.608894594247647E-3</v>
      </c>
      <c r="AC54" s="8">
        <f>('600'!L433+'600'!L455)/1000</f>
        <v>2320.913</v>
      </c>
      <c r="AD54" s="42">
        <f t="shared" si="215"/>
        <v>6.1237695306692166E-2</v>
      </c>
      <c r="AE54" s="11">
        <f>+AA54+U54+S54+AC54+W54+Y54</f>
        <v>4813.2829999999994</v>
      </c>
      <c r="AF54" s="42">
        <f t="shared" si="228"/>
        <v>2.2684192561463127E-3</v>
      </c>
      <c r="AH54" s="7" t="s">
        <v>16</v>
      </c>
      <c r="AI54" s="8">
        <f>('600'!H147+'600'!H169+'600'!H191+'600'!H213)/1000</f>
        <v>2094.9524000000001</v>
      </c>
      <c r="AJ54" s="42">
        <f t="shared" si="216"/>
        <v>8.0806146899145177E-3</v>
      </c>
      <c r="AK54" s="8">
        <f>('600'!H15+'600'!H37+'600'!H59+'600'!H81+'600'!H103+'600'!H125)/1000</f>
        <v>69.873329999999996</v>
      </c>
      <c r="AL54" s="42">
        <f t="shared" si="217"/>
        <v>1.2735079062846759E-4</v>
      </c>
      <c r="AM54" s="8">
        <f>('600'!H478+'600'!H501+'600'!H568+'600'!H613)*TC_MES/1000</f>
        <v>0</v>
      </c>
      <c r="AN54" s="42">
        <f t="shared" si="218"/>
        <v>0</v>
      </c>
      <c r="AO54" s="8">
        <f>('600'!H523)*TC_MES/1000</f>
        <v>0</v>
      </c>
      <c r="AP54" s="42">
        <f t="shared" si="219"/>
        <v>0</v>
      </c>
      <c r="AQ54" s="8">
        <f>('600'!H301+'600'!H323+'600'!F345+'600'!H367+'600'!H389+'600'!H411)/1000</f>
        <v>0.14199999999999999</v>
      </c>
      <c r="AR54" s="42">
        <f t="shared" si="220"/>
        <v>1.295253245101046E-7</v>
      </c>
      <c r="AS54" s="8">
        <f>('600'!H433+'600'!H455)/1000</f>
        <v>2766.5217499999999</v>
      </c>
      <c r="AT54" s="42">
        <f t="shared" si="221"/>
        <v>0.12021872932510223</v>
      </c>
      <c r="AU54" s="11">
        <f>+AQ54+AK54+AI54+AS54+AM54+AO54</f>
        <v>4931.4894800000002</v>
      </c>
      <c r="AV54" s="42">
        <f t="shared" si="222"/>
        <v>2.2261292638561434E-3</v>
      </c>
      <c r="AW54" s="25"/>
      <c r="AX54" s="7" t="s">
        <v>16</v>
      </c>
      <c r="AY54" s="11">
        <f t="shared" si="223"/>
        <v>4353.1221800000003</v>
      </c>
      <c r="AZ54" s="12">
        <f t="shared" si="176"/>
        <v>1.8220999210273791E-3</v>
      </c>
      <c r="BA54" s="11">
        <f t="shared" si="170"/>
        <v>4813.2829999999994</v>
      </c>
      <c r="BB54" s="12">
        <f t="shared" si="171"/>
        <v>2.2684192561463127E-3</v>
      </c>
      <c r="BC54" s="11">
        <f t="shared" si="172"/>
        <v>4931.4894800000002</v>
      </c>
      <c r="BD54" s="12">
        <f t="shared" si="173"/>
        <v>2.2261292638561434E-3</v>
      </c>
      <c r="BE54" s="11">
        <f t="shared" si="224"/>
        <v>-460.16081999999915</v>
      </c>
      <c r="BF54" s="13">
        <f t="shared" si="225"/>
        <v>-9.5602278112464911E-2</v>
      </c>
      <c r="BG54" s="11">
        <f t="shared" si="226"/>
        <v>-578.36729999999989</v>
      </c>
      <c r="BH54" s="13">
        <f t="shared" si="227"/>
        <v>-0.11728044890810552</v>
      </c>
    </row>
    <row r="55" spans="2:60" x14ac:dyDescent="0.35">
      <c r="B55" s="7" t="s">
        <v>13</v>
      </c>
      <c r="C55" s="8">
        <f>TablasERxDiv!K42</f>
        <v>0</v>
      </c>
      <c r="D55" s="144">
        <f t="shared" ref="D55:D61" si="229">IF(C$41=0,"N.D.",C55/C$41)</f>
        <v>0</v>
      </c>
      <c r="E55" s="8">
        <f>TablasERxDiv!AA42</f>
        <v>800.82302000000004</v>
      </c>
      <c r="F55" s="144">
        <f t="shared" ref="F55:F61" si="230">IF(E$41=0,"N.D.",E55/E$41)</f>
        <v>1.7720966438611E-3</v>
      </c>
      <c r="G55" s="8">
        <f>'mxn-dll'!N19</f>
        <v>0</v>
      </c>
      <c r="H55" s="144">
        <f t="shared" ref="H55:H61" si="231">IF(G$41=0,"N.D.",G55/G$41)</f>
        <v>0</v>
      </c>
      <c r="I55" s="8">
        <f>'mxn-dll'!AC19</f>
        <v>0</v>
      </c>
      <c r="J55" s="144">
        <f t="shared" ref="J55:J61" si="232">IF(I$41=0,"N.D.",I55/I$41)</f>
        <v>0</v>
      </c>
      <c r="K55" s="8">
        <f>TablasERxDiv!AT42</f>
        <v>115.28139999999999</v>
      </c>
      <c r="L55" s="144">
        <f t="shared" ref="L55:L61" si="233">IF(K$41=0,"N.D.",K55/K$41)</f>
        <v>9.3713503747945473E-5</v>
      </c>
      <c r="M55" s="8">
        <f>TablasERxDiv!BC42</f>
        <v>-358.42777000000001</v>
      </c>
      <c r="N55" s="144">
        <f t="shared" ref="N55:N61" si="234">IF(M$41=0,"N.D.",M55/M$41)</f>
        <v>-8.4333933119096916E-3</v>
      </c>
      <c r="O55" s="8">
        <f>K55+E55+C55+M55+G55+I55</f>
        <v>557.67665</v>
      </c>
      <c r="P55" s="144">
        <f t="shared" ref="P55:P61" si="235">IF(O$41=0,"N.D.",O55/O$41)</f>
        <v>2.3342845385603518E-4</v>
      </c>
      <c r="R55" s="7"/>
      <c r="S55" s="8">
        <f>('600'!L148+'600'!L170+'600'!L192+'600'!L214)/1000</f>
        <v>0</v>
      </c>
      <c r="T55" s="42">
        <f t="shared" si="210"/>
        <v>0</v>
      </c>
      <c r="U55" s="8">
        <f>('600'!L16+'600'!L38+'600'!L60+'600'!L82+'600'!L104+'600'!L126)/1000</f>
        <v>0</v>
      </c>
      <c r="V55" s="42">
        <f t="shared" si="211"/>
        <v>0</v>
      </c>
      <c r="W55" s="8">
        <f>('600'!L479+'600'!L502+'600'!L569+'600'!L614)*TC_MES/1000</f>
        <v>0</v>
      </c>
      <c r="X55" s="42">
        <f t="shared" si="212"/>
        <v>0</v>
      </c>
      <c r="Y55" s="8">
        <f>('600'!L524)*TC_MES/1000</f>
        <v>0</v>
      </c>
      <c r="Z55" s="42">
        <f t="shared" si="213"/>
        <v>0</v>
      </c>
      <c r="AA55" s="8">
        <f>('600'!L302+'600'!L324+'600'!H346+'600'!L368+'600'!L390+'600'!L412)/1000</f>
        <v>0</v>
      </c>
      <c r="AB55" s="42">
        <f t="shared" si="214"/>
        <v>0</v>
      </c>
      <c r="AC55" s="8">
        <f>('600'!L434+'600'!L456)/1000</f>
        <v>0</v>
      </c>
      <c r="AD55" s="42">
        <f t="shared" si="215"/>
        <v>0</v>
      </c>
      <c r="AE55" s="11">
        <f>+AA55+U55+S55+AC55+W55+Y55</f>
        <v>0</v>
      </c>
      <c r="AF55" s="42">
        <f t="shared" si="228"/>
        <v>0</v>
      </c>
      <c r="AH55" s="7"/>
      <c r="AI55" s="8">
        <f>('600'!H148+'600'!H170+'600'!H192+'600'!H214)/1000</f>
        <v>0</v>
      </c>
      <c r="AJ55" s="42">
        <f t="shared" si="216"/>
        <v>0</v>
      </c>
      <c r="AK55" s="8">
        <f>('600'!H16+'600'!H38+'600'!H60+'600'!H82+'600'!H104+'600'!H126)/1000</f>
        <v>0</v>
      </c>
      <c r="AL55" s="42">
        <f t="shared" si="217"/>
        <v>0</v>
      </c>
      <c r="AM55" s="8">
        <f>('600'!H479+'600'!H502+'600'!H569+'600'!H614)*TC_MES/1000</f>
        <v>0</v>
      </c>
      <c r="AN55" s="42">
        <f t="shared" si="218"/>
        <v>0</v>
      </c>
      <c r="AO55" s="8">
        <f>('600'!H524)*TC_MES/1000</f>
        <v>0</v>
      </c>
      <c r="AP55" s="42">
        <f t="shared" si="219"/>
        <v>0</v>
      </c>
      <c r="AQ55" s="8">
        <f>('600'!H302+'600'!H324+'600'!F346+'600'!H368+'600'!H390+'600'!H412)/1000</f>
        <v>0</v>
      </c>
      <c r="AR55" s="42">
        <f t="shared" si="220"/>
        <v>0</v>
      </c>
      <c r="AS55" s="8">
        <f>('600'!H434+'600'!H456)/1000</f>
        <v>0</v>
      </c>
      <c r="AT55" s="42">
        <f t="shared" si="221"/>
        <v>0</v>
      </c>
      <c r="AU55" s="11">
        <f>+AQ55+AK55+AI55+AS55+AM55+AO55</f>
        <v>0</v>
      </c>
      <c r="AV55" s="42">
        <f t="shared" si="222"/>
        <v>0</v>
      </c>
      <c r="AW55" s="25"/>
      <c r="AX55" s="7"/>
      <c r="AY55" s="11">
        <f t="shared" si="223"/>
        <v>0</v>
      </c>
      <c r="AZ55" s="12">
        <f t="shared" si="176"/>
        <v>0</v>
      </c>
      <c r="BA55" s="11">
        <f t="shared" si="170"/>
        <v>0</v>
      </c>
      <c r="BB55" s="12">
        <f t="shared" si="171"/>
        <v>0</v>
      </c>
      <c r="BC55" s="11">
        <f t="shared" si="172"/>
        <v>0</v>
      </c>
      <c r="BD55" s="12">
        <f t="shared" si="173"/>
        <v>0</v>
      </c>
      <c r="BE55" s="11">
        <f t="shared" si="224"/>
        <v>0</v>
      </c>
      <c r="BF55" s="13" t="str">
        <f t="shared" si="225"/>
        <v>N.D.</v>
      </c>
      <c r="BG55" s="11">
        <f t="shared" si="226"/>
        <v>0</v>
      </c>
      <c r="BH55" s="13" t="str">
        <f t="shared" si="227"/>
        <v>N.D.</v>
      </c>
    </row>
    <row r="56" spans="2:60" x14ac:dyDescent="0.35">
      <c r="B56" s="7" t="s">
        <v>14</v>
      </c>
      <c r="C56" s="11">
        <f>TablasERxDiv!K43</f>
        <v>-91.637929999999997</v>
      </c>
      <c r="D56" s="141">
        <f t="shared" si="229"/>
        <v>-3.3716306863824632E-4</v>
      </c>
      <c r="E56" s="11">
        <f>TablasERxDiv!AA43</f>
        <v>-1325.9339899999998</v>
      </c>
      <c r="F56" s="141">
        <f t="shared" si="230"/>
        <v>-2.9340854533132137E-3</v>
      </c>
      <c r="G56" s="11">
        <f>'mxn-dll'!N20</f>
        <v>-6627.4298801020013</v>
      </c>
      <c r="H56" s="141">
        <f t="shared" si="231"/>
        <v>-1.7857175403925306E-2</v>
      </c>
      <c r="I56" s="11">
        <f>'mxn-dll'!AC20</f>
        <v>92.055257039000011</v>
      </c>
      <c r="J56" s="141">
        <f t="shared" si="232"/>
        <v>4.2643666938939938E-3</v>
      </c>
      <c r="K56" s="11">
        <f>TablasERxDiv!AT43</f>
        <v>-93554.825030000007</v>
      </c>
      <c r="L56" s="141">
        <f t="shared" si="233"/>
        <v>-7.6051734677816979E-2</v>
      </c>
      <c r="M56" s="11">
        <f>TablasERxDiv!BC43</f>
        <v>0</v>
      </c>
      <c r="N56" s="141">
        <f t="shared" si="234"/>
        <v>0</v>
      </c>
      <c r="O56" s="11">
        <f>K56+E56-C56+M56+G56+I56</f>
        <v>-101324.49571306302</v>
      </c>
      <c r="P56" s="141">
        <f t="shared" si="235"/>
        <v>-4.2411710033121823E-2</v>
      </c>
      <c r="R56" s="4" t="s">
        <v>17</v>
      </c>
      <c r="S56" s="14">
        <f>S51+S52+S53-S54</f>
        <v>170.64599999999999</v>
      </c>
      <c r="T56" s="43">
        <f t="shared" si="210"/>
        <v>5.6500788052990698E-4</v>
      </c>
      <c r="U56" s="14">
        <f>U51+U52+U53-U54</f>
        <v>-1503.1509999999998</v>
      </c>
      <c r="V56" s="43">
        <f t="shared" si="211"/>
        <v>-1.5552715076063449E-2</v>
      </c>
      <c r="W56" s="14">
        <f>+W52+W53+W54</f>
        <v>-306.89120950000006</v>
      </c>
      <c r="X56" s="43">
        <f t="shared" si="212"/>
        <v>-1.1076822260488027E-3</v>
      </c>
      <c r="Y56" s="14">
        <f>+Y52+Y53+Y54</f>
        <v>4671.7087160000001</v>
      </c>
      <c r="Z56" s="43">
        <f t="shared" si="213"/>
        <v>0.22620926899187771</v>
      </c>
      <c r="AA56" s="14">
        <f>+AA51+AA52+AA53-AA54</f>
        <v>4169.518</v>
      </c>
      <c r="AB56" s="43">
        <f t="shared" si="214"/>
        <v>3.0048752891153017E-3</v>
      </c>
      <c r="AC56" s="14">
        <f>AC51+AC52+AC53-AC54</f>
        <v>-2913.578</v>
      </c>
      <c r="AD56" s="43">
        <f t="shared" si="215"/>
        <v>-7.6875264956627651E-2</v>
      </c>
      <c r="AE56" s="14">
        <f>AE51+AE52+AE53-AE54</f>
        <v>4288.2525064999991</v>
      </c>
      <c r="AF56" s="43">
        <f t="shared" si="228"/>
        <v>2.0209812223719844E-3</v>
      </c>
      <c r="AH56" s="4" t="s">
        <v>17</v>
      </c>
      <c r="AI56" s="14">
        <f>AI51+AI52+AI53-AI54</f>
        <v>-1674.69452</v>
      </c>
      <c r="AJ56" s="43">
        <f t="shared" si="216"/>
        <v>-6.459603158253782E-3</v>
      </c>
      <c r="AK56" s="14">
        <f>AK51+AK52+AK53-AK54</f>
        <v>2369.7684600000016</v>
      </c>
      <c r="AL56" s="43">
        <f t="shared" si="217"/>
        <v>4.3191284426748553E-3</v>
      </c>
      <c r="AM56" s="14">
        <f>+AM52+AM53+AM54</f>
        <v>2811.8078714799994</v>
      </c>
      <c r="AN56" s="43">
        <f t="shared" si="218"/>
        <v>1.053917741261778E-2</v>
      </c>
      <c r="AO56" s="14">
        <f>+AO52+AO53+AO54</f>
        <v>4761.0355488350006</v>
      </c>
      <c r="AP56" s="43">
        <f t="shared" si="219"/>
        <v>0.22424083184840607</v>
      </c>
      <c r="AQ56" s="14">
        <f>AQ51+AQ52+AQ53-AQ54</f>
        <v>-152529.21659000003</v>
      </c>
      <c r="AR56" s="43">
        <f t="shared" si="220"/>
        <v>-0.139129551240083</v>
      </c>
      <c r="AS56" s="14">
        <f>AS51+AS52+AS53-AS54</f>
        <v>-3312.1764899999998</v>
      </c>
      <c r="AT56" s="43">
        <f t="shared" si="221"/>
        <v>-0.14393006269633599</v>
      </c>
      <c r="AU56" s="14">
        <f>AU51+AU52+AU53-AU54</f>
        <v>-147573.47571968503</v>
      </c>
      <c r="AV56" s="43">
        <f t="shared" si="222"/>
        <v>-6.6616310183947688E-2</v>
      </c>
      <c r="AW56" s="25"/>
      <c r="AX56" s="4" t="s">
        <v>17</v>
      </c>
      <c r="AY56" s="14">
        <f t="shared" si="223"/>
        <v>-84609.449573836027</v>
      </c>
      <c r="AZ56" s="22">
        <f t="shared" si="176"/>
        <v>-3.5415241064209374E-2</v>
      </c>
      <c r="BA56" s="14">
        <f t="shared" si="170"/>
        <v>4288.2525064999991</v>
      </c>
      <c r="BB56" s="22">
        <f t="shared" si="171"/>
        <v>2.0209812223719844E-3</v>
      </c>
      <c r="BC56" s="14">
        <f t="shared" si="172"/>
        <v>-147573.47571968503</v>
      </c>
      <c r="BD56" s="22">
        <f t="shared" si="173"/>
        <v>-6.6616310183947688E-2</v>
      </c>
      <c r="BE56" s="14">
        <f t="shared" si="224"/>
        <v>-88897.702080336021</v>
      </c>
      <c r="BF56" s="16">
        <f t="shared" si="225"/>
        <v>-20.730519470480729</v>
      </c>
      <c r="BG56" s="14">
        <f t="shared" si="226"/>
        <v>62964.026145848999</v>
      </c>
      <c r="BH56" s="16">
        <f t="shared" si="227"/>
        <v>-0.42666221581342167</v>
      </c>
    </row>
    <row r="57" spans="2:60" x14ac:dyDescent="0.35">
      <c r="B57" s="7" t="s">
        <v>15</v>
      </c>
      <c r="C57" s="11">
        <f>TablasERxDiv!K44</f>
        <v>306.80957999999998</v>
      </c>
      <c r="D57" s="141">
        <f t="shared" si="229"/>
        <v>1.1288432582491935E-3</v>
      </c>
      <c r="E57" s="11">
        <f>TablasERxDiv!AA44</f>
        <v>4074.0933599999998</v>
      </c>
      <c r="F57" s="141">
        <f t="shared" si="230"/>
        <v>9.0153342120869503E-3</v>
      </c>
      <c r="G57" s="11">
        <f>'mxn-dll'!N21</f>
        <v>5369.7938554519997</v>
      </c>
      <c r="H57" s="141">
        <f t="shared" si="231"/>
        <v>1.4468557569748422E-2</v>
      </c>
      <c r="I57" s="11">
        <f>'mxn-dll'!AC21</f>
        <v>5439.8448587749999</v>
      </c>
      <c r="J57" s="141">
        <f t="shared" si="232"/>
        <v>0.25199531218388499</v>
      </c>
      <c r="K57" s="11">
        <f>TablasERxDiv!AT44</f>
        <v>5776.8616949999996</v>
      </c>
      <c r="L57" s="141">
        <f t="shared" si="233"/>
        <v>4.6960736953727588E-3</v>
      </c>
      <c r="M57" s="11">
        <f>TablasERxDiv!BC44</f>
        <v>156.70748</v>
      </c>
      <c r="N57" s="141">
        <f t="shared" si="234"/>
        <v>3.6871468239144021E-3</v>
      </c>
      <c r="O57" s="11">
        <f>K57+E57-C57+M57+G57+I57</f>
        <v>20510.491669226998</v>
      </c>
      <c r="P57" s="141">
        <f t="shared" si="235"/>
        <v>8.5851404360837921E-3</v>
      </c>
      <c r="R57" s="4" t="s">
        <v>18</v>
      </c>
      <c r="S57" s="14">
        <f>+S49-S56</f>
        <v>2452.3230000000117</v>
      </c>
      <c r="T57" s="43">
        <f t="shared" si="210"/>
        <v>8.1196267161536152E-3</v>
      </c>
      <c r="U57" s="14">
        <f>+U49-U56</f>
        <v>7117.1509999999998</v>
      </c>
      <c r="V57" s="43">
        <f t="shared" si="211"/>
        <v>7.3639322766854462E-2</v>
      </c>
      <c r="W57" s="14">
        <f>+W49-W56</f>
        <v>-11041.492219000005</v>
      </c>
      <c r="X57" s="43">
        <f t="shared" si="212"/>
        <v>-3.9852769650746411E-2</v>
      </c>
      <c r="Y57" s="14">
        <f>+Y49-Y56</f>
        <v>10376.834258999999</v>
      </c>
      <c r="Z57" s="43">
        <f t="shared" si="213"/>
        <v>0.50245771619684665</v>
      </c>
      <c r="AA57" s="14">
        <f>+AA49-AA56</f>
        <v>93826.143000000084</v>
      </c>
      <c r="AB57" s="43">
        <f t="shared" si="214"/>
        <v>6.7618333479720891E-2</v>
      </c>
      <c r="AC57" s="14">
        <f>+AC49-AC56</f>
        <v>14326.505000000005</v>
      </c>
      <c r="AD57" s="43">
        <f t="shared" si="215"/>
        <v>0.37800733935300551</v>
      </c>
      <c r="AE57" s="14">
        <f>+AE49-AE56</f>
        <v>117057.46404000011</v>
      </c>
      <c r="AF57" s="43">
        <f t="shared" si="228"/>
        <v>5.5167212379573539E-2</v>
      </c>
      <c r="AH57" s="4" t="s">
        <v>18</v>
      </c>
      <c r="AI57" s="14">
        <f>+AI49-AI56</f>
        <v>-5187.0007000000087</v>
      </c>
      <c r="AJ57" s="43">
        <f t="shared" si="216"/>
        <v>-2.0007210690332129E-2</v>
      </c>
      <c r="AK57" s="14">
        <f>+AK49-AK56</f>
        <v>30883.433139999997</v>
      </c>
      <c r="AL57" s="43">
        <f t="shared" si="217"/>
        <v>5.6287994685531903E-2</v>
      </c>
      <c r="AM57" s="14">
        <f>+AM49-AM56</f>
        <v>-18557.109338870032</v>
      </c>
      <c r="AN57" s="43">
        <f t="shared" si="218"/>
        <v>-6.9555487617564513E-2</v>
      </c>
      <c r="AO57" s="14">
        <f>+AO49-AO56</f>
        <v>7528.7269455650012</v>
      </c>
      <c r="AP57" s="43">
        <f t="shared" si="219"/>
        <v>0.35459680477414418</v>
      </c>
      <c r="AQ57" s="14">
        <f>+AQ49-AQ56</f>
        <v>71551.218500000134</v>
      </c>
      <c r="AR57" s="43">
        <f t="shared" si="220"/>
        <v>6.5265456304971242E-2</v>
      </c>
      <c r="AS57" s="14">
        <f>+AS49-AS56</f>
        <v>8204.2256699999998</v>
      </c>
      <c r="AT57" s="43">
        <f t="shared" si="221"/>
        <v>0.35651322283795006</v>
      </c>
      <c r="AU57" s="14">
        <f>+AU49-AU56</f>
        <v>94423.494216695093</v>
      </c>
      <c r="AV57" s="43">
        <f t="shared" si="222"/>
        <v>4.2623816703617153E-2</v>
      </c>
      <c r="AX57" s="4" t="s">
        <v>18</v>
      </c>
      <c r="AY57" s="20">
        <f t="shared" si="223"/>
        <v>136101.59185523633</v>
      </c>
      <c r="AZ57" s="15">
        <f t="shared" si="176"/>
        <v>5.6968467577247439E-2</v>
      </c>
      <c r="BA57" s="20">
        <f t="shared" si="170"/>
        <v>117057.46404000011</v>
      </c>
      <c r="BB57" s="15">
        <f t="shared" si="171"/>
        <v>5.5167212379573539E-2</v>
      </c>
      <c r="BC57" s="20">
        <f t="shared" si="172"/>
        <v>94423.494216695093</v>
      </c>
      <c r="BD57" s="15">
        <f t="shared" si="173"/>
        <v>4.2623816703617153E-2</v>
      </c>
      <c r="BE57" s="14">
        <f t="shared" si="224"/>
        <v>19044.127815236221</v>
      </c>
      <c r="BF57" s="16">
        <f t="shared" si="225"/>
        <v>0.16269041851725574</v>
      </c>
      <c r="BG57" s="14">
        <f t="shared" si="226"/>
        <v>41678.097638541236</v>
      </c>
      <c r="BH57" s="16">
        <f t="shared" si="227"/>
        <v>0.44139541736183818</v>
      </c>
    </row>
    <row r="58" spans="2:60" x14ac:dyDescent="0.35">
      <c r="B58" s="7" t="s">
        <v>16</v>
      </c>
      <c r="C58" s="11">
        <f>TablasERxDiv!K45</f>
        <v>0.11627000000000001</v>
      </c>
      <c r="D58" s="141">
        <f t="shared" si="229"/>
        <v>4.277917450838196E-7</v>
      </c>
      <c r="E58" s="11">
        <f>TablasERxDiv!AA45</f>
        <v>593.92914000000007</v>
      </c>
      <c r="F58" s="141">
        <f t="shared" si="230"/>
        <v>1.3142727037058818E-3</v>
      </c>
      <c r="G58" s="11">
        <f>'mxn-dll'!N22</f>
        <v>0</v>
      </c>
      <c r="H58" s="141">
        <f t="shared" si="231"/>
        <v>0</v>
      </c>
      <c r="I58" s="11">
        <f>'mxn-dll'!AC22</f>
        <v>0</v>
      </c>
      <c r="J58" s="141">
        <f t="shared" si="232"/>
        <v>0</v>
      </c>
      <c r="K58" s="11">
        <f>TablasERxDiv!AT45</f>
        <v>0.33016999999999996</v>
      </c>
      <c r="L58" s="141">
        <f t="shared" si="233"/>
        <v>2.6839878360654153E-7</v>
      </c>
      <c r="M58" s="11">
        <f>TablasERxDiv!BC45</f>
        <v>3758.7465999999999</v>
      </c>
      <c r="N58" s="141">
        <f t="shared" si="234"/>
        <v>8.8438985733731768E-2</v>
      </c>
      <c r="O58" s="11">
        <f>K58+E58+C58+M58+G58+I58</f>
        <v>4353.1221800000003</v>
      </c>
      <c r="P58" s="141">
        <f t="shared" si="235"/>
        <v>1.8220999210273791E-3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>
        <f>TablasERxDiv!K46</f>
        <v>0</v>
      </c>
      <c r="D59" s="141">
        <f t="shared" si="229"/>
        <v>0</v>
      </c>
      <c r="E59" s="11">
        <f>TablasERxDiv!AA46</f>
        <v>0</v>
      </c>
      <c r="F59" s="141">
        <f t="shared" si="230"/>
        <v>0</v>
      </c>
      <c r="G59" s="11">
        <f>'mxn-dll'!N23</f>
        <v>0</v>
      </c>
      <c r="H59" s="141">
        <f t="shared" si="231"/>
        <v>0</v>
      </c>
      <c r="I59" s="11">
        <f>'mxn-dll'!AC23</f>
        <v>0</v>
      </c>
      <c r="J59" s="141">
        <f t="shared" si="232"/>
        <v>0</v>
      </c>
      <c r="K59" s="11">
        <f>TablasERxDiv!AT46</f>
        <v>0</v>
      </c>
      <c r="L59" s="141">
        <f t="shared" si="233"/>
        <v>0</v>
      </c>
      <c r="M59" s="11">
        <f>TablasERxDiv!BC46</f>
        <v>0</v>
      </c>
      <c r="N59" s="141">
        <f t="shared" si="234"/>
        <v>0</v>
      </c>
      <c r="O59" s="11">
        <f>K59+E59+C59+M59+G59+I59</f>
        <v>0</v>
      </c>
      <c r="P59" s="141">
        <f t="shared" si="235"/>
        <v>0</v>
      </c>
      <c r="R59" s="7" t="s">
        <v>35</v>
      </c>
      <c r="S59" s="8">
        <f>('600'!L151+'600'!L173+'600'!L195+'600'!L217)/1000</f>
        <v>591.32899999999995</v>
      </c>
      <c r="T59" s="29">
        <f t="shared" ref="T59:T62" si="236">IF(S$41=0,"N.D.",S59/S$41)</f>
        <v>1.9578867655020886E-3</v>
      </c>
      <c r="U59" s="8">
        <f>('600'!L19+'600'!L41+'600'!L63+'600'!L85+'600'!L107+'600'!L129)/1000</f>
        <v>2498.6280000000002</v>
      </c>
      <c r="V59" s="29">
        <f t="shared" ref="V59:V62" si="237">IF(U$41=0,"N.D.",U59/U$41)</f>
        <v>2.5852658425583503E-2</v>
      </c>
      <c r="W59" s="8">
        <f>('600'!L482+'600'!L505+'600'!L572+'600'!L617)*TC_MES/1000</f>
        <v>0</v>
      </c>
      <c r="X59" s="29">
        <f t="shared" ref="X59:X62" si="238">IF(W$41=0,"N.D.",W59/W$41)</f>
        <v>0</v>
      </c>
      <c r="Y59" s="8">
        <f>('600'!L527)*TC_MES/1000</f>
        <v>0</v>
      </c>
      <c r="Z59" s="29">
        <f t="shared" ref="Z59:Z62" si="239">IF(Y$41=0,"N.D.",Y59/Y$41)</f>
        <v>0</v>
      </c>
      <c r="AA59" s="8">
        <f>('600'!L305+'600'!L327+'600'!H349+'600'!L371+'600'!L393+'600'!L415)/1000</f>
        <v>12008.65</v>
      </c>
      <c r="AB59" s="29">
        <f t="shared" ref="AB59:AB62" si="240">IF(AA$41=0,"N.D.",AA59/AA$41)</f>
        <v>8.6543566044407199E-3</v>
      </c>
      <c r="AC59" s="8">
        <f>('600'!L437+'600'!L459)/1000</f>
        <v>668.63400000000001</v>
      </c>
      <c r="AD59" s="29">
        <f t="shared" ref="AD59:AD62" si="241">IF(AC$41=0,"N.D.",AC59/AC$41)</f>
        <v>1.7642024997789579E-2</v>
      </c>
      <c r="AE59" s="8">
        <f>+AA59+U59+S59+AC59+W59+Y59</f>
        <v>15767.241</v>
      </c>
      <c r="AF59" s="29">
        <f t="shared" ref="AF59:AF62" si="242">IF(AE$41=0,"N.D.",AE59/AE$41)</f>
        <v>7.4308352741153287E-3</v>
      </c>
      <c r="AH59" s="7" t="s">
        <v>35</v>
      </c>
      <c r="AI59" s="8">
        <f>('600'!H151+'600'!H173+'600'!H195+'600'!H217)/1000</f>
        <v>325.30511000000001</v>
      </c>
      <c r="AJ59" s="29">
        <f t="shared" ref="AJ59:AJ62" si="243">IF(AI$41=0,"N.D.",AI59/AI$41)</f>
        <v>1.2547613256369253E-3</v>
      </c>
      <c r="AK59" s="8">
        <f>('600'!H19+'600'!H41+'600'!H63+'600'!H85+'600'!H107+'600'!H129)/1000</f>
        <v>10201.48408</v>
      </c>
      <c r="AL59" s="29">
        <f t="shared" ref="AL59:AL62" si="244">IF(AK$41=0,"N.D.",AK59/AK$41)</f>
        <v>1.8593175152404006E-2</v>
      </c>
      <c r="AM59" s="8">
        <f>('600'!H482+'600'!H505+'600'!H572+'600'!H617)*TC_MES/1000</f>
        <v>0</v>
      </c>
      <c r="AN59" s="29">
        <f t="shared" ref="AN59:AN62" si="245">IF(AM$41=0,"N.D.",AM59/AM$41)</f>
        <v>0</v>
      </c>
      <c r="AO59" s="8">
        <f>('600'!H527)*TC_MES/1000</f>
        <v>0</v>
      </c>
      <c r="AP59" s="29">
        <f t="shared" ref="AP59:AP62" si="246">IF(AO$41=0,"N.D.",AO59/AO$41)</f>
        <v>0</v>
      </c>
      <c r="AQ59" s="8">
        <f>('600'!H305+'600'!H327+'600'!F349+'600'!H371+'600'!H393+'600'!H415)/1000</f>
        <v>18980.493009999998</v>
      </c>
      <c r="AR59" s="29">
        <f t="shared" ref="AR59:AR62" si="247">IF(AQ$41=0,"N.D.",AQ59/AQ$41)</f>
        <v>1.7313059975225507E-2</v>
      </c>
      <c r="AS59" s="8">
        <f>('600'!H437+'600'!H459)/1000</f>
        <v>0</v>
      </c>
      <c r="AT59" s="29">
        <f t="shared" ref="AT59:AT62" si="248">IF(AS$41=0,"N.D.",AS59/AS$41)</f>
        <v>0</v>
      </c>
      <c r="AU59" s="8">
        <f>+AQ59+AK59+AI59+AS59+AM59+AO59</f>
        <v>29507.282200000001</v>
      </c>
      <c r="AV59" s="29">
        <f t="shared" ref="AV59:AV62" si="249">IF(AU$41=0,"N.D.",AU59/AU$41)</f>
        <v>1.3319915751352569E-2</v>
      </c>
      <c r="AX59" s="7" t="s">
        <v>19</v>
      </c>
      <c r="AY59" s="8">
        <f>O63</f>
        <v>34056.875144023994</v>
      </c>
      <c r="AZ59" s="9">
        <f t="shared" si="176"/>
        <v>1.4255292395759366E-2</v>
      </c>
      <c r="BA59" s="8">
        <f t="shared" si="170"/>
        <v>15767.241</v>
      </c>
      <c r="BB59" s="9">
        <f t="shared" si="171"/>
        <v>7.4308352741153287E-3</v>
      </c>
      <c r="BC59" s="8">
        <f t="shared" si="172"/>
        <v>29507.282200000001</v>
      </c>
      <c r="BD59" s="9">
        <f t="shared" si="173"/>
        <v>1.3319915751352569E-2</v>
      </c>
      <c r="BE59" s="8">
        <f>+AY59-BA59</f>
        <v>18289.634144023992</v>
      </c>
      <c r="BF59" s="10">
        <f t="shared" ref="BF59:BF62" si="250">IF(BA59=0,"N.D.",AY59/BA59-1)</f>
        <v>1.1599768243552564</v>
      </c>
      <c r="BG59" s="8">
        <f>AY59-BC59</f>
        <v>4549.5929440239925</v>
      </c>
      <c r="BH59" s="10">
        <f>IF(BC59=0, "N.D.",AY59/BC59-1)</f>
        <v>0.15418542830162751</v>
      </c>
    </row>
    <row r="60" spans="2:60" x14ac:dyDescent="0.35">
      <c r="B60" s="4" t="s">
        <v>17</v>
      </c>
      <c r="C60" s="14">
        <f>+C55+C56+C57-C58+C59</f>
        <v>215.05538000000001</v>
      </c>
      <c r="D60" s="142">
        <f t="shared" si="229"/>
        <v>7.9125239786586351E-4</v>
      </c>
      <c r="E60" s="14">
        <f>+E55+E56+E57-E58+E59</f>
        <v>2955.0532499999999</v>
      </c>
      <c r="F60" s="142">
        <f t="shared" si="230"/>
        <v>6.5390726989289546E-3</v>
      </c>
      <c r="G60" s="14">
        <f>+G55+G56+G57-G58+G59</f>
        <v>-1257.6360246500017</v>
      </c>
      <c r="H60" s="142">
        <f t="shared" si="231"/>
        <v>-3.3886178341768838E-3</v>
      </c>
      <c r="I60" s="14">
        <f>+I55+I56+I57-I58+I59</f>
        <v>5531.9001158139999</v>
      </c>
      <c r="J60" s="142">
        <f t="shared" si="232"/>
        <v>0.25625967887777901</v>
      </c>
      <c r="K60" s="14">
        <f>+K55+K56+K57-K58+K59</f>
        <v>-87663.012105000002</v>
      </c>
      <c r="L60" s="142">
        <f t="shared" si="233"/>
        <v>-7.126221587747987E-2</v>
      </c>
      <c r="M60" s="14">
        <f>+M55+M56+M57-M58+M59</f>
        <v>-3960.4668900000001</v>
      </c>
      <c r="N60" s="142">
        <f t="shared" si="234"/>
        <v>-9.318523222172706E-2</v>
      </c>
      <c r="O60" s="14">
        <f>+O55+O56+O57-O58+O59</f>
        <v>-84609.449573836027</v>
      </c>
      <c r="P60" s="142">
        <f t="shared" si="235"/>
        <v>-3.5415241064209374E-2</v>
      </c>
      <c r="R60" s="7" t="s">
        <v>43</v>
      </c>
      <c r="S60" s="8">
        <f>('600'!L152+'600'!L174+'600'!L196+'600'!L218)/1000</f>
        <v>0</v>
      </c>
      <c r="T60" s="42">
        <f t="shared" si="236"/>
        <v>0</v>
      </c>
      <c r="U60" s="8">
        <f>('600'!L20+'600'!L42+'600'!L64+'600'!L86+'600'!L108+'600'!L130)/1000</f>
        <v>0</v>
      </c>
      <c r="V60" s="42">
        <f t="shared" si="237"/>
        <v>0</v>
      </c>
      <c r="W60" s="8">
        <f>('600'!L483+'600'!L506+'600'!L573+'600'!L618)*TC_MES/1000</f>
        <v>0</v>
      </c>
      <c r="X60" s="42">
        <f t="shared" si="238"/>
        <v>0</v>
      </c>
      <c r="Y60" s="8">
        <f>('600'!L528)*TC_MES/1000</f>
        <v>0</v>
      </c>
      <c r="Z60" s="42">
        <f t="shared" si="239"/>
        <v>0</v>
      </c>
      <c r="AA60" s="8">
        <f>('600'!L306+'600'!L328+'600'!H350+'600'!L372+'600'!L394+'600'!L416)/1000</f>
        <v>0</v>
      </c>
      <c r="AB60" s="42">
        <f t="shared" si="240"/>
        <v>0</v>
      </c>
      <c r="AC60" s="8">
        <f>('600'!L438+'600'!L460)/1000</f>
        <v>0</v>
      </c>
      <c r="AD60" s="42">
        <f t="shared" si="241"/>
        <v>0</v>
      </c>
      <c r="AE60" s="11">
        <f>+AA60+U60+S60+AC60+W60+Y60</f>
        <v>0</v>
      </c>
      <c r="AF60" s="42">
        <f t="shared" si="242"/>
        <v>0</v>
      </c>
      <c r="AH60" s="7" t="s">
        <v>43</v>
      </c>
      <c r="AI60" s="8">
        <f>('600'!H152+'600'!H174+'600'!H196+'600'!H218)/1000</f>
        <v>62.534999999999997</v>
      </c>
      <c r="AJ60" s="42">
        <f t="shared" si="243"/>
        <v>2.4120893612370587E-4</v>
      </c>
      <c r="AK60" s="8">
        <f>('600'!H20+'600'!H42+'600'!H64+'600'!H86+'600'!H108+'600'!H130)/1000</f>
        <v>0</v>
      </c>
      <c r="AL60" s="42">
        <f t="shared" si="244"/>
        <v>0</v>
      </c>
      <c r="AM60" s="8">
        <f>('600'!H483+'600'!H506+'600'!H573+'600'!H618)*TC_MES/1000</f>
        <v>0</v>
      </c>
      <c r="AN60" s="42">
        <f t="shared" si="245"/>
        <v>0</v>
      </c>
      <c r="AO60" s="8">
        <f>('600'!H528)*TC_MES/1000</f>
        <v>0</v>
      </c>
      <c r="AP60" s="42">
        <f t="shared" si="246"/>
        <v>0</v>
      </c>
      <c r="AQ60" s="8">
        <f>('600'!H306+'600'!H328+'600'!F350+'600'!H372+'600'!H394+'600'!H416)/1000</f>
        <v>0</v>
      </c>
      <c r="AR60" s="42">
        <f t="shared" si="247"/>
        <v>0</v>
      </c>
      <c r="AS60" s="8">
        <f>('600'!H438+'600'!H460)/1000</f>
        <v>0</v>
      </c>
      <c r="AT60" s="42">
        <f t="shared" si="248"/>
        <v>0</v>
      </c>
      <c r="AU60" s="11">
        <f>+AQ60+AK60+AI60+AS60+AM60+AO60</f>
        <v>62.534999999999997</v>
      </c>
      <c r="AV60" s="42">
        <f t="shared" si="249"/>
        <v>2.8228995332915912E-5</v>
      </c>
      <c r="AX60" s="7" t="s">
        <v>20</v>
      </c>
      <c r="AY60" s="11">
        <f>O64</f>
        <v>4</v>
      </c>
      <c r="AZ60" s="12">
        <f t="shared" si="176"/>
        <v>1.6742924693442709E-6</v>
      </c>
      <c r="BA60" s="11">
        <f t="shared" si="170"/>
        <v>0</v>
      </c>
      <c r="BB60" s="12">
        <f t="shared" si="171"/>
        <v>0</v>
      </c>
      <c r="BC60" s="11">
        <f t="shared" si="172"/>
        <v>62.534999999999997</v>
      </c>
      <c r="BD60" s="12">
        <f t="shared" si="173"/>
        <v>2.8228995332915912E-5</v>
      </c>
      <c r="BE60" s="11">
        <f>+AY60-BA60</f>
        <v>4</v>
      </c>
      <c r="BF60" s="13" t="str">
        <f t="shared" si="250"/>
        <v>N.D.</v>
      </c>
      <c r="BG60" s="11">
        <f>AY60-BC60</f>
        <v>-58.534999999999997</v>
      </c>
      <c r="BH60" s="13">
        <f>IF(BC60=0, "N.D.",AY60/BC60-1)</f>
        <v>-0.93603581994083318</v>
      </c>
    </row>
    <row r="61" spans="2:60" x14ac:dyDescent="0.35">
      <c r="B61" s="4" t="s">
        <v>18</v>
      </c>
      <c r="C61" s="14">
        <f>+C53-C60</f>
        <v>-9588.8630000000503</v>
      </c>
      <c r="D61" s="142">
        <f t="shared" si="229"/>
        <v>-3.5280265211487839E-2</v>
      </c>
      <c r="E61" s="14">
        <f>+E53-E60</f>
        <v>43543.381379999861</v>
      </c>
      <c r="F61" s="142">
        <f t="shared" si="230"/>
        <v>9.6354722677504528E-2</v>
      </c>
      <c r="G61" s="14">
        <f>+G53-G60</f>
        <v>-3551.7874524661065</v>
      </c>
      <c r="H61" s="142">
        <f t="shared" si="231"/>
        <v>-9.5700584817310988E-3</v>
      </c>
      <c r="I61" s="14">
        <f>+I53-I60</f>
        <v>10398.888452703002</v>
      </c>
      <c r="J61" s="142">
        <f t="shared" si="232"/>
        <v>0.48171799197126269</v>
      </c>
      <c r="K61" s="14">
        <f>+K53-K60</f>
        <v>77418.238335000089</v>
      </c>
      <c r="L61" s="142">
        <f t="shared" si="233"/>
        <v>6.2934127867690426E-2</v>
      </c>
      <c r="M61" s="14">
        <f>+M53-M60</f>
        <v>17451.390840000004</v>
      </c>
      <c r="N61" s="142">
        <f t="shared" si="234"/>
        <v>0.41061116105367085</v>
      </c>
      <c r="O61" s="14">
        <f>+O53-O60</f>
        <v>136101.59185523633</v>
      </c>
      <c r="P61" s="142">
        <f t="shared" si="235"/>
        <v>5.6968467577247439E-2</v>
      </c>
      <c r="R61" s="4" t="s">
        <v>21</v>
      </c>
      <c r="S61" s="14">
        <f>+S57-S59-S60</f>
        <v>1860.9940000000117</v>
      </c>
      <c r="T61" s="43">
        <f t="shared" si="236"/>
        <v>6.1617399506515274E-3</v>
      </c>
      <c r="U61" s="14">
        <f>+U57-U59-U60</f>
        <v>4618.5229999999992</v>
      </c>
      <c r="V61" s="43">
        <f t="shared" si="237"/>
        <v>4.7786664341270962E-2</v>
      </c>
      <c r="W61" s="14">
        <f>+W57-W59-W60</f>
        <v>-11041.492219000005</v>
      </c>
      <c r="X61" s="43">
        <f t="shared" si="238"/>
        <v>-3.9852769650746411E-2</v>
      </c>
      <c r="Y61" s="14">
        <f>+Y57-Y59-Y60</f>
        <v>10376.834258999999</v>
      </c>
      <c r="Z61" s="43">
        <f t="shared" si="239"/>
        <v>0.50245771619684665</v>
      </c>
      <c r="AA61" s="14">
        <f>+AA57-AA59-AA60</f>
        <v>81817.49300000009</v>
      </c>
      <c r="AB61" s="43">
        <f t="shared" si="240"/>
        <v>5.8963976875280169E-2</v>
      </c>
      <c r="AC61" s="14">
        <f>+AC57-AC59-AC60</f>
        <v>13657.871000000005</v>
      </c>
      <c r="AD61" s="43">
        <f t="shared" si="241"/>
        <v>0.36036531435521596</v>
      </c>
      <c r="AE61" s="14">
        <f>+AE57-AE59-AE60</f>
        <v>101290.22304000011</v>
      </c>
      <c r="AF61" s="43">
        <f t="shared" si="242"/>
        <v>4.7736377105458208E-2</v>
      </c>
      <c r="AH61" s="4" t="s">
        <v>21</v>
      </c>
      <c r="AI61" s="14">
        <f>+AI57-AI59-AI60</f>
        <v>-5574.8408100000088</v>
      </c>
      <c r="AJ61" s="43">
        <f t="shared" si="243"/>
        <v>-2.1503180952092762E-2</v>
      </c>
      <c r="AK61" s="14">
        <f>+AK57-AK59-AK60</f>
        <v>20681.949059999999</v>
      </c>
      <c r="AL61" s="43">
        <f t="shared" si="244"/>
        <v>3.76948195331279E-2</v>
      </c>
      <c r="AM61" s="14">
        <f>+AM57-AM59-AM60</f>
        <v>-18557.109338870032</v>
      </c>
      <c r="AN61" s="43">
        <f t="shared" si="245"/>
        <v>-6.9555487617564513E-2</v>
      </c>
      <c r="AO61" s="14">
        <f>+AO57-AO59-AO60</f>
        <v>7528.7269455650012</v>
      </c>
      <c r="AP61" s="43">
        <f t="shared" si="246"/>
        <v>0.35459680477414418</v>
      </c>
      <c r="AQ61" s="14">
        <f>+AQ57-AQ59-AQ60</f>
        <v>52570.725490000135</v>
      </c>
      <c r="AR61" s="43">
        <f t="shared" si="247"/>
        <v>4.7952396329745739E-2</v>
      </c>
      <c r="AS61" s="14">
        <f>+AS57-AS59-AS60</f>
        <v>8204.2256699999998</v>
      </c>
      <c r="AT61" s="43">
        <f t="shared" si="248"/>
        <v>0.35651322283795006</v>
      </c>
      <c r="AU61" s="14">
        <f>+AU57-AU59-AU60</f>
        <v>64853.677016695088</v>
      </c>
      <c r="AV61" s="43">
        <f t="shared" si="249"/>
        <v>2.9275671956931665E-2</v>
      </c>
      <c r="AX61" s="4" t="s">
        <v>21</v>
      </c>
      <c r="AY61" s="14">
        <f>O65</f>
        <v>102040.71671121233</v>
      </c>
      <c r="AZ61" s="15">
        <f t="shared" si="176"/>
        <v>4.2711500889018726E-2</v>
      </c>
      <c r="BA61" s="14">
        <f t="shared" si="170"/>
        <v>101290.22304000011</v>
      </c>
      <c r="BB61" s="15">
        <f t="shared" si="171"/>
        <v>4.7736377105458208E-2</v>
      </c>
      <c r="BC61" s="14">
        <f t="shared" si="172"/>
        <v>64853.677016695088</v>
      </c>
      <c r="BD61" s="15">
        <f t="shared" si="173"/>
        <v>2.9275671956931665E-2</v>
      </c>
      <c r="BE61" s="14">
        <f>+AY61-BA61</f>
        <v>750.49367121221439</v>
      </c>
      <c r="BF61" s="16">
        <f t="shared" si="250"/>
        <v>7.4093397041472553E-3</v>
      </c>
      <c r="BG61" s="14">
        <f>AY61-BC61</f>
        <v>37187.03969451724</v>
      </c>
      <c r="BH61" s="16">
        <f>IF(BC61=0, "N.D.",AY61/BC61-1)</f>
        <v>0.57339909477984241</v>
      </c>
    </row>
    <row r="62" spans="2:60" x14ac:dyDescent="0.35">
      <c r="B62" s="1"/>
      <c r="C62" s="30"/>
      <c r="D62" s="143"/>
      <c r="E62" s="30"/>
      <c r="F62" s="143"/>
      <c r="G62" s="30"/>
      <c r="H62" s="143"/>
      <c r="I62" s="30"/>
      <c r="J62" s="143"/>
      <c r="K62" s="30"/>
      <c r="L62" s="143"/>
      <c r="M62" s="30"/>
      <c r="N62" s="143"/>
      <c r="O62" s="30"/>
      <c r="P62" s="143"/>
      <c r="R62" s="4" t="s">
        <v>22</v>
      </c>
      <c r="S62" s="20">
        <f>+S49+S47</f>
        <v>5411.6010000000115</v>
      </c>
      <c r="T62" s="45">
        <f t="shared" si="236"/>
        <v>1.7917778390841462E-2</v>
      </c>
      <c r="U62" s="20">
        <f>+U49+U47</f>
        <v>6569.6689999999999</v>
      </c>
      <c r="V62" s="45">
        <f t="shared" si="237"/>
        <v>6.7974667948227888E-2</v>
      </c>
      <c r="W62" s="20">
        <f>+W49+W47</f>
        <v>-6587.7115865000051</v>
      </c>
      <c r="X62" s="45">
        <f t="shared" si="238"/>
        <v>-2.3777452102947298E-2</v>
      </c>
      <c r="Y62" s="20">
        <f>+Y49+Y47</f>
        <v>18796.124524999999</v>
      </c>
      <c r="Z62" s="45">
        <f t="shared" si="239"/>
        <v>0.91012900143334929</v>
      </c>
      <c r="AA62" s="20">
        <f>+AA49+AA47</f>
        <v>111140.23300000008</v>
      </c>
      <c r="AB62" s="45">
        <f t="shared" si="240"/>
        <v>8.0096198114078712E-2</v>
      </c>
      <c r="AC62" s="20">
        <f>+AC49+AC47</f>
        <v>11664.252000000006</v>
      </c>
      <c r="AD62" s="45">
        <f t="shared" si="241"/>
        <v>0.30776332846447713</v>
      </c>
      <c r="AE62" s="20">
        <f>+AE49+AE47</f>
        <v>146994.16793850009</v>
      </c>
      <c r="AF62" s="45">
        <f t="shared" si="242"/>
        <v>6.9275877003886668E-2</v>
      </c>
      <c r="AH62" s="4" t="s">
        <v>22</v>
      </c>
      <c r="AI62" s="20">
        <f>+AI49+AI47</f>
        <v>-4110.1372800000081</v>
      </c>
      <c r="AJ62" s="45">
        <f t="shared" si="243"/>
        <v>-1.5853551461280629E-2</v>
      </c>
      <c r="AK62" s="20">
        <f>+AK49+AK47</f>
        <v>41514.152529999999</v>
      </c>
      <c r="AL62" s="45">
        <f t="shared" si="244"/>
        <v>7.5663492021437906E-2</v>
      </c>
      <c r="AM62" s="20">
        <f>+AM49+AM47</f>
        <v>-10091.232825445031</v>
      </c>
      <c r="AN62" s="45">
        <f t="shared" si="245"/>
        <v>-3.7823812266169578E-2</v>
      </c>
      <c r="AO62" s="20">
        <f>+AO49+AO47</f>
        <v>19661.900129365</v>
      </c>
      <c r="AP62" s="45">
        <f t="shared" si="246"/>
        <v>0.92605921453536488</v>
      </c>
      <c r="AQ62" s="20">
        <f>+AQ49+AQ47</f>
        <v>-66142.771099999896</v>
      </c>
      <c r="AR62" s="45">
        <f t="shared" si="247"/>
        <v>-6.0332140075528555E-2</v>
      </c>
      <c r="AS62" s="20">
        <f>+AS49+AS47</f>
        <v>5094.223719999999</v>
      </c>
      <c r="AT62" s="45">
        <f t="shared" si="248"/>
        <v>0.22136862018749548</v>
      </c>
      <c r="AU62" s="20">
        <f>+AU49+AU47</f>
        <v>-14073.864826079931</v>
      </c>
      <c r="AV62" s="45">
        <f t="shared" si="249"/>
        <v>-6.3530992962580928E-3</v>
      </c>
      <c r="AX62" s="4" t="s">
        <v>22</v>
      </c>
      <c r="AY62" s="14">
        <f>O66</f>
        <v>88220.429797773308</v>
      </c>
      <c r="AZ62" s="15">
        <f t="shared" si="176"/>
        <v>3.6926700313181696E-2</v>
      </c>
      <c r="BA62" s="14">
        <f t="shared" si="170"/>
        <v>146994.16793850009</v>
      </c>
      <c r="BB62" s="15">
        <f t="shared" si="171"/>
        <v>6.9275877003886668E-2</v>
      </c>
      <c r="BC62" s="14">
        <f t="shared" si="172"/>
        <v>-14073.864826079931</v>
      </c>
      <c r="BD62" s="15">
        <f t="shared" si="173"/>
        <v>-6.3530992962580928E-3</v>
      </c>
      <c r="BE62" s="14">
        <f>+AY62-BA62</f>
        <v>-58773.738140726782</v>
      </c>
      <c r="BF62" s="16">
        <f t="shared" si="250"/>
        <v>-0.39983721099272951</v>
      </c>
      <c r="BG62" s="14">
        <f>AY62-BC62</f>
        <v>102294.29462385323</v>
      </c>
      <c r="BH62" s="16">
        <f>IF(BC62=0, "N.D.",AY62/BC62-1)</f>
        <v>-7.2683868921558927</v>
      </c>
    </row>
    <row r="63" spans="2:60" x14ac:dyDescent="0.35">
      <c r="B63" s="7" t="s">
        <v>35</v>
      </c>
      <c r="C63" s="8">
        <f>TablasERxDiv!K50</f>
        <v>657.327</v>
      </c>
      <c r="D63" s="144">
        <f t="shared" ref="D63:D71" si="251">IF(C$41=0,"N.D.",C63/C$41)</f>
        <v>2.4185005970646929E-3</v>
      </c>
      <c r="E63" s="8">
        <f>TablasERxDiv!AA50</f>
        <v>11525.236699999999</v>
      </c>
      <c r="F63" s="144">
        <f t="shared" ref="F63:F71" si="252">IF(E$41=0,"N.D.",E63/E$41)</f>
        <v>2.5503554175771295E-2</v>
      </c>
      <c r="G63" s="8">
        <f>'mxn-dll'!N27</f>
        <v>238.80327402400002</v>
      </c>
      <c r="H63" s="144">
        <f t="shared" ref="H63" si="253">IF(G$41=0,"N.D.",G63/G$41)</f>
        <v>6.4343976902439537E-4</v>
      </c>
      <c r="I63" s="8">
        <f>'mxn-dll'!AC27</f>
        <v>0</v>
      </c>
      <c r="J63" s="144">
        <f t="shared" ref="J63" si="254">IF(I$41=0,"N.D.",I63/I$41)</f>
        <v>0</v>
      </c>
      <c r="K63" s="8">
        <f>TablasERxDiv!AT50</f>
        <v>21635.508169999997</v>
      </c>
      <c r="L63" s="144">
        <f t="shared" ref="L63" si="255">IF(K$41=0,"N.D.",K63/K$41)</f>
        <v>1.7587739878054915E-2</v>
      </c>
      <c r="M63" s="8">
        <f>TablasERxDiv!BC50</f>
        <v>0</v>
      </c>
      <c r="N63" s="144">
        <f t="shared" ref="N63" si="256">IF(M$41=0,"N.D.",M63/M$41)</f>
        <v>0</v>
      </c>
      <c r="O63" s="8">
        <f>K63+E63+C63+M63+G63+I63</f>
        <v>34056.875144023994</v>
      </c>
      <c r="P63" s="144">
        <f t="shared" ref="P63" si="257">IF(O$41=0,"N.D.",O63/O$41)</f>
        <v>1.4255292395759366E-2</v>
      </c>
    </row>
    <row r="64" spans="2:60" x14ac:dyDescent="0.35">
      <c r="B64" s="7" t="s">
        <v>20</v>
      </c>
      <c r="C64" s="11">
        <f>TablasERxDiv!K51</f>
        <v>4</v>
      </c>
      <c r="D64" s="141">
        <f t="shared" si="251"/>
        <v>1.4717183971233148E-5</v>
      </c>
      <c r="E64" s="11">
        <f>TablasERxDiv!AA51</f>
        <v>0</v>
      </c>
      <c r="F64" s="141">
        <f t="shared" si="252"/>
        <v>0</v>
      </c>
      <c r="G64" s="11">
        <f>'mxn-dll'!N28</f>
        <v>0</v>
      </c>
      <c r="H64" s="141">
        <f t="shared" ref="H64" si="258">IF(G$41=0,"N.D.",G64/G$41)</f>
        <v>0</v>
      </c>
      <c r="I64" s="11">
        <f>'mxn-dll'!AC28</f>
        <v>0</v>
      </c>
      <c r="J64" s="141">
        <f t="shared" ref="J64" si="259">IF(I$41=0,"N.D.",I64/I$41)</f>
        <v>0</v>
      </c>
      <c r="K64" s="11">
        <f>TablasERxDiv!AT51</f>
        <v>0</v>
      </c>
      <c r="L64" s="141">
        <f t="shared" ref="L64" si="260">IF(K$41=0,"N.D.",K64/K$41)</f>
        <v>0</v>
      </c>
      <c r="M64" s="11">
        <f>TablasERxDiv!BC51</f>
        <v>0</v>
      </c>
      <c r="N64" s="141">
        <f t="shared" ref="N64" si="261">IF(M$41=0,"N.D.",M64/M$41)</f>
        <v>0</v>
      </c>
      <c r="O64" s="11">
        <f>K64+E64+C64+M64+G64+I64</f>
        <v>4</v>
      </c>
      <c r="P64" s="141">
        <f t="shared" ref="P64" si="262">IF(O$41=0,"N.D.",O64/O$41)</f>
        <v>1.6742924693442709E-6</v>
      </c>
    </row>
    <row r="65" spans="2:48" x14ac:dyDescent="0.35">
      <c r="B65" s="4" t="s">
        <v>21</v>
      </c>
      <c r="C65" s="14">
        <f>C61-C63-C64</f>
        <v>-10250.19000000005</v>
      </c>
      <c r="D65" s="142">
        <f t="shared" si="251"/>
        <v>-3.7713482992523757E-2</v>
      </c>
      <c r="E65" s="14">
        <f>E61-E63-E64</f>
        <v>32018.144679999859</v>
      </c>
      <c r="F65" s="142">
        <f t="shared" si="252"/>
        <v>7.085116850173323E-2</v>
      </c>
      <c r="G65" s="14">
        <f>G61-G63-G64</f>
        <v>-3790.5907264901066</v>
      </c>
      <c r="H65" s="142">
        <f t="shared" ref="H65" si="263">IF(G$41=0,"N.D.",G65/G$41)</f>
        <v>-1.0213498250755494E-2</v>
      </c>
      <c r="I65" s="14">
        <f>I61-I63-I64</f>
        <v>10398.888452703002</v>
      </c>
      <c r="J65" s="142">
        <f t="shared" ref="J65" si="264">IF(I$41=0,"N.D.",I65/I$41)</f>
        <v>0.48171799197126269</v>
      </c>
      <c r="K65" s="14">
        <f>K61-K63-K64</f>
        <v>55782.730165000088</v>
      </c>
      <c r="L65" s="142">
        <f t="shared" ref="L65" si="265">IF(K$41=0,"N.D.",K65/K$41)</f>
        <v>4.5346387989635514E-2</v>
      </c>
      <c r="M65" s="14">
        <f>M61-M63-M64</f>
        <v>17451.390840000004</v>
      </c>
      <c r="N65" s="142">
        <f t="shared" ref="N65" si="266">IF(M$41=0,"N.D.",M65/M$41)</f>
        <v>0.41061116105367085</v>
      </c>
      <c r="O65" s="14">
        <f>O61-O63-O64</f>
        <v>102040.71671121233</v>
      </c>
      <c r="P65" s="142">
        <f t="shared" ref="P65" si="267">IF(O$41=0,"N.D.",O65/O$41)</f>
        <v>4.2711500889018726E-2</v>
      </c>
    </row>
    <row r="66" spans="2:48" x14ac:dyDescent="0.35">
      <c r="B66" s="4" t="s">
        <v>22</v>
      </c>
      <c r="C66" s="20">
        <f>C53+C47</f>
        <v>-6745.2110300000504</v>
      </c>
      <c r="D66" s="145">
        <f t="shared" si="251"/>
        <v>-2.4817627913325445E-2</v>
      </c>
      <c r="E66" s="20">
        <f>E53+E47</f>
        <v>53635.223639999858</v>
      </c>
      <c r="F66" s="145">
        <f t="shared" si="252"/>
        <v>0.11868639815721491</v>
      </c>
      <c r="G66" s="20">
        <f>G53+G47</f>
        <v>498.69355060589169</v>
      </c>
      <c r="H66" s="145">
        <f t="shared" ref="H66" si="268">IF(G$41=0,"N.D.",G66/G$41)</f>
        <v>1.3436970842517085E-3</v>
      </c>
      <c r="I66" s="20">
        <f>I53+I47</f>
        <v>19198.786667168002</v>
      </c>
      <c r="J66" s="145">
        <f t="shared" ref="J66" si="269">IF(I$41=0,"N.D.",I66/I$41)</f>
        <v>0.88936437809262836</v>
      </c>
      <c r="K66" s="20">
        <f>K53+K47</f>
        <v>7895.165910000087</v>
      </c>
      <c r="L66" s="145">
        <f t="shared" ref="L66" si="270">IF(K$41=0,"N.D.",K66/K$41)</f>
        <v>6.4180662283546573E-3</v>
      </c>
      <c r="M66" s="20">
        <f>M53+M47</f>
        <v>13737.771060000005</v>
      </c>
      <c r="N66" s="145">
        <f t="shared" ref="N66" si="271">IF(M$41=0,"N.D.",M66/M$41)</f>
        <v>0.32323395750823253</v>
      </c>
      <c r="O66" s="20">
        <f>O53+O47</f>
        <v>88220.429797773308</v>
      </c>
      <c r="P66" s="145">
        <f t="shared" ref="P66" si="272">IF(O$41=0,"N.D.",O66/O$41)</f>
        <v>3.6926700313181696E-2</v>
      </c>
    </row>
    <row r="67" spans="2:48" x14ac:dyDescent="0.35">
      <c r="B67" s="4" t="s">
        <v>36</v>
      </c>
      <c r="C67" s="20">
        <f>+C65+C55+C47</f>
        <v>-7621.5934100000495</v>
      </c>
      <c r="D67" s="145">
        <f t="shared" si="251"/>
        <v>-2.8042098092227231E-2</v>
      </c>
      <c r="E67" s="20">
        <f>+E65+E55+E47</f>
        <v>39955.756709999863</v>
      </c>
      <c r="F67" s="145">
        <f t="shared" si="252"/>
        <v>8.8415867926375777E-2</v>
      </c>
      <c r="G67" s="20">
        <f>+G65+G55+G47</f>
        <v>1517.5263012318933</v>
      </c>
      <c r="H67" s="145">
        <f t="shared" ref="H67" si="273">IF(G$41=0,"N.D.",G67/G$41)</f>
        <v>4.088875149404197E-3</v>
      </c>
      <c r="I67" s="20">
        <f>+I65+I55+I47</f>
        <v>13666.886551354002</v>
      </c>
      <c r="J67" s="145">
        <f t="shared" ref="J67" si="274">IF(I$41=0,"N.D.",I67/I$41)</f>
        <v>0.63310469921484946</v>
      </c>
      <c r="K67" s="20">
        <f>+K65+K55+K47</f>
        <v>74037.951245000091</v>
      </c>
      <c r="L67" s="145">
        <f t="shared" ref="L67" si="275">IF(K$41=0,"N.D.",K67/K$41)</f>
        <v>6.0186255731527555E-2</v>
      </c>
      <c r="M67" s="20">
        <f>+M65+M55+M47</f>
        <v>17339.810180000004</v>
      </c>
      <c r="N67" s="145">
        <f t="shared" ref="N67" si="276">IF(M$41=0,"N.D.",M67/M$41)</f>
        <v>0.40798579641804988</v>
      </c>
      <c r="O67" s="20">
        <f>+O65+O55+O47</f>
        <v>139326.68087758531</v>
      </c>
      <c r="P67" s="145">
        <f t="shared" ref="P67" si="277">IF(O$41=0,"N.D.",O67/O$41)</f>
        <v>5.8318403143018387E-2</v>
      </c>
    </row>
    <row r="68" spans="2:48" x14ac:dyDescent="0.35">
      <c r="B68" s="187" t="s">
        <v>37</v>
      </c>
      <c r="C68" s="20">
        <v>4921.5390299999999</v>
      </c>
      <c r="D68" s="145">
        <f t="shared" si="251"/>
        <v>1.8107798831528583E-2</v>
      </c>
      <c r="E68" s="20">
        <v>10424.20822</v>
      </c>
      <c r="F68" s="145">
        <f t="shared" si="252"/>
        <v>2.3067149595139374E-2</v>
      </c>
      <c r="G68" s="20">
        <f>'mxn-dll'!N32</f>
        <v>3997.8859712749995</v>
      </c>
      <c r="H68" s="145">
        <f t="shared" ref="H68" si="278">IF(G$41=0,"N.D.",G68/G$41)</f>
        <v>1.0772041700251258E-2</v>
      </c>
      <c r="I68" s="20">
        <f>'mxn-dll'!AC32</f>
        <v>4694.3700251150003</v>
      </c>
      <c r="J68" s="145">
        <f t="shared" ref="J68" si="279">IF(I$41=0,"N.D.",I68/I$41)</f>
        <v>0.21746194435624355</v>
      </c>
      <c r="K68" s="20">
        <v>0</v>
      </c>
      <c r="L68" s="145">
        <f t="shared" ref="L68" si="280">IF(K$41=0,"N.D.",K68/K$41)</f>
        <v>0</v>
      </c>
      <c r="M68" s="20">
        <v>0</v>
      </c>
      <c r="N68" s="145">
        <f t="shared" ref="N68" si="281">IF(M$41=0,"N.D.",M68/M$41)</f>
        <v>0</v>
      </c>
      <c r="O68" s="20">
        <f>+M68+K68+G68+E68+C68+AG50+I68</f>
        <v>24038.003246389999</v>
      </c>
      <c r="P68" s="145">
        <f t="shared" ref="P68" si="282">IF(O$41=0,"N.D.",O68/O$41)</f>
        <v>1.0061661953375978E-2</v>
      </c>
    </row>
    <row r="69" spans="2:48" x14ac:dyDescent="0.35">
      <c r="B69" s="188" t="s">
        <v>38</v>
      </c>
      <c r="C69" s="20">
        <f>+C67-C68</f>
        <v>-12543.132440000049</v>
      </c>
      <c r="D69" s="145">
        <f t="shared" si="251"/>
        <v>-4.6149896923755811E-2</v>
      </c>
      <c r="E69" s="20">
        <f>+E67-E68</f>
        <v>29531.548489999863</v>
      </c>
      <c r="F69" s="145">
        <f t="shared" si="252"/>
        <v>6.53487183312364E-2</v>
      </c>
      <c r="G69" s="20">
        <f>+G67-G68</f>
        <v>-2480.3596700431062</v>
      </c>
      <c r="H69" s="145">
        <f t="shared" ref="H69" si="283">IF(G$41=0,"N.D.",G69/G$41)</f>
        <v>-6.6831665508470615E-3</v>
      </c>
      <c r="I69" s="20">
        <f>+I67-I68</f>
        <v>8972.5165262390019</v>
      </c>
      <c r="J69" s="145">
        <f t="shared" ref="J69" si="284">IF(I$41=0,"N.D.",I69/I$41)</f>
        <v>0.41564275485860586</v>
      </c>
      <c r="K69" s="20">
        <f>+K67-K68</f>
        <v>74037.951245000091</v>
      </c>
      <c r="L69" s="145">
        <f t="shared" ref="L69" si="285">IF(K$41=0,"N.D.",K69/K$41)</f>
        <v>6.0186255731527555E-2</v>
      </c>
      <c r="M69" s="20">
        <f>+M67-M68</f>
        <v>17339.810180000004</v>
      </c>
      <c r="N69" s="145">
        <f t="shared" ref="N69" si="286">IF(M$41=0,"N.D.",M69/M$41)</f>
        <v>0.40798579641804988</v>
      </c>
      <c r="O69" s="20">
        <f>+O67-O68</f>
        <v>115288.67763119531</v>
      </c>
      <c r="P69" s="145">
        <f t="shared" ref="P69" si="287">IF(O$41=0,"N.D.",O69/O$41)</f>
        <v>4.8256741189642405E-2</v>
      </c>
    </row>
    <row r="70" spans="2:48" x14ac:dyDescent="0.35">
      <c r="B70" s="187" t="s">
        <v>39</v>
      </c>
      <c r="C70" s="20">
        <v>15113.43110000002</v>
      </c>
      <c r="D70" s="145">
        <f t="shared" si="251"/>
        <v>5.5606786483814216E-2</v>
      </c>
      <c r="E70" s="20">
        <v>39962.560264999935</v>
      </c>
      <c r="F70" s="145">
        <f t="shared" si="252"/>
        <v>8.8430923134181799E-2</v>
      </c>
      <c r="G70" s="20">
        <f>'mxn-dll'!N34</f>
        <v>0</v>
      </c>
      <c r="H70" s="145">
        <f t="shared" ref="H70" si="288">IF(G$41=0,"N.D.",G70/G$41)</f>
        <v>0</v>
      </c>
      <c r="I70" s="20">
        <f>'mxn-dll'!AC34</f>
        <v>0</v>
      </c>
      <c r="J70" s="145">
        <f t="shared" ref="J70" si="289">IF(I$41=0,"N.D.",I70/I$41)</f>
        <v>0</v>
      </c>
      <c r="K70" s="20">
        <v>0</v>
      </c>
      <c r="L70" s="145">
        <f t="shared" ref="L70" si="290">IF(K$41=0,"N.D.",K70/K$41)</f>
        <v>0</v>
      </c>
      <c r="M70" s="20">
        <v>0</v>
      </c>
      <c r="N70" s="145">
        <f t="shared" ref="N70" si="291">IF(M$41=0,"N.D.",M70/M$41)</f>
        <v>0</v>
      </c>
      <c r="O70" s="20">
        <f>+G70+M70+C70+E70+K70+I70</f>
        <v>55075.991364999951</v>
      </c>
      <c r="P70" s="145">
        <f t="shared" ref="P70" si="292">IF(O$41=0,"N.D.",O70/O$41)</f>
        <v>2.3053329396022379E-2</v>
      </c>
    </row>
    <row r="71" spans="2:48" x14ac:dyDescent="0.35">
      <c r="B71" s="188" t="s">
        <v>40</v>
      </c>
      <c r="C71" s="20">
        <f>+C69-C70</f>
        <v>-27656.563540000068</v>
      </c>
      <c r="D71" s="145">
        <f t="shared" si="251"/>
        <v>-0.10175668340757003</v>
      </c>
      <c r="E71" s="20">
        <f>+E69-E70</f>
        <v>-10431.011775000072</v>
      </c>
      <c r="F71" s="145">
        <f t="shared" si="252"/>
        <v>-2.3082204802945403E-2</v>
      </c>
      <c r="G71" s="20">
        <f>+G69-G70</f>
        <v>-2480.3596700431062</v>
      </c>
      <c r="H71" s="145">
        <f t="shared" ref="H71" si="293">IF(G$41=0,"N.D.",G71/G$41)</f>
        <v>-6.6831665508470615E-3</v>
      </c>
      <c r="I71" s="20">
        <f>+I69-I70</f>
        <v>8972.5165262390019</v>
      </c>
      <c r="J71" s="145">
        <f t="shared" ref="J71" si="294">IF(I$41=0,"N.D.",I71/I$41)</f>
        <v>0.41564275485860586</v>
      </c>
      <c r="K71" s="20">
        <f>+K69-K70</f>
        <v>74037.951245000091</v>
      </c>
      <c r="L71" s="145">
        <f t="shared" ref="L71" si="295">IF(K$41=0,"N.D.",K71/K$41)</f>
        <v>6.0186255731527555E-2</v>
      </c>
      <c r="M71" s="20">
        <f>+M69-M70</f>
        <v>17339.810180000004</v>
      </c>
      <c r="N71" s="145">
        <f t="shared" ref="N71" si="296">IF(M$41=0,"N.D.",M71/M$41)</f>
        <v>0.40798579641804988</v>
      </c>
      <c r="O71" s="20">
        <f>+O69-O70</f>
        <v>60212.686266195364</v>
      </c>
      <c r="P71" s="145">
        <f t="shared" ref="P71" si="297">IF(O$41=0,"N.D.",O71/O$41)</f>
        <v>2.5203411793620026E-2</v>
      </c>
    </row>
    <row r="72" spans="2:48" x14ac:dyDescent="0.35">
      <c r="B72" s="36">
        <v>0</v>
      </c>
      <c r="C72" s="37" t="e">
        <v>#VALUE!</v>
      </c>
      <c r="D72" s="38"/>
      <c r="E72" s="37" t="e">
        <v>#REF!</v>
      </c>
      <c r="F72" s="38"/>
      <c r="G72" s="37" t="e">
        <v>#VALUE!</v>
      </c>
      <c r="H72" s="38"/>
      <c r="I72" s="37" t="e">
        <v>#REF!</v>
      </c>
      <c r="J72" s="38"/>
      <c r="K72" s="37" t="e">
        <v>#REF!</v>
      </c>
      <c r="L72" s="39"/>
      <c r="M72" s="37" t="e">
        <v>#REF!</v>
      </c>
      <c r="N72" s="38"/>
      <c r="O72" s="37" t="e">
        <v>#REF!</v>
      </c>
      <c r="P72" s="40"/>
    </row>
    <row r="75" spans="2:48" x14ac:dyDescent="0.35">
      <c r="B75" s="4" t="s">
        <v>118</v>
      </c>
      <c r="C75" s="7"/>
      <c r="D75" s="305" t="s">
        <v>709</v>
      </c>
      <c r="E75" s="308"/>
      <c r="F75" s="308"/>
      <c r="G75" s="308"/>
      <c r="H75" s="308"/>
      <c r="I75" s="308"/>
      <c r="J75" s="308"/>
      <c r="K75" s="308"/>
      <c r="L75" s="308"/>
      <c r="M75" s="308"/>
      <c r="N75" s="308"/>
      <c r="O75" s="308"/>
      <c r="P75" s="308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117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>
        <f>C4/TC_MES</f>
        <v>1736.2320879677718</v>
      </c>
      <c r="D77" s="29">
        <f>IF(C$77=0,"N.D.",C77/C$77)</f>
        <v>1</v>
      </c>
      <c r="E77" s="8">
        <f>E4/TC_MES</f>
        <v>2382.5961661050442</v>
      </c>
      <c r="F77" s="140">
        <f t="shared" ref="F77:F79" si="298">IF(E$77=0,"N.D.",E77/E$77)</f>
        <v>1</v>
      </c>
      <c r="G77" s="8">
        <f>G4/TC_MES</f>
        <v>1422.7311299999999</v>
      </c>
      <c r="H77" s="140">
        <f t="shared" ref="H77:H79" si="299">IF(G$77=0,"N.D.",G77/G$77)</f>
        <v>1</v>
      </c>
      <c r="I77" s="8">
        <f>I4/TC_MES</f>
        <v>130.23374999999999</v>
      </c>
      <c r="J77" s="140">
        <f t="shared" ref="J77:J85" si="300">IF(I$77=0,"N.D.",I77/I$77)</f>
        <v>1</v>
      </c>
      <c r="K77" s="8">
        <f>K4/TC_MES</f>
        <v>6931.690013681623</v>
      </c>
      <c r="L77" s="140">
        <f t="shared" ref="L77:L79" si="301">IF(K$77=0,"N.D.",K77/K$77)</f>
        <v>1</v>
      </c>
      <c r="M77" s="8">
        <f>M4/TC_MES</f>
        <v>357.56740530542953</v>
      </c>
      <c r="N77" s="140">
        <f t="shared" ref="N77:N79" si="302">IF(M$77=0,"N.D.",M77/M$77)</f>
        <v>1</v>
      </c>
      <c r="O77" s="8">
        <f>O4/TC_MES</f>
        <v>12961.050553059868</v>
      </c>
      <c r="P77" s="140">
        <f t="shared" ref="P77:P79" si="303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('600'!K466+'600'!K489+'600'!K556+'600'!K601)/1000</f>
        <v>1505.88</v>
      </c>
      <c r="X77" s="29">
        <f>IF(W$77=0,"N.D.",W77/W$77)</f>
        <v>1</v>
      </c>
      <c r="Y77" s="8">
        <f>('600'!K512+'600'!K534+'600'!K579+'600'!K624+'600'!K646)/1000</f>
        <v>116.3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1622.18</v>
      </c>
      <c r="AF77" s="29">
        <f t="shared" ref="AF77:AF79" si="304">IF(AE$4=0,"N.D.",AE77/AE$4)</f>
        <v>7.5783137939655788E-3</v>
      </c>
      <c r="AH77" s="7" t="s">
        <v>5</v>
      </c>
      <c r="AI77" s="8"/>
      <c r="AJ77" s="29"/>
      <c r="AK77" s="8"/>
      <c r="AL77" s="29"/>
      <c r="AM77" s="8">
        <f>('600'!G466+'600'!G489+'600'!G556+'600'!G601)/1000</f>
        <v>1463.9413</v>
      </c>
      <c r="AN77" s="29">
        <f>IF(AM$77=0,"N.D.",AM77/AM$77)</f>
        <v>1</v>
      </c>
      <c r="AO77" s="8">
        <f>('600'!G512)/1000</f>
        <v>115.99403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1579.93533</v>
      </c>
      <c r="AV77" s="29">
        <f t="shared" ref="AV77:AV79" si="305">IF(AU$4=0,"N.D.",AU77/AU$4)</f>
        <v>6.516594908599448E-3</v>
      </c>
    </row>
    <row r="78" spans="2:48" x14ac:dyDescent="0.35">
      <c r="B78" s="7" t="s">
        <v>6</v>
      </c>
      <c r="C78" s="34">
        <f>C5/TC_MES</f>
        <v>1495.9364741949378</v>
      </c>
      <c r="D78" s="194">
        <f t="shared" ref="D78:D79" si="306">IF(C$77=0,"N.D.",C78/C$77)</f>
        <v>0.86159937059215641</v>
      </c>
      <c r="E78" s="11">
        <f>E5/TC_MES</f>
        <v>1307.4767721502953</v>
      </c>
      <c r="F78" s="141">
        <f t="shared" si="298"/>
        <v>0.5487613850599351</v>
      </c>
      <c r="G78" s="11">
        <f>G5/TC_MES</f>
        <v>461.07826999999997</v>
      </c>
      <c r="H78" s="141">
        <f t="shared" si="299"/>
        <v>0.32407969452386975</v>
      </c>
      <c r="I78" s="11">
        <f>I5/TC_MES</f>
        <v>0</v>
      </c>
      <c r="J78" s="141">
        <f t="shared" si="300"/>
        <v>0</v>
      </c>
      <c r="K78" s="11">
        <f>K5/TC_MES</f>
        <v>5420.7986870708655</v>
      </c>
      <c r="L78" s="141">
        <f t="shared" si="301"/>
        <v>0.78203131939994541</v>
      </c>
      <c r="M78" s="11">
        <f>M5/TC_MES</f>
        <v>181.04172084420685</v>
      </c>
      <c r="N78" s="141">
        <f t="shared" si="302"/>
        <v>0.50631494414196765</v>
      </c>
      <c r="O78" s="11">
        <f>O5/TC_MES</f>
        <v>8866.3319242603066</v>
      </c>
      <c r="P78" s="141">
        <f t="shared" si="303"/>
        <v>0.68407509776799125</v>
      </c>
      <c r="Q78" s="25"/>
      <c r="R78" s="7" t="s">
        <v>6</v>
      </c>
      <c r="S78" s="8"/>
      <c r="T78" s="42"/>
      <c r="U78" s="8"/>
      <c r="V78" s="42"/>
      <c r="W78" s="8">
        <f>('600'!K467+'600'!K490+'600'!K557+'600'!K602)/1000</f>
        <v>529.33900000000006</v>
      </c>
      <c r="X78" s="42">
        <f t="shared" ref="X78:X79" si="307">IF(W$77=0,"N.D.",W78/W$77)</f>
        <v>0.35151472892926394</v>
      </c>
      <c r="Y78" s="8">
        <f>('600'!K513+'600'!K535+'600'!K580+'600'!K625+'600'!K647)/1000</f>
        <v>0</v>
      </c>
      <c r="Z78" s="42">
        <f t="shared" ref="Z78:Z79" si="308">IF(Y$77=0,"N.D.",Y78/Y$77)</f>
        <v>0</v>
      </c>
      <c r="AA78" s="8"/>
      <c r="AB78" s="42"/>
      <c r="AC78" s="8"/>
      <c r="AD78" s="42"/>
      <c r="AE78" s="11">
        <f>+AA78+U78+S78+AC78+W78+Y78</f>
        <v>529.33900000000006</v>
      </c>
      <c r="AF78" s="42">
        <f t="shared" si="304"/>
        <v>2.4729050076957833E-3</v>
      </c>
      <c r="AH78" s="7" t="s">
        <v>6</v>
      </c>
      <c r="AI78" s="8"/>
      <c r="AJ78" s="42"/>
      <c r="AK78" s="8"/>
      <c r="AL78" s="42"/>
      <c r="AM78" s="8">
        <f>('600'!G467+'600'!G490+'600'!G557+'600'!G602)/1000</f>
        <v>505.96336999999994</v>
      </c>
      <c r="AN78" s="42">
        <f t="shared" ref="AN78:AN79" si="309">IF(AM$77=0,"N.D.",AM78/AM$77)</f>
        <v>0.34561725254967529</v>
      </c>
      <c r="AO78" s="8">
        <f>('600'!G513)/1000</f>
        <v>0</v>
      </c>
      <c r="AP78" s="42">
        <f t="shared" ref="AP78:AP79" si="310">IF(AO$77=0,"N.D.",AO78/AO$77)</f>
        <v>0</v>
      </c>
      <c r="AQ78" s="8"/>
      <c r="AR78" s="42"/>
      <c r="AS78" s="8"/>
      <c r="AT78" s="42"/>
      <c r="AU78" s="11">
        <f>+AQ78+AK78+AI78+AS78+AM78+AO78</f>
        <v>505.96336999999994</v>
      </c>
      <c r="AV78" s="42">
        <f t="shared" si="305"/>
        <v>2.0868944812315947E-3</v>
      </c>
    </row>
    <row r="79" spans="2:48" x14ac:dyDescent="0.35">
      <c r="B79" s="4" t="s">
        <v>7</v>
      </c>
      <c r="C79" s="20">
        <f>C6/TC_MES</f>
        <v>240.29561377283414</v>
      </c>
      <c r="D79" s="142">
        <f t="shared" si="306"/>
        <v>0.13840062940784362</v>
      </c>
      <c r="E79" s="14">
        <f>E6/TC_MES</f>
        <v>1075.1193939547488</v>
      </c>
      <c r="F79" s="142">
        <f t="shared" si="298"/>
        <v>0.45123861494006484</v>
      </c>
      <c r="G79" s="14">
        <f>G6/TC_MES</f>
        <v>961.65286000000003</v>
      </c>
      <c r="H79" s="142">
        <f t="shared" si="299"/>
        <v>0.67592030547613036</v>
      </c>
      <c r="I79" s="14">
        <f>I6/TC_MES</f>
        <v>130.23374999999999</v>
      </c>
      <c r="J79" s="142">
        <f t="shared" si="300"/>
        <v>1</v>
      </c>
      <c r="K79" s="14">
        <f>K6/TC_MES</f>
        <v>1510.8913266107575</v>
      </c>
      <c r="L79" s="142">
        <f t="shared" si="301"/>
        <v>0.21796868060005456</v>
      </c>
      <c r="M79" s="14">
        <f>M6/TC_MES</f>
        <v>176.52568446122271</v>
      </c>
      <c r="N79" s="142">
        <f t="shared" si="302"/>
        <v>0.49368505585803246</v>
      </c>
      <c r="O79" s="14">
        <f>O6/TC_MES</f>
        <v>4094.7186287995619</v>
      </c>
      <c r="P79" s="142">
        <f t="shared" si="303"/>
        <v>0.31592490223200875</v>
      </c>
      <c r="Q79" s="25"/>
      <c r="R79" s="4" t="s">
        <v>7</v>
      </c>
      <c r="S79" s="14"/>
      <c r="T79" s="43"/>
      <c r="U79" s="14"/>
      <c r="V79" s="43"/>
      <c r="W79" s="14">
        <f>W77-W78</f>
        <v>976.54100000000005</v>
      </c>
      <c r="X79" s="43">
        <f t="shared" si="307"/>
        <v>0.64848527107073606</v>
      </c>
      <c r="Y79" s="14">
        <f>Y77-Y78</f>
        <v>116.3</v>
      </c>
      <c r="Z79" s="43">
        <f t="shared" si="308"/>
        <v>1</v>
      </c>
      <c r="AA79" s="14"/>
      <c r="AB79" s="43"/>
      <c r="AC79" s="14"/>
      <c r="AD79" s="43"/>
      <c r="AE79" s="14">
        <f>AE77-AE78</f>
        <v>1092.8409999999999</v>
      </c>
      <c r="AF79" s="43">
        <f t="shared" si="304"/>
        <v>5.1054087862697954E-3</v>
      </c>
      <c r="AH79" s="4" t="s">
        <v>7</v>
      </c>
      <c r="AI79" s="14"/>
      <c r="AJ79" s="43"/>
      <c r="AK79" s="14"/>
      <c r="AL79" s="43"/>
      <c r="AM79" s="14">
        <f>+AM77-AM78</f>
        <v>957.97793000000001</v>
      </c>
      <c r="AN79" s="43">
        <f t="shared" si="309"/>
        <v>0.65438274745032476</v>
      </c>
      <c r="AO79" s="14">
        <f>+AO77-AO78</f>
        <v>115.99403</v>
      </c>
      <c r="AP79" s="43">
        <f t="shared" si="310"/>
        <v>1</v>
      </c>
      <c r="AQ79" s="14"/>
      <c r="AR79" s="43"/>
      <c r="AS79" s="14"/>
      <c r="AT79" s="43"/>
      <c r="AU79" s="14">
        <f>+AQ79+AK79+AI79+AS79+AM79+AO79</f>
        <v>1073.9719600000001</v>
      </c>
      <c r="AV79" s="43">
        <f t="shared" si="305"/>
        <v>4.4297004273678529E-3</v>
      </c>
    </row>
    <row r="80" spans="2:48" x14ac:dyDescent="0.35">
      <c r="B80" s="1"/>
      <c r="C80" s="30"/>
      <c r="D80" s="143"/>
      <c r="E80" s="30"/>
      <c r="F80" s="143"/>
      <c r="G80" s="30"/>
      <c r="H80" s="143"/>
      <c r="I80" s="30"/>
      <c r="J80" s="143"/>
      <c r="K80" s="30"/>
      <c r="L80" s="143"/>
      <c r="M80" s="30"/>
      <c r="N80" s="143"/>
      <c r="O80" s="30"/>
      <c r="P80" s="143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>
        <f>C8/TC_MES</f>
        <v>114.72118776761508</v>
      </c>
      <c r="D81" s="144">
        <f t="shared" ref="D81:D85" si="311">IF(C$77=0,"N.D.",C81/C$77)</f>
        <v>6.6074799885707761E-2</v>
      </c>
      <c r="E81" s="8">
        <f>E8/TC_MES</f>
        <v>651.32130482150546</v>
      </c>
      <c r="F81" s="144">
        <f t="shared" ref="F81:F85" si="312">IF(E$77=0,"N.D.",E81/E$77)</f>
        <v>0.27336621878572681</v>
      </c>
      <c r="G81" s="8">
        <f>G8/TC_MES</f>
        <v>940.39877999999976</v>
      </c>
      <c r="H81" s="144">
        <f t="shared" ref="H81:H85" si="313">IF(G$77=0,"N.D.",G81/G$77)</f>
        <v>0.66098137601023732</v>
      </c>
      <c r="I81" s="8">
        <f>I8/TC_MES</f>
        <v>23.029169999999997</v>
      </c>
      <c r="J81" s="144">
        <f t="shared" si="300"/>
        <v>0.17682950847994472</v>
      </c>
      <c r="K81" s="8">
        <f>K8/TC_MES</f>
        <v>1016.5300810762877</v>
      </c>
      <c r="L81" s="144">
        <f t="shared" ref="L81:L85" si="314">IF(K$77=0,"N.D.",K81/K$77)</f>
        <v>0.1466496740433981</v>
      </c>
      <c r="M81" s="8">
        <f>M8/TC_MES</f>
        <v>12.76412728977172</v>
      </c>
      <c r="N81" s="144">
        <f t="shared" ref="N81:N85" si="315">IF(M$77=0,"N.D.",M81/M$77)</f>
        <v>3.5697121998211116E-2</v>
      </c>
      <c r="O81" s="8">
        <f>O8/TC_MES</f>
        <v>2758.7646509551791</v>
      </c>
      <c r="P81" s="144">
        <f t="shared" ref="P81:P85" si="316">IF(O$77=0,"N.D.",O81/O$77)</f>
        <v>0.21285038891418298</v>
      </c>
      <c r="Q81" s="25"/>
      <c r="R81" s="7" t="s">
        <v>8</v>
      </c>
      <c r="S81" s="8"/>
      <c r="T81" s="29"/>
      <c r="U81" s="8"/>
      <c r="V81" s="29"/>
      <c r="W81" s="8">
        <f>('600'!K470+'600'!K493+'600'!K560+'600'!K605)/1000</f>
        <v>964.93799999999999</v>
      </c>
      <c r="X81" s="29">
        <f t="shared" ref="X81:X85" si="317">IF(W$77=0,"N.D.",W81/W$77)</f>
        <v>0.64078014184397158</v>
      </c>
      <c r="Y81" s="8">
        <f>('600'!K515+'600'!K537+'600'!K582+'600'!K627+'600'!K649)/1000</f>
        <v>6.2</v>
      </c>
      <c r="Z81" s="29">
        <f t="shared" ref="Z81:Z83" si="318">IF(Y$77=0,"N.D.",Y81/Y$77)</f>
        <v>5.3310404127257099E-2</v>
      </c>
      <c r="AA81" s="8"/>
      <c r="AB81" s="29"/>
      <c r="AC81" s="8"/>
      <c r="AD81" s="29"/>
      <c r="AE81" s="8">
        <f>+AA81+U81+S81+AC81+W81+Y81</f>
        <v>971.13800000000003</v>
      </c>
      <c r="AF81" s="29">
        <f t="shared" ref="AF81:AF85" si="319">IF(AE$4=0,"N.D.",AE81/AE$4)</f>
        <v>4.5368507201692439E-3</v>
      </c>
      <c r="AH81" s="7" t="s">
        <v>8</v>
      </c>
      <c r="AI81" s="8"/>
      <c r="AJ81" s="29"/>
      <c r="AK81" s="8"/>
      <c r="AL81" s="29"/>
      <c r="AM81" s="8">
        <f>('600'!G470+'600'!G493+'600'!G560+'600'!G605)/1000</f>
        <v>922.46321</v>
      </c>
      <c r="AN81" s="29">
        <f t="shared" ref="AN81:AN85" si="320">IF(AM$77=0,"N.D.",AM81/AM$77)</f>
        <v>0.6301230862193723</v>
      </c>
      <c r="AO81" s="8">
        <f>('600'!G515)/1000</f>
        <v>10.562899999999999</v>
      </c>
      <c r="AP81" s="29">
        <f t="shared" ref="AP81:AP85" si="321">IF(AO$77=0,"N.D.",AO81/AO$77)</f>
        <v>9.106416942320221E-2</v>
      </c>
      <c r="AQ81" s="8"/>
      <c r="AR81" s="29"/>
      <c r="AS81" s="8"/>
      <c r="AT81" s="29"/>
      <c r="AU81" s="8">
        <f>+AQ81+AK81+AI81+AS81+AM81+AO81</f>
        <v>933.02611000000002</v>
      </c>
      <c r="AV81" s="29">
        <f t="shared" ref="AV81:AV85" si="322">IF(AU$4=0,"N.D.",AU81/AU$4)</f>
        <v>3.848355741254516E-3</v>
      </c>
    </row>
    <row r="82" spans="2:48" x14ac:dyDescent="0.35">
      <c r="B82" s="7" t="s">
        <v>9</v>
      </c>
      <c r="C82" s="11">
        <f>C9/TC_MES</f>
        <v>115.01166333071524</v>
      </c>
      <c r="D82" s="141">
        <f t="shared" si="311"/>
        <v>6.6242102151984936E-2</v>
      </c>
      <c r="E82" s="11">
        <f>E9/TC_MES</f>
        <v>133.60343611441888</v>
      </c>
      <c r="F82" s="141">
        <f t="shared" si="312"/>
        <v>5.6074729748611774E-2</v>
      </c>
      <c r="G82" s="11">
        <f>G9/TC_MES</f>
        <v>42.820959999999999</v>
      </c>
      <c r="H82" s="141">
        <f t="shared" si="313"/>
        <v>3.0097717760628463E-2</v>
      </c>
      <c r="I82" s="11">
        <f>I9/TC_MES</f>
        <v>1.6714200000000001</v>
      </c>
      <c r="J82" s="141">
        <f t="shared" si="300"/>
        <v>1.2834000403121312E-2</v>
      </c>
      <c r="K82" s="11">
        <f>K9/TC_MES</f>
        <v>206.28337252020575</v>
      </c>
      <c r="L82" s="141">
        <f t="shared" si="314"/>
        <v>2.9759463004411332E-2</v>
      </c>
      <c r="M82" s="11">
        <f>M9/TC_MES</f>
        <v>10.816721984342141</v>
      </c>
      <c r="N82" s="141">
        <f t="shared" si="315"/>
        <v>3.0250861302927305E-2</v>
      </c>
      <c r="O82" s="11">
        <f>O9/TC_MES</f>
        <v>510.207573949682</v>
      </c>
      <c r="P82" s="141">
        <f t="shared" si="316"/>
        <v>3.9364677412606131E-2</v>
      </c>
      <c r="Q82" s="25"/>
      <c r="R82" s="7" t="s">
        <v>9</v>
      </c>
      <c r="S82" s="8"/>
      <c r="T82" s="42"/>
      <c r="U82" s="8"/>
      <c r="V82" s="42"/>
      <c r="W82" s="8">
        <f>('600'!K471+'600'!K494+'600'!K561+'600'!K606)/1000</f>
        <v>59.290999999999997</v>
      </c>
      <c r="X82" s="42">
        <f t="shared" si="317"/>
        <v>3.937299120779876E-2</v>
      </c>
      <c r="Y82" s="8">
        <f>('600'!K516+'600'!K538+'600'!K583+'600'!K628+'600'!K650)/1000</f>
        <v>4.25</v>
      </c>
      <c r="Z82" s="42">
        <f t="shared" si="318"/>
        <v>3.6543422184006878E-2</v>
      </c>
      <c r="AA82" s="8"/>
      <c r="AB82" s="42"/>
      <c r="AC82" s="8"/>
      <c r="AD82" s="42"/>
      <c r="AE82" s="11">
        <f>+AA82+U82+S82+AC82+W82+Y82</f>
        <v>63.540999999999997</v>
      </c>
      <c r="AF82" s="42">
        <f t="shared" si="319"/>
        <v>2.9684352956044755E-4</v>
      </c>
      <c r="AH82" s="7" t="s">
        <v>9</v>
      </c>
      <c r="AI82" s="8"/>
      <c r="AJ82" s="42"/>
      <c r="AK82" s="8"/>
      <c r="AL82" s="42"/>
      <c r="AM82" s="8">
        <f>('600'!G471+'600'!G494+'600'!G561+'600'!G606)/1000</f>
        <v>64.69162</v>
      </c>
      <c r="AN82" s="42">
        <f t="shared" si="320"/>
        <v>4.4190036854619787E-2</v>
      </c>
      <c r="AO82" s="8">
        <f>('600'!G516)/1000</f>
        <v>1.9850000000000003E-2</v>
      </c>
      <c r="AP82" s="42">
        <f t="shared" si="321"/>
        <v>1.7112949692324686E-4</v>
      </c>
      <c r="AQ82" s="8"/>
      <c r="AR82" s="42"/>
      <c r="AS82" s="8"/>
      <c r="AT82" s="42"/>
      <c r="AU82" s="11">
        <f>+AQ82+AK82+AI82+AS82+AM82+AO82</f>
        <v>64.711470000000006</v>
      </c>
      <c r="AV82" s="42">
        <f t="shared" si="322"/>
        <v>2.6690866893266192E-4</v>
      </c>
    </row>
    <row r="83" spans="2:48" x14ac:dyDescent="0.35">
      <c r="B83" s="7" t="s">
        <v>10</v>
      </c>
      <c r="C83" s="11">
        <f>C10/TC_MES</f>
        <v>13.636003952469025</v>
      </c>
      <c r="D83" s="141">
        <f t="shared" si="311"/>
        <v>7.8537910034998382E-3</v>
      </c>
      <c r="E83" s="11">
        <f>E10/TC_MES</f>
        <v>39.560852821201451</v>
      </c>
      <c r="F83" s="141">
        <f t="shared" si="312"/>
        <v>1.6604094887751653E-2</v>
      </c>
      <c r="G83" s="11">
        <f>G10/TC_MES</f>
        <v>20.401400000000002</v>
      </c>
      <c r="H83" s="141">
        <f t="shared" si="313"/>
        <v>1.4339603295248065E-2</v>
      </c>
      <c r="I83" s="11">
        <f>I10/TC_MES</f>
        <v>1.0642483974765005</v>
      </c>
      <c r="J83" s="141">
        <f t="shared" si="300"/>
        <v>8.1718325509055872E-3</v>
      </c>
      <c r="K83" s="11">
        <f>K10/TC_MES</f>
        <v>112.92666751121133</v>
      </c>
      <c r="L83" s="141">
        <f t="shared" si="314"/>
        <v>1.6291361455621798E-2</v>
      </c>
      <c r="M83" s="11">
        <f>M10/TC_MES</f>
        <v>1.2578940434264867</v>
      </c>
      <c r="N83" s="141">
        <f t="shared" si="315"/>
        <v>3.5179214457537302E-3</v>
      </c>
      <c r="O83" s="11">
        <f>O10/TC_MES</f>
        <v>188.84706672578483</v>
      </c>
      <c r="P83" s="141">
        <f t="shared" si="316"/>
        <v>1.4570351836271596E-2</v>
      </c>
      <c r="Q83" s="25"/>
      <c r="R83" s="7" t="s">
        <v>10</v>
      </c>
      <c r="S83" s="8"/>
      <c r="T83" s="42"/>
      <c r="U83" s="8"/>
      <c r="V83" s="42"/>
      <c r="W83" s="8">
        <f>('600'!K472+'600'!K495+'600'!K562+'600'!K607)/1000</f>
        <v>26.803999999999998</v>
      </c>
      <c r="X83" s="42">
        <f t="shared" si="317"/>
        <v>1.7799559061811032E-2</v>
      </c>
      <c r="Y83" s="8">
        <f>('600'!K517+'600'!K539+'600'!K584+'600'!K629+'600'!K651)/1000</f>
        <v>21.1</v>
      </c>
      <c r="Z83" s="42">
        <f t="shared" si="318"/>
        <v>0.18142734307824593</v>
      </c>
      <c r="AA83" s="8"/>
      <c r="AB83" s="42"/>
      <c r="AC83" s="8"/>
      <c r="AD83" s="42"/>
      <c r="AE83" s="11">
        <f>+AA83+U83+S83+AC83+W83+Y83</f>
        <v>47.903999999999996</v>
      </c>
      <c r="AF83" s="42">
        <f t="shared" si="319"/>
        <v>2.2379239294414126E-4</v>
      </c>
      <c r="AH83" s="7" t="s">
        <v>10</v>
      </c>
      <c r="AI83" s="8"/>
      <c r="AJ83" s="42"/>
      <c r="AK83" s="8"/>
      <c r="AL83" s="42"/>
      <c r="AM83" s="8">
        <f>('600'!G472+'600'!G495+'600'!G562+'600'!G607)/1000</f>
        <v>31.834089999999996</v>
      </c>
      <c r="AN83" s="42">
        <f t="shared" si="320"/>
        <v>2.1745468892775958E-2</v>
      </c>
      <c r="AO83" s="8">
        <f>('600'!G517)/1000</f>
        <v>41.507330000000003</v>
      </c>
      <c r="AP83" s="42">
        <f t="shared" si="321"/>
        <v>0.35784022677718846</v>
      </c>
      <c r="AQ83" s="8"/>
      <c r="AR83" s="42"/>
      <c r="AS83" s="8"/>
      <c r="AT83" s="42"/>
      <c r="AU83" s="11">
        <f>+AQ83+AK83+AI83+AS83+AM83+AO83</f>
        <v>73.341419999999999</v>
      </c>
      <c r="AV83" s="42">
        <f t="shared" si="322"/>
        <v>3.0250372599836329E-4</v>
      </c>
    </row>
    <row r="84" spans="2:48" x14ac:dyDescent="0.35">
      <c r="B84" s="4" t="s">
        <v>11</v>
      </c>
      <c r="C84" s="14">
        <f>C11/TC_MES</f>
        <v>243.36885505079937</v>
      </c>
      <c r="D84" s="142">
        <f t="shared" si="311"/>
        <v>0.14017069304119256</v>
      </c>
      <c r="E84" s="14">
        <f>E11/TC_MES</f>
        <v>824.4855937571258</v>
      </c>
      <c r="F84" s="142">
        <f t="shared" si="312"/>
        <v>0.34604504342209025</v>
      </c>
      <c r="G84" s="14">
        <f>G11/TC_MES</f>
        <v>1003.6211399999999</v>
      </c>
      <c r="H84" s="142">
        <f t="shared" si="313"/>
        <v>0.70541869706611393</v>
      </c>
      <c r="I84" s="14">
        <f>I11/TC_MES</f>
        <v>25.764838397476499</v>
      </c>
      <c r="J84" s="142">
        <f t="shared" si="300"/>
        <v>0.19783534143397163</v>
      </c>
      <c r="K84" s="14">
        <f>K11/TC_MES</f>
        <v>1335.7401211077047</v>
      </c>
      <c r="L84" s="142">
        <f t="shared" si="314"/>
        <v>0.19270049850343121</v>
      </c>
      <c r="M84" s="14">
        <f>M11/TC_MES</f>
        <v>24.838743317540349</v>
      </c>
      <c r="N84" s="142">
        <f t="shared" si="315"/>
        <v>6.9465904746892154E-2</v>
      </c>
      <c r="O84" s="14">
        <f>O11/TC_MES</f>
        <v>3457.8192916306461</v>
      </c>
      <c r="P84" s="142">
        <f t="shared" si="316"/>
        <v>0.26678541816306073</v>
      </c>
      <c r="Q84" s="25"/>
      <c r="R84" s="4" t="s">
        <v>11</v>
      </c>
      <c r="S84" s="14"/>
      <c r="T84" s="43"/>
      <c r="U84" s="14"/>
      <c r="V84" s="43"/>
      <c r="W84" s="14">
        <f>SUM(W81:W83)</f>
        <v>1051.0330000000001</v>
      </c>
      <c r="X84" s="43">
        <f t="shared" si="317"/>
        <v>0.69795269211358146</v>
      </c>
      <c r="Y84" s="14">
        <f>SUM(Y81:Y83)</f>
        <v>31.55</v>
      </c>
      <c r="Z84" s="43">
        <f>IF(Y$77=0,"N.D.",Y84/Y$77)</f>
        <v>0.27128116938950991</v>
      </c>
      <c r="AA84" s="14"/>
      <c r="AB84" s="43"/>
      <c r="AC84" s="14"/>
      <c r="AD84" s="43"/>
      <c r="AE84" s="14">
        <f>SUM(AE81:AE83)</f>
        <v>1082.5830000000001</v>
      </c>
      <c r="AF84" s="43">
        <f t="shared" si="319"/>
        <v>5.0574866426738333E-3</v>
      </c>
      <c r="AH84" s="4" t="s">
        <v>11</v>
      </c>
      <c r="AI84" s="14"/>
      <c r="AJ84" s="43"/>
      <c r="AK84" s="14"/>
      <c r="AL84" s="43"/>
      <c r="AM84" s="14">
        <f>SUM(AM81:AM83)</f>
        <v>1018.9889199999999</v>
      </c>
      <c r="AN84" s="43">
        <f t="shared" si="320"/>
        <v>0.696058591966768</v>
      </c>
      <c r="AO84" s="14">
        <f>SUM(AO81:AO83)</f>
        <v>52.09008</v>
      </c>
      <c r="AP84" s="43">
        <f t="shared" si="321"/>
        <v>0.4490755256973139</v>
      </c>
      <c r="AQ84" s="14"/>
      <c r="AR84" s="43"/>
      <c r="AS84" s="14"/>
      <c r="AT84" s="43"/>
      <c r="AU84" s="14">
        <f>SUM(AU81:AU83)</f>
        <v>1071.079</v>
      </c>
      <c r="AV84" s="43">
        <f t="shared" si="322"/>
        <v>4.417768136185541E-3</v>
      </c>
    </row>
    <row r="85" spans="2:48" x14ac:dyDescent="0.35">
      <c r="B85" s="4" t="s">
        <v>12</v>
      </c>
      <c r="C85" s="20">
        <f>C16/TC_MES</f>
        <v>-53.925425523829041</v>
      </c>
      <c r="D85" s="145">
        <f t="shared" si="311"/>
        <v>-3.1058880835999163E-2</v>
      </c>
      <c r="E85" s="20">
        <f>E16/TC_MES</f>
        <v>119.44223213154596</v>
      </c>
      <c r="F85" s="145">
        <f t="shared" si="312"/>
        <v>5.0131127477974789E-2</v>
      </c>
      <c r="G85" s="20">
        <f>G16/TC_MES</f>
        <v>-49.718279999999815</v>
      </c>
      <c r="H85" s="145">
        <f t="shared" si="313"/>
        <v>-3.4945661166491677E-2</v>
      </c>
      <c r="I85" s="20">
        <f>I16/TC_MES</f>
        <v>104.46891160252349</v>
      </c>
      <c r="J85" s="145">
        <f t="shared" si="300"/>
        <v>0.80216465856602837</v>
      </c>
      <c r="K85" s="20">
        <f>K16/TC_MES</f>
        <v>48.469505941371423</v>
      </c>
      <c r="L85" s="145">
        <f t="shared" si="314"/>
        <v>6.9924514578267837E-3</v>
      </c>
      <c r="M85" s="20">
        <f>M16/TC_MES</f>
        <v>147.78514479718257</v>
      </c>
      <c r="N85" s="145">
        <f t="shared" si="315"/>
        <v>0.41330709288489642</v>
      </c>
      <c r="O85" s="20">
        <f>O16/TC_MES</f>
        <v>316.52208894879357</v>
      </c>
      <c r="P85" s="145">
        <f t="shared" si="316"/>
        <v>2.4421021093391882E-2</v>
      </c>
      <c r="Q85" s="25"/>
      <c r="R85" s="4" t="s">
        <v>12</v>
      </c>
      <c r="S85" s="20"/>
      <c r="T85" s="45"/>
      <c r="U85" s="20"/>
      <c r="V85" s="45"/>
      <c r="W85" s="20">
        <f>W79-W84</f>
        <v>-74.492000000000075</v>
      </c>
      <c r="X85" s="45">
        <f t="shared" si="317"/>
        <v>-4.9467421042845426E-2</v>
      </c>
      <c r="Y85" s="20">
        <f>Y79-Y84</f>
        <v>84.75</v>
      </c>
      <c r="Z85" s="45">
        <f>IF(Y$77=0,"N.D.",Y85/Y$77)</f>
        <v>0.72871883061049014</v>
      </c>
      <c r="AA85" s="20"/>
      <c r="AB85" s="45"/>
      <c r="AC85" s="20"/>
      <c r="AD85" s="45"/>
      <c r="AE85" s="20">
        <f>AE79-AE84</f>
        <v>10.257999999999811</v>
      </c>
      <c r="AF85" s="45">
        <f t="shared" si="319"/>
        <v>4.7922143595961896E-5</v>
      </c>
      <c r="AH85" s="4" t="s">
        <v>12</v>
      </c>
      <c r="AI85" s="20"/>
      <c r="AJ85" s="45"/>
      <c r="AK85" s="20"/>
      <c r="AL85" s="45"/>
      <c r="AM85" s="20">
        <f>+AM79-AM84</f>
        <v>-61.010989999999879</v>
      </c>
      <c r="AN85" s="45">
        <f t="shared" si="320"/>
        <v>-4.1675844516443301E-2</v>
      </c>
      <c r="AO85" s="20">
        <f>+AO79-AO84</f>
        <v>63.903949999999995</v>
      </c>
      <c r="AP85" s="45">
        <f t="shared" si="321"/>
        <v>0.5509244743026861</v>
      </c>
      <c r="AQ85" s="20"/>
      <c r="AR85" s="45"/>
      <c r="AS85" s="20"/>
      <c r="AT85" s="45"/>
      <c r="AU85" s="20">
        <f>+AU79-AU84</f>
        <v>2.8929600000001301</v>
      </c>
      <c r="AV85" s="45">
        <f t="shared" si="322"/>
        <v>1.193229118231232E-5</v>
      </c>
    </row>
    <row r="86" spans="2:48" x14ac:dyDescent="0.35">
      <c r="B86" s="1"/>
      <c r="C86" s="30"/>
      <c r="D86" s="143"/>
      <c r="E86" s="30"/>
      <c r="F86" s="143"/>
      <c r="G86" s="30"/>
      <c r="H86" s="143"/>
      <c r="I86" s="30"/>
      <c r="J86" s="143"/>
      <c r="K86" s="30"/>
      <c r="L86" s="143"/>
      <c r="M86" s="30"/>
      <c r="N86" s="143"/>
      <c r="O86" s="30"/>
      <c r="P86" s="143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>
        <f t="shared" ref="C87:C93" si="323">C18/TC_MES</f>
        <v>0</v>
      </c>
      <c r="D87" s="144">
        <f t="shared" ref="D87:D93" si="324">IF(C$77=0,"N.D.",C87/C$77)</f>
        <v>0</v>
      </c>
      <c r="E87" s="8">
        <f t="shared" ref="E87:E93" si="325">E18/TC_MES</f>
        <v>5.6712772048949809</v>
      </c>
      <c r="F87" s="144">
        <f t="shared" ref="F87:F93" si="326">IF(E$77=0,"N.D.",E87/E$77)</f>
        <v>2.3802930960667656E-3</v>
      </c>
      <c r="G87" s="8">
        <f t="shared" ref="G87:G93" si="327">G18/TC_MES</f>
        <v>0</v>
      </c>
      <c r="H87" s="144">
        <f t="shared" ref="H87:H93" si="328">IF(G$77=0,"N.D.",G87/G$77)</f>
        <v>0</v>
      </c>
      <c r="I87" s="8">
        <f t="shared" ref="I87:I93" si="329">I18/TC_MES</f>
        <v>0</v>
      </c>
      <c r="J87" s="144">
        <f t="shared" ref="J87:J93" si="330">IF(I$77=0,"N.D.",I87/I$77)</f>
        <v>0</v>
      </c>
      <c r="K87" s="8">
        <f t="shared" ref="K87:K93" si="331">K18/TC_MES</f>
        <v>-58.799083837948764</v>
      </c>
      <c r="L87" s="144">
        <f t="shared" ref="L87:L93" si="332">IF(K$77=0,"N.D.",K87/K$77)</f>
        <v>-8.4826476258881133E-3</v>
      </c>
      <c r="M87" s="8">
        <f t="shared" ref="M87:M93" si="333">M18/TC_MES</f>
        <v>2.767247713395323</v>
      </c>
      <c r="N87" s="144">
        <f t="shared" ref="N87:N93" si="334">IF(M$77=0,"N.D.",M87/M$77)</f>
        <v>7.739093866879659E-3</v>
      </c>
      <c r="O87" s="8">
        <f t="shared" ref="O87:O93" si="335">O18/TC_MES</f>
        <v>-50.360558919658459</v>
      </c>
      <c r="P87" s="144">
        <f t="shared" ref="P87:P93" si="336">IF(O$77=0,"N.D.",O87/O$77)</f>
        <v>-3.885530629904784E-3</v>
      </c>
      <c r="Q87" s="25"/>
      <c r="R87" s="7" t="s">
        <v>13</v>
      </c>
      <c r="S87" s="8"/>
      <c r="T87" s="29"/>
      <c r="U87" s="8"/>
      <c r="V87" s="29"/>
      <c r="W87" s="8">
        <f>('600'!K475+'600'!K498+'600'!K565+'600'!K610)/1000</f>
        <v>0</v>
      </c>
      <c r="X87" s="29">
        <f t="shared" ref="X87:X93" si="337">IF(W$77=0,"N.D.",W87/W$77)</f>
        <v>0</v>
      </c>
      <c r="Y87" s="8">
        <f>('600'!K520+'600'!K542+'600'!K587+'600'!K632+'600'!K654)/1000</f>
        <v>0</v>
      </c>
      <c r="Z87" s="29">
        <f t="shared" ref="Z87:Z93" si="338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9">IF(AE$4=0,"N.D.",AE87/AE$4)</f>
        <v>0</v>
      </c>
      <c r="AH87" s="7" t="s">
        <v>13</v>
      </c>
      <c r="AI87" s="8"/>
      <c r="AJ87" s="29"/>
      <c r="AK87" s="8"/>
      <c r="AL87" s="29"/>
      <c r="AM87" s="8">
        <f>('600'!G475+'600'!G498+'600'!G565+'600'!G610)/1000</f>
        <v>0</v>
      </c>
      <c r="AN87" s="29">
        <f t="shared" ref="AN87:AN93" si="340">IF(AM$77=0,"N.D.",AM87/AM$77)</f>
        <v>0</v>
      </c>
      <c r="AO87" s="8">
        <f>('600'!G520)/1000</f>
        <v>0</v>
      </c>
      <c r="AP87" s="29">
        <f t="shared" ref="AP87:AP93" si="341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>
        <f t="shared" si="323"/>
        <v>0</v>
      </c>
      <c r="D88" s="141">
        <f t="shared" si="324"/>
        <v>0</v>
      </c>
      <c r="E88" s="11">
        <f t="shared" si="325"/>
        <v>-7.0254493399883442</v>
      </c>
      <c r="F88" s="141">
        <f t="shared" si="326"/>
        <v>-2.9486530029439345E-3</v>
      </c>
      <c r="G88" s="11">
        <f t="shared" si="327"/>
        <v>-112.68999000000002</v>
      </c>
      <c r="H88" s="141">
        <f t="shared" si="328"/>
        <v>-7.920680698116167E-2</v>
      </c>
      <c r="I88" s="11">
        <f t="shared" si="329"/>
        <v>0.48016000000000009</v>
      </c>
      <c r="J88" s="141">
        <f t="shared" si="330"/>
        <v>3.6869091153406866E-3</v>
      </c>
      <c r="K88" s="11">
        <f t="shared" si="331"/>
        <v>-332.65584078643997</v>
      </c>
      <c r="L88" s="141">
        <f t="shared" si="332"/>
        <v>-4.7990582401961267E-2</v>
      </c>
      <c r="M88" s="11">
        <f t="shared" si="333"/>
        <v>0</v>
      </c>
      <c r="N88" s="141">
        <f t="shared" si="334"/>
        <v>0</v>
      </c>
      <c r="O88" s="11">
        <f t="shared" si="335"/>
        <v>-451.89112012642835</v>
      </c>
      <c r="P88" s="141">
        <f t="shared" si="336"/>
        <v>-3.4865315760977809E-2</v>
      </c>
      <c r="Q88" s="25"/>
      <c r="R88" s="7" t="s">
        <v>14</v>
      </c>
      <c r="S88" s="8"/>
      <c r="T88" s="42"/>
      <c r="U88" s="8"/>
      <c r="V88" s="42"/>
      <c r="W88" s="8">
        <f>('600'!K476+'600'!K499+'600'!K566+'600'!K611)/1000</f>
        <v>-37.444000000000003</v>
      </c>
      <c r="X88" s="42">
        <f t="shared" si="337"/>
        <v>-2.4865195101867348E-2</v>
      </c>
      <c r="Y88" s="8">
        <f>('600'!K521+'600'!K543+'600'!K588+'600'!K633+'600'!K655)/1000</f>
        <v>0</v>
      </c>
      <c r="Z88" s="42">
        <f t="shared" si="338"/>
        <v>0</v>
      </c>
      <c r="AA88" s="8"/>
      <c r="AB88" s="42"/>
      <c r="AC88" s="8"/>
      <c r="AD88" s="42"/>
      <c r="AE88" s="11">
        <f>+AA88+U88+S88+AC88+W88+Y88</f>
        <v>-37.444000000000003</v>
      </c>
      <c r="AF88" s="42">
        <f t="shared" si="339"/>
        <v>-1.749265690005099E-4</v>
      </c>
      <c r="AH88" s="7" t="s">
        <v>14</v>
      </c>
      <c r="AI88" s="8"/>
      <c r="AJ88" s="42"/>
      <c r="AK88" s="8"/>
      <c r="AL88" s="42"/>
      <c r="AM88" s="8">
        <f>('600'!G476+'600'!G499+'600'!G566+'600'!G611)/1000</f>
        <v>-11.895820000000001</v>
      </c>
      <c r="AN88" s="42">
        <f t="shared" si="340"/>
        <v>-8.125885921792083E-3</v>
      </c>
      <c r="AO88" s="8">
        <f>('600'!G521)/1000</f>
        <v>1.3005</v>
      </c>
      <c r="AP88" s="42">
        <f t="shared" si="341"/>
        <v>1.1211783916810202E-2</v>
      </c>
      <c r="AQ88" s="8"/>
      <c r="AR88" s="42"/>
      <c r="AS88" s="8"/>
      <c r="AT88" s="42"/>
      <c r="AU88" s="11">
        <f>+AQ88+AK88+AI88+AS88+AM88+AO88</f>
        <v>-10.595320000000001</v>
      </c>
      <c r="AV88" s="42">
        <f t="shared" ref="AV88:AV93" si="342">IF(AU$4=0,"N.D.",AU88/AU$4)</f>
        <v>-4.3701414264204036E-5</v>
      </c>
    </row>
    <row r="89" spans="2:48" x14ac:dyDescent="0.35">
      <c r="B89" s="7" t="s">
        <v>15</v>
      </c>
      <c r="C89" s="11">
        <f t="shared" si="323"/>
        <v>2.6033732802959282</v>
      </c>
      <c r="D89" s="141">
        <f t="shared" si="324"/>
        <v>1.4994385245714066E-3</v>
      </c>
      <c r="E89" s="11">
        <f t="shared" si="325"/>
        <v>28.715395373584332</v>
      </c>
      <c r="F89" s="141">
        <f t="shared" si="326"/>
        <v>1.2052145379100021E-2</v>
      </c>
      <c r="G89" s="11">
        <f t="shared" si="327"/>
        <v>4.468</v>
      </c>
      <c r="H89" s="141">
        <f t="shared" si="328"/>
        <v>3.1404387700436414E-3</v>
      </c>
      <c r="I89" s="11">
        <f t="shared" si="329"/>
        <v>31.317360000000001</v>
      </c>
      <c r="J89" s="141">
        <f t="shared" si="330"/>
        <v>0.24047038498085177</v>
      </c>
      <c r="K89" s="11">
        <f t="shared" si="331"/>
        <v>26.55100534596772</v>
      </c>
      <c r="L89" s="141">
        <f t="shared" si="332"/>
        <v>3.8303797910122796E-3</v>
      </c>
      <c r="M89" s="11">
        <f t="shared" si="333"/>
        <v>0.22541842965365225</v>
      </c>
      <c r="N89" s="141">
        <f t="shared" si="334"/>
        <v>6.3042219818974462E-4</v>
      </c>
      <c r="O89" s="11">
        <f t="shared" si="335"/>
        <v>93.880552429501634</v>
      </c>
      <c r="P89" s="141">
        <f t="shared" si="336"/>
        <v>7.2432826370959682E-3</v>
      </c>
      <c r="Q89" s="25"/>
      <c r="R89" s="7" t="s">
        <v>15</v>
      </c>
      <c r="S89" s="8"/>
      <c r="T89" s="42"/>
      <c r="U89" s="8"/>
      <c r="V89" s="42"/>
      <c r="W89" s="8">
        <f>('600'!K477+'600'!K500+'600'!K567+'600'!K612)/1000</f>
        <v>16.59</v>
      </c>
      <c r="X89" s="42">
        <f t="shared" si="337"/>
        <v>1.1016814088772012E-2</v>
      </c>
      <c r="Y89" s="8">
        <f>('600'!K522+'600'!K544+'600'!K589+'600'!K634+'600'!K656)/1000</f>
        <v>25.5</v>
      </c>
      <c r="Z89" s="42">
        <f t="shared" si="338"/>
        <v>0.21926053310404128</v>
      </c>
      <c r="AA89" s="8"/>
      <c r="AB89" s="42"/>
      <c r="AC89" s="8"/>
      <c r="AD89" s="42"/>
      <c r="AE89" s="11">
        <f>+AA89+U89+S89+AC89+W89+Y89</f>
        <v>42.09</v>
      </c>
      <c r="AF89" s="42">
        <f t="shared" si="339"/>
        <v>1.9663121699688767E-4</v>
      </c>
      <c r="AH89" s="7" t="s">
        <v>15</v>
      </c>
      <c r="AI89" s="8"/>
      <c r="AJ89" s="42"/>
      <c r="AK89" s="8"/>
      <c r="AL89" s="42"/>
      <c r="AM89" s="8">
        <f>('600'!G477+'600'!G500+'600'!G567+'600'!G612)/1000</f>
        <v>26.854470000000003</v>
      </c>
      <c r="AN89" s="42">
        <f t="shared" si="340"/>
        <v>1.8343952725426903E-2</v>
      </c>
      <c r="AO89" s="8">
        <f>('600'!G522)/1000</f>
        <v>27.40681</v>
      </c>
      <c r="AP89" s="42">
        <f t="shared" si="341"/>
        <v>0.23627776360559247</v>
      </c>
      <c r="AQ89" s="8"/>
      <c r="AR89" s="42"/>
      <c r="AS89" s="8"/>
      <c r="AT89" s="42"/>
      <c r="AU89" s="11">
        <f>+AQ89+AK89+AI89+AS89+AM89+AO89</f>
        <v>54.261279999999999</v>
      </c>
      <c r="AV89" s="42">
        <f t="shared" si="342"/>
        <v>2.2380585728283515E-4</v>
      </c>
    </row>
    <row r="90" spans="2:48" x14ac:dyDescent="0.35">
      <c r="B90" s="7" t="s">
        <v>16</v>
      </c>
      <c r="C90" s="11">
        <f t="shared" si="323"/>
        <v>3.9930071701841952E-4</v>
      </c>
      <c r="D90" s="141">
        <f t="shared" si="324"/>
        <v>2.2998118729955843E-7</v>
      </c>
      <c r="E90" s="11">
        <f t="shared" si="325"/>
        <v>7.3450581469000991</v>
      </c>
      <c r="F90" s="141">
        <f t="shared" si="326"/>
        <v>3.0827960908320663E-3</v>
      </c>
      <c r="G90" s="11">
        <f t="shared" si="327"/>
        <v>0</v>
      </c>
      <c r="H90" s="141">
        <f t="shared" si="328"/>
        <v>0</v>
      </c>
      <c r="I90" s="11">
        <f t="shared" si="329"/>
        <v>0</v>
      </c>
      <c r="J90" s="141">
        <f t="shared" si="330"/>
        <v>0</v>
      </c>
      <c r="K90" s="11">
        <f t="shared" si="331"/>
        <v>4.3933213407991082E-4</v>
      </c>
      <c r="L90" s="141">
        <f t="shared" si="332"/>
        <v>6.3380233855346444E-8</v>
      </c>
      <c r="M90" s="11">
        <f t="shared" si="333"/>
        <v>25.821955965441234</v>
      </c>
      <c r="N90" s="141">
        <f t="shared" si="334"/>
        <v>7.2215631465022509E-2</v>
      </c>
      <c r="O90" s="11">
        <f t="shared" si="335"/>
        <v>33.167852745192427</v>
      </c>
      <c r="P90" s="141">
        <f t="shared" si="336"/>
        <v>2.5590404581333956E-3</v>
      </c>
      <c r="Q90" s="25"/>
      <c r="R90" s="7" t="s">
        <v>16</v>
      </c>
      <c r="S90" s="8"/>
      <c r="T90" s="42"/>
      <c r="U90" s="8"/>
      <c r="V90" s="42"/>
      <c r="W90" s="8">
        <f>('600'!K478+'600'!K501+'600'!K568+'600'!K613)/1000</f>
        <v>0</v>
      </c>
      <c r="X90" s="42">
        <f t="shared" si="337"/>
        <v>0</v>
      </c>
      <c r="Y90" s="8">
        <f>('600'!K523+'600'!K545+'600'!K590+'600'!K635+'600'!K657)/1000</f>
        <v>0</v>
      </c>
      <c r="Z90" s="42">
        <f t="shared" si="338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9"/>
        <v>0</v>
      </c>
      <c r="AH90" s="7" t="s">
        <v>16</v>
      </c>
      <c r="AI90" s="8"/>
      <c r="AJ90" s="42"/>
      <c r="AK90" s="8"/>
      <c r="AL90" s="42"/>
      <c r="AM90" s="8">
        <f>('600'!G478+'600'!G501+'600'!G568+'600'!G613)/1000</f>
        <v>0</v>
      </c>
      <c r="AN90" s="42">
        <f t="shared" si="340"/>
        <v>0</v>
      </c>
      <c r="AO90" s="8">
        <f>('600'!G523)/1000</f>
        <v>0</v>
      </c>
      <c r="AP90" s="42">
        <f t="shared" si="341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2"/>
        <v>0</v>
      </c>
    </row>
    <row r="91" spans="2:48" x14ac:dyDescent="0.35">
      <c r="B91" s="7"/>
      <c r="C91" s="11">
        <f t="shared" si="323"/>
        <v>0</v>
      </c>
      <c r="D91" s="141">
        <f t="shared" si="324"/>
        <v>0</v>
      </c>
      <c r="E91" s="11">
        <f t="shared" si="325"/>
        <v>0</v>
      </c>
      <c r="F91" s="141">
        <f t="shared" si="326"/>
        <v>0</v>
      </c>
      <c r="G91" s="11">
        <f t="shared" si="327"/>
        <v>0</v>
      </c>
      <c r="H91" s="141">
        <f t="shared" si="328"/>
        <v>0</v>
      </c>
      <c r="I91" s="11">
        <f t="shared" si="329"/>
        <v>0</v>
      </c>
      <c r="J91" s="141">
        <f t="shared" si="330"/>
        <v>0</v>
      </c>
      <c r="K91" s="11">
        <f t="shared" si="331"/>
        <v>0</v>
      </c>
      <c r="L91" s="141">
        <f t="shared" si="332"/>
        <v>0</v>
      </c>
      <c r="M91" s="11">
        <f t="shared" si="333"/>
        <v>0</v>
      </c>
      <c r="N91" s="141">
        <f t="shared" si="334"/>
        <v>0</v>
      </c>
      <c r="O91" s="11">
        <f t="shared" si="335"/>
        <v>0</v>
      </c>
      <c r="P91" s="141">
        <f t="shared" si="336"/>
        <v>0</v>
      </c>
      <c r="Q91" s="25"/>
      <c r="R91" s="7"/>
      <c r="S91" s="8"/>
      <c r="T91" s="42"/>
      <c r="U91" s="8"/>
      <c r="V91" s="42"/>
      <c r="W91" s="8">
        <f>('600'!K479+'600'!K502+'600'!K569+'600'!K614)/1000</f>
        <v>0</v>
      </c>
      <c r="X91" s="42">
        <f t="shared" si="337"/>
        <v>0</v>
      </c>
      <c r="Y91" s="8">
        <f>('600'!K524+'600'!K546+'600'!K591+'600'!K636+'600'!K658)/1000</f>
        <v>0</v>
      </c>
      <c r="Z91" s="42">
        <f t="shared" si="338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9"/>
        <v>0</v>
      </c>
      <c r="AH91" s="7"/>
      <c r="AI91" s="8"/>
      <c r="AJ91" s="42"/>
      <c r="AK91" s="8"/>
      <c r="AL91" s="42"/>
      <c r="AM91" s="8">
        <f>('600'!G479+'600'!G502+'600'!G569+'600'!G614)/1000</f>
        <v>0</v>
      </c>
      <c r="AN91" s="42">
        <f t="shared" si="340"/>
        <v>0</v>
      </c>
      <c r="AO91" s="8">
        <f>('600'!G524)/1000</f>
        <v>0</v>
      </c>
      <c r="AP91" s="42">
        <f t="shared" si="341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2"/>
        <v>0</v>
      </c>
    </row>
    <row r="92" spans="2:48" x14ac:dyDescent="0.35">
      <c r="B92" s="4" t="s">
        <v>17</v>
      </c>
      <c r="C92" s="14">
        <f t="shared" si="323"/>
        <v>2.6037725810129468</v>
      </c>
      <c r="D92" s="142">
        <f t="shared" si="324"/>
        <v>1.4996685057587062E-3</v>
      </c>
      <c r="E92" s="14">
        <f t="shared" si="325"/>
        <v>34.706281385391073</v>
      </c>
      <c r="F92" s="142">
        <f t="shared" si="326"/>
        <v>1.4566581563054919E-2</v>
      </c>
      <c r="G92" s="14">
        <f t="shared" si="327"/>
        <v>-108.22199000000002</v>
      </c>
      <c r="H92" s="142">
        <f t="shared" si="328"/>
        <v>-7.6066368211118021E-2</v>
      </c>
      <c r="I92" s="14">
        <f t="shared" si="329"/>
        <v>31.797519999999999</v>
      </c>
      <c r="J92" s="142">
        <f t="shared" si="330"/>
        <v>0.24415729409619244</v>
      </c>
      <c r="K92" s="14">
        <f t="shared" si="331"/>
        <v>-364.90347994628695</v>
      </c>
      <c r="L92" s="142">
        <f t="shared" si="332"/>
        <v>-5.2642786856603251E-2</v>
      </c>
      <c r="M92" s="14">
        <f t="shared" si="333"/>
        <v>28.814622108490205</v>
      </c>
      <c r="N92" s="142">
        <f t="shared" si="334"/>
        <v>8.0585147530091897E-2</v>
      </c>
      <c r="O92" s="14">
        <f t="shared" si="335"/>
        <v>-375.20327387139275</v>
      </c>
      <c r="P92" s="142">
        <f t="shared" si="336"/>
        <v>-2.8948523295653231E-2</v>
      </c>
      <c r="Q92" s="25"/>
      <c r="R92" s="4" t="s">
        <v>17</v>
      </c>
      <c r="S92" s="14"/>
      <c r="T92" s="43"/>
      <c r="U92" s="14"/>
      <c r="V92" s="43"/>
      <c r="W92" s="8">
        <f>('600'!K480+'600'!K503+'600'!K570+'600'!K615)/1000</f>
        <v>-20.853999999999999</v>
      </c>
      <c r="X92" s="43">
        <f t="shared" si="337"/>
        <v>-1.3848381013095332E-2</v>
      </c>
      <c r="Y92" s="8">
        <f>('600'!K525+'600'!K547+'600'!K592+'600'!K637+'600'!K659)/1000</f>
        <v>25.5</v>
      </c>
      <c r="Z92" s="43">
        <f t="shared" si="338"/>
        <v>0.21926053310404128</v>
      </c>
      <c r="AA92" s="14"/>
      <c r="AB92" s="43"/>
      <c r="AC92" s="14"/>
      <c r="AD92" s="43"/>
      <c r="AE92" s="14">
        <f>AE87+AE88+AE89-AE90</f>
        <v>4.6460000000000008</v>
      </c>
      <c r="AF92" s="43">
        <f t="shared" si="339"/>
        <v>2.1704647996377765E-5</v>
      </c>
      <c r="AH92" s="4" t="s">
        <v>17</v>
      </c>
      <c r="AI92" s="14"/>
      <c r="AJ92" s="43"/>
      <c r="AK92" s="14"/>
      <c r="AL92" s="43"/>
      <c r="AM92" s="8">
        <f>('600'!G480+'600'!G503+'600'!G570+'600'!G615)/1000</f>
        <v>14.95865</v>
      </c>
      <c r="AN92" s="43">
        <f t="shared" si="340"/>
        <v>1.0218066803634818E-2</v>
      </c>
      <c r="AO92" s="8">
        <f>('600'!G525)/1000</f>
        <v>28.70731</v>
      </c>
      <c r="AP92" s="43">
        <f t="shared" si="341"/>
        <v>0.24748954752240268</v>
      </c>
      <c r="AQ92" s="14"/>
      <c r="AR92" s="43"/>
      <c r="AS92" s="14"/>
      <c r="AT92" s="43"/>
      <c r="AU92" s="14">
        <f>AU87+AU88+AU89-AU90</f>
        <v>43.665959999999998</v>
      </c>
      <c r="AV92" s="43">
        <f t="shared" si="342"/>
        <v>1.8010444301863111E-4</v>
      </c>
    </row>
    <row r="93" spans="2:48" x14ac:dyDescent="0.35">
      <c r="B93" s="4" t="s">
        <v>18</v>
      </c>
      <c r="C93" s="14">
        <f t="shared" si="323"/>
        <v>-56.529198104841996</v>
      </c>
      <c r="D93" s="142">
        <f t="shared" si="324"/>
        <v>-3.2558549341757871E-2</v>
      </c>
      <c r="E93" s="14">
        <f t="shared" si="325"/>
        <v>84.735950746154899</v>
      </c>
      <c r="F93" s="142">
        <f t="shared" si="326"/>
        <v>3.5564545914919872E-2</v>
      </c>
      <c r="G93" s="14">
        <f t="shared" si="327"/>
        <v>58.503710000000197</v>
      </c>
      <c r="H93" s="142">
        <f t="shared" si="328"/>
        <v>4.1120707044626344E-2</v>
      </c>
      <c r="I93" s="14">
        <f t="shared" si="329"/>
        <v>72.671391602523485</v>
      </c>
      <c r="J93" s="142">
        <f t="shared" si="330"/>
        <v>0.5580073644698359</v>
      </c>
      <c r="K93" s="14">
        <f t="shared" si="331"/>
        <v>413.37298588765833</v>
      </c>
      <c r="L93" s="142">
        <f t="shared" si="332"/>
        <v>5.9635238314430031E-2</v>
      </c>
      <c r="M93" s="14">
        <f t="shared" si="333"/>
        <v>118.97052268869237</v>
      </c>
      <c r="N93" s="142">
        <f t="shared" si="334"/>
        <v>0.33272194535480454</v>
      </c>
      <c r="O93" s="14">
        <f t="shared" si="335"/>
        <v>691.72536282018632</v>
      </c>
      <c r="P93" s="142">
        <f t="shared" si="336"/>
        <v>5.3369544389045113E-2</v>
      </c>
      <c r="Q93" s="25"/>
      <c r="R93" s="4" t="s">
        <v>18</v>
      </c>
      <c r="S93" s="14"/>
      <c r="T93" s="43"/>
      <c r="U93" s="14"/>
      <c r="V93" s="43"/>
      <c r="W93" s="14">
        <f>+W85-W92</f>
        <v>-53.638000000000076</v>
      </c>
      <c r="X93" s="43">
        <f t="shared" si="337"/>
        <v>-3.5619040029750096E-2</v>
      </c>
      <c r="Y93" s="14">
        <f>+Y85-Y92</f>
        <v>59.25</v>
      </c>
      <c r="Z93" s="43">
        <f t="shared" si="338"/>
        <v>0.50945829750644889</v>
      </c>
      <c r="AA93" s="14"/>
      <c r="AB93" s="43"/>
      <c r="AC93" s="14"/>
      <c r="AD93" s="43"/>
      <c r="AE93" s="14">
        <f>+AE85-AE92</f>
        <v>5.61199999999981</v>
      </c>
      <c r="AF93" s="43">
        <f t="shared" si="339"/>
        <v>2.6217495599584134E-5</v>
      </c>
      <c r="AH93" s="4" t="s">
        <v>18</v>
      </c>
      <c r="AI93" s="14"/>
      <c r="AJ93" s="43"/>
      <c r="AK93" s="14"/>
      <c r="AL93" s="43"/>
      <c r="AM93" s="14">
        <f>+AM85-AM92</f>
        <v>-75.969639999999885</v>
      </c>
      <c r="AN93" s="43">
        <f t="shared" si="340"/>
        <v>-5.1893911320078125E-2</v>
      </c>
      <c r="AO93" s="14">
        <f>+AO85-AO92</f>
        <v>35.196639999999995</v>
      </c>
      <c r="AP93" s="43">
        <f t="shared" si="341"/>
        <v>0.30343492678028339</v>
      </c>
      <c r="AQ93" s="14"/>
      <c r="AR93" s="43"/>
      <c r="AS93" s="14"/>
      <c r="AT93" s="43"/>
      <c r="AU93" s="14">
        <f>+AU85-AU92</f>
        <v>-40.772999999999868</v>
      </c>
      <c r="AV93" s="43">
        <f t="shared" si="342"/>
        <v>-1.6817215183631879E-4</v>
      </c>
    </row>
    <row r="94" spans="2:48" x14ac:dyDescent="0.35">
      <c r="B94" s="1"/>
      <c r="C94" s="30"/>
      <c r="D94" s="143"/>
      <c r="E94" s="30"/>
      <c r="F94" s="143"/>
      <c r="G94" s="30"/>
      <c r="H94" s="143"/>
      <c r="I94" s="30"/>
      <c r="J94" s="143"/>
      <c r="K94" s="30"/>
      <c r="L94" s="143"/>
      <c r="M94" s="30"/>
      <c r="N94" s="143"/>
      <c r="O94" s="30"/>
      <c r="P94" s="143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>
        <f t="shared" ref="C95:C103" si="343">C26/TC_MES</f>
        <v>0</v>
      </c>
      <c r="D95" s="144">
        <f t="shared" ref="D95:D102" si="344">IF(C$77=0,"N.D.",C95/C$77)</f>
        <v>0</v>
      </c>
      <c r="E95" s="8">
        <f t="shared" ref="E95:E103" si="345">E26/TC_MES</f>
        <v>61.420739314398631</v>
      </c>
      <c r="F95" s="144">
        <f t="shared" ref="F95:F103" si="346">IF(E$77=0,"N.D.",E95/E$77)</f>
        <v>2.5778913014372198E-2</v>
      </c>
      <c r="G95" s="8">
        <f t="shared" ref="G95:G103" si="347">G26/TC_MES</f>
        <v>0</v>
      </c>
      <c r="H95" s="144">
        <f t="shared" ref="H95:H103" si="348">IF(G$77=0,"N.D.",G95/G$77)</f>
        <v>0</v>
      </c>
      <c r="I95" s="8">
        <f t="shared" ref="I95:I103" si="349">I26/TC_MES</f>
        <v>0</v>
      </c>
      <c r="J95" s="144">
        <f t="shared" ref="J95:J103" si="350">IF(I$77=0,"N.D.",I95/I$77)</f>
        <v>0</v>
      </c>
      <c r="K95" s="8">
        <f t="shared" ref="K95:K103" si="351">K26/TC_MES</f>
        <v>106.40081988395956</v>
      </c>
      <c r="L95" s="144">
        <f t="shared" ref="L95:L103" si="352">IF(K$77=0,"N.D.",K95/K$77)</f>
        <v>1.5349910292287721E-2</v>
      </c>
      <c r="M95" s="8">
        <f t="shared" ref="M95:M103" si="353">M26/TC_MES</f>
        <v>0</v>
      </c>
      <c r="N95" s="144">
        <f t="shared" ref="N95:N103" si="354">IF(M$77=0,"N.D.",M95/M$77)</f>
        <v>0</v>
      </c>
      <c r="O95" s="8">
        <f t="shared" ref="O95:O103" si="355">O26/TC_MES</f>
        <v>167.82155919835819</v>
      </c>
      <c r="P95" s="144">
        <f t="shared" ref="P95:P103" si="356">IF(O$77=0,"N.D.",O95/O$77)</f>
        <v>1.294814479052692E-2</v>
      </c>
      <c r="Q95" s="25"/>
      <c r="R95" s="7" t="s">
        <v>35</v>
      </c>
      <c r="S95" s="8"/>
      <c r="T95" s="29"/>
      <c r="U95" s="8"/>
      <c r="V95" s="29"/>
      <c r="W95" s="8">
        <f>('600'!K482+'600'!K505+'600'!K572+'600'!K617)/1000</f>
        <v>0</v>
      </c>
      <c r="X95" s="29">
        <f t="shared" ref="X95:X98" si="357">IF(W$77=0,"N.D.",W95/W$77)</f>
        <v>0</v>
      </c>
      <c r="Y95" s="8">
        <f>('600'!K527+'600'!K549+'600'!K594+'600'!K639+'600'!K661)/1000</f>
        <v>0</v>
      </c>
      <c r="Z95" s="29">
        <f t="shared" ref="Z95:Z98" si="358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9">IF(AE$4=0,"N.D.",AE95/AE$4)</f>
        <v>0</v>
      </c>
      <c r="AH95" s="7" t="s">
        <v>35</v>
      </c>
      <c r="AI95" s="8"/>
      <c r="AJ95" s="29"/>
      <c r="AK95" s="8"/>
      <c r="AL95" s="29"/>
      <c r="AM95" s="8">
        <f>('600'!G482+'600'!G505+'600'!G572+'600'!G617)/1000</f>
        <v>0</v>
      </c>
      <c r="AN95" s="29">
        <f t="shared" ref="AN95:AN98" si="360">IF(AM$77=0,"N.D.",AM95/AM$77)</f>
        <v>0</v>
      </c>
      <c r="AO95" s="8">
        <f>('600'!G527)/1000</f>
        <v>0</v>
      </c>
      <c r="AP95" s="29">
        <f t="shared" ref="AP95:AP98" si="361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62">IF(AU$4=0,"N.D.",AU95/AU$4)</f>
        <v>0</v>
      </c>
    </row>
    <row r="96" spans="2:48" x14ac:dyDescent="0.35">
      <c r="B96" s="7" t="s">
        <v>43</v>
      </c>
      <c r="C96" s="11">
        <f t="shared" si="343"/>
        <v>0</v>
      </c>
      <c r="D96" s="141">
        <f t="shared" si="344"/>
        <v>0</v>
      </c>
      <c r="E96" s="11">
        <f t="shared" si="345"/>
        <v>0</v>
      </c>
      <c r="F96" s="141">
        <f t="shared" si="346"/>
        <v>0</v>
      </c>
      <c r="G96" s="11">
        <f t="shared" si="347"/>
        <v>0</v>
      </c>
      <c r="H96" s="141">
        <f t="shared" si="348"/>
        <v>0</v>
      </c>
      <c r="I96" s="11">
        <f t="shared" si="349"/>
        <v>0</v>
      </c>
      <c r="J96" s="141">
        <f t="shared" si="350"/>
        <v>0</v>
      </c>
      <c r="K96" s="11">
        <f t="shared" si="351"/>
        <v>0</v>
      </c>
      <c r="L96" s="141">
        <f t="shared" si="352"/>
        <v>0</v>
      </c>
      <c r="M96" s="11">
        <f t="shared" si="353"/>
        <v>0</v>
      </c>
      <c r="N96" s="141">
        <f t="shared" si="354"/>
        <v>0</v>
      </c>
      <c r="O96" s="11">
        <f t="shared" si="355"/>
        <v>0</v>
      </c>
      <c r="P96" s="141">
        <f t="shared" si="356"/>
        <v>0</v>
      </c>
      <c r="Q96" s="25"/>
      <c r="R96" s="7" t="s">
        <v>43</v>
      </c>
      <c r="S96" s="8"/>
      <c r="T96" s="42"/>
      <c r="U96" s="8"/>
      <c r="V96" s="42"/>
      <c r="W96" s="8">
        <f>('600'!K483+'600'!K506+'600'!K573+'600'!K618)/1000</f>
        <v>0</v>
      </c>
      <c r="X96" s="42">
        <f t="shared" si="357"/>
        <v>0</v>
      </c>
      <c r="Y96" s="8">
        <f>('600'!K528+'600'!K550+'600'!K595+'600'!K640+'600'!K662)/1000</f>
        <v>0</v>
      </c>
      <c r="Z96" s="42">
        <f t="shared" si="358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9"/>
        <v>0</v>
      </c>
      <c r="AH96" s="7" t="s">
        <v>43</v>
      </c>
      <c r="AI96" s="8"/>
      <c r="AJ96" s="42"/>
      <c r="AK96" s="8"/>
      <c r="AL96" s="42"/>
      <c r="AM96" s="8">
        <f>('600'!G483+'600'!G506+'600'!G573+'600'!G618)/1000</f>
        <v>0</v>
      </c>
      <c r="AN96" s="42">
        <f t="shared" si="360"/>
        <v>0</v>
      </c>
      <c r="AO96" s="8">
        <f>('600'!G528)/1000</f>
        <v>0</v>
      </c>
      <c r="AP96" s="42">
        <f t="shared" si="361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62"/>
        <v>0</v>
      </c>
    </row>
    <row r="97" spans="2:48" x14ac:dyDescent="0.35">
      <c r="B97" s="4" t="s">
        <v>21</v>
      </c>
      <c r="C97" s="14">
        <f t="shared" si="343"/>
        <v>-56.529198104841996</v>
      </c>
      <c r="D97" s="142">
        <f t="shared" si="344"/>
        <v>-3.2558549341757871E-2</v>
      </c>
      <c r="E97" s="14">
        <f t="shared" si="345"/>
        <v>23.315211431756264</v>
      </c>
      <c r="F97" s="142">
        <f t="shared" si="346"/>
        <v>9.7856329005476719E-3</v>
      </c>
      <c r="G97" s="14">
        <f t="shared" si="347"/>
        <v>58.503710000000197</v>
      </c>
      <c r="H97" s="142">
        <f t="shared" si="348"/>
        <v>4.1120707044626344E-2</v>
      </c>
      <c r="I97" s="14">
        <f t="shared" si="349"/>
        <v>72.671391602523485</v>
      </c>
      <c r="J97" s="142">
        <f t="shared" si="350"/>
        <v>0.5580073644698359</v>
      </c>
      <c r="K97" s="14">
        <f t="shared" si="351"/>
        <v>306.97216600369876</v>
      </c>
      <c r="L97" s="142">
        <f t="shared" si="352"/>
        <v>4.4285328022142308E-2</v>
      </c>
      <c r="M97" s="14">
        <f t="shared" si="353"/>
        <v>118.97052268869237</v>
      </c>
      <c r="N97" s="142">
        <f t="shared" si="354"/>
        <v>0.33272194535480454</v>
      </c>
      <c r="O97" s="14">
        <f t="shared" si="355"/>
        <v>523.90380362182816</v>
      </c>
      <c r="P97" s="142">
        <f t="shared" si="356"/>
        <v>4.0421399598518197E-2</v>
      </c>
      <c r="Q97" s="25"/>
      <c r="R97" s="4" t="s">
        <v>21</v>
      </c>
      <c r="S97" s="14"/>
      <c r="T97" s="43"/>
      <c r="U97" s="14"/>
      <c r="V97" s="43"/>
      <c r="W97" s="14">
        <f>+W93-W95-W96</f>
        <v>-53.638000000000076</v>
      </c>
      <c r="X97" s="43">
        <f t="shared" si="357"/>
        <v>-3.5619040029750096E-2</v>
      </c>
      <c r="Y97" s="14">
        <f>+Y93-Y95-Y96</f>
        <v>59.25</v>
      </c>
      <c r="Z97" s="43">
        <f t="shared" si="358"/>
        <v>0.50945829750644889</v>
      </c>
      <c r="AA97" s="14"/>
      <c r="AB97" s="43"/>
      <c r="AC97" s="14"/>
      <c r="AD97" s="43"/>
      <c r="AE97" s="14">
        <f>+AE93-AE95-AE96</f>
        <v>5.61199999999981</v>
      </c>
      <c r="AF97" s="43">
        <f t="shared" si="359"/>
        <v>2.6217495599584134E-5</v>
      </c>
      <c r="AH97" s="4" t="s">
        <v>21</v>
      </c>
      <c r="AI97" s="14"/>
      <c r="AJ97" s="43"/>
      <c r="AK97" s="14"/>
      <c r="AL97" s="43"/>
      <c r="AM97" s="14">
        <f>+AM93-AM95-AM96</f>
        <v>-75.969639999999885</v>
      </c>
      <c r="AN97" s="43">
        <f t="shared" si="360"/>
        <v>-5.1893911320078125E-2</v>
      </c>
      <c r="AO97" s="14">
        <f>+AO93-AO95-AO96</f>
        <v>35.196639999999995</v>
      </c>
      <c r="AP97" s="43">
        <f t="shared" si="361"/>
        <v>0.30343492678028339</v>
      </c>
      <c r="AQ97" s="14"/>
      <c r="AR97" s="43"/>
      <c r="AS97" s="14"/>
      <c r="AT97" s="43"/>
      <c r="AU97" s="14">
        <f>+AU93-AU95-AU96</f>
        <v>-40.772999999999868</v>
      </c>
      <c r="AV97" s="43">
        <f t="shared" si="362"/>
        <v>-1.6817215183631879E-4</v>
      </c>
    </row>
    <row r="98" spans="2:48" x14ac:dyDescent="0.35">
      <c r="B98" s="4" t="s">
        <v>22</v>
      </c>
      <c r="C98" s="20">
        <f t="shared" si="343"/>
        <v>-40.289421571360016</v>
      </c>
      <c r="D98" s="145">
        <f t="shared" si="344"/>
        <v>-2.3205089832499325E-2</v>
      </c>
      <c r="E98" s="20">
        <f t="shared" si="345"/>
        <v>159.00308495274743</v>
      </c>
      <c r="F98" s="145">
        <f t="shared" si="346"/>
        <v>6.6735222365726446E-2</v>
      </c>
      <c r="G98" s="20">
        <f t="shared" si="347"/>
        <v>-29.316879999999816</v>
      </c>
      <c r="H98" s="145">
        <f t="shared" si="348"/>
        <v>-2.0606057871243613E-2</v>
      </c>
      <c r="I98" s="20">
        <f t="shared" si="349"/>
        <v>105.53316</v>
      </c>
      <c r="J98" s="145">
        <f t="shared" si="350"/>
        <v>0.81033649111693407</v>
      </c>
      <c r="K98" s="20">
        <f t="shared" si="351"/>
        <v>161.39617345258276</v>
      </c>
      <c r="L98" s="145">
        <f t="shared" si="352"/>
        <v>2.3283812913448582E-2</v>
      </c>
      <c r="M98" s="20">
        <f t="shared" si="353"/>
        <v>149.04303884060906</v>
      </c>
      <c r="N98" s="145">
        <f t="shared" si="354"/>
        <v>0.41682501433065017</v>
      </c>
      <c r="O98" s="20">
        <f t="shared" si="355"/>
        <v>505.36915567457839</v>
      </c>
      <c r="P98" s="145">
        <f t="shared" si="356"/>
        <v>3.8991372929663481E-2</v>
      </c>
      <c r="Q98" s="25"/>
      <c r="R98" s="4" t="s">
        <v>22</v>
      </c>
      <c r="S98" s="20"/>
      <c r="T98" s="45"/>
      <c r="U98" s="20"/>
      <c r="V98" s="45"/>
      <c r="W98" s="20">
        <f>+W85+W83</f>
        <v>-47.688000000000073</v>
      </c>
      <c r="X98" s="45">
        <f t="shared" si="357"/>
        <v>-3.1667861981034391E-2</v>
      </c>
      <c r="Y98" s="20">
        <f>+Y85+Y83</f>
        <v>105.85</v>
      </c>
      <c r="Z98" s="45">
        <f t="shared" si="358"/>
        <v>0.91014617368873596</v>
      </c>
      <c r="AA98" s="20"/>
      <c r="AB98" s="45"/>
      <c r="AC98" s="20"/>
      <c r="AD98" s="45"/>
      <c r="AE98" s="20">
        <f>+AE85+AE83</f>
        <v>58.161999999999807</v>
      </c>
      <c r="AF98" s="45">
        <f t="shared" si="359"/>
        <v>2.7171453654010314E-4</v>
      </c>
      <c r="AH98" s="4" t="s">
        <v>22</v>
      </c>
      <c r="AI98" s="20"/>
      <c r="AJ98" s="45"/>
      <c r="AK98" s="20"/>
      <c r="AL98" s="45"/>
      <c r="AM98" s="20">
        <f>+AM85+AM83</f>
        <v>-29.176899999999883</v>
      </c>
      <c r="AN98" s="45">
        <f t="shared" si="360"/>
        <v>-1.9930375623667344E-2</v>
      </c>
      <c r="AO98" s="20">
        <f>+AO85+AO83</f>
        <v>105.41128</v>
      </c>
      <c r="AP98" s="45">
        <f t="shared" si="361"/>
        <v>0.90876470107987461</v>
      </c>
      <c r="AQ98" s="20"/>
      <c r="AR98" s="45"/>
      <c r="AS98" s="20"/>
      <c r="AT98" s="45"/>
      <c r="AU98" s="20">
        <f>+AU85+AU83</f>
        <v>76.234380000000129</v>
      </c>
      <c r="AV98" s="45">
        <f t="shared" si="362"/>
        <v>3.1443601718067563E-4</v>
      </c>
    </row>
    <row r="99" spans="2:48" x14ac:dyDescent="0.35">
      <c r="B99" s="4" t="s">
        <v>36</v>
      </c>
      <c r="C99" s="20">
        <f t="shared" si="343"/>
        <v>-42.893194152372971</v>
      </c>
      <c r="D99" s="145">
        <f t="shared" si="344"/>
        <v>-2.4704758338258036E-2</v>
      </c>
      <c r="E99" s="20">
        <f t="shared" si="345"/>
        <v>68.547341457852696</v>
      </c>
      <c r="F99" s="145">
        <f t="shared" si="346"/>
        <v>2.8770020884366088E-2</v>
      </c>
      <c r="G99" s="20">
        <f t="shared" si="347"/>
        <v>78.905110000000207</v>
      </c>
      <c r="H99" s="145">
        <f t="shared" si="348"/>
        <v>5.5460310339874419E-2</v>
      </c>
      <c r="I99" s="20">
        <f t="shared" si="349"/>
        <v>73.735639999999989</v>
      </c>
      <c r="J99" s="145">
        <f t="shared" si="350"/>
        <v>0.56617919702074149</v>
      </c>
      <c r="K99" s="20">
        <f t="shared" si="351"/>
        <v>361.09974967696132</v>
      </c>
      <c r="L99" s="145">
        <f t="shared" si="352"/>
        <v>5.2094041851875987E-2</v>
      </c>
      <c r="M99" s="20">
        <f t="shared" si="353"/>
        <v>122.99566444551417</v>
      </c>
      <c r="N99" s="145">
        <f t="shared" si="354"/>
        <v>0.34397896066743788</v>
      </c>
      <c r="O99" s="20">
        <f t="shared" si="355"/>
        <v>662.39031142795454</v>
      </c>
      <c r="P99" s="145">
        <f t="shared" si="356"/>
        <v>5.1106220804885007E-2</v>
      </c>
      <c r="Q99" s="25"/>
      <c r="R99" s="25"/>
    </row>
    <row r="100" spans="2:48" x14ac:dyDescent="0.35">
      <c r="B100" s="7" t="s">
        <v>37</v>
      </c>
      <c r="C100" s="20">
        <f t="shared" si="343"/>
        <v>0</v>
      </c>
      <c r="D100" s="145">
        <f t="shared" si="344"/>
        <v>0</v>
      </c>
      <c r="E100" s="20">
        <f t="shared" si="345"/>
        <v>9.0704096886163814</v>
      </c>
      <c r="F100" s="145">
        <f t="shared" si="346"/>
        <v>3.8069437941907962E-3</v>
      </c>
      <c r="G100" s="20">
        <f t="shared" si="347"/>
        <v>0</v>
      </c>
      <c r="H100" s="145">
        <f t="shared" si="348"/>
        <v>0</v>
      </c>
      <c r="I100" s="20">
        <f t="shared" si="349"/>
        <v>0</v>
      </c>
      <c r="J100" s="145">
        <f t="shared" si="350"/>
        <v>0</v>
      </c>
      <c r="K100" s="20">
        <f t="shared" si="351"/>
        <v>0</v>
      </c>
      <c r="L100" s="145">
        <f t="shared" si="352"/>
        <v>0</v>
      </c>
      <c r="M100" s="20">
        <f t="shared" si="353"/>
        <v>0</v>
      </c>
      <c r="N100" s="145">
        <f t="shared" si="354"/>
        <v>0</v>
      </c>
      <c r="O100" s="20">
        <f t="shared" si="355"/>
        <v>0</v>
      </c>
      <c r="P100" s="145">
        <f t="shared" si="356"/>
        <v>0</v>
      </c>
      <c r="Q100" s="25"/>
      <c r="R100" s="25"/>
    </row>
    <row r="101" spans="2:48" x14ac:dyDescent="0.35">
      <c r="B101" s="4" t="s">
        <v>38</v>
      </c>
      <c r="C101" s="20">
        <f t="shared" si="343"/>
        <v>-42.893194152372971</v>
      </c>
      <c r="D101" s="145">
        <f t="shared" si="344"/>
        <v>-2.4704758338258036E-2</v>
      </c>
      <c r="E101" s="20">
        <f t="shared" si="345"/>
        <v>59.476931769236309</v>
      </c>
      <c r="F101" s="145">
        <f t="shared" si="346"/>
        <v>2.4963077090175291E-2</v>
      </c>
      <c r="G101" s="20">
        <f t="shared" si="347"/>
        <v>78.905110000000207</v>
      </c>
      <c r="H101" s="145">
        <f t="shared" si="348"/>
        <v>5.5460310339874419E-2</v>
      </c>
      <c r="I101" s="20">
        <f t="shared" si="349"/>
        <v>73.735639999999989</v>
      </c>
      <c r="J101" s="145">
        <f t="shared" si="350"/>
        <v>0.56617919702074149</v>
      </c>
      <c r="K101" s="20">
        <f t="shared" si="351"/>
        <v>361.09974967696132</v>
      </c>
      <c r="L101" s="145">
        <f t="shared" si="352"/>
        <v>5.2094041851875987E-2</v>
      </c>
      <c r="M101" s="20">
        <f t="shared" si="353"/>
        <v>122.99566444551417</v>
      </c>
      <c r="N101" s="145">
        <f t="shared" si="354"/>
        <v>0.34397896066743788</v>
      </c>
      <c r="O101" s="20">
        <f t="shared" si="355"/>
        <v>662.39031142795454</v>
      </c>
      <c r="P101" s="145">
        <f t="shared" si="356"/>
        <v>5.1106220804885007E-2</v>
      </c>
      <c r="Q101" s="25"/>
      <c r="R101" s="25"/>
    </row>
    <row r="102" spans="2:48" x14ac:dyDescent="0.35">
      <c r="B102" s="7" t="s">
        <v>39</v>
      </c>
      <c r="C102" s="20">
        <f t="shared" si="343"/>
        <v>0</v>
      </c>
      <c r="D102" s="145">
        <f t="shared" si="344"/>
        <v>0</v>
      </c>
      <c r="E102" s="20">
        <f t="shared" si="345"/>
        <v>36.585674833413563</v>
      </c>
      <c r="F102" s="145">
        <f t="shared" si="346"/>
        <v>1.5355382231317067E-2</v>
      </c>
      <c r="G102" s="20">
        <f t="shared" si="347"/>
        <v>0</v>
      </c>
      <c r="H102" s="145">
        <f t="shared" si="348"/>
        <v>0</v>
      </c>
      <c r="I102" s="20">
        <f t="shared" si="349"/>
        <v>0</v>
      </c>
      <c r="J102" s="145">
        <f t="shared" si="350"/>
        <v>0</v>
      </c>
      <c r="K102" s="20">
        <f t="shared" si="351"/>
        <v>0</v>
      </c>
      <c r="L102" s="145">
        <f t="shared" si="352"/>
        <v>0</v>
      </c>
      <c r="M102" s="20">
        <f t="shared" si="353"/>
        <v>0</v>
      </c>
      <c r="N102" s="145">
        <f t="shared" si="354"/>
        <v>0</v>
      </c>
      <c r="O102" s="20">
        <f t="shared" si="355"/>
        <v>36.585674833413563</v>
      </c>
      <c r="P102" s="145">
        <f t="shared" si="356"/>
        <v>2.8227399224807709E-3</v>
      </c>
      <c r="Q102" s="25"/>
      <c r="R102" s="25"/>
    </row>
    <row r="103" spans="2:48" x14ac:dyDescent="0.35">
      <c r="B103" s="4" t="s">
        <v>40</v>
      </c>
      <c r="C103" s="20">
        <f t="shared" si="343"/>
        <v>-42.893194152372971</v>
      </c>
      <c r="D103" s="145">
        <f>IF(C$77=0,"N.D.",C103/C$77)</f>
        <v>-2.4704758338258036E-2</v>
      </c>
      <c r="E103" s="20">
        <f t="shared" si="345"/>
        <v>22.891256935822746</v>
      </c>
      <c r="F103" s="145">
        <f t="shared" si="346"/>
        <v>9.6076948588582223E-3</v>
      </c>
      <c r="G103" s="20">
        <f t="shared" si="347"/>
        <v>78.905110000000207</v>
      </c>
      <c r="H103" s="145">
        <f t="shared" si="348"/>
        <v>5.5460310339874419E-2</v>
      </c>
      <c r="I103" s="20">
        <f t="shared" si="349"/>
        <v>73.735639999999989</v>
      </c>
      <c r="J103" s="145">
        <f t="shared" si="350"/>
        <v>0.56617919702074149</v>
      </c>
      <c r="K103" s="20">
        <f t="shared" si="351"/>
        <v>361.09974967696132</v>
      </c>
      <c r="L103" s="145">
        <f t="shared" si="352"/>
        <v>5.2094041851875987E-2</v>
      </c>
      <c r="M103" s="20">
        <f t="shared" si="353"/>
        <v>122.99566444551417</v>
      </c>
      <c r="N103" s="145">
        <f t="shared" si="354"/>
        <v>0.34397896066743788</v>
      </c>
      <c r="O103" s="20">
        <f t="shared" si="355"/>
        <v>625.80463659454097</v>
      </c>
      <c r="P103" s="145">
        <f t="shared" si="356"/>
        <v>4.8283480882404237E-2</v>
      </c>
      <c r="Q103" s="25"/>
      <c r="R103" s="25"/>
    </row>
    <row r="104" spans="2:48" x14ac:dyDescent="0.35">
      <c r="B104" s="7"/>
      <c r="C104" s="146"/>
      <c r="D104" s="147"/>
      <c r="E104" s="146"/>
      <c r="F104" s="147"/>
      <c r="G104" s="146"/>
      <c r="H104" s="147"/>
      <c r="I104" s="146"/>
      <c r="J104" s="147"/>
      <c r="K104" s="146"/>
      <c r="L104" s="147"/>
      <c r="M104" s="146"/>
      <c r="N104" s="147"/>
      <c r="O104" s="146"/>
      <c r="P104" s="25"/>
      <c r="Q104" s="25"/>
      <c r="R104" s="25"/>
    </row>
    <row r="106" spans="2:48" x14ac:dyDescent="0.35">
      <c r="C106" t="s">
        <v>708</v>
      </c>
    </row>
    <row r="107" spans="2:48" ht="14.5" customHeight="1" x14ac:dyDescent="0.35">
      <c r="B107" s="26" t="s">
        <v>119</v>
      </c>
      <c r="C107" s="7"/>
      <c r="D107" s="305" t="s">
        <v>710</v>
      </c>
      <c r="E107" s="305"/>
      <c r="F107" s="305"/>
      <c r="G107" s="305"/>
      <c r="H107" s="305"/>
      <c r="I107" s="305"/>
      <c r="J107" s="305"/>
      <c r="K107" s="305"/>
      <c r="L107" s="305"/>
      <c r="M107" s="305"/>
      <c r="N107" s="305"/>
      <c r="O107" s="305"/>
      <c r="P107" s="305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117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>
        <f>C41/TC_PROM</f>
        <v>14031.099397426569</v>
      </c>
      <c r="D109" s="29">
        <f>IF(C$109=0,"N.D.",C109/C$109)</f>
        <v>1</v>
      </c>
      <c r="E109" s="8">
        <f>E41/TC_PROM</f>
        <v>23329.507690856019</v>
      </c>
      <c r="F109" s="140">
        <f t="shared" ref="F109:F111" si="363">IF(E$109=0,"N.D.",E109/E$109)</f>
        <v>1</v>
      </c>
      <c r="G109" s="8">
        <f>G41/TC_PROM</f>
        <v>19159.704452922102</v>
      </c>
      <c r="H109" s="140">
        <f t="shared" ref="H109:H111" si="364">IF(G$109=0,"N.D.",G109/G$109)</f>
        <v>1</v>
      </c>
      <c r="I109" s="8">
        <f>I41/TC_PROM</f>
        <v>1114.4240630205993</v>
      </c>
      <c r="J109" s="140">
        <f t="shared" ref="J109:J111" si="365">IF(I$109=0,"N.D.",I109/I$109)</f>
        <v>1</v>
      </c>
      <c r="K109" s="8">
        <f>K41/TC_PROM</f>
        <v>63505.815180720398</v>
      </c>
      <c r="L109" s="140">
        <f t="shared" ref="L109:L111" si="366">IF(K$109=0,"N.D.",K109/K$109)</f>
        <v>1</v>
      </c>
      <c r="M109" s="8">
        <f>M41/TC_PROM</f>
        <v>2194.0964953228145</v>
      </c>
      <c r="N109" s="140">
        <f t="shared" ref="N109:N111" si="367">IF(M$109=0,"N.D.",M109/M$109)</f>
        <v>1</v>
      </c>
      <c r="O109" s="8">
        <f>O41/TC_PROM</f>
        <v>123334.64728026849</v>
      </c>
      <c r="P109" s="140">
        <f t="shared" ref="P109:P111" si="368">IF(O$109=0,"N.D.",O109/O$109)</f>
        <v>1</v>
      </c>
      <c r="R109" s="7" t="s">
        <v>5</v>
      </c>
      <c r="S109" s="8"/>
      <c r="T109" s="29"/>
      <c r="U109" s="8"/>
      <c r="V109" s="29"/>
      <c r="W109" s="8">
        <f>('600'!L466+'600'!L489+'600'!L556+'600'!L601)/1000</f>
        <v>14039.225</v>
      </c>
      <c r="X109" s="29">
        <f>IF(W$109=0,"N.D.",W109/W$109)</f>
        <v>1</v>
      </c>
      <c r="Y109" s="8">
        <f>('600'!L512+'600'!L534+'600'!L579+'600'!L624+'600'!L646)/1000</f>
        <v>1046.5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15085.725</v>
      </c>
      <c r="AF109" s="29">
        <f t="shared" ref="AF109:AF111" si="369">IF(AE$41=0,"N.D.",AE109/AE$41)</f>
        <v>7.1096482552403095E-3</v>
      </c>
      <c r="AH109" s="7" t="s">
        <v>5</v>
      </c>
      <c r="AI109" s="8"/>
      <c r="AJ109" s="29"/>
      <c r="AK109" s="8"/>
      <c r="AL109" s="29"/>
      <c r="AM109" s="8">
        <f>('600'!H466+'600'!H489+'600'!H556+'600'!H601)/1000</f>
        <v>13519.256239999999</v>
      </c>
      <c r="AN109" s="29">
        <f>IF(AM$109=0,"N.D.",AM109/AM$109)</f>
        <v>1</v>
      </c>
      <c r="AO109" s="8">
        <f>('600'!H512)/1000</f>
        <v>1075.8719900000001</v>
      </c>
      <c r="AP109" s="29">
        <f t="shared" ref="AP109:AP111" si="370">IF(AO$109=0,"N.D.",AO109/AO$109)</f>
        <v>1</v>
      </c>
      <c r="AQ109" s="8"/>
      <c r="AR109" s="29"/>
      <c r="AS109" s="8"/>
      <c r="AT109" s="29"/>
      <c r="AU109" s="8">
        <f>+AQ109+AK109+AI109+AS109+AM109+AO109</f>
        <v>14595.128229999998</v>
      </c>
      <c r="AV109" s="29">
        <f t="shared" ref="AV109:AV111" si="371">IF(AU$41=0,"N.D.",AU109/AU$41)</f>
        <v>6.5884034011030506E-3</v>
      </c>
    </row>
    <row r="110" spans="2:48" x14ac:dyDescent="0.35">
      <c r="B110" s="7" t="s">
        <v>6</v>
      </c>
      <c r="C110" s="11">
        <f>C42/TC_PROM</f>
        <v>11699.157815902203</v>
      </c>
      <c r="D110" s="141">
        <f t="shared" ref="D110:D111" si="372">IF(C$109=0,"N.D.",C110/C$109)</f>
        <v>0.83380193415548998</v>
      </c>
      <c r="E110" s="11">
        <f>E42/TC_PROM</f>
        <v>12452.345599062957</v>
      </c>
      <c r="F110" s="141">
        <f t="shared" si="363"/>
        <v>0.5337594673694569</v>
      </c>
      <c r="G110" s="11">
        <f>G42/TC_PROM</f>
        <v>6610.5972951882168</v>
      </c>
      <c r="H110" s="141">
        <f t="shared" si="364"/>
        <v>0.34502605775737921</v>
      </c>
      <c r="I110" s="11">
        <f>I42/TC_PROM</f>
        <v>0</v>
      </c>
      <c r="J110" s="141">
        <f t="shared" si="365"/>
        <v>0</v>
      </c>
      <c r="K110" s="11">
        <f>K42/TC_PROM</f>
        <v>49392.280409422965</v>
      </c>
      <c r="L110" s="141">
        <f t="shared" si="366"/>
        <v>0.77775996212104159</v>
      </c>
      <c r="M110" s="11">
        <f>M42/TC_PROM</f>
        <v>1274.5196327084084</v>
      </c>
      <c r="N110" s="141">
        <f t="shared" si="367"/>
        <v>0.58088586141280452</v>
      </c>
      <c r="O110" s="11">
        <f>O42/TC_PROM</f>
        <v>81428.900752284753</v>
      </c>
      <c r="P110" s="141">
        <f t="shared" si="368"/>
        <v>0.66022729661069079</v>
      </c>
      <c r="R110" s="7" t="s">
        <v>6</v>
      </c>
      <c r="S110" s="8"/>
      <c r="T110" s="42"/>
      <c r="U110" s="8"/>
      <c r="V110" s="42"/>
      <c r="W110" s="8">
        <f>('600'!L467+'600'!L490+'600'!L557+'600'!L602)/1000</f>
        <v>4935.0379999999996</v>
      </c>
      <c r="X110" s="42">
        <f t="shared" ref="X110:X111" si="373">IF(W$109=0,"N.D.",W110/W$109)</f>
        <v>0.35151783663272007</v>
      </c>
      <c r="Y110" s="8">
        <f>('600'!L513+'600'!L535+'600'!L580+'600'!L625+'600'!L647)/1000</f>
        <v>0</v>
      </c>
      <c r="Z110" s="42">
        <f t="shared" ref="Z110:Z111" si="374">IF(Y$109=0,"N.D.",Y110/Y$109)</f>
        <v>0</v>
      </c>
      <c r="AA110" s="8"/>
      <c r="AB110" s="42"/>
      <c r="AC110" s="8"/>
      <c r="AD110" s="42"/>
      <c r="AE110" s="11">
        <f>+AA110+U110+S110+AC110+W110+Y110</f>
        <v>4935.0379999999996</v>
      </c>
      <c r="AF110" s="42">
        <f t="shared" si="369"/>
        <v>2.325800338150445E-3</v>
      </c>
      <c r="AH110" s="7" t="s">
        <v>6</v>
      </c>
      <c r="AI110" s="8"/>
      <c r="AJ110" s="42"/>
      <c r="AK110" s="8"/>
      <c r="AL110" s="42"/>
      <c r="AM110" s="8">
        <f>('600'!H467+'600'!H490+'600'!H557+'600'!H602)/1000</f>
        <v>4746.4419900000003</v>
      </c>
      <c r="AN110" s="29">
        <f>IF(AM$109=0,"N.D.",AM110/AM$109)</f>
        <v>0.35108750849447623</v>
      </c>
      <c r="AO110" s="8">
        <f>('600'!H513)/1000</f>
        <v>0</v>
      </c>
      <c r="AP110" s="42">
        <f t="shared" si="370"/>
        <v>0</v>
      </c>
      <c r="AQ110" s="8"/>
      <c r="AR110" s="42"/>
      <c r="AS110" s="8"/>
      <c r="AT110" s="42"/>
      <c r="AU110" s="11">
        <f>+AQ110+AK110+AI110+AS110+AM110+AO110</f>
        <v>4746.4419900000003</v>
      </c>
      <c r="AV110" s="42">
        <f t="shared" si="371"/>
        <v>2.1425967663495022E-3</v>
      </c>
    </row>
    <row r="111" spans="2:48" x14ac:dyDescent="0.35">
      <c r="B111" s="4" t="s">
        <v>7</v>
      </c>
      <c r="C111" s="14">
        <f>C43/TC_PROM</f>
        <v>2331.9415815243674</v>
      </c>
      <c r="D111" s="142">
        <f t="shared" si="372"/>
        <v>0.16619806584451013</v>
      </c>
      <c r="E111" s="14">
        <f>E43/TC_PROM</f>
        <v>10877.162091793061</v>
      </c>
      <c r="F111" s="142">
        <f t="shared" si="363"/>
        <v>0.4662405326305431</v>
      </c>
      <c r="G111" s="14">
        <f>G43/TC_PROM</f>
        <v>12549.107157733884</v>
      </c>
      <c r="H111" s="142">
        <f t="shared" si="364"/>
        <v>0.65497394224262073</v>
      </c>
      <c r="I111" s="14">
        <f>I43/TC_PROM</f>
        <v>1114.4240630205993</v>
      </c>
      <c r="J111" s="142">
        <f t="shared" si="365"/>
        <v>1</v>
      </c>
      <c r="K111" s="14">
        <f>K43/TC_PROM</f>
        <v>14113.534771297431</v>
      </c>
      <c r="L111" s="142">
        <f t="shared" si="366"/>
        <v>0.22224003787895838</v>
      </c>
      <c r="M111" s="14">
        <f>M43/TC_PROM</f>
        <v>919.57686261440597</v>
      </c>
      <c r="N111" s="142">
        <f t="shared" si="367"/>
        <v>0.41911413858719548</v>
      </c>
      <c r="O111" s="14">
        <f>O43/TC_PROM</f>
        <v>41905.746527983727</v>
      </c>
      <c r="P111" s="142">
        <f t="shared" si="368"/>
        <v>0.33977270338930915</v>
      </c>
      <c r="R111" s="4" t="s">
        <v>7</v>
      </c>
      <c r="S111" s="14"/>
      <c r="T111" s="43"/>
      <c r="U111" s="14"/>
      <c r="V111" s="43"/>
      <c r="W111" s="14">
        <f>+W109-W110</f>
        <v>9104.1870000000017</v>
      </c>
      <c r="X111" s="43">
        <f t="shared" si="373"/>
        <v>0.64848216336728004</v>
      </c>
      <c r="Y111" s="14">
        <f>+Y109-Y110</f>
        <v>1046.5</v>
      </c>
      <c r="Z111" s="43">
        <f t="shared" si="374"/>
        <v>1</v>
      </c>
      <c r="AA111" s="14"/>
      <c r="AB111" s="43"/>
      <c r="AC111" s="14"/>
      <c r="AD111" s="43"/>
      <c r="AE111" s="14">
        <f>+AA111+U111+S111+AC111+W111+Y111</f>
        <v>10150.687000000002</v>
      </c>
      <c r="AF111" s="43">
        <f t="shared" si="369"/>
        <v>4.7838479170898649E-3</v>
      </c>
      <c r="AH111" s="4" t="s">
        <v>7</v>
      </c>
      <c r="AI111" s="14"/>
      <c r="AJ111" s="43"/>
      <c r="AK111" s="14"/>
      <c r="AL111" s="43"/>
      <c r="AM111" s="14">
        <f>+AM109-AM110</f>
        <v>8772.8142499999994</v>
      </c>
      <c r="AN111" s="43">
        <f>IF(AM$109=0,"N.D.",AM111/AM$109)</f>
        <v>0.64891249150552388</v>
      </c>
      <c r="AO111" s="14">
        <f>+AO109-AO110</f>
        <v>1075.8719900000001</v>
      </c>
      <c r="AP111" s="43">
        <f t="shared" si="370"/>
        <v>1</v>
      </c>
      <c r="AQ111" s="14"/>
      <c r="AR111" s="43"/>
      <c r="AS111" s="14"/>
      <c r="AT111" s="43"/>
      <c r="AU111" s="14">
        <f>+AQ111+AK111+AI111+AS111+AM111+AO111</f>
        <v>9848.6862399999991</v>
      </c>
      <c r="AV111" s="43">
        <f t="shared" si="371"/>
        <v>4.4458066347535484E-3</v>
      </c>
    </row>
    <row r="112" spans="2:48" x14ac:dyDescent="0.35">
      <c r="B112" s="1"/>
      <c r="C112" s="30"/>
      <c r="D112" s="143"/>
      <c r="E112" s="30"/>
      <c r="F112" s="143"/>
      <c r="G112" s="30"/>
      <c r="H112" s="143"/>
      <c r="I112" s="30"/>
      <c r="J112" s="143"/>
      <c r="K112" s="30"/>
      <c r="L112" s="143"/>
      <c r="M112" s="30"/>
      <c r="N112" s="143"/>
      <c r="O112" s="30"/>
      <c r="P112" s="143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>
        <f>C45/TC_PROM</f>
        <v>1223.7901007023236</v>
      </c>
      <c r="D113" s="144">
        <f t="shared" ref="D113:D117" si="375">IF(C$109=0,"N.D.",C113/C$109)</f>
        <v>8.7219829753809444E-2</v>
      </c>
      <c r="E113" s="8">
        <f>E45/TC_PROM</f>
        <v>5861.909469265026</v>
      </c>
      <c r="F113" s="144">
        <f t="shared" ref="F113:F117" si="376">IF(E$109=0,"N.D.",E113/E$109)</f>
        <v>0.25126588811655876</v>
      </c>
      <c r="G113" s="8">
        <f>G45/TC_PROM</f>
        <v>11607.487479868296</v>
      </c>
      <c r="H113" s="144">
        <f t="shared" ref="H113:H117" si="377">IF(G$109=0,"N.D.",G113/G$109)</f>
        <v>0.60582810702479306</v>
      </c>
      <c r="I113" s="8">
        <f>I45/TC_PROM</f>
        <v>121.4401460775137</v>
      </c>
      <c r="J113" s="144">
        <f t="shared" ref="J113:J117" si="378">IF(I$109=0,"N.D.",I113/I$109)</f>
        <v>0.10897121670933353</v>
      </c>
      <c r="K113" s="8">
        <f>K45/TC_PROM</f>
        <v>10713.914784673927</v>
      </c>
      <c r="L113" s="144">
        <f t="shared" ref="L113:L117" si="379">IF(K$109=0,"N.D.",K113/K$109)</f>
        <v>0.16870761762816552</v>
      </c>
      <c r="M113" s="8">
        <f>M45/TC_PROM</f>
        <v>74.370745734089894</v>
      </c>
      <c r="N113" s="144">
        <f t="shared" ref="N113:N117" si="380">IF(M$109=0,"N.D.",M113/M$109)</f>
        <v>3.3895840904275193E-2</v>
      </c>
      <c r="O113" s="8">
        <f>O45/TC_PROM</f>
        <v>29602.912726321181</v>
      </c>
      <c r="P113" s="144">
        <f t="shared" ref="P113:P117" si="381">IF(O$109=0,"N.D.",O113/O$109)</f>
        <v>0.2400210596058287</v>
      </c>
      <c r="R113" s="7" t="s">
        <v>8</v>
      </c>
      <c r="S113" s="8"/>
      <c r="T113" s="29"/>
      <c r="U113" s="8"/>
      <c r="V113" s="29"/>
      <c r="W113" s="8">
        <f>('600'!L470+'600'!L493+'600'!L560+'600'!L605)/1000</f>
        <v>8828.1039999999994</v>
      </c>
      <c r="X113" s="29">
        <f t="shared" ref="X113:X117" si="382">IF(W$109=0,"N.D.",W113/W$109)</f>
        <v>0.62881704652500403</v>
      </c>
      <c r="Y113" s="8">
        <f>('600'!L515+'600'!L537+'600'!L582+'600'!L627+'600'!L649)/1000</f>
        <v>55.8</v>
      </c>
      <c r="Z113" s="29">
        <f t="shared" ref="Z113:Z117" si="383">IF(Y$109=0,"N.D.",Y113/Y$109)</f>
        <v>5.3320592451027229E-2</v>
      </c>
      <c r="AA113" s="8"/>
      <c r="AB113" s="29"/>
      <c r="AC113" s="8"/>
      <c r="AD113" s="29"/>
      <c r="AE113" s="8">
        <f>+AA113+U113+S113+AC113+W113+Y113</f>
        <v>8883.9039999999986</v>
      </c>
      <c r="AF113" s="29">
        <f t="shared" ref="AF113:AF117" si="384">IF(AE$41=0,"N.D.",AE113/AE$41)</f>
        <v>4.1868344128851874E-3</v>
      </c>
      <c r="AH113" s="7" t="s">
        <v>8</v>
      </c>
      <c r="AI113" s="8"/>
      <c r="AJ113" s="29"/>
      <c r="AK113" s="8"/>
      <c r="AL113" s="29"/>
      <c r="AM113" s="8">
        <f>('600'!H470+'600'!H493+'600'!H560+'600'!H605)/1000</f>
        <v>8646.9508100000003</v>
      </c>
      <c r="AN113" s="29">
        <f t="shared" ref="AN113:AN117" si="385">IF(AM$109=0,"N.D.",AM113/AM$109)</f>
        <v>0.63960255331324356</v>
      </c>
      <c r="AO113" s="8">
        <f>('600'!H515)/1000</f>
        <v>77.370410000000007</v>
      </c>
      <c r="AP113" s="29">
        <f t="shared" ref="AP113:AP117" si="386">IF(AO$109=0,"N.D.",AO113/AO$109)</f>
        <v>7.1914141012259278E-2</v>
      </c>
      <c r="AQ113" s="8"/>
      <c r="AR113" s="29"/>
      <c r="AS113" s="8"/>
      <c r="AT113" s="29"/>
      <c r="AU113" s="8">
        <f>+AQ113+AK113+AI113+AS113+AM113+AO113</f>
        <v>8724.3212199999998</v>
      </c>
      <c r="AV113" s="29">
        <f t="shared" ref="AV113:AV117" si="387">IF(AU$41=0,"N.D.",AU113/AU$41)</f>
        <v>3.93825574481873E-3</v>
      </c>
    </row>
    <row r="114" spans="2:48" x14ac:dyDescent="0.35">
      <c r="B114" s="7" t="s">
        <v>9</v>
      </c>
      <c r="C114" s="11">
        <f>C46/TC_PROM+C51/TC_PROM+C52/TC_PROM</f>
        <v>1456.3700848822614</v>
      </c>
      <c r="D114" s="141">
        <f t="shared" si="375"/>
        <v>0.10379586400402614</v>
      </c>
      <c r="E114" s="11">
        <f>E46/TC_PROM+E51/TC_PROM+E52/TC_PROM</f>
        <v>2246.3573839192909</v>
      </c>
      <c r="F114" s="141">
        <f t="shared" si="376"/>
        <v>9.6288246356769414E-2</v>
      </c>
      <c r="G114" s="11">
        <f>G46/TC_PROM+G51/TC_PROM+G52/TC_PROM</f>
        <v>915.87483885707229</v>
      </c>
      <c r="H114" s="141">
        <f t="shared" si="377"/>
        <v>4.7802138133575936E-2</v>
      </c>
      <c r="I114" s="11">
        <f>I46/TC_PROM+I51/TC_PROM+I52/TC_PROM</f>
        <v>1.8548532033101672</v>
      </c>
      <c r="J114" s="141">
        <f t="shared" si="378"/>
        <v>1.6644051980380485E-3</v>
      </c>
      <c r="K114" s="11">
        <f>K46/TC_PROM+K51/TC_PROM+K52/TC_PROM</f>
        <v>2992.0354589079911</v>
      </c>
      <c r="L114" s="141">
        <f t="shared" si="379"/>
        <v>4.7114354022438201E-2</v>
      </c>
      <c r="M114" s="11">
        <f>M46/TC_PROM+M51/TC_PROM+M52/TC_PROM</f>
        <v>135.99962354217953</v>
      </c>
      <c r="N114" s="141">
        <f t="shared" si="380"/>
        <v>6.1984340174687756E-2</v>
      </c>
      <c r="O114" s="11">
        <f>O46/TC_PROM+O51/TC_PROM+O52/TC_PROM</f>
        <v>7748.4922433121064</v>
      </c>
      <c r="P114" s="141">
        <f t="shared" si="381"/>
        <v>6.282494347029878E-2</v>
      </c>
      <c r="R114" s="7" t="s">
        <v>9</v>
      </c>
      <c r="S114" s="8"/>
      <c r="T114" s="42"/>
      <c r="U114" s="8"/>
      <c r="V114" s="42"/>
      <c r="W114" s="8">
        <f>('600'!L471+'600'!L494+'600'!L561+'600'!L606)/1000</f>
        <v>609.9</v>
      </c>
      <c r="X114" s="42">
        <f t="shared" si="382"/>
        <v>4.3442568945223116E-2</v>
      </c>
      <c r="Y114" s="8">
        <f>('600'!L516+'600'!L538+'600'!L583+'600'!L628+'600'!L650)/1000</f>
        <v>38.25</v>
      </c>
      <c r="Z114" s="42">
        <f t="shared" si="383"/>
        <v>3.6550406115623504E-2</v>
      </c>
      <c r="AA114" s="8"/>
      <c r="AB114" s="42"/>
      <c r="AC114" s="8"/>
      <c r="AD114" s="42"/>
      <c r="AE114" s="11">
        <f>+AA114+U114+S114+AC114+W114+Y114</f>
        <v>648.15</v>
      </c>
      <c r="AF114" s="42">
        <f t="shared" si="384"/>
        <v>3.0546218472324044E-4</v>
      </c>
      <c r="AH114" s="7" t="s">
        <v>9</v>
      </c>
      <c r="AI114" s="8"/>
      <c r="AJ114" s="42"/>
      <c r="AK114" s="8"/>
      <c r="AL114" s="42"/>
      <c r="AM114" s="8">
        <f>('600'!H471+'600'!H494+'600'!H561+'600'!H606)/1000</f>
        <v>637.21325000000002</v>
      </c>
      <c r="AN114" s="42">
        <f t="shared" si="385"/>
        <v>4.713375045844978E-2</v>
      </c>
      <c r="AO114" s="8">
        <f>('600'!H516)/1000</f>
        <v>2.1804099999999997</v>
      </c>
      <c r="AP114" s="42">
        <f t="shared" si="386"/>
        <v>2.0266444523757881E-3</v>
      </c>
      <c r="AQ114" s="8"/>
      <c r="AR114" s="42"/>
      <c r="AS114" s="8"/>
      <c r="AT114" s="42"/>
      <c r="AU114" s="11">
        <f>+AQ114+AK114+AI114+AS114+AM114+AO114</f>
        <v>639.39366000000007</v>
      </c>
      <c r="AV114" s="42">
        <f t="shared" si="387"/>
        <v>2.886294178305913E-4</v>
      </c>
    </row>
    <row r="115" spans="2:48" x14ac:dyDescent="0.35">
      <c r="B115" s="7" t="s">
        <v>10</v>
      </c>
      <c r="C115" s="11">
        <f>C47/TC_PROM</f>
        <v>135.70016284683106</v>
      </c>
      <c r="D115" s="141">
        <f t="shared" si="375"/>
        <v>9.6713849002965299E-3</v>
      </c>
      <c r="E115" s="11">
        <f>E47/TC_PROM</f>
        <v>368.43364803287454</v>
      </c>
      <c r="F115" s="141">
        <f t="shared" si="376"/>
        <v>1.5792602780781432E-2</v>
      </c>
      <c r="G115" s="11">
        <f>G47/TC_PROM</f>
        <v>274.02924732239427</v>
      </c>
      <c r="H115" s="141">
        <f t="shared" si="377"/>
        <v>1.4302373400159692E-2</v>
      </c>
      <c r="I115" s="11">
        <f>I47/TC_PROM</f>
        <v>168.70898937370794</v>
      </c>
      <c r="J115" s="141">
        <f t="shared" si="378"/>
        <v>0.15138670724358674</v>
      </c>
      <c r="K115" s="11">
        <f>K47/TC_PROM</f>
        <v>936.46654567397582</v>
      </c>
      <c r="L115" s="141">
        <f t="shared" si="379"/>
        <v>1.4746154238144097E-2</v>
      </c>
      <c r="M115" s="11">
        <f>M47/TC_PROM</f>
        <v>12.743375363379595</v>
      </c>
      <c r="N115" s="141">
        <f t="shared" si="380"/>
        <v>5.8080286762887696E-3</v>
      </c>
      <c r="O115" s="11">
        <f>O47/TC_PROM</f>
        <v>1896.0819686131631</v>
      </c>
      <c r="P115" s="141">
        <f t="shared" si="381"/>
        <v>1.5373473800143627E-2</v>
      </c>
      <c r="R115" s="7" t="s">
        <v>10</v>
      </c>
      <c r="S115" s="8"/>
      <c r="T115" s="42"/>
      <c r="U115" s="8"/>
      <c r="V115" s="42"/>
      <c r="W115" s="8">
        <f>('600'!L472+'600'!L495+'600'!L562+'600'!L607)/1000</f>
        <v>241.23599999999999</v>
      </c>
      <c r="X115" s="42">
        <f t="shared" si="382"/>
        <v>1.7182999773847914E-2</v>
      </c>
      <c r="Y115" s="8">
        <f>('600'!L517+'600'!L539+'600'!L584+'600'!L629+'600'!L651)/1000</f>
        <v>189.9</v>
      </c>
      <c r="Z115" s="42">
        <f t="shared" si="383"/>
        <v>0.18146201624462494</v>
      </c>
      <c r="AA115" s="8"/>
      <c r="AB115" s="42"/>
      <c r="AC115" s="8"/>
      <c r="AD115" s="42"/>
      <c r="AE115" s="11">
        <f>+AA115+U115+S115+AC115+W115+Y115</f>
        <v>431.13599999999997</v>
      </c>
      <c r="AF115" s="42">
        <f t="shared" si="384"/>
        <v>2.031871395091244E-4</v>
      </c>
      <c r="AH115" s="7" t="s">
        <v>10</v>
      </c>
      <c r="AI115" s="8"/>
      <c r="AJ115" s="42"/>
      <c r="AK115" s="8"/>
      <c r="AL115" s="42"/>
      <c r="AM115" s="8">
        <f>('600'!H472+'600'!H495+'600'!H562+'600'!H607)/1000</f>
        <v>286.50681000000003</v>
      </c>
      <c r="AN115" s="42">
        <f t="shared" si="385"/>
        <v>2.1192497938777144E-2</v>
      </c>
      <c r="AO115" s="8">
        <f>('600'!H517)/1000</f>
        <v>373.56596999999999</v>
      </c>
      <c r="AP115" s="42">
        <f t="shared" si="386"/>
        <v>0.34722157791281466</v>
      </c>
      <c r="AQ115" s="8"/>
      <c r="AR115" s="42"/>
      <c r="AS115" s="8"/>
      <c r="AT115" s="42"/>
      <c r="AU115" s="11">
        <f>+AQ115+AK115+AI115+AS115+AM115+AO115</f>
        <v>660.07277999999997</v>
      </c>
      <c r="AV115" s="42">
        <f t="shared" si="387"/>
        <v>2.9796420286247433E-4</v>
      </c>
    </row>
    <row r="116" spans="2:48" x14ac:dyDescent="0.35">
      <c r="B116" s="4" t="s">
        <v>11</v>
      </c>
      <c r="C116" s="14">
        <f>C48/TC_PROM</f>
        <v>2391.4354752557711</v>
      </c>
      <c r="D116" s="142">
        <f t="shared" si="375"/>
        <v>0.1704382106860694</v>
      </c>
      <c r="E116" s="14">
        <f>E48/TC_PROM</f>
        <v>7273.7964471972437</v>
      </c>
      <c r="F116" s="142">
        <f t="shared" si="376"/>
        <v>0.31178525254727951</v>
      </c>
      <c r="G116" s="14">
        <f>G48/TC_PROM</f>
        <v>12727.641566047761</v>
      </c>
      <c r="H116" s="142">
        <f t="shared" si="377"/>
        <v>0.66429216574406147</v>
      </c>
      <c r="I116" s="14">
        <f>I48/TC_PROM</f>
        <v>292.00398865453184</v>
      </c>
      <c r="J116" s="142">
        <f t="shared" si="378"/>
        <v>0.26202232915095836</v>
      </c>
      <c r="K116" s="14">
        <f>K48/TC_PROM</f>
        <v>14642.416789255893</v>
      </c>
      <c r="L116" s="142">
        <f t="shared" si="379"/>
        <v>0.23056812588874781</v>
      </c>
      <c r="M116" s="14">
        <f>M48/TC_PROM</f>
        <v>187.33791916281012</v>
      </c>
      <c r="N116" s="142">
        <f t="shared" si="380"/>
        <v>8.538271655880264E-2</v>
      </c>
      <c r="O116" s="14">
        <f>O48/TC_PROM</f>
        <v>37514.632185574017</v>
      </c>
      <c r="P116" s="142">
        <f t="shared" si="381"/>
        <v>0.30416945288962399</v>
      </c>
      <c r="R116" s="4" t="s">
        <v>11</v>
      </c>
      <c r="S116" s="14"/>
      <c r="T116" s="43"/>
      <c r="U116" s="14"/>
      <c r="V116" s="43"/>
      <c r="W116" s="14">
        <f>+W115+W114+W113</f>
        <v>9679.24</v>
      </c>
      <c r="X116" s="43">
        <f t="shared" si="382"/>
        <v>0.68944261524407502</v>
      </c>
      <c r="Y116" s="14">
        <f>+Y115+Y114+Y113</f>
        <v>283.95</v>
      </c>
      <c r="Z116" s="43">
        <f t="shared" si="383"/>
        <v>0.2713330148112757</v>
      </c>
      <c r="AA116" s="14"/>
      <c r="AB116" s="43"/>
      <c r="AC116" s="14"/>
      <c r="AD116" s="43"/>
      <c r="AE116" s="14">
        <f>+AA116+U116+S116+AC116+W116+Y116</f>
        <v>9963.19</v>
      </c>
      <c r="AF116" s="43">
        <f t="shared" si="384"/>
        <v>4.6954837371175531E-3</v>
      </c>
      <c r="AH116" s="4" t="s">
        <v>11</v>
      </c>
      <c r="AI116" s="14"/>
      <c r="AJ116" s="43"/>
      <c r="AK116" s="14"/>
      <c r="AL116" s="43"/>
      <c r="AM116" s="14">
        <f>+AM115+AM114+AM113</f>
        <v>9570.6708699999999</v>
      </c>
      <c r="AN116" s="43">
        <f t="shared" si="385"/>
        <v>0.70792880171047046</v>
      </c>
      <c r="AO116" s="14">
        <f>+AO115+AO114+AO113</f>
        <v>453.11678999999998</v>
      </c>
      <c r="AP116" s="43">
        <f t="shared" si="386"/>
        <v>0.42116236337744972</v>
      </c>
      <c r="AQ116" s="14"/>
      <c r="AR116" s="43"/>
      <c r="AS116" s="14"/>
      <c r="AT116" s="43"/>
      <c r="AU116" s="14">
        <f>+AQ116+AK116+AI116+AS116+AM116+AO116</f>
        <v>10023.78766</v>
      </c>
      <c r="AV116" s="43">
        <f t="shared" si="387"/>
        <v>4.5248493655117954E-3</v>
      </c>
    </row>
    <row r="117" spans="2:48" x14ac:dyDescent="0.35">
      <c r="B117" s="4" t="s">
        <v>12</v>
      </c>
      <c r="C117" s="20">
        <f>C53/TC_PROM</f>
        <v>-483.91876690704851</v>
      </c>
      <c r="D117" s="145">
        <f t="shared" si="375"/>
        <v>-3.4489012813621975E-2</v>
      </c>
      <c r="E117" s="20">
        <f>E53/TC_PROM</f>
        <v>2400.4615905758701</v>
      </c>
      <c r="F117" s="145">
        <f t="shared" si="376"/>
        <v>0.10289379537643346</v>
      </c>
      <c r="G117" s="20">
        <f>G53/TC_PROM</f>
        <v>-248.28440831387834</v>
      </c>
      <c r="H117" s="145">
        <f t="shared" si="377"/>
        <v>-1.2958676315907983E-2</v>
      </c>
      <c r="I117" s="20">
        <f>I53/TC_PROM</f>
        <v>822.42007436606752</v>
      </c>
      <c r="J117" s="145">
        <f t="shared" si="378"/>
        <v>0.73797767084904164</v>
      </c>
      <c r="K117" s="20">
        <f>K53/TC_PROM</f>
        <v>-528.8820179584618</v>
      </c>
      <c r="L117" s="145">
        <f t="shared" si="379"/>
        <v>-8.3280880097894409E-3</v>
      </c>
      <c r="M117" s="20">
        <f>M53/TC_PROM</f>
        <v>696.46311797475687</v>
      </c>
      <c r="N117" s="145">
        <f t="shared" si="380"/>
        <v>0.31742592883194376</v>
      </c>
      <c r="O117" s="20">
        <f>O53/TC_PROM</f>
        <v>2658.2595897372817</v>
      </c>
      <c r="P117" s="145">
        <f t="shared" si="381"/>
        <v>2.1553226513038072E-2</v>
      </c>
      <c r="R117" s="4" t="s">
        <v>12</v>
      </c>
      <c r="S117" s="20"/>
      <c r="T117" s="45"/>
      <c r="U117" s="20"/>
      <c r="V117" s="45"/>
      <c r="W117" s="20">
        <f>+W111-W116</f>
        <v>-575.05299999999806</v>
      </c>
      <c r="X117" s="45">
        <f t="shared" si="382"/>
        <v>-4.0960451876795055E-2</v>
      </c>
      <c r="Y117" s="20">
        <f>+Y111-Y116</f>
        <v>762.55</v>
      </c>
      <c r="Z117" s="45">
        <f t="shared" si="383"/>
        <v>0.7286669851887243</v>
      </c>
      <c r="AA117" s="20"/>
      <c r="AB117" s="45"/>
      <c r="AC117" s="20"/>
      <c r="AD117" s="45"/>
      <c r="AE117" s="20">
        <f>+AA117+U117+S117+AC117+W117+Y117</f>
        <v>187.49700000000189</v>
      </c>
      <c r="AF117" s="45">
        <f t="shared" si="384"/>
        <v>8.8364179972311952E-5</v>
      </c>
      <c r="AH117" s="4" t="s">
        <v>12</v>
      </c>
      <c r="AI117" s="20"/>
      <c r="AJ117" s="45"/>
      <c r="AK117" s="20"/>
      <c r="AL117" s="45"/>
      <c r="AM117" s="20">
        <f>+AM111-AM116</f>
        <v>-797.85662000000048</v>
      </c>
      <c r="AN117" s="45">
        <f t="shared" si="385"/>
        <v>-5.9016310204946638E-2</v>
      </c>
      <c r="AO117" s="20">
        <f>+AO111-AO116</f>
        <v>622.75520000000006</v>
      </c>
      <c r="AP117" s="45">
        <f t="shared" si="386"/>
        <v>0.57883763662255028</v>
      </c>
      <c r="AQ117" s="20"/>
      <c r="AR117" s="45"/>
      <c r="AS117" s="20"/>
      <c r="AT117" s="45"/>
      <c r="AU117" s="20">
        <f>+AQ117+AK117+AI117+AS117+AM117+AO117</f>
        <v>-175.10142000000042</v>
      </c>
      <c r="AV117" s="45">
        <f t="shared" si="387"/>
        <v>-7.9042730758246754E-5</v>
      </c>
    </row>
    <row r="118" spans="2:48" x14ac:dyDescent="0.35">
      <c r="B118" s="1"/>
      <c r="C118" s="30"/>
      <c r="D118" s="143"/>
      <c r="E118" s="30"/>
      <c r="F118" s="143"/>
      <c r="G118" s="30"/>
      <c r="H118" s="143"/>
      <c r="I118" s="30"/>
      <c r="J118" s="143"/>
      <c r="K118" s="30"/>
      <c r="L118" s="143"/>
      <c r="M118" s="30"/>
      <c r="N118" s="143"/>
      <c r="O118" s="30"/>
      <c r="P118" s="143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>
        <f t="shared" ref="C119:C125" si="388">C55/TC_PROM</f>
        <v>0</v>
      </c>
      <c r="D119" s="144">
        <f t="shared" ref="D119:D125" si="389">IF(C$109=0,"N.D.",C119/C$109)</f>
        <v>0</v>
      </c>
      <c r="E119" s="8">
        <f t="shared" ref="E119:E125" si="390">E55/TC_PROM</f>
        <v>41.342142281897672</v>
      </c>
      <c r="F119" s="144">
        <f t="shared" ref="F119:F125" si="391">IF(E$109=0,"N.D.",E119/E$109)</f>
        <v>1.7720966438611E-3</v>
      </c>
      <c r="G119" s="8">
        <f t="shared" ref="G119:G125" si="392">G55/TC_PROM</f>
        <v>0</v>
      </c>
      <c r="H119" s="144">
        <f t="shared" ref="H119:H125" si="393">IF(G$109=0,"N.D.",G119/G$109)</f>
        <v>0</v>
      </c>
      <c r="I119" s="8">
        <f t="shared" ref="I119:I125" si="394">I55/TC_PROM</f>
        <v>0</v>
      </c>
      <c r="J119" s="144">
        <f t="shared" ref="J119:J125" si="395">IF(I$109=0,"N.D.",I119/I$109)</f>
        <v>0</v>
      </c>
      <c r="K119" s="8">
        <f t="shared" ref="K119:K125" si="396">K55/TC_PROM</f>
        <v>5.9513524489547738</v>
      </c>
      <c r="L119" s="144">
        <f t="shared" ref="L119:L125" si="397">IF(K$109=0,"N.D.",K119/K$109)</f>
        <v>9.3713503747945473E-5</v>
      </c>
      <c r="M119" s="8">
        <f t="shared" ref="M119:M125" si="398">M55/TC_PROM</f>
        <v>-18.503678709339916</v>
      </c>
      <c r="N119" s="144">
        <f t="shared" ref="N119:N125" si="399">IF(M$109=0,"N.D.",M119/M$109)</f>
        <v>-8.4333933119096899E-3</v>
      </c>
      <c r="O119" s="8">
        <f t="shared" ref="O119:O125" si="400">O55/TC_PROM</f>
        <v>28.789816021512529</v>
      </c>
      <c r="P119" s="144">
        <f t="shared" ref="P119:P125" si="401">IF(O$109=0,"N.D.",O119/O$109)</f>
        <v>2.3342845385603518E-4</v>
      </c>
      <c r="R119" s="7" t="s">
        <v>13</v>
      </c>
      <c r="S119" s="8"/>
      <c r="T119" s="29"/>
      <c r="U119" s="8"/>
      <c r="V119" s="29"/>
      <c r="W119" s="8">
        <f>('600'!L475+'600'!L498+'600'!L565+'600'!L610)/1000</f>
        <v>0</v>
      </c>
      <c r="X119" s="29">
        <f t="shared" ref="X119:X125" si="402">IF(W$109=0,"N.D.",W119/W$109)</f>
        <v>0</v>
      </c>
      <c r="Y119" s="8">
        <f>('600'!L520+'600'!L542+'600'!L587+'600'!L632+'600'!L654)/1000</f>
        <v>0</v>
      </c>
      <c r="Z119" s="29">
        <f t="shared" ref="Z119:Z125" si="403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('600'!H475+'600'!H498+'600'!H565+'600'!H610)/1000</f>
        <v>0</v>
      </c>
      <c r="AN119" s="29">
        <f t="shared" ref="AN119:AN125" si="404">IF(AM$109=0,"N.D.",AM119/AM$109)</f>
        <v>0</v>
      </c>
      <c r="AO119" s="8">
        <f>('600'!H520)/1000</f>
        <v>0</v>
      </c>
      <c r="AP119" s="29">
        <f t="shared" ref="AP119:AP125" si="405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6">IF(AU$41=0,"N.D.",AU119/AU$41)</f>
        <v>0</v>
      </c>
    </row>
    <row r="120" spans="2:48" x14ac:dyDescent="0.35">
      <c r="B120" s="7" t="s">
        <v>14</v>
      </c>
      <c r="C120" s="11">
        <f t="shared" si="388"/>
        <v>-4.7307685292045907</v>
      </c>
      <c r="D120" s="141">
        <f t="shared" si="389"/>
        <v>-3.3716306863824632E-4</v>
      </c>
      <c r="E120" s="11">
        <f t="shared" si="390"/>
        <v>-68.450769148699393</v>
      </c>
      <c r="F120" s="141">
        <f t="shared" si="391"/>
        <v>-2.9340854533132141E-3</v>
      </c>
      <c r="G120" s="11">
        <f t="shared" si="392"/>
        <v>-342.13820310319869</v>
      </c>
      <c r="H120" s="141">
        <f t="shared" si="393"/>
        <v>-1.7857175403925306E-2</v>
      </c>
      <c r="I120" s="11">
        <f t="shared" si="394"/>
        <v>4.7523128572190654</v>
      </c>
      <c r="J120" s="141">
        <f t="shared" si="395"/>
        <v>4.2643666938939947E-3</v>
      </c>
      <c r="K120" s="11">
        <f t="shared" si="396"/>
        <v>-4829.7274066226291</v>
      </c>
      <c r="L120" s="141">
        <f t="shared" si="397"/>
        <v>-7.6051734677816979E-2</v>
      </c>
      <c r="M120" s="11">
        <f t="shared" si="398"/>
        <v>0</v>
      </c>
      <c r="N120" s="141">
        <f t="shared" si="399"/>
        <v>0</v>
      </c>
      <c r="O120" s="11">
        <f t="shared" si="400"/>
        <v>-5230.8332974881041</v>
      </c>
      <c r="P120" s="141">
        <f t="shared" si="401"/>
        <v>-4.2411710033121823E-2</v>
      </c>
      <c r="R120" s="7" t="s">
        <v>14</v>
      </c>
      <c r="S120" s="8"/>
      <c r="T120" s="42"/>
      <c r="U120" s="8"/>
      <c r="V120" s="42"/>
      <c r="W120" s="8">
        <f>('600'!L476+'600'!L499+'600'!L566+'600'!L611)/1000</f>
        <v>-186.99600000000001</v>
      </c>
      <c r="X120" s="42">
        <f t="shared" si="402"/>
        <v>-1.3319538649747404E-2</v>
      </c>
      <c r="Y120" s="8">
        <f>('600'!L521+'600'!L543+'600'!L588+'600'!L633+'600'!L655)/1000</f>
        <v>0</v>
      </c>
      <c r="Z120" s="42">
        <f t="shared" si="403"/>
        <v>0</v>
      </c>
      <c r="AA120" s="8"/>
      <c r="AB120" s="42"/>
      <c r="AC120" s="8"/>
      <c r="AD120" s="42"/>
      <c r="AE120" s="11">
        <f>+AA120+U120+S120+AC120+W120+Y120</f>
        <v>-186.99600000000001</v>
      </c>
      <c r="AF120" s="42">
        <f>IF(AE$41=0,"N.D.",AE120/AE$41)</f>
        <v>-8.8128067105619178E-5</v>
      </c>
      <c r="AH120" s="7" t="s">
        <v>14</v>
      </c>
      <c r="AI120" s="8"/>
      <c r="AJ120" s="42"/>
      <c r="AK120" s="8"/>
      <c r="AL120" s="42"/>
      <c r="AM120" s="8">
        <f>('600'!H476+'600'!H499+'600'!H566+'600'!H611)/1000</f>
        <v>-62.896150000000006</v>
      </c>
      <c r="AN120" s="42">
        <f t="shared" si="404"/>
        <v>-4.6523380342408547E-3</v>
      </c>
      <c r="AO120" s="8">
        <f>('600'!H521)/1000</f>
        <v>1.32399</v>
      </c>
      <c r="AP120" s="42">
        <f t="shared" si="405"/>
        <v>1.2306203826349265E-3</v>
      </c>
      <c r="AQ120" s="8"/>
      <c r="AR120" s="42"/>
      <c r="AS120" s="8"/>
      <c r="AT120" s="42"/>
      <c r="AU120" s="11">
        <f>+AQ120+AK120+AI120+AS120+AM120+AO120</f>
        <v>-61.572160000000004</v>
      </c>
      <c r="AV120" s="42">
        <f t="shared" si="406"/>
        <v>-2.7794358635604892E-5</v>
      </c>
    </row>
    <row r="121" spans="2:48" x14ac:dyDescent="0.35">
      <c r="B121" s="7" t="s">
        <v>15</v>
      </c>
      <c r="C121" s="11">
        <f t="shared" si="388"/>
        <v>15.838911960609305</v>
      </c>
      <c r="D121" s="141">
        <f t="shared" si="389"/>
        <v>1.1288432582491935E-3</v>
      </c>
      <c r="E121" s="11">
        <f t="shared" si="390"/>
        <v>210.32330883651989</v>
      </c>
      <c r="F121" s="141">
        <f t="shared" si="391"/>
        <v>9.0153342120869503E-3</v>
      </c>
      <c r="G121" s="11">
        <f t="shared" si="392"/>
        <v>277.21328689646862</v>
      </c>
      <c r="H121" s="141">
        <f t="shared" si="393"/>
        <v>1.4468557569748422E-2</v>
      </c>
      <c r="I121" s="11">
        <f t="shared" si="394"/>
        <v>280.82963966610947</v>
      </c>
      <c r="J121" s="141">
        <f t="shared" si="395"/>
        <v>0.25199531218388499</v>
      </c>
      <c r="K121" s="11">
        <f t="shared" si="396"/>
        <v>298.22798817338509</v>
      </c>
      <c r="L121" s="141">
        <f t="shared" si="397"/>
        <v>4.6960736953727588E-3</v>
      </c>
      <c r="M121" s="11">
        <f t="shared" si="398"/>
        <v>8.0899559240912353</v>
      </c>
      <c r="N121" s="141">
        <f t="shared" si="399"/>
        <v>3.6871468239144016E-3</v>
      </c>
      <c r="O121" s="11">
        <f t="shared" si="400"/>
        <v>1058.8452675359649</v>
      </c>
      <c r="P121" s="141">
        <f t="shared" si="401"/>
        <v>8.5851404360837921E-3</v>
      </c>
      <c r="R121" s="7" t="s">
        <v>15</v>
      </c>
      <c r="S121" s="8"/>
      <c r="T121" s="42"/>
      <c r="U121" s="8"/>
      <c r="V121" s="42"/>
      <c r="W121" s="8">
        <f>('600'!L477+'600'!L500+'600'!L567+'600'!L612)/1000</f>
        <v>171.44499999999999</v>
      </c>
      <c r="X121" s="42">
        <f t="shared" si="402"/>
        <v>1.2211856423698601E-2</v>
      </c>
      <c r="Y121" s="8">
        <f>('600'!L522+'600'!L544+'600'!L589+'600'!L634+'600'!L656)/1000</f>
        <v>236.72800000000001</v>
      </c>
      <c r="Z121" s="42">
        <f t="shared" si="403"/>
        <v>0.22620926899187768</v>
      </c>
      <c r="AA121" s="8"/>
      <c r="AB121" s="42"/>
      <c r="AC121" s="8"/>
      <c r="AD121" s="42"/>
      <c r="AE121" s="11">
        <f>+AA121+U121+S121+AC121+W121+Y121</f>
        <v>408.173</v>
      </c>
      <c r="AF121" s="42">
        <f t="shared" ref="AF121:AF125" si="407">IF(AE$41=0,"N.D.",AE121/AE$41)</f>
        <v>1.9236506414416297E-4</v>
      </c>
      <c r="AH121" s="7" t="s">
        <v>15</v>
      </c>
      <c r="AI121" s="8"/>
      <c r="AJ121" s="42"/>
      <c r="AK121" s="8"/>
      <c r="AL121" s="42"/>
      <c r="AM121" s="8">
        <f>('600'!H477+'600'!H500+'600'!H567+'600'!H612)/1000</f>
        <v>205.37798999999998</v>
      </c>
      <c r="AN121" s="42">
        <f t="shared" si="404"/>
        <v>1.5191515446858636E-2</v>
      </c>
      <c r="AO121" s="8">
        <f>('600'!H522)/1000</f>
        <v>239.93044</v>
      </c>
      <c r="AP121" s="42">
        <f t="shared" si="405"/>
        <v>0.2230102114657711</v>
      </c>
      <c r="AQ121" s="8"/>
      <c r="AR121" s="42"/>
      <c r="AS121" s="8"/>
      <c r="AT121" s="42"/>
      <c r="AU121" s="11">
        <f>+AQ121+AK121+AI121+AS121+AM121+AO121</f>
        <v>445.30842999999999</v>
      </c>
      <c r="AV121" s="42">
        <f t="shared" si="406"/>
        <v>2.0101718385189275E-4</v>
      </c>
    </row>
    <row r="122" spans="2:48" x14ac:dyDescent="0.35">
      <c r="B122" s="7" t="s">
        <v>16</v>
      </c>
      <c r="C122" s="11">
        <f t="shared" si="388"/>
        <v>6.002388496669642E-3</v>
      </c>
      <c r="D122" s="141">
        <f t="shared" si="389"/>
        <v>4.277917450838196E-7</v>
      </c>
      <c r="E122" s="11">
        <f t="shared" si="390"/>
        <v>30.661335148988503</v>
      </c>
      <c r="F122" s="141">
        <f t="shared" si="391"/>
        <v>1.3142727037058818E-3</v>
      </c>
      <c r="G122" s="11">
        <f t="shared" si="392"/>
        <v>0</v>
      </c>
      <c r="H122" s="141">
        <f t="shared" si="393"/>
        <v>0</v>
      </c>
      <c r="I122" s="11">
        <f t="shared" si="394"/>
        <v>0</v>
      </c>
      <c r="J122" s="141">
        <f t="shared" si="395"/>
        <v>0</v>
      </c>
      <c r="K122" s="11">
        <f t="shared" si="396"/>
        <v>1.7044883546447193E-2</v>
      </c>
      <c r="L122" s="141">
        <f t="shared" si="397"/>
        <v>2.6839878360654153E-7</v>
      </c>
      <c r="M122" s="11">
        <f t="shared" si="398"/>
        <v>194.04366864828523</v>
      </c>
      <c r="N122" s="141">
        <f t="shared" si="399"/>
        <v>8.8438985733731754E-2</v>
      </c>
      <c r="O122" s="11">
        <f t="shared" si="400"/>
        <v>224.72805106931688</v>
      </c>
      <c r="P122" s="141">
        <f t="shared" si="401"/>
        <v>1.8220999210273791E-3</v>
      </c>
      <c r="R122" s="7" t="s">
        <v>16</v>
      </c>
      <c r="S122" s="8"/>
      <c r="T122" s="42"/>
      <c r="U122" s="8"/>
      <c r="V122" s="42"/>
      <c r="W122" s="8">
        <f>('600'!L478+'600'!L501+'600'!L568+'600'!L613)/1000</f>
        <v>0</v>
      </c>
      <c r="X122" s="42">
        <f t="shared" si="402"/>
        <v>0</v>
      </c>
      <c r="Y122" s="8">
        <f>('600'!L523+'600'!L545+'600'!L590+'600'!L635+'600'!L657)/1000</f>
        <v>0</v>
      </c>
      <c r="Z122" s="42">
        <f t="shared" si="403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7"/>
        <v>0</v>
      </c>
      <c r="AH122" s="7" t="s">
        <v>16</v>
      </c>
      <c r="AI122" s="8"/>
      <c r="AJ122" s="42"/>
      <c r="AK122" s="8"/>
      <c r="AL122" s="42"/>
      <c r="AM122" s="8">
        <f>('600'!H478+'600'!H501+'600'!H568+'600'!H613)/1000</f>
        <v>0</v>
      </c>
      <c r="AN122" s="42">
        <f t="shared" si="404"/>
        <v>0</v>
      </c>
      <c r="AO122" s="8">
        <f>('600'!H523)/1000</f>
        <v>0</v>
      </c>
      <c r="AP122" s="42">
        <f t="shared" si="405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6"/>
        <v>0</v>
      </c>
    </row>
    <row r="123" spans="2:48" x14ac:dyDescent="0.35">
      <c r="B123" s="7"/>
      <c r="C123" s="11">
        <f t="shared" si="388"/>
        <v>0</v>
      </c>
      <c r="D123" s="141">
        <f t="shared" si="389"/>
        <v>0</v>
      </c>
      <c r="E123" s="11">
        <f t="shared" si="390"/>
        <v>0</v>
      </c>
      <c r="F123" s="141">
        <f t="shared" si="391"/>
        <v>0</v>
      </c>
      <c r="G123" s="11">
        <f t="shared" si="392"/>
        <v>0</v>
      </c>
      <c r="H123" s="141">
        <f t="shared" si="393"/>
        <v>0</v>
      </c>
      <c r="I123" s="11">
        <f t="shared" si="394"/>
        <v>0</v>
      </c>
      <c r="J123" s="141">
        <f t="shared" si="395"/>
        <v>0</v>
      </c>
      <c r="K123" s="11">
        <f t="shared" si="396"/>
        <v>0</v>
      </c>
      <c r="L123" s="141">
        <f t="shared" si="397"/>
        <v>0</v>
      </c>
      <c r="M123" s="11">
        <f t="shared" si="398"/>
        <v>0</v>
      </c>
      <c r="N123" s="141">
        <f t="shared" si="399"/>
        <v>0</v>
      </c>
      <c r="O123" s="11">
        <f t="shared" si="400"/>
        <v>0</v>
      </c>
      <c r="P123" s="141">
        <f t="shared" si="401"/>
        <v>0</v>
      </c>
      <c r="R123" s="7"/>
      <c r="S123" s="8"/>
      <c r="T123" s="42"/>
      <c r="U123" s="8"/>
      <c r="V123" s="42"/>
      <c r="W123" s="8">
        <f>('600'!L479+'600'!L502+'600'!L569+'600'!L614)/1000</f>
        <v>0</v>
      </c>
      <c r="X123" s="42">
        <f t="shared" si="402"/>
        <v>0</v>
      </c>
      <c r="Y123" s="8">
        <f>('600'!L524+'600'!L546+'600'!L591+'600'!L636+'600'!L658)/1000</f>
        <v>0</v>
      </c>
      <c r="Z123" s="42">
        <f t="shared" si="403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7"/>
        <v>0</v>
      </c>
      <c r="AH123" s="7"/>
      <c r="AI123" s="8"/>
      <c r="AJ123" s="42"/>
      <c r="AK123" s="8"/>
      <c r="AL123" s="42"/>
      <c r="AM123" s="8">
        <f>('600'!H479+'600'!H502+'600'!H569+'600'!H614)/1000</f>
        <v>0</v>
      </c>
      <c r="AN123" s="42">
        <f t="shared" si="404"/>
        <v>0</v>
      </c>
      <c r="AO123" s="8">
        <f>('600'!H524)/1000</f>
        <v>0</v>
      </c>
      <c r="AP123" s="42">
        <f t="shared" si="405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6"/>
        <v>0</v>
      </c>
    </row>
    <row r="124" spans="2:48" x14ac:dyDescent="0.35">
      <c r="B124" s="4" t="s">
        <v>17</v>
      </c>
      <c r="C124" s="14">
        <f t="shared" si="388"/>
        <v>11.102141042908046</v>
      </c>
      <c r="D124" s="142">
        <f t="shared" si="389"/>
        <v>7.9125239786586362E-4</v>
      </c>
      <c r="E124" s="14">
        <f t="shared" si="390"/>
        <v>152.55334682072964</v>
      </c>
      <c r="F124" s="142">
        <f t="shared" si="391"/>
        <v>6.5390726989289537E-3</v>
      </c>
      <c r="G124" s="14">
        <f t="shared" si="392"/>
        <v>-64.924916206730089</v>
      </c>
      <c r="H124" s="142">
        <f t="shared" si="393"/>
        <v>-3.3886178341768838E-3</v>
      </c>
      <c r="I124" s="14">
        <f t="shared" si="394"/>
        <v>285.58195252332854</v>
      </c>
      <c r="J124" s="142">
        <f t="shared" si="395"/>
        <v>0.25625967887777901</v>
      </c>
      <c r="K124" s="14">
        <f t="shared" si="396"/>
        <v>-4525.5651108838356</v>
      </c>
      <c r="L124" s="142">
        <f t="shared" si="397"/>
        <v>-7.126221587747987E-2</v>
      </c>
      <c r="M124" s="14">
        <f t="shared" si="398"/>
        <v>-204.45739143353393</v>
      </c>
      <c r="N124" s="142">
        <f t="shared" si="399"/>
        <v>-9.3185232221727046E-2</v>
      </c>
      <c r="O124" s="14">
        <f t="shared" si="400"/>
        <v>-4367.9262649999437</v>
      </c>
      <c r="P124" s="142">
        <f t="shared" si="401"/>
        <v>-3.5415241064209374E-2</v>
      </c>
      <c r="R124" s="4" t="s">
        <v>17</v>
      </c>
      <c r="S124" s="14"/>
      <c r="T124" s="43"/>
      <c r="U124" s="14"/>
      <c r="V124" s="43"/>
      <c r="W124" s="14">
        <f>+W120+W121+W122</f>
        <v>-15.551000000000016</v>
      </c>
      <c r="X124" s="43">
        <f t="shared" si="402"/>
        <v>-1.1076822260488036E-3</v>
      </c>
      <c r="Y124" s="14">
        <f>+Y120+Y121+Y122</f>
        <v>236.72800000000001</v>
      </c>
      <c r="Z124" s="43">
        <f t="shared" si="403"/>
        <v>0.22620926899187768</v>
      </c>
      <c r="AA124" s="14"/>
      <c r="AB124" s="43"/>
      <c r="AC124" s="14"/>
      <c r="AD124" s="43"/>
      <c r="AE124" s="14">
        <f>AE119+AE120+AE121-AE122</f>
        <v>221.17699999999999</v>
      </c>
      <c r="AF124" s="43">
        <f t="shared" si="407"/>
        <v>1.0423699703854378E-4</v>
      </c>
      <c r="AH124" s="4" t="s">
        <v>17</v>
      </c>
      <c r="AI124" s="14"/>
      <c r="AJ124" s="43"/>
      <c r="AK124" s="14"/>
      <c r="AL124" s="43"/>
      <c r="AM124" s="8">
        <f>('600'!H480+'600'!H503+'600'!H570+'600'!H615)/1000</f>
        <v>142.48184000000001</v>
      </c>
      <c r="AN124" s="43">
        <f t="shared" si="404"/>
        <v>1.0539177412617782E-2</v>
      </c>
      <c r="AO124" s="8">
        <f>('600'!H525)/1000</f>
        <v>241.25442999999999</v>
      </c>
      <c r="AP124" s="43">
        <f t="shared" si="405"/>
        <v>0.22424083184840601</v>
      </c>
      <c r="AQ124" s="14"/>
      <c r="AR124" s="43"/>
      <c r="AS124" s="14"/>
      <c r="AT124" s="43"/>
      <c r="AU124" s="14">
        <f>AU119+AU120+AU121-AU122</f>
        <v>383.73626999999999</v>
      </c>
      <c r="AV124" s="43">
        <f t="shared" si="406"/>
        <v>1.7322282521628786E-4</v>
      </c>
    </row>
    <row r="125" spans="2:48" x14ac:dyDescent="0.35">
      <c r="B125" s="4" t="s">
        <v>18</v>
      </c>
      <c r="C125" s="14">
        <f t="shared" si="388"/>
        <v>-495.02090794995655</v>
      </c>
      <c r="D125" s="142">
        <f t="shared" si="389"/>
        <v>-3.5280265211487839E-2</v>
      </c>
      <c r="E125" s="14">
        <f t="shared" si="390"/>
        <v>2247.9082437551406</v>
      </c>
      <c r="F125" s="142">
        <f t="shared" si="391"/>
        <v>9.6354722677504528E-2</v>
      </c>
      <c r="G125" s="14">
        <f t="shared" si="392"/>
        <v>-183.35949210714827</v>
      </c>
      <c r="H125" s="142">
        <f t="shared" si="393"/>
        <v>-9.5700584817310988E-3</v>
      </c>
      <c r="I125" s="14">
        <f t="shared" si="394"/>
        <v>536.83812184273904</v>
      </c>
      <c r="J125" s="142">
        <f t="shared" si="395"/>
        <v>0.48171799197126275</v>
      </c>
      <c r="K125" s="14">
        <f t="shared" si="396"/>
        <v>3996.6830929253733</v>
      </c>
      <c r="L125" s="142">
        <f t="shared" si="397"/>
        <v>6.2934127867690426E-2</v>
      </c>
      <c r="M125" s="14">
        <f t="shared" si="398"/>
        <v>900.92050940829074</v>
      </c>
      <c r="N125" s="142">
        <f t="shared" si="399"/>
        <v>0.41061116105367074</v>
      </c>
      <c r="O125" s="14">
        <f t="shared" si="400"/>
        <v>7026.1858547372249</v>
      </c>
      <c r="P125" s="142">
        <f t="shared" si="401"/>
        <v>5.6968467577247446E-2</v>
      </c>
      <c r="R125" s="4" t="s">
        <v>18</v>
      </c>
      <c r="S125" s="14"/>
      <c r="T125" s="43"/>
      <c r="U125" s="14"/>
      <c r="V125" s="43"/>
      <c r="W125" s="14">
        <f>+W117-W124</f>
        <v>-559.50199999999802</v>
      </c>
      <c r="X125" s="43">
        <f t="shared" si="402"/>
        <v>-3.9852769650746252E-2</v>
      </c>
      <c r="Y125" s="14">
        <f>+Y117-Y124</f>
        <v>525.82199999999989</v>
      </c>
      <c r="Z125" s="43">
        <f t="shared" si="403"/>
        <v>0.50245771619684654</v>
      </c>
      <c r="AA125" s="14"/>
      <c r="AB125" s="43"/>
      <c r="AC125" s="14"/>
      <c r="AD125" s="43"/>
      <c r="AE125" s="14">
        <f>+AE117-AE124</f>
        <v>-33.679999999998103</v>
      </c>
      <c r="AF125" s="43">
        <f t="shared" si="407"/>
        <v>-1.5872817066231825E-5</v>
      </c>
      <c r="AH125" s="4" t="s">
        <v>18</v>
      </c>
      <c r="AI125" s="14"/>
      <c r="AJ125" s="43"/>
      <c r="AK125" s="14"/>
      <c r="AL125" s="43"/>
      <c r="AM125" s="14">
        <f>+AM117-AM124</f>
        <v>-940.33846000000051</v>
      </c>
      <c r="AN125" s="43">
        <f t="shared" si="404"/>
        <v>-6.9555487617564429E-2</v>
      </c>
      <c r="AO125" s="14">
        <f>+AO117-AO124</f>
        <v>381.5007700000001</v>
      </c>
      <c r="AP125" s="43">
        <f t="shared" si="405"/>
        <v>0.35459680477414424</v>
      </c>
      <c r="AQ125" s="14"/>
      <c r="AR125" s="43"/>
      <c r="AS125" s="14"/>
      <c r="AT125" s="43"/>
      <c r="AU125" s="14">
        <f>+AU117-AU124</f>
        <v>-558.83769000000041</v>
      </c>
      <c r="AV125" s="43">
        <f t="shared" si="406"/>
        <v>-2.5226555597453458E-4</v>
      </c>
    </row>
    <row r="126" spans="2:48" x14ac:dyDescent="0.35">
      <c r="B126" s="1"/>
      <c r="C126" s="30"/>
      <c r="D126" s="143"/>
      <c r="E126" s="30"/>
      <c r="F126" s="143"/>
      <c r="G126" s="30"/>
      <c r="H126" s="143"/>
      <c r="I126" s="30"/>
      <c r="J126" s="143"/>
      <c r="K126" s="30"/>
      <c r="L126" s="143"/>
      <c r="M126" s="30"/>
      <c r="N126" s="143"/>
      <c r="O126" s="30"/>
      <c r="P126" s="143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>
        <f t="shared" ref="C127:C135" si="408">C63/TC_PROM</f>
        <v>33.934222270150215</v>
      </c>
      <c r="D127" s="144">
        <f t="shared" ref="D127:D134" si="409">IF(C$109=0,"N.D.",C127/C$109)</f>
        <v>2.4185005970646933E-3</v>
      </c>
      <c r="E127" s="8">
        <f t="shared" ref="E127:E135" si="410">E63/TC_PROM</f>
        <v>594.9853632878195</v>
      </c>
      <c r="F127" s="144">
        <f t="shared" ref="F127:F135" si="411">IF(E$109=0,"N.D.",E127/E$109)</f>
        <v>2.5503554175771291E-2</v>
      </c>
      <c r="G127" s="8">
        <f t="shared" ref="G127:G135" si="412">G63/TC_PROM</f>
        <v>12.328115807763876</v>
      </c>
      <c r="H127" s="144">
        <f t="shared" ref="H127:H135" si="413">IF(G$109=0,"N.D.",G127/G$109)</f>
        <v>6.4343976902439526E-4</v>
      </c>
      <c r="I127" s="8">
        <f t="shared" ref="I127:I135" si="414">I63/TC_PROM</f>
        <v>0</v>
      </c>
      <c r="J127" s="144">
        <f t="shared" ref="J127:J135" si="415">IF(I$109=0,"N.D.",I127/I$109)</f>
        <v>0</v>
      </c>
      <c r="K127" s="8">
        <f t="shared" ref="K127:K135" si="416">K63/TC_PROM</f>
        <v>1116.9237581423413</v>
      </c>
      <c r="L127" s="144">
        <f t="shared" ref="L127:L135" si="417">IF(K$109=0,"N.D.",K127/K$109)</f>
        <v>1.7587739878054915E-2</v>
      </c>
      <c r="M127" s="8">
        <f t="shared" ref="M127:M135" si="418">M63/TC_PROM</f>
        <v>0</v>
      </c>
      <c r="N127" s="144">
        <f t="shared" ref="N127:N135" si="419">IF(M$109=0,"N.D.",M127/M$109)</f>
        <v>0</v>
      </c>
      <c r="O127" s="8">
        <f t="shared" ref="O127:O135" si="420">O63/TC_PROM</f>
        <v>1758.1714595080748</v>
      </c>
      <c r="P127" s="144">
        <f t="shared" ref="P127:P135" si="421">IF(O$109=0,"N.D.",O127/O$109)</f>
        <v>1.4255292395759366E-2</v>
      </c>
      <c r="R127" s="7" t="s">
        <v>35</v>
      </c>
      <c r="S127" s="8"/>
      <c r="T127" s="29"/>
      <c r="U127" s="8"/>
      <c r="V127" s="29"/>
      <c r="W127" s="8">
        <f>('600'!L482+'600'!L505+'600'!L572+'600'!L617)/1000</f>
        <v>0</v>
      </c>
      <c r="X127" s="29">
        <f t="shared" ref="X127:X130" si="422">IF(W$109=0,"N.D.",W127/W$109)</f>
        <v>0</v>
      </c>
      <c r="Y127" s="8">
        <f>('600'!L527+'600'!L549+'600'!L594+'600'!L639+'600'!L661)/1000</f>
        <v>0</v>
      </c>
      <c r="Z127" s="29">
        <f t="shared" ref="Z127:Z130" si="423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24">IF(AE$41=0,"N.D.",AE127/AE$41)</f>
        <v>0</v>
      </c>
      <c r="AH127" s="7" t="s">
        <v>35</v>
      </c>
      <c r="AI127" s="8"/>
      <c r="AJ127" s="29"/>
      <c r="AK127" s="8"/>
      <c r="AL127" s="29"/>
      <c r="AM127" s="8">
        <f>('600'!H482+'600'!H505+'600'!H572+'600'!H617)/1000</f>
        <v>0</v>
      </c>
      <c r="AN127" s="29">
        <f t="shared" ref="AN127:AN130" si="425">IF(AM$109=0,"N.D.",AM127/AM$109)</f>
        <v>0</v>
      </c>
      <c r="AO127" s="8">
        <f>('600'!H527)/1000</f>
        <v>0</v>
      </c>
      <c r="AP127" s="29">
        <f t="shared" ref="AP127:AP130" si="426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7">IF(AU$41=0,"N.D.",AU127/AU$41)</f>
        <v>0</v>
      </c>
    </row>
    <row r="128" spans="2:48" x14ac:dyDescent="0.35">
      <c r="B128" s="7" t="s">
        <v>43</v>
      </c>
      <c r="C128" s="11">
        <f t="shared" si="408"/>
        <v>0.20649827115058542</v>
      </c>
      <c r="D128" s="141">
        <f t="shared" si="409"/>
        <v>1.471718397123315E-5</v>
      </c>
      <c r="E128" s="11">
        <f t="shared" si="410"/>
        <v>0</v>
      </c>
      <c r="F128" s="141">
        <f t="shared" si="411"/>
        <v>0</v>
      </c>
      <c r="G128" s="11">
        <f t="shared" si="412"/>
        <v>0</v>
      </c>
      <c r="H128" s="141">
        <f t="shared" si="413"/>
        <v>0</v>
      </c>
      <c r="I128" s="11">
        <f t="shared" si="414"/>
        <v>0</v>
      </c>
      <c r="J128" s="141">
        <f t="shared" si="415"/>
        <v>0</v>
      </c>
      <c r="K128" s="11">
        <f t="shared" si="416"/>
        <v>0</v>
      </c>
      <c r="L128" s="141">
        <f t="shared" si="417"/>
        <v>0</v>
      </c>
      <c r="M128" s="11">
        <f t="shared" si="418"/>
        <v>0</v>
      </c>
      <c r="N128" s="141">
        <f t="shared" si="419"/>
        <v>0</v>
      </c>
      <c r="O128" s="11">
        <f t="shared" si="420"/>
        <v>0.20649827115058542</v>
      </c>
      <c r="P128" s="141">
        <f t="shared" si="421"/>
        <v>1.6742924693442711E-6</v>
      </c>
      <c r="R128" s="7" t="s">
        <v>43</v>
      </c>
      <c r="S128" s="8"/>
      <c r="T128" s="42"/>
      <c r="U128" s="8"/>
      <c r="V128" s="42"/>
      <c r="W128" s="8">
        <f>('600'!L483+'600'!L506+'600'!L573+'600'!L618)/1000</f>
        <v>0</v>
      </c>
      <c r="X128" s="42">
        <f t="shared" si="422"/>
        <v>0</v>
      </c>
      <c r="Y128" s="8">
        <f>('600'!L528+'600'!L550+'600'!L595+'600'!L640+'600'!L662)/1000</f>
        <v>0</v>
      </c>
      <c r="Z128" s="42">
        <f t="shared" si="423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24"/>
        <v>0</v>
      </c>
      <c r="AH128" s="7" t="s">
        <v>43</v>
      </c>
      <c r="AI128" s="8"/>
      <c r="AJ128" s="42"/>
      <c r="AK128" s="8"/>
      <c r="AL128" s="42"/>
      <c r="AM128" s="8">
        <f>('600'!H483+'600'!H506+'600'!H573+'600'!H618)/1000</f>
        <v>0</v>
      </c>
      <c r="AN128" s="42">
        <f t="shared" si="425"/>
        <v>0</v>
      </c>
      <c r="AO128" s="8">
        <f>('600'!H528)/1000</f>
        <v>0</v>
      </c>
      <c r="AP128" s="42">
        <f t="shared" si="426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7"/>
        <v>0</v>
      </c>
    </row>
    <row r="129" spans="2:48" x14ac:dyDescent="0.35">
      <c r="B129" s="4" t="s">
        <v>21</v>
      </c>
      <c r="C129" s="14">
        <f t="shared" si="408"/>
        <v>-529.16162849125737</v>
      </c>
      <c r="D129" s="142">
        <f t="shared" si="409"/>
        <v>-3.7713482992523764E-2</v>
      </c>
      <c r="E129" s="14">
        <f t="shared" si="410"/>
        <v>1652.9228804673212</v>
      </c>
      <c r="F129" s="142">
        <f t="shared" si="411"/>
        <v>7.085116850173323E-2</v>
      </c>
      <c r="G129" s="14">
        <f t="shared" si="412"/>
        <v>-195.68760791491215</v>
      </c>
      <c r="H129" s="142">
        <f t="shared" si="413"/>
        <v>-1.0213498250755494E-2</v>
      </c>
      <c r="I129" s="14">
        <f t="shared" si="414"/>
        <v>536.83812184273904</v>
      </c>
      <c r="J129" s="142">
        <f t="shared" si="415"/>
        <v>0.48171799197126275</v>
      </c>
      <c r="K129" s="14">
        <f t="shared" si="416"/>
        <v>2879.759334783032</v>
      </c>
      <c r="L129" s="142">
        <f t="shared" si="417"/>
        <v>4.5346387989635514E-2</v>
      </c>
      <c r="M129" s="14">
        <f t="shared" si="418"/>
        <v>900.92050940829074</v>
      </c>
      <c r="N129" s="142">
        <f t="shared" si="419"/>
        <v>0.41061116105367074</v>
      </c>
      <c r="O129" s="14">
        <f t="shared" si="420"/>
        <v>5267.8078969579983</v>
      </c>
      <c r="P129" s="142">
        <f t="shared" si="421"/>
        <v>4.2711500889018726E-2</v>
      </c>
      <c r="R129" s="4" t="s">
        <v>21</v>
      </c>
      <c r="S129" s="14"/>
      <c r="T129" s="43"/>
      <c r="U129" s="14"/>
      <c r="V129" s="43"/>
      <c r="W129" s="14">
        <f>+W125-W127-W128</f>
        <v>-559.50199999999802</v>
      </c>
      <c r="X129" s="43">
        <f t="shared" si="422"/>
        <v>-3.9852769650746252E-2</v>
      </c>
      <c r="Y129" s="14">
        <f>+Y125-Y127-Y128</f>
        <v>525.82199999999989</v>
      </c>
      <c r="Z129" s="43">
        <f t="shared" si="423"/>
        <v>0.50245771619684654</v>
      </c>
      <c r="AA129" s="14"/>
      <c r="AB129" s="43"/>
      <c r="AC129" s="14"/>
      <c r="AD129" s="43"/>
      <c r="AE129" s="14">
        <f>+AE125-AE127-AE128</f>
        <v>-33.679999999998103</v>
      </c>
      <c r="AF129" s="43">
        <f t="shared" si="424"/>
        <v>-1.5872817066231825E-5</v>
      </c>
      <c r="AH129" s="4" t="s">
        <v>21</v>
      </c>
      <c r="AI129" s="14"/>
      <c r="AJ129" s="43"/>
      <c r="AK129" s="14"/>
      <c r="AL129" s="43"/>
      <c r="AM129" s="14">
        <f>+AM125-AM127-AM128</f>
        <v>-940.33846000000051</v>
      </c>
      <c r="AN129" s="43">
        <f t="shared" si="425"/>
        <v>-6.9555487617564429E-2</v>
      </c>
      <c r="AO129" s="14">
        <f>+AO125-AO127-AO128</f>
        <v>381.5007700000001</v>
      </c>
      <c r="AP129" s="43">
        <f t="shared" si="426"/>
        <v>0.35459680477414424</v>
      </c>
      <c r="AQ129" s="14"/>
      <c r="AR129" s="43"/>
      <c r="AS129" s="14"/>
      <c r="AT129" s="43"/>
      <c r="AU129" s="14">
        <f>+AU125-AU127-AU128</f>
        <v>-558.83769000000041</v>
      </c>
      <c r="AV129" s="43">
        <f t="shared" si="427"/>
        <v>-2.5226555597453458E-4</v>
      </c>
    </row>
    <row r="130" spans="2:48" x14ac:dyDescent="0.35">
      <c r="B130" s="4" t="s">
        <v>22</v>
      </c>
      <c r="C130" s="20">
        <f t="shared" si="408"/>
        <v>-348.21860406021744</v>
      </c>
      <c r="D130" s="145">
        <f t="shared" si="409"/>
        <v>-2.4817627913325445E-2</v>
      </c>
      <c r="E130" s="20">
        <f t="shared" si="410"/>
        <v>2768.8952386087449</v>
      </c>
      <c r="F130" s="145">
        <f t="shared" si="411"/>
        <v>0.11868639815721491</v>
      </c>
      <c r="G130" s="20">
        <f t="shared" si="412"/>
        <v>25.744839008515903</v>
      </c>
      <c r="H130" s="145">
        <f t="shared" si="413"/>
        <v>1.3436970842517085E-3</v>
      </c>
      <c r="I130" s="20">
        <f t="shared" si="414"/>
        <v>991.12906373977546</v>
      </c>
      <c r="J130" s="145">
        <f t="shared" si="415"/>
        <v>0.88936437809262847</v>
      </c>
      <c r="K130" s="20">
        <f t="shared" si="416"/>
        <v>407.58452771551407</v>
      </c>
      <c r="L130" s="145">
        <f t="shared" si="417"/>
        <v>6.4180662283546564E-3</v>
      </c>
      <c r="M130" s="20">
        <f t="shared" si="418"/>
        <v>709.20649333813651</v>
      </c>
      <c r="N130" s="145">
        <f t="shared" si="419"/>
        <v>0.32323395750823253</v>
      </c>
      <c r="O130" s="20">
        <f t="shared" si="420"/>
        <v>4554.3415583504438</v>
      </c>
      <c r="P130" s="145">
        <f t="shared" si="421"/>
        <v>3.6926700313181689E-2</v>
      </c>
      <c r="R130" s="4" t="s">
        <v>22</v>
      </c>
      <c r="S130" s="20"/>
      <c r="T130" s="45"/>
      <c r="U130" s="20"/>
      <c r="V130" s="45"/>
      <c r="W130" s="20">
        <f>+W117+W115</f>
        <v>-333.81699999999807</v>
      </c>
      <c r="X130" s="45">
        <f t="shared" si="422"/>
        <v>-2.3777452102947141E-2</v>
      </c>
      <c r="Y130" s="20">
        <f>+Y117+Y115</f>
        <v>952.44999999999993</v>
      </c>
      <c r="Z130" s="45">
        <f t="shared" si="423"/>
        <v>0.91012900143334918</v>
      </c>
      <c r="AA130" s="20"/>
      <c r="AB130" s="45"/>
      <c r="AC130" s="20"/>
      <c r="AD130" s="45"/>
      <c r="AE130" s="20">
        <f>+AE117+AE115</f>
        <v>618.63300000000186</v>
      </c>
      <c r="AF130" s="45">
        <f t="shared" si="424"/>
        <v>2.9155131948143634E-4</v>
      </c>
      <c r="AH130" s="4" t="s">
        <v>22</v>
      </c>
      <c r="AI130" s="20"/>
      <c r="AJ130" s="45"/>
      <c r="AK130" s="20"/>
      <c r="AL130" s="45"/>
      <c r="AM130" s="20">
        <f>+AM117+AM115</f>
        <v>-511.34981000000045</v>
      </c>
      <c r="AN130" s="45">
        <f t="shared" si="425"/>
        <v>-3.7823812266169494E-2</v>
      </c>
      <c r="AO130" s="20">
        <f>+AO117+AO115</f>
        <v>996.32117000000005</v>
      </c>
      <c r="AP130" s="45">
        <f t="shared" si="426"/>
        <v>0.92605921453536488</v>
      </c>
      <c r="AQ130" s="20"/>
      <c r="AR130" s="45"/>
      <c r="AS130" s="20"/>
      <c r="AT130" s="45"/>
      <c r="AU130" s="20">
        <f>+AU117+AU115</f>
        <v>484.97135999999955</v>
      </c>
      <c r="AV130" s="45">
        <f t="shared" si="427"/>
        <v>2.1892147210422755E-4</v>
      </c>
    </row>
    <row r="131" spans="2:48" x14ac:dyDescent="0.35">
      <c r="B131" s="4" t="s">
        <v>36</v>
      </c>
      <c r="C131" s="20">
        <f t="shared" si="408"/>
        <v>-393.46146564442626</v>
      </c>
      <c r="D131" s="145">
        <f t="shared" si="409"/>
        <v>-2.8042098092227231E-2</v>
      </c>
      <c r="E131" s="20">
        <f t="shared" si="410"/>
        <v>2062.6986707820934</v>
      </c>
      <c r="F131" s="145">
        <f t="shared" si="411"/>
        <v>8.8415867926375763E-2</v>
      </c>
      <c r="G131" s="20">
        <f t="shared" si="412"/>
        <v>78.341639407482106</v>
      </c>
      <c r="H131" s="145">
        <f t="shared" si="413"/>
        <v>4.0888751494041961E-3</v>
      </c>
      <c r="I131" s="20">
        <f t="shared" si="414"/>
        <v>705.54711121644698</v>
      </c>
      <c r="J131" s="145">
        <f t="shared" si="415"/>
        <v>0.63310469921484946</v>
      </c>
      <c r="K131" s="20">
        <f t="shared" si="416"/>
        <v>3822.1772329059627</v>
      </c>
      <c r="L131" s="145">
        <f t="shared" si="417"/>
        <v>6.0186255731527555E-2</v>
      </c>
      <c r="M131" s="20">
        <f t="shared" si="418"/>
        <v>895.16020606233053</v>
      </c>
      <c r="N131" s="145">
        <f t="shared" si="419"/>
        <v>0.40798579641804988</v>
      </c>
      <c r="O131" s="20">
        <f t="shared" si="420"/>
        <v>7192.6796815926737</v>
      </c>
      <c r="P131" s="145">
        <f t="shared" si="421"/>
        <v>5.8318403143018387E-2</v>
      </c>
    </row>
    <row r="132" spans="2:48" x14ac:dyDescent="0.35">
      <c r="B132" s="7" t="s">
        <v>37</v>
      </c>
      <c r="C132" s="20">
        <f t="shared" si="408"/>
        <v>254.07232527378227</v>
      </c>
      <c r="D132" s="145">
        <f t="shared" si="409"/>
        <v>1.8107798831528587E-2</v>
      </c>
      <c r="E132" s="20">
        <f t="shared" si="410"/>
        <v>538.14524388593031</v>
      </c>
      <c r="F132" s="145">
        <f t="shared" si="411"/>
        <v>2.3067149595139374E-2</v>
      </c>
      <c r="G132" s="20">
        <f t="shared" si="412"/>
        <v>206.38913533136659</v>
      </c>
      <c r="H132" s="145">
        <f t="shared" si="413"/>
        <v>1.0772041700251258E-2</v>
      </c>
      <c r="I132" s="20">
        <f t="shared" si="414"/>
        <v>242.34482358184445</v>
      </c>
      <c r="J132" s="145">
        <f t="shared" si="415"/>
        <v>0.21746194435624358</v>
      </c>
      <c r="K132" s="20">
        <f t="shared" si="416"/>
        <v>0</v>
      </c>
      <c r="L132" s="145">
        <f t="shared" si="417"/>
        <v>0</v>
      </c>
      <c r="M132" s="20">
        <f t="shared" si="418"/>
        <v>0</v>
      </c>
      <c r="N132" s="145">
        <f t="shared" si="419"/>
        <v>0</v>
      </c>
      <c r="O132" s="20">
        <f t="shared" si="420"/>
        <v>1240.9515280729236</v>
      </c>
      <c r="P132" s="145">
        <f t="shared" si="421"/>
        <v>1.0061661953375978E-2</v>
      </c>
    </row>
    <row r="133" spans="2:48" x14ac:dyDescent="0.35">
      <c r="B133" s="4" t="s">
        <v>38</v>
      </c>
      <c r="C133" s="20">
        <f t="shared" si="408"/>
        <v>-647.53379091820852</v>
      </c>
      <c r="D133" s="145">
        <f t="shared" si="409"/>
        <v>-4.6149896923755818E-2</v>
      </c>
      <c r="E133" s="20">
        <f t="shared" si="410"/>
        <v>1524.5534268961633</v>
      </c>
      <c r="F133" s="145">
        <f t="shared" si="411"/>
        <v>6.53487183312364E-2</v>
      </c>
      <c r="G133" s="20">
        <f t="shared" si="412"/>
        <v>-128.04749592388447</v>
      </c>
      <c r="H133" s="145">
        <f t="shared" si="413"/>
        <v>-6.6831665508470606E-3</v>
      </c>
      <c r="I133" s="20">
        <f t="shared" si="414"/>
        <v>463.2022876346025</v>
      </c>
      <c r="J133" s="145">
        <f t="shared" si="415"/>
        <v>0.41564275485860586</v>
      </c>
      <c r="K133" s="20">
        <f t="shared" si="416"/>
        <v>3822.1772329059627</v>
      </c>
      <c r="L133" s="145">
        <f t="shared" si="417"/>
        <v>6.0186255731527555E-2</v>
      </c>
      <c r="M133" s="20">
        <f t="shared" si="418"/>
        <v>895.16020606233053</v>
      </c>
      <c r="N133" s="145">
        <f t="shared" si="419"/>
        <v>0.40798579641804988</v>
      </c>
      <c r="O133" s="20">
        <f t="shared" si="420"/>
        <v>5951.7281535197499</v>
      </c>
      <c r="P133" s="145">
        <f t="shared" si="421"/>
        <v>4.8256741189642405E-2</v>
      </c>
    </row>
    <row r="134" spans="2:48" x14ac:dyDescent="0.35">
      <c r="B134" s="7" t="s">
        <v>39</v>
      </c>
      <c r="C134" s="20">
        <f t="shared" si="408"/>
        <v>780.22434832587362</v>
      </c>
      <c r="D134" s="145">
        <f t="shared" si="409"/>
        <v>5.5606786483814223E-2</v>
      </c>
      <c r="E134" s="20">
        <f t="shared" si="410"/>
        <v>2063.0499013683916</v>
      </c>
      <c r="F134" s="145">
        <f t="shared" si="411"/>
        <v>8.8430923134181799E-2</v>
      </c>
      <c r="G134" s="20">
        <f t="shared" si="412"/>
        <v>0</v>
      </c>
      <c r="H134" s="145">
        <f t="shared" si="413"/>
        <v>0</v>
      </c>
      <c r="I134" s="20">
        <f t="shared" si="414"/>
        <v>0</v>
      </c>
      <c r="J134" s="145">
        <f t="shared" si="415"/>
        <v>0</v>
      </c>
      <c r="K134" s="20">
        <f t="shared" si="416"/>
        <v>0</v>
      </c>
      <c r="L134" s="145">
        <f t="shared" si="417"/>
        <v>0</v>
      </c>
      <c r="M134" s="20">
        <f t="shared" si="418"/>
        <v>0</v>
      </c>
      <c r="N134" s="145">
        <f t="shared" si="419"/>
        <v>0</v>
      </c>
      <c r="O134" s="20">
        <f t="shared" si="420"/>
        <v>2843.2742496942651</v>
      </c>
      <c r="P134" s="145">
        <f t="shared" si="421"/>
        <v>2.3053329396022379E-2</v>
      </c>
    </row>
    <row r="135" spans="2:48" x14ac:dyDescent="0.35">
      <c r="B135" s="4" t="s">
        <v>40</v>
      </c>
      <c r="C135" s="20">
        <f t="shared" si="408"/>
        <v>-1427.758139244082</v>
      </c>
      <c r="D135" s="145">
        <f>IF(C$109=0,"N.D.",C135/C$109)</f>
        <v>-0.10175668340757003</v>
      </c>
      <c r="E135" s="20">
        <f t="shared" si="410"/>
        <v>-538.49647447222856</v>
      </c>
      <c r="F135" s="145">
        <f t="shared" si="411"/>
        <v>-2.3082204802945407E-2</v>
      </c>
      <c r="G135" s="20">
        <f t="shared" si="412"/>
        <v>-128.04749592388447</v>
      </c>
      <c r="H135" s="145">
        <f t="shared" si="413"/>
        <v>-6.6831665508470606E-3</v>
      </c>
      <c r="I135" s="20">
        <f t="shared" si="414"/>
        <v>463.2022876346025</v>
      </c>
      <c r="J135" s="145">
        <f t="shared" si="415"/>
        <v>0.41564275485860586</v>
      </c>
      <c r="K135" s="20">
        <f t="shared" si="416"/>
        <v>3822.1772329059627</v>
      </c>
      <c r="L135" s="145">
        <f t="shared" si="417"/>
        <v>6.0186255731527555E-2</v>
      </c>
      <c r="M135" s="20">
        <f t="shared" si="418"/>
        <v>895.16020606233053</v>
      </c>
      <c r="N135" s="145">
        <f t="shared" si="419"/>
        <v>0.40798579641804988</v>
      </c>
      <c r="O135" s="20">
        <f t="shared" si="420"/>
        <v>3108.4539038254852</v>
      </c>
      <c r="P135" s="145">
        <f t="shared" si="421"/>
        <v>2.5203411793620029E-2</v>
      </c>
    </row>
    <row r="136" spans="2:48" x14ac:dyDescent="0.35">
      <c r="B136" s="7"/>
      <c r="C136" s="146"/>
      <c r="D136" s="147"/>
      <c r="E136" s="146"/>
      <c r="F136" s="147"/>
      <c r="G136" s="146"/>
      <c r="H136" s="147"/>
      <c r="I136" s="146"/>
      <c r="J136" s="147"/>
      <c r="K136" s="146"/>
      <c r="L136" s="147"/>
      <c r="M136" s="146"/>
      <c r="N136" s="147"/>
      <c r="O136" s="146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topLeftCell="A16" zoomScale="50" zoomScaleNormal="50" workbookViewId="0">
      <selection activeCell="AD16" sqref="AD16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08984375" customWidth="1"/>
    <col min="7" max="7" width="13.08984375" customWidth="1"/>
    <col min="8" max="8" width="8.6328125" customWidth="1"/>
    <col min="10" max="10" width="8.6328125" customWidth="1"/>
    <col min="11" max="11" width="12.26953125" customWidth="1"/>
    <col min="12" max="12" width="8.632812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36328125" customWidth="1"/>
    <col min="20" max="20" width="8.81640625" customWidth="1"/>
    <col min="22" max="22" width="9" customWidth="1"/>
    <col min="24" max="24" width="8.6328125" customWidth="1"/>
    <col min="26" max="26" width="8.6328125" customWidth="1"/>
    <col min="28" max="28" width="8.453125" customWidth="1"/>
    <col min="29" max="29" width="10.7265625" style="258" customWidth="1"/>
    <col min="30" max="30" width="17.90625" bestFit="1" customWidth="1"/>
    <col min="31" max="32" width="11.1796875" bestFit="1" customWidth="1"/>
    <col min="33" max="33" width="8.81640625" customWidth="1"/>
    <col min="35" max="35" width="8.90625" customWidth="1"/>
    <col min="37" max="37" width="9" customWidth="1"/>
    <col min="39" max="39" width="8.36328125" customWidth="1"/>
    <col min="41" max="41" width="7.45312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7.90625" bestFit="1" customWidth="1"/>
    <col min="51" max="51" width="12.1796875" bestFit="1" customWidth="1"/>
    <col min="52" max="52" width="9.36328125" customWidth="1"/>
    <col min="53" max="53" width="7.90625" bestFit="1" customWidth="1"/>
    <col min="54" max="54" width="9.08984375" customWidth="1"/>
    <col min="55" max="55" width="10.08984375" customWidth="1"/>
    <col min="56" max="56" width="9" customWidth="1"/>
    <col min="57" max="57" width="12.1796875" customWidth="1"/>
    <col min="59" max="59" width="16.90625" customWidth="1"/>
    <col min="61" max="61" width="9.1796875" customWidth="1"/>
    <col min="63" max="63" width="8.81640625" customWidth="1"/>
    <col min="65" max="65" width="8.7265625" customWidth="1"/>
    <col min="67" max="67" width="8.6328125" customWidth="1"/>
    <col min="69" max="69" width="8.81640625" customWidth="1"/>
    <col min="70" max="70" width="10.26953125" customWidth="1"/>
    <col min="71" max="71" width="7.54296875" bestFit="1" customWidth="1"/>
    <col min="73" max="73" width="14.26953125" customWidth="1"/>
    <col min="75" max="75" width="8.90625" customWidth="1"/>
    <col min="76" max="76" width="9.1796875" customWidth="1"/>
    <col min="77" max="77" width="8.90625" customWidth="1"/>
    <col min="78" max="78" width="9.36328125" customWidth="1"/>
    <col min="79" max="79" width="9" customWidth="1"/>
    <col min="80" max="80" width="9.36328125" customWidth="1"/>
    <col min="81" max="81" width="8.08984375" bestFit="1" customWidth="1"/>
    <col min="82" max="82" width="9.7265625" customWidth="1"/>
    <col min="83" max="83" width="9.08984375" customWidth="1"/>
    <col min="85" max="85" width="8.7265625" customWidth="1"/>
  </cols>
  <sheetData>
    <row r="2" spans="1:85" x14ac:dyDescent="0.35">
      <c r="A2" t="s">
        <v>337</v>
      </c>
      <c r="B2" t="s">
        <v>280</v>
      </c>
      <c r="AC2" s="258" t="s">
        <v>673</v>
      </c>
      <c r="AE2" t="s">
        <v>295</v>
      </c>
    </row>
    <row r="3" spans="1:85" x14ac:dyDescent="0.35">
      <c r="B3" s="26"/>
      <c r="C3" s="2" t="s">
        <v>281</v>
      </c>
      <c r="D3" s="2"/>
      <c r="E3" s="2" t="s">
        <v>282</v>
      </c>
      <c r="F3" s="2"/>
      <c r="G3" s="2" t="s">
        <v>283</v>
      </c>
      <c r="H3" s="2"/>
      <c r="I3" s="2" t="s">
        <v>284</v>
      </c>
      <c r="J3" s="2"/>
      <c r="K3" s="2" t="s">
        <v>285</v>
      </c>
      <c r="L3" s="2"/>
      <c r="N3" t="s">
        <v>287</v>
      </c>
      <c r="P3" s="2"/>
      <c r="R3" s="2"/>
      <c r="T3" s="2"/>
      <c r="V3" s="2"/>
      <c r="X3" s="2"/>
      <c r="Z3" s="2"/>
      <c r="AB3" s="2"/>
      <c r="AC3" s="286"/>
      <c r="AE3" s="26"/>
      <c r="AF3" s="2" t="s">
        <v>297</v>
      </c>
      <c r="AG3" s="2"/>
      <c r="AH3" s="2" t="s">
        <v>298</v>
      </c>
      <c r="AI3" s="2"/>
      <c r="AJ3" s="2" t="s">
        <v>299</v>
      </c>
      <c r="AK3" s="2"/>
      <c r="AL3" s="2" t="s">
        <v>300</v>
      </c>
      <c r="AM3" s="2"/>
      <c r="AN3" s="2" t="s">
        <v>301</v>
      </c>
      <c r="AO3" s="2"/>
      <c r="AP3" s="2" t="s">
        <v>302</v>
      </c>
      <c r="AQ3" s="2"/>
      <c r="AR3" s="2" t="s">
        <v>303</v>
      </c>
      <c r="AS3" s="2"/>
      <c r="AT3" s="2" t="s">
        <v>285</v>
      </c>
      <c r="AU3" s="2"/>
      <c r="AW3" t="s">
        <v>304</v>
      </c>
      <c r="AY3" s="2"/>
      <c r="BA3" s="2"/>
      <c r="BC3" s="2"/>
      <c r="BD3" s="2"/>
      <c r="BE3" s="2"/>
      <c r="BG3" t="s">
        <v>329</v>
      </c>
      <c r="BI3" s="2"/>
      <c r="BK3" s="2"/>
      <c r="BM3" s="2"/>
      <c r="BO3" s="2"/>
      <c r="BQ3" s="2"/>
      <c r="BS3" s="2"/>
      <c r="BU3" t="s">
        <v>330</v>
      </c>
      <c r="BW3" s="2"/>
      <c r="BY3" s="2"/>
      <c r="CA3" s="2"/>
      <c r="CC3" s="2"/>
      <c r="CE3" s="2"/>
      <c r="CG3" s="2"/>
    </row>
    <row r="4" spans="1:85" x14ac:dyDescent="0.35">
      <c r="B4" s="7" t="s">
        <v>286</v>
      </c>
      <c r="C4" s="199">
        <f>ajustes!B2</f>
        <v>0</v>
      </c>
      <c r="D4" s="208"/>
      <c r="E4" s="8">
        <f>+ajustes!C2</f>
        <v>0</v>
      </c>
      <c r="F4" s="208"/>
      <c r="G4" s="8">
        <f>+ajustes!D2</f>
        <v>0</v>
      </c>
      <c r="H4" s="208"/>
      <c r="I4" s="8">
        <f>+ajustes!E2</f>
        <v>0</v>
      </c>
      <c r="J4" s="208"/>
      <c r="K4" s="8"/>
      <c r="L4" s="208"/>
      <c r="N4" s="26"/>
      <c r="O4" s="2" t="s">
        <v>289</v>
      </c>
      <c r="P4" s="30"/>
      <c r="Q4" s="2" t="s">
        <v>290</v>
      </c>
      <c r="R4" s="30"/>
      <c r="S4" s="2" t="s">
        <v>291</v>
      </c>
      <c r="T4" s="30"/>
      <c r="U4" s="2" t="s">
        <v>292</v>
      </c>
      <c r="V4" s="30"/>
      <c r="W4" s="2" t="s">
        <v>293</v>
      </c>
      <c r="X4" s="30"/>
      <c r="Y4" s="2" t="s">
        <v>294</v>
      </c>
      <c r="Z4" s="30"/>
      <c r="AA4" s="2" t="s">
        <v>285</v>
      </c>
      <c r="AB4" s="30"/>
      <c r="AC4" s="283"/>
      <c r="AE4" s="7" t="s">
        <v>296</v>
      </c>
      <c r="AF4" s="208">
        <f>ajustes!L2</f>
        <v>0</v>
      </c>
      <c r="AG4" s="208"/>
      <c r="AH4" s="208">
        <f>ajustes!M2</f>
        <v>0</v>
      </c>
      <c r="AI4" s="208"/>
      <c r="AJ4" s="208">
        <f>ajustes!N2</f>
        <v>0</v>
      </c>
      <c r="AK4" s="208"/>
      <c r="AL4" s="208">
        <f>ajustes!O2</f>
        <v>0</v>
      </c>
      <c r="AM4" s="208"/>
      <c r="AN4" s="208">
        <f>ajustes!P2</f>
        <v>0</v>
      </c>
      <c r="AO4" s="208"/>
      <c r="AP4" s="208">
        <f>ajustes!Q2</f>
        <v>0</v>
      </c>
      <c r="AQ4" s="208"/>
      <c r="AR4" s="208">
        <f>ajustes!R2</f>
        <v>0</v>
      </c>
      <c r="AS4" s="208"/>
      <c r="AT4" s="208"/>
      <c r="AU4" s="208"/>
      <c r="AX4" s="26"/>
      <c r="AY4" s="2" t="s">
        <v>305</v>
      </c>
      <c r="AZ4" s="30"/>
      <c r="BA4" s="2" t="s">
        <v>306</v>
      </c>
      <c r="BB4" s="30"/>
      <c r="BC4" s="2" t="s">
        <v>285</v>
      </c>
      <c r="BD4" s="30"/>
      <c r="BE4" s="30"/>
      <c r="BG4" s="26"/>
      <c r="BH4" s="2" t="s">
        <v>325</v>
      </c>
      <c r="BI4" s="30"/>
      <c r="BJ4" s="2" t="s">
        <v>326</v>
      </c>
      <c r="BK4" s="30"/>
      <c r="BL4" s="2" t="s">
        <v>327</v>
      </c>
      <c r="BM4" s="30"/>
      <c r="BN4" s="2" t="s">
        <v>328</v>
      </c>
      <c r="BO4" s="30"/>
      <c r="BP4" s="2" t="s">
        <v>285</v>
      </c>
      <c r="BQ4" s="30"/>
      <c r="BU4" s="26"/>
      <c r="BV4" s="2" t="s">
        <v>331</v>
      </c>
      <c r="BW4" s="30"/>
      <c r="BX4" s="2" t="s">
        <v>332</v>
      </c>
      <c r="BY4" s="30"/>
      <c r="BZ4" s="2" t="s">
        <v>333</v>
      </c>
      <c r="CA4" s="30"/>
      <c r="CB4" s="2" t="s">
        <v>334</v>
      </c>
      <c r="CC4" s="30"/>
      <c r="CD4" s="2" t="s">
        <v>335</v>
      </c>
      <c r="CE4" s="30"/>
      <c r="CF4" s="2" t="s">
        <v>285</v>
      </c>
      <c r="CG4" s="30"/>
    </row>
    <row r="5" spans="1:85" x14ac:dyDescent="0.35">
      <c r="B5" s="7" t="s">
        <v>5</v>
      </c>
      <c r="C5" s="199">
        <f>('600'!$C158+'600'!C169)/1000 + ajustes!B3</f>
        <v>17033.40868</v>
      </c>
      <c r="D5" s="224">
        <f t="shared" ref="D5:F7" si="0">IF(C$5=0,"N.D.",C5/C$5)</f>
        <v>1</v>
      </c>
      <c r="E5" s="8">
        <f>'600'!$C136/1000+ajustes!C3</f>
        <v>1005.59411</v>
      </c>
      <c r="F5" s="224">
        <f t="shared" si="0"/>
        <v>1</v>
      </c>
      <c r="G5" s="200">
        <f>'600'!$C202/1000+ajustes!D3</f>
        <v>14329.0576</v>
      </c>
      <c r="H5" s="224">
        <f t="shared" ref="H5" si="1">IF(G$5=0,"N.D.",G5/G$5)</f>
        <v>1</v>
      </c>
      <c r="I5" s="8">
        <f>'600'!$C180/1000+ajustes!E3</f>
        <v>1895.61175</v>
      </c>
      <c r="J5" s="224">
        <f t="shared" ref="J5:L5" si="2">IF(I$5=0,"N.D.",I5/I$5)</f>
        <v>1</v>
      </c>
      <c r="K5" s="209">
        <f>SUM(C5,E5,G5,I5)</f>
        <v>34263.672139999995</v>
      </c>
      <c r="L5" s="224">
        <f t="shared" si="2"/>
        <v>1</v>
      </c>
      <c r="N5" s="7" t="s">
        <v>5</v>
      </c>
      <c r="O5" s="199">
        <f>'600'!$C$4/1000+ajustes!F3</f>
        <v>24861.16043</v>
      </c>
      <c r="P5" s="225">
        <f t="shared" ref="P5:R5" si="3">IF(O$5=0,"N.D.",O5/O$5)</f>
        <v>1</v>
      </c>
      <c r="Q5" s="8">
        <f>'600'!$C$26/1000+ajustes!G3</f>
        <v>3937.2903199999996</v>
      </c>
      <c r="R5" s="225">
        <f t="shared" si="3"/>
        <v>1</v>
      </c>
      <c r="S5" s="200">
        <f>'600'!$C$48/1000+ajustes!H3</f>
        <v>28012.112260000002</v>
      </c>
      <c r="T5" s="225">
        <f t="shared" ref="T5:V5" si="4">IF(S$5=0,"N.D.",S5/S$5)</f>
        <v>1</v>
      </c>
      <c r="U5" s="8">
        <f>'600'!$C$70/1000+ajustes!I3</f>
        <v>3186.0619999999999</v>
      </c>
      <c r="V5" s="225">
        <f t="shared" si="4"/>
        <v>1</v>
      </c>
      <c r="W5" s="200">
        <f>'600'!$C$92/1000+ajustes!J3</f>
        <v>816.72082999999998</v>
      </c>
      <c r="X5" s="225">
        <f t="shared" ref="X5:Z5" si="5">IF(W$5=0,"N.D.",W5/W$5)</f>
        <v>1</v>
      </c>
      <c r="Y5" s="199">
        <f>'600'!$C$114/1000+ajustes!K3</f>
        <v>246.00299999999999</v>
      </c>
      <c r="Z5" s="225">
        <f t="shared" si="5"/>
        <v>1</v>
      </c>
      <c r="AA5" s="8">
        <f>SUM(O5,Q5,S5,U5,W5,Y5)-AC5</f>
        <v>47019.344039999996</v>
      </c>
      <c r="AB5" s="225">
        <f t="shared" ref="AB5" si="6">IF(AA$5=0,"N.D.",AA5/AA$5)</f>
        <v>1</v>
      </c>
      <c r="AC5" s="284">
        <f>('612'!C2+'612'!C4+'612'!C6+'612'!C8+'612'!C10)/1000</f>
        <v>14040.004799999999</v>
      </c>
      <c r="AE5" s="7" t="s">
        <v>5</v>
      </c>
      <c r="AF5" s="11">
        <f>'600'!$C290/1000+ajustes!L3</f>
        <v>28980.210640000001</v>
      </c>
      <c r="AG5" s="224">
        <f>IF(AF$5=0,"N.D.",AF5/AF$5)</f>
        <v>1</v>
      </c>
      <c r="AH5" s="11">
        <f>'600'!$C312/1000+ajustes!M3</f>
        <v>16409.359560000001</v>
      </c>
      <c r="AI5" s="224">
        <f>IF(AH$5=0,"N.D.",AH5/AH$5)</f>
        <v>1</v>
      </c>
      <c r="AJ5" s="11">
        <f>'600'!$C356/1000+ajustes!N3</f>
        <v>2326.8710099999998</v>
      </c>
      <c r="AK5" s="224">
        <f>IF(AJ$5=0,"N.D.",AJ5/AJ$5)</f>
        <v>1</v>
      </c>
      <c r="AL5" s="11">
        <f>'600'!$C334/2000+ajustes!O3</f>
        <v>7183.314875</v>
      </c>
      <c r="AM5" s="224">
        <f>IF(AL$5=0,"N.D.",AL5/AL$5)</f>
        <v>1</v>
      </c>
      <c r="AN5" s="11">
        <f>ajustes!P3</f>
        <v>0</v>
      </c>
      <c r="AO5" s="224" t="str">
        <f>IF(AN$5=0,"N.D.",AN5/AN$5)</f>
        <v>N.D.</v>
      </c>
      <c r="AP5" s="11">
        <f>'600'!$C400/1000+ajustes!Q3</f>
        <v>1817.4259999999999</v>
      </c>
      <c r="AQ5" s="224">
        <f>IF(AP$5=0,"N.D.",AP5/AP$5)</f>
        <v>1</v>
      </c>
      <c r="AR5" s="11">
        <f>'600'!$C378/1000+ajustes!R3</f>
        <v>80076.254489999992</v>
      </c>
      <c r="AS5" s="224">
        <f>IF(AR$5=0,"N.D.",AR5/AR$5)</f>
        <v>1</v>
      </c>
      <c r="AT5" s="11">
        <f>SUM(AF5,AH5,AJ5,AL5,AN5,AP5,AR5)</f>
        <v>136793.436575</v>
      </c>
      <c r="AU5" s="224">
        <f>IF(AT$5=0,"N.D.",AT5/AT$5)</f>
        <v>1</v>
      </c>
      <c r="AX5" s="7" t="s">
        <v>5</v>
      </c>
      <c r="AY5" s="8">
        <f>'600'!$C444/1000+ajustes!S3</f>
        <v>5032.8697000000002</v>
      </c>
      <c r="AZ5" s="225">
        <f>IF(AY$5=0,"N.D.",AY5/AY$5)</f>
        <v>1</v>
      </c>
      <c r="BA5" s="200">
        <f>'600'!$C422/1000+ajustes!T3</f>
        <v>2023.5442600000001</v>
      </c>
      <c r="BB5" s="225">
        <f>IF(BA$5=0,"N.D.",BA5/BA$5)</f>
        <v>1</v>
      </c>
      <c r="BC5" s="8">
        <f>SUM(AY5,BA5)</f>
        <v>7056.4139599999999</v>
      </c>
      <c r="BD5" s="225">
        <f>IF(BC$5=0,"N.D.",BC5/BC$5)</f>
        <v>1</v>
      </c>
      <c r="BE5" s="192"/>
      <c r="BG5" s="7" t="s">
        <v>307</v>
      </c>
      <c r="BH5" s="199">
        <f>'600'!$C466/1000+ajustes!V3</f>
        <v>260.66725000000002</v>
      </c>
      <c r="BI5" s="225">
        <f>IF(BH$5=0,"N.D.",BH5/BH$5)</f>
        <v>1</v>
      </c>
      <c r="BJ5" s="8">
        <f>'600'!$C489/1000+ajustes!W3</f>
        <v>626.88734999999997</v>
      </c>
      <c r="BK5" s="225">
        <f>IF(BJ$5=0,"N.D.",BJ5/BJ$5)</f>
        <v>1</v>
      </c>
      <c r="BL5" s="200">
        <f>'600'!$C556/1000+ajustes!X3</f>
        <v>233.46252999999999</v>
      </c>
      <c r="BM5" s="225">
        <f>IF(BL$5=0,"N.D.",BL5/BL$5)</f>
        <v>1</v>
      </c>
      <c r="BN5" s="8">
        <f>'600'!$C601/1000+ajustes!Y3</f>
        <v>301.714</v>
      </c>
      <c r="BO5" s="225">
        <f>IF(BN$5=0,"N.D.",BN5/BN$5)</f>
        <v>1</v>
      </c>
      <c r="BP5" s="209">
        <f>SUM(BH5,BJ5,BL5,BN5)</f>
        <v>1422.7311299999999</v>
      </c>
      <c r="BQ5" s="225">
        <f>IF(BP$5=0,"N.D.",BP5/BP$5)</f>
        <v>1</v>
      </c>
      <c r="BU5" s="7" t="s">
        <v>307</v>
      </c>
      <c r="BV5" s="199">
        <f>'600'!$C512/1000-SUM(BX5,BZ5,CB5,CD5)+ajustes!Z3</f>
        <v>56.886109999999988</v>
      </c>
      <c r="BW5" s="225">
        <f t="shared" ref="BW5:BY5" si="7">IF(BV$5=0,"N.D.",BV5/BV$5)</f>
        <v>1</v>
      </c>
      <c r="BX5" s="8">
        <f>'600'!$C579/1000+ajustes!AA3</f>
        <v>36.184150000000002</v>
      </c>
      <c r="BY5" s="225">
        <f t="shared" si="7"/>
        <v>1</v>
      </c>
      <c r="BZ5" s="200">
        <f>'600'!$C624/1000+ajustes!AB3</f>
        <v>28.363490000000002</v>
      </c>
      <c r="CA5" s="225">
        <f t="shared" ref="CA5:CC5" si="8">IF(BZ$5=0,"N.D.",BZ5/BZ$5)</f>
        <v>1</v>
      </c>
      <c r="CB5" s="8">
        <f>'600'!$C534/1000+ajustes!AC3</f>
        <v>6.3</v>
      </c>
      <c r="CC5" s="225">
        <f t="shared" si="8"/>
        <v>1</v>
      </c>
      <c r="CD5" s="209">
        <f>'600'!$C646/1000+ajustes!AD3</f>
        <v>2.5</v>
      </c>
      <c r="CE5" s="225">
        <f t="shared" ref="CE5:CG5" si="9">IF(CD$5=0,"N.D.",CD5/CD$5)</f>
        <v>1</v>
      </c>
      <c r="CF5" s="209">
        <f>SUM(BV5,BX5,BZ5,CB5,CD5)</f>
        <v>130.23374999999999</v>
      </c>
      <c r="CG5" s="225">
        <f t="shared" si="9"/>
        <v>1</v>
      </c>
    </row>
    <row r="6" spans="1:85" x14ac:dyDescent="0.35">
      <c r="B6" s="7" t="s">
        <v>6</v>
      </c>
      <c r="C6" s="201">
        <f>'600'!$C159/1000 +ajustes!B4</f>
        <v>14417.967859999999</v>
      </c>
      <c r="D6" s="224">
        <f t="shared" si="0"/>
        <v>0.846452294479909</v>
      </c>
      <c r="E6" s="34">
        <f>'600'!$C137/1000+ajustes!C4</f>
        <v>514.04548</v>
      </c>
      <c r="F6" s="224">
        <f t="shared" si="0"/>
        <v>0.511185850123963</v>
      </c>
      <c r="G6" s="202">
        <f>'600'!$C203/1000+ajustes!D4</f>
        <v>12973.12385</v>
      </c>
      <c r="H6" s="224">
        <f t="shared" ref="H6" si="10">IF(G$5=0,"N.D.",G6/G$5)</f>
        <v>0.90537174266087117</v>
      </c>
      <c r="I6" s="34">
        <f>'600'!$C181/1000+ajustes!E4</f>
        <v>1616.4211599999999</v>
      </c>
      <c r="J6" s="224">
        <f t="shared" ref="J6:L6" si="11">IF(I$5=0,"N.D.",I6/I$5)</f>
        <v>0.85271741958763436</v>
      </c>
      <c r="K6" s="212">
        <f>SUM(C6,E6,G6,I6)</f>
        <v>29521.558349999999</v>
      </c>
      <c r="L6" s="224">
        <f t="shared" si="11"/>
        <v>0.86159937059215641</v>
      </c>
      <c r="N6" s="7" t="s">
        <v>6</v>
      </c>
      <c r="O6" s="201">
        <f>'600'!$C$5/1000+ajustes!F4</f>
        <v>9397.8605800000005</v>
      </c>
      <c r="P6" s="224">
        <f t="shared" ref="P6:R6" si="12">IF(O$5=0,"N.D.",O6/O$5)</f>
        <v>0.37801375388172098</v>
      </c>
      <c r="Q6" s="34">
        <f>'600'!$C$27/1000+ajustes!G4</f>
        <v>2418.45964</v>
      </c>
      <c r="R6" s="224">
        <f t="shared" si="12"/>
        <v>0.61424468186029024</v>
      </c>
      <c r="S6" s="202">
        <f>'600'!$C$49/1000+ajustes!H4</f>
        <v>22803.076539999998</v>
      </c>
      <c r="T6" s="224">
        <f t="shared" ref="T6:V6" si="13">IF(S$5=0,"N.D.",S6/S$5)</f>
        <v>0.81404345121669863</v>
      </c>
      <c r="U6" s="34">
        <f>'600'!$C$71/1000+ajustes!I4</f>
        <v>0</v>
      </c>
      <c r="V6" s="224">
        <f t="shared" si="13"/>
        <v>0</v>
      </c>
      <c r="W6" s="202">
        <f>'600'!$C$93/1000+ajustes!J4</f>
        <v>520.36951999999997</v>
      </c>
      <c r="X6" s="224">
        <f t="shared" ref="X6:Z6" si="14">IF(W$5=0,"N.D.",W6/W$5)</f>
        <v>0.63714491033613041</v>
      </c>
      <c r="Y6" s="201">
        <f>'600'!$C$115/1000+ajustes!K4</f>
        <v>0</v>
      </c>
      <c r="Z6" s="224">
        <f t="shared" si="14"/>
        <v>0</v>
      </c>
      <c r="AA6" s="34">
        <f>SUM(O6,Q6,S6,U6,W6,Y6)-AC6</f>
        <v>25802.400360000003</v>
      </c>
      <c r="AB6" s="224">
        <f t="shared" ref="AB6" si="15">IF(AA$5=0,"N.D.",AA6/AA$5)</f>
        <v>0.5487613850599351</v>
      </c>
      <c r="AC6" s="284">
        <f>'612'!$C$4/1000</f>
        <v>9337.3659200000002</v>
      </c>
      <c r="AE6" s="7" t="s">
        <v>6</v>
      </c>
      <c r="AF6" s="34">
        <f>'600'!$C291/1000+ajustes!L4</f>
        <v>21659.256350000003</v>
      </c>
      <c r="AG6" s="224">
        <f t="shared" ref="AG6:AI7" si="16">IF(AF$5=0,"N.D.",AF6/AF$5)</f>
        <v>0.74738091517198169</v>
      </c>
      <c r="AH6" s="34">
        <f>'600'!$C313/1000+ajustes!M4</f>
        <v>8581.6545700000006</v>
      </c>
      <c r="AI6" s="224">
        <f t="shared" si="16"/>
        <v>0.52297315679028245</v>
      </c>
      <c r="AJ6" s="34">
        <f>'600'!$C357/1000+ajustes!N4</f>
        <v>1104.40085</v>
      </c>
      <c r="AK6" s="224">
        <f t="shared" ref="AK6:AM6" si="17">IF(AJ$5=0,"N.D.",AJ6/AJ$5)</f>
        <v>0.47462916734692573</v>
      </c>
      <c r="AL6" s="34">
        <f>'600'!$C335/2000+ajustes!O4</f>
        <v>3743.3544999999999</v>
      </c>
      <c r="AM6" s="224">
        <f t="shared" si="17"/>
        <v>0.5211179747985083</v>
      </c>
      <c r="AN6" s="34">
        <f>ajustes!P4</f>
        <v>0</v>
      </c>
      <c r="AO6" s="224" t="str">
        <f t="shared" ref="AO6:AQ6" si="18">IF(AN$5=0,"N.D.",AN6/AN$5)</f>
        <v>N.D.</v>
      </c>
      <c r="AP6" s="34">
        <f>'600'!$C401/1000+ajustes!Q4</f>
        <v>870.39745999999991</v>
      </c>
      <c r="AQ6" s="224">
        <f t="shared" si="18"/>
        <v>0.47891768908335192</v>
      </c>
      <c r="AR6" s="34">
        <f>'600'!$C379/1000+ajustes!R4</f>
        <v>71017.687959999996</v>
      </c>
      <c r="AS6" s="224">
        <f t="shared" ref="AS6:AU6" si="19">IF(AR$5=0,"N.D.",AR6/AR$5)</f>
        <v>0.88687574627842714</v>
      </c>
      <c r="AT6" s="34">
        <f>SUM(AF6,AH6,AJ6,AL6,AN6,AP6,AR6)</f>
        <v>106976.75169</v>
      </c>
      <c r="AU6" s="224">
        <f t="shared" si="19"/>
        <v>0.78203131939994541</v>
      </c>
      <c r="AX6" s="7" t="s">
        <v>6</v>
      </c>
      <c r="AY6" s="34">
        <f>'600'!$C445/1000+ajustes!S4</f>
        <v>2331.6813700000002</v>
      </c>
      <c r="AZ6" s="224">
        <f>IF(AY$5=0,"N.D.",AY6/AY$5)</f>
        <v>0.46329062920106995</v>
      </c>
      <c r="BA6" s="202">
        <f>'600'!$C423/1000+ajustes!T4</f>
        <v>1241.08647</v>
      </c>
      <c r="BB6" s="224">
        <f>IF(BA$5=0,"N.D.",BA6/BA$5)</f>
        <v>0.61332311555172003</v>
      </c>
      <c r="BC6" s="34">
        <f>SUM(AY6,BA6)</f>
        <v>3572.7678400000004</v>
      </c>
      <c r="BD6" s="224">
        <f>IF(BC$5=0,"N.D.",BC6/BC$5)</f>
        <v>0.50631494414196765</v>
      </c>
      <c r="BE6" s="192"/>
      <c r="BG6" s="7" t="s">
        <v>308</v>
      </c>
      <c r="BH6" s="201">
        <f>'600'!$C467/1000+ajustes!V4</f>
        <v>85.984030000000004</v>
      </c>
      <c r="BI6" s="224">
        <f>IF(BH$5=0,"N.D.",BH6/BH$5)</f>
        <v>0.32986126949204397</v>
      </c>
      <c r="BJ6" s="34">
        <f>'600'!$C490/1000+ajustes!W4</f>
        <v>193.94173999999998</v>
      </c>
      <c r="BK6" s="224">
        <f>IF(BJ$5=0,"N.D.",BJ6/BJ$5)</f>
        <v>0.30937255313893314</v>
      </c>
      <c r="BL6" s="202">
        <f>'600'!$C557/1000+ajustes!X4</f>
        <v>81.151300000000006</v>
      </c>
      <c r="BM6" s="224">
        <f>IF(BL$5=0,"N.D.",BL6/BL$5)</f>
        <v>0.34759882024751471</v>
      </c>
      <c r="BN6" s="34">
        <f>'600'!$C602/1000+ajustes!Y4</f>
        <v>100.0012</v>
      </c>
      <c r="BO6" s="224">
        <f>IF(BN$5=0,"N.D.",BN6/BN$5)</f>
        <v>0.33144368507924721</v>
      </c>
      <c r="BP6" s="212">
        <f>SUM(BH6,BJ6,BL6,BN6)</f>
        <v>461.07826999999997</v>
      </c>
      <c r="BQ6" s="224">
        <f>IF(BP$5=0,"N.D.",BP6/BP$5)</f>
        <v>0.32407969452386975</v>
      </c>
      <c r="BU6" s="7" t="s">
        <v>308</v>
      </c>
      <c r="BV6" s="201">
        <f>'600'!$C513/1000-SUM(BX6,BZ6,CB6,CD6)+ajustes!Z4</f>
        <v>0</v>
      </c>
      <c r="BW6" s="224">
        <f t="shared" ref="BW6:BY6" si="20">IF(BV$5=0,"N.D.",BV6/BV$5)</f>
        <v>0</v>
      </c>
      <c r="BX6" s="34">
        <f>'600'!$C580/1000+ajustes!AA4</f>
        <v>0</v>
      </c>
      <c r="BY6" s="224">
        <f t="shared" si="20"/>
        <v>0</v>
      </c>
      <c r="BZ6" s="202">
        <f>'600'!$C625/1000+ajustes!AB4</f>
        <v>0</v>
      </c>
      <c r="CA6" s="224">
        <f t="shared" ref="CA6:CC6" si="21">IF(BZ$5=0,"N.D.",BZ6/BZ$5)</f>
        <v>0</v>
      </c>
      <c r="CB6" s="34">
        <f>'600'!$C535/1000+ajustes!AC4</f>
        <v>0</v>
      </c>
      <c r="CC6" s="224">
        <f t="shared" si="21"/>
        <v>0</v>
      </c>
      <c r="CD6" s="212">
        <f>'600'!$C647/1000+ajustes!AD4</f>
        <v>0</v>
      </c>
      <c r="CE6" s="224">
        <f t="shared" ref="CE6:CG6" si="22">IF(CD$5=0,"N.D.",CD6/CD$5)</f>
        <v>0</v>
      </c>
      <c r="CF6" s="212">
        <f>SUM(BV6,BX6,BZ6,CB6,CD6)</f>
        <v>0</v>
      </c>
      <c r="CG6" s="224">
        <f t="shared" si="22"/>
        <v>0</v>
      </c>
    </row>
    <row r="7" spans="1:85" x14ac:dyDescent="0.35">
      <c r="B7" s="4" t="s">
        <v>7</v>
      </c>
      <c r="C7" s="196">
        <f>C5-C6</f>
        <v>2615.4408200000016</v>
      </c>
      <c r="D7" s="22">
        <f t="shared" si="0"/>
        <v>0.15354770552009098</v>
      </c>
      <c r="E7" s="216">
        <f>E5-E6</f>
        <v>491.54863</v>
      </c>
      <c r="F7" s="22">
        <f t="shared" si="0"/>
        <v>0.48881414987603694</v>
      </c>
      <c r="G7" s="20">
        <f>G5-G6</f>
        <v>1355.9337500000001</v>
      </c>
      <c r="H7" s="22">
        <f t="shared" ref="H7" si="23">IF(G$5=0,"N.D.",G7/G$5)</f>
        <v>9.4628257339128857E-2</v>
      </c>
      <c r="I7" s="216">
        <f>I5-I6</f>
        <v>279.19059000000016</v>
      </c>
      <c r="J7" s="22">
        <f t="shared" ref="J7" si="24">IF(I$5=0,"N.D.",I7/I$5)</f>
        <v>0.14728258041236564</v>
      </c>
      <c r="K7" s="20">
        <f>K5-K6</f>
        <v>4742.1137899999958</v>
      </c>
      <c r="L7" s="22">
        <f>IF(K$5=0,"N.D.",K7/K$5)</f>
        <v>0.13840062940784362</v>
      </c>
      <c r="N7" s="4" t="s">
        <v>7</v>
      </c>
      <c r="O7" s="221">
        <f>O5-O6</f>
        <v>15463.299849999999</v>
      </c>
      <c r="P7" s="22">
        <f>IF(O$5=0,"N.D.",O7/O$5)</f>
        <v>0.62198624611827902</v>
      </c>
      <c r="Q7" s="213">
        <f>Q5-Q6</f>
        <v>1518.8306799999996</v>
      </c>
      <c r="R7" s="22">
        <f>IF(Q$5=0,"N.D.",Q7/Q$5)</f>
        <v>0.38575531813970976</v>
      </c>
      <c r="S7" s="207">
        <f>S5-S6</f>
        <v>5209.0357200000035</v>
      </c>
      <c r="T7" s="22">
        <f>IF(S$5=0,"N.D.",S7/S$5)</f>
        <v>0.18595654878330134</v>
      </c>
      <c r="U7" s="213">
        <f>U5-U6</f>
        <v>3186.0619999999999</v>
      </c>
      <c r="V7" s="22">
        <f>IF(U$5=0,"N.D.",U7/U$5)</f>
        <v>1</v>
      </c>
      <c r="W7" s="207">
        <f>W5-W6</f>
        <v>296.35131000000001</v>
      </c>
      <c r="X7" s="22">
        <f>IF(W$5=0,"N.D.",W7/W$5)</f>
        <v>0.36285508966386965</v>
      </c>
      <c r="Y7" s="213">
        <f>Y5-Y6</f>
        <v>246.00299999999999</v>
      </c>
      <c r="Z7" s="22">
        <f>IF(Y$5=0,"N.D.",Y7/Y$5)</f>
        <v>1</v>
      </c>
      <c r="AA7" s="218">
        <f>AA5-AA6</f>
        <v>21216.943679999993</v>
      </c>
      <c r="AB7" s="22">
        <f>IF(AA$5=0,"N.D.",AA7/AA$5)</f>
        <v>0.4512386149400649</v>
      </c>
      <c r="AC7" s="284"/>
      <c r="AE7" s="4" t="s">
        <v>7</v>
      </c>
      <c r="AF7" s="20">
        <f>AF5-AF6</f>
        <v>7320.9542899999979</v>
      </c>
      <c r="AG7" s="22">
        <f t="shared" si="16"/>
        <v>0.25261908482801826</v>
      </c>
      <c r="AH7" s="20">
        <f>AH5-AH6</f>
        <v>7827.7049900000002</v>
      </c>
      <c r="AI7" s="22">
        <f t="shared" si="16"/>
        <v>0.47702684320971755</v>
      </c>
      <c r="AJ7" s="20">
        <f>AJ5-AJ6</f>
        <v>1222.4701599999999</v>
      </c>
      <c r="AK7" s="22">
        <f t="shared" ref="AK7:AM7" si="25">IF(AJ$5=0,"N.D.",AJ7/AJ$5)</f>
        <v>0.52537083265307427</v>
      </c>
      <c r="AL7" s="20">
        <f>AL5-AL6</f>
        <v>3439.9603750000001</v>
      </c>
      <c r="AM7" s="22">
        <f t="shared" si="25"/>
        <v>0.4788820252014917</v>
      </c>
      <c r="AN7" s="20">
        <f>AN5-AN6</f>
        <v>0</v>
      </c>
      <c r="AO7" s="22" t="str">
        <f t="shared" ref="AO7:AQ7" si="26">IF(AN$5=0,"N.D.",AN7/AN$5)</f>
        <v>N.D.</v>
      </c>
      <c r="AP7" s="20">
        <f>AP5-AP6</f>
        <v>947.02854000000002</v>
      </c>
      <c r="AQ7" s="22">
        <f t="shared" si="26"/>
        <v>0.52108231091664803</v>
      </c>
      <c r="AR7" s="20">
        <f>AR5-AR6</f>
        <v>9058.5665299999964</v>
      </c>
      <c r="AS7" s="22">
        <f t="shared" ref="AS7:AU7" si="27">IF(AR$5=0,"N.D.",AR7/AR$5)</f>
        <v>0.11312425372157285</v>
      </c>
      <c r="AT7" s="20">
        <f>AT5-AT6</f>
        <v>29816.684884999995</v>
      </c>
      <c r="AU7" s="22">
        <f t="shared" si="27"/>
        <v>0.21796868060005456</v>
      </c>
      <c r="AX7" s="4" t="s">
        <v>7</v>
      </c>
      <c r="AY7" s="20">
        <f>AY5-AY6</f>
        <v>2701.18833</v>
      </c>
      <c r="AZ7" s="22">
        <f>IF(AY$5=0,"N.D.",AY7/AY$5)</f>
        <v>0.53670937079893</v>
      </c>
      <c r="BA7" s="20">
        <f>BA5-BA6</f>
        <v>782.45779000000016</v>
      </c>
      <c r="BB7" s="22">
        <f>IF(BA$5=0,"N.D.",BA7/BA$5)</f>
        <v>0.38667688444827991</v>
      </c>
      <c r="BC7" s="20">
        <f>BC5-BC6</f>
        <v>3483.6461199999994</v>
      </c>
      <c r="BD7" s="22">
        <f>IF(BC$5=0,"N.D.",BC7/BC$5)</f>
        <v>0.49368505585803241</v>
      </c>
      <c r="BE7" s="226"/>
      <c r="BG7" s="4" t="s">
        <v>309</v>
      </c>
      <c r="BH7" s="20">
        <f>BH5-BH6</f>
        <v>174.68322000000001</v>
      </c>
      <c r="BI7" s="22">
        <f>IF(BH$5=0,"N.D.",BH7/BH$5)</f>
        <v>0.67013873050795603</v>
      </c>
      <c r="BJ7" s="20">
        <f>BJ5-BJ6</f>
        <v>432.94560999999999</v>
      </c>
      <c r="BK7" s="22">
        <f>IF(BJ$5=0,"N.D.",BJ7/BJ$5)</f>
        <v>0.69062744686106681</v>
      </c>
      <c r="BL7" s="20">
        <f>BL5-BL6</f>
        <v>152.31122999999997</v>
      </c>
      <c r="BM7" s="22">
        <f>IF(BL$5=0,"N.D.",BL7/BL$5)</f>
        <v>0.65240117975248524</v>
      </c>
      <c r="BN7" s="20">
        <f>BN5-BN6</f>
        <v>201.71280000000002</v>
      </c>
      <c r="BO7" s="22">
        <f>IF(BN$5=0,"N.D.",BN7/BN$5)</f>
        <v>0.66855631492075285</v>
      </c>
      <c r="BP7" s="14">
        <f>BP5-BP6</f>
        <v>961.65285999999992</v>
      </c>
      <c r="BQ7" s="22">
        <f>IF(BP$5=0,"N.D.",BP7/BP$5)</f>
        <v>0.67592030547613025</v>
      </c>
      <c r="BU7" s="4" t="s">
        <v>309</v>
      </c>
      <c r="BV7" s="20">
        <f>BV5-BV6</f>
        <v>56.886109999999988</v>
      </c>
      <c r="BW7" s="22">
        <f>IF(BV$5=0,"N.D.",BV7/BV$5)</f>
        <v>1</v>
      </c>
      <c r="BX7" s="20">
        <f>BX5-BX6</f>
        <v>36.184150000000002</v>
      </c>
      <c r="BY7" s="22">
        <f>IF(BX$5=0,"N.D.",BX7/BX$5)</f>
        <v>1</v>
      </c>
      <c r="BZ7" s="20">
        <f>BZ5-BZ6</f>
        <v>28.363490000000002</v>
      </c>
      <c r="CA7" s="22">
        <f>IF(BZ$5=0,"N.D.",BZ7/BZ$5)</f>
        <v>1</v>
      </c>
      <c r="CB7" s="20">
        <f>CB5-CB6</f>
        <v>6.3</v>
      </c>
      <c r="CC7" s="22">
        <f>IF(CB$5=0,"N.D.",CB7/CB$5)</f>
        <v>1</v>
      </c>
      <c r="CD7" s="20">
        <f>CD5-CD6</f>
        <v>2.5</v>
      </c>
      <c r="CE7" s="22">
        <f>IF(CD$5=0,"N.D.",CD7/CD$5)</f>
        <v>1</v>
      </c>
      <c r="CF7" s="20">
        <f>CF5-CF6</f>
        <v>130.23374999999999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22"/>
      <c r="P8" s="30"/>
      <c r="Q8" s="222"/>
      <c r="R8" s="30"/>
      <c r="S8" s="222"/>
      <c r="T8" s="30"/>
      <c r="U8" s="222"/>
      <c r="V8" s="30"/>
      <c r="W8" s="222"/>
      <c r="X8" s="30"/>
      <c r="Y8" s="222"/>
      <c r="Z8" s="30"/>
      <c r="AA8" s="222"/>
      <c r="AB8" s="30"/>
      <c r="AC8" s="284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9">
        <f>'600'!$C161/1000+ajustes!B5</f>
        <v>1342.0666799999999</v>
      </c>
      <c r="D9" s="225">
        <f t="shared" ref="D9:F13" si="28">IF(C$5=0,"N.D.",C9/C$5)</f>
        <v>7.879025890899953E-2</v>
      </c>
      <c r="E9" s="8">
        <f>'600'!$C139/1000+ajustes!C5</f>
        <v>132.06898000000001</v>
      </c>
      <c r="F9" s="225">
        <f t="shared" si="28"/>
        <v>0.13133428158205901</v>
      </c>
      <c r="G9" s="200">
        <f>'600'!$C205/1000+ajustes!D5</f>
        <v>718.22600999999997</v>
      </c>
      <c r="H9" s="225">
        <f t="shared" ref="H9" si="29">IF(G$5=0,"N.D.",G9/G$5)</f>
        <v>5.0123743657782487E-2</v>
      </c>
      <c r="I9" s="8">
        <f>'600'!$C183/1000+ajustes!E5</f>
        <v>71.603610000000003</v>
      </c>
      <c r="J9" s="225">
        <f t="shared" ref="J9:L9" si="30">IF(I$5=0,"N.D.",I9/I$5)</f>
        <v>3.7773352059038465E-2</v>
      </c>
      <c r="K9" s="209">
        <f>SUM(C9,E9,G9,I9)</f>
        <v>2263.9652799999999</v>
      </c>
      <c r="L9" s="225">
        <f t="shared" si="30"/>
        <v>6.6074799885707761E-2</v>
      </c>
      <c r="N9" s="7" t="s">
        <v>8</v>
      </c>
      <c r="O9" s="203">
        <f>'600'!$C7/1000+ajustes!F5</f>
        <v>11814.87651</v>
      </c>
      <c r="P9" s="225">
        <f t="shared" ref="P9:R9" si="31">IF(O$5=0,"N.D.",O9/O$5)</f>
        <v>0.47523431350947604</v>
      </c>
      <c r="Q9" s="11">
        <f>'600'!$C29/1000+ajustes!G5</f>
        <v>0</v>
      </c>
      <c r="R9" s="225">
        <f t="shared" si="31"/>
        <v>0</v>
      </c>
      <c r="S9" s="30">
        <f>'600'!$C51/1000+ajustes!H5</f>
        <v>2555.20066</v>
      </c>
      <c r="T9" s="225">
        <f t="shared" ref="T9:V9" si="32">IF(S$5=0,"N.D.",S9/S$5)</f>
        <v>9.1217707407545562E-2</v>
      </c>
      <c r="U9" s="11">
        <f>'600'!$C73/1000+ajustes!I5</f>
        <v>0</v>
      </c>
      <c r="V9" s="225">
        <f t="shared" si="32"/>
        <v>0</v>
      </c>
      <c r="W9" s="30">
        <f>'600'!$C95/1000+ajustes!J5</f>
        <v>0</v>
      </c>
      <c r="X9" s="225">
        <f t="shared" ref="X9:Z9" si="33">IF(W$5=0,"N.D.",W9/W$5)</f>
        <v>0</v>
      </c>
      <c r="Y9" s="11">
        <f>'600'!$C117/1000+ajustes!K5</f>
        <v>0</v>
      </c>
      <c r="Z9" s="225">
        <f t="shared" si="33"/>
        <v>0</v>
      </c>
      <c r="AA9" s="211">
        <f>SUM(O9,Q9,S9,U9,W9,Y9)-AC9</f>
        <v>12853.50029</v>
      </c>
      <c r="AB9" s="225">
        <f t="shared" ref="AB9" si="34">IF(AA$5=0,"N.D.",AA9/AA$5)</f>
        <v>0.27336621878572681</v>
      </c>
      <c r="AC9" s="284">
        <f>('612'!C2+'612'!C8+'612'!C10)/1000</f>
        <v>1516.5768799999998</v>
      </c>
      <c r="AE9" s="7" t="s">
        <v>8</v>
      </c>
      <c r="AF9" s="8">
        <f>'600'!$C293/1000+ajustes!L5</f>
        <v>3388.9708599999999</v>
      </c>
      <c r="AG9" s="225">
        <f t="shared" ref="AG9:AI9" si="35">IF(AF$5=0,"N.D.",AF9/AF$5)</f>
        <v>0.11694086361547577</v>
      </c>
      <c r="AH9" s="8">
        <f>'600'!$C315/1000+ajustes!M5</f>
        <v>6538.7831200000001</v>
      </c>
      <c r="AI9" s="225">
        <f t="shared" si="35"/>
        <v>0.39847887396770526</v>
      </c>
      <c r="AJ9" s="8">
        <f>'600'!$C359/1000+ajustes!N5</f>
        <v>4359.5095700000002</v>
      </c>
      <c r="AK9" s="225">
        <f t="shared" ref="AK9:AM9" si="36">IF(AJ$5=0,"N.D.",AJ9/AJ$5)</f>
        <v>1.8735501672694785</v>
      </c>
      <c r="AL9" s="8">
        <f>'600'!$C337/2000+ajustes!O5</f>
        <v>1615.2425949999999</v>
      </c>
      <c r="AM9" s="225">
        <f t="shared" si="36"/>
        <v>0.22486033580701137</v>
      </c>
      <c r="AN9" s="8">
        <f>ajustes!P5</f>
        <v>0</v>
      </c>
      <c r="AO9" s="225" t="str">
        <f t="shared" ref="AO9:AQ9" si="37">IF(AN$5=0,"N.D.",AN9/AN$5)</f>
        <v>N.D.</v>
      </c>
      <c r="AP9" s="8">
        <f>'600'!$C403/1000+ajustes!Q5</f>
        <v>810.19952999999998</v>
      </c>
      <c r="AQ9" s="225">
        <f t="shared" si="37"/>
        <v>0.44579505850582085</v>
      </c>
      <c r="AR9" s="8">
        <f>'600'!$C381/1000+ajustes!R5</f>
        <v>3348.0072099999998</v>
      </c>
      <c r="AS9" s="225">
        <f t="shared" ref="AS9:AU9" si="38">IF(AR$5=0,"N.D.",AR9/AR$5)</f>
        <v>4.181023739588248E-2</v>
      </c>
      <c r="AT9" s="8">
        <f>SUM(AF9,AH9,AJ9,AL9,AN9,AP9,AR9)</f>
        <v>20060.712885000001</v>
      </c>
      <c r="AU9" s="225">
        <f t="shared" si="38"/>
        <v>0.1466496740433981</v>
      </c>
      <c r="AX9" s="7" t="s">
        <v>8</v>
      </c>
      <c r="AY9" s="8">
        <f>'600'!$C447/1000+ajustes!S5</f>
        <v>251.89367000000001</v>
      </c>
      <c r="AZ9" s="225">
        <f>IF(AY$5=0,"N.D.",AY9/AY$5)</f>
        <v>5.0049710208074728E-2</v>
      </c>
      <c r="BA9" s="209">
        <f>'600'!$C425/1000+ajustes!T5</f>
        <v>0</v>
      </c>
      <c r="BB9" s="225">
        <f>IF(BA$5=0,"N.D.",BA9/BA$5)</f>
        <v>0</v>
      </c>
      <c r="BC9" s="209">
        <f>SUM(AY9,BA9)</f>
        <v>251.89367000000001</v>
      </c>
      <c r="BD9" s="225">
        <f>IF(BC$5=0,"N.D.",BC9/BC$5)</f>
        <v>3.5697121998211116E-2</v>
      </c>
      <c r="BE9" s="192"/>
      <c r="BG9" s="7" t="s">
        <v>310</v>
      </c>
      <c r="BH9" s="199">
        <f>'600'!$C470/1000+ajustes!V5</f>
        <v>184.63892000000001</v>
      </c>
      <c r="BI9" s="225">
        <f>IF(BH$5=0,"N.D.",BH9/BH$5)</f>
        <v>0.70833186754377464</v>
      </c>
      <c r="BJ9" s="8">
        <f>'600'!$C493/1000+ajustes!W5</f>
        <v>409.88041999999996</v>
      </c>
      <c r="BK9" s="225">
        <f>IF(BJ$5=0,"N.D.",BJ9/BJ$5)</f>
        <v>0.65383424948676983</v>
      </c>
      <c r="BL9" s="200">
        <f>'600'!$C560/1000+ajustes!X5</f>
        <v>157.34219000000002</v>
      </c>
      <c r="BM9" s="225">
        <f>IF(BL$5=0,"N.D.",BL9/BL$5)</f>
        <v>0.67395050503393428</v>
      </c>
      <c r="BN9" s="8">
        <f>'600'!$C605/1000+ajustes!Y5</f>
        <v>188.53725</v>
      </c>
      <c r="BO9" s="225">
        <f>IF(BN$5=0,"N.D.",BN9/BN$5)</f>
        <v>0.62488731049934709</v>
      </c>
      <c r="BP9" s="209">
        <f>SUM(BH9,BJ9,BL9,BN9)</f>
        <v>940.39877999999987</v>
      </c>
      <c r="BQ9" s="225">
        <f>IF(BP$5=0,"N.D.",BP9/BP$5)</f>
        <v>0.66098137601023743</v>
      </c>
      <c r="BU9" s="7" t="s">
        <v>310</v>
      </c>
      <c r="BV9" s="199">
        <f>'600'!$C515/1000-SUM(BX9,BZ9,CB9,CD9)+ajustes!Z5</f>
        <v>10.387329999999997</v>
      </c>
      <c r="BW9" s="225">
        <f t="shared" ref="BW9:BY9" si="39">IF(BV$5=0,"N.D.",BV9/BV$5)</f>
        <v>0.18259870467500763</v>
      </c>
      <c r="BX9" s="8">
        <f>'600'!$C582/1000+ajustes!AA5</f>
        <v>10.35708</v>
      </c>
      <c r="BY9" s="225">
        <f t="shared" si="39"/>
        <v>0.28623250787983134</v>
      </c>
      <c r="BZ9" s="200">
        <f>'600'!$C627/1000+ajustes!AB5</f>
        <v>0.77183000000000002</v>
      </c>
      <c r="CA9" s="225">
        <f t="shared" ref="CA9:CC9" si="40">IF(BZ$5=0,"N.D.",BZ9/BZ$5)</f>
        <v>2.7212095549595621E-2</v>
      </c>
      <c r="CB9" s="8">
        <f>'600'!$C537/1000+ajustes!AC5</f>
        <v>1.5129300000000001</v>
      </c>
      <c r="CC9" s="225">
        <f t="shared" si="40"/>
        <v>0.24014761904761908</v>
      </c>
      <c r="CD9" s="209">
        <f>'600'!$C649/1000+ajustes!AD5</f>
        <v>0</v>
      </c>
      <c r="CE9" s="225">
        <f t="shared" ref="CE9:CG9" si="41">IF(CD$5=0,"N.D.",CD9/CD$5)</f>
        <v>0</v>
      </c>
      <c r="CF9" s="209">
        <f>SUM(BV9,BX9,BZ9,CB9,CD9)</f>
        <v>23.029169999999997</v>
      </c>
      <c r="CG9" s="225">
        <f t="shared" si="41"/>
        <v>0.17682950847994472</v>
      </c>
    </row>
    <row r="10" spans="1:85" x14ac:dyDescent="0.35">
      <c r="B10" s="7" t="s">
        <v>9</v>
      </c>
      <c r="C10" s="203">
        <f>'600'!$C162/1000+ajustes!B6</f>
        <v>1817.5074399999999</v>
      </c>
      <c r="D10" s="224">
        <f t="shared" si="28"/>
        <v>0.1067025088251449</v>
      </c>
      <c r="E10" s="11">
        <f>'600'!$C140/1000+ajustes!C6</f>
        <v>600.08378000000005</v>
      </c>
      <c r="F10" s="224">
        <f t="shared" si="28"/>
        <v>0.59674551991956282</v>
      </c>
      <c r="G10" s="30">
        <f>'600'!$C206/1000+ajustes!D6</f>
        <v>738.86441000000002</v>
      </c>
      <c r="H10" s="224">
        <f t="shared" ref="H10" si="42">IF(G$5=0,"N.D.",G10/G$5)</f>
        <v>5.1564061686792298E-2</v>
      </c>
      <c r="I10" s="11">
        <f>'600'!$C184/1000+ajustes!E6</f>
        <v>116.78447</v>
      </c>
      <c r="J10" s="224">
        <f t="shared" ref="J10:L10" si="43">IF(I$5=0,"N.D.",I10/I$5)</f>
        <v>6.1607800225969268E-2</v>
      </c>
      <c r="K10" s="211">
        <f>SUM(C10,E10,G10,I10)</f>
        <v>3273.2401</v>
      </c>
      <c r="L10" s="224">
        <f t="shared" si="43"/>
        <v>9.5530919354635188E-2</v>
      </c>
      <c r="N10" s="7" t="s">
        <v>9</v>
      </c>
      <c r="O10" s="203">
        <f>'600'!$C8/1000+ajustes!F6</f>
        <v>2868.3030600000002</v>
      </c>
      <c r="P10" s="224">
        <f t="shared" ref="P10:R10" si="44">IF(O$5=0,"N.D.",O10/O$5)</f>
        <v>0.11537285510369076</v>
      </c>
      <c r="Q10" s="11">
        <f>'600'!$C30/1000+ajustes!G6</f>
        <v>1268.2527700000001</v>
      </c>
      <c r="R10" s="224">
        <f t="shared" si="44"/>
        <v>0.32211309477427619</v>
      </c>
      <c r="S10" s="30">
        <f>'600'!$C52/1000+ajustes!H6</f>
        <v>971.27620999999999</v>
      </c>
      <c r="T10" s="224">
        <f t="shared" ref="T10:V10" si="45">IF(S$5=0,"N.D.",S10/S$5)</f>
        <v>3.4673437011279486E-2</v>
      </c>
      <c r="U10" s="11">
        <f>'600'!$C74/1000+ajustes!I6</f>
        <v>2919.6732400000001</v>
      </c>
      <c r="V10" s="224">
        <f t="shared" si="45"/>
        <v>0.91638933580074722</v>
      </c>
      <c r="W10" s="30">
        <f>'600'!$C96/1000+ajustes!J6</f>
        <v>220.98335</v>
      </c>
      <c r="X10" s="224">
        <f t="shared" ref="X10:Z10" si="46">IF(W$5=0,"N.D.",W10/W$5)</f>
        <v>0.2705739120183821</v>
      </c>
      <c r="Y10" s="11">
        <f>'600'!$C118/1000+ajustes!K6</f>
        <v>163.17037999999999</v>
      </c>
      <c r="Z10" s="224">
        <f t="shared" si="46"/>
        <v>0.66328613878692533</v>
      </c>
      <c r="AA10" s="211">
        <f>SUM(O10,Q10,S10,U10,W10,Y10)-AC10</f>
        <v>5225.5970099999995</v>
      </c>
      <c r="AB10" s="224">
        <f t="shared" ref="AB10" si="47">IF(AA$5=0,"N.D.",AA10/AA$5)</f>
        <v>0.11113717378861161</v>
      </c>
      <c r="AC10" s="284">
        <f>'612'!C6/1000</f>
        <v>3186.0619999999999</v>
      </c>
      <c r="AE10" s="7" t="s">
        <v>9</v>
      </c>
      <c r="AF10" s="11">
        <f>'600'!$C294/1000+ajustes!L6</f>
        <v>2576.49856</v>
      </c>
      <c r="AG10" s="224">
        <f t="shared" ref="AG10:AI10" si="48">IF(AF$5=0,"N.D.",AF10/AF$5)</f>
        <v>8.890544627180115E-2</v>
      </c>
      <c r="AH10" s="11">
        <f>'600'!$C316/1000+ajustes!M6</f>
        <v>1774.8213700000001</v>
      </c>
      <c r="AI10" s="224">
        <f t="shared" si="48"/>
        <v>0.10815908832459029</v>
      </c>
      <c r="AJ10" s="11">
        <f>'600'!$C360/1000+ajustes!N6</f>
        <v>619.62963000000002</v>
      </c>
      <c r="AK10" s="224">
        <f t="shared" ref="AK10:AM10" si="49">IF(AJ$5=0,"N.D.",AJ10/AJ$5)</f>
        <v>0.26629307225758081</v>
      </c>
      <c r="AL10" s="11">
        <f>'600'!$C338/2000+ajustes!O6</f>
        <v>608.54578500000002</v>
      </c>
      <c r="AM10" s="224">
        <f t="shared" si="49"/>
        <v>8.4716568268211973E-2</v>
      </c>
      <c r="AN10" s="11">
        <f>ajustes!P6</f>
        <v>0</v>
      </c>
      <c r="AO10" s="224" t="str">
        <f t="shared" ref="AO10:AQ10" si="50">IF(AN$5=0,"N.D.",AN10/AN$5)</f>
        <v>N.D.</v>
      </c>
      <c r="AP10" s="11">
        <f>'600'!$C404/1000+ajustes!Q6</f>
        <v>0</v>
      </c>
      <c r="AQ10" s="224">
        <f t="shared" si="50"/>
        <v>0</v>
      </c>
      <c r="AR10" s="11">
        <f>'600'!$C382/1000+ajustes!R6</f>
        <v>991.40386999999998</v>
      </c>
      <c r="AS10" s="224">
        <f t="shared" ref="AS10:AU10" si="51">IF(AR$5=0,"N.D.",AR10/AR$5)</f>
        <v>1.2380747280378948E-2</v>
      </c>
      <c r="AT10" s="11">
        <f>SUM(AF10,AH10,AJ10,AL10,AN10,AP10,AR10)</f>
        <v>6570.8992150000004</v>
      </c>
      <c r="AU10" s="224">
        <f t="shared" si="51"/>
        <v>4.803519364320788E-2</v>
      </c>
      <c r="AX10" s="7" t="s">
        <v>9</v>
      </c>
      <c r="AY10" s="11">
        <f>'600'!$C448/1000+ajustes!S6</f>
        <v>160.67510000000001</v>
      </c>
      <c r="AZ10" s="224">
        <f>IF(AY$5=0,"N.D.",AY10/AY$5)</f>
        <v>3.1925146005667503E-2</v>
      </c>
      <c r="BA10" s="211">
        <f>'600'!$C426/1000+ajustes!T6</f>
        <v>129.78749999999999</v>
      </c>
      <c r="BB10" s="224">
        <f>IF(BA$5=0,"N.D.",BA10/BA$5)</f>
        <v>6.4138700875265256E-2</v>
      </c>
      <c r="BC10" s="211">
        <f>SUM(AY10,BA10)</f>
        <v>290.46260000000001</v>
      </c>
      <c r="BD10" s="224">
        <f>IF(BC$5=0,"N.D.",BC10/BC$5)</f>
        <v>4.1162919529171164E-2</v>
      </c>
      <c r="BE10" s="192"/>
      <c r="BG10" s="7" t="s">
        <v>311</v>
      </c>
      <c r="BH10" s="203">
        <f>'600'!$C471/1000+ajustes!V6</f>
        <v>11.42698</v>
      </c>
      <c r="BI10" s="224">
        <f>IF(BH$5=0,"N.D.",BH10/BH$5)</f>
        <v>4.3837421079940035E-2</v>
      </c>
      <c r="BJ10" s="11">
        <f>'600'!$C494/1000+ajustes!W6</f>
        <v>16.33428</v>
      </c>
      <c r="BK10" s="224">
        <f>IF(BJ$5=0,"N.D.",BJ10/BJ$5)</f>
        <v>2.6056164636277954E-2</v>
      </c>
      <c r="BL10" s="30">
        <f>'600'!$C561/1000+ajustes!X6</f>
        <v>7.2736800000000006</v>
      </c>
      <c r="BM10" s="224">
        <f>IF(BL$5=0,"N.D.",BL10/BL$5)</f>
        <v>3.1155663394892539E-2</v>
      </c>
      <c r="BN10" s="11">
        <f>'600'!$C606/1000+ajustes!Y6</f>
        <v>15.536020000000001</v>
      </c>
      <c r="BO10" s="224">
        <f>IF(BN$5=0,"N.D.",BN10/BN$5)</f>
        <v>5.1492539292177363E-2</v>
      </c>
      <c r="BP10" s="211">
        <f>SUM(BH10,BJ10,BL10,BN10)</f>
        <v>50.570959999999999</v>
      </c>
      <c r="BQ10" s="224">
        <f>IF(BP$5=0,"N.D.",BP10/BP$5)</f>
        <v>3.5544987337136569E-2</v>
      </c>
      <c r="BU10" s="7" t="s">
        <v>311</v>
      </c>
      <c r="BV10" s="203">
        <f>'600'!$C516/1000-SUM(BX10,BZ10,CB10,CD10)+ajustes!Z6</f>
        <v>0</v>
      </c>
      <c r="BW10" s="224">
        <f t="shared" ref="BW10:BY10" si="52">IF(BV$5=0,"N.D.",BV10/BV$5)</f>
        <v>0</v>
      </c>
      <c r="BX10" s="11">
        <f>'600'!$C583/1000+ajustes!AA6</f>
        <v>0</v>
      </c>
      <c r="BY10" s="224">
        <f t="shared" si="52"/>
        <v>0</v>
      </c>
      <c r="BZ10" s="30">
        <f>'600'!$C628/1000+ajustes!AB6</f>
        <v>0</v>
      </c>
      <c r="CA10" s="224">
        <f t="shared" ref="CA10:CC10" si="53">IF(BZ$5=0,"N.D.",BZ10/BZ$5)</f>
        <v>0</v>
      </c>
      <c r="CB10" s="11">
        <f>'600'!$C538/1000+ajustes!AC6</f>
        <v>0</v>
      </c>
      <c r="CC10" s="224">
        <f t="shared" si="53"/>
        <v>0</v>
      </c>
      <c r="CD10" s="211">
        <f>'600'!$C650/1000+ajustes!AD6</f>
        <v>1.6714200000000001</v>
      </c>
      <c r="CE10" s="224">
        <f t="shared" ref="CE10:CG10" si="54">IF(CD$5=0,"N.D.",CD10/CD$5)</f>
        <v>0.66856800000000005</v>
      </c>
      <c r="CF10" s="211">
        <f>SUM(BV10,BX10,BZ10,CB10,CD10)</f>
        <v>1.6714200000000001</v>
      </c>
      <c r="CG10" s="224">
        <f t="shared" si="54"/>
        <v>1.2834000403121312E-2</v>
      </c>
    </row>
    <row r="11" spans="1:85" x14ac:dyDescent="0.35">
      <c r="B11" s="7" t="s">
        <v>10</v>
      </c>
      <c r="C11" s="201">
        <f>'600'!$C163/1000+ajustes!B7</f>
        <v>79.762860000000003</v>
      </c>
      <c r="D11" s="224">
        <f t="shared" si="28"/>
        <v>4.6827303623410742E-3</v>
      </c>
      <c r="E11" s="34">
        <f>'600'!$C141/1000+ajustes!C7</f>
        <v>32.252000000000002</v>
      </c>
      <c r="F11" s="224">
        <f t="shared" si="28"/>
        <v>3.2072582445814048E-2</v>
      </c>
      <c r="G11" s="202">
        <f>'600'!$C207/1000+ajustes!D7</f>
        <v>157.08485999999999</v>
      </c>
      <c r="H11" s="224">
        <f t="shared" ref="H11" si="55">IF(G$5=0,"N.D.",G11/G$5)</f>
        <v>1.096267908086293E-2</v>
      </c>
      <c r="I11" s="34">
        <f>'600'!$C185/1000+ajustes!E7</f>
        <v>0</v>
      </c>
      <c r="J11" s="224">
        <f t="shared" ref="J11:L11" si="56">IF(I$5=0,"N.D.",I11/I$5)</f>
        <v>0</v>
      </c>
      <c r="K11" s="212">
        <f>SUM(C11,E11,G11,I11)</f>
        <v>269.09971999999999</v>
      </c>
      <c r="L11" s="224">
        <f t="shared" si="56"/>
        <v>7.8537910034998382E-3</v>
      </c>
      <c r="N11" s="7" t="s">
        <v>10</v>
      </c>
      <c r="O11" s="201">
        <f>'600'!$C9/1000+ajustes!F7</f>
        <v>595.01857999999993</v>
      </c>
      <c r="P11" s="224">
        <f t="shared" ref="P11:R11" si="57">IF(O$5=0,"N.D.",O11/O$5)</f>
        <v>2.3933660766775396E-2</v>
      </c>
      <c r="Q11" s="34">
        <f>'600'!$C31/1000+ajustes!G7</f>
        <v>0</v>
      </c>
      <c r="R11" s="224">
        <f t="shared" si="57"/>
        <v>0</v>
      </c>
      <c r="S11" s="202">
        <f>'600'!$C53/1000+ajustes!H7</f>
        <v>110.02908000000001</v>
      </c>
      <c r="T11" s="224">
        <f t="shared" ref="T11:V11" si="58">IF(S$5=0,"N.D.",S11/S$5)</f>
        <v>3.9279108615138756E-3</v>
      </c>
      <c r="U11" s="34">
        <f>'600'!$C75/1000+ajustes!I7</f>
        <v>41.87912</v>
      </c>
      <c r="V11" s="224">
        <f t="shared" si="58"/>
        <v>1.3144477414438263E-2</v>
      </c>
      <c r="W11" s="202">
        <f>'600'!$C97/1000+ajustes!J7</f>
        <v>0</v>
      </c>
      <c r="X11" s="224">
        <f t="shared" ref="X11:Z11" si="59">IF(W$5=0,"N.D.",W11/W$5)</f>
        <v>0</v>
      </c>
      <c r="Y11" s="34">
        <f>'600'!$C119/1000+ajustes!K7</f>
        <v>33.78687</v>
      </c>
      <c r="Z11" s="224">
        <f t="shared" si="59"/>
        <v>0.13734332508140146</v>
      </c>
      <c r="AA11" s="212">
        <f>SUM(O11,Q11,S11,U11,W11,Y11)</f>
        <v>780.71365000000003</v>
      </c>
      <c r="AB11" s="224">
        <f t="shared" ref="AB11" si="60">IF(AA$5=0,"N.D.",AA11/AA$5)</f>
        <v>1.6604094887751653E-2</v>
      </c>
      <c r="AC11" s="284"/>
      <c r="AE11" s="7" t="s">
        <v>10</v>
      </c>
      <c r="AF11" s="11">
        <f>'600'!$C295/1000+ajustes!L7</f>
        <v>348.64584000000002</v>
      </c>
      <c r="AG11" s="224">
        <f t="shared" ref="AG11:AI11" si="61">IF(AF$5=0,"N.D.",AF11/AF$5)</f>
        <v>1.2030479844711025E-2</v>
      </c>
      <c r="AH11" s="11">
        <f>'600'!$C317/1000+ajustes!M7</f>
        <v>613.60856000000001</v>
      </c>
      <c r="AI11" s="224">
        <f t="shared" si="61"/>
        <v>3.7393815264780507E-2</v>
      </c>
      <c r="AJ11" s="11">
        <f>'600'!$C361/1000+ajustes!N7</f>
        <v>351.60583000000003</v>
      </c>
      <c r="AK11" s="224">
        <f t="shared" ref="AK11:AM11" si="62">IF(AJ$5=0,"N.D.",AJ11/AJ$5)</f>
        <v>0.1511067130446565</v>
      </c>
      <c r="AL11" s="11">
        <f>'600'!$C339/2000+ajustes!O7</f>
        <v>177.5445</v>
      </c>
      <c r="AM11" s="224">
        <f t="shared" si="62"/>
        <v>2.4716235204711112E-2</v>
      </c>
      <c r="AN11" s="11">
        <f>ajustes!P7</f>
        <v>0</v>
      </c>
      <c r="AO11" s="224" t="str">
        <f t="shared" ref="AO11:AQ11" si="63">IF(AN$5=0,"N.D.",AN11/AN$5)</f>
        <v>N.D.</v>
      </c>
      <c r="AP11" s="11">
        <f>'600'!$C405/1000+ajustes!Q7</f>
        <v>265.91181</v>
      </c>
      <c r="AQ11" s="224">
        <f t="shared" si="63"/>
        <v>0.14631231753039739</v>
      </c>
      <c r="AR11" s="11">
        <f>'600'!$C383/1000+ajustes!R7</f>
        <v>471.23478</v>
      </c>
      <c r="AS11" s="224">
        <f t="shared" ref="AS11:AU11" si="64">IF(AR$5=0,"N.D.",AR11/AR$5)</f>
        <v>5.884825445461467E-3</v>
      </c>
      <c r="AT11" s="11">
        <f>SUM(AF11,AH11,AJ11,AL11,AN11,AP11,AR11)</f>
        <v>2228.55132</v>
      </c>
      <c r="AU11" s="224">
        <f t="shared" si="64"/>
        <v>1.6291361455621798E-2</v>
      </c>
      <c r="AX11" s="7" t="s">
        <v>10</v>
      </c>
      <c r="AY11" s="34">
        <f>'600'!$C449/1000+ajustes!S7</f>
        <v>0</v>
      </c>
      <c r="AZ11" s="224">
        <f>IF(AY$5=0,"N.D.",AY11/AY$5)</f>
        <v>0</v>
      </c>
      <c r="BA11" s="212">
        <f>'600'!$C427/1000+ajustes!T7</f>
        <v>24.823910000000001</v>
      </c>
      <c r="BB11" s="224">
        <f>IF(BA$5=0,"N.D.",BA11/BA$5)</f>
        <v>1.2267539925220118E-2</v>
      </c>
      <c r="BC11" s="211">
        <f>SUM(AY11,BA11)</f>
        <v>24.823910000000001</v>
      </c>
      <c r="BD11" s="224">
        <f>IF(BC$5=0,"N.D.",BC11/BC$5)</f>
        <v>3.5179214457537297E-3</v>
      </c>
      <c r="BE11" s="192"/>
      <c r="BG11" s="7" t="s">
        <v>312</v>
      </c>
      <c r="BH11" s="201">
        <f>'600'!$C472/1000+ajustes!V7</f>
        <v>1.9606700000000001</v>
      </c>
      <c r="BI11" s="224">
        <f>IF(BH$5=0,"N.D.",BH11/BH$5)</f>
        <v>7.5217350856312017E-3</v>
      </c>
      <c r="BJ11" s="34">
        <f>'600'!$C495/1000+ajustes!W7</f>
        <v>4.0799500000000002</v>
      </c>
      <c r="BK11" s="224">
        <f>IF(BJ$5=0,"N.D.",BJ11/BJ$5)</f>
        <v>6.5082665968614626E-3</v>
      </c>
      <c r="BL11" s="202">
        <f>'600'!$C562/1000+ajustes!X7</f>
        <v>9.2417600000000011</v>
      </c>
      <c r="BM11" s="224">
        <f>IF(BL$5=0,"N.D.",BL11/BL$5)</f>
        <v>3.9585624296969629E-2</v>
      </c>
      <c r="BN11" s="34">
        <f>'600'!$C607/1000+ajustes!Y8</f>
        <v>5.1190200000000008</v>
      </c>
      <c r="BO11" s="224">
        <f>IF(BN$5=0,"N.D.",BN11/BN$5)</f>
        <v>1.6966464930364519E-2</v>
      </c>
      <c r="BP11" s="211">
        <f>SUM(BH11,BJ11,BL11,BN11)</f>
        <v>20.401400000000002</v>
      </c>
      <c r="BQ11" s="224">
        <f>IF(BP$5=0,"N.D.",BP11/BP$5)</f>
        <v>1.4339603295248065E-2</v>
      </c>
      <c r="BU11" s="7" t="s">
        <v>312</v>
      </c>
      <c r="BV11" s="201">
        <f>'600'!$C517/1000-SUM(BX11,BZ11,CB11,CD11)+ajustes!Z7</f>
        <v>11.894080000000001</v>
      </c>
      <c r="BW11" s="224">
        <f t="shared" ref="BW11:BY11" si="65">IF(BV$5=0,"N.D.",BV11/BV$5)</f>
        <v>0.20908583835315867</v>
      </c>
      <c r="BX11" s="34">
        <f>'600'!$C584/1000+ajustes!AA7</f>
        <v>2.5131700000000001</v>
      </c>
      <c r="BY11" s="224">
        <f t="shared" si="65"/>
        <v>6.9454996179266329E-2</v>
      </c>
      <c r="BZ11" s="202">
        <f>'600'!$C629/1000+ajustes!AB7</f>
        <v>2.8091200000000001</v>
      </c>
      <c r="CA11" s="224">
        <f t="shared" ref="CA11:CC11" si="66">IF(BZ$5=0,"N.D.",BZ11/BZ$5)</f>
        <v>9.903999825127302E-2</v>
      </c>
      <c r="CB11" s="34">
        <f>'600'!$C539/1000+ajustes!AC7</f>
        <v>3.7860399999999998</v>
      </c>
      <c r="CC11" s="224">
        <f t="shared" si="66"/>
        <v>0.60095873015873014</v>
      </c>
      <c r="CD11" s="212">
        <f>'600'!$C651/1000+ajustes!AD7</f>
        <v>0</v>
      </c>
      <c r="CE11" s="224">
        <f t="shared" ref="CE11:CG11" si="67">IF(CD$5=0,"N.D.",CD11/CD$5)</f>
        <v>0</v>
      </c>
      <c r="CF11" s="211">
        <f>SUM(BV11,BX11,BZ11,CB11,CD11)</f>
        <v>21.002410000000001</v>
      </c>
      <c r="CG11" s="224">
        <f t="shared" si="67"/>
        <v>0.16126702947584634</v>
      </c>
    </row>
    <row r="12" spans="1:85" x14ac:dyDescent="0.35">
      <c r="B12" s="4" t="s">
        <v>11</v>
      </c>
      <c r="C12" s="217">
        <f>SUM(C9:C11)</f>
        <v>3239.3369799999996</v>
      </c>
      <c r="D12" s="22">
        <f t="shared" si="28"/>
        <v>0.19017549809648548</v>
      </c>
      <c r="E12" s="214">
        <f>SUM(E9:E11)</f>
        <v>764.40476000000001</v>
      </c>
      <c r="F12" s="22">
        <f t="shared" si="28"/>
        <v>0.76015238394743578</v>
      </c>
      <c r="G12" s="217">
        <f>SUM(G9:G11)</f>
        <v>1614.1752799999999</v>
      </c>
      <c r="H12" s="22">
        <f t="shared" ref="H12" si="68">IF(G$5=0,"N.D.",G12/G$5)</f>
        <v>0.11265048442543771</v>
      </c>
      <c r="I12" s="14">
        <f>SUM(I9:I11)</f>
        <v>188.38808</v>
      </c>
      <c r="J12" s="22">
        <f t="shared" ref="J12:L12" si="69">IF(I$5=0,"N.D.",I12/I$5)</f>
        <v>9.9381152285007726E-2</v>
      </c>
      <c r="K12" s="215">
        <f>SUM(K9:K11)</f>
        <v>5806.3050999999996</v>
      </c>
      <c r="L12" s="22">
        <f t="shared" si="69"/>
        <v>0.16945951024384279</v>
      </c>
      <c r="N12" s="4" t="s">
        <v>11</v>
      </c>
      <c r="O12" s="221">
        <f>SUM(O9:O11)</f>
        <v>15278.19815</v>
      </c>
      <c r="P12" s="22">
        <f t="shared" ref="P12:R12" si="70">IF(O$5=0,"N.D.",O12/O$5)</f>
        <v>0.61454082937994214</v>
      </c>
      <c r="Q12" s="213">
        <f>SUM(Q9:Q11)</f>
        <v>1268.2527700000001</v>
      </c>
      <c r="R12" s="22">
        <f t="shared" si="70"/>
        <v>0.32211309477427619</v>
      </c>
      <c r="S12" s="207">
        <f>SUM(S9:S11)</f>
        <v>3636.5059499999998</v>
      </c>
      <c r="T12" s="22">
        <f t="shared" ref="T12:V12" si="71">IF(S$5=0,"N.D.",S12/S$5)</f>
        <v>0.12981905528033891</v>
      </c>
      <c r="U12" s="213">
        <f>SUM(U9:U11)</f>
        <v>2961.5523600000001</v>
      </c>
      <c r="V12" s="22">
        <f t="shared" si="71"/>
        <v>0.92953381321518547</v>
      </c>
      <c r="W12" s="207">
        <f>SUM(W9:W11)</f>
        <v>220.98335</v>
      </c>
      <c r="X12" s="22">
        <f t="shared" ref="X12:Z12" si="72">IF(W$5=0,"N.D.",W12/W$5)</f>
        <v>0.2705739120183821</v>
      </c>
      <c r="Y12" s="213">
        <f>SUM(Y9:Y11)</f>
        <v>196.95724999999999</v>
      </c>
      <c r="Z12" s="22">
        <f t="shared" si="72"/>
        <v>0.80062946386832679</v>
      </c>
      <c r="AA12" s="218">
        <f>SUM(AA9:AA11)</f>
        <v>18859.810950000003</v>
      </c>
      <c r="AB12" s="22">
        <f t="shared" ref="AB12" si="73">IF(AA$5=0,"N.D.",AA12/AA$5)</f>
        <v>0.40110748746209018</v>
      </c>
      <c r="AC12" s="284"/>
      <c r="AE12" s="4" t="s">
        <v>11</v>
      </c>
      <c r="AF12" s="14">
        <f>SUM(AF9:AF11)</f>
        <v>6314.1152599999996</v>
      </c>
      <c r="AG12" s="22">
        <f t="shared" ref="AG12:AI12" si="74">IF(AF$5=0,"N.D.",AF12/AF$5)</f>
        <v>0.21787678973198793</v>
      </c>
      <c r="AH12" s="14">
        <f>SUM(AH9:AH11)</f>
        <v>8927.2130500000003</v>
      </c>
      <c r="AI12" s="22">
        <f t="shared" si="74"/>
        <v>0.5440317775570761</v>
      </c>
      <c r="AJ12" s="14">
        <f>SUM(AJ9:AJ11)</f>
        <v>5330.745030000001</v>
      </c>
      <c r="AK12" s="22">
        <f t="shared" ref="AK12:AM12" si="75">IF(AJ$5=0,"N.D.",AJ12/AJ$5)</f>
        <v>2.2909499525717161</v>
      </c>
      <c r="AL12" s="14">
        <f>SUM(AL9:AL11)</f>
        <v>2401.3328799999999</v>
      </c>
      <c r="AM12" s="22">
        <f t="shared" si="75"/>
        <v>0.33429313927993443</v>
      </c>
      <c r="AN12" s="14">
        <f>SUM(AN9:AN11)</f>
        <v>0</v>
      </c>
      <c r="AO12" s="22" t="str">
        <f t="shared" ref="AO12:AQ12" si="76">IF(AN$5=0,"N.D.",AN12/AN$5)</f>
        <v>N.D.</v>
      </c>
      <c r="AP12" s="14">
        <f>SUM(AP9:AP11)</f>
        <v>1076.1113399999999</v>
      </c>
      <c r="AQ12" s="22">
        <f t="shared" si="76"/>
        <v>0.59210737603621821</v>
      </c>
      <c r="AR12" s="14">
        <f>SUM(AR9:AR11)</f>
        <v>4810.6458599999996</v>
      </c>
      <c r="AS12" s="22">
        <f t="shared" ref="AS12:AU12" si="77">IF(AR$5=0,"N.D.",AR12/AR$5)</f>
        <v>6.0075810121722889E-2</v>
      </c>
      <c r="AT12" s="14">
        <f>SUM(AT9:AT11)</f>
        <v>28860.163420000001</v>
      </c>
      <c r="AU12" s="22">
        <f t="shared" si="77"/>
        <v>0.21097622914222777</v>
      </c>
      <c r="AX12" s="4" t="s">
        <v>11</v>
      </c>
      <c r="AY12" s="213">
        <f>SUM(AY9:AY11)</f>
        <v>412.56877000000003</v>
      </c>
      <c r="AZ12" s="22">
        <f>IF(AY$5=0,"N.D.",AY12/AY$5)</f>
        <v>8.1974856213742231E-2</v>
      </c>
      <c r="BA12" s="213">
        <f>SUM(BA9:BA11)</f>
        <v>154.61141000000001</v>
      </c>
      <c r="BB12" s="22">
        <f>IF(BA$5=0,"N.D.",BA12/BA$5)</f>
        <v>7.6406240800485387E-2</v>
      </c>
      <c r="BC12" s="14">
        <f>SUM(BC9:BC11)</f>
        <v>567.18017999999995</v>
      </c>
      <c r="BD12" s="22">
        <f>IF(BC$5=0,"N.D.",BC12/BC$5)</f>
        <v>8.0377962973136E-2</v>
      </c>
      <c r="BE12" s="226"/>
      <c r="BG12" s="4" t="s">
        <v>313</v>
      </c>
      <c r="BH12" s="213">
        <f>SUM(BH9:BH11)</f>
        <v>198.02656999999999</v>
      </c>
      <c r="BI12" s="22">
        <f>IF(BH$5=0,"N.D.",BH12/BH$5)</f>
        <v>0.75969102370934583</v>
      </c>
      <c r="BJ12" s="213">
        <f>SUM(BJ9:BJ11)</f>
        <v>430.29464999999993</v>
      </c>
      <c r="BK12" s="22">
        <f>IF(BJ$5=0,"N.D.",BJ12/BJ$5)</f>
        <v>0.68639868071990917</v>
      </c>
      <c r="BL12" s="213">
        <f>SUM(BL9:BL11)</f>
        <v>173.85763000000003</v>
      </c>
      <c r="BM12" s="22">
        <f>IF(BL$5=0,"N.D.",BL12/BL$5)</f>
        <v>0.74469179272579644</v>
      </c>
      <c r="BN12" s="213">
        <f>SUM(BN9:BN11)</f>
        <v>209.19229000000001</v>
      </c>
      <c r="BO12" s="22">
        <f>IF(BN$5=0,"N.D.",BN12/BN$5)</f>
        <v>0.69334631472188901</v>
      </c>
      <c r="BP12" s="14">
        <f>SUM(BP9:BP11)</f>
        <v>1011.3711399999999</v>
      </c>
      <c r="BQ12" s="22">
        <f>IF(BP$5=0,"N.D.",BP12/BP$5)</f>
        <v>0.71086596664262203</v>
      </c>
      <c r="BU12" s="4" t="s">
        <v>313</v>
      </c>
      <c r="BV12" s="213">
        <f>SUM(BV9:BV11)</f>
        <v>22.281409999999997</v>
      </c>
      <c r="BW12" s="22">
        <f t="shared" ref="BW12:BY12" si="78">IF(BV$5=0,"N.D.",BV12/BV$5)</f>
        <v>0.3916845430281663</v>
      </c>
      <c r="BX12" s="213">
        <f>SUM(BX9:BX11)</f>
        <v>12.87025</v>
      </c>
      <c r="BY12" s="22">
        <f t="shared" si="78"/>
        <v>0.35568750405909766</v>
      </c>
      <c r="BZ12" s="213">
        <f>SUM(BZ9:BZ11)</f>
        <v>3.5809500000000001</v>
      </c>
      <c r="CA12" s="22">
        <f t="shared" ref="CA12:CC12" si="79">IF(BZ$5=0,"N.D.",BZ12/BZ$5)</f>
        <v>0.12625209380086863</v>
      </c>
      <c r="CB12" s="213">
        <f>SUM(CB9:CB11)</f>
        <v>5.2989699999999997</v>
      </c>
      <c r="CC12" s="22">
        <f t="shared" si="79"/>
        <v>0.84110634920634919</v>
      </c>
      <c r="CD12" s="213">
        <f>SUM(CD9:CD11)</f>
        <v>1.6714200000000001</v>
      </c>
      <c r="CE12" s="22">
        <f t="shared" ref="CE12:CG12" si="80">IF(CD$5=0,"N.D.",CD12/CD$5)</f>
        <v>0.66856800000000005</v>
      </c>
      <c r="CF12" s="14">
        <f>SUM(CF9:CF11)</f>
        <v>45.703000000000003</v>
      </c>
      <c r="CG12" s="22">
        <f t="shared" si="80"/>
        <v>0.35093053835891241</v>
      </c>
    </row>
    <row r="13" spans="1:85" x14ac:dyDescent="0.35">
      <c r="B13" s="4" t="s">
        <v>12</v>
      </c>
      <c r="C13" s="220">
        <f>C7-C12</f>
        <v>-623.89615999999796</v>
      </c>
      <c r="D13" s="22">
        <f t="shared" si="28"/>
        <v>-3.6627792576394515E-2</v>
      </c>
      <c r="E13" s="31">
        <f>E7-E12</f>
        <v>-272.85613000000001</v>
      </c>
      <c r="F13" s="22">
        <f t="shared" si="28"/>
        <v>-0.27133823407139884</v>
      </c>
      <c r="G13" s="14">
        <f>G7-G12</f>
        <v>-258.24152999999978</v>
      </c>
      <c r="H13" s="22">
        <f t="shared" ref="H13" si="81">IF(G$5=0,"N.D.",G13/G$5)</f>
        <v>-1.8022227086308858E-2</v>
      </c>
      <c r="I13" s="31">
        <f>I7-I12</f>
        <v>90.802510000000154</v>
      </c>
      <c r="J13" s="22">
        <f t="shared" ref="J13:L13" si="82">IF(I$5=0,"N.D.",I13/I$5)</f>
        <v>4.7901428127357912E-2</v>
      </c>
      <c r="K13" s="14">
        <f>K7-K12</f>
        <v>-1064.1913100000038</v>
      </c>
      <c r="L13" s="22">
        <f t="shared" si="82"/>
        <v>-3.1058880835999149E-2</v>
      </c>
      <c r="N13" s="4" t="s">
        <v>12</v>
      </c>
      <c r="O13" s="217">
        <f>O7-O12</f>
        <v>185.10169999999925</v>
      </c>
      <c r="P13" s="22">
        <f t="shared" ref="P13:R13" si="83">IF(O$5=0,"N.D.",O13/O$5)</f>
        <v>7.4454167383368299E-3</v>
      </c>
      <c r="Q13" s="205">
        <f>Q7-Q12</f>
        <v>250.57790999999952</v>
      </c>
      <c r="R13" s="22">
        <f t="shared" si="83"/>
        <v>6.3642223365433598E-2</v>
      </c>
      <c r="S13" s="214">
        <f>S7-S12</f>
        <v>1572.5297700000037</v>
      </c>
      <c r="T13" s="22">
        <f t="shared" ref="T13:V13" si="84">IF(S$5=0,"N.D.",S13/S$5)</f>
        <v>5.6137493502962411E-2</v>
      </c>
      <c r="U13" s="205">
        <f>U7-U12</f>
        <v>224.50963999999976</v>
      </c>
      <c r="V13" s="22">
        <f t="shared" si="84"/>
        <v>7.0466186784814533E-2</v>
      </c>
      <c r="W13" s="214">
        <f>W7-W12</f>
        <v>75.367960000000011</v>
      </c>
      <c r="X13" s="22">
        <f t="shared" ref="X13:Z13" si="85">IF(W$5=0,"N.D.",W13/W$5)</f>
        <v>9.2281177645487517E-2</v>
      </c>
      <c r="Y13" s="205">
        <f>Y7-Y12</f>
        <v>49.045749999999998</v>
      </c>
      <c r="Z13" s="22">
        <f t="shared" si="85"/>
        <v>0.19937053613167319</v>
      </c>
      <c r="AA13" s="215">
        <f>AA7-AA12</f>
        <v>2357.1327299999903</v>
      </c>
      <c r="AB13" s="22">
        <f t="shared" ref="AB13" si="86">IF(AA$5=0,"N.D.",AA13/AA$5)</f>
        <v>5.0131127477974713E-2</v>
      </c>
      <c r="AC13" s="284"/>
      <c r="AE13" s="4" t="s">
        <v>12</v>
      </c>
      <c r="AF13" s="20">
        <f>AF7-AF12</f>
        <v>1006.8390299999983</v>
      </c>
      <c r="AG13" s="22">
        <f t="shared" ref="AG13:AI13" si="87">IF(AF$5=0,"N.D.",AF13/AF$5)</f>
        <v>3.4742295096030336E-2</v>
      </c>
      <c r="AH13" s="20">
        <f>AH7-AH12</f>
        <v>-1099.5080600000001</v>
      </c>
      <c r="AI13" s="22">
        <f t="shared" si="87"/>
        <v>-6.7004934347358533E-2</v>
      </c>
      <c r="AJ13" s="20">
        <f>AJ7-AJ12</f>
        <v>-4108.2748700000011</v>
      </c>
      <c r="AK13" s="22">
        <f t="shared" ref="AK13:AM13" si="88">IF(AJ$5=0,"N.D.",AJ13/AJ$5)</f>
        <v>-1.7655791199186419</v>
      </c>
      <c r="AL13" s="20">
        <f>AL7-AL12</f>
        <v>1038.6274950000002</v>
      </c>
      <c r="AM13" s="22">
        <f t="shared" si="88"/>
        <v>0.14458888592155725</v>
      </c>
      <c r="AN13" s="20">
        <f>AN7-AN12</f>
        <v>0</v>
      </c>
      <c r="AO13" s="22" t="str">
        <f t="shared" ref="AO13:AQ13" si="89">IF(AN$5=0,"N.D.",AN13/AN$5)</f>
        <v>N.D.</v>
      </c>
      <c r="AP13" s="20">
        <f>AP7-AP12</f>
        <v>-129.08279999999991</v>
      </c>
      <c r="AQ13" s="22">
        <f t="shared" si="89"/>
        <v>-7.1025065119570158E-2</v>
      </c>
      <c r="AR13" s="20">
        <f>AR7-AR12</f>
        <v>4247.9206699999968</v>
      </c>
      <c r="AS13" s="22">
        <f t="shared" ref="AS13:AU13" si="90">IF(AR$5=0,"N.D.",AR13/AR$5)</f>
        <v>5.3048443599849962E-2</v>
      </c>
      <c r="AT13" s="20">
        <f>AT7-AT12</f>
        <v>956.52146499999435</v>
      </c>
      <c r="AU13" s="22">
        <f t="shared" si="90"/>
        <v>6.9924514578267828E-3</v>
      </c>
      <c r="AX13" s="4" t="s">
        <v>12</v>
      </c>
      <c r="AY13" s="14">
        <f>AY7-AY12</f>
        <v>2288.6195600000001</v>
      </c>
      <c r="AZ13" s="22">
        <f>IF(AY$5=0,"N.D.",AY13/AY$5)</f>
        <v>0.45473451458518788</v>
      </c>
      <c r="BA13" s="14">
        <f>BA7-BA12</f>
        <v>627.84638000000018</v>
      </c>
      <c r="BB13" s="22">
        <f>IF(BA$5=0,"N.D.",BA13/BA$5)</f>
        <v>0.31027064364779455</v>
      </c>
      <c r="BC13" s="20">
        <f>BC7-BC12</f>
        <v>2916.4659399999996</v>
      </c>
      <c r="BD13" s="22">
        <f>IF(BC$5=0,"N.D.",BC13/BC$5)</f>
        <v>0.41330709288489642</v>
      </c>
      <c r="BE13" s="226"/>
      <c r="BG13" s="4" t="s">
        <v>314</v>
      </c>
      <c r="BH13" s="14">
        <f>BH7-BH12</f>
        <v>-23.343349999999987</v>
      </c>
      <c r="BI13" s="22">
        <f>IF(BH$5=0,"N.D.",BH13/BH$5)</f>
        <v>-8.955229320138984E-2</v>
      </c>
      <c r="BJ13" s="14">
        <f>BJ7-BJ12</f>
        <v>2.6509600000000546</v>
      </c>
      <c r="BK13" s="22">
        <f>IF(BJ$5=0,"N.D.",BJ13/BJ$5)</f>
        <v>4.2287661411576655E-3</v>
      </c>
      <c r="BL13" s="14">
        <f>BL7-BL12</f>
        <v>-21.546400000000062</v>
      </c>
      <c r="BM13" s="22">
        <f>IF(BL$5=0,"N.D.",BL13/BL$5)</f>
        <v>-9.2290612973311231E-2</v>
      </c>
      <c r="BN13" s="14">
        <f>BN7-BN12</f>
        <v>-7.4794899999999984</v>
      </c>
      <c r="BO13" s="22">
        <f>IF(BN$5=0,"N.D.",BN13/BN$5)</f>
        <v>-2.4789999801136171E-2</v>
      </c>
      <c r="BP13" s="20">
        <f>BP7-BP12</f>
        <v>-49.718279999999936</v>
      </c>
      <c r="BQ13" s="22">
        <f>IF(BP$5=0,"N.D.",BP13/BP$5)</f>
        <v>-3.4945661166491761E-2</v>
      </c>
      <c r="BU13" s="4" t="s">
        <v>314</v>
      </c>
      <c r="BV13" s="14">
        <f>BV7-BV12</f>
        <v>34.604699999999994</v>
      </c>
      <c r="BW13" s="22">
        <f t="shared" ref="BW13:BY13" si="91">IF(BV$5=0,"N.D.",BV13/BV$5)</f>
        <v>0.60831545697183376</v>
      </c>
      <c r="BX13" s="14">
        <f>BX7-BX12</f>
        <v>23.313900000000004</v>
      </c>
      <c r="BY13" s="22">
        <f t="shared" si="91"/>
        <v>0.64431249594090234</v>
      </c>
      <c r="BZ13" s="14">
        <f>BZ7-BZ12</f>
        <v>24.782540000000001</v>
      </c>
      <c r="CA13" s="22">
        <f t="shared" ref="CA13:CC13" si="92">IF(BZ$5=0,"N.D.",BZ13/BZ$5)</f>
        <v>0.87374790619913134</v>
      </c>
      <c r="CB13" s="14">
        <f>CB7-CB12</f>
        <v>1.0010300000000001</v>
      </c>
      <c r="CC13" s="22">
        <f t="shared" si="92"/>
        <v>0.15889365079365081</v>
      </c>
      <c r="CD13" s="14">
        <f>CD7-CD12</f>
        <v>0.82857999999999987</v>
      </c>
      <c r="CE13" s="22">
        <f t="shared" ref="CE13:CG13" si="93">IF(CD$5=0,"N.D.",CD13/CD$5)</f>
        <v>0.33143199999999995</v>
      </c>
      <c r="CF13" s="20">
        <f>CF7-CF12</f>
        <v>84.530749999999983</v>
      </c>
      <c r="CG13" s="22">
        <f t="shared" si="93"/>
        <v>0.64906946164108759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22"/>
      <c r="P14" s="30"/>
      <c r="Q14" s="222"/>
      <c r="R14" s="30"/>
      <c r="S14" s="222"/>
      <c r="T14" s="30"/>
      <c r="U14" s="222"/>
      <c r="V14" s="30"/>
      <c r="W14" s="222"/>
      <c r="X14" s="30"/>
      <c r="Y14" s="222"/>
      <c r="Z14" s="30"/>
      <c r="AA14" s="222"/>
      <c r="AB14" s="30"/>
      <c r="AC14" s="284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9">
        <f>'600'!$C166/1000+ajustes!B8</f>
        <v>0</v>
      </c>
      <c r="D15" s="225">
        <f t="shared" ref="D15:F26" si="94">IF(C$5=0,"N.D.",C15/C$5)</f>
        <v>0</v>
      </c>
      <c r="E15" s="8">
        <f>'600'!$C144/1000+ajustes!C8</f>
        <v>0</v>
      </c>
      <c r="F15" s="225">
        <f t="shared" si="94"/>
        <v>0</v>
      </c>
      <c r="G15" s="200">
        <f>'600'!$C210/1000+ajustes!D8</f>
        <v>0</v>
      </c>
      <c r="H15" s="225">
        <f t="shared" ref="H15" si="95">IF(G$5=0,"N.D.",G15/G$5)</f>
        <v>0</v>
      </c>
      <c r="I15" s="8">
        <f>'600'!$C188/1000+ajustes!E8</f>
        <v>0</v>
      </c>
      <c r="J15" s="225">
        <f t="shared" ref="J15:L15" si="96">IF(I$5=0,"N.D.",I15/I$5)</f>
        <v>0</v>
      </c>
      <c r="K15" s="209">
        <f t="shared" ref="K15:K19" si="97">SUM(C15,E15,G15,I15)</f>
        <v>0</v>
      </c>
      <c r="L15" s="225">
        <f t="shared" si="96"/>
        <v>0</v>
      </c>
      <c r="N15" s="7" t="s">
        <v>13</v>
      </c>
      <c r="O15" s="203">
        <f>'600'!$C$12/1000+ajustes!F8</f>
        <v>137.54352</v>
      </c>
      <c r="P15" s="225">
        <f t="shared" ref="P15:R15" si="98">IF(O$5=0,"N.D.",O15/O$5)</f>
        <v>5.5324658069470494E-3</v>
      </c>
      <c r="Q15" s="11">
        <f>'600'!$C$34/1000+ajustes!G8</f>
        <v>-10.914129999999998</v>
      </c>
      <c r="R15" s="225">
        <f t="shared" si="98"/>
        <v>-2.7719901538782133E-3</v>
      </c>
      <c r="S15" s="30">
        <f>'600'!$C$56/1000+ajustes!H8</f>
        <v>-23.084889999999998</v>
      </c>
      <c r="T15" s="225">
        <f t="shared" ref="T15:V15" si="99">IF(S$5=0,"N.D.",S15/S$5)</f>
        <v>-8.2410386570398514E-4</v>
      </c>
      <c r="U15" s="11">
        <f>'600'!$C$78/1000+ajustes!I8</f>
        <v>9.5E-4</v>
      </c>
      <c r="V15" s="225">
        <f t="shared" si="99"/>
        <v>2.9817373296564849E-7</v>
      </c>
      <c r="W15" s="30">
        <f>'600'!$C$100/1000+ajustes!J8</f>
        <v>11.97655</v>
      </c>
      <c r="X15" s="225">
        <f t="shared" ref="X15:Z15" si="100">IF(W$5=0,"N.D.",W15/W$5)</f>
        <v>1.4664190700266576E-2</v>
      </c>
      <c r="Y15" s="11">
        <f>'600'!$C$122/1000+ajustes!K8</f>
        <v>-3.6021799999999997</v>
      </c>
      <c r="Z15" s="225">
        <f t="shared" si="100"/>
        <v>-1.4642829558989118E-2</v>
      </c>
      <c r="AA15" s="211">
        <f t="shared" ref="AA15:AA19" si="101">SUM(O15,Q15,S15,U15,W15,Y15)</f>
        <v>111.91982</v>
      </c>
      <c r="AB15" s="225">
        <f t="shared" ref="AB15" si="102">IF(AA$5=0,"N.D.",AA15/AA$5)</f>
        <v>2.3802930960667651E-3</v>
      </c>
      <c r="AC15" s="284"/>
      <c r="AE15" s="7" t="s">
        <v>13</v>
      </c>
      <c r="AF15" s="8">
        <f>'600'!$C298/1000+ajustes!L8</f>
        <v>0.96060999999999996</v>
      </c>
      <c r="AG15" s="225">
        <f t="shared" ref="AG15:AI15" si="103">IF(AF$5=0,"N.D.",AF15/AF$5)</f>
        <v>3.3147102066750193E-5</v>
      </c>
      <c r="AH15" s="8">
        <f>'600'!$C320/1000+ajustes!M8</f>
        <v>282.51150000000001</v>
      </c>
      <c r="AI15" s="225">
        <f t="shared" si="103"/>
        <v>1.7216485443384361E-2</v>
      </c>
      <c r="AJ15" s="8">
        <f>'600'!$C364/1000+ajustes!N8</f>
        <v>0</v>
      </c>
      <c r="AK15" s="225">
        <f t="shared" ref="AK15:AM15" si="104">IF(AJ$5=0,"N.D.",AJ15/AJ$5)</f>
        <v>0</v>
      </c>
      <c r="AL15" s="8">
        <f>'600'!$C342/2000+ajustes!O8</f>
        <v>0</v>
      </c>
      <c r="AM15" s="225">
        <f t="shared" si="104"/>
        <v>0</v>
      </c>
      <c r="AN15" s="8">
        <f>ajustes!P8</f>
        <v>0</v>
      </c>
      <c r="AO15" s="225" t="str">
        <f t="shared" ref="AO15:AQ15" si="105">IF(AN$5=0,"N.D.",AN15/AN$5)</f>
        <v>N.D.</v>
      </c>
      <c r="AP15" s="8">
        <f>'600'!$C408/1000+ajustes!Q8</f>
        <v>0</v>
      </c>
      <c r="AQ15" s="225">
        <f t="shared" si="105"/>
        <v>0</v>
      </c>
      <c r="AR15" s="8">
        <f>'600'!$C386/1000+ajustes!R8</f>
        <v>-1443.8426299999999</v>
      </c>
      <c r="AS15" s="225">
        <f t="shared" ref="AS15:AU15" si="106">IF(AR$5=0,"N.D.",AR15/AR$5)</f>
        <v>-1.8030846212722256E-2</v>
      </c>
      <c r="AT15" s="8">
        <f t="shared" ref="AT15:AT19" si="107">SUM(AF15,AH15,AJ15,AL15,AN15,AP15,AR15)</f>
        <v>-1160.3705199999999</v>
      </c>
      <c r="AU15" s="225">
        <f t="shared" si="106"/>
        <v>-8.4826476258881133E-3</v>
      </c>
      <c r="AX15" s="7" t="s">
        <v>13</v>
      </c>
      <c r="AY15" s="8">
        <f>'600'!$C452/1000+ajustes!S8</f>
        <v>54.610250000000001</v>
      </c>
      <c r="AZ15" s="225">
        <f t="shared" ref="AZ15:AZ21" si="108">IF(AY$5=0,"N.D.",AY15/AY$5)</f>
        <v>1.08507180307092E-2</v>
      </c>
      <c r="BA15" s="209">
        <f>'600'!$C430/1000+ajustes!T8</f>
        <v>0</v>
      </c>
      <c r="BB15" s="225">
        <f t="shared" ref="BB15:BB21" si="109">IF(BA$5=0,"N.D.",BA15/BA$5)</f>
        <v>0</v>
      </c>
      <c r="BC15" s="209">
        <f t="shared" ref="BC15:BC19" si="110">SUM(AY15,BA15)</f>
        <v>54.610250000000001</v>
      </c>
      <c r="BD15" s="225">
        <f t="shared" ref="BD15:BD21" si="111">IF(BC$5=0,"N.D.",BC15/BC$5)</f>
        <v>7.7390938668796582E-3</v>
      </c>
      <c r="BE15" s="192"/>
      <c r="BG15" s="7" t="s">
        <v>315</v>
      </c>
      <c r="BH15" s="199">
        <f>'600'!$C476/1000+ajustes!V9</f>
        <v>-3.1472199999999999</v>
      </c>
      <c r="BI15" s="225">
        <f>IF(BH$5=0,"N.D.",BH15/BH$5)</f>
        <v>-1.2073706996179994E-2</v>
      </c>
      <c r="BJ15" s="8">
        <f>'600'!$C499/1000+ajustes!W9</f>
        <v>-105.12027</v>
      </c>
      <c r="BK15" s="225">
        <f>IF(BJ$5=0,"N.D.",BJ15/BJ$5)</f>
        <v>-0.1676860603424204</v>
      </c>
      <c r="BL15" s="200">
        <f>'600'!$C566/1000+ajustes!X9</f>
        <v>-1.85114</v>
      </c>
      <c r="BM15" s="225">
        <f>IF(BL$5=0,"N.D.",BL15/BL$5)</f>
        <v>-7.9290668185597064E-3</v>
      </c>
      <c r="BN15" s="8">
        <f>'600'!$C611/1000+ajustes!Y9</f>
        <v>-2.5713600000000003</v>
      </c>
      <c r="BO15" s="225">
        <f>IF(BN$5=0,"N.D.",BN15/BN$5)</f>
        <v>-8.5225080705568865E-3</v>
      </c>
      <c r="BP15" s="209">
        <f>SUM(BH15,BJ15,BL15,BN15)</f>
        <v>-112.68999000000001</v>
      </c>
      <c r="BQ15" s="225">
        <f>IF(BP$5=0,"N.D.",BP15/BP$5)</f>
        <v>-7.9206806981161657E-2</v>
      </c>
      <c r="BU15" s="7" t="s">
        <v>315</v>
      </c>
      <c r="BV15" s="199">
        <f>'600'!$C521/1000-SUM(BX15,BZ15,CB15,CD15)+ajustes!Z9</f>
        <v>0.32187000000000004</v>
      </c>
      <c r="BW15" s="225">
        <f t="shared" ref="BW15:BY15" si="112">IF(BV$5=0,"N.D.",BV15/BV$5)</f>
        <v>5.6581474809931651E-3</v>
      </c>
      <c r="BX15" s="8">
        <f>'600'!$C588/1000+ajustes!AA9</f>
        <v>0</v>
      </c>
      <c r="BY15" s="225">
        <f t="shared" si="112"/>
        <v>0</v>
      </c>
      <c r="BZ15" s="200">
        <f>'600'!$C633/1000+ajustes!AB9</f>
        <v>0.15828999999999999</v>
      </c>
      <c r="CA15" s="225">
        <f t="shared" ref="CA15:CC15" si="113">IF(BZ$5=0,"N.D.",BZ15/BZ$5)</f>
        <v>5.5807659776705891E-3</v>
      </c>
      <c r="CB15" s="8">
        <f>'600'!$C543/1000+ajustes!AC9</f>
        <v>0</v>
      </c>
      <c r="CC15" s="225">
        <f t="shared" si="113"/>
        <v>0</v>
      </c>
      <c r="CD15" s="209">
        <f>'600'!$C655/1000+ajustes!AD9</f>
        <v>0</v>
      </c>
      <c r="CE15" s="225">
        <f t="shared" ref="CE15:CG15" si="114">IF(CD$5=0,"N.D.",CD15/CD$5)</f>
        <v>0</v>
      </c>
      <c r="CF15" s="209">
        <f>SUM(BV15,BX15,BZ15,CB15,CD15)</f>
        <v>0.48016000000000003</v>
      </c>
      <c r="CG15" s="225">
        <f t="shared" si="114"/>
        <v>3.6869091153406862E-3</v>
      </c>
    </row>
    <row r="16" spans="1:85" x14ac:dyDescent="0.35">
      <c r="B16" s="7" t="s">
        <v>14</v>
      </c>
      <c r="C16" s="203">
        <f>'600'!$C167/1000+ajustes!B9</f>
        <v>0</v>
      </c>
      <c r="D16" s="224">
        <f t="shared" si="94"/>
        <v>0</v>
      </c>
      <c r="E16" s="11">
        <f>'600'!$C145/1000+ajustes!C9</f>
        <v>0</v>
      </c>
      <c r="F16" s="224">
        <f t="shared" si="94"/>
        <v>0</v>
      </c>
      <c r="G16" s="30">
        <f>'600'!$C211/1000+ajustes!D9</f>
        <v>0</v>
      </c>
      <c r="H16" s="224">
        <f t="shared" ref="H16" si="115">IF(G$5=0,"N.D.",G16/G$5)</f>
        <v>0</v>
      </c>
      <c r="I16" s="11">
        <f>'600'!$C189/1000+ajustes!E9</f>
        <v>0</v>
      </c>
      <c r="J16" s="224">
        <f t="shared" ref="J16:L16" si="116">IF(I$5=0,"N.D.",I16/I$5)</f>
        <v>0</v>
      </c>
      <c r="K16" s="211">
        <f t="shared" si="97"/>
        <v>0</v>
      </c>
      <c r="L16" s="224">
        <f t="shared" si="116"/>
        <v>0</v>
      </c>
      <c r="N16" s="7" t="s">
        <v>14</v>
      </c>
      <c r="O16" s="203">
        <f>'600'!$C$13/1000+ajustes!F9</f>
        <v>-148.79133999999999</v>
      </c>
      <c r="P16" s="224">
        <f t="shared" ref="P16:R16" si="117">IF(O$5=0,"N.D.",O16/O$5)</f>
        <v>-5.9848911887658007E-3</v>
      </c>
      <c r="Q16" s="11">
        <f>'600'!$C$35/1000+ajustes!G9</f>
        <v>-0.67503000000000002</v>
      </c>
      <c r="R16" s="224">
        <f t="shared" si="117"/>
        <v>-1.7144532029327218E-4</v>
      </c>
      <c r="S16" s="30">
        <f>'600'!$C$57/1000+ajustes!H9</f>
        <v>11.00182</v>
      </c>
      <c r="T16" s="224">
        <f t="shared" ref="T16:V16" si="118">IF(S$5=0,"N.D.",S16/S$5)</f>
        <v>3.92752245810113E-4</v>
      </c>
      <c r="U16" s="11">
        <f>'600'!$C$79/1000+ajustes!I9</f>
        <v>2.5999999999999999E-2</v>
      </c>
      <c r="V16" s="224">
        <f t="shared" si="118"/>
        <v>8.1605442706388017E-6</v>
      </c>
      <c r="W16" s="30">
        <f>'600'!$C$101/1000+ajustes!J9</f>
        <v>-0.20518</v>
      </c>
      <c r="X16" s="224">
        <f t="shared" ref="X16:Z16" si="119">IF(W$5=0,"N.D.",W16/W$5)</f>
        <v>-2.5122415452535966E-4</v>
      </c>
      <c r="Y16" s="11">
        <f>'600'!$C$123/1000+ajustes!K9</f>
        <v>0</v>
      </c>
      <c r="Z16" s="224">
        <f t="shared" si="119"/>
        <v>0</v>
      </c>
      <c r="AA16" s="211">
        <f t="shared" si="101"/>
        <v>-138.64372999999998</v>
      </c>
      <c r="AB16" s="224">
        <f t="shared" ref="AB16" si="120">IF(AA$5=0,"N.D.",AA16/AA$5)</f>
        <v>-2.9486530029439345E-3</v>
      </c>
      <c r="AC16" s="284"/>
      <c r="AE16" s="7" t="s">
        <v>14</v>
      </c>
      <c r="AF16" s="11">
        <f>'600'!$C299/1000+ajustes!L9</f>
        <v>-1121.0491299999999</v>
      </c>
      <c r="AG16" s="224">
        <f t="shared" ref="AG16:AI16" si="121">IF(AF$5=0,"N.D.",AF16/AF$5)</f>
        <v>-3.868326369072933E-2</v>
      </c>
      <c r="AH16" s="11">
        <f>'600'!$C321/1000+ajustes!M9</f>
        <v>-241.54228000000001</v>
      </c>
      <c r="AI16" s="224">
        <f t="shared" si="121"/>
        <v>-1.4719787150547392E-2</v>
      </c>
      <c r="AJ16" s="11">
        <f>'600'!$C365/1000+ajustes!N9</f>
        <v>-5127.7427500000003</v>
      </c>
      <c r="AK16" s="224">
        <f t="shared" ref="AK16:AM16" si="122">IF(AJ$5=0,"N.D.",AJ16/AJ$5)</f>
        <v>-2.2037073511866052</v>
      </c>
      <c r="AL16" s="11">
        <f>'600'!$C343/2000+ajustes!O9</f>
        <v>-18.229400000000002</v>
      </c>
      <c r="AM16" s="224">
        <f t="shared" si="122"/>
        <v>-2.5377420198359328E-3</v>
      </c>
      <c r="AN16" s="11">
        <f>ajustes!P9</f>
        <v>0</v>
      </c>
      <c r="AO16" s="224" t="str">
        <f t="shared" ref="AO16:AQ16" si="123">IF(AN$5=0,"N.D.",AN16/AN$5)</f>
        <v>N.D.</v>
      </c>
      <c r="AP16" s="11">
        <f>'600'!$C409/1000+ajustes!Q9</f>
        <v>-6.5499999999999994E-3</v>
      </c>
      <c r="AQ16" s="224">
        <f t="shared" si="123"/>
        <v>-3.6039981820442758E-6</v>
      </c>
      <c r="AR16" s="11">
        <f>'600'!$C387/1000+ajustes!R9</f>
        <v>-56.226579999999998</v>
      </c>
      <c r="AS16" s="224">
        <f t="shared" ref="AS16:AU16" si="124">IF(AR$5=0,"N.D.",AR16/AR$5)</f>
        <v>-7.0216296151840655E-4</v>
      </c>
      <c r="AT16" s="11">
        <f t="shared" si="107"/>
        <v>-6564.7966900000001</v>
      </c>
      <c r="AU16" s="224">
        <f t="shared" si="124"/>
        <v>-4.7990582401961267E-2</v>
      </c>
      <c r="AX16" s="7" t="s">
        <v>14</v>
      </c>
      <c r="AY16" s="11">
        <f>'600'!$C453/1000+ajustes!S9</f>
        <v>0</v>
      </c>
      <c r="AZ16" s="224">
        <f t="shared" si="108"/>
        <v>0</v>
      </c>
      <c r="BA16" s="211">
        <f>'600'!$C431/1000+ajustes!T9</f>
        <v>0</v>
      </c>
      <c r="BB16" s="224">
        <f t="shared" si="109"/>
        <v>0</v>
      </c>
      <c r="BC16" s="211">
        <f t="shared" si="110"/>
        <v>0</v>
      </c>
      <c r="BD16" s="224">
        <f t="shared" si="111"/>
        <v>0</v>
      </c>
      <c r="BE16" s="192"/>
      <c r="BG16" s="7" t="s">
        <v>316</v>
      </c>
      <c r="BH16" s="203">
        <f>'600'!$C477/1000+ajustes!V10</f>
        <v>0</v>
      </c>
      <c r="BI16" s="224">
        <f>IF(BH$5=0,"N.D.",BH16/BH$5)</f>
        <v>0</v>
      </c>
      <c r="BJ16" s="11">
        <f>'600'!$C500/1000+ajustes!W10</f>
        <v>4.468</v>
      </c>
      <c r="BK16" s="224">
        <f>IF(BJ$5=0,"N.D.",BJ16/BJ$5)</f>
        <v>7.1272773330008973E-3</v>
      </c>
      <c r="BL16" s="30">
        <f>'600'!$C567/1000+ajustes!X10</f>
        <v>0</v>
      </c>
      <c r="BM16" s="224">
        <f>IF(BL$5=0,"N.D.",BL16/BL$5)</f>
        <v>0</v>
      </c>
      <c r="BN16" s="11">
        <f>'600'!$C612/1000+ajustes!Y10</f>
        <v>0</v>
      </c>
      <c r="BO16" s="224">
        <f>IF(BN$5=0,"N.D.",BN16/BN$5)</f>
        <v>0</v>
      </c>
      <c r="BP16" s="211">
        <f>SUM(BH16,BJ16,BL16,BN16)</f>
        <v>4.468</v>
      </c>
      <c r="BQ16" s="224">
        <f>IF(BP$5=0,"N.D.",BP16/BP$5)</f>
        <v>3.1404387700436414E-3</v>
      </c>
      <c r="BU16" s="7" t="s">
        <v>316</v>
      </c>
      <c r="BV16" s="203">
        <f>'600'!$C522/1000-SUM(BX16,BZ16,CB16,CD16)+ajustes!Z10</f>
        <v>22.726190000000003</v>
      </c>
      <c r="BW16" s="224">
        <f t="shared" ref="BW16:BY16" si="125">IF(BV$5=0,"N.D.",BV16/BV$5)</f>
        <v>0.39950332339476202</v>
      </c>
      <c r="BX16" s="11">
        <f>'600'!$C589/1000+ajustes!AA10</f>
        <v>0</v>
      </c>
      <c r="BY16" s="224">
        <f t="shared" si="125"/>
        <v>0</v>
      </c>
      <c r="BZ16" s="30">
        <f>'600'!$C634/1000+ajustes!AB10</f>
        <v>2.0974400000000002</v>
      </c>
      <c r="CA16" s="224">
        <f t="shared" ref="CA16:CC16" si="126">IF(BZ$5=0,"N.D.",BZ16/BZ$5)</f>
        <v>7.3948586721873794E-2</v>
      </c>
      <c r="CB16" s="11">
        <f>'600'!$C544/1000+ajustes!AC10</f>
        <v>2.02874</v>
      </c>
      <c r="CC16" s="224">
        <f t="shared" si="126"/>
        <v>0.32202222222222221</v>
      </c>
      <c r="CD16" s="211">
        <f>'600'!$C656/1000+ajustes!AD10</f>
        <v>4.4649899999999993</v>
      </c>
      <c r="CE16" s="224">
        <f t="shared" ref="CE16:CG16" si="127">IF(CD$5=0,"N.D.",CD16/CD$5)</f>
        <v>1.7859959999999997</v>
      </c>
      <c r="CF16" s="211">
        <f>SUM(BV16,BX16,BZ16,CB16,CD16)</f>
        <v>31.317360000000001</v>
      </c>
      <c r="CG16" s="224">
        <f t="shared" si="127"/>
        <v>0.24047038498085177</v>
      </c>
    </row>
    <row r="17" spans="1:85" x14ac:dyDescent="0.35">
      <c r="B17" s="7" t="s">
        <v>15</v>
      </c>
      <c r="C17" s="203">
        <f>'600'!$C168/1000+ajustes!B10</f>
        <v>44.04128</v>
      </c>
      <c r="D17" s="224">
        <f t="shared" si="94"/>
        <v>2.5855823004887826E-3</v>
      </c>
      <c r="E17" s="11">
        <f>'600'!$C146/1000+ajustes!C10</f>
        <v>0</v>
      </c>
      <c r="F17" s="224">
        <f t="shared" si="94"/>
        <v>0</v>
      </c>
      <c r="G17" s="30">
        <f>'600'!$C212/1000+ajustes!D10</f>
        <v>7.3349899999999995</v>
      </c>
      <c r="H17" s="224">
        <f t="shared" ref="H17" si="128">IF(G$5=0,"N.D.",G17/G$5)</f>
        <v>5.1189619057711092E-4</v>
      </c>
      <c r="I17" s="11">
        <f>'600'!$C190/1000+ajustes!E10</f>
        <v>0</v>
      </c>
      <c r="J17" s="224">
        <f t="shared" ref="J17:L17" si="129">IF(I$5=0,"N.D.",I17/I$5)</f>
        <v>0</v>
      </c>
      <c r="K17" s="211">
        <f t="shared" si="97"/>
        <v>51.376269999999998</v>
      </c>
      <c r="L17" s="224">
        <f t="shared" si="129"/>
        <v>1.4994385245714066E-3</v>
      </c>
      <c r="N17" s="7" t="s">
        <v>15</v>
      </c>
      <c r="O17" s="203">
        <f>'600'!$C$14/1000+ajustes!F10</f>
        <v>481.00599999999997</v>
      </c>
      <c r="P17" s="224">
        <f t="shared" ref="P17:R17" si="130">IF(O$5=0,"N.D.",O17/O$5)</f>
        <v>1.9347688992810218E-2</v>
      </c>
      <c r="Q17" s="11">
        <f>'600'!$C$36/1000+ajustes!G10</f>
        <v>1.6861600000000001</v>
      </c>
      <c r="R17" s="224">
        <f t="shared" si="130"/>
        <v>4.282539165158642E-4</v>
      </c>
      <c r="S17" s="30">
        <f>'600'!$C$58/1000+ajustes!H10</f>
        <v>74.49709</v>
      </c>
      <c r="T17" s="224">
        <f t="shared" ref="T17:V17" si="131">IF(S$5=0,"N.D.",S17/S$5)</f>
        <v>2.6594599260684241E-3</v>
      </c>
      <c r="U17" s="11">
        <f>'600'!$C$80/1000+ajustes!I10</f>
        <v>7.0827</v>
      </c>
      <c r="V17" s="224">
        <f t="shared" si="131"/>
        <v>2.2230264194482091E-3</v>
      </c>
      <c r="W17" s="30">
        <f>'600'!$C$102/1000+ajustes!J10</f>
        <v>0.87776999999999994</v>
      </c>
      <c r="X17" s="224">
        <f t="shared" ref="X17:Z17" si="132">IF(W$5=0,"N.D.",W17/W$5)</f>
        <v>1.0747491281690464E-3</v>
      </c>
      <c r="Y17" s="11">
        <f>'600'!$C$124/1000+ajustes!K10</f>
        <v>1.5342499999999999</v>
      </c>
      <c r="Z17" s="224">
        <f t="shared" si="132"/>
        <v>6.23671256041593E-3</v>
      </c>
      <c r="AA17" s="211">
        <f t="shared" si="101"/>
        <v>566.68397000000004</v>
      </c>
      <c r="AB17" s="224">
        <f t="shared" ref="AB17" si="133">IF(AA$5=0,"N.D.",AA17/AA$5)</f>
        <v>1.2052145379100021E-2</v>
      </c>
      <c r="AC17" s="284"/>
      <c r="AE17" s="7" t="s">
        <v>15</v>
      </c>
      <c r="AF17" s="11">
        <f>'600'!$C300/1000+ajustes!L10</f>
        <v>144.88379</v>
      </c>
      <c r="AG17" s="224">
        <f t="shared" ref="AG17:AI17" si="134">IF(AF$5=0,"N.D.",AF17/AF$5)</f>
        <v>4.9994043107479636E-3</v>
      </c>
      <c r="AH17" s="11">
        <f>'600'!$C322/1000+ajustes!M10</f>
        <v>21.668560000000003</v>
      </c>
      <c r="AI17" s="224">
        <f t="shared" si="134"/>
        <v>1.3205000427207411E-3</v>
      </c>
      <c r="AJ17" s="11">
        <f>'600'!$C366/1000+ajustes!N10</f>
        <v>0</v>
      </c>
      <c r="AK17" s="224">
        <f t="shared" ref="AK17:AM17" si="135">IF(AJ$5=0,"N.D.",AJ17/AJ$5)</f>
        <v>0</v>
      </c>
      <c r="AL17" s="11">
        <f>'600'!$C344/2000+ajustes!O10</f>
        <v>9.9836949999999991</v>
      </c>
      <c r="AM17" s="224">
        <f t="shared" si="135"/>
        <v>1.3898451026762208E-3</v>
      </c>
      <c r="AN17" s="11">
        <f>ajustes!P10</f>
        <v>0</v>
      </c>
      <c r="AO17" s="224" t="str">
        <f t="shared" ref="AO17:AQ17" si="136">IF(AN$5=0,"N.D.",AN17/AN$5)</f>
        <v>N.D.</v>
      </c>
      <c r="AP17" s="11">
        <f>'600'!$C410/1000+ajustes!Q10</f>
        <v>0</v>
      </c>
      <c r="AQ17" s="224">
        <f t="shared" si="136"/>
        <v>0</v>
      </c>
      <c r="AR17" s="11">
        <f>'600'!$C388/1000+ajustes!R10</f>
        <v>347.43477000000001</v>
      </c>
      <c r="AS17" s="224">
        <f t="shared" ref="AS17:AU17" si="137">IF(AR$5=0,"N.D.",AR17/AR$5)</f>
        <v>4.3387989637226109E-3</v>
      </c>
      <c r="AT17" s="11">
        <f t="shared" si="107"/>
        <v>523.97081500000002</v>
      </c>
      <c r="AU17" s="224">
        <f t="shared" si="137"/>
        <v>3.8303797910122796E-3</v>
      </c>
      <c r="AX17" s="7" t="s">
        <v>15</v>
      </c>
      <c r="AY17" s="11">
        <f>'600'!$C454/1000+ajustes!S10</f>
        <v>2.7155399999999998</v>
      </c>
      <c r="AZ17" s="224">
        <f t="shared" si="108"/>
        <v>5.3956095863161324E-4</v>
      </c>
      <c r="BA17" s="211">
        <f>'600'!$C432/1000+ajustes!T10</f>
        <v>1.73298</v>
      </c>
      <c r="BB17" s="224">
        <f t="shared" si="109"/>
        <v>8.5640825073922519E-4</v>
      </c>
      <c r="BC17" s="211">
        <f t="shared" si="110"/>
        <v>4.4485200000000003</v>
      </c>
      <c r="BD17" s="224">
        <f t="shared" si="111"/>
        <v>6.3042219818974462E-4</v>
      </c>
      <c r="BE17" s="192"/>
      <c r="BG17" s="7" t="s">
        <v>317</v>
      </c>
      <c r="BH17" s="201">
        <f>'600'!$C478/1000+ajustes!V11</f>
        <v>0</v>
      </c>
      <c r="BI17" s="224">
        <f>IF(BH$5=0,"N.D.",BH17/BH$5)</f>
        <v>0</v>
      </c>
      <c r="BJ17" s="34">
        <f>'600'!$C501/1000+ajustes!W11</f>
        <v>0</v>
      </c>
      <c r="BK17" s="224">
        <f>IF(BJ$5=0,"N.D.",BJ17/BJ$5)</f>
        <v>0</v>
      </c>
      <c r="BL17" s="202">
        <f>'600'!$C568/1000+ajustes!X11</f>
        <v>0</v>
      </c>
      <c r="BM17" s="224">
        <f>IF(BL$5=0,"N.D.",BL17/BL$5)</f>
        <v>0</v>
      </c>
      <c r="BN17" s="34">
        <f>'600'!$C613/1000+ajustes!Y11</f>
        <v>0</v>
      </c>
      <c r="BO17" s="224">
        <f>IF(BN$5=0,"N.D.",BN17/BN$5)</f>
        <v>0</v>
      </c>
      <c r="BP17" s="211">
        <f>SUM(BH17,BJ17,BL17,BN17)</f>
        <v>0</v>
      </c>
      <c r="BQ17" s="224">
        <f>IF(BP$5=0,"N.D.",BP17/BP$5)</f>
        <v>0</v>
      </c>
      <c r="BU17" s="7" t="s">
        <v>317</v>
      </c>
      <c r="BV17" s="201">
        <f>'600'!$C523/1000-SUM(BX17,BZ17,CB17,CD17)+ajustes!Z11</f>
        <v>0</v>
      </c>
      <c r="BW17" s="224">
        <f t="shared" ref="BW17:BY17" si="138">IF(BV$5=0,"N.D.",BV17/BV$5)</f>
        <v>0</v>
      </c>
      <c r="BX17" s="34">
        <f>'600'!$C590/1000+ajustes!AA11</f>
        <v>0</v>
      </c>
      <c r="BY17" s="224">
        <f t="shared" si="138"/>
        <v>0</v>
      </c>
      <c r="BZ17" s="202">
        <f>'600'!$C635/1000+ajustes!AB11</f>
        <v>0</v>
      </c>
      <c r="CA17" s="224">
        <f t="shared" ref="CA17:CC17" si="139">IF(BZ$5=0,"N.D.",BZ17/BZ$5)</f>
        <v>0</v>
      </c>
      <c r="CB17" s="34">
        <f>'600'!$C545/1000+ajustes!AC11</f>
        <v>0</v>
      </c>
      <c r="CC17" s="224">
        <f t="shared" si="139"/>
        <v>0</v>
      </c>
      <c r="CD17" s="212">
        <f>'600'!$C657/1000+ajustes!AD11</f>
        <v>0</v>
      </c>
      <c r="CE17" s="224">
        <f t="shared" ref="CE17:CG17" si="140">IF(CD$5=0,"N.D.",CD17/CD$5)</f>
        <v>0</v>
      </c>
      <c r="CF17" s="211">
        <f>SUM(BV17,BX17,BZ17,CB17,CD17)</f>
        <v>0</v>
      </c>
      <c r="CG17" s="224">
        <f t="shared" si="140"/>
        <v>0</v>
      </c>
    </row>
    <row r="18" spans="1:85" x14ac:dyDescent="0.35">
      <c r="B18" s="7" t="s">
        <v>16</v>
      </c>
      <c r="C18" s="203">
        <f>'600'!$C169/1000-'600'!$C169/1000+ajustes!B11</f>
        <v>0</v>
      </c>
      <c r="D18" s="224">
        <f t="shared" si="94"/>
        <v>0</v>
      </c>
      <c r="E18" s="11">
        <f>'600'!$C147/1000+ajustes!C11</f>
        <v>2.1700000000000001E-3</v>
      </c>
      <c r="F18" s="224">
        <f t="shared" si="94"/>
        <v>2.1579283116525017E-6</v>
      </c>
      <c r="G18" s="30">
        <f>'600'!$C213/1000+ajustes!D11</f>
        <v>5.7099999999999998E-3</v>
      </c>
      <c r="H18" s="224">
        <f t="shared" ref="H18" si="141">IF(G$5=0,"N.D.",G18/G$5)</f>
        <v>3.9849096565848127E-7</v>
      </c>
      <c r="I18" s="11">
        <f>'600'!$C191/1000+ajustes!E11</f>
        <v>0</v>
      </c>
      <c r="J18" s="224">
        <f t="shared" ref="J18:L18" si="142">IF(I$5=0,"N.D.",I18/I$5)</f>
        <v>0</v>
      </c>
      <c r="K18" s="211">
        <f t="shared" si="97"/>
        <v>7.8799999999999999E-3</v>
      </c>
      <c r="L18" s="224">
        <f t="shared" si="142"/>
        <v>2.2998118729955841E-7</v>
      </c>
      <c r="N18" s="7" t="s">
        <v>16</v>
      </c>
      <c r="O18" s="203">
        <f>'600'!$C$15/1000+ajustes!F11</f>
        <v>113.03434</v>
      </c>
      <c r="P18" s="224">
        <f t="shared" ref="P18:R18" si="143">IF(O$5=0,"N.D.",O18/O$5)</f>
        <v>4.546623650905743E-3</v>
      </c>
      <c r="Q18" s="11">
        <f>'600'!$C$37/1000+ajustes!G11</f>
        <v>12.81574</v>
      </c>
      <c r="R18" s="224">
        <f t="shared" si="143"/>
        <v>3.2549644446843843E-3</v>
      </c>
      <c r="S18" s="30">
        <f>'600'!$C$59/1000+ajustes!H11</f>
        <v>19.081289999999999</v>
      </c>
      <c r="T18" s="224">
        <f t="shared" ref="T18:V18" si="144">IF(S$5=0,"N.D.",S18/S$5)</f>
        <v>6.8117997753590321E-4</v>
      </c>
      <c r="U18" s="11">
        <f>'600'!$C$81/1000+ajustes!I11</f>
        <v>1.434E-2</v>
      </c>
      <c r="V18" s="224">
        <f t="shared" si="144"/>
        <v>4.5008540323446311E-6</v>
      </c>
      <c r="W18" s="30">
        <f>'600'!$C$103/1000+ajustes!J11</f>
        <v>0</v>
      </c>
      <c r="X18" s="224">
        <f t="shared" ref="X18:Z18" si="145">IF(W$5=0,"N.D.",W18/W$5)</f>
        <v>0</v>
      </c>
      <c r="Y18" s="11">
        <f>'600'!$C$125/1000+ajustes!K11</f>
        <v>5.3400000000000001E-3</v>
      </c>
      <c r="Z18" s="224">
        <f t="shared" si="145"/>
        <v>2.1707052353020086E-5</v>
      </c>
      <c r="AA18" s="211">
        <f t="shared" si="101"/>
        <v>144.95105000000001</v>
      </c>
      <c r="AB18" s="224">
        <f t="shared" ref="AB18" si="146">IF(AA$5=0,"N.D.",AA18/AA$5)</f>
        <v>3.0827960908320663E-3</v>
      </c>
      <c r="AC18" s="284"/>
      <c r="AE18" s="7" t="s">
        <v>16</v>
      </c>
      <c r="AF18" s="11">
        <f>'600'!$C301/1000+ajustes!L11</f>
        <v>1.1999999999999999E-4</v>
      </c>
      <c r="AG18" s="224">
        <f t="shared" ref="AG18:AI18" si="147">IF(AF$5=0,"N.D.",AF18/AF$5)</f>
        <v>4.1407566525541301E-9</v>
      </c>
      <c r="AH18" s="11">
        <f>'600'!$C323/1000+ajustes!M11</f>
        <v>7.43E-3</v>
      </c>
      <c r="AI18" s="224">
        <f t="shared" si="147"/>
        <v>4.5279037081444752E-7</v>
      </c>
      <c r="AJ18" s="11">
        <f>'600'!$C367/1000+ajustes!N11</f>
        <v>0</v>
      </c>
      <c r="AK18" s="224">
        <f t="shared" ref="AK18:AM18" si="148">IF(AJ$5=0,"N.D.",AJ18/AJ$5)</f>
        <v>0</v>
      </c>
      <c r="AL18" s="11">
        <f>'600'!$C345/2000+ajustes!O11</f>
        <v>0</v>
      </c>
      <c r="AM18" s="224">
        <f t="shared" si="148"/>
        <v>0</v>
      </c>
      <c r="AN18" s="11">
        <f>ajustes!P11</f>
        <v>0</v>
      </c>
      <c r="AO18" s="224" t="str">
        <f t="shared" ref="AO18:AQ18" si="149">IF(AN$5=0,"N.D.",AN18/AN$5)</f>
        <v>N.D.</v>
      </c>
      <c r="AP18" s="11">
        <f>'600'!$C411/1000+ajustes!Q11</f>
        <v>1.1200000000000001E-3</v>
      </c>
      <c r="AQ18" s="224">
        <f t="shared" si="149"/>
        <v>6.1625617769306712E-7</v>
      </c>
      <c r="AR18" s="11">
        <f>'600'!$C389/1000+ajustes!R11</f>
        <v>0</v>
      </c>
      <c r="AS18" s="224">
        <f t="shared" ref="AS18:AU18" si="150">IF(AR$5=0,"N.D.",AR18/AR$5)</f>
        <v>0</v>
      </c>
      <c r="AT18" s="11">
        <f t="shared" si="107"/>
        <v>8.6700000000000006E-3</v>
      </c>
      <c r="AU18" s="224">
        <f t="shared" si="150"/>
        <v>6.3380233855346444E-8</v>
      </c>
      <c r="AX18" s="7" t="s">
        <v>16</v>
      </c>
      <c r="AY18" s="11">
        <f>'600'!$C455/1000+ajustes!S11</f>
        <v>509.58339000000001</v>
      </c>
      <c r="AZ18" s="224">
        <f t="shared" si="108"/>
        <v>0.10125105960919274</v>
      </c>
      <c r="BA18" s="211">
        <f>'600'!$C433/1000+ajustes!T11</f>
        <v>0</v>
      </c>
      <c r="BB18" s="224">
        <f t="shared" si="109"/>
        <v>0</v>
      </c>
      <c r="BC18" s="211">
        <f t="shared" si="110"/>
        <v>509.58339000000001</v>
      </c>
      <c r="BD18" s="224">
        <f t="shared" si="111"/>
        <v>7.2215631465022495E-2</v>
      </c>
      <c r="BE18" s="192"/>
      <c r="BG18" s="7" t="s">
        <v>318</v>
      </c>
      <c r="BH18" s="213">
        <f>BH15+BH16</f>
        <v>-3.1472199999999999</v>
      </c>
      <c r="BI18" s="22">
        <f>IF(BH$5=0,"N.D.",BH18/BH$5)</f>
        <v>-1.2073706996179994E-2</v>
      </c>
      <c r="BJ18" s="213">
        <f>BJ15+BJ16</f>
        <v>-100.65227</v>
      </c>
      <c r="BK18" s="22">
        <f>IF(BJ$5=0,"N.D.",BJ18/BJ$5)</f>
        <v>-0.16055878300941948</v>
      </c>
      <c r="BL18" s="213">
        <f>BL15+BL16</f>
        <v>-1.85114</v>
      </c>
      <c r="BM18" s="22">
        <f>IF(BL$5=0,"N.D.",BL18/BL$5)</f>
        <v>-7.9290668185597064E-3</v>
      </c>
      <c r="BN18" s="213">
        <f>BN15+BN16</f>
        <v>-2.5713600000000003</v>
      </c>
      <c r="BO18" s="22">
        <f>IF(BN$5=0,"N.D.",BN18/BN$5)</f>
        <v>-8.5225080705568865E-3</v>
      </c>
      <c r="BP18" s="14">
        <f>BP15+BP16</f>
        <v>-108.22199000000001</v>
      </c>
      <c r="BQ18" s="22">
        <f>IF(BP$5=0,"N.D.",BP18/BP$5)</f>
        <v>-7.6066368211118021E-2</v>
      </c>
      <c r="BU18" s="7" t="s">
        <v>318</v>
      </c>
      <c r="BV18" s="213">
        <f>BV15+BV16</f>
        <v>23.048060000000003</v>
      </c>
      <c r="BW18" s="22">
        <f t="shared" ref="BW18:BY18" si="151">IF(BV$5=0,"N.D.",BV18/BV$5)</f>
        <v>0.40516147087575521</v>
      </c>
      <c r="BX18" s="213">
        <f>BX15+BX16</f>
        <v>0</v>
      </c>
      <c r="BY18" s="22">
        <f t="shared" si="151"/>
        <v>0</v>
      </c>
      <c r="BZ18" s="213">
        <f>BZ15+BZ16</f>
        <v>2.2557300000000002</v>
      </c>
      <c r="CA18" s="22">
        <f t="shared" ref="CA18:CC18" si="152">IF(BZ$5=0,"N.D.",BZ18/BZ$5)</f>
        <v>7.9529352699544378E-2</v>
      </c>
      <c r="CB18" s="213">
        <f>CB15+CB16</f>
        <v>2.02874</v>
      </c>
      <c r="CC18" s="22">
        <f t="shared" si="152"/>
        <v>0.32202222222222221</v>
      </c>
      <c r="CD18" s="213">
        <f>CD15+CD16</f>
        <v>4.4649899999999993</v>
      </c>
      <c r="CE18" s="22">
        <f t="shared" ref="CE18:CG18" si="153">IF(CD$5=0,"N.D.",CD18/CD$5)</f>
        <v>1.7859959999999997</v>
      </c>
      <c r="CF18" s="14">
        <f>CF15+CF16</f>
        <v>31.797520000000002</v>
      </c>
      <c r="CG18" s="22">
        <f t="shared" si="153"/>
        <v>0.24415729409619247</v>
      </c>
    </row>
    <row r="19" spans="1:85" x14ac:dyDescent="0.35">
      <c r="B19" s="7" t="s">
        <v>288</v>
      </c>
      <c r="C19" s="201">
        <f>'600'!$C170/1000+ajustes!B12</f>
        <v>0</v>
      </c>
      <c r="D19" s="224">
        <f t="shared" si="94"/>
        <v>0</v>
      </c>
      <c r="E19" s="34">
        <f>'600'!$C148/1000+ajustes!C12</f>
        <v>0</v>
      </c>
      <c r="F19" s="224">
        <f t="shared" si="94"/>
        <v>0</v>
      </c>
      <c r="G19" s="202">
        <f>'600'!$C214/1000+ajustes!D12</f>
        <v>0</v>
      </c>
      <c r="H19" s="224">
        <f t="shared" ref="H19" si="154">IF(G$5=0,"N.D.",G19/G$5)</f>
        <v>0</v>
      </c>
      <c r="I19" s="34">
        <f>'600'!$C192/1000+ajustes!E12</f>
        <v>0</v>
      </c>
      <c r="J19" s="224">
        <f t="shared" ref="J19:L19" si="155">IF(I$5=0,"N.D.",I19/I$5)</f>
        <v>0</v>
      </c>
      <c r="K19" s="212">
        <f t="shared" si="97"/>
        <v>0</v>
      </c>
      <c r="L19" s="224">
        <f t="shared" si="155"/>
        <v>0</v>
      </c>
      <c r="N19" s="7" t="s">
        <v>288</v>
      </c>
      <c r="O19" s="201">
        <f>'600'!$C16/1000+ajustes!F12</f>
        <v>0</v>
      </c>
      <c r="P19" s="224">
        <f t="shared" ref="P19:R19" si="156">IF(O$5=0,"N.D.",O19/O$5)</f>
        <v>0</v>
      </c>
      <c r="Q19" s="34">
        <f>'600'!$C38/1000+ajustes!G12</f>
        <v>0</v>
      </c>
      <c r="R19" s="224">
        <f t="shared" si="156"/>
        <v>0</v>
      </c>
      <c r="S19" s="202">
        <f>'600'!$C60/1000+ajustes!H12</f>
        <v>0</v>
      </c>
      <c r="T19" s="224">
        <f t="shared" ref="T19:V19" si="157">IF(S$5=0,"N.D.",S19/S$5)</f>
        <v>0</v>
      </c>
      <c r="U19" s="34">
        <f>'600'!$C82/1000+ajustes!I12</f>
        <v>0</v>
      </c>
      <c r="V19" s="224">
        <f t="shared" si="157"/>
        <v>0</v>
      </c>
      <c r="W19" s="202">
        <f>'600'!$C104/1000+ajustes!J12</f>
        <v>0</v>
      </c>
      <c r="X19" s="224">
        <f t="shared" ref="X19:Z19" si="158">IF(W$5=0,"N.D.",W19/W$5)</f>
        <v>0</v>
      </c>
      <c r="Y19" s="34">
        <f>'600'!$C126/1000+ajustes!K12</f>
        <v>0</v>
      </c>
      <c r="Z19" s="224">
        <f t="shared" si="158"/>
        <v>0</v>
      </c>
      <c r="AA19" s="212">
        <f t="shared" si="101"/>
        <v>0</v>
      </c>
      <c r="AB19" s="224">
        <f t="shared" ref="AB19" si="159">IF(AA$5=0,"N.D.",AA19/AA$5)</f>
        <v>0</v>
      </c>
      <c r="AC19" s="284"/>
      <c r="AE19" s="7" t="s">
        <v>288</v>
      </c>
      <c r="AF19" s="11">
        <f>'600'!$C302/1000+ajustes!L12</f>
        <v>0</v>
      </c>
      <c r="AG19" s="224">
        <f t="shared" ref="AG19:AI19" si="160">IF(AF$5=0,"N.D.",AF19/AF$5)</f>
        <v>0</v>
      </c>
      <c r="AH19" s="11">
        <f>'600'!$C324/1000+ajustes!M12</f>
        <v>0</v>
      </c>
      <c r="AI19" s="224">
        <f t="shared" si="160"/>
        <v>0</v>
      </c>
      <c r="AJ19" s="11">
        <f>'600'!$C368/1000+ajustes!N12</f>
        <v>0</v>
      </c>
      <c r="AK19" s="224">
        <f t="shared" ref="AK19:AM19" si="161">IF(AJ$5=0,"N.D.",AJ19/AJ$5)</f>
        <v>0</v>
      </c>
      <c r="AL19" s="11">
        <f>'600'!$C346/2000+ajustes!O12</f>
        <v>0</v>
      </c>
      <c r="AM19" s="224">
        <f t="shared" si="161"/>
        <v>0</v>
      </c>
      <c r="AN19" s="11">
        <f>ajustes!P12</f>
        <v>0</v>
      </c>
      <c r="AO19" s="224" t="str">
        <f t="shared" ref="AO19:AQ19" si="162">IF(AN$5=0,"N.D.",AN19/AN$5)</f>
        <v>N.D.</v>
      </c>
      <c r="AP19" s="11">
        <f>'600'!$C412/1000+ajustes!Q12</f>
        <v>0</v>
      </c>
      <c r="AQ19" s="224">
        <f t="shared" si="162"/>
        <v>0</v>
      </c>
      <c r="AR19" s="11">
        <f>'600'!$C390/1000+ajustes!R12</f>
        <v>0</v>
      </c>
      <c r="AS19" s="224">
        <f t="shared" ref="AS19:AU19" si="163">IF(AR$5=0,"N.D.",AR19/AR$5)</f>
        <v>0</v>
      </c>
      <c r="AT19" s="11">
        <f t="shared" si="107"/>
        <v>0</v>
      </c>
      <c r="AU19" s="224">
        <f t="shared" si="163"/>
        <v>0</v>
      </c>
      <c r="AX19" s="7" t="s">
        <v>288</v>
      </c>
      <c r="AY19" s="34">
        <f>'600'!$C456/1000+ajustes!S12</f>
        <v>0</v>
      </c>
      <c r="AZ19" s="224">
        <f t="shared" si="108"/>
        <v>0</v>
      </c>
      <c r="BA19" s="212">
        <f>'600'!$C434/1000+ajustes!T12</f>
        <v>0</v>
      </c>
      <c r="BB19" s="224">
        <f t="shared" si="109"/>
        <v>0</v>
      </c>
      <c r="BC19" s="211">
        <f t="shared" si="110"/>
        <v>0</v>
      </c>
      <c r="BD19" s="224">
        <f t="shared" si="111"/>
        <v>0</v>
      </c>
      <c r="BE19" s="192"/>
      <c r="BG19" s="7" t="s">
        <v>319</v>
      </c>
      <c r="BH19" s="14">
        <f>BH13-BH18</f>
        <v>-20.196129999999986</v>
      </c>
      <c r="BI19" s="22">
        <f>IF(BH$5=0,"N.D.",BH19/BH$5)</f>
        <v>-7.7478586205209837E-2</v>
      </c>
      <c r="BJ19" s="14">
        <f>BJ13-BJ18</f>
        <v>103.30323000000006</v>
      </c>
      <c r="BK19" s="22">
        <f>IF(BJ$5=0,"N.D.",BJ19/BJ$5)</f>
        <v>0.16478754915057714</v>
      </c>
      <c r="BL19" s="14">
        <f>BL13-BL18</f>
        <v>-19.695260000000061</v>
      </c>
      <c r="BM19" s="22">
        <f>IF(BL$5=0,"N.D.",BL19/BL$5)</f>
        <v>-8.4361546154751527E-2</v>
      </c>
      <c r="BN19" s="14">
        <f>BN13-BN18</f>
        <v>-4.9081299999999981</v>
      </c>
      <c r="BO19" s="22">
        <f>IF(BN$5=0,"N.D.",BN19/BN$5)</f>
        <v>-1.6267491730579283E-2</v>
      </c>
      <c r="BP19" s="14">
        <f>BP13-BP18</f>
        <v>58.503710000000069</v>
      </c>
      <c r="BQ19" s="22">
        <f>IF(BP$5=0,"N.D.",BP19/BP$5)</f>
        <v>4.1120707044626253E-2</v>
      </c>
      <c r="BU19" s="7" t="s">
        <v>319</v>
      </c>
      <c r="BV19" s="14">
        <f>BV13-BV18</f>
        <v>11.556639999999991</v>
      </c>
      <c r="BW19" s="22">
        <f t="shared" ref="BW19:BY19" si="164">IF(BV$5=0,"N.D.",BV19/BV$5)</f>
        <v>0.20315398609607851</v>
      </c>
      <c r="BX19" s="14">
        <f>BX13-BX18</f>
        <v>23.313900000000004</v>
      </c>
      <c r="BY19" s="22">
        <f t="shared" si="164"/>
        <v>0.64431249594090234</v>
      </c>
      <c r="BZ19" s="14">
        <f>BZ13-BZ18</f>
        <v>22.526810000000001</v>
      </c>
      <c r="CA19" s="22">
        <f t="shared" ref="CA19:CC19" si="165">IF(BZ$5=0,"N.D.",BZ19/BZ$5)</f>
        <v>0.79421855349958692</v>
      </c>
      <c r="CB19" s="14">
        <f>CB13-CB18</f>
        <v>-1.0277099999999999</v>
      </c>
      <c r="CC19" s="22">
        <f t="shared" si="165"/>
        <v>-0.16312857142857143</v>
      </c>
      <c r="CD19" s="14">
        <f>CD13-CD18</f>
        <v>-3.6364099999999997</v>
      </c>
      <c r="CE19" s="22">
        <f t="shared" ref="CE19:CG19" si="166">IF(CD$5=0,"N.D.",CD19/CD$5)</f>
        <v>-1.454564</v>
      </c>
      <c r="CF19" s="14">
        <f>CF13-CF18</f>
        <v>52.733229999999978</v>
      </c>
      <c r="CG19" s="22">
        <f t="shared" si="166"/>
        <v>0.40491216754489512</v>
      </c>
    </row>
    <row r="20" spans="1:85" x14ac:dyDescent="0.35">
      <c r="B20" s="4" t="s">
        <v>17</v>
      </c>
      <c r="C20" s="221">
        <f>C15+C16+C17-C18</f>
        <v>44.04128</v>
      </c>
      <c r="D20" s="22">
        <f t="shared" si="94"/>
        <v>2.5855823004887826E-3</v>
      </c>
      <c r="E20" s="207">
        <f>E15+E16+E17-E18</f>
        <v>-2.1700000000000001E-3</v>
      </c>
      <c r="F20" s="22">
        <f t="shared" si="94"/>
        <v>-2.1579283116525017E-6</v>
      </c>
      <c r="G20" s="213">
        <f>G15+G16+G17-G18</f>
        <v>7.3292799999999998</v>
      </c>
      <c r="H20" s="22">
        <f t="shared" ref="H20" si="167">IF(G$5=0,"N.D.",G20/G$5)</f>
        <v>5.114976996114524E-4</v>
      </c>
      <c r="I20" s="207">
        <f>I15+I16+I17-I18</f>
        <v>0</v>
      </c>
      <c r="J20" s="22">
        <f t="shared" ref="J20:L20" si="168">IF(I$5=0,"N.D.",I20/I$5)</f>
        <v>0</v>
      </c>
      <c r="K20" s="213">
        <f>K15+K16+K17-K18</f>
        <v>51.368389999999998</v>
      </c>
      <c r="L20" s="22">
        <f t="shared" si="168"/>
        <v>1.4992085433841069E-3</v>
      </c>
      <c r="N20" s="4" t="s">
        <v>17</v>
      </c>
      <c r="O20" s="221">
        <f>O15+O16+O17-O18</f>
        <v>356.72384</v>
      </c>
      <c r="P20" s="22">
        <f t="shared" ref="P20:R20" si="169">IF(O$5=0,"N.D.",O20/O$5)</f>
        <v>1.4348639960085724E-2</v>
      </c>
      <c r="Q20" s="213">
        <f>Q15+Q16+Q17-Q18</f>
        <v>-22.718739999999997</v>
      </c>
      <c r="R20" s="22">
        <f t="shared" si="169"/>
        <v>-5.7701460023400052E-3</v>
      </c>
      <c r="S20" s="207">
        <f>S15+S16+S17-S18</f>
        <v>43.332729999999998</v>
      </c>
      <c r="T20" s="22">
        <f t="shared" ref="T20:V20" si="170">IF(S$5=0,"N.D.",S20/S$5)</f>
        <v>1.5469283286386486E-3</v>
      </c>
      <c r="U20" s="213">
        <f>U15+U16+U17-U18</f>
        <v>7.0953100000000004</v>
      </c>
      <c r="V20" s="22">
        <f t="shared" si="170"/>
        <v>2.2269842834194693E-3</v>
      </c>
      <c r="W20" s="207">
        <f>W15+W16+W17-W18</f>
        <v>12.649139999999999</v>
      </c>
      <c r="X20" s="22">
        <f t="shared" ref="X20:Z20" si="171">IF(W$5=0,"N.D.",W20/W$5)</f>
        <v>1.5487715673910264E-2</v>
      </c>
      <c r="Y20" s="213">
        <f>Y15+Y16+Y17-Y18</f>
        <v>-2.0732699999999995</v>
      </c>
      <c r="Z20" s="22">
        <f t="shared" si="171"/>
        <v>-8.4278240509262064E-3</v>
      </c>
      <c r="AA20" s="218">
        <f>AA15+AA16+AA17-AA18</f>
        <v>395.0090100000001</v>
      </c>
      <c r="AB20" s="22">
        <f t="shared" ref="AB20" si="172">IF(AA$5=0,"N.D.",AA20/AA$5)</f>
        <v>8.4009893813907863E-3</v>
      </c>
      <c r="AC20" s="284"/>
      <c r="AE20" s="4" t="s">
        <v>17</v>
      </c>
      <c r="AF20" s="14">
        <f>AF15+AF16+AF17-AF18</f>
        <v>-975.20484999999985</v>
      </c>
      <c r="AG20" s="22">
        <f t="shared" ref="AG20:AI20" si="173">IF(AF$5=0,"N.D.",AF20/AF$5)</f>
        <v>-3.3650716418671268E-2</v>
      </c>
      <c r="AH20" s="14">
        <f>AH15+AH16+AH17-AH18</f>
        <v>62.630350000000007</v>
      </c>
      <c r="AI20" s="22">
        <f t="shared" si="173"/>
        <v>3.8167455451868959E-3</v>
      </c>
      <c r="AJ20" s="14">
        <f>AJ15+AJ16+AJ17-AJ18</f>
        <v>-5127.7427500000003</v>
      </c>
      <c r="AK20" s="22">
        <f t="shared" ref="AK20:AM20" si="174">IF(AJ$5=0,"N.D.",AJ20/AJ$5)</f>
        <v>-2.2037073511866052</v>
      </c>
      <c r="AL20" s="14">
        <f>AL15+AL16+AL17-AL18</f>
        <v>-8.2457050000000027</v>
      </c>
      <c r="AM20" s="22">
        <f t="shared" si="174"/>
        <v>-1.1478969171597121E-3</v>
      </c>
      <c r="AN20" s="14">
        <f>AN15+AN16+AN17-AN18</f>
        <v>0</v>
      </c>
      <c r="AO20" s="22" t="str">
        <f t="shared" ref="AO20:AQ20" si="175">IF(AN$5=0,"N.D.",AN20/AN$5)</f>
        <v>N.D.</v>
      </c>
      <c r="AP20" s="14">
        <f>AP15+AP16+AP17-AP18</f>
        <v>-7.6699999999999997E-3</v>
      </c>
      <c r="AQ20" s="22">
        <f t="shared" si="175"/>
        <v>-4.2202543597373432E-6</v>
      </c>
      <c r="AR20" s="14">
        <f>AR15+AR16+AR17-AR18</f>
        <v>-1152.6344399999998</v>
      </c>
      <c r="AS20" s="22">
        <f t="shared" ref="AS20:AU20" si="176">IF(AR$5=0,"N.D.",AR20/AR$5)</f>
        <v>-1.439421021051805E-2</v>
      </c>
      <c r="AT20" s="14">
        <f>AT15+AT16+AT17-AT18</f>
        <v>-7201.2050650000001</v>
      </c>
      <c r="AU20" s="22">
        <f t="shared" si="176"/>
        <v>-5.2642913617070956E-2</v>
      </c>
      <c r="AX20" s="4" t="s">
        <v>17</v>
      </c>
      <c r="AY20" s="213">
        <f>AY15+AY16+AY17-AY18</f>
        <v>-452.25760000000002</v>
      </c>
      <c r="AZ20" s="22">
        <f t="shared" si="108"/>
        <v>-8.9860780619851935E-2</v>
      </c>
      <c r="BA20" s="213">
        <f>BA15+BA16+BA17-BA18</f>
        <v>1.73298</v>
      </c>
      <c r="BB20" s="22">
        <f t="shared" si="109"/>
        <v>8.5640825073922519E-4</v>
      </c>
      <c r="BC20" s="14">
        <f>BC15+BC16+BC17-BC18</f>
        <v>-450.52462000000003</v>
      </c>
      <c r="BD20" s="22">
        <f t="shared" si="111"/>
        <v>-6.3846115399953093E-2</v>
      </c>
      <c r="BE20" s="226"/>
      <c r="BG20" s="4"/>
      <c r="BI20" s="226"/>
      <c r="BK20" s="226"/>
      <c r="BM20" s="226"/>
      <c r="BO20" s="226"/>
      <c r="BQ20" s="226"/>
      <c r="BU20" s="4"/>
      <c r="BW20" s="226"/>
      <c r="BY20" s="226"/>
      <c r="CA20" s="226"/>
      <c r="CC20" s="226"/>
      <c r="CE20" s="226"/>
      <c r="CG20" s="226"/>
    </row>
    <row r="21" spans="1:85" x14ac:dyDescent="0.35">
      <c r="B21" s="4" t="s">
        <v>18</v>
      </c>
      <c r="C21" s="220">
        <f>C13-C20</f>
        <v>-667.93743999999799</v>
      </c>
      <c r="D21" s="22">
        <f t="shared" si="94"/>
        <v>-3.9213374876883304E-2</v>
      </c>
      <c r="E21" s="31">
        <f>E13-E20</f>
        <v>-272.85396000000003</v>
      </c>
      <c r="F21" s="22">
        <f t="shared" si="94"/>
        <v>-0.27133607614308725</v>
      </c>
      <c r="G21" s="14">
        <f>G13-G20</f>
        <v>-265.57080999999977</v>
      </c>
      <c r="H21" s="22">
        <f t="shared" ref="H21" si="177">IF(G$5=0,"N.D.",G21/G$5)</f>
        <v>-1.8533724785920309E-2</v>
      </c>
      <c r="I21" s="31">
        <f>I13-I20</f>
        <v>90.802510000000154</v>
      </c>
      <c r="J21" s="22">
        <f t="shared" ref="J21:L21" si="178">IF(I$5=0,"N.D.",I21/I$5)</f>
        <v>4.7901428127357912E-2</v>
      </c>
      <c r="K21" s="14">
        <f>K13-K20</f>
        <v>-1115.5597000000039</v>
      </c>
      <c r="L21" s="22">
        <f t="shared" si="178"/>
        <v>-3.2558089379383259E-2</v>
      </c>
      <c r="N21" s="4" t="s">
        <v>18</v>
      </c>
      <c r="O21" s="217">
        <f>O13-O20</f>
        <v>-171.62214000000074</v>
      </c>
      <c r="P21" s="22">
        <f t="shared" ref="P21:R21" si="179">IF(O$5=0,"N.D.",O21/O$5)</f>
        <v>-6.9032232217488953E-3</v>
      </c>
      <c r="Q21" s="205">
        <f>Q13-Q20</f>
        <v>273.29664999999954</v>
      </c>
      <c r="R21" s="22">
        <f t="shared" si="179"/>
        <v>6.9412369367773619E-2</v>
      </c>
      <c r="S21" s="214">
        <f>S13-S20</f>
        <v>1529.1970400000037</v>
      </c>
      <c r="T21" s="22">
        <f t="shared" ref="T21:V21" si="180">IF(S$5=0,"N.D.",S21/S$5)</f>
        <v>5.4590565174323757E-2</v>
      </c>
      <c r="U21" s="205">
        <f>U13-U20</f>
        <v>217.41432999999975</v>
      </c>
      <c r="V21" s="22">
        <f t="shared" si="180"/>
        <v>6.8239202501395063E-2</v>
      </c>
      <c r="W21" s="214">
        <f>W13-W20</f>
        <v>62.718820000000008</v>
      </c>
      <c r="X21" s="22">
        <f t="shared" ref="X21:Z21" si="181">IF(W$5=0,"N.D.",W21/W$5)</f>
        <v>7.6793461971577257E-2</v>
      </c>
      <c r="Y21" s="205">
        <f>Y13-Y20</f>
        <v>51.119019999999999</v>
      </c>
      <c r="Z21" s="22">
        <f t="shared" si="181"/>
        <v>0.2077983601825994</v>
      </c>
      <c r="AA21" s="215">
        <f>AA13-AA20</f>
        <v>1962.12371999999</v>
      </c>
      <c r="AB21" s="22">
        <f t="shared" ref="AB21" si="182">IF(AA$5=0,"N.D.",AA21/AA$5)</f>
        <v>4.1730138096583921E-2</v>
      </c>
      <c r="AC21" s="284"/>
      <c r="AE21" s="4" t="s">
        <v>18</v>
      </c>
      <c r="AF21" s="14">
        <f>AF13-AF20</f>
        <v>1982.0438799999981</v>
      </c>
      <c r="AG21" s="22">
        <f t="shared" ref="AG21:AI21" si="183">IF(AF$5=0,"N.D.",AF21/AF$5)</f>
        <v>6.8393011514701604E-2</v>
      </c>
      <c r="AH21" s="14">
        <f>AH13-AH20</f>
        <v>-1162.13841</v>
      </c>
      <c r="AI21" s="22">
        <f t="shared" si="183"/>
        <v>-7.0821679892545425E-2</v>
      </c>
      <c r="AJ21" s="14">
        <f>AJ13-AJ20</f>
        <v>1019.4678799999992</v>
      </c>
      <c r="AK21" s="22">
        <f t="shared" ref="AK21:AM21" si="184">IF(AJ$5=0,"N.D.",AJ21/AJ$5)</f>
        <v>0.4381282312679633</v>
      </c>
      <c r="AL21" s="14">
        <f>AL13-AL20</f>
        <v>1046.8732000000002</v>
      </c>
      <c r="AM21" s="22">
        <f t="shared" si="184"/>
        <v>0.14573678283871697</v>
      </c>
      <c r="AN21" s="14">
        <f>AN13-AN20</f>
        <v>0</v>
      </c>
      <c r="AO21" s="22" t="str">
        <f t="shared" ref="AO21:AQ21" si="185">IF(AN$5=0,"N.D.",AN21/AN$5)</f>
        <v>N.D.</v>
      </c>
      <c r="AP21" s="14">
        <f>AP13-AP20</f>
        <v>-129.07512999999992</v>
      </c>
      <c r="AQ21" s="22">
        <f t="shared" si="185"/>
        <v>-7.1020844865210431E-2</v>
      </c>
      <c r="AR21" s="14">
        <f>AR13-AR20</f>
        <v>5400.5551099999966</v>
      </c>
      <c r="AS21" s="22">
        <f t="shared" ref="AS21:AU21" si="186">IF(AR$5=0,"N.D.",AR21/AR$5)</f>
        <v>6.7442653810368014E-2</v>
      </c>
      <c r="AT21" s="14">
        <f>AT13-AT20</f>
        <v>8157.7265299999945</v>
      </c>
      <c r="AU21" s="22">
        <f t="shared" si="186"/>
        <v>5.9635365074897743E-2</v>
      </c>
      <c r="AX21" s="4" t="s">
        <v>18</v>
      </c>
      <c r="AY21" s="14">
        <f>AY13-AY20</f>
        <v>2740.87716</v>
      </c>
      <c r="AZ21" s="22">
        <f t="shared" si="108"/>
        <v>0.5445952952050398</v>
      </c>
      <c r="BA21" s="14">
        <f>BA13-BA20</f>
        <v>626.11340000000018</v>
      </c>
      <c r="BB21" s="22">
        <f t="shared" si="109"/>
        <v>0.30941423539705531</v>
      </c>
      <c r="BC21" s="14">
        <f>BC13-BC20</f>
        <v>3366.9905599999997</v>
      </c>
      <c r="BD21" s="22">
        <f t="shared" si="111"/>
        <v>0.47715320828484953</v>
      </c>
      <c r="BE21" s="226"/>
      <c r="BG21" s="7" t="s">
        <v>323</v>
      </c>
      <c r="BH21" s="8">
        <f>'600'!$C482/1000+ajustes!V13</f>
        <v>0</v>
      </c>
      <c r="BI21" s="225">
        <f>IF(BH$5=0,"N.D.",BH21/BH$5)</f>
        <v>0</v>
      </c>
      <c r="BJ21" s="8">
        <f>'600'!$C505/1000+ajustes!W13</f>
        <v>0</v>
      </c>
      <c r="BK21" s="225">
        <f>IF(BJ$5=0,"N.D.",BJ21/BJ$5)</f>
        <v>0</v>
      </c>
      <c r="BL21" s="200">
        <f>'600'!$C572/1000+ajustes!X13</f>
        <v>0</v>
      </c>
      <c r="BM21" s="225">
        <f>IF(BL$5=0,"N.D.",BL21/BL$5)</f>
        <v>0</v>
      </c>
      <c r="BN21" s="8">
        <f>'600'!$C617/1000+ajustes!Y13</f>
        <v>0</v>
      </c>
      <c r="BO21" s="225">
        <f>IF(BN$5=0,"N.D.",BN21/BN$5)</f>
        <v>0</v>
      </c>
      <c r="BP21" s="209">
        <f>SUM(BH21,BJ21,BL21,BN21)</f>
        <v>0</v>
      </c>
      <c r="BQ21" s="225">
        <f>IF(BP$5=0,"N.D.",BP21/BP$5)</f>
        <v>0</v>
      </c>
      <c r="BU21" s="7" t="s">
        <v>323</v>
      </c>
      <c r="BV21" s="199">
        <f>'600'!$C527/1000-SUM(BX21,BZ21,CB21,CD21)+ajustes!Z13</f>
        <v>0</v>
      </c>
      <c r="BW21" s="225">
        <f t="shared" ref="BW21:BY21" si="187">IF(BV$5=0,"N.D.",BV21/BV$5)</f>
        <v>0</v>
      </c>
      <c r="BX21" s="8">
        <f>'600'!$C594/1000+ajustes!AA13</f>
        <v>0</v>
      </c>
      <c r="BY21" s="225">
        <f t="shared" si="187"/>
        <v>0</v>
      </c>
      <c r="BZ21" s="200">
        <f>'600'!$C639/1000+ajustes!AB13</f>
        <v>0</v>
      </c>
      <c r="CA21" s="225">
        <f t="shared" ref="CA21:CC21" si="188">IF(BZ$5=0,"N.D.",BZ21/BZ$5)</f>
        <v>0</v>
      </c>
      <c r="CB21" s="8">
        <f>'600'!$C549/1000+ajustes!AC13</f>
        <v>0</v>
      </c>
      <c r="CC21" s="225">
        <f t="shared" si="188"/>
        <v>0</v>
      </c>
      <c r="CD21" s="209">
        <f>'600'!$C661/1000+ajustes!AD13</f>
        <v>0</v>
      </c>
      <c r="CE21" s="225">
        <f t="shared" ref="CE21:CG21" si="189">IF(CD$5=0,"N.D.",CD21/CD$5)</f>
        <v>0</v>
      </c>
      <c r="CF21" s="209">
        <f>SUM(BV21,BX21,BZ21,CB21,CD21)</f>
        <v>0</v>
      </c>
      <c r="CG21" s="225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22"/>
      <c r="P22" s="30"/>
      <c r="Q22" s="222"/>
      <c r="R22" s="30"/>
      <c r="S22" s="222"/>
      <c r="T22" s="30"/>
      <c r="U22" s="222"/>
      <c r="V22" s="30"/>
      <c r="W22" s="222"/>
      <c r="X22" s="30"/>
      <c r="Y22" s="222"/>
      <c r="Z22" s="30"/>
      <c r="AA22" s="222"/>
      <c r="AB22" s="30"/>
      <c r="AC22" s="284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320</v>
      </c>
      <c r="BH22" s="34">
        <f>'600'!$C483/1000+ajustes!V14</f>
        <v>0</v>
      </c>
      <c r="BI22" s="195">
        <f>IF(BH$5=0,"N.D.",BH22/BH$5)</f>
        <v>0</v>
      </c>
      <c r="BJ22" s="34">
        <f>'600'!$C506/1000+ajustes!W14</f>
        <v>0</v>
      </c>
      <c r="BK22" s="195">
        <f>IF(BJ$5=0,"N.D.",BJ22/BJ$5)</f>
        <v>0</v>
      </c>
      <c r="BL22" s="202">
        <f>'600'!$C573/1000+ajustes!X14</f>
        <v>0</v>
      </c>
      <c r="BM22" s="195">
        <f>IF(BL$5=0,"N.D.",BL22/BL$5)</f>
        <v>0</v>
      </c>
      <c r="BN22" s="34">
        <f>'600'!$C618/1000+ajustes!Y14</f>
        <v>0</v>
      </c>
      <c r="BO22" s="195">
        <f>IF(BN$5=0,"N.D.",BN22/BN$5)</f>
        <v>0</v>
      </c>
      <c r="BP22" s="211">
        <f>SUM(BH22,BJ22,BL22,BN22)</f>
        <v>0</v>
      </c>
      <c r="BQ22" s="195">
        <f>IF(BP$5=0,"N.D.",BP22/BP$5)</f>
        <v>0</v>
      </c>
      <c r="BU22" s="1" t="s">
        <v>320</v>
      </c>
      <c r="BV22" s="201">
        <f>'600'!$C528/1000-SUM(BX22,BZ22,CB22,CD22)+ajustes!Z14</f>
        <v>0</v>
      </c>
      <c r="BW22" s="195">
        <f t="shared" ref="BW22:BY22" si="190">IF(BV$5=0,"N.D.",BV22/BV$5)</f>
        <v>0</v>
      </c>
      <c r="BX22" s="34">
        <f>'600'!$C595/1000+ajustes!AA14</f>
        <v>0</v>
      </c>
      <c r="BY22" s="195">
        <f t="shared" si="190"/>
        <v>0</v>
      </c>
      <c r="BZ22" s="202">
        <f>'600'!$C640/1000+ajustes!AB14</f>
        <v>0</v>
      </c>
      <c r="CA22" s="195">
        <f t="shared" ref="CA22:CC22" si="191">IF(BZ$5=0,"N.D.",BZ22/BZ$5)</f>
        <v>0</v>
      </c>
      <c r="CB22" s="34">
        <f>'600'!$C550/1000+ajustes!AC14</f>
        <v>0</v>
      </c>
      <c r="CC22" s="195">
        <f t="shared" si="191"/>
        <v>0</v>
      </c>
      <c r="CD22" s="212">
        <f>'600'!$C662/1000+ajustes!AD14</f>
        <v>0</v>
      </c>
      <c r="CE22" s="195">
        <f t="shared" ref="CE22:CG22" si="192">IF(CD$5=0,"N.D.",CD22/CD$5)</f>
        <v>0</v>
      </c>
      <c r="CF22" s="211">
        <f>SUM(BV22,BX22,BZ22,CB22,CD22)</f>
        <v>0</v>
      </c>
      <c r="CG22" s="195">
        <f t="shared" si="192"/>
        <v>0</v>
      </c>
    </row>
    <row r="23" spans="1:85" x14ac:dyDescent="0.35">
      <c r="B23" s="7" t="s">
        <v>19</v>
      </c>
      <c r="C23" s="199">
        <f>'600'!$C173/1000+ajustes!B13</f>
        <v>0</v>
      </c>
      <c r="D23" s="225">
        <f t="shared" si="94"/>
        <v>0</v>
      </c>
      <c r="E23" s="8">
        <f>'600'!$C151/1000+ajustes!C13</f>
        <v>0</v>
      </c>
      <c r="F23" s="225">
        <f t="shared" si="94"/>
        <v>0</v>
      </c>
      <c r="G23" s="200">
        <f>'600'!$C217/1000+ajustes!D13</f>
        <v>0</v>
      </c>
      <c r="H23" s="225">
        <f t="shared" ref="H23" si="193">IF(G$5=0,"N.D.",G23/G$5)</f>
        <v>0</v>
      </c>
      <c r="I23" s="200">
        <f>'600'!$C195/1000+ajustes!E13</f>
        <v>0</v>
      </c>
      <c r="J23" s="225">
        <f t="shared" ref="J23:L23" si="194">IF(I$5=0,"N.D.",I23/I$5)</f>
        <v>0</v>
      </c>
      <c r="K23" s="8">
        <f>SUM(C23,E23,G23,I23)</f>
        <v>0</v>
      </c>
      <c r="L23" s="225">
        <f t="shared" si="194"/>
        <v>0</v>
      </c>
      <c r="N23" s="7" t="s">
        <v>19</v>
      </c>
      <c r="O23" s="203">
        <f>'600'!$C19/1000+ajustes!F13</f>
        <v>587.81849</v>
      </c>
      <c r="P23" s="225">
        <f t="shared" ref="P23:R23" si="195">IF(O$5=0,"N.D.",O23/O$5)</f>
        <v>2.364404878264164E-2</v>
      </c>
      <c r="Q23" s="11">
        <f>'600'!$C41/1000+ajustes!G13</f>
        <v>114.75</v>
      </c>
      <c r="R23" s="225">
        <f t="shared" si="195"/>
        <v>2.9144409142783257E-2</v>
      </c>
      <c r="S23" s="30">
        <f>'600'!$C63/1000+ajustes!H13</f>
        <v>400</v>
      </c>
      <c r="T23" s="225">
        <f t="shared" ref="T23:V23" si="196">IF(S$5=0,"N.D.",S23/S$5)</f>
        <v>1.4279537233298235E-2</v>
      </c>
      <c r="U23" s="11">
        <f>'600'!$C85/1000+ajustes!I13</f>
        <v>68.436610000000002</v>
      </c>
      <c r="V23" s="225">
        <f t="shared" si="196"/>
        <v>2.1479999447593927E-2</v>
      </c>
      <c r="W23" s="30">
        <f>'600'!$C107/1000+ajustes!J13</f>
        <v>11.773999999999999</v>
      </c>
      <c r="X23" s="225">
        <f t="shared" ref="X23:Z23" si="197">IF(W$5=0,"N.D.",W23/W$5)</f>
        <v>1.441618674033329E-2</v>
      </c>
      <c r="Y23" s="11">
        <f>'600'!$C129/1000+ajustes!K13</f>
        <v>29.328479999999999</v>
      </c>
      <c r="Z23" s="225">
        <f t="shared" si="197"/>
        <v>0.11922000951207912</v>
      </c>
      <c r="AA23" s="211">
        <f>SUM(O23,Q23,S23,U23,W23,Y23)</f>
        <v>1212.1075799999999</v>
      </c>
      <c r="AB23" s="225">
        <f t="shared" ref="AB23" si="198">IF(AA$5=0,"N.D.",AA23/AA$5)</f>
        <v>2.5778913014372202E-2</v>
      </c>
      <c r="AC23" s="284"/>
      <c r="AE23" s="7" t="s">
        <v>19</v>
      </c>
      <c r="AF23" s="8">
        <f>'600'!$C305/1000+ajustes!L13</f>
        <v>459.43</v>
      </c>
      <c r="AG23" s="225">
        <f t="shared" ref="AG23:AI23" si="199">IF(AF$5=0,"N.D.",AF23/AF$5)</f>
        <v>1.5853231907357868E-2</v>
      </c>
      <c r="AH23" s="8">
        <f>'600'!$C327/1000+ajustes!M13</f>
        <v>426.82198</v>
      </c>
      <c r="AI23" s="225">
        <f t="shared" si="199"/>
        <v>2.6010885948311805E-2</v>
      </c>
      <c r="AJ23" s="8">
        <f>'600'!$C371/1000+ajustes!N13</f>
        <v>227.42500000000001</v>
      </c>
      <c r="AK23" s="225">
        <f t="shared" ref="AK23:AM23" si="200">IF(AJ$5=0,"N.D.",AJ23/AJ$5)</f>
        <v>9.7738550621248241E-2</v>
      </c>
      <c r="AL23" s="8">
        <f>'600'!$C349/2000+ajustes!O13</f>
        <v>134.26300000000001</v>
      </c>
      <c r="AM23" s="225">
        <f t="shared" si="200"/>
        <v>1.8690952900766444E-2</v>
      </c>
      <c r="AN23" s="8">
        <f>ajustes!P13</f>
        <v>0</v>
      </c>
      <c r="AO23" s="225" t="str">
        <f t="shared" ref="AO23:AQ23" si="201">IF(AN$5=0,"N.D.",AN23/AN$5)</f>
        <v>N.D.</v>
      </c>
      <c r="AP23" s="8">
        <f>'600'!$C415/1000+ajustes!Q13</f>
        <v>34.198999999999998</v>
      </c>
      <c r="AQ23" s="225">
        <f t="shared" si="201"/>
        <v>1.8817272340111785E-2</v>
      </c>
      <c r="AR23" s="8">
        <f>'600'!$C393/1000+ajustes!R13</f>
        <v>817.62800000000004</v>
      </c>
      <c r="AS23" s="225">
        <f t="shared" ref="AS23:AU23" si="202">IF(AR$5=0,"N.D.",AR23/AR$5)</f>
        <v>1.0210617432189043E-2</v>
      </c>
      <c r="AT23" s="8">
        <f>SUM(AF23,AH23,AJ23,AL23,AN23,AP23,AR23)</f>
        <v>2099.7669799999999</v>
      </c>
      <c r="AU23" s="225">
        <f t="shared" si="202"/>
        <v>1.534991029228772E-2</v>
      </c>
      <c r="AX23" s="7" t="s">
        <v>19</v>
      </c>
      <c r="AY23" s="8">
        <f>'600'!$C459/1000+ajustes!S13</f>
        <v>0</v>
      </c>
      <c r="AZ23" s="225">
        <f>IF(AY$5=0,"N.D.",AY23/AY$5)</f>
        <v>0</v>
      </c>
      <c r="BA23" s="209">
        <f>'600'!$C437/1000+ajustes!T13</f>
        <v>0</v>
      </c>
      <c r="BB23" s="225">
        <f>IF(BA$5=0,"N.D.",BA23/BA$5)</f>
        <v>0</v>
      </c>
      <c r="BC23" s="209">
        <f>SUM(AY23,BA23)</f>
        <v>0</v>
      </c>
      <c r="BD23" s="225">
        <f>IF(BC$5=0,"N.D.",BC23/BC$5)</f>
        <v>0</v>
      </c>
      <c r="BE23" s="192"/>
      <c r="BG23" s="4" t="s">
        <v>321</v>
      </c>
      <c r="BH23" s="213">
        <f>BH19-BH21-BH22</f>
        <v>-20.196129999999986</v>
      </c>
      <c r="BI23" s="35">
        <f>IF(BH$5=0,"N.D.",BH23/BH$5)</f>
        <v>-7.7478586205209837E-2</v>
      </c>
      <c r="BJ23" s="213">
        <f>BJ19-BJ21-BJ22</f>
        <v>103.30323000000006</v>
      </c>
      <c r="BK23" s="35">
        <f>IF(BJ$5=0,"N.D.",BJ23/BJ$5)</f>
        <v>0.16478754915057714</v>
      </c>
      <c r="BL23" s="213">
        <f>BL19-BL21-BL22</f>
        <v>-19.695260000000061</v>
      </c>
      <c r="BM23" s="35">
        <f>IF(BL$5=0,"N.D.",BL23/BL$5)</f>
        <v>-8.4361546154751527E-2</v>
      </c>
      <c r="BN23" s="213">
        <f>BN19-BN21-BN22</f>
        <v>-4.9081299999999981</v>
      </c>
      <c r="BO23" s="35">
        <f>IF(BN$5=0,"N.D.",BN23/BN$5)</f>
        <v>-1.6267491730579283E-2</v>
      </c>
      <c r="BP23" s="14">
        <f>BP19-BP21-BP22</f>
        <v>58.503710000000069</v>
      </c>
      <c r="BQ23" s="35">
        <f>IF(BP$5=0,"N.D.",BP23/BP$5)</f>
        <v>4.1120707044626253E-2</v>
      </c>
      <c r="BU23" s="4" t="s">
        <v>321</v>
      </c>
      <c r="BV23" s="213">
        <f>BV19-BV21-BV22</f>
        <v>11.556639999999991</v>
      </c>
      <c r="BW23" s="35">
        <f t="shared" ref="BW23:BY23" si="203">IF(BV$5=0,"N.D.",BV23/BV$5)</f>
        <v>0.20315398609607851</v>
      </c>
      <c r="BX23" s="213">
        <f>BX19-BX21-BX22</f>
        <v>23.313900000000004</v>
      </c>
      <c r="BY23" s="35">
        <f t="shared" si="203"/>
        <v>0.64431249594090234</v>
      </c>
      <c r="BZ23" s="213">
        <f>BZ19-BZ21-BZ22</f>
        <v>22.526810000000001</v>
      </c>
      <c r="CA23" s="35">
        <f t="shared" ref="CA23:CC23" si="204">IF(BZ$5=0,"N.D.",BZ23/BZ$5)</f>
        <v>0.79421855349958692</v>
      </c>
      <c r="CB23" s="213">
        <f>CB19-CB21-CB22</f>
        <v>-1.0277099999999999</v>
      </c>
      <c r="CC23" s="35">
        <f t="shared" si="204"/>
        <v>-0.16312857142857143</v>
      </c>
      <c r="CD23" s="213">
        <f>CD19-CD21-CD22</f>
        <v>-3.6364099999999997</v>
      </c>
      <c r="CE23" s="35">
        <f t="shared" ref="CE23:CG23" si="205">IF(CD$5=0,"N.D.",CD23/CD$5)</f>
        <v>-1.454564</v>
      </c>
      <c r="CF23" s="14">
        <f>CF19-CF21-CF22</f>
        <v>52.733229999999978</v>
      </c>
      <c r="CG23" s="35">
        <f t="shared" si="205"/>
        <v>0.40491216754489512</v>
      </c>
    </row>
    <row r="24" spans="1:85" x14ac:dyDescent="0.35">
      <c r="B24" s="7" t="s">
        <v>43</v>
      </c>
      <c r="C24" s="201">
        <f>'600'!$C174+ajustes!B14</f>
        <v>0</v>
      </c>
      <c r="D24" s="224">
        <f t="shared" si="94"/>
        <v>0</v>
      </c>
      <c r="E24" s="34">
        <f>'600'!$C152/1000+ajustes!C14</f>
        <v>0</v>
      </c>
      <c r="F24" s="224">
        <f t="shared" si="94"/>
        <v>0</v>
      </c>
      <c r="G24" s="202">
        <f>'600'!$C218/1000+ajustes!D14</f>
        <v>0</v>
      </c>
      <c r="H24" s="224">
        <f t="shared" ref="H24" si="206">IF(G$5=0,"N.D.",G24/G$5)</f>
        <v>0</v>
      </c>
      <c r="I24" s="202">
        <f>'600'!$C196/1000+ajustes!E14</f>
        <v>0</v>
      </c>
      <c r="J24" s="224">
        <f t="shared" ref="J24:L24" si="207">IF(I$5=0,"N.D.",I24/I$5)</f>
        <v>0</v>
      </c>
      <c r="K24" s="34">
        <f>SUM(C24,E24,G24,I24)</f>
        <v>0</v>
      </c>
      <c r="L24" s="224">
        <f t="shared" si="207"/>
        <v>0</v>
      </c>
      <c r="N24" s="7" t="s">
        <v>43</v>
      </c>
      <c r="O24" s="201">
        <f>'600'!$C20/1000+ajustes!F14</f>
        <v>0</v>
      </c>
      <c r="P24" s="224">
        <f t="shared" ref="P24:R24" si="208">IF(O$5=0,"N.D.",O24/O$5)</f>
        <v>0</v>
      </c>
      <c r="Q24" s="34">
        <f>'600'!$C42/1000+ajustes!G14</f>
        <v>0</v>
      </c>
      <c r="R24" s="224">
        <f t="shared" si="208"/>
        <v>0</v>
      </c>
      <c r="S24" s="202">
        <f>'600'!$C64/1000+ajustes!H14</f>
        <v>0</v>
      </c>
      <c r="T24" s="224">
        <f t="shared" ref="T24:V24" si="209">IF(S$5=0,"N.D.",S24/S$5)</f>
        <v>0</v>
      </c>
      <c r="U24" s="34">
        <f>'600'!$C86/1000+ajustes!I14</f>
        <v>0</v>
      </c>
      <c r="V24" s="224">
        <f t="shared" si="209"/>
        <v>0</v>
      </c>
      <c r="W24" s="202">
        <f>'600'!$C108/1000+ajustes!J14</f>
        <v>0</v>
      </c>
      <c r="X24" s="224">
        <f t="shared" ref="X24:Z24" si="210">IF(W$5=0,"N.D.",W24/W$5)</f>
        <v>0</v>
      </c>
      <c r="Y24" s="34">
        <f>'600'!$C130/1000+ajustes!K14</f>
        <v>0</v>
      </c>
      <c r="Z24" s="224">
        <f t="shared" si="210"/>
        <v>0</v>
      </c>
      <c r="AA24" s="212">
        <f>SUM(O24,Q24,S24,U24,W24,Y24)</f>
        <v>0</v>
      </c>
      <c r="AB24" s="224">
        <f t="shared" ref="AB24" si="211">IF(AA$5=0,"N.D.",AA24/AA$5)</f>
        <v>0</v>
      </c>
      <c r="AC24" s="284"/>
      <c r="AE24" s="7" t="s">
        <v>43</v>
      </c>
      <c r="AF24" s="11">
        <f>'600'!$C306/1000+ajustes!L14</f>
        <v>0</v>
      </c>
      <c r="AG24" s="224">
        <f t="shared" ref="AG24:AI24" si="212">IF(AF$5=0,"N.D.",AF24/AF$5)</f>
        <v>0</v>
      </c>
      <c r="AH24" s="11">
        <f>'600'!$C328/1000+ajustes!M14</f>
        <v>0</v>
      </c>
      <c r="AI24" s="224">
        <f t="shared" si="212"/>
        <v>0</v>
      </c>
      <c r="AJ24" s="11">
        <f>'600'!$C372/1000+ajustes!N14</f>
        <v>0</v>
      </c>
      <c r="AK24" s="224">
        <f t="shared" ref="AK24:AM24" si="213">IF(AJ$5=0,"N.D.",AJ24/AJ$5)</f>
        <v>0</v>
      </c>
      <c r="AL24" s="11">
        <f>'600'!$C350/2000+ajustes!O14</f>
        <v>0</v>
      </c>
      <c r="AM24" s="224">
        <f t="shared" si="213"/>
        <v>0</v>
      </c>
      <c r="AN24" s="11">
        <f>ajustes!P14</f>
        <v>0</v>
      </c>
      <c r="AO24" s="224" t="str">
        <f t="shared" ref="AO24:AQ24" si="214">IF(AN$5=0,"N.D.",AN24/AN$5)</f>
        <v>N.D.</v>
      </c>
      <c r="AP24" s="11">
        <f>'600'!$C416/1000+ajustes!Q14</f>
        <v>0</v>
      </c>
      <c r="AQ24" s="224">
        <f t="shared" si="214"/>
        <v>0</v>
      </c>
      <c r="AR24" s="11">
        <f>'600'!$C394/1000+ajustes!R14</f>
        <v>0</v>
      </c>
      <c r="AS24" s="224">
        <f t="shared" ref="AS24:AU24" si="215">IF(AR$5=0,"N.D.",AR24/AR$5)</f>
        <v>0</v>
      </c>
      <c r="AT24" s="11">
        <f>SUM(AF24,AH24,AJ24,AL24,AN24,AP24,AR24)</f>
        <v>0</v>
      </c>
      <c r="AU24" s="224">
        <f t="shared" si="215"/>
        <v>0</v>
      </c>
      <c r="AX24" s="7" t="s">
        <v>43</v>
      </c>
      <c r="AY24" s="34">
        <f>'600'!$C460/1000+ajustes!S14</f>
        <v>0</v>
      </c>
      <c r="AZ24" s="224">
        <f>IF(AY$5=0,"N.D.",AY24/AY$5)</f>
        <v>0</v>
      </c>
      <c r="BA24" s="212">
        <f>'600'!$C438/1000+ajustes!T14</f>
        <v>0</v>
      </c>
      <c r="BB24" s="224">
        <f>IF(BA$5=0,"N.D.",BA24/BA$5)</f>
        <v>0</v>
      </c>
      <c r="BC24" s="211">
        <f>SUM(AY24,BA24)</f>
        <v>0</v>
      </c>
      <c r="BD24" s="224">
        <f>IF(BC$5=0,"N.D.",BC24/BC$5)</f>
        <v>0</v>
      </c>
      <c r="BE24" s="192"/>
      <c r="BG24" s="4" t="s">
        <v>322</v>
      </c>
      <c r="BH24" s="14">
        <f>BH13+BH11</f>
        <v>-21.382679999999986</v>
      </c>
      <c r="BI24" s="22">
        <f>IF(BH$5=0,"N.D.",BH24/BH$5)</f>
        <v>-8.2030558115758628E-2</v>
      </c>
      <c r="BJ24" s="14">
        <f>BJ13+BJ11</f>
        <v>6.7309100000000548</v>
      </c>
      <c r="BK24" s="22">
        <f>IF(BJ$5=0,"N.D.",BJ24/BJ$5)</f>
        <v>1.0737032738019127E-2</v>
      </c>
      <c r="BL24" s="14">
        <f>BL13+BL11</f>
        <v>-12.304640000000061</v>
      </c>
      <c r="BM24" s="22">
        <f>IF(BL$5=0,"N.D.",BL24/BL$5)</f>
        <v>-5.2704988676341602E-2</v>
      </c>
      <c r="BN24" s="14">
        <f>BN13+BN11</f>
        <v>-2.3604699999999976</v>
      </c>
      <c r="BO24" s="22">
        <f>IF(BN$5=0,"N.D.",BN24/BN$5)</f>
        <v>-7.8235348707716493E-3</v>
      </c>
      <c r="BP24" s="20">
        <f>BP13+BP11</f>
        <v>-29.316879999999934</v>
      </c>
      <c r="BQ24" s="22">
        <f>IF(BP$5=0,"N.D.",BP24/BP$5)</f>
        <v>-2.0606057871243696E-2</v>
      </c>
      <c r="BU24" s="4" t="s">
        <v>322</v>
      </c>
      <c r="BV24" s="14">
        <f>BV13+BV11</f>
        <v>46.498779999999996</v>
      </c>
      <c r="BW24" s="22">
        <f t="shared" ref="BW24:BY24" si="216">IF(BV$5=0,"N.D.",BV24/BV$5)</f>
        <v>0.81740129532499251</v>
      </c>
      <c r="BX24" s="14">
        <f>BX13+BX11</f>
        <v>25.827070000000003</v>
      </c>
      <c r="BY24" s="22">
        <f t="shared" si="216"/>
        <v>0.71376749212016866</v>
      </c>
      <c r="BZ24" s="14">
        <f>BZ13+BZ11</f>
        <v>27.591660000000001</v>
      </c>
      <c r="CA24" s="22">
        <f t="shared" ref="CA24:CC24" si="217">IF(BZ$5=0,"N.D.",BZ24/BZ$5)</f>
        <v>0.97278790445040431</v>
      </c>
      <c r="CB24" s="14">
        <f>CB13+CB11</f>
        <v>4.7870699999999999</v>
      </c>
      <c r="CC24" s="22">
        <f t="shared" si="217"/>
        <v>0.75985238095238095</v>
      </c>
      <c r="CD24" s="14">
        <f>CD13+CD11</f>
        <v>0.82857999999999987</v>
      </c>
      <c r="CE24" s="22">
        <f t="shared" ref="CE24:CG24" si="218">IF(CD$5=0,"N.D.",CD24/CD$5)</f>
        <v>0.33143199999999995</v>
      </c>
      <c r="CF24" s="20">
        <f>CF13+CF11</f>
        <v>105.53315999999998</v>
      </c>
      <c r="CG24" s="22">
        <f t="shared" si="218"/>
        <v>0.81033649111693395</v>
      </c>
    </row>
    <row r="25" spans="1:85" x14ac:dyDescent="0.35">
      <c r="B25" s="4" t="s">
        <v>21</v>
      </c>
      <c r="C25" s="217">
        <f>C21-C23</f>
        <v>-667.93743999999799</v>
      </c>
      <c r="D25" s="22">
        <f t="shared" si="94"/>
        <v>-3.9213374876883304E-2</v>
      </c>
      <c r="E25" s="205">
        <f>E21-E23</f>
        <v>-272.85396000000003</v>
      </c>
      <c r="F25" s="22">
        <f t="shared" si="94"/>
        <v>-0.27133607614308725</v>
      </c>
      <c r="G25" s="205">
        <f>G21-G23</f>
        <v>-265.57080999999977</v>
      </c>
      <c r="H25" s="22">
        <f t="shared" ref="H25" si="219">IF(G$5=0,"N.D.",G25/G$5)</f>
        <v>-1.8533724785920309E-2</v>
      </c>
      <c r="I25" s="205">
        <f>I21-I23</f>
        <v>90.802510000000154</v>
      </c>
      <c r="J25" s="22">
        <f t="shared" ref="J25:L25" si="220">IF(I$5=0,"N.D.",I25/I$5)</f>
        <v>4.7901428127357912E-2</v>
      </c>
      <c r="K25" s="215">
        <f>K21-K23</f>
        <v>-1115.5597000000039</v>
      </c>
      <c r="L25" s="22">
        <f t="shared" si="220"/>
        <v>-3.2558089379383259E-2</v>
      </c>
      <c r="N25" s="4" t="s">
        <v>21</v>
      </c>
      <c r="O25" s="221">
        <f>O21-O23</f>
        <v>-759.44063000000074</v>
      </c>
      <c r="P25" s="22">
        <f t="shared" ref="P25:R25" si="221">IF(O$5=0,"N.D.",O25/O$5)</f>
        <v>-3.0547272004390533E-2</v>
      </c>
      <c r="Q25" s="213">
        <f>Q21-Q23</f>
        <v>158.54664999999954</v>
      </c>
      <c r="R25" s="22">
        <f t="shared" si="221"/>
        <v>4.0267960224990358E-2</v>
      </c>
      <c r="S25" s="207">
        <f>S21-S23</f>
        <v>1129.1970400000037</v>
      </c>
      <c r="T25" s="22">
        <f t="shared" ref="T25:V25" si="222">IF(S$5=0,"N.D.",S25/S$5)</f>
        <v>4.0311027941025521E-2</v>
      </c>
      <c r="U25" s="213">
        <f>U21-U23</f>
        <v>148.97771999999975</v>
      </c>
      <c r="V25" s="22">
        <f t="shared" si="222"/>
        <v>4.6759203053801136E-2</v>
      </c>
      <c r="W25" s="207">
        <f>W21-W23</f>
        <v>50.944820000000007</v>
      </c>
      <c r="X25" s="22">
        <f t="shared" ref="X25:Z25" si="223">IF(W$5=0,"N.D.",W25/W$5)</f>
        <v>6.2377275231243957E-2</v>
      </c>
      <c r="Y25" s="213">
        <f>Y21-Y23</f>
        <v>21.79054</v>
      </c>
      <c r="Z25" s="22">
        <f t="shared" si="223"/>
        <v>8.8578350670520278E-2</v>
      </c>
      <c r="AA25" s="218">
        <f>AA21-AA23</f>
        <v>750.01613999999017</v>
      </c>
      <c r="AB25" s="22">
        <f t="shared" ref="AB25" si="224">IF(AA$5=0,"N.D.",AA25/AA$5)</f>
        <v>1.5951225082211723E-2</v>
      </c>
      <c r="AC25" s="284"/>
      <c r="AE25" s="4" t="s">
        <v>21</v>
      </c>
      <c r="AF25" s="14">
        <f>AF21-AF23</f>
        <v>1522.6138799999981</v>
      </c>
      <c r="AG25" s="22">
        <f t="shared" ref="AG25:AI25" si="225">IF(AF$5=0,"N.D.",AF25/AF$5)</f>
        <v>5.253977960734374E-2</v>
      </c>
      <c r="AH25" s="14">
        <f>AH21-AH23</f>
        <v>-1588.96039</v>
      </c>
      <c r="AI25" s="22">
        <f t="shared" si="225"/>
        <v>-9.6832565840857227E-2</v>
      </c>
      <c r="AJ25" s="14">
        <f>AJ21-AJ23</f>
        <v>792.04287999999929</v>
      </c>
      <c r="AK25" s="22">
        <f t="shared" ref="AK25:AM25" si="226">IF(AJ$5=0,"N.D.",AJ25/AJ$5)</f>
        <v>0.34038968064671504</v>
      </c>
      <c r="AL25" s="14">
        <f>AL21-AL23</f>
        <v>912.61020000000019</v>
      </c>
      <c r="AM25" s="22">
        <f t="shared" si="226"/>
        <v>0.12704582993795049</v>
      </c>
      <c r="AN25" s="14">
        <f>AN21-AN23</f>
        <v>0</v>
      </c>
      <c r="AO25" s="22" t="str">
        <f t="shared" ref="AO25:AQ25" si="227">IF(AN$5=0,"N.D.",AN25/AN$5)</f>
        <v>N.D.</v>
      </c>
      <c r="AP25" s="14">
        <f>AP21-AP23</f>
        <v>-163.2741299999999</v>
      </c>
      <c r="AQ25" s="22">
        <f t="shared" si="227"/>
        <v>-8.9838117205322199E-2</v>
      </c>
      <c r="AR25" s="14">
        <f>AR21-AR23</f>
        <v>4582.9271099999969</v>
      </c>
      <c r="AS25" s="22">
        <f t="shared" ref="AS25:AU25" si="228">IF(AR$5=0,"N.D.",AR25/AR$5)</f>
        <v>5.7232036378178974E-2</v>
      </c>
      <c r="AT25" s="14">
        <f>AT21-AT23</f>
        <v>6057.9595499999941</v>
      </c>
      <c r="AU25" s="22">
        <f t="shared" si="228"/>
        <v>4.428545478261002E-2</v>
      </c>
      <c r="AX25" s="4" t="s">
        <v>21</v>
      </c>
      <c r="AY25" s="213">
        <f>AY21-AY23</f>
        <v>2740.87716</v>
      </c>
      <c r="AZ25" s="22">
        <f>IF(AY$5=0,"N.D.",AY25/AY$5)</f>
        <v>0.5445952952050398</v>
      </c>
      <c r="BA25" s="213">
        <f>BA21-BA23</f>
        <v>626.11340000000018</v>
      </c>
      <c r="BB25" s="22">
        <f>IF(BA$5=0,"N.D.",BA25/BA$5)</f>
        <v>0.30941423539705531</v>
      </c>
      <c r="BC25" s="14">
        <f>BC21-BC23</f>
        <v>3366.9905599999997</v>
      </c>
      <c r="BD25" s="22">
        <f>IF(BC$5=0,"N.D.",BC25/BC$5)</f>
        <v>0.47715320828484953</v>
      </c>
      <c r="BE25" s="226"/>
    </row>
    <row r="26" spans="1:85" x14ac:dyDescent="0.35">
      <c r="B26" s="4" t="s">
        <v>22</v>
      </c>
      <c r="C26" s="220">
        <f>C13+C11</f>
        <v>-544.13329999999792</v>
      </c>
      <c r="D26" s="22">
        <f t="shared" si="94"/>
        <v>-3.1945062214053438E-2</v>
      </c>
      <c r="E26" s="14">
        <f>E13+E11</f>
        <v>-240.60413</v>
      </c>
      <c r="F26" s="22">
        <f t="shared" si="94"/>
        <v>-0.2392656516255848</v>
      </c>
      <c r="G26" s="14">
        <f>G13+G11</f>
        <v>-101.15666999999979</v>
      </c>
      <c r="H26" s="22">
        <f t="shared" ref="H26" si="229">IF(G$5=0,"N.D.",G26/G$5)</f>
        <v>-7.0595480054459264E-3</v>
      </c>
      <c r="I26" s="14">
        <f>I13+I11</f>
        <v>90.802510000000154</v>
      </c>
      <c r="J26" s="22">
        <f t="shared" ref="J26:L26" si="230">IF(I$5=0,"N.D.",I26/I$5)</f>
        <v>4.7901428127357912E-2</v>
      </c>
      <c r="K26" s="219">
        <f>K13+K11</f>
        <v>-795.09159000000386</v>
      </c>
      <c r="L26" s="22">
        <f t="shared" si="230"/>
        <v>-2.3205089832499314E-2</v>
      </c>
      <c r="N26" s="4" t="s">
        <v>22</v>
      </c>
      <c r="O26" s="220">
        <f>O13+O11</f>
        <v>780.12027999999918</v>
      </c>
      <c r="P26" s="22">
        <f t="shared" ref="P26:R26" si="231">IF(O$5=0,"N.D.",O26/O$5)</f>
        <v>3.1379077505112228E-2</v>
      </c>
      <c r="Q26" s="14">
        <f>Q13+Q11</f>
        <v>250.57790999999952</v>
      </c>
      <c r="R26" s="22">
        <f t="shared" si="231"/>
        <v>6.3642223365433598E-2</v>
      </c>
      <c r="S26" s="31">
        <f>S13+S11</f>
        <v>1682.5588500000038</v>
      </c>
      <c r="T26" s="22">
        <f t="shared" ref="T26:V26" si="232">IF(S$5=0,"N.D.",S26/S$5)</f>
        <v>6.0065404364476285E-2</v>
      </c>
      <c r="U26" s="14">
        <f>U13+U11</f>
        <v>266.38875999999976</v>
      </c>
      <c r="V26" s="22">
        <f t="shared" si="232"/>
        <v>8.3610664199252796E-2</v>
      </c>
      <c r="W26" s="31">
        <f>W13+W11</f>
        <v>75.367960000000011</v>
      </c>
      <c r="X26" s="22">
        <f t="shared" ref="X26:Z26" si="233">IF(W$5=0,"N.D.",W26/W$5)</f>
        <v>9.2281177645487517E-2</v>
      </c>
      <c r="Y26" s="14">
        <f>Y13+Y11</f>
        <v>82.832619999999991</v>
      </c>
      <c r="Z26" s="22">
        <f t="shared" si="233"/>
        <v>0.33671386121307462</v>
      </c>
      <c r="AA26" s="219">
        <f>AA13+AA11</f>
        <v>3137.8463799999904</v>
      </c>
      <c r="AB26" s="22">
        <f t="shared" ref="AB26" si="234">IF(AA$5=0,"N.D.",AA26/AA$5)</f>
        <v>6.6735222365726363E-2</v>
      </c>
      <c r="AC26" s="284"/>
      <c r="AE26" s="4" t="s">
        <v>22</v>
      </c>
      <c r="AF26" s="20">
        <f>AF13+AF11</f>
        <v>1355.4848699999984</v>
      </c>
      <c r="AG26" s="22">
        <f t="shared" ref="AG26:AI26" si="235">IF(AF$5=0,"N.D.",AF26/AF$5)</f>
        <v>4.677277494074137E-2</v>
      </c>
      <c r="AH26" s="20">
        <f>AH13+AH11</f>
        <v>-485.8995000000001</v>
      </c>
      <c r="AI26" s="22">
        <f t="shared" si="235"/>
        <v>-2.9611119082578023E-2</v>
      </c>
      <c r="AJ26" s="20">
        <f>AJ13+AJ11</f>
        <v>-3756.6690400000011</v>
      </c>
      <c r="AK26" s="22">
        <f t="shared" ref="AK26:AM26" si="236">IF(AJ$5=0,"N.D.",AJ26/AJ$5)</f>
        <v>-1.6144724068739855</v>
      </c>
      <c r="AL26" s="20">
        <f>AL13+AL11</f>
        <v>1216.1719950000002</v>
      </c>
      <c r="AM26" s="22">
        <f t="shared" si="236"/>
        <v>0.16930512112626833</v>
      </c>
      <c r="AN26" s="20">
        <f>AN13+AN11</f>
        <v>0</v>
      </c>
      <c r="AO26" s="22" t="str">
        <f t="shared" ref="AO26:AQ26" si="237">IF(AN$5=0,"N.D.",AN26/AN$5)</f>
        <v>N.D.</v>
      </c>
      <c r="AP26" s="20">
        <f>AP13+AP11</f>
        <v>136.8290100000001</v>
      </c>
      <c r="AQ26" s="22">
        <f t="shared" si="237"/>
        <v>7.5287252410827232E-2</v>
      </c>
      <c r="AR26" s="20">
        <f>AR13+AR11</f>
        <v>4719.1554499999966</v>
      </c>
      <c r="AS26" s="22">
        <f t="shared" ref="AS26:AU26" si="238">IF(AR$5=0,"N.D.",AR26/AR$5)</f>
        <v>5.8933269045311425E-2</v>
      </c>
      <c r="AT26" s="20">
        <f>AT13+AT11</f>
        <v>3185.0727849999944</v>
      </c>
      <c r="AU26" s="22">
        <f t="shared" si="238"/>
        <v>2.3283812913448582E-2</v>
      </c>
      <c r="AX26" s="4" t="s">
        <v>22</v>
      </c>
      <c r="AY26" s="14">
        <f>AY13+AY11</f>
        <v>2288.6195600000001</v>
      </c>
      <c r="AZ26" s="22">
        <f>IF(AY$5=0,"N.D.",AY26/AY$5)</f>
        <v>0.45473451458518788</v>
      </c>
      <c r="BA26" s="14">
        <f>BA13+BA11</f>
        <v>652.67029000000014</v>
      </c>
      <c r="BB26" s="22">
        <f>IF(BA$5=0,"N.D.",BA26/BA$5)</f>
        <v>0.32253818357301467</v>
      </c>
      <c r="BC26" s="20">
        <f>BC13+BC11</f>
        <v>2941.2898499999997</v>
      </c>
      <c r="BD26" s="22">
        <f>IF(BC$5=0,"N.D.",BC26/BC$5)</f>
        <v>0.41682501433065017</v>
      </c>
      <c r="BE26" s="226"/>
    </row>
    <row r="29" spans="1:85" x14ac:dyDescent="0.35">
      <c r="A29" t="s">
        <v>336</v>
      </c>
      <c r="B29" t="s">
        <v>280</v>
      </c>
      <c r="AE29" t="s">
        <v>295</v>
      </c>
    </row>
    <row r="30" spans="1:85" x14ac:dyDescent="0.35">
      <c r="B30" s="26"/>
      <c r="C30" s="2" t="s">
        <v>281</v>
      </c>
      <c r="D30" s="2"/>
      <c r="E30" s="2" t="s">
        <v>282</v>
      </c>
      <c r="F30" s="2"/>
      <c r="G30" s="2" t="s">
        <v>283</v>
      </c>
      <c r="H30" s="2"/>
      <c r="I30" s="2" t="s">
        <v>284</v>
      </c>
      <c r="J30" s="2"/>
      <c r="K30" s="2" t="s">
        <v>285</v>
      </c>
      <c r="L30" s="2"/>
      <c r="N30" t="s">
        <v>287</v>
      </c>
      <c r="P30" s="2"/>
      <c r="R30" s="2"/>
      <c r="T30" s="2"/>
      <c r="V30" s="2"/>
      <c r="X30" s="2"/>
      <c r="Z30" s="2"/>
      <c r="AB30" s="2"/>
      <c r="AC30" s="286"/>
      <c r="AE30" s="26"/>
      <c r="AF30" s="2" t="s">
        <v>297</v>
      </c>
      <c r="AG30" s="2"/>
      <c r="AH30" s="2" t="s">
        <v>298</v>
      </c>
      <c r="AI30" s="2"/>
      <c r="AJ30" s="2" t="s">
        <v>299</v>
      </c>
      <c r="AK30" s="2"/>
      <c r="AL30" s="2" t="s">
        <v>300</v>
      </c>
      <c r="AM30" s="2"/>
      <c r="AN30" s="2" t="s">
        <v>301</v>
      </c>
      <c r="AO30" s="2"/>
      <c r="AP30" s="2" t="s">
        <v>302</v>
      </c>
      <c r="AQ30" s="2"/>
      <c r="AR30" s="2" t="s">
        <v>303</v>
      </c>
      <c r="AS30" s="2"/>
      <c r="AT30" s="2" t="s">
        <v>285</v>
      </c>
      <c r="AU30" s="2"/>
      <c r="AX30" t="s">
        <v>304</v>
      </c>
      <c r="AZ30" s="2"/>
      <c r="BB30" s="2"/>
      <c r="BD30" s="2"/>
      <c r="BE30" s="2"/>
      <c r="BG30" t="s">
        <v>329</v>
      </c>
      <c r="BI30" s="2"/>
      <c r="BK30" s="2"/>
      <c r="BM30" s="2"/>
      <c r="BO30" s="2"/>
      <c r="BQ30" s="2"/>
      <c r="BS30" s="2"/>
      <c r="BU30" t="s">
        <v>330</v>
      </c>
      <c r="BW30" s="2"/>
      <c r="BY30" s="2"/>
      <c r="CA30" s="2"/>
      <c r="CC30" s="2"/>
      <c r="CE30" s="2"/>
      <c r="CG30" s="2"/>
    </row>
    <row r="31" spans="1:85" x14ac:dyDescent="0.35">
      <c r="B31" s="7" t="s">
        <v>286</v>
      </c>
      <c r="C31" s="8">
        <f>ajustes!B16</f>
        <v>0</v>
      </c>
      <c r="D31" s="208"/>
      <c r="E31" s="8">
        <f>+ajustes!C16</f>
        <v>0</v>
      </c>
      <c r="F31" s="208"/>
      <c r="G31" s="8">
        <f>+ajustes!D16</f>
        <v>0</v>
      </c>
      <c r="H31" s="208"/>
      <c r="I31" s="8">
        <f>+ajustes!E16</f>
        <v>0</v>
      </c>
      <c r="J31" s="208"/>
      <c r="K31" s="8"/>
      <c r="L31" s="208"/>
      <c r="N31" s="26"/>
      <c r="O31" s="2" t="s">
        <v>289</v>
      </c>
      <c r="P31" s="30"/>
      <c r="Q31" s="2" t="s">
        <v>290</v>
      </c>
      <c r="R31" s="30"/>
      <c r="S31" s="2" t="s">
        <v>291</v>
      </c>
      <c r="T31" s="30"/>
      <c r="U31" s="2" t="s">
        <v>292</v>
      </c>
      <c r="V31" s="30"/>
      <c r="W31" s="2" t="s">
        <v>293</v>
      </c>
      <c r="X31" s="30"/>
      <c r="Y31" s="2" t="s">
        <v>294</v>
      </c>
      <c r="Z31" s="30"/>
      <c r="AA31" s="2" t="s">
        <v>285</v>
      </c>
      <c r="AB31" s="30"/>
      <c r="AC31" s="283"/>
      <c r="AE31" s="7" t="s">
        <v>296</v>
      </c>
      <c r="AF31" s="208">
        <f>+ajustes!L16</f>
        <v>0</v>
      </c>
      <c r="AG31" s="208"/>
      <c r="AH31" s="208">
        <f>+ajustes!M16</f>
        <v>0</v>
      </c>
      <c r="AI31" s="208"/>
      <c r="AJ31" s="208">
        <f>+ajustes!N16</f>
        <v>0</v>
      </c>
      <c r="AK31" s="208"/>
      <c r="AL31" s="208">
        <f>+ajustes!O16</f>
        <v>0</v>
      </c>
      <c r="AM31" s="208"/>
      <c r="AN31" s="208">
        <f>ajustes!P16</f>
        <v>0</v>
      </c>
      <c r="AO31" s="208"/>
      <c r="AP31" s="208">
        <f>+ajustes!Q16</f>
        <v>0</v>
      </c>
      <c r="AQ31" s="208"/>
      <c r="AR31" s="208">
        <f>+ajustes!R16</f>
        <v>0</v>
      </c>
      <c r="AS31" s="208"/>
      <c r="AT31" s="208"/>
      <c r="AU31" s="208"/>
      <c r="AX31" s="26"/>
      <c r="AY31" s="2" t="s">
        <v>305</v>
      </c>
      <c r="AZ31" s="30"/>
      <c r="BA31" s="2" t="s">
        <v>306</v>
      </c>
      <c r="BB31" s="30"/>
      <c r="BC31" s="2" t="s">
        <v>285</v>
      </c>
      <c r="BD31" s="30"/>
      <c r="BE31" s="30"/>
      <c r="BG31" s="26"/>
      <c r="BH31" s="2" t="s">
        <v>324</v>
      </c>
      <c r="BI31" s="30"/>
      <c r="BJ31" s="2" t="s">
        <v>325</v>
      </c>
      <c r="BK31" s="30"/>
      <c r="BL31" s="2" t="s">
        <v>326</v>
      </c>
      <c r="BM31" s="30"/>
      <c r="BN31" s="2" t="s">
        <v>327</v>
      </c>
      <c r="BO31" s="30"/>
      <c r="BP31" s="2" t="s">
        <v>328</v>
      </c>
      <c r="BQ31" s="30"/>
      <c r="BR31" s="2" t="s">
        <v>285</v>
      </c>
      <c r="BS31" s="30"/>
      <c r="BU31" s="26"/>
      <c r="BV31" s="2" t="s">
        <v>331</v>
      </c>
      <c r="BW31" s="30"/>
      <c r="BX31" s="2" t="s">
        <v>332</v>
      </c>
      <c r="BY31" s="30"/>
      <c r="BZ31" s="2" t="s">
        <v>333</v>
      </c>
      <c r="CA31" s="30"/>
      <c r="CB31" s="2" t="s">
        <v>334</v>
      </c>
      <c r="CC31" s="30"/>
      <c r="CD31" s="2" t="s">
        <v>335</v>
      </c>
      <c r="CE31" s="30"/>
      <c r="CF31" s="2" t="s">
        <v>285</v>
      </c>
      <c r="CG31" s="30"/>
    </row>
    <row r="32" spans="1:85" x14ac:dyDescent="0.35">
      <c r="B32" s="7" t="s">
        <v>5</v>
      </c>
      <c r="C32" s="199">
        <f>'600'!$D158/1000+'600'!D169/1000+ajustes!B17</f>
        <v>164806.27818999998</v>
      </c>
      <c r="D32" s="224">
        <f>IF(C$32=0,"N.D.",C32/C$32)</f>
        <v>1</v>
      </c>
      <c r="E32" s="8">
        <f>'600'!$D136/1000+ajustes!C17</f>
        <v>11085.050510000001</v>
      </c>
      <c r="F32" s="224">
        <f>IF(E$32=0,"N.D.",E32/E$32)</f>
        <v>1</v>
      </c>
      <c r="G32" s="200">
        <f>'600'!$D202/1000+ajustes!D17</f>
        <v>83964.208060000004</v>
      </c>
      <c r="H32" s="224">
        <f>IF(G$32=0,"N.D.",G32/G$32)</f>
        <v>1</v>
      </c>
      <c r="I32" s="8">
        <f>'600'!$D180/1000+ajustes!E17</f>
        <v>11935.589029999999</v>
      </c>
      <c r="J32" s="224">
        <f>IF(I$32=0,"N.D.",I32/I$32)</f>
        <v>1</v>
      </c>
      <c r="K32" s="209">
        <f>SUM(C32,E32,G32,I32)</f>
        <v>271791.12578999996</v>
      </c>
      <c r="L32" s="224">
        <f>IF(K$32=0,"N.D.",K32/K$32)</f>
        <v>1</v>
      </c>
      <c r="N32" s="7" t="s">
        <v>5</v>
      </c>
      <c r="O32" s="199">
        <f>'600'!$D4/1000+ajustes!F17</f>
        <v>250419.67162000001</v>
      </c>
      <c r="P32" s="225">
        <f>IF(O$32=0,"N.D.",O32/O$32)</f>
        <v>1</v>
      </c>
      <c r="Q32" s="8">
        <f>'600'!$D26/1000+ajustes!G17</f>
        <v>41010.145700000001</v>
      </c>
      <c r="R32" s="225">
        <f>IF(Q$32=0,"N.D.",Q32/Q$32)</f>
        <v>1</v>
      </c>
      <c r="S32" s="200">
        <f>'600'!$D48/1000+ajustes!H17</f>
        <v>253036.64990000002</v>
      </c>
      <c r="T32" s="225">
        <f>IF(S$32=0,"N.D.",S32/S$32)</f>
        <v>1</v>
      </c>
      <c r="U32" s="8">
        <f>'600'!$D70/1000+ajustes!I17</f>
        <v>28674.558000000001</v>
      </c>
      <c r="V32" s="225">
        <f>IF(U$32=0,"N.D.",U32/U$32)</f>
        <v>1</v>
      </c>
      <c r="W32" s="200">
        <f>'600'!$D92/1000+ajustes!J17</f>
        <v>5136.6107899999997</v>
      </c>
      <c r="X32" s="225">
        <f>IF(W$32=0,"N.D.",W32/W$32)</f>
        <v>1</v>
      </c>
      <c r="Y32" s="199">
        <f>'600'!$D114/1000+ajustes!K17</f>
        <v>2214.027</v>
      </c>
      <c r="Z32" s="225">
        <f>IF(Y$32=0,"N.D.",Y32/Y$32)</f>
        <v>1</v>
      </c>
      <c r="AA32" s="8">
        <f>SUM(O32,Q32,S32,U32,W32,Y32)-AC32</f>
        <v>451907.08010999986</v>
      </c>
      <c r="AB32" s="225">
        <f>IF(AA$32=0,"N.D.",AA32/AA$32)</f>
        <v>1</v>
      </c>
      <c r="AC32" s="284">
        <f>('612'!D2+'612'!D4+'612'!D6+'612'!D8+'612'!D10)/1000</f>
        <v>128584.58290000001</v>
      </c>
      <c r="AE32" s="7" t="s">
        <v>5</v>
      </c>
      <c r="AF32" s="11">
        <f>'600'!$D290/1000+ajustes!L17</f>
        <v>258786.86502</v>
      </c>
      <c r="AG32" s="224">
        <f>IF(AF$32=0,"N.D.",AF32/AF$32)</f>
        <v>1</v>
      </c>
      <c r="AH32" s="11">
        <f>'600'!$D312/1000+ajustes!M17</f>
        <v>190390.12914999999</v>
      </c>
      <c r="AI32" s="224">
        <f>IF(AH$32=0,"N.D.",AH32/AH$32)</f>
        <v>1</v>
      </c>
      <c r="AJ32" s="11">
        <f>'600'!$D356/1000+ajustes!N17</f>
        <v>42242.76352</v>
      </c>
      <c r="AK32" s="224">
        <f>IF(AJ$32=0,"N.D.",AJ32/AJ$32)</f>
        <v>1</v>
      </c>
      <c r="AL32" s="11">
        <f>'600'!$D334/2000+ajustes!O17</f>
        <v>71249.332510000007</v>
      </c>
      <c r="AM32" s="224">
        <f>IF(AL$32=0,"N.D.",AL32/AL$32)</f>
        <v>1</v>
      </c>
      <c r="AN32" s="11">
        <f>ajustes!P17</f>
        <v>0</v>
      </c>
      <c r="AO32" s="224" t="str">
        <f>IF(AN$32=0,"N.D.",AN32/AN$32)</f>
        <v>N.D.</v>
      </c>
      <c r="AP32" s="11">
        <f>'600'!$D400/1000+ajustes!Q17</f>
        <v>18856.404149999998</v>
      </c>
      <c r="AQ32" s="224">
        <f>IF(AP$32=0,"N.D.",AP32/AP$32)</f>
        <v>1</v>
      </c>
      <c r="AR32" s="11">
        <f>'600'!$D378/1000+ajustes!R17</f>
        <v>648621.66042999993</v>
      </c>
      <c r="AS32" s="224">
        <f>IF(AR$32=0,"N.D.",AR32/AR$32)</f>
        <v>1</v>
      </c>
      <c r="AT32" s="11">
        <f>SUM(AF32,AH32,AJ32,AL32,AP32,AR32)</f>
        <v>1230147.15478</v>
      </c>
      <c r="AU32" s="224">
        <f>IF(AT$32=0,"N.D.",AT32/AT$32)</f>
        <v>1</v>
      </c>
      <c r="AX32" s="7" t="s">
        <v>5</v>
      </c>
      <c r="AY32" s="8">
        <f>'600'!$D444/1000+ajustes!S17</f>
        <v>28373.514780000001</v>
      </c>
      <c r="AZ32" s="225">
        <f>IF(AY$32=0,"N.D.",AY32/AY$32)</f>
        <v>1</v>
      </c>
      <c r="BA32" s="200">
        <f>'600'!$D422/1000+ajustes!T17</f>
        <v>14127.49955</v>
      </c>
      <c r="BB32" s="225">
        <f>IF(BA$32=0,"N.D.",BA32/BA$32)</f>
        <v>1</v>
      </c>
      <c r="BC32" s="8">
        <f>SUM(AY32,BA32)</f>
        <v>42501.014330000005</v>
      </c>
      <c r="BD32" s="225">
        <f>IF(BC$32=0,"N.D.",BC32/BC$32)</f>
        <v>1</v>
      </c>
      <c r="BE32" s="192"/>
      <c r="BG32" s="7" t="s">
        <v>307</v>
      </c>
      <c r="BH32" s="199">
        <f>'600'!$D$668/1000+ajustes!U17</f>
        <v>6195.01955</v>
      </c>
      <c r="BI32" s="225">
        <f>IF(BH$32=0,"N.D.",BH32/BH$32)</f>
        <v>1</v>
      </c>
      <c r="BJ32" s="199">
        <f>'600'!$D466/1000+ajustes!V17</f>
        <v>2604.2699600000001</v>
      </c>
      <c r="BK32" s="225">
        <f>IF(BJ$32=0,"N.D.",BJ32/BJ$32)</f>
        <v>1</v>
      </c>
      <c r="BL32" s="8">
        <f>'600'!$D489/1000+ajustes!W17</f>
        <v>5576.89995</v>
      </c>
      <c r="BM32" s="225">
        <f>IF(BL$32=0,"N.D.",BL32/BL$32)</f>
        <v>1</v>
      </c>
      <c r="BN32" s="200">
        <f>'600'!$D556/1000+ajustes!X17</f>
        <v>2086.8625400000001</v>
      </c>
      <c r="BO32" s="225">
        <f>IF(BN$32=0,"N.D.",BN32/BN$32)</f>
        <v>1</v>
      </c>
      <c r="BP32" s="8">
        <f>'600'!$D601/1000+ajustes!Y17</f>
        <v>2746.2346499999999</v>
      </c>
      <c r="BQ32" s="225">
        <f>IF(BP$32=0,"N.D.",BP32/BP$32)</f>
        <v>1</v>
      </c>
      <c r="BR32" s="209">
        <f>SUM(BJ32,BL32,BN32,BP32)+BH32</f>
        <v>19209.286650000002</v>
      </c>
      <c r="BS32" s="225">
        <f>IF(BR$32=0,"N.D.",BR32/BR$32)</f>
        <v>1</v>
      </c>
      <c r="BU32" s="7" t="s">
        <v>307</v>
      </c>
      <c r="BV32" s="199">
        <f>'600'!$D512/1000-SUM(BX32,BZ32,CB32,CD32)+ajustes!Z17</f>
        <v>508.98054999999999</v>
      </c>
      <c r="BW32" s="225">
        <f>IF(BV$32=0,"N.D.",BV32/BV$32)</f>
        <v>1</v>
      </c>
      <c r="BX32" s="8">
        <f>'600'!$D579/1000+ajustes!AA17</f>
        <v>297.10946000000001</v>
      </c>
      <c r="BY32" s="225">
        <f>IF(BX$32=0,"N.D.",BX32/BX$32)</f>
        <v>1</v>
      </c>
      <c r="BZ32" s="200">
        <f>'600'!$D624/1000+ajustes!AB17</f>
        <v>228.40710000000001</v>
      </c>
      <c r="CA32" s="225">
        <f>IF(BZ$32=0,"N.D.",BZ32/BZ$32)</f>
        <v>1</v>
      </c>
      <c r="CB32" s="8">
        <f>'600'!$D534/1000+ajustes!AC17</f>
        <v>56.7</v>
      </c>
      <c r="CC32" s="225">
        <f>IF(CB$32=0,"N.D.",CB32/CB$32)</f>
        <v>1</v>
      </c>
      <c r="CD32" s="209">
        <f>'600'!$D646/1000+ajustes!AD17</f>
        <v>22.5</v>
      </c>
      <c r="CE32" s="225">
        <f>IF(CD$32=0,"N.D.",CD32/CD$32)</f>
        <v>1</v>
      </c>
      <c r="CF32" s="209">
        <f>SUM(BV32,BX32,BZ32,CB32,CD32)</f>
        <v>1113.6971100000001</v>
      </c>
      <c r="CG32" s="225">
        <f>IF(CF$32=0,"N.D.",CF32/CF$32)</f>
        <v>1</v>
      </c>
    </row>
    <row r="33" spans="2:85" x14ac:dyDescent="0.35">
      <c r="B33" s="7" t="s">
        <v>6</v>
      </c>
      <c r="C33" s="201">
        <f>'600'!$D159/1000+ajustes!B18</f>
        <v>138832.43025</v>
      </c>
      <c r="D33" s="224">
        <f t="shared" ref="D33:F34" si="239">IF(C$32=0,"N.D.",C33/C$32)</f>
        <v>0.84239770338084119</v>
      </c>
      <c r="E33" s="34">
        <f>'600'!$D137/1000+ajustes!C18</f>
        <v>5322.88213</v>
      </c>
      <c r="F33" s="224">
        <f t="shared" si="239"/>
        <v>0.48018564509003753</v>
      </c>
      <c r="G33" s="202">
        <f>'600'!$D203/1000+ajustes!D18</f>
        <v>72487.630769999989</v>
      </c>
      <c r="H33" s="224">
        <f t="shared" ref="H33" si="240">IF(G$32=0,"N.D.",G33/G$32)</f>
        <v>0.8633158395086753</v>
      </c>
      <c r="I33" s="34">
        <f>'600'!$D181/1000+ajustes!E18</f>
        <v>9977.0232200000009</v>
      </c>
      <c r="J33" s="224">
        <f t="shared" ref="J33:L33" si="241">IF(I$32=0,"N.D.",I33/I$32)</f>
        <v>0.8359053914241551</v>
      </c>
      <c r="K33" s="212">
        <f>SUM(C33,E33,G33,I33)</f>
        <v>226619.96637000001</v>
      </c>
      <c r="L33" s="224">
        <f t="shared" si="241"/>
        <v>0.83380193415548987</v>
      </c>
      <c r="N33" s="7" t="s">
        <v>6</v>
      </c>
      <c r="O33" s="201">
        <f>'600'!$D5/1000+ajustes!F18</f>
        <v>91363.673620000001</v>
      </c>
      <c r="P33" s="224">
        <f t="shared" ref="P33:R33" si="242">IF(O$32=0,"N.D.",O33/O$32)</f>
        <v>0.36484223874648336</v>
      </c>
      <c r="Q33" s="34">
        <f>'600'!$D27/1000+ajustes!G18</f>
        <v>25044.190079999997</v>
      </c>
      <c r="R33" s="224">
        <f t="shared" si="242"/>
        <v>0.61068278721087299</v>
      </c>
      <c r="S33" s="202">
        <f>'600'!$D49/1000+ajustes!H18</f>
        <v>206344.37628</v>
      </c>
      <c r="T33" s="224">
        <f t="shared" ref="T33:V33" si="243">IF(S$32=0,"N.D.",S33/S$32)</f>
        <v>0.81547228973173336</v>
      </c>
      <c r="U33" s="34">
        <f>'600'!$D71/1000+ajustes!I18</f>
        <v>0</v>
      </c>
      <c r="V33" s="224">
        <f t="shared" si="243"/>
        <v>0</v>
      </c>
      <c r="W33" s="202">
        <f>'600'!$D93/1000+ajustes!J18</f>
        <v>3272.9426200000003</v>
      </c>
      <c r="X33" s="224">
        <f t="shared" ref="X33:Z33" si="244">IF(W$32=0,"N.D.",W33/W$32)</f>
        <v>0.63717940755250413</v>
      </c>
      <c r="Y33" s="201">
        <f>'600'!$D115/1000+ajustes!K18</f>
        <v>0</v>
      </c>
      <c r="Z33" s="224">
        <f t="shared" si="244"/>
        <v>0</v>
      </c>
      <c r="AA33" s="34">
        <f>SUM(O33,Q33,S33,U33,W33,Y33)-AC33</f>
        <v>241209.68238000001</v>
      </c>
      <c r="AB33" s="224">
        <f t="shared" ref="AB33" si="245">IF(AA$32=0,"N.D.",AA33/AA$32)</f>
        <v>0.5337594673694569</v>
      </c>
      <c r="AC33" s="284">
        <f>'612'!D4/1000</f>
        <v>84815.500220000002</v>
      </c>
      <c r="AE33" s="7" t="s">
        <v>6</v>
      </c>
      <c r="AF33" s="34">
        <f>'600'!$D291/1000+ajustes!L18</f>
        <v>189150.17621000001</v>
      </c>
      <c r="AG33" s="224">
        <f>IF(AF$32=0,"N.D.",AF33/AF$32)</f>
        <v>0.73091103829934256</v>
      </c>
      <c r="AH33" s="34">
        <f>'600'!$D313/1000+ajustes!M18</f>
        <v>117019.91851</v>
      </c>
      <c r="AI33" s="224">
        <f>IF(AH$32=0,"N.D.",AH33/AH$32)</f>
        <v>0.61463227653890173</v>
      </c>
      <c r="AJ33" s="34">
        <f>'600'!$D357/1000+ajustes!N18</f>
        <v>28032.342960000002</v>
      </c>
      <c r="AK33" s="224">
        <f>IF(AJ$32=0,"N.D.",AJ33/AJ$32)</f>
        <v>0.66360106735744173</v>
      </c>
      <c r="AL33" s="34">
        <f>'600'!$D335/2000+ajustes!O18</f>
        <v>39504.276554999997</v>
      </c>
      <c r="AM33" s="224">
        <f>IF(AL$32=0,"N.D.",AL33/AL$32)</f>
        <v>0.55445118099114099</v>
      </c>
      <c r="AN33" s="34">
        <f>ajustes!P18</f>
        <v>0</v>
      </c>
      <c r="AO33" s="224" t="str">
        <f>IF(AN$32=0,"N.D.",AN33/AN$32)</f>
        <v>N.D.</v>
      </c>
      <c r="AP33" s="34">
        <f>'600'!$D401/1000+ajustes!Q18</f>
        <v>10564.811230000001</v>
      </c>
      <c r="AQ33" s="224">
        <f>IF(AP$32=0,"N.D.",AP33/AP$32)</f>
        <v>0.56027708920313957</v>
      </c>
      <c r="AR33" s="34">
        <f>'600'!$D379/1000+ajustes!R18</f>
        <v>572487.67903999996</v>
      </c>
      <c r="AS33" s="224">
        <f>IF(AR$32=0,"N.D.",AR33/AR$32)</f>
        <v>0.88262189495872312</v>
      </c>
      <c r="AT33" s="34">
        <f>SUM(AF33,AH33,AJ33,AL33,AP33,AR33)</f>
        <v>956759.20450499991</v>
      </c>
      <c r="AU33" s="224">
        <f>IF(AT$32=0,"N.D.",AT33/AT$32)</f>
        <v>0.77775996212104159</v>
      </c>
      <c r="AX33" s="7" t="s">
        <v>6</v>
      </c>
      <c r="AY33" s="34">
        <f>'600'!$D445/1000+ajustes!S18</f>
        <v>14133.457769999999</v>
      </c>
      <c r="AZ33" s="224">
        <f>IF(AY$32=0,"N.D.",AY33/AY$32)</f>
        <v>0.49812150096971519</v>
      </c>
      <c r="BA33" s="202">
        <f>'600'!$D423/1000+ajustes!T18</f>
        <v>10554.780550000001</v>
      </c>
      <c r="BB33" s="224">
        <f>IF(BA$32=0,"N.D.",BA33/BA$32)</f>
        <v>0.74710889302417294</v>
      </c>
      <c r="BC33" s="34">
        <f>SUM(AY33,BA33)</f>
        <v>24688.23832</v>
      </c>
      <c r="BD33" s="224">
        <f>IF(BC$32=0,"N.D.",BC33/BC$32)</f>
        <v>0.58088586141280452</v>
      </c>
      <c r="BE33" s="192"/>
      <c r="BG33" s="7" t="s">
        <v>308</v>
      </c>
      <c r="BH33" s="201">
        <f>'600'!$D$669/1000+ajustes!U18</f>
        <v>2292.9579399999998</v>
      </c>
      <c r="BI33" s="224">
        <f t="shared" ref="BI33:BK34" si="246">IF(BH$32=0,"N.D.",BH33/BH$32)</f>
        <v>0.37012925003602287</v>
      </c>
      <c r="BJ33" s="201">
        <f>'600'!$D467/1000+ajustes!V18</f>
        <v>869.74320999999998</v>
      </c>
      <c r="BK33" s="224">
        <f t="shared" si="246"/>
        <v>0.33396814591372087</v>
      </c>
      <c r="BL33" s="34">
        <f>'600'!$D490/1000+ajustes!W18</f>
        <v>1854.8453300000001</v>
      </c>
      <c r="BM33" s="224">
        <f t="shared" ref="BM33:BO33" si="247">IF(BL$32=0,"N.D.",BL33/BL$32)</f>
        <v>0.33259433495843871</v>
      </c>
      <c r="BN33" s="202">
        <f>'600'!$D557/1000+ajustes!X18</f>
        <v>727.40724</v>
      </c>
      <c r="BO33" s="224">
        <f t="shared" si="247"/>
        <v>0.34856499939857083</v>
      </c>
      <c r="BP33" s="34">
        <f>'600'!$D602/1000+ajustes!Y18</f>
        <v>897.25520999999992</v>
      </c>
      <c r="BQ33" s="224">
        <f t="shared" ref="BQ33:BS33" si="248">IF(BP$32=0,"N.D.",BP33/BP$32)</f>
        <v>0.32672197548741871</v>
      </c>
      <c r="BR33" s="212">
        <f>SUM(BJ33,BL33,BN33,BP33)+BH33</f>
        <v>6642.2089300000007</v>
      </c>
      <c r="BS33" s="224">
        <f t="shared" si="248"/>
        <v>0.34578113445977443</v>
      </c>
      <c r="BU33" s="7" t="s">
        <v>308</v>
      </c>
      <c r="BV33" s="201">
        <f>'600'!$D513/1000-SUM(BX33,BZ33,CB33,CD33)+ajustes!Z18</f>
        <v>0</v>
      </c>
      <c r="BW33" s="224">
        <f t="shared" ref="BW33:BY33" si="249">IF(BV$32=0,"N.D.",BV33/BV$32)</f>
        <v>0</v>
      </c>
      <c r="BX33" s="34">
        <f>'600'!$D580/1000+ajustes!AA18</f>
        <v>0</v>
      </c>
      <c r="BY33" s="224">
        <f t="shared" si="249"/>
        <v>0</v>
      </c>
      <c r="BZ33" s="202">
        <f>'600'!$D625/1000+ajustes!AB18</f>
        <v>0</v>
      </c>
      <c r="CA33" s="224">
        <f t="shared" ref="CA33:CC33" si="250">IF(BZ$32=0,"N.D.",BZ33/BZ$32)</f>
        <v>0</v>
      </c>
      <c r="CB33" s="34">
        <f>'600'!$D535/1000+ajustes!AC18</f>
        <v>0</v>
      </c>
      <c r="CC33" s="224">
        <f t="shared" si="250"/>
        <v>0</v>
      </c>
      <c r="CD33" s="212">
        <f>'600'!$D647/1000+ajustes!AD18</f>
        <v>0</v>
      </c>
      <c r="CE33" s="224">
        <f t="shared" ref="CE33:CG33" si="251">IF(CD$32=0,"N.D.",CD33/CD$32)</f>
        <v>0</v>
      </c>
      <c r="CF33" s="212">
        <f>SUM(BV33,BX33,BZ33,CB33,CD33)</f>
        <v>0</v>
      </c>
      <c r="CG33" s="224">
        <f t="shared" si="251"/>
        <v>0</v>
      </c>
    </row>
    <row r="34" spans="2:85" x14ac:dyDescent="0.35">
      <c r="B34" s="4" t="s">
        <v>7</v>
      </c>
      <c r="C34" s="217">
        <f>C32-C33</f>
        <v>25973.847939999978</v>
      </c>
      <c r="D34" s="22">
        <f t="shared" si="239"/>
        <v>0.15760229661915878</v>
      </c>
      <c r="E34" s="205">
        <f>E32-E33</f>
        <v>5762.168380000001</v>
      </c>
      <c r="F34" s="22">
        <f t="shared" si="239"/>
        <v>0.51981435490996242</v>
      </c>
      <c r="G34" s="214">
        <f>G32-G33</f>
        <v>11476.577290000016</v>
      </c>
      <c r="H34" s="22">
        <f t="shared" ref="H34" si="252">IF(G$32=0,"N.D.",G34/G$32)</f>
        <v>0.13668416049132465</v>
      </c>
      <c r="I34" s="205">
        <f>I32-I33</f>
        <v>1958.5658099999982</v>
      </c>
      <c r="J34" s="22">
        <f t="shared" ref="J34:L34" si="253">IF(I$32=0,"N.D.",I34/I$32)</f>
        <v>0.1640946085758449</v>
      </c>
      <c r="K34" s="215">
        <f>K32-K33</f>
        <v>45171.159419999953</v>
      </c>
      <c r="L34" s="22">
        <f t="shared" si="253"/>
        <v>0.16619806584451013</v>
      </c>
      <c r="N34" s="4" t="s">
        <v>7</v>
      </c>
      <c r="O34" s="221">
        <f>O32-O33</f>
        <v>159055.99800000002</v>
      </c>
      <c r="P34" s="22">
        <f t="shared" ref="P34:R34" si="254">IF(O$32=0,"N.D.",O34/O$32)</f>
        <v>0.63515776125351675</v>
      </c>
      <c r="Q34" s="213">
        <f>Q32-Q33</f>
        <v>15965.955620000004</v>
      </c>
      <c r="R34" s="22">
        <f t="shared" si="254"/>
        <v>0.38931721278912707</v>
      </c>
      <c r="S34" s="207">
        <f>S32-S33</f>
        <v>46692.273620000022</v>
      </c>
      <c r="T34" s="22">
        <f t="shared" ref="T34:V34" si="255">IF(S$32=0,"N.D.",S34/S$32)</f>
        <v>0.18452771026826664</v>
      </c>
      <c r="U34" s="213">
        <f>U32-U33</f>
        <v>28674.558000000001</v>
      </c>
      <c r="V34" s="22">
        <f t="shared" si="255"/>
        <v>1</v>
      </c>
      <c r="W34" s="207">
        <f>W32-W33</f>
        <v>1863.6681699999995</v>
      </c>
      <c r="X34" s="22">
        <f t="shared" ref="X34:Z34" si="256">IF(W$32=0,"N.D.",W34/W$32)</f>
        <v>0.36282059244749582</v>
      </c>
      <c r="Y34" s="213">
        <f>Y32-Y33</f>
        <v>2214.027</v>
      </c>
      <c r="Z34" s="22">
        <f t="shared" si="256"/>
        <v>1</v>
      </c>
      <c r="AA34" s="218">
        <f>AA32-AA33</f>
        <v>210697.39772999985</v>
      </c>
      <c r="AB34" s="22">
        <f t="shared" ref="AB34" si="257">IF(AA$32=0,"N.D.",AA34/AA$32)</f>
        <v>0.4662405326305431</v>
      </c>
      <c r="AC34" s="285"/>
      <c r="AE34" s="4" t="s">
        <v>7</v>
      </c>
      <c r="AF34" s="20">
        <f>AF32-AF33</f>
        <v>69636.688809999992</v>
      </c>
      <c r="AG34" s="22">
        <f t="shared" ref="AG34:AI34" si="258">IF(AF$32=0,"N.D.",AF34/AF$32)</f>
        <v>0.26908896170065749</v>
      </c>
      <c r="AH34" s="20">
        <f>AH32-AH33</f>
        <v>73370.21063999999</v>
      </c>
      <c r="AI34" s="22">
        <f t="shared" si="258"/>
        <v>0.38536772346109832</v>
      </c>
      <c r="AJ34" s="20">
        <f>AJ32-AJ33</f>
        <v>14210.420559999999</v>
      </c>
      <c r="AK34" s="22">
        <f t="shared" ref="AK34:AM34" si="259">IF(AJ$32=0,"N.D.",AJ34/AJ$32)</f>
        <v>0.33639893264255827</v>
      </c>
      <c r="AL34" s="20">
        <f>AL32-AL33</f>
        <v>31745.055955000011</v>
      </c>
      <c r="AM34" s="22">
        <f t="shared" si="259"/>
        <v>0.44554881900885906</v>
      </c>
      <c r="AN34" s="20">
        <f>AN32-AN33</f>
        <v>0</v>
      </c>
      <c r="AO34" s="22" t="str">
        <f t="shared" ref="AO34:AQ34" si="260">IF(AN$32=0,"N.D.",AN34/AN$32)</f>
        <v>N.D.</v>
      </c>
      <c r="AP34" s="20">
        <f>AP32-AP33</f>
        <v>8291.5929199999973</v>
      </c>
      <c r="AQ34" s="22">
        <f t="shared" si="260"/>
        <v>0.43972291079686038</v>
      </c>
      <c r="AR34" s="20">
        <f>AR32-AR33</f>
        <v>76133.981389999972</v>
      </c>
      <c r="AS34" s="22">
        <f t="shared" ref="AS34:AU34" si="261">IF(AR$32=0,"N.D.",AR34/AR$32)</f>
        <v>0.11737810504127691</v>
      </c>
      <c r="AT34" s="20">
        <f>AT32-AT33</f>
        <v>273387.95027500007</v>
      </c>
      <c r="AU34" s="22">
        <f t="shared" si="261"/>
        <v>0.22224003787895838</v>
      </c>
      <c r="AX34" s="4" t="s">
        <v>7</v>
      </c>
      <c r="AY34" s="20">
        <f>AY32-AY33</f>
        <v>14240.057010000002</v>
      </c>
      <c r="AZ34" s="22">
        <f>IF(AY$32=0,"N.D.",AY34/AY$32)</f>
        <v>0.50187849903028481</v>
      </c>
      <c r="BA34" s="20">
        <f>BA32-BA33</f>
        <v>3572.7189999999991</v>
      </c>
      <c r="BB34" s="22">
        <f>IF(BA$32=0,"N.D.",BA34/BA$32)</f>
        <v>0.25289110697582706</v>
      </c>
      <c r="BC34" s="20">
        <f>BC32-BC33</f>
        <v>17812.776010000005</v>
      </c>
      <c r="BD34" s="22">
        <f>IF(BC$32=0,"N.D.",BC34/BC$32)</f>
        <v>0.41911413858719554</v>
      </c>
      <c r="BE34" s="226"/>
      <c r="BG34" s="4" t="s">
        <v>309</v>
      </c>
      <c r="BH34" s="14">
        <f>BH32-BH33</f>
        <v>3902.0616100000002</v>
      </c>
      <c r="BI34" s="22">
        <f>IF(BH$32=0,"N.D.",BH34/BH$32)</f>
        <v>0.62987074996397718</v>
      </c>
      <c r="BJ34" s="20">
        <f>BJ32-BJ33</f>
        <v>1734.52675</v>
      </c>
      <c r="BK34" s="22">
        <f t="shared" si="246"/>
        <v>0.66603185408627907</v>
      </c>
      <c r="BL34" s="20">
        <f>BL32-BL33</f>
        <v>3722.0546199999999</v>
      </c>
      <c r="BM34" s="22">
        <f t="shared" ref="BM34:BO34" si="262">IF(BL$32=0,"N.D.",BL34/BL$32)</f>
        <v>0.66740566504156129</v>
      </c>
      <c r="BN34" s="20">
        <f>BN32-BN33</f>
        <v>1359.4553000000001</v>
      </c>
      <c r="BO34" s="22">
        <f t="shared" si="262"/>
        <v>0.65143500060142923</v>
      </c>
      <c r="BP34" s="20">
        <f>BP32-BP33</f>
        <v>1848.9794400000001</v>
      </c>
      <c r="BQ34" s="22">
        <f t="shared" ref="BQ34:BS34" si="263">IF(BP$32=0,"N.D.",BP34/BP$32)</f>
        <v>0.67327802451258134</v>
      </c>
      <c r="BR34" s="14">
        <f>BR32-BR33</f>
        <v>12567.077720000001</v>
      </c>
      <c r="BS34" s="22">
        <f t="shared" si="263"/>
        <v>0.65421886554022557</v>
      </c>
      <c r="BU34" s="4" t="s">
        <v>309</v>
      </c>
      <c r="BV34" s="20">
        <f>BV32-BV33</f>
        <v>508.98054999999999</v>
      </c>
      <c r="BW34" s="22">
        <f t="shared" ref="BW34:BY34" si="264">IF(BV$32=0,"N.D.",BV34/BV$32)</f>
        <v>1</v>
      </c>
      <c r="BX34" s="20">
        <f>BX32-BX33</f>
        <v>297.10946000000001</v>
      </c>
      <c r="BY34" s="22">
        <f t="shared" si="264"/>
        <v>1</v>
      </c>
      <c r="BZ34" s="20">
        <f>BZ32-BZ33</f>
        <v>228.40710000000001</v>
      </c>
      <c r="CA34" s="22">
        <f t="shared" ref="CA34:CC34" si="265">IF(BZ$32=0,"N.D.",BZ34/BZ$32)</f>
        <v>1</v>
      </c>
      <c r="CB34" s="20">
        <f>CB32-CB33</f>
        <v>56.7</v>
      </c>
      <c r="CC34" s="22">
        <f t="shared" si="265"/>
        <v>1</v>
      </c>
      <c r="CD34" s="20">
        <f>CD32-CD33</f>
        <v>22.5</v>
      </c>
      <c r="CE34" s="22">
        <f t="shared" ref="CE34:CG34" si="266">IF(CD$32=0,"N.D.",CD34/CD$32)</f>
        <v>1</v>
      </c>
      <c r="CF34" s="20">
        <f>CF32-CF33</f>
        <v>1113.6971100000001</v>
      </c>
      <c r="CG34" s="22">
        <f t="shared" si="266"/>
        <v>1</v>
      </c>
    </row>
    <row r="35" spans="2:85" x14ac:dyDescent="0.35">
      <c r="B35" s="1"/>
      <c r="C35" s="222"/>
      <c r="D35" s="30"/>
      <c r="E35" s="222"/>
      <c r="F35" s="30"/>
      <c r="G35" s="222"/>
      <c r="H35" s="30"/>
      <c r="I35" s="222"/>
      <c r="J35" s="30"/>
      <c r="K35" s="222"/>
      <c r="L35" s="30"/>
      <c r="N35" s="1"/>
      <c r="O35" s="222"/>
      <c r="P35" s="30"/>
      <c r="Q35" s="222"/>
      <c r="R35" s="30"/>
      <c r="S35" s="222"/>
      <c r="T35" s="30"/>
      <c r="U35" s="222"/>
      <c r="V35" s="30"/>
      <c r="W35" s="222"/>
      <c r="X35" s="30"/>
      <c r="Y35" s="222"/>
      <c r="Z35" s="30"/>
      <c r="AA35" s="222"/>
      <c r="AB35" s="30"/>
      <c r="AC35" s="283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203">
        <f>'600'!$D161/1000+ajustes!B19</f>
        <v>13544.03256</v>
      </c>
      <c r="D36" s="225">
        <f t="shared" ref="D36:F40" si="267">IF(C$32=0,"N.D.",C36/C$32)</f>
        <v>8.2181532819917885E-2</v>
      </c>
      <c r="E36" s="11">
        <f>'600'!$D139/1000+ajustes!C19</f>
        <v>1367.83907</v>
      </c>
      <c r="F36" s="225">
        <f t="shared" si="267"/>
        <v>0.12339493345258558</v>
      </c>
      <c r="G36" s="30">
        <f>'600'!$D205/1000+ajustes!D19</f>
        <v>8279.10016</v>
      </c>
      <c r="H36" s="225">
        <f t="shared" ref="H36" si="268">IF(G$32=0,"N.D.",G36/G$32)</f>
        <v>9.8602730273878558E-2</v>
      </c>
      <c r="I36" s="11">
        <f>'600'!$D183/1000+ajustes!E19</f>
        <v>514.60392999999999</v>
      </c>
      <c r="J36" s="225">
        <f t="shared" ref="J36:L36" si="269">IF(I$32=0,"N.D.",I36/I$32)</f>
        <v>4.3115084534709386E-2</v>
      </c>
      <c r="K36" s="211">
        <f>SUM(C36,E36,G36,I36)</f>
        <v>23705.575720000001</v>
      </c>
      <c r="L36" s="225">
        <f t="shared" si="269"/>
        <v>8.721982975380943E-2</v>
      </c>
      <c r="N36" s="7" t="s">
        <v>8</v>
      </c>
      <c r="O36" s="203">
        <f>'600'!$D7/1000+ajustes!F19</f>
        <v>105543.66486</v>
      </c>
      <c r="P36" s="225">
        <f t="shared" ref="P36:R36" si="270">IF(O$32=0,"N.D.",O36/O$32)</f>
        <v>0.42146714823649123</v>
      </c>
      <c r="Q36" s="11">
        <f>'600'!$D29/1000+ajustes!G19</f>
        <v>0</v>
      </c>
      <c r="R36" s="225">
        <f t="shared" si="270"/>
        <v>0</v>
      </c>
      <c r="S36" s="30">
        <f>'600'!$D51/1000+ajustes!H19</f>
        <v>23099.693649999997</v>
      </c>
      <c r="T36" s="225">
        <f t="shared" ref="T36:V36" si="271">IF(S$32=0,"N.D.",S36/S$32)</f>
        <v>9.128991258431926E-2</v>
      </c>
      <c r="U36" s="11">
        <f>'600'!$D73/1000+ajustes!I19</f>
        <v>0</v>
      </c>
      <c r="V36" s="225">
        <f t="shared" si="271"/>
        <v>0</v>
      </c>
      <c r="W36" s="30">
        <f>'600'!$D95/1000+ajustes!J19</f>
        <v>0</v>
      </c>
      <c r="X36" s="225">
        <f t="shared" ref="X36:Z36" si="272">IF(W$32=0,"N.D.",W36/W$32)</f>
        <v>0</v>
      </c>
      <c r="Y36" s="11">
        <f>'600'!$D117/1000+ajustes!K19</f>
        <v>0</v>
      </c>
      <c r="Z36" s="225">
        <f t="shared" si="272"/>
        <v>0</v>
      </c>
      <c r="AA36" s="211">
        <f>SUM(O36,Q36,S36,U36,W36,Y36)-AC36</f>
        <v>113548.83383</v>
      </c>
      <c r="AB36" s="225">
        <f t="shared" ref="AB36" si="273">IF(AA$32=0,"N.D.",AA36/AA$32)</f>
        <v>0.25126588811655881</v>
      </c>
      <c r="AC36" s="284">
        <f>('612'!D2+'612'!D8+'612'!D10)/1000</f>
        <v>15094.52468</v>
      </c>
      <c r="AE36" s="7" t="s">
        <v>8</v>
      </c>
      <c r="AF36" s="8">
        <f>'600'!$D293/1000+ajustes!L19</f>
        <v>31837.839789999998</v>
      </c>
      <c r="AG36" s="225">
        <f t="shared" ref="AG36:AI36" si="274">IF(AF$32=0,"N.D.",AF36/AF$32)</f>
        <v>0.12302726333324318</v>
      </c>
      <c r="AH36" s="8">
        <f>'600'!$D315/1000+ajustes!M19</f>
        <v>83660.055710000001</v>
      </c>
      <c r="AI36" s="225">
        <f t="shared" si="274"/>
        <v>0.43941382929620226</v>
      </c>
      <c r="AJ36" s="8">
        <f>'600'!$D359/1000+ajustes!N19</f>
        <v>41821.51528</v>
      </c>
      <c r="AK36" s="225">
        <f t="shared" ref="AK36:AM36" si="275">IF(AJ$32=0,"N.D.",AJ36/AJ$32)</f>
        <v>0.99002791946126911</v>
      </c>
      <c r="AL36" s="8">
        <f>'600'!$D337/2000+ajustes!O19</f>
        <v>15343.251855</v>
      </c>
      <c r="AM36" s="225">
        <f t="shared" si="275"/>
        <v>0.21534590310507878</v>
      </c>
      <c r="AN36" s="8">
        <f>ajustes!P19</f>
        <v>0</v>
      </c>
      <c r="AO36" s="225" t="str">
        <f t="shared" ref="AO36:AQ36" si="276">IF(AN$32=0,"N.D.",AN36/AN$32)</f>
        <v>N.D.</v>
      </c>
      <c r="AP36" s="8">
        <f>'600'!$D403/1000+ajustes!Q19</f>
        <v>9484.7708899999998</v>
      </c>
      <c r="AQ36" s="225">
        <f t="shared" si="276"/>
        <v>0.50299997892228043</v>
      </c>
      <c r="AR36" s="8">
        <f>'600'!$D381/1000+ajustes!R19</f>
        <v>25387.762289999999</v>
      </c>
      <c r="AS36" s="225">
        <f t="shared" ref="AS36:AU36" si="277">IF(AR$32=0,"N.D.",AR36/AR$32)</f>
        <v>3.914109540092961E-2</v>
      </c>
      <c r="AT36" s="8">
        <f>SUM(AF36,AH36,AJ36,AL36,AP36,AR36)</f>
        <v>207535.19581499998</v>
      </c>
      <c r="AU36" s="225">
        <f t="shared" si="277"/>
        <v>0.16870761762816552</v>
      </c>
      <c r="AX36" s="7" t="s">
        <v>8</v>
      </c>
      <c r="AY36" s="8">
        <f>'600'!$D447/1000+ajustes!S19</f>
        <v>1440.6076200000002</v>
      </c>
      <c r="AZ36" s="225">
        <f>IF(AY$32=0,"N.D.",AY36/AY$32)</f>
        <v>5.0772970186106783E-2</v>
      </c>
      <c r="BA36" s="209">
        <f>'600'!$D425/1000+ajustes!T19</f>
        <v>0</v>
      </c>
      <c r="BB36" s="225">
        <f>IF(BA$32=0,"N.D.",BA36/BA$32)</f>
        <v>0</v>
      </c>
      <c r="BC36" s="209">
        <f>SUM(AY36,BA36)</f>
        <v>1440.6076200000002</v>
      </c>
      <c r="BD36" s="225">
        <f>IF(BC$32=0,"N.D.",BC36/BC$32)</f>
        <v>3.3895840904275193E-2</v>
      </c>
      <c r="BE36" s="192"/>
      <c r="BG36" s="7" t="s">
        <v>310</v>
      </c>
      <c r="BH36" s="199">
        <f>'600'!$D$672/1000+ajustes!U19</f>
        <v>3280.5823399999999</v>
      </c>
      <c r="BI36" s="225">
        <f t="shared" ref="BI36:BK40" si="278">IF(BH$32=0,"N.D.",BH36/BH$32)</f>
        <v>0.52955157179447476</v>
      </c>
      <c r="BJ36" s="199">
        <f>'600'!$D470/1000+ajustes!V19</f>
        <v>1702.6390900000001</v>
      </c>
      <c r="BK36" s="225">
        <f t="shared" si="278"/>
        <v>0.65378747831503614</v>
      </c>
      <c r="BL36" s="8">
        <f>'600'!$D493/1000+ajustes!W19</f>
        <v>3514.8046400000003</v>
      </c>
      <c r="BM36" s="225">
        <f t="shared" ref="BM36:BO36" si="279">IF(BL$32=0,"N.D.",BL36/BL$32)</f>
        <v>0.63024344555437117</v>
      </c>
      <c r="BN36" s="200">
        <f>'600'!$D560/1000+ajustes!X19</f>
        <v>1396.4279199999999</v>
      </c>
      <c r="BO36" s="225">
        <f t="shared" si="279"/>
        <v>0.66915184552596352</v>
      </c>
      <c r="BP36" s="8">
        <f>'600'!$D605/1000+ajustes!Y19</f>
        <v>1740.38878</v>
      </c>
      <c r="BQ36" s="225">
        <f t="shared" ref="BQ36:BS36" si="280">IF(BP$32=0,"N.D.",BP36/BP$32)</f>
        <v>0.63373637063387867</v>
      </c>
      <c r="BR36" s="209">
        <f>SUM(BJ36,BL36,BN36,BP36)+BH36</f>
        <v>11634.842769999999</v>
      </c>
      <c r="BS36" s="225">
        <f t="shared" si="280"/>
        <v>0.60568843507783243</v>
      </c>
      <c r="BU36" s="7" t="s">
        <v>310</v>
      </c>
      <c r="BV36" s="199">
        <f>'600'!$D515/1000-SUM(BX36,BZ36,CB36,CD36)+ajustes!Z19</f>
        <v>76.881479999999996</v>
      </c>
      <c r="BW36" s="225">
        <f t="shared" ref="BW36:BY36" si="281">IF(BV$32=0,"N.D.",BV36/BV$32)</f>
        <v>0.15104993697696306</v>
      </c>
      <c r="BX36" s="8">
        <f>'600'!$D582/1000+ajustes!AA19</f>
        <v>24.931660000000001</v>
      </c>
      <c r="BY36" s="225">
        <f t="shared" si="281"/>
        <v>8.3914056455826072E-2</v>
      </c>
      <c r="BZ36" s="200">
        <f>'600'!$D627/1000+ajustes!AB19</f>
        <v>16.70825</v>
      </c>
      <c r="CA36" s="225">
        <f t="shared" ref="CA36:CC36" si="282">IF(BZ$32=0,"N.D.",BZ36/BZ$32)</f>
        <v>7.3151184879979639E-2</v>
      </c>
      <c r="CB36" s="8">
        <f>'600'!$D537/1000+ajustes!AC19</f>
        <v>2.4286699999999999</v>
      </c>
      <c r="CC36" s="225">
        <f t="shared" si="282"/>
        <v>4.2833686067019393E-2</v>
      </c>
      <c r="CD36" s="209">
        <f>'600'!$D649/1000+ajustes!AD19</f>
        <v>0</v>
      </c>
      <c r="CE36" s="225">
        <f t="shared" ref="CE36:CG36" si="283">IF(CD$32=0,"N.D.",CD36/CD$32)</f>
        <v>0</v>
      </c>
      <c r="CF36" s="209">
        <f>SUM(BV36,BX36,BZ36,CB36,CD36)</f>
        <v>120.95005999999999</v>
      </c>
      <c r="CG36" s="225">
        <f t="shared" si="283"/>
        <v>0.10860229313156787</v>
      </c>
    </row>
    <row r="37" spans="2:85" x14ac:dyDescent="0.35">
      <c r="B37" s="7" t="s">
        <v>9</v>
      </c>
      <c r="C37" s="203">
        <f>'600'!$D162/1000+ajustes!B20</f>
        <v>14463.419739999999</v>
      </c>
      <c r="D37" s="224">
        <f t="shared" si="267"/>
        <v>8.7760126002758079E-2</v>
      </c>
      <c r="E37" s="11">
        <f>'600'!$D140/1000+ajustes!C20</f>
        <v>5519.1534099999999</v>
      </c>
      <c r="F37" s="224">
        <f t="shared" si="267"/>
        <v>0.49789158876823192</v>
      </c>
      <c r="G37" s="30">
        <f>'600'!$D206/1000+ajustes!D20</f>
        <v>7334.6503200000006</v>
      </c>
      <c r="H37" s="224">
        <f t="shared" ref="H37" si="284">IF(G$32=0,"N.D.",G37/G$32)</f>
        <v>8.7354486982819293E-2</v>
      </c>
      <c r="I37" s="11">
        <f>'600'!$D184/1000+ajustes!E20</f>
        <v>893.57126000000005</v>
      </c>
      <c r="J37" s="224">
        <f t="shared" ref="J37:L37" si="285">IF(I$32=0,"N.D.",I37/I$32)</f>
        <v>7.4866121626173329E-2</v>
      </c>
      <c r="K37" s="211">
        <f>SUM(C37,E37,G37,I37)</f>
        <v>28210.794730000001</v>
      </c>
      <c r="L37" s="224">
        <f t="shared" si="285"/>
        <v>0.10379586400402616</v>
      </c>
      <c r="N37" s="7" t="s">
        <v>9</v>
      </c>
      <c r="O37" s="203">
        <f>'600'!$D8/1000+ajustes!F20</f>
        <v>21479.83222</v>
      </c>
      <c r="P37" s="224">
        <f t="shared" ref="P37:R37" si="286">IF(O$32=0,"N.D.",O37/O$32)</f>
        <v>8.5775338978139978E-2</v>
      </c>
      <c r="Q37" s="11">
        <f>'600'!$D30/1000+ajustes!G20</f>
        <v>11507.99049</v>
      </c>
      <c r="R37" s="224">
        <f t="shared" si="286"/>
        <v>0.28061325541693943</v>
      </c>
      <c r="S37" s="30">
        <f>'600'!$D52/1000+ajustes!H20</f>
        <v>8707.6055399999987</v>
      </c>
      <c r="T37" s="224">
        <f t="shared" ref="T37:V37" si="287">IF(S$32=0,"N.D.",S37/S$32)</f>
        <v>3.4412428173710173E-2</v>
      </c>
      <c r="U37" s="11">
        <f>'600'!$D74/1000+ajustes!I20</f>
        <v>26873.19425</v>
      </c>
      <c r="V37" s="224">
        <f t="shared" si="287"/>
        <v>0.93717902295128663</v>
      </c>
      <c r="W37" s="30">
        <f>'600'!$D96/1000+ajustes!J20</f>
        <v>2106.9055400000002</v>
      </c>
      <c r="X37" s="224">
        <f t="shared" ref="X37:Z37" si="288">IF(W$32=0,"N.D.",W37/W$32)</f>
        <v>0.41017426200594037</v>
      </c>
      <c r="Y37" s="11">
        <f>'600'!$D118/1000+ajustes!K20</f>
        <v>1512.37022</v>
      </c>
      <c r="Z37" s="224">
        <f t="shared" si="288"/>
        <v>0.68308571666018525</v>
      </c>
      <c r="AA37" s="211">
        <f>SUM(O37,Q37,S37,U37,W37,Y37)-AC37</f>
        <v>43513.340259999997</v>
      </c>
      <c r="AB37" s="224">
        <f t="shared" ref="AB37" si="289">IF(AA$32=0,"N.D.",AA37/AA$32)</f>
        <v>9.6288246356769414E-2</v>
      </c>
      <c r="AC37" s="284">
        <f>'612'!D6/1000</f>
        <v>28674.558000000001</v>
      </c>
      <c r="AD37" s="206"/>
      <c r="AE37" s="7" t="s">
        <v>9</v>
      </c>
      <c r="AF37" s="11">
        <f>'600'!$D294/1000+ajustes!L20</f>
        <v>24073.682370000002</v>
      </c>
      <c r="AG37" s="224">
        <f t="shared" ref="AG37:AI37" si="290">IF(AF$32=0,"N.D.",AF37/AF$32)</f>
        <v>9.3025132354145945E-2</v>
      </c>
      <c r="AH37" s="11">
        <f>'600'!$D316/1000+ajustes!M20</f>
        <v>15542.412199999999</v>
      </c>
      <c r="AI37" s="224">
        <f t="shared" si="290"/>
        <v>8.1634548331835088E-2</v>
      </c>
      <c r="AJ37" s="11">
        <f>'600'!$D360/1000+ajustes!N20</f>
        <v>6033.3704900000002</v>
      </c>
      <c r="AK37" s="224">
        <f t="shared" ref="AK37:AM37" si="291">IF(AJ$32=0,"N.D.",AJ37/AJ$32)</f>
        <v>0.14282613132409006</v>
      </c>
      <c r="AL37" s="11">
        <f>'600'!$D338/2000+ajustes!O20</f>
        <v>3069.6824200000001</v>
      </c>
      <c r="AM37" s="224">
        <f t="shared" si="291"/>
        <v>4.3083665654961231E-2</v>
      </c>
      <c r="AN37" s="11">
        <f>ajustes!P20</f>
        <v>0</v>
      </c>
      <c r="AO37" s="224" t="str">
        <f t="shared" ref="AO37:AQ37" si="292">IF(AN$32=0,"N.D.",AN37/AN$32)</f>
        <v>N.D.</v>
      </c>
      <c r="AP37" s="11">
        <f>'600'!$D404/1000+ajustes!Q20</f>
        <v>0</v>
      </c>
      <c r="AQ37" s="224">
        <f t="shared" si="292"/>
        <v>0</v>
      </c>
      <c r="AR37" s="11">
        <f>'600'!$D382/1000+ajustes!R20</f>
        <v>9238.4410700000008</v>
      </c>
      <c r="AS37" s="224">
        <f t="shared" ref="AS37:AU37" si="293">IF(AR$32=0,"N.D.",AR37/AR$32)</f>
        <v>1.4243189263638576E-2</v>
      </c>
      <c r="AT37" s="11">
        <f>SUM(AF37,AH37,AJ37,AL37,AP37,AR37)</f>
        <v>57957.58855</v>
      </c>
      <c r="AU37" s="224">
        <f t="shared" si="293"/>
        <v>4.7114354022438201E-2</v>
      </c>
      <c r="AX37" s="7" t="s">
        <v>9</v>
      </c>
      <c r="AY37" s="11">
        <f>'600'!$D448/1000+ajustes!S20</f>
        <v>1471.78874</v>
      </c>
      <c r="AZ37" s="224">
        <f>IF(AY$32=0,"N.D.",AY37/AY$32)</f>
        <v>5.1871921804958698E-2</v>
      </c>
      <c r="BA37" s="211">
        <f>'600'!$D426/1000+ajustes!T20</f>
        <v>1162.60859</v>
      </c>
      <c r="BB37" s="224">
        <f>IF(BA$32=0,"N.D.",BA37/BA$32)</f>
        <v>8.2294010053604996E-2</v>
      </c>
      <c r="BC37" s="211">
        <f>SUM(AY37,BA37)</f>
        <v>2634.3973299999998</v>
      </c>
      <c r="BD37" s="224">
        <f>IF(BC$32=0,"N.D.",BC37/BC$32)</f>
        <v>6.1984340174687763E-2</v>
      </c>
      <c r="BE37" s="192"/>
      <c r="BG37" s="7" t="s">
        <v>311</v>
      </c>
      <c r="BH37" s="203">
        <f>'600'!$D$673/1000+ajustes!U20</f>
        <v>434.71739000000002</v>
      </c>
      <c r="BI37" s="224">
        <f t="shared" si="278"/>
        <v>7.0172077180934808E-2</v>
      </c>
      <c r="BJ37" s="203">
        <f>'600'!$D471/1000+ajustes!V20</f>
        <v>99.874169999999992</v>
      </c>
      <c r="BK37" s="224">
        <f t="shared" si="278"/>
        <v>3.8350160134704311E-2</v>
      </c>
      <c r="BL37" s="11">
        <f>'600'!$D494/1000+ajustes!W20</f>
        <v>134.16785000000002</v>
      </c>
      <c r="BM37" s="224">
        <f t="shared" ref="BM37:BO37" si="294">IF(BL$32=0,"N.D.",BL37/BL$32)</f>
        <v>2.4057783213414115E-2</v>
      </c>
      <c r="BN37" s="30">
        <f>'600'!$D561/1000+ajustes!X20</f>
        <v>115.75508000000001</v>
      </c>
      <c r="BO37" s="224">
        <f t="shared" si="294"/>
        <v>5.5468473740488917E-2</v>
      </c>
      <c r="BP37" s="11">
        <f>'600'!$D606/1000+ajustes!Y20</f>
        <v>150.05367000000001</v>
      </c>
      <c r="BQ37" s="224">
        <f t="shared" ref="BQ37:BS37" si="295">IF(BP$32=0,"N.D.",BP37/BP$32)</f>
        <v>5.4639784695746964E-2</v>
      </c>
      <c r="BR37" s="211">
        <f>SUM(BJ37,BL37,BN37,BP37)+BH37</f>
        <v>934.56816000000003</v>
      </c>
      <c r="BS37" s="224">
        <f t="shared" si="295"/>
        <v>4.8651893067564796E-2</v>
      </c>
      <c r="BU37" s="7" t="s">
        <v>311</v>
      </c>
      <c r="BV37" s="203">
        <f>'600'!$D516/1000-SUM(BX37,BZ37,CB37,CD37)+ajustes!Z20</f>
        <v>0</v>
      </c>
      <c r="BW37" s="224">
        <f t="shared" ref="BW37:BY37" si="296">IF(BV$32=0,"N.D.",BV37/BV$32)</f>
        <v>0</v>
      </c>
      <c r="BX37" s="11">
        <f>'600'!$D583/1000+ajustes!AA20</f>
        <v>0</v>
      </c>
      <c r="BY37" s="224">
        <f t="shared" si="296"/>
        <v>0</v>
      </c>
      <c r="BZ37" s="30">
        <f>'600'!$D628/1000+ajustes!AB20</f>
        <v>0</v>
      </c>
      <c r="CA37" s="224">
        <f t="shared" ref="CA37:CC37" si="297">IF(BZ$32=0,"N.D.",BZ37/BZ$32)</f>
        <v>0</v>
      </c>
      <c r="CB37" s="11">
        <f>'600'!$D538/1000+ajustes!AC20</f>
        <v>0</v>
      </c>
      <c r="CC37" s="224">
        <f t="shared" si="297"/>
        <v>0</v>
      </c>
      <c r="CD37" s="211">
        <f>'600'!$D650/1000+ajustes!AD20</f>
        <v>1.82368</v>
      </c>
      <c r="CE37" s="224">
        <f t="shared" ref="CE37:CG37" si="298">IF(CD$32=0,"N.D.",CD37/CD$32)</f>
        <v>8.1052444444444441E-2</v>
      </c>
      <c r="CF37" s="211">
        <f>SUM(BV37,BX37,BZ37,CB37,CD37)</f>
        <v>1.82368</v>
      </c>
      <c r="CG37" s="224">
        <f t="shared" si="298"/>
        <v>1.6375008820845372E-3</v>
      </c>
    </row>
    <row r="38" spans="2:85" x14ac:dyDescent="0.35">
      <c r="B38" s="7" t="s">
        <v>10</v>
      </c>
      <c r="C38" s="201">
        <f>'600'!$D163/1000+ajustes!B21</f>
        <v>914.36279999999999</v>
      </c>
      <c r="D38" s="224">
        <f t="shared" si="267"/>
        <v>5.5481066015328605E-3</v>
      </c>
      <c r="E38" s="34">
        <f>'600'!$D141/1000+ajustes!C21</f>
        <v>290.26759999999996</v>
      </c>
      <c r="F38" s="224">
        <f t="shared" si="267"/>
        <v>2.6185500890423992E-2</v>
      </c>
      <c r="G38" s="202">
        <f>'600'!$D207/1000+ajustes!D21</f>
        <v>1404.8321899999999</v>
      </c>
      <c r="H38" s="224">
        <f t="shared" ref="H38" si="299">IF(G$32=0,"N.D.",G38/G$32)</f>
        <v>1.6731321862717034E-2</v>
      </c>
      <c r="I38" s="34">
        <f>'600'!$D185/1000+ajustes!E21</f>
        <v>19.134</v>
      </c>
      <c r="J38" s="224">
        <f t="shared" ref="J38:L38" si="300">IF(I$32=0,"N.D.",I38/I$32)</f>
        <v>1.6031047945691543E-3</v>
      </c>
      <c r="K38" s="212">
        <f>SUM(C38,E38,G38,I38)</f>
        <v>2628.5965900000001</v>
      </c>
      <c r="L38" s="224">
        <f t="shared" si="300"/>
        <v>9.6713849002965282E-3</v>
      </c>
      <c r="N38" s="7" t="s">
        <v>10</v>
      </c>
      <c r="O38" s="201">
        <f>'600'!$D9/1000+ajustes!F21</f>
        <v>5341.79853</v>
      </c>
      <c r="P38" s="224">
        <f t="shared" ref="P38:R38" si="301">IF(O$32=0,"N.D.",O38/O$32)</f>
        <v>2.1331385411709692E-2</v>
      </c>
      <c r="Q38" s="34">
        <f>'600'!$D31/1000+ajustes!G21</f>
        <v>0</v>
      </c>
      <c r="R38" s="224">
        <f t="shared" si="301"/>
        <v>0</v>
      </c>
      <c r="S38" s="202">
        <f>'600'!$D53/1000+ajustes!H21</f>
        <v>1113.99657</v>
      </c>
      <c r="T38" s="224">
        <f t="shared" ref="T38:V38" si="302">IF(S$32=0,"N.D.",S38/S$32)</f>
        <v>4.4025107447488382E-3</v>
      </c>
      <c r="U38" s="34">
        <f>'600'!$D75/1000+ajustes!I21</f>
        <v>376.91208</v>
      </c>
      <c r="V38" s="224">
        <f t="shared" si="302"/>
        <v>1.3144477414438263E-2</v>
      </c>
      <c r="W38" s="202">
        <f>'600'!$D97/1000+ajustes!J21</f>
        <v>0</v>
      </c>
      <c r="X38" s="224">
        <f t="shared" ref="X38:Z38" si="303">IF(W$32=0,"N.D.",W38/W$32)</f>
        <v>0</v>
      </c>
      <c r="Y38" s="34">
        <f>'600'!$D119/1000+ajustes!K21</f>
        <v>304.08183000000002</v>
      </c>
      <c r="Z38" s="224">
        <f t="shared" si="303"/>
        <v>0.13734332508140146</v>
      </c>
      <c r="AA38" s="212">
        <f>SUM(O38,Q38,S38,U38,W38,Y38)</f>
        <v>7136.7890100000004</v>
      </c>
      <c r="AB38" s="224">
        <f t="shared" ref="AB38" si="304">IF(AA$32=0,"N.D.",AA38/AA$32)</f>
        <v>1.5792602780781432E-2</v>
      </c>
      <c r="AC38" s="284"/>
      <c r="AE38" s="7" t="s">
        <v>10</v>
      </c>
      <c r="AF38" s="11">
        <f>'600'!$D295/1000+ajustes!L21</f>
        <v>3017.19184</v>
      </c>
      <c r="AG38" s="224">
        <f t="shared" ref="AG38:AI38" si="305">IF(AF$32=0,"N.D.",AF38/AF$32)</f>
        <v>1.1658983695972437E-2</v>
      </c>
      <c r="AH38" s="11">
        <f>'600'!$D317/1000+ajustes!M21</f>
        <v>5299.5716400000001</v>
      </c>
      <c r="AI38" s="224">
        <f t="shared" si="305"/>
        <v>2.7835327722398367E-2</v>
      </c>
      <c r="AJ38" s="11">
        <f>'600'!$D361/1000+ajustes!N21</f>
        <v>3148.1948500000003</v>
      </c>
      <c r="AK38" s="224">
        <f t="shared" ref="AK38:AM38" si="306">IF(AJ$32=0,"N.D.",AJ38/AJ$32)</f>
        <v>7.4526252254057082E-2</v>
      </c>
      <c r="AL38" s="11">
        <f>'600'!$D339/2000+ajustes!O21</f>
        <v>1597.9005</v>
      </c>
      <c r="AM38" s="224">
        <f t="shared" si="306"/>
        <v>2.2426883785553093E-2</v>
      </c>
      <c r="AN38" s="11">
        <f>ajustes!P21</f>
        <v>0</v>
      </c>
      <c r="AO38" s="224" t="str">
        <f t="shared" ref="AO38:AQ38" si="307">IF(AN$32=0,"N.D.",AN38/AN$32)</f>
        <v>N.D.</v>
      </c>
      <c r="AP38" s="11">
        <f>'600'!$D405/1000+ajustes!Q21</f>
        <v>2238.9169700000002</v>
      </c>
      <c r="AQ38" s="224">
        <f t="shared" si="307"/>
        <v>0.11873509669127454</v>
      </c>
      <c r="AR38" s="11">
        <f>'600'!$D383/1000+ajustes!R21</f>
        <v>2838.1638800000001</v>
      </c>
      <c r="AS38" s="224">
        <f t="shared" ref="AS38:AU38" si="308">IF(AR$32=0,"N.D.",AR38/AR$32)</f>
        <v>4.3756847067340553E-3</v>
      </c>
      <c r="AT38" s="11">
        <f>SUM(AF38,AH38,AJ38,AL38,AP38,AR38)</f>
        <v>18139.939679999999</v>
      </c>
      <c r="AU38" s="224">
        <f t="shared" si="308"/>
        <v>1.4746154238144097E-2</v>
      </c>
      <c r="AX38" s="7" t="s">
        <v>10</v>
      </c>
      <c r="AY38" s="34">
        <f>'600'!$D449/1000+ajustes!S21</f>
        <v>26.814119999999999</v>
      </c>
      <c r="AZ38" s="224">
        <f>IF(AY$32=0,"N.D.",AY38/AY$32)</f>
        <v>9.4504047904917323E-4</v>
      </c>
      <c r="BA38" s="212">
        <f>'600'!$D427/1000+ajustes!T21</f>
        <v>220.03298999999998</v>
      </c>
      <c r="BB38" s="224">
        <f>IF(BA$32=0,"N.D.",BA38/BA$32)</f>
        <v>1.557480070845233E-2</v>
      </c>
      <c r="BC38" s="211">
        <f>SUM(AY38,BA38)</f>
        <v>246.84710999999999</v>
      </c>
      <c r="BD38" s="224">
        <f>IF(BC$32=0,"N.D.",BC38/BC$32)</f>
        <v>5.8080286762887704E-3</v>
      </c>
      <c r="BE38" s="192"/>
      <c r="BG38" s="7" t="s">
        <v>312</v>
      </c>
      <c r="BH38" s="203">
        <f>'600'!$D$674/1000+ajustes!U21</f>
        <v>61.529199999999996</v>
      </c>
      <c r="BI38" s="224">
        <f t="shared" si="278"/>
        <v>9.9320429101793541E-3</v>
      </c>
      <c r="BJ38" s="201">
        <f>'600'!$D472/1000+ajustes!V21</f>
        <v>16.30565</v>
      </c>
      <c r="BK38" s="224">
        <f t="shared" si="278"/>
        <v>6.2611212548794289E-3</v>
      </c>
      <c r="BL38" s="34">
        <f>'600'!$D495/1000+ajustes!W21</f>
        <v>29.520209999999999</v>
      </c>
      <c r="BM38" s="224">
        <f t="shared" ref="BM38:BO38" si="309">IF(BL$32=0,"N.D.",BL38/BL$32)</f>
        <v>5.2933009852543615E-3</v>
      </c>
      <c r="BN38" s="202">
        <f>'600'!$D562/1000+ajustes!X21</f>
        <v>83.175839999999994</v>
      </c>
      <c r="BO38" s="224">
        <f t="shared" si="309"/>
        <v>3.9856884871775022E-2</v>
      </c>
      <c r="BP38" s="34">
        <f>'600'!$D607/1000+ajustes!Y21</f>
        <v>84.490619999999993</v>
      </c>
      <c r="BQ38" s="224">
        <f t="shared" ref="BQ38:BS38" si="310">IF(BP$32=0,"N.D.",BP38/BP$32)</f>
        <v>3.0765987167192723E-2</v>
      </c>
      <c r="BR38" s="211">
        <f>SUM(BJ38,BL38,BN38,BP38)+BH38</f>
        <v>275.02152000000001</v>
      </c>
      <c r="BS38" s="224">
        <f t="shared" si="310"/>
        <v>1.4317112603450061E-2</v>
      </c>
      <c r="BU38" s="7" t="s">
        <v>312</v>
      </c>
      <c r="BV38" s="201">
        <f>'600'!$D517/1000-SUM(BX38,BZ38,CB38,CD38)+ajustes!Z21</f>
        <v>107.04672000000001</v>
      </c>
      <c r="BW38" s="224">
        <f t="shared" ref="BW38:BY38" si="311">IF(BV$32=0,"N.D.",BV38/BV$32)</f>
        <v>0.21031593446940164</v>
      </c>
      <c r="BX38" s="34">
        <f>'600'!$D584/1000+ajustes!AA21</f>
        <v>22.61853</v>
      </c>
      <c r="BY38" s="224">
        <f t="shared" si="311"/>
        <v>7.6128609301097314E-2</v>
      </c>
      <c r="BZ38" s="202">
        <f>'600'!$D629/1000+ajustes!AB21</f>
        <v>25.282080000000001</v>
      </c>
      <c r="CA38" s="224">
        <f t="shared" ref="CA38:CC38" si="312">IF(BZ$32=0,"N.D.",BZ38/BZ$32)</f>
        <v>0.11068867824161333</v>
      </c>
      <c r="CB38" s="34">
        <f>'600'!$D539/1000+ajustes!AC21</f>
        <v>34.074359999999999</v>
      </c>
      <c r="CC38" s="224">
        <f t="shared" si="312"/>
        <v>0.60095873015873014</v>
      </c>
      <c r="CD38" s="212">
        <f>'600'!$D651/1000+ajustes!AD21</f>
        <v>0</v>
      </c>
      <c r="CE38" s="224">
        <f t="shared" ref="CE38:CG38" si="313">IF(CD$32=0,"N.D.",CD38/CD$32)</f>
        <v>0</v>
      </c>
      <c r="CF38" s="211">
        <f>SUM(BV38,BX38,BZ38,CB38,CD38)</f>
        <v>189.02169000000004</v>
      </c>
      <c r="CG38" s="224">
        <f t="shared" si="313"/>
        <v>0.16972450435828107</v>
      </c>
    </row>
    <row r="39" spans="2:85" x14ac:dyDescent="0.35">
      <c r="B39" s="4" t="s">
        <v>11</v>
      </c>
      <c r="C39" s="221">
        <f>SUM(C36:C38)</f>
        <v>28921.815099999996</v>
      </c>
      <c r="D39" s="22">
        <f t="shared" si="267"/>
        <v>0.1754897654242088</v>
      </c>
      <c r="E39" s="213">
        <f>SUM(E36:E38)</f>
        <v>7177.26008</v>
      </c>
      <c r="F39" s="22">
        <f t="shared" si="267"/>
        <v>0.64747202311124152</v>
      </c>
      <c r="G39" s="207">
        <f>SUM(G36:G38)</f>
        <v>17018.58267</v>
      </c>
      <c r="H39" s="22">
        <f t="shared" ref="H39" si="314">IF(G$32=0,"N.D.",G39/G$32)</f>
        <v>0.20268853911941487</v>
      </c>
      <c r="I39" s="213">
        <f>SUM(I36:I38)</f>
        <v>1427.3091899999999</v>
      </c>
      <c r="J39" s="22">
        <f t="shared" ref="J39:L39" si="315">IF(I$32=0,"N.D.",I39/I$32)</f>
        <v>0.11958431095545186</v>
      </c>
      <c r="K39" s="218">
        <f>SUM(K36:K38)</f>
        <v>54544.967040000003</v>
      </c>
      <c r="L39" s="22">
        <f t="shared" si="315"/>
        <v>0.20068707865813212</v>
      </c>
      <c r="N39" s="4" t="s">
        <v>11</v>
      </c>
      <c r="O39" s="221">
        <f>SUM(O36:O38)</f>
        <v>132365.29561</v>
      </c>
      <c r="P39" s="22">
        <f t="shared" ref="P39:R39" si="316">IF(O$32=0,"N.D.",O39/O$32)</f>
        <v>0.52857387262634092</v>
      </c>
      <c r="Q39" s="213">
        <f>SUM(Q36:Q38)</f>
        <v>11507.99049</v>
      </c>
      <c r="R39" s="22">
        <f t="shared" si="316"/>
        <v>0.28061325541693943</v>
      </c>
      <c r="S39" s="207">
        <f>SUM(S36:S38)</f>
        <v>32921.295760000001</v>
      </c>
      <c r="T39" s="22">
        <f t="shared" ref="T39:V39" si="317">IF(S$32=0,"N.D.",S39/S$32)</f>
        <v>0.13010485150277828</v>
      </c>
      <c r="U39" s="213">
        <f>SUM(U36:U38)</f>
        <v>27250.106329999999</v>
      </c>
      <c r="V39" s="22">
        <f t="shared" si="317"/>
        <v>0.95032350036572488</v>
      </c>
      <c r="W39" s="207">
        <f>SUM(W36:W38)</f>
        <v>2106.9055400000002</v>
      </c>
      <c r="X39" s="22">
        <f t="shared" ref="X39:Z39" si="318">IF(W$32=0,"N.D.",W39/W$32)</f>
        <v>0.41017426200594037</v>
      </c>
      <c r="Y39" s="213">
        <f>SUM(Y36:Y38)</f>
        <v>1816.4520500000001</v>
      </c>
      <c r="Z39" s="22">
        <f t="shared" si="318"/>
        <v>0.82042904174158671</v>
      </c>
      <c r="AA39" s="218">
        <f>SUM(AA36:AA38)</f>
        <v>164198.96309999999</v>
      </c>
      <c r="AB39" s="22">
        <f t="shared" ref="AB39" si="319">IF(AA$32=0,"N.D.",AA39/AA$32)</f>
        <v>0.36334673725410965</v>
      </c>
      <c r="AC39" s="285"/>
      <c r="AE39" s="4" t="s">
        <v>11</v>
      </c>
      <c r="AF39" s="14">
        <f>SUM(AF36:AF38)</f>
        <v>58928.714</v>
      </c>
      <c r="AG39" s="22">
        <f t="shared" ref="AG39:AI39" si="320">IF(AF$32=0,"N.D.",AF39/AF$32)</f>
        <v>0.22771137938336156</v>
      </c>
      <c r="AH39" s="14">
        <f>SUM(AH36:AH38)</f>
        <v>104502.03955</v>
      </c>
      <c r="AI39" s="22">
        <f t="shared" si="320"/>
        <v>0.54888370535043574</v>
      </c>
      <c r="AJ39" s="14">
        <f>SUM(AJ36:AJ38)</f>
        <v>51003.080620000001</v>
      </c>
      <c r="AK39" s="22">
        <f t="shared" ref="AK39:AM39" si="321">IF(AJ$32=0,"N.D.",AJ39/AJ$32)</f>
        <v>1.2073803030394163</v>
      </c>
      <c r="AL39" s="14">
        <f>SUM(AL36:AL38)</f>
        <v>20010.834774999999</v>
      </c>
      <c r="AM39" s="22">
        <f t="shared" si="321"/>
        <v>0.2808564525455931</v>
      </c>
      <c r="AN39" s="14">
        <f>SUM(AN36:AN38)</f>
        <v>0</v>
      </c>
      <c r="AO39" s="22" t="str">
        <f t="shared" ref="AO39:AQ39" si="322">IF(AN$32=0,"N.D.",AN39/AN$32)</f>
        <v>N.D.</v>
      </c>
      <c r="AP39" s="14">
        <f>SUM(AP36:AP38)</f>
        <v>11723.68786</v>
      </c>
      <c r="AQ39" s="22">
        <f t="shared" si="322"/>
        <v>0.6217350756135549</v>
      </c>
      <c r="AR39" s="14">
        <f>SUM(AR36:AR38)</f>
        <v>37464.36724</v>
      </c>
      <c r="AS39" s="22">
        <f t="shared" ref="AS39:AU39" si="323">IF(AR$32=0,"N.D.",AR39/AR$32)</f>
        <v>5.775996937130224E-2</v>
      </c>
      <c r="AT39" s="14">
        <f>SUM(AT36:AT38)</f>
        <v>283632.72404499998</v>
      </c>
      <c r="AU39" s="22">
        <f t="shared" si="323"/>
        <v>0.23056812588874781</v>
      </c>
      <c r="AX39" s="4" t="s">
        <v>11</v>
      </c>
      <c r="AY39" s="213">
        <f>SUM(AY36:AY38)</f>
        <v>2939.2104800000002</v>
      </c>
      <c r="AZ39" s="22">
        <f>IF(AY$32=0,"N.D.",AY39/AY$32)</f>
        <v>0.10358993247011465</v>
      </c>
      <c r="BA39" s="213">
        <f>SUM(BA36:BA38)</f>
        <v>1382.64158</v>
      </c>
      <c r="BB39" s="22">
        <f>IF(BA$32=0,"N.D.",BA39/BA$32)</f>
        <v>9.7868810762057321E-2</v>
      </c>
      <c r="BC39" s="14">
        <f>SUM(BC36:BC38)</f>
        <v>4321.8520600000002</v>
      </c>
      <c r="BD39" s="22">
        <f>IF(BC$32=0,"N.D.",BC39/BC$32)</f>
        <v>0.10168820975525174</v>
      </c>
      <c r="BE39" s="226"/>
      <c r="BG39" s="4" t="s">
        <v>313</v>
      </c>
      <c r="BH39" s="14">
        <f>SUM(BH36:BH38)</f>
        <v>3776.8289299999997</v>
      </c>
      <c r="BI39" s="22">
        <f t="shared" si="278"/>
        <v>0.60965569188558888</v>
      </c>
      <c r="BJ39" s="213">
        <f>SUM(BJ36:BJ38)</f>
        <v>1818.8189100000002</v>
      </c>
      <c r="BK39" s="22">
        <f t="shared" si="278"/>
        <v>0.69839875970461995</v>
      </c>
      <c r="BL39" s="213">
        <f>SUM(BL36:BL38)</f>
        <v>3678.4927000000002</v>
      </c>
      <c r="BM39" s="22">
        <f t="shared" ref="BM39:BO39" si="324">IF(BL$32=0,"N.D.",BL39/BL$32)</f>
        <v>0.65959452975303967</v>
      </c>
      <c r="BN39" s="213">
        <f>SUM(BN36:BN38)</f>
        <v>1595.3588399999999</v>
      </c>
      <c r="BO39" s="22">
        <f t="shared" si="324"/>
        <v>0.7644772041382274</v>
      </c>
      <c r="BP39" s="213">
        <f>SUM(BP36:BP38)</f>
        <v>1974.93307</v>
      </c>
      <c r="BQ39" s="22">
        <f t="shared" ref="BQ39:BS39" si="325">IF(BP$32=0,"N.D.",BP39/BP$32)</f>
        <v>0.7191421424968184</v>
      </c>
      <c r="BR39" s="14">
        <f>SUM(BR36:BR38)</f>
        <v>12844.43245</v>
      </c>
      <c r="BS39" s="22">
        <f t="shared" si="325"/>
        <v>0.66865744074884736</v>
      </c>
      <c r="BU39" s="4" t="s">
        <v>313</v>
      </c>
      <c r="BV39" s="213">
        <f>SUM(BV36:BV38)</f>
        <v>183.9282</v>
      </c>
      <c r="BW39" s="22">
        <f t="shared" ref="BW39:BY39" si="326">IF(BV$32=0,"N.D.",BV39/BV$32)</f>
        <v>0.36136587144636473</v>
      </c>
      <c r="BX39" s="213">
        <f>SUM(BX36:BX38)</f>
        <v>47.550190000000001</v>
      </c>
      <c r="BY39" s="22">
        <f t="shared" si="326"/>
        <v>0.16004266575692339</v>
      </c>
      <c r="BZ39" s="213">
        <f>SUM(BZ36:BZ38)</f>
        <v>41.99033</v>
      </c>
      <c r="CA39" s="22">
        <f t="shared" ref="CA39:CC39" si="327">IF(BZ$32=0,"N.D.",BZ39/BZ$32)</f>
        <v>0.18383986312159298</v>
      </c>
      <c r="CB39" s="213">
        <f>SUM(CB36:CB38)</f>
        <v>36.503029999999995</v>
      </c>
      <c r="CC39" s="22">
        <f t="shared" si="327"/>
        <v>0.64379241622574945</v>
      </c>
      <c r="CD39" s="213">
        <f>SUM(CD36:CD38)</f>
        <v>1.82368</v>
      </c>
      <c r="CE39" s="22">
        <f t="shared" ref="CE39:CG39" si="328">IF(CD$32=0,"N.D.",CD39/CD$32)</f>
        <v>8.1052444444444441E-2</v>
      </c>
      <c r="CF39" s="14">
        <f>SUM(CF36:CF38)</f>
        <v>311.79543000000001</v>
      </c>
      <c r="CG39" s="22">
        <f t="shared" si="328"/>
        <v>0.27996429837193343</v>
      </c>
    </row>
    <row r="40" spans="2:85" x14ac:dyDescent="0.35">
      <c r="B40" s="4" t="s">
        <v>12</v>
      </c>
      <c r="C40" s="217">
        <f>C34-C39</f>
        <v>-2947.9671600000183</v>
      </c>
      <c r="D40" s="22">
        <f t="shared" si="267"/>
        <v>-1.7887468805050009E-2</v>
      </c>
      <c r="E40" s="205">
        <f>E34-E39</f>
        <v>-1415.091699999999</v>
      </c>
      <c r="F40" s="22">
        <f t="shared" si="267"/>
        <v>-0.12765766820127902</v>
      </c>
      <c r="G40" s="214">
        <f>G34-G39</f>
        <v>-5542.0053799999841</v>
      </c>
      <c r="H40" s="22">
        <f t="shared" ref="H40" si="329">IF(G$32=0,"N.D.",G40/G$32)</f>
        <v>-6.6004378628090207E-2</v>
      </c>
      <c r="I40" s="205">
        <f>I34-I39</f>
        <v>531.25661999999829</v>
      </c>
      <c r="J40" s="22">
        <f t="shared" ref="J40:L40" si="330">IF(I$32=0,"N.D.",I40/I$32)</f>
        <v>4.4510297620393047E-2</v>
      </c>
      <c r="K40" s="215">
        <f>K34-K39</f>
        <v>-9373.8076200000505</v>
      </c>
      <c r="L40" s="22">
        <f t="shared" si="330"/>
        <v>-3.4489012813621975E-2</v>
      </c>
      <c r="N40" s="4" t="s">
        <v>12</v>
      </c>
      <c r="O40" s="217">
        <f>O34-O39</f>
        <v>26690.70239000002</v>
      </c>
      <c r="P40" s="22">
        <f t="shared" ref="P40:R40" si="331">IF(O$32=0,"N.D.",O40/O$32)</f>
        <v>0.10658388862717581</v>
      </c>
      <c r="Q40" s="205">
        <f>Q34-Q39</f>
        <v>4457.9651300000041</v>
      </c>
      <c r="R40" s="22">
        <f t="shared" si="331"/>
        <v>0.10870395737218763</v>
      </c>
      <c r="S40" s="214">
        <f>S34-S39</f>
        <v>13770.977860000021</v>
      </c>
      <c r="T40" s="22">
        <f t="shared" ref="T40:V40" si="332">IF(S$32=0,"N.D.",S40/S$32)</f>
        <v>5.4422858765488344E-2</v>
      </c>
      <c r="U40" s="205">
        <f>U34-U39</f>
        <v>1424.4516700000022</v>
      </c>
      <c r="V40" s="22">
        <f t="shared" si="332"/>
        <v>4.9676499634275173E-2</v>
      </c>
      <c r="W40" s="214">
        <f>W34-W39</f>
        <v>-243.23737000000074</v>
      </c>
      <c r="X40" s="22">
        <f t="shared" ref="X40:Z40" si="333">IF(W$32=0,"N.D.",W40/W$32)</f>
        <v>-4.7353669558444542E-2</v>
      </c>
      <c r="Y40" s="205">
        <f>Y34-Y39</f>
        <v>397.57494999999994</v>
      </c>
      <c r="Z40" s="22">
        <f t="shared" si="333"/>
        <v>0.17957095825841327</v>
      </c>
      <c r="AA40" s="215">
        <f>AA34-AA39</f>
        <v>46498.434629999858</v>
      </c>
      <c r="AB40" s="22">
        <f t="shared" ref="AB40" si="334">IF(AA$32=0,"N.D.",AA40/AA$32)</f>
        <v>0.10289379537643348</v>
      </c>
      <c r="AC40" s="285"/>
      <c r="AE40" s="4" t="s">
        <v>12</v>
      </c>
      <c r="AF40" s="20">
        <f>AF34-AF39</f>
        <v>10707.974809999992</v>
      </c>
      <c r="AG40" s="22">
        <f t="shared" ref="AG40:AI40" si="335">IF(AF$32=0,"N.D.",AF40/AF$32)</f>
        <v>4.1377582317295901E-2</v>
      </c>
      <c r="AH40" s="20">
        <f>AH34-AH39</f>
        <v>-31131.828910000011</v>
      </c>
      <c r="AI40" s="22">
        <f t="shared" si="335"/>
        <v>-0.16351598188933741</v>
      </c>
      <c r="AJ40" s="20">
        <f>AJ34-AJ39</f>
        <v>-36792.660060000002</v>
      </c>
      <c r="AK40" s="22">
        <f t="shared" ref="AK40:AM40" si="336">IF(AJ$32=0,"N.D.",AJ40/AJ$32)</f>
        <v>-0.87098137039685797</v>
      </c>
      <c r="AL40" s="20">
        <f>AL34-AL39</f>
        <v>11734.221180000011</v>
      </c>
      <c r="AM40" s="22">
        <f t="shared" si="336"/>
        <v>0.16469236646326599</v>
      </c>
      <c r="AN40" s="20">
        <f>AN34-AN39</f>
        <v>0</v>
      </c>
      <c r="AO40" s="22" t="str">
        <f t="shared" ref="AO40:AQ40" si="337">IF(AN$32=0,"N.D.",AN40/AN$32)</f>
        <v>N.D.</v>
      </c>
      <c r="AP40" s="20">
        <f>AP34-AP39</f>
        <v>-3432.0949400000027</v>
      </c>
      <c r="AQ40" s="22">
        <f t="shared" si="337"/>
        <v>-0.18201216481669455</v>
      </c>
      <c r="AR40" s="20">
        <f>AR34-AR39</f>
        <v>38669.614149999972</v>
      </c>
      <c r="AS40" s="22">
        <f t="shared" ref="AS40:AU40" si="338">IF(AR$32=0,"N.D.",AR40/AR$32)</f>
        <v>5.9618135669974662E-2</v>
      </c>
      <c r="AT40" s="20">
        <f>AT34-AT39</f>
        <v>-10244.773769999912</v>
      </c>
      <c r="AU40" s="22">
        <f t="shared" si="338"/>
        <v>-8.3280880097894409E-3</v>
      </c>
      <c r="AX40" s="4" t="s">
        <v>12</v>
      </c>
      <c r="AY40" s="14">
        <f>AY34-AY39</f>
        <v>11300.846530000003</v>
      </c>
      <c r="AZ40" s="22">
        <f>IF(AY$32=0,"N.D.",AY40/AY$32)</f>
        <v>0.39828856656017014</v>
      </c>
      <c r="BA40" s="14">
        <f>BA34-BA39</f>
        <v>2190.0774199999992</v>
      </c>
      <c r="BB40" s="22">
        <f>IF(BA$32=0,"N.D.",BA40/BA$32)</f>
        <v>0.15502229621376976</v>
      </c>
      <c r="BC40" s="20">
        <f>BC34-BC39</f>
        <v>13490.923950000004</v>
      </c>
      <c r="BD40" s="22">
        <f>IF(BC$32=0,"N.D.",BC40/BC$32)</f>
        <v>0.31742592883194376</v>
      </c>
      <c r="BE40" s="226"/>
      <c r="BG40" s="4" t="s">
        <v>314</v>
      </c>
      <c r="BH40" s="20">
        <f>BH34-BH39</f>
        <v>125.23268000000053</v>
      </c>
      <c r="BI40" s="22">
        <f t="shared" si="278"/>
        <v>2.0215058078388231E-2</v>
      </c>
      <c r="BJ40" s="14">
        <f>BJ34-BJ39</f>
        <v>-84.292160000000194</v>
      </c>
      <c r="BK40" s="22">
        <f t="shared" si="278"/>
        <v>-3.236690561834081E-2</v>
      </c>
      <c r="BL40" s="14">
        <f>BL34-BL39</f>
        <v>43.561919999999645</v>
      </c>
      <c r="BM40" s="22">
        <f t="shared" ref="BM40:BO40" si="339">IF(BL$32=0,"N.D.",BL40/BL$32)</f>
        <v>7.8111352885216539E-3</v>
      </c>
      <c r="BN40" s="14">
        <f>BN34-BN39</f>
        <v>-235.90353999999979</v>
      </c>
      <c r="BO40" s="22">
        <f t="shared" si="339"/>
        <v>-0.11304220353679825</v>
      </c>
      <c r="BP40" s="14">
        <f>BP34-BP39</f>
        <v>-125.95362999999998</v>
      </c>
      <c r="BQ40" s="22">
        <f t="shared" ref="BQ40:BS40" si="340">IF(BP$32=0,"N.D.",BP40/BP$32)</f>
        <v>-4.5864117984237063E-2</v>
      </c>
      <c r="BR40" s="20">
        <f>BR34-BR39</f>
        <v>-277.35472999999911</v>
      </c>
      <c r="BS40" s="22">
        <f t="shared" si="340"/>
        <v>-1.4438575208621768E-2</v>
      </c>
      <c r="BU40" s="4" t="s">
        <v>314</v>
      </c>
      <c r="BV40" s="14">
        <f>BV34-BV39</f>
        <v>325.05234999999999</v>
      </c>
      <c r="BW40" s="22">
        <f t="shared" ref="BW40:BY40" si="341">IF(BV$32=0,"N.D.",BV40/BV$32)</f>
        <v>0.63863412855363533</v>
      </c>
      <c r="BX40" s="14">
        <f>BX34-BX39</f>
        <v>249.55927000000003</v>
      </c>
      <c r="BY40" s="22">
        <f t="shared" si="341"/>
        <v>0.83995733424307661</v>
      </c>
      <c r="BZ40" s="14">
        <f>BZ34-BZ39</f>
        <v>186.41677000000001</v>
      </c>
      <c r="CA40" s="22">
        <f t="shared" ref="CA40:CC40" si="342">IF(BZ$32=0,"N.D.",BZ40/BZ$32)</f>
        <v>0.81616013687840705</v>
      </c>
      <c r="CB40" s="14">
        <f>CB34-CB39</f>
        <v>20.196970000000007</v>
      </c>
      <c r="CC40" s="22">
        <f t="shared" si="342"/>
        <v>0.35620758377425055</v>
      </c>
      <c r="CD40" s="14">
        <f>CD34-CD39</f>
        <v>20.67632</v>
      </c>
      <c r="CE40" s="22">
        <f t="shared" ref="CE40:CG40" si="343">IF(CD$32=0,"N.D.",CD40/CD$32)</f>
        <v>0.91894755555555563</v>
      </c>
      <c r="CF40" s="20">
        <f>CF34-CF39</f>
        <v>801.90168000000006</v>
      </c>
      <c r="CG40" s="22">
        <f t="shared" si="343"/>
        <v>0.72003570162806652</v>
      </c>
    </row>
    <row r="41" spans="2:85" x14ac:dyDescent="0.35">
      <c r="B41" s="1"/>
      <c r="C41" s="222"/>
      <c r="D41" s="30"/>
      <c r="E41" s="222"/>
      <c r="F41" s="30"/>
      <c r="G41" s="222"/>
      <c r="H41" s="30"/>
      <c r="I41" s="222"/>
      <c r="J41" s="30"/>
      <c r="K41" s="222"/>
      <c r="L41" s="30"/>
      <c r="N41" s="1"/>
      <c r="O41" s="222"/>
      <c r="P41" s="30"/>
      <c r="Q41" s="222"/>
      <c r="R41" s="30"/>
      <c r="S41" s="222"/>
      <c r="T41" s="30"/>
      <c r="U41" s="222"/>
      <c r="V41" s="30"/>
      <c r="W41" s="222"/>
      <c r="X41" s="30"/>
      <c r="Y41" s="222"/>
      <c r="Z41" s="30"/>
      <c r="AA41" s="222"/>
      <c r="AB41" s="30"/>
      <c r="AC41" s="283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203">
        <f>'600'!$D166/1000+ajustes!B22</f>
        <v>0</v>
      </c>
      <c r="D42" s="225">
        <f t="shared" ref="D42:F48" si="344">IF(C$32=0,"N.D.",C42/C$32)</f>
        <v>0</v>
      </c>
      <c r="E42" s="11">
        <f>'600'!$D144/1000+ajustes!C22</f>
        <v>0</v>
      </c>
      <c r="F42" s="225">
        <f t="shared" si="344"/>
        <v>0</v>
      </c>
      <c r="G42" s="30">
        <f>'600'!$D210/1000+ajustes!D22</f>
        <v>0</v>
      </c>
      <c r="H42" s="225">
        <f t="shared" ref="H42" si="345">IF(G$32=0,"N.D.",G42/G$32)</f>
        <v>0</v>
      </c>
      <c r="I42" s="11">
        <f>'600'!$D188/1000+ajustes!E22</f>
        <v>0</v>
      </c>
      <c r="J42" s="225">
        <f t="shared" ref="J42:L42" si="346">IF(I$32=0,"N.D.",I42/I$32)</f>
        <v>0</v>
      </c>
      <c r="K42" s="211">
        <f t="shared" ref="K42:K46" si="347">SUM(C42,E42,G42,I42)</f>
        <v>0</v>
      </c>
      <c r="L42" s="225">
        <f t="shared" si="346"/>
        <v>0</v>
      </c>
      <c r="N42" s="7" t="s">
        <v>13</v>
      </c>
      <c r="O42" s="203">
        <f>'600'!$D12/1000+ajustes!F22</f>
        <v>874.69194999999991</v>
      </c>
      <c r="P42" s="225">
        <f t="shared" ref="P42:R42" si="348">IF(O$32=0,"N.D.",O42/O$32)</f>
        <v>3.4929043087609489E-3</v>
      </c>
      <c r="Q42" s="11">
        <f>'600'!$D34/1000+ajustes!G22</f>
        <v>180.02267999999998</v>
      </c>
      <c r="R42" s="225">
        <f t="shared" si="348"/>
        <v>4.3897108124636578E-3</v>
      </c>
      <c r="S42" s="30">
        <f>'600'!$D56/1000+ajustes!H22</f>
        <v>-148.42842999999999</v>
      </c>
      <c r="T42" s="225">
        <f t="shared" ref="T42:V42" si="349">IF(S$32=0,"N.D.",S42/S$32)</f>
        <v>-5.8658866238807243E-4</v>
      </c>
      <c r="U42" s="11">
        <f>'600'!$D78/1000+ajustes!I22</f>
        <v>4.6808800000000002</v>
      </c>
      <c r="V42" s="225">
        <f t="shared" si="349"/>
        <v>1.6324157463909296E-4</v>
      </c>
      <c r="W42" s="30">
        <f>'600'!$D100/1000+ajustes!J22</f>
        <v>-110.41139</v>
      </c>
      <c r="X42" s="225">
        <f t="shared" ref="X42:Z42" si="350">IF(W$32=0,"N.D.",W42/W$32)</f>
        <v>-2.1494988527250281E-2</v>
      </c>
      <c r="Y42" s="11">
        <f>'600'!$D122/1000+ajustes!K22</f>
        <v>0.26732999999999996</v>
      </c>
      <c r="Z42" s="225">
        <f t="shared" si="350"/>
        <v>1.2074378496739197E-4</v>
      </c>
      <c r="AA42" s="211">
        <f t="shared" ref="AA42:AA46" si="351">SUM(O42,Q42,S42,U42,W42,Y42)</f>
        <v>800.82302000000004</v>
      </c>
      <c r="AB42" s="225">
        <f t="shared" ref="AB42" si="352">IF(AA$32=0,"N.D.",AA42/AA$32)</f>
        <v>1.7720966438611E-3</v>
      </c>
      <c r="AC42" s="284"/>
      <c r="AE42" s="7" t="s">
        <v>13</v>
      </c>
      <c r="AF42" s="8">
        <f>'600'!$D298/1000+ajustes!L22</f>
        <v>4.0078200000000006</v>
      </c>
      <c r="AG42" s="225">
        <f t="shared" ref="AG42:AI42" si="353">IF(AF$32=0,"N.D.",AF42/AF$32)</f>
        <v>1.5486952939787966E-5</v>
      </c>
      <c r="AH42" s="8">
        <f>'600'!$D320/1000+ajustes!M22</f>
        <v>282.51150000000001</v>
      </c>
      <c r="AI42" s="225">
        <f t="shared" si="353"/>
        <v>1.4838558136457886E-3</v>
      </c>
      <c r="AJ42" s="8">
        <f>'600'!$D364/1000+ajustes!N22</f>
        <v>0</v>
      </c>
      <c r="AK42" s="225">
        <f t="shared" ref="AK42:AM42" si="354">IF(AJ$32=0,"N.D.",AJ42/AJ$32)</f>
        <v>0</v>
      </c>
      <c r="AL42" s="8">
        <f>'600'!$D342/2000+ajustes!O22</f>
        <v>0</v>
      </c>
      <c r="AM42" s="225">
        <f t="shared" si="354"/>
        <v>0</v>
      </c>
      <c r="AN42" s="8">
        <f>ajustes!P22</f>
        <v>0</v>
      </c>
      <c r="AO42" s="225" t="str">
        <f t="shared" ref="AO42:AQ42" si="355">IF(AN$32=0,"N.D.",AN42/AN$32)</f>
        <v>N.D.</v>
      </c>
      <c r="AP42" s="8">
        <f>'600'!$D408/1000+ajustes!Q22</f>
        <v>0</v>
      </c>
      <c r="AQ42" s="225">
        <f t="shared" si="355"/>
        <v>0</v>
      </c>
      <c r="AR42" s="8">
        <f>'600'!$D386/1000+ajustes!R22</f>
        <v>-171.23792</v>
      </c>
      <c r="AS42" s="225">
        <f t="shared" ref="AS42:AU42" si="356">IF(AR$32=0,"N.D.",AR42/AR$32)</f>
        <v>-2.6400277765389278E-4</v>
      </c>
      <c r="AT42" s="8">
        <f t="shared" ref="AT42:AT46" si="357">SUM(AF42,AH42,AJ42,AL42,AP42,AR42)</f>
        <v>115.28139999999999</v>
      </c>
      <c r="AU42" s="225">
        <f t="shared" si="356"/>
        <v>9.3713503747945473E-5</v>
      </c>
      <c r="AX42" s="7" t="s">
        <v>13</v>
      </c>
      <c r="AY42" s="8">
        <f>'600'!$D452/1000+ajustes!S22</f>
        <v>-269.63132000000002</v>
      </c>
      <c r="AZ42" s="225">
        <f t="shared" ref="AZ42:AZ48" si="358">IF(AY$32=0,"N.D.",AY42/AY$32)</f>
        <v>-9.5029227817083305E-3</v>
      </c>
      <c r="BA42" s="209">
        <f>'600'!$D430/1000+ajustes!T22</f>
        <v>-88.796449999999993</v>
      </c>
      <c r="BB42" s="225">
        <f t="shared" ref="BB42:BB48" si="359">IF(BA$32=0,"N.D.",BA42/BA$32)</f>
        <v>-6.2853620830587813E-3</v>
      </c>
      <c r="BC42" s="209">
        <f t="shared" ref="BC42:BC46" si="360">SUM(AY42,BA42)</f>
        <v>-358.42777000000001</v>
      </c>
      <c r="BD42" s="225">
        <f t="shared" ref="BD42:BD48" si="361">IF(BC$32=0,"N.D.",BC42/BC$32)</f>
        <v>-8.4333933119096916E-3</v>
      </c>
      <c r="BE42" s="192"/>
      <c r="BG42" s="7" t="s">
        <v>315</v>
      </c>
      <c r="BH42" s="199">
        <f>'600'!$D$678/1000+ajustes!U23</f>
        <v>-166.05459999999999</v>
      </c>
      <c r="BI42" s="225">
        <f t="shared" ref="BI42:BK46" si="362">IF(BH$32=0,"N.D.",BH42/BH$32)</f>
        <v>-2.6804532037352488E-2</v>
      </c>
      <c r="BJ42" s="199">
        <f>'600'!$D476/1000+ajustes!V23</f>
        <v>-18.564970000000002</v>
      </c>
      <c r="BK42" s="225">
        <f t="shared" si="362"/>
        <v>-7.1286657240403764E-3</v>
      </c>
      <c r="BL42" s="8">
        <f>'600'!$D499/1000+ajustes!W23</f>
        <v>-133.11635000000001</v>
      </c>
      <c r="BM42" s="225">
        <f t="shared" ref="BM42:BO42" si="363">IF(BL$32=0,"N.D.",BL42/BL$32)</f>
        <v>-2.3869237603948771E-2</v>
      </c>
      <c r="BN42" s="200">
        <f>'600'!$D566/1000+ajustes!X23</f>
        <v>-20.036080000000002</v>
      </c>
      <c r="BO42" s="225">
        <f t="shared" si="363"/>
        <v>-9.6010540301327187E-3</v>
      </c>
      <c r="BP42" s="8">
        <f>'600'!$D611/1000+ajustes!Y23</f>
        <v>-22.568300000000001</v>
      </c>
      <c r="BQ42" s="225">
        <f t="shared" ref="BQ42:BS42" si="364">IF(BP$32=0,"N.D.",BP42/BP$32)</f>
        <v>-8.217906652659852E-3</v>
      </c>
      <c r="BR42" s="209">
        <f>SUM(BJ42,BL42,BN42,BP42)+BH42</f>
        <v>-360.34030000000001</v>
      </c>
      <c r="BS42" s="225">
        <f t="shared" si="364"/>
        <v>-1.8758650779986147E-2</v>
      </c>
      <c r="BU42" s="7" t="s">
        <v>315</v>
      </c>
      <c r="BV42" s="199">
        <f>'600'!$D521/1000-SUM(BX42,BZ42,CB42,CD42)+ajustes!Z23</f>
        <v>2.9867599999999999</v>
      </c>
      <c r="BW42" s="225">
        <f t="shared" ref="BW42:BY42" si="365">IF(BV$32=0,"N.D.",BV42/BV$32)</f>
        <v>5.8681220726410858E-3</v>
      </c>
      <c r="BX42" s="8">
        <f>'600'!$D588/1000+ajustes!AA23</f>
        <v>0</v>
      </c>
      <c r="BY42" s="225">
        <f t="shared" si="365"/>
        <v>0</v>
      </c>
      <c r="BZ42" s="200">
        <f>'600'!$D633/1000+ajustes!AB23</f>
        <v>0.15828999999999999</v>
      </c>
      <c r="CA42" s="225">
        <f t="shared" ref="CA42:CC42" si="366">IF(BZ$32=0,"N.D.",BZ42/BZ$32)</f>
        <v>6.9301698589929988E-4</v>
      </c>
      <c r="CB42" s="8">
        <f>'600'!$D543/1000+ajustes!AC23</f>
        <v>1.43913</v>
      </c>
      <c r="CC42" s="225">
        <f t="shared" si="366"/>
        <v>2.5381481481481481E-2</v>
      </c>
      <c r="CD42" s="209">
        <f>'600'!$D655/1000+ajustes!AD23</f>
        <v>0</v>
      </c>
      <c r="CE42" s="225">
        <f t="shared" ref="CE42:CG42" si="367">IF(CD$32=0,"N.D.",CD42/CD$32)</f>
        <v>0</v>
      </c>
      <c r="CF42" s="209">
        <f>SUM(BV42,BX42,BZ42,CB42,CD42)</f>
        <v>4.5841799999999999</v>
      </c>
      <c r="CG42" s="225">
        <f t="shared" si="367"/>
        <v>4.1161820021244373E-3</v>
      </c>
    </row>
    <row r="43" spans="2:85" x14ac:dyDescent="0.35">
      <c r="B43" s="7" t="s">
        <v>14</v>
      </c>
      <c r="C43" s="203">
        <f>'600'!$D167/1000+ajustes!B23</f>
        <v>0</v>
      </c>
      <c r="D43" s="224">
        <f t="shared" si="344"/>
        <v>0</v>
      </c>
      <c r="E43" s="11">
        <f>'600'!$D145/1000+ajustes!C23</f>
        <v>-91.637929999999997</v>
      </c>
      <c r="F43" s="224">
        <f t="shared" si="344"/>
        <v>-8.2668031072417724E-3</v>
      </c>
      <c r="G43" s="30">
        <f>'600'!$D211/1000+ajustes!D23</f>
        <v>0</v>
      </c>
      <c r="H43" s="224">
        <f t="shared" ref="H43" si="368">IF(G$32=0,"N.D.",G43/G$32)</f>
        <v>0</v>
      </c>
      <c r="I43" s="11">
        <f>'600'!$D189/1000+ajustes!E23</f>
        <v>0</v>
      </c>
      <c r="J43" s="224">
        <f t="shared" ref="J43:L43" si="369">IF(I$32=0,"N.D.",I43/I$32)</f>
        <v>0</v>
      </c>
      <c r="K43" s="211">
        <f t="shared" si="347"/>
        <v>-91.637929999999997</v>
      </c>
      <c r="L43" s="224">
        <f t="shared" si="369"/>
        <v>-3.3716306863824632E-4</v>
      </c>
      <c r="N43" s="7" t="s">
        <v>14</v>
      </c>
      <c r="O43" s="203">
        <f>'600'!$D13/1000+ajustes!F23</f>
        <v>-1035.6801499999999</v>
      </c>
      <c r="P43" s="224">
        <f t="shared" ref="P43:R43" si="370">IF(O$32=0,"N.D.",O43/O$32)</f>
        <v>-4.1357779255121602E-3</v>
      </c>
      <c r="Q43" s="11">
        <f>'600'!$D35/1000+ajustes!G23</f>
        <v>-200.31217999999998</v>
      </c>
      <c r="R43" s="224">
        <f t="shared" si="370"/>
        <v>-4.884454238844608E-3</v>
      </c>
      <c r="S43" s="30">
        <f>'600'!$D57/1000+ajustes!H23</f>
        <v>-68.054040000000001</v>
      </c>
      <c r="T43" s="224">
        <f t="shared" ref="T43:V43" si="371">IF(S$32=0,"N.D.",S43/S$32)</f>
        <v>-2.6894934005368366E-4</v>
      </c>
      <c r="U43" s="11">
        <f>'600'!$D79/1000+ajustes!I23</f>
        <v>-7.8518299999999996</v>
      </c>
      <c r="V43" s="224">
        <f t="shared" si="371"/>
        <v>-2.7382566803645238E-4</v>
      </c>
      <c r="W43" s="30">
        <f>'600'!$D101/1000+ajustes!J23</f>
        <v>-14.03579</v>
      </c>
      <c r="X43" s="224">
        <f t="shared" ref="X43:Z43" si="372">IF(W$32=0,"N.D.",W43/W$32)</f>
        <v>-2.7325001978590635E-3</v>
      </c>
      <c r="Y43" s="11">
        <f>'600'!$D123/1000+ajustes!K23</f>
        <v>0</v>
      </c>
      <c r="Z43" s="224">
        <f t="shared" si="372"/>
        <v>0</v>
      </c>
      <c r="AA43" s="211">
        <f t="shared" si="351"/>
        <v>-1325.9339899999998</v>
      </c>
      <c r="AB43" s="224">
        <f t="shared" ref="AB43" si="373">IF(AA$32=0,"N.D.",AA43/AA$32)</f>
        <v>-2.9340854533132137E-3</v>
      </c>
      <c r="AC43" s="284"/>
      <c r="AE43" s="7" t="s">
        <v>14</v>
      </c>
      <c r="AF43" s="11">
        <f>'600'!$D299/1000+ajustes!L23</f>
        <v>-4199.1422499999999</v>
      </c>
      <c r="AG43" s="224">
        <f t="shared" ref="AG43:AI43" si="374">IF(AF$32=0,"N.D.",AF43/AF$32)</f>
        <v>-1.6226257270342815E-2</v>
      </c>
      <c r="AH43" s="11">
        <f>'600'!$D321/1000+ajustes!M23</f>
        <v>-43360.556560000005</v>
      </c>
      <c r="AI43" s="224">
        <f t="shared" si="374"/>
        <v>-0.22774582250447517</v>
      </c>
      <c r="AJ43" s="11">
        <f>'600'!$D365/1000+ajustes!N23</f>
        <v>-45072.417380000006</v>
      </c>
      <c r="AK43" s="224">
        <f t="shared" ref="AK43:AM43" si="375">IF(AJ$32=0,"N.D.",AJ43/AJ$32)</f>
        <v>-1.0669855289808465</v>
      </c>
      <c r="AL43" s="11">
        <f>'600'!$D343/2000+ajustes!O23</f>
        <v>-316.12733000000003</v>
      </c>
      <c r="AM43" s="224">
        <f t="shared" si="375"/>
        <v>-4.4369163732955793E-3</v>
      </c>
      <c r="AN43" s="11">
        <f>ajustes!P23</f>
        <v>0</v>
      </c>
      <c r="AO43" s="224" t="str">
        <f t="shared" ref="AO43:AQ43" si="376">IF(AN$32=0,"N.D.",AN43/AN$32)</f>
        <v>N.D.</v>
      </c>
      <c r="AP43" s="11">
        <f>'600'!$D409/1000+ajustes!Q23</f>
        <v>-6.2600000000000003E-2</v>
      </c>
      <c r="AQ43" s="224">
        <f t="shared" si="376"/>
        <v>-3.3198270201479535E-6</v>
      </c>
      <c r="AR43" s="11">
        <f>'600'!$D387/1000+ajustes!R23</f>
        <v>-606.51891000000001</v>
      </c>
      <c r="AS43" s="224">
        <f t="shared" ref="AS43:AU43" si="377">IF(AR$32=0,"N.D.",AR43/AR$32)</f>
        <v>-9.3508889234120217E-4</v>
      </c>
      <c r="AT43" s="11">
        <f t="shared" si="357"/>
        <v>-93554.825030000007</v>
      </c>
      <c r="AU43" s="224">
        <f t="shared" si="377"/>
        <v>-7.6051734677816979E-2</v>
      </c>
      <c r="AX43" s="7" t="s">
        <v>14</v>
      </c>
      <c r="AY43" s="11">
        <f>'600'!$D453/1000+ajustes!S23</f>
        <v>0</v>
      </c>
      <c r="AZ43" s="224">
        <f t="shared" si="358"/>
        <v>0</v>
      </c>
      <c r="BA43" s="211">
        <f>'600'!$D431/1000+ajustes!T23</f>
        <v>0</v>
      </c>
      <c r="BB43" s="224">
        <f t="shared" si="359"/>
        <v>0</v>
      </c>
      <c r="BC43" s="211">
        <f t="shared" si="360"/>
        <v>0</v>
      </c>
      <c r="BD43" s="224">
        <f t="shared" si="361"/>
        <v>0</v>
      </c>
      <c r="BE43" s="192"/>
      <c r="BG43" s="7" t="s">
        <v>316</v>
      </c>
      <c r="BH43" s="203">
        <f>'600'!$D$679/1000+ajustes!U24</f>
        <v>118.64276</v>
      </c>
      <c r="BI43" s="224">
        <f t="shared" si="362"/>
        <v>1.915131325130362E-2</v>
      </c>
      <c r="BJ43" s="203">
        <f>'600'!$D477/1000+ajustes!V24</f>
        <v>4.0886700000000005</v>
      </c>
      <c r="BK43" s="224">
        <f t="shared" si="362"/>
        <v>1.5699870070305616E-3</v>
      </c>
      <c r="BL43" s="11">
        <f>'600'!$D500/1000+ajustes!W24</f>
        <v>156.07680999999999</v>
      </c>
      <c r="BM43" s="224">
        <f t="shared" ref="BM43:BO43" si="378">IF(BL$32=0,"N.D.",BL43/BL$32)</f>
        <v>2.7986302676991721E-2</v>
      </c>
      <c r="BN43" s="30">
        <f>'600'!$D567/1000+ajustes!X24</f>
        <v>0</v>
      </c>
      <c r="BO43" s="224">
        <f t="shared" si="378"/>
        <v>0</v>
      </c>
      <c r="BP43" s="11">
        <f>'600'!$D612/1000+ajustes!Y24</f>
        <v>0</v>
      </c>
      <c r="BQ43" s="224">
        <f t="shared" ref="BQ43:BS43" si="379">IF(BP$32=0,"N.D.",BP43/BP$32)</f>
        <v>0</v>
      </c>
      <c r="BR43" s="211">
        <f t="shared" ref="BR43:BR44" si="380">SUM(BJ43,BL43,BN43,BP43)+BH43</f>
        <v>278.80824000000001</v>
      </c>
      <c r="BS43" s="224">
        <f t="shared" si="379"/>
        <v>1.4514242255841395E-2</v>
      </c>
      <c r="BU43" s="7" t="s">
        <v>316</v>
      </c>
      <c r="BV43" s="203">
        <f>'600'!$D522/1000-SUM(BX43,BZ43,CB43,CD43)+ajustes!Z24</f>
        <v>236.50632000000002</v>
      </c>
      <c r="BW43" s="224">
        <f t="shared" ref="BW43:BY43" si="381">IF(BV$32=0,"N.D.",BV43/BV$32)</f>
        <v>0.46466671467112058</v>
      </c>
      <c r="BX43" s="11">
        <f>'600'!$D589/1000+ajustes!AA24</f>
        <v>0</v>
      </c>
      <c r="BY43" s="224">
        <f t="shared" si="381"/>
        <v>0</v>
      </c>
      <c r="BZ43" s="30">
        <f>'600'!$D634/1000+ajustes!AB24</f>
        <v>3.7537500000000001</v>
      </c>
      <c r="CA43" s="224">
        <f t="shared" ref="CA43:CC43" si="382">IF(BZ$32=0,"N.D.",BZ43/BZ$32)</f>
        <v>1.6434471607931628E-2</v>
      </c>
      <c r="CB43" s="11">
        <f>'600'!$D544/1000+ajustes!AC24</f>
        <v>29.116099999999999</v>
      </c>
      <c r="CC43" s="224">
        <f t="shared" si="382"/>
        <v>0.51351146384479718</v>
      </c>
      <c r="CD43" s="211">
        <f>'600'!$D656/1000+ajustes!AD24</f>
        <v>4.4649899999999993</v>
      </c>
      <c r="CE43" s="224">
        <f t="shared" ref="CE43:CG43" si="383">IF(CD$32=0,"N.D.",CD43/CD$32)</f>
        <v>0.19844399999999998</v>
      </c>
      <c r="CF43" s="211">
        <f>SUM(BV43,BX43,BZ43,CB43,CD43)</f>
        <v>273.84116</v>
      </c>
      <c r="CG43" s="224">
        <f t="shared" si="383"/>
        <v>0.24588477202746803</v>
      </c>
    </row>
    <row r="44" spans="2:85" x14ac:dyDescent="0.35">
      <c r="B44" s="7" t="s">
        <v>15</v>
      </c>
      <c r="C44" s="203">
        <f>'600'!$D168/1000+ajustes!B24</f>
        <v>257.39438999999999</v>
      </c>
      <c r="D44" s="224">
        <f t="shared" si="344"/>
        <v>1.5617996645932268E-3</v>
      </c>
      <c r="E44" s="11">
        <f>'600'!$D146/1000+ajustes!C24</f>
        <v>0</v>
      </c>
      <c r="F44" s="224">
        <f t="shared" si="344"/>
        <v>0</v>
      </c>
      <c r="G44" s="30">
        <f>'600'!$D212/1000+ajustes!D24</f>
        <v>49.415190000000003</v>
      </c>
      <c r="H44" s="224">
        <f t="shared" ref="H44" si="384">IF(G$32=0,"N.D.",G44/G$32)</f>
        <v>5.8852683949199385E-4</v>
      </c>
      <c r="I44" s="11">
        <f>'600'!$D190/1000+ajustes!E24</f>
        <v>0</v>
      </c>
      <c r="J44" s="224">
        <f t="shared" ref="J44:L44" si="385">IF(I$32=0,"N.D.",I44/I$32)</f>
        <v>0</v>
      </c>
      <c r="K44" s="211">
        <f t="shared" si="347"/>
        <v>306.80957999999998</v>
      </c>
      <c r="L44" s="224">
        <f t="shared" si="385"/>
        <v>1.1288432582491935E-3</v>
      </c>
      <c r="N44" s="7" t="s">
        <v>15</v>
      </c>
      <c r="O44" s="203">
        <f>'600'!$D14/1000+ajustes!F24</f>
        <v>3370.5196499999997</v>
      </c>
      <c r="P44" s="224">
        <f t="shared" ref="P44:R44" si="386">IF(O$32=0,"N.D.",O44/O$32)</f>
        <v>1.3459484345601265E-2</v>
      </c>
      <c r="Q44" s="11">
        <f>'600'!$D36/1000+ajustes!G24</f>
        <v>54.125610000000002</v>
      </c>
      <c r="R44" s="224">
        <f t="shared" si="386"/>
        <v>1.319810234178222E-3</v>
      </c>
      <c r="S44" s="30">
        <f>'600'!$D58/1000+ajustes!H24</f>
        <v>540.67128000000002</v>
      </c>
      <c r="T44" s="224">
        <f t="shared" ref="T44:V44" si="387">IF(S$32=0,"N.D.",S44/S$32)</f>
        <v>2.1367311028409248E-3</v>
      </c>
      <c r="U44" s="11">
        <f>'600'!$D80/1000+ajustes!I24</f>
        <v>92.76755</v>
      </c>
      <c r="V44" s="224">
        <f t="shared" si="387"/>
        <v>3.2351867463833268E-3</v>
      </c>
      <c r="W44" s="30">
        <f>'600'!$D102/1000+ajustes!J24</f>
        <v>5.3794799999999992</v>
      </c>
      <c r="X44" s="224">
        <f t="shared" ref="X44:Z44" si="388">IF(W$32=0,"N.D.",W44/W$32)</f>
        <v>1.0472819958391279E-3</v>
      </c>
      <c r="Y44" s="11">
        <f>'600'!$D124/1000+ajustes!K24</f>
        <v>10.629790000000002</v>
      </c>
      <c r="Z44" s="224">
        <f t="shared" si="388"/>
        <v>4.8011112782274119E-3</v>
      </c>
      <c r="AA44" s="211">
        <f t="shared" si="351"/>
        <v>4074.0933599999998</v>
      </c>
      <c r="AB44" s="224">
        <f t="shared" ref="AB44" si="389">IF(AA$32=0,"N.D.",AA44/AA$32)</f>
        <v>9.0153342120869503E-3</v>
      </c>
      <c r="AC44" s="284"/>
      <c r="AE44" s="7" t="s">
        <v>15</v>
      </c>
      <c r="AF44" s="11">
        <f>'600'!$D300/1000+ajustes!L24</f>
        <v>872.46097999999995</v>
      </c>
      <c r="AG44" s="224">
        <f t="shared" ref="AG44:AI44" si="390">IF(AF$32=0,"N.D.",AF44/AF$32)</f>
        <v>3.3713495464021059E-3</v>
      </c>
      <c r="AH44" s="11">
        <f>'600'!$D322/1000+ajustes!M24</f>
        <v>1243.19309</v>
      </c>
      <c r="AI44" s="224">
        <f t="shared" si="390"/>
        <v>6.5297139906898369E-3</v>
      </c>
      <c r="AJ44" s="11">
        <f>'600'!$D366/1000+ajustes!N24</f>
        <v>154.65649999999999</v>
      </c>
      <c r="AK44" s="224">
        <f t="shared" ref="AK44:AM44" si="391">IF(AJ$32=0,"N.D.",AJ44/AJ$32)</f>
        <v>3.6611359464391404E-3</v>
      </c>
      <c r="AL44" s="11">
        <f>'600'!$D344/2000+ajustes!O24</f>
        <v>175.11549499999998</v>
      </c>
      <c r="AM44" s="224">
        <f t="shared" si="391"/>
        <v>2.457784358547108E-3</v>
      </c>
      <c r="AN44" s="11">
        <f>ajustes!P24</f>
        <v>0</v>
      </c>
      <c r="AO44" s="224" t="str">
        <f t="shared" ref="AO44:AQ44" si="392">IF(AN$32=0,"N.D.",AN44/AN$32)</f>
        <v>N.D.</v>
      </c>
      <c r="AP44" s="11">
        <f>'600'!$D410/1000+ajustes!Q24</f>
        <v>0</v>
      </c>
      <c r="AQ44" s="224">
        <f t="shared" si="392"/>
        <v>0</v>
      </c>
      <c r="AR44" s="11">
        <f>'600'!$D388/1000+ajustes!R24</f>
        <v>3331.4356299999999</v>
      </c>
      <c r="AS44" s="224">
        <f t="shared" ref="AS44:AU44" si="393">IF(AR$32=0,"N.D.",AR44/AR$32)</f>
        <v>5.1361769629947977E-3</v>
      </c>
      <c r="AT44" s="11">
        <f t="shared" si="357"/>
        <v>5776.8616949999996</v>
      </c>
      <c r="AU44" s="224">
        <f t="shared" si="393"/>
        <v>4.6960736953727588E-3</v>
      </c>
      <c r="AX44" s="7" t="s">
        <v>15</v>
      </c>
      <c r="AY44" s="11">
        <f>'600'!$D454/1000+ajustes!S24</f>
        <v>16.5029</v>
      </c>
      <c r="AZ44" s="224">
        <f t="shared" si="358"/>
        <v>5.8163044402354436E-4</v>
      </c>
      <c r="BA44" s="211">
        <f>'600'!$D432/1000+ajustes!T24</f>
        <v>140.20457999999999</v>
      </c>
      <c r="BB44" s="224">
        <f t="shared" si="359"/>
        <v>9.9242317795720601E-3</v>
      </c>
      <c r="BC44" s="211">
        <f t="shared" si="360"/>
        <v>156.70748</v>
      </c>
      <c r="BD44" s="224">
        <f t="shared" si="361"/>
        <v>3.6871468239144021E-3</v>
      </c>
      <c r="BE44" s="192"/>
      <c r="BG44" s="7" t="s">
        <v>317</v>
      </c>
      <c r="BH44" s="203">
        <f>'600'!$D$680/1000+ajustes!U25</f>
        <v>0</v>
      </c>
      <c r="BI44" s="224">
        <f t="shared" si="362"/>
        <v>0</v>
      </c>
      <c r="BJ44" s="201">
        <f>'600'!$D478/1000+ajustes!V25</f>
        <v>0</v>
      </c>
      <c r="BK44" s="224">
        <f t="shared" si="362"/>
        <v>0</v>
      </c>
      <c r="BL44" s="34">
        <f>'600'!$D501/1000+ajustes!W25</f>
        <v>0</v>
      </c>
      <c r="BM44" s="224">
        <f t="shared" ref="BM44:BO44" si="394">IF(BL$32=0,"N.D.",BL44/BL$32)</f>
        <v>0</v>
      </c>
      <c r="BN44" s="202">
        <f>'600'!$D568/1000+ajustes!X25</f>
        <v>0</v>
      </c>
      <c r="BO44" s="224">
        <f t="shared" si="394"/>
        <v>0</v>
      </c>
      <c r="BP44" s="34">
        <f>'600'!$D613/1000+ajustes!Y25</f>
        <v>0</v>
      </c>
      <c r="BQ44" s="224">
        <f t="shared" ref="BQ44:BS44" si="395">IF(BP$32=0,"N.D.",BP44/BP$32)</f>
        <v>0</v>
      </c>
      <c r="BR44" s="211">
        <f t="shared" si="380"/>
        <v>0</v>
      </c>
      <c r="BS44" s="224">
        <f t="shared" si="395"/>
        <v>0</v>
      </c>
      <c r="BU44" s="7" t="s">
        <v>317</v>
      </c>
      <c r="BV44" s="201">
        <f>'600'!$D523/1000-SUM(BX44,BZ44,CB44,CD44)+ajustes!Z25</f>
        <v>0</v>
      </c>
      <c r="BW44" s="224">
        <f t="shared" ref="BW44:BY44" si="396">IF(BV$32=0,"N.D.",BV44/BV$32)</f>
        <v>0</v>
      </c>
      <c r="BX44" s="34">
        <f>'600'!$D590/1000+ajustes!AA25</f>
        <v>0</v>
      </c>
      <c r="BY44" s="224">
        <f t="shared" si="396"/>
        <v>0</v>
      </c>
      <c r="BZ44" s="202">
        <f>'600'!$D635/1000+ajustes!AB25</f>
        <v>0</v>
      </c>
      <c r="CA44" s="224">
        <f t="shared" ref="CA44:CC44" si="397">IF(BZ$32=0,"N.D.",BZ44/BZ$32)</f>
        <v>0</v>
      </c>
      <c r="CB44" s="34">
        <f>'600'!$D545/1000+ajustes!AC25</f>
        <v>0</v>
      </c>
      <c r="CC44" s="224">
        <f t="shared" si="397"/>
        <v>0</v>
      </c>
      <c r="CD44" s="212">
        <f>'600'!$D657/1000+ajustes!AD25</f>
        <v>0</v>
      </c>
      <c r="CE44" s="224">
        <f t="shared" ref="CE44:CG44" si="398">IF(CD$32=0,"N.D.",CD44/CD$32)</f>
        <v>0</v>
      </c>
      <c r="CF44" s="211">
        <f>SUM(BV44,BX44,BZ44,CB44,CD44)</f>
        <v>0</v>
      </c>
      <c r="CG44" s="224">
        <f t="shared" si="398"/>
        <v>0</v>
      </c>
    </row>
    <row r="45" spans="2:85" x14ac:dyDescent="0.35">
      <c r="B45" s="7" t="s">
        <v>16</v>
      </c>
      <c r="C45" s="203">
        <f>'600'!$D169/1000-'600'!$D169/1000+ajustes!B25</f>
        <v>0</v>
      </c>
      <c r="D45" s="224">
        <f t="shared" si="344"/>
        <v>0</v>
      </c>
      <c r="E45" s="11">
        <f>'600'!$D147/1000+ajustes!C25</f>
        <v>1.6190000000000003E-2</v>
      </c>
      <c r="F45" s="224">
        <f t="shared" si="344"/>
        <v>1.4605255957466992E-6</v>
      </c>
      <c r="G45" s="30">
        <f>'600'!$D213/1000+ajustes!D25</f>
        <v>0.10008</v>
      </c>
      <c r="H45" s="224">
        <f t="shared" ref="H45" si="399">IF(G$32=0,"N.D.",G45/G$32)</f>
        <v>1.1919364490222286E-6</v>
      </c>
      <c r="I45" s="11">
        <f>'600'!$D191/1000+ajustes!E25</f>
        <v>0</v>
      </c>
      <c r="J45" s="224">
        <f t="shared" ref="J45:L45" si="400">IF(I$32=0,"N.D.",I45/I$32)</f>
        <v>0</v>
      </c>
      <c r="K45" s="211">
        <f t="shared" si="347"/>
        <v>0.11627000000000001</v>
      </c>
      <c r="L45" s="224">
        <f t="shared" si="400"/>
        <v>4.277917450838196E-7</v>
      </c>
      <c r="N45" s="7" t="s">
        <v>16</v>
      </c>
      <c r="O45" s="203">
        <f>'600'!$D15/1000+ajustes!F25</f>
        <v>450.89663999999999</v>
      </c>
      <c r="P45" s="224">
        <f t="shared" ref="P45:R45" si="401">IF(O$32=0,"N.D.",O45/O$32)</f>
        <v>1.8005639775944371E-3</v>
      </c>
      <c r="Q45" s="11">
        <f>'600'!$D37/1000+ajustes!G25</f>
        <v>92.001059999999995</v>
      </c>
      <c r="R45" s="224">
        <f t="shared" si="401"/>
        <v>2.2433731563162914E-3</v>
      </c>
      <c r="S45" s="30">
        <f>'600'!$D59/1000+ajustes!H25</f>
        <v>50.934609999999999</v>
      </c>
      <c r="T45" s="224">
        <f t="shared" ref="T45:V45" si="402">IF(S$32=0,"N.D.",S45/S$32)</f>
        <v>2.0129340955205239E-4</v>
      </c>
      <c r="U45" s="11">
        <f>'600'!$D81/1000+ajustes!I25</f>
        <v>8.7980000000000003E-2</v>
      </c>
      <c r="V45" s="224">
        <f t="shared" si="402"/>
        <v>3.0682251492769304E-6</v>
      </c>
      <c r="W45" s="30">
        <f>'600'!$D103/1000+ajustes!J25</f>
        <v>3.15E-3</v>
      </c>
      <c r="X45" s="224">
        <f t="shared" ref="X45:Z45" si="403">IF(W$32=0,"N.D.",W45/W$32)</f>
        <v>6.132448279189166E-7</v>
      </c>
      <c r="Y45" s="11">
        <f>'600'!$D125/1000+ajustes!K25</f>
        <v>5.7000000000000002E-3</v>
      </c>
      <c r="Z45" s="224">
        <f t="shared" si="403"/>
        <v>2.574494348984904E-6</v>
      </c>
      <c r="AA45" s="211">
        <f t="shared" si="351"/>
        <v>593.92914000000007</v>
      </c>
      <c r="AB45" s="224">
        <f t="shared" ref="AB45" si="404">IF(AA$32=0,"N.D.",AA45/AA$32)</f>
        <v>1.3142727037058818E-3</v>
      </c>
      <c r="AC45" s="284"/>
      <c r="AE45" s="7" t="s">
        <v>16</v>
      </c>
      <c r="AF45" s="11">
        <f>'600'!$D301/1000+ajustes!L25</f>
        <v>1.23E-3</v>
      </c>
      <c r="AG45" s="224">
        <f t="shared" ref="AG45:AI45" si="405">IF(AF$32=0,"N.D.",AF45/AF$32)</f>
        <v>4.7529460195166439E-9</v>
      </c>
      <c r="AH45" s="11">
        <f>'600'!$D323/1000+ajustes!M25</f>
        <v>0.29681999999999997</v>
      </c>
      <c r="AI45" s="224">
        <f t="shared" si="405"/>
        <v>1.559009394684262E-6</v>
      </c>
      <c r="AJ45" s="11">
        <f>'600'!$D367/1000+ajustes!N25</f>
        <v>0</v>
      </c>
      <c r="AK45" s="224">
        <f t="shared" ref="AK45:AM45" si="406">IF(AJ$32=0,"N.D.",AJ45/AJ$32)</f>
        <v>0</v>
      </c>
      <c r="AL45" s="11">
        <f>'600'!$D345/2000+ajustes!O25</f>
        <v>0</v>
      </c>
      <c r="AM45" s="224">
        <f t="shared" si="406"/>
        <v>0</v>
      </c>
      <c r="AN45" s="11">
        <f>ajustes!P25</f>
        <v>0</v>
      </c>
      <c r="AO45" s="224" t="str">
        <f t="shared" ref="AO45:AQ45" si="407">IF(AN$32=0,"N.D.",AN45/AN$32)</f>
        <v>N.D.</v>
      </c>
      <c r="AP45" s="11">
        <f>'600'!$D411/1000+ajustes!Q25</f>
        <v>3.2119999999999996E-2</v>
      </c>
      <c r="AQ45" s="224">
        <f t="shared" si="407"/>
        <v>1.703400062095084E-6</v>
      </c>
      <c r="AR45" s="11">
        <f>'600'!$D389/1000+ajustes!R25</f>
        <v>0</v>
      </c>
      <c r="AS45" s="224">
        <f t="shared" ref="AS45:AU45" si="408">IF(AR$32=0,"N.D.",AR45/AR$32)</f>
        <v>0</v>
      </c>
      <c r="AT45" s="11">
        <f t="shared" si="357"/>
        <v>0.33016999999999996</v>
      </c>
      <c r="AU45" s="224">
        <f t="shared" si="408"/>
        <v>2.6839878360654153E-7</v>
      </c>
      <c r="AX45" s="7" t="s">
        <v>16</v>
      </c>
      <c r="AY45" s="11">
        <f>'600'!$D455/1000+ajustes!S25</f>
        <v>3758.7465999999999</v>
      </c>
      <c r="AZ45" s="224">
        <f t="shared" si="358"/>
        <v>0.13247377454447326</v>
      </c>
      <c r="BA45" s="211">
        <f>'600'!$D433/1000+ajustes!T25</f>
        <v>0</v>
      </c>
      <c r="BB45" s="224">
        <f t="shared" si="359"/>
        <v>0</v>
      </c>
      <c r="BC45" s="211">
        <f t="shared" si="360"/>
        <v>3758.7465999999999</v>
      </c>
      <c r="BD45" s="224">
        <f t="shared" si="361"/>
        <v>8.8438985733731768E-2</v>
      </c>
      <c r="BE45" s="192"/>
      <c r="BG45" s="7" t="s">
        <v>318</v>
      </c>
      <c r="BH45" s="14">
        <f>BH42+BH43</f>
        <v>-47.411839999999998</v>
      </c>
      <c r="BI45" s="22">
        <f t="shared" si="362"/>
        <v>-7.6532187860488673E-3</v>
      </c>
      <c r="BJ45" s="213">
        <f>BJ42+BJ43</f>
        <v>-14.476300000000002</v>
      </c>
      <c r="BK45" s="22">
        <f t="shared" si="362"/>
        <v>-5.5586787170098144E-3</v>
      </c>
      <c r="BL45" s="213">
        <f>BL42+BL43</f>
        <v>22.960459999999983</v>
      </c>
      <c r="BM45" s="22">
        <f t="shared" ref="BM45:BO45" si="409">IF(BL$32=0,"N.D.",BL45/BL$32)</f>
        <v>4.1170650730429515E-3</v>
      </c>
      <c r="BN45" s="213">
        <f>BN42+BN43</f>
        <v>-20.036080000000002</v>
      </c>
      <c r="BO45" s="22">
        <f t="shared" si="409"/>
        <v>-9.6010540301327187E-3</v>
      </c>
      <c r="BP45" s="213">
        <f>BP42+BP43</f>
        <v>-22.568300000000001</v>
      </c>
      <c r="BQ45" s="22">
        <f t="shared" ref="BQ45:BS45" si="410">IF(BP$32=0,"N.D.",BP45/BP$32)</f>
        <v>-8.217906652659852E-3</v>
      </c>
      <c r="BR45" s="14">
        <f>BR42+BR43</f>
        <v>-81.532060000000001</v>
      </c>
      <c r="BS45" s="22">
        <f t="shared" si="410"/>
        <v>-4.2444085241447526E-3</v>
      </c>
      <c r="BU45" s="7" t="s">
        <v>318</v>
      </c>
      <c r="BV45" s="213">
        <f>BV42+BV43</f>
        <v>239.49308000000002</v>
      </c>
      <c r="BW45" s="22">
        <f t="shared" ref="BW45:BY45" si="411">IF(BV$32=0,"N.D.",BV45/BV$32)</f>
        <v>0.47053483674376168</v>
      </c>
      <c r="BX45" s="213">
        <f>BX42+BX43</f>
        <v>0</v>
      </c>
      <c r="BY45" s="22">
        <f t="shared" si="411"/>
        <v>0</v>
      </c>
      <c r="BZ45" s="213">
        <f>BZ42+BZ43</f>
        <v>3.9120400000000002</v>
      </c>
      <c r="CA45" s="22">
        <f t="shared" ref="CA45:CC45" si="412">IF(BZ$32=0,"N.D.",BZ45/BZ$32)</f>
        <v>1.7127488593830929E-2</v>
      </c>
      <c r="CB45" s="213">
        <f>CB42+CB43</f>
        <v>30.555229999999998</v>
      </c>
      <c r="CC45" s="22">
        <f t="shared" si="412"/>
        <v>0.53889294532627863</v>
      </c>
      <c r="CD45" s="213">
        <f>CD42+CD43</f>
        <v>4.4649899999999993</v>
      </c>
      <c r="CE45" s="22">
        <f t="shared" ref="CE45:CG45" si="413">IF(CD$32=0,"N.D.",CD45/CD$32)</f>
        <v>0.19844399999999998</v>
      </c>
      <c r="CF45" s="14">
        <f>CF42+CF43</f>
        <v>278.42534000000001</v>
      </c>
      <c r="CG45" s="22">
        <f t="shared" si="413"/>
        <v>0.25000095402959249</v>
      </c>
    </row>
    <row r="46" spans="2:85" x14ac:dyDescent="0.35">
      <c r="B46" s="7" t="s">
        <v>288</v>
      </c>
      <c r="C46" s="201">
        <f>'600'!$D170/1000+ajustes!B26</f>
        <v>0</v>
      </c>
      <c r="D46" s="224">
        <f t="shared" si="344"/>
        <v>0</v>
      </c>
      <c r="E46" s="34">
        <f>'600'!$D148/1000+ajustes!C26</f>
        <v>0</v>
      </c>
      <c r="F46" s="224">
        <f t="shared" si="344"/>
        <v>0</v>
      </c>
      <c r="G46" s="202">
        <f>'600'!$D214/1000+ajustes!D26</f>
        <v>0</v>
      </c>
      <c r="H46" s="224">
        <f t="shared" ref="H46" si="414">IF(G$32=0,"N.D.",G46/G$32)</f>
        <v>0</v>
      </c>
      <c r="I46" s="34">
        <f>'600'!$D192/1000+ajustes!E26</f>
        <v>0</v>
      </c>
      <c r="J46" s="224">
        <f t="shared" ref="J46:L46" si="415">IF(I$32=0,"N.D.",I46/I$32)</f>
        <v>0</v>
      </c>
      <c r="K46" s="212">
        <f t="shared" si="347"/>
        <v>0</v>
      </c>
      <c r="L46" s="224">
        <f t="shared" si="415"/>
        <v>0</v>
      </c>
      <c r="N46" s="7" t="s">
        <v>288</v>
      </c>
      <c r="O46" s="201">
        <f>'600'!$D16/1000+ajustes!F26</f>
        <v>0</v>
      </c>
      <c r="P46" s="224">
        <f t="shared" ref="P46:R46" si="416">IF(O$32=0,"N.D.",O46/O$32)</f>
        <v>0</v>
      </c>
      <c r="Q46" s="34">
        <f>'600'!$D38/1000+ajustes!G26</f>
        <v>0</v>
      </c>
      <c r="R46" s="224">
        <f t="shared" si="416"/>
        <v>0</v>
      </c>
      <c r="S46" s="202">
        <f>'600'!$D60/1000+ajustes!H26</f>
        <v>0</v>
      </c>
      <c r="T46" s="224">
        <f t="shared" ref="T46:V46" si="417">IF(S$32=0,"N.D.",S46/S$32)</f>
        <v>0</v>
      </c>
      <c r="U46" s="34">
        <f>'600'!$D82/1000+ajustes!I26</f>
        <v>0</v>
      </c>
      <c r="V46" s="224">
        <f t="shared" si="417"/>
        <v>0</v>
      </c>
      <c r="W46" s="202">
        <f>'600'!$D104/1000+ajustes!J26</f>
        <v>0</v>
      </c>
      <c r="X46" s="224">
        <f t="shared" ref="X46:Z46" si="418">IF(W$32=0,"N.D.",W46/W$32)</f>
        <v>0</v>
      </c>
      <c r="Y46" s="34">
        <f>'600'!$D126/1000+ajustes!K26</f>
        <v>0</v>
      </c>
      <c r="Z46" s="224">
        <f t="shared" si="418"/>
        <v>0</v>
      </c>
      <c r="AA46" s="212">
        <f t="shared" si="351"/>
        <v>0</v>
      </c>
      <c r="AB46" s="224">
        <f t="shared" ref="AB46" si="419">IF(AA$32=0,"N.D.",AA46/AA$32)</f>
        <v>0</v>
      </c>
      <c r="AC46" s="284"/>
      <c r="AE46" s="7" t="s">
        <v>288</v>
      </c>
      <c r="AF46" s="11">
        <f>'600'!$D302/1000+ajustes!L26</f>
        <v>0</v>
      </c>
      <c r="AG46" s="224">
        <f t="shared" ref="AG46:AI46" si="420">IF(AF$32=0,"N.D.",AF46/AF$32)</f>
        <v>0</v>
      </c>
      <c r="AH46" s="11">
        <f>'600'!$D324/1000+ajustes!M26</f>
        <v>0</v>
      </c>
      <c r="AI46" s="224">
        <f t="shared" si="420"/>
        <v>0</v>
      </c>
      <c r="AJ46" s="11">
        <f>'600'!$D368/1000+ajustes!N26</f>
        <v>0</v>
      </c>
      <c r="AK46" s="224">
        <f t="shared" ref="AK46:AM46" si="421">IF(AJ$32=0,"N.D.",AJ46/AJ$32)</f>
        <v>0</v>
      </c>
      <c r="AL46" s="11">
        <f>'600'!$D346/2000+ajustes!O26</f>
        <v>0</v>
      </c>
      <c r="AM46" s="224">
        <f t="shared" si="421"/>
        <v>0</v>
      </c>
      <c r="AN46" s="11">
        <f>ajustes!P26</f>
        <v>0</v>
      </c>
      <c r="AO46" s="224" t="str">
        <f t="shared" ref="AO46:AQ46" si="422">IF(AN$32=0,"N.D.",AN46/AN$32)</f>
        <v>N.D.</v>
      </c>
      <c r="AP46" s="11">
        <f>'600'!$D412/1000+ajustes!Q26</f>
        <v>0</v>
      </c>
      <c r="AQ46" s="224">
        <f t="shared" si="422"/>
        <v>0</v>
      </c>
      <c r="AR46" s="11">
        <f>'600'!$D390/1000+ajustes!R26</f>
        <v>0</v>
      </c>
      <c r="AS46" s="224">
        <f t="shared" ref="AS46:AU46" si="423">IF(AR$32=0,"N.D.",AR46/AR$32)</f>
        <v>0</v>
      </c>
      <c r="AT46" s="11">
        <f t="shared" si="357"/>
        <v>0</v>
      </c>
      <c r="AU46" s="224">
        <f t="shared" si="423"/>
        <v>0</v>
      </c>
      <c r="AX46" s="7" t="s">
        <v>288</v>
      </c>
      <c r="AY46" s="34">
        <f>'600'!$D456/1000+ajustes!S26</f>
        <v>0</v>
      </c>
      <c r="AZ46" s="224">
        <f t="shared" si="358"/>
        <v>0</v>
      </c>
      <c r="BA46" s="212">
        <f>'600'!$D434/1000+ajustes!T26</f>
        <v>0</v>
      </c>
      <c r="BB46" s="224">
        <f t="shared" si="359"/>
        <v>0</v>
      </c>
      <c r="BC46" s="211">
        <f t="shared" si="360"/>
        <v>0</v>
      </c>
      <c r="BD46" s="224">
        <f t="shared" si="361"/>
        <v>0</v>
      </c>
      <c r="BE46" s="192"/>
      <c r="BG46" s="7" t="s">
        <v>319</v>
      </c>
      <c r="BH46" s="14">
        <f>BH40-BH45</f>
        <v>172.64452000000051</v>
      </c>
      <c r="BI46" s="22">
        <f t="shared" si="362"/>
        <v>2.7868276864437096E-2</v>
      </c>
      <c r="BJ46" s="14">
        <f>BJ40-BJ45</f>
        <v>-69.815860000000185</v>
      </c>
      <c r="BK46" s="22">
        <f t="shared" si="362"/>
        <v>-2.680822690133099E-2</v>
      </c>
      <c r="BL46" s="14">
        <f>BL40-BL45</f>
        <v>20.601459999999662</v>
      </c>
      <c r="BM46" s="22">
        <f t="shared" ref="BM46:BO46" si="424">IF(BL$32=0,"N.D.",BL46/BL$32)</f>
        <v>3.694070215478702E-3</v>
      </c>
      <c r="BN46" s="14">
        <f>BN40-BN45</f>
        <v>-215.8674599999998</v>
      </c>
      <c r="BO46" s="22">
        <f t="shared" si="424"/>
        <v>-0.10344114950666554</v>
      </c>
      <c r="BP46" s="14">
        <f>BP40-BP45</f>
        <v>-103.38532999999998</v>
      </c>
      <c r="BQ46" s="22">
        <f t="shared" ref="BQ46:BS46" si="425">IF(BP$32=0,"N.D.",BP46/BP$32)</f>
        <v>-3.7646211331577216E-2</v>
      </c>
      <c r="BR46" s="14">
        <f>BR40-BR45</f>
        <v>-195.82266999999911</v>
      </c>
      <c r="BS46" s="22">
        <f t="shared" si="425"/>
        <v>-1.0194166684477014E-2</v>
      </c>
      <c r="BU46" s="7" t="s">
        <v>319</v>
      </c>
      <c r="BV46" s="14">
        <f>BV40-BV45</f>
        <v>85.55926999999997</v>
      </c>
      <c r="BW46" s="22">
        <f t="shared" ref="BW46:BY46" si="426">IF(BV$32=0,"N.D.",BV46/BV$32)</f>
        <v>0.16809929180987362</v>
      </c>
      <c r="BX46" s="14">
        <f>BX40-BX45</f>
        <v>249.55927000000003</v>
      </c>
      <c r="BY46" s="22">
        <f t="shared" si="426"/>
        <v>0.83995733424307661</v>
      </c>
      <c r="BZ46" s="14">
        <f>BZ40-BZ45</f>
        <v>182.50473000000002</v>
      </c>
      <c r="CA46" s="22">
        <f t="shared" ref="CA46:CC46" si="427">IF(BZ$32=0,"N.D.",BZ46/BZ$32)</f>
        <v>0.7990326482845761</v>
      </c>
      <c r="CB46" s="14">
        <f>CB40-CB45</f>
        <v>-10.358259999999991</v>
      </c>
      <c r="CC46" s="22">
        <f t="shared" si="427"/>
        <v>-0.18268536155202805</v>
      </c>
      <c r="CD46" s="14">
        <f>CD40-CD45</f>
        <v>16.21133</v>
      </c>
      <c r="CE46" s="22">
        <f t="shared" ref="CE46:CG46" si="428">IF(CD$32=0,"N.D.",CD46/CD$32)</f>
        <v>0.72050355555555556</v>
      </c>
      <c r="CF46" s="14">
        <f>CF40-CF45</f>
        <v>523.47634000000005</v>
      </c>
      <c r="CG46" s="22">
        <f t="shared" si="428"/>
        <v>0.47003474759847408</v>
      </c>
    </row>
    <row r="47" spans="2:85" x14ac:dyDescent="0.35">
      <c r="B47" s="4" t="s">
        <v>17</v>
      </c>
      <c r="C47" s="221">
        <f>C42+C43+C44-C45</f>
        <v>257.39438999999999</v>
      </c>
      <c r="D47" s="22">
        <f t="shared" si="344"/>
        <v>1.5617996645932268E-3</v>
      </c>
      <c r="E47" s="213">
        <f>E42+E43+E44-E45</f>
        <v>-91.654119999999992</v>
      </c>
      <c r="F47" s="22">
        <f t="shared" si="344"/>
        <v>-8.2682636328375182E-3</v>
      </c>
      <c r="G47" s="207">
        <f>G42+G43+G44-G45</f>
        <v>49.315110000000004</v>
      </c>
      <c r="H47" s="22">
        <f t="shared" ref="H47" si="429">IF(G$32=0,"N.D.",G47/G$32)</f>
        <v>5.8733490304297168E-4</v>
      </c>
      <c r="I47" s="213">
        <f>I42+I43+I44-I45</f>
        <v>0</v>
      </c>
      <c r="J47" s="22">
        <f t="shared" ref="J47:L47" si="430">IF(I$32=0,"N.D.",I47/I$32)</f>
        <v>0</v>
      </c>
      <c r="K47" s="218">
        <f>K42+K43+K44-K45</f>
        <v>215.05538000000001</v>
      </c>
      <c r="L47" s="22">
        <f t="shared" si="430"/>
        <v>7.9125239786586351E-4</v>
      </c>
      <c r="N47" s="4" t="s">
        <v>17</v>
      </c>
      <c r="O47" s="221">
        <f>O42+O43+O44-O45</f>
        <v>2758.6348099999996</v>
      </c>
      <c r="P47" s="22">
        <f t="shared" ref="P47:R47" si="431">IF(O$32=0,"N.D.",O47/O$32)</f>
        <v>1.1016046751255617E-2</v>
      </c>
      <c r="Q47" s="213">
        <f>Q42+Q43+Q44-Q45</f>
        <v>-58.164949999999997</v>
      </c>
      <c r="R47" s="22">
        <f t="shared" si="431"/>
        <v>-1.4183063485190201E-3</v>
      </c>
      <c r="S47" s="207">
        <f>S42+S43+S44-S45</f>
        <v>273.25420000000003</v>
      </c>
      <c r="T47" s="22">
        <f t="shared" ref="T47:V47" si="432">IF(S$32=0,"N.D.",S47/S$32)</f>
        <v>1.0798996908471163E-3</v>
      </c>
      <c r="U47" s="213">
        <f>U42+U43+U44-U45</f>
        <v>89.508619999999993</v>
      </c>
      <c r="V47" s="22">
        <f t="shared" si="432"/>
        <v>3.1215344278366901E-3</v>
      </c>
      <c r="W47" s="207">
        <f>W42+W43+W44-W45</f>
        <v>-119.07085000000001</v>
      </c>
      <c r="X47" s="22">
        <f t="shared" ref="X47:Z47" si="433">IF(W$32=0,"N.D.",W47/W$32)</f>
        <v>-2.3180819974098137E-2</v>
      </c>
      <c r="Y47" s="213">
        <f>Y42+Y43+Y44-Y45</f>
        <v>10.891420000000002</v>
      </c>
      <c r="Z47" s="22">
        <f t="shared" si="433"/>
        <v>4.9192805688458184E-3</v>
      </c>
      <c r="AA47" s="218">
        <f>AA42+AA43+AA44-AA45</f>
        <v>2955.0532499999999</v>
      </c>
      <c r="AB47" s="22">
        <f t="shared" ref="AB47" si="434">IF(AA$32=0,"N.D.",AA47/AA$32)</f>
        <v>6.5390726989289546E-3</v>
      </c>
      <c r="AC47" s="285"/>
      <c r="AE47" s="4" t="s">
        <v>17</v>
      </c>
      <c r="AF47" s="14">
        <f>AF42+AF43+AF44-AF45</f>
        <v>-3322.6746800000001</v>
      </c>
      <c r="AG47" s="22">
        <f t="shared" ref="AG47:AI47" si="435">IF(AF$32=0,"N.D.",AF47/AF$32)</f>
        <v>-1.2839425523946943E-2</v>
      </c>
      <c r="AH47" s="14">
        <f>AH42+AH43+AH44-AH45</f>
        <v>-41835.148790000007</v>
      </c>
      <c r="AI47" s="22">
        <f t="shared" si="435"/>
        <v>-0.21973381170953424</v>
      </c>
      <c r="AJ47" s="14">
        <f>AJ42+AJ43+AJ44-AJ45</f>
        <v>-44917.760880000009</v>
      </c>
      <c r="AK47" s="22">
        <f t="shared" ref="AK47:AM47" si="436">IF(AJ$32=0,"N.D.",AJ47/AJ$32)</f>
        <v>-1.0633243930344074</v>
      </c>
      <c r="AL47" s="14">
        <f>AL42+AL43+AL44-AL45</f>
        <v>-141.01183500000005</v>
      </c>
      <c r="AM47" s="22">
        <f t="shared" si="436"/>
        <v>-1.9791320147484709E-3</v>
      </c>
      <c r="AN47" s="14">
        <f>AN42+AN43+AN44-AN45</f>
        <v>0</v>
      </c>
      <c r="AO47" s="22" t="str">
        <f t="shared" ref="AO47:AQ47" si="437">IF(AN$32=0,"N.D.",AN47/AN$32)</f>
        <v>N.D.</v>
      </c>
      <c r="AP47" s="14">
        <f>AP42+AP43+AP44-AP45</f>
        <v>-9.4719999999999999E-2</v>
      </c>
      <c r="AQ47" s="22">
        <f t="shared" si="437"/>
        <v>-5.0232270822430377E-6</v>
      </c>
      <c r="AR47" s="14">
        <f>AR42+AR43+AR44-AR45</f>
        <v>2553.6787999999997</v>
      </c>
      <c r="AS47" s="22">
        <f t="shared" ref="AS47:AU47" si="438">IF(AR$32=0,"N.D.",AR47/AR$32)</f>
        <v>3.9370852929997025E-3</v>
      </c>
      <c r="AT47" s="14">
        <f>AT42+AT43+AT44-AT45</f>
        <v>-87663.012105000002</v>
      </c>
      <c r="AU47" s="22">
        <f t="shared" si="438"/>
        <v>-7.126221587747987E-2</v>
      </c>
      <c r="AX47" s="4" t="s">
        <v>17</v>
      </c>
      <c r="AY47" s="213">
        <f>AY42+AY43+AY44-AY45</f>
        <v>-4011.8750199999999</v>
      </c>
      <c r="AZ47" s="22">
        <f t="shared" si="358"/>
        <v>-0.14139506688215805</v>
      </c>
      <c r="BA47" s="213">
        <f>BA42+BA43+BA44-BA45</f>
        <v>51.40813</v>
      </c>
      <c r="BB47" s="22">
        <f t="shared" si="359"/>
        <v>3.6388696965132801E-3</v>
      </c>
      <c r="BC47" s="14">
        <f>BC42+BC43+BC44-BC45</f>
        <v>-3960.4668900000001</v>
      </c>
      <c r="BD47" s="22">
        <f t="shared" si="361"/>
        <v>-9.318523222172706E-2</v>
      </c>
      <c r="BE47" s="226"/>
      <c r="BG47" s="4"/>
      <c r="BI47" s="192"/>
      <c r="BK47" s="192"/>
      <c r="BM47" s="192"/>
      <c r="BO47" s="192"/>
      <c r="BQ47" s="192"/>
      <c r="BS47" s="192"/>
      <c r="BU47" s="4"/>
      <c r="BW47" s="192"/>
      <c r="BY47" s="192"/>
      <c r="CA47" s="192"/>
      <c r="CC47" s="192"/>
      <c r="CE47" s="192"/>
      <c r="CG47" s="192"/>
    </row>
    <row r="48" spans="2:85" x14ac:dyDescent="0.35">
      <c r="B48" s="4" t="s">
        <v>18</v>
      </c>
      <c r="C48" s="217">
        <f>C40-C47</f>
        <v>-3205.3615500000183</v>
      </c>
      <c r="D48" s="22">
        <f t="shared" si="344"/>
        <v>-1.9449268469643236E-2</v>
      </c>
      <c r="E48" s="205">
        <f>E40-E47</f>
        <v>-1323.4375799999991</v>
      </c>
      <c r="F48" s="22">
        <f t="shared" si="344"/>
        <v>-0.11938940456844152</v>
      </c>
      <c r="G48" s="214">
        <f>G40-G47</f>
        <v>-5591.3204899999837</v>
      </c>
      <c r="H48" s="22">
        <f t="shared" ref="H48" si="439">IF(G$32=0,"N.D.",G48/G$32)</f>
        <v>-6.6591713531133176E-2</v>
      </c>
      <c r="I48" s="205">
        <f>I40-I47</f>
        <v>531.25661999999829</v>
      </c>
      <c r="J48" s="22">
        <f t="shared" ref="J48:L48" si="440">IF(I$32=0,"N.D.",I48/I$32)</f>
        <v>4.4510297620393047E-2</v>
      </c>
      <c r="K48" s="215">
        <f>K40-K47</f>
        <v>-9588.8630000000503</v>
      </c>
      <c r="L48" s="22">
        <f t="shared" si="440"/>
        <v>-3.5280265211487839E-2</v>
      </c>
      <c r="N48" s="4" t="s">
        <v>18</v>
      </c>
      <c r="O48" s="217">
        <f>O40-O47</f>
        <v>23932.067580000021</v>
      </c>
      <c r="P48" s="22">
        <f t="shared" ref="P48:R48" si="441">IF(O$32=0,"N.D.",O48/O$32)</f>
        <v>9.5567841875920198E-2</v>
      </c>
      <c r="Q48" s="205">
        <f>Q40-Q47</f>
        <v>4516.1300800000045</v>
      </c>
      <c r="R48" s="22">
        <f t="shared" si="441"/>
        <v>0.11012226372070666</v>
      </c>
      <c r="S48" s="214">
        <f>S40-S47</f>
        <v>13497.723660000021</v>
      </c>
      <c r="T48" s="22">
        <f t="shared" ref="T48:V48" si="442">IF(S$32=0,"N.D.",S48/S$32)</f>
        <v>5.3342959074641226E-2</v>
      </c>
      <c r="U48" s="205">
        <f>U40-U47</f>
        <v>1334.9430500000021</v>
      </c>
      <c r="V48" s="22">
        <f t="shared" si="442"/>
        <v>4.6554965206438474E-2</v>
      </c>
      <c r="W48" s="214">
        <f>W40-W47</f>
        <v>-124.16652000000073</v>
      </c>
      <c r="X48" s="22">
        <f t="shared" ref="X48:Z48" si="443">IF(W$32=0,"N.D.",W48/W$32)</f>
        <v>-2.4172849584346401E-2</v>
      </c>
      <c r="Y48" s="205">
        <f>Y40-Y47</f>
        <v>386.68352999999996</v>
      </c>
      <c r="Z48" s="22">
        <f t="shared" si="443"/>
        <v>0.17465167768956746</v>
      </c>
      <c r="AA48" s="215">
        <f>AA40-AA47</f>
        <v>43543.381379999861</v>
      </c>
      <c r="AB48" s="22">
        <f t="shared" ref="AB48" si="444">IF(AA$32=0,"N.D.",AA48/AA$32)</f>
        <v>9.6354722677504528E-2</v>
      </c>
      <c r="AC48" s="285"/>
      <c r="AE48" s="4" t="s">
        <v>18</v>
      </c>
      <c r="AF48" s="14">
        <f>AF40-AF47</f>
        <v>14030.649489999993</v>
      </c>
      <c r="AG48" s="22">
        <f t="shared" ref="AG48:AI48" si="445">IF(AF$32=0,"N.D.",AF48/AF$32)</f>
        <v>5.4217007841242844E-2</v>
      </c>
      <c r="AH48" s="14">
        <f>AH40-AH47</f>
        <v>10703.319879999995</v>
      </c>
      <c r="AI48" s="22">
        <f t="shared" si="445"/>
        <v>5.6217829820196831E-2</v>
      </c>
      <c r="AJ48" s="14">
        <f>AJ40-AJ47</f>
        <v>8125.1008200000069</v>
      </c>
      <c r="AK48" s="22">
        <f t="shared" ref="AK48:AM48" si="446">IF(AJ$32=0,"N.D.",AJ48/AJ$32)</f>
        <v>0.19234302263754943</v>
      </c>
      <c r="AL48" s="14">
        <f>AL40-AL47</f>
        <v>11875.233015000011</v>
      </c>
      <c r="AM48" s="22">
        <f t="shared" si="446"/>
        <v>0.16667149847801443</v>
      </c>
      <c r="AN48" s="14">
        <f>AN40-AN47</f>
        <v>0</v>
      </c>
      <c r="AO48" s="22" t="str">
        <f t="shared" ref="AO48:AQ48" si="447">IF(AN$32=0,"N.D.",AN48/AN$32)</f>
        <v>N.D.</v>
      </c>
      <c r="AP48" s="14">
        <f>AP40-AP47</f>
        <v>-3432.0002200000026</v>
      </c>
      <c r="AQ48" s="22">
        <f t="shared" si="447"/>
        <v>-0.18200714158961229</v>
      </c>
      <c r="AR48" s="14">
        <f>AR40-AR47</f>
        <v>36115.935349999971</v>
      </c>
      <c r="AS48" s="22">
        <f t="shared" ref="AS48:AU48" si="448">IF(AR$32=0,"N.D.",AR48/AR$32)</f>
        <v>5.5681050376974961E-2</v>
      </c>
      <c r="AT48" s="14">
        <f>AT40-AT47</f>
        <v>77418.238335000089</v>
      </c>
      <c r="AU48" s="22">
        <f t="shared" si="448"/>
        <v>6.2934127867690426E-2</v>
      </c>
      <c r="AX48" s="4" t="s">
        <v>18</v>
      </c>
      <c r="AY48" s="14">
        <f>AY40-AY47</f>
        <v>15312.721550000002</v>
      </c>
      <c r="AZ48" s="22">
        <f t="shared" si="358"/>
        <v>0.53968363344232817</v>
      </c>
      <c r="BA48" s="14">
        <f>BA40-BA47</f>
        <v>2138.6692899999994</v>
      </c>
      <c r="BB48" s="22">
        <f t="shared" si="359"/>
        <v>0.1513834265172565</v>
      </c>
      <c r="BC48" s="14">
        <f>BC40-BC47</f>
        <v>17451.390840000004</v>
      </c>
      <c r="BD48" s="22">
        <f t="shared" si="361"/>
        <v>0.41061116105367085</v>
      </c>
      <c r="BE48" s="226"/>
      <c r="BG48" s="7" t="s">
        <v>323</v>
      </c>
      <c r="BH48" s="199">
        <f>'600'!$D$685/1000+ajustes!U27</f>
        <v>0</v>
      </c>
      <c r="BI48" s="225">
        <f t="shared" ref="BI48:BK51" si="449">IF(BH$32=0,"N.D.",BH48/BH$32)</f>
        <v>0</v>
      </c>
      <c r="BJ48" s="200">
        <f>'600'!$D482/1000+ajustes!V27</f>
        <v>0</v>
      </c>
      <c r="BK48" s="225">
        <f t="shared" si="449"/>
        <v>0</v>
      </c>
      <c r="BL48" s="8">
        <f>'600'!$D505/1000+ajustes!W27</f>
        <v>0</v>
      </c>
      <c r="BM48" s="225">
        <f t="shared" ref="BM48:BO48" si="450">IF(BL$32=0,"N.D.",BL48/BL$32)</f>
        <v>0</v>
      </c>
      <c r="BN48" s="200">
        <f>'600'!$D572/1000+ajustes!X27</f>
        <v>0</v>
      </c>
      <c r="BO48" s="225">
        <f t="shared" si="450"/>
        <v>0</v>
      </c>
      <c r="BP48" s="8">
        <f>'600'!$D617/1000+ajustes!Y27</f>
        <v>0</v>
      </c>
      <c r="BQ48" s="225">
        <f t="shared" ref="BQ48:BS48" si="451">IF(BP$32=0,"N.D.",BP48/BP$32)</f>
        <v>0</v>
      </c>
      <c r="BR48" s="209">
        <f t="shared" ref="BR48:BR49" si="452">SUM(BJ48,BL48,BN48,BP48)+BH48</f>
        <v>0</v>
      </c>
      <c r="BS48" s="225">
        <f t="shared" si="451"/>
        <v>0</v>
      </c>
      <c r="BU48" s="7" t="s">
        <v>323</v>
      </c>
      <c r="BV48" s="199">
        <f>'600'!$D527/1000-SUM(BX48,BZ48,CB48,CD48)+ajustes!Z27</f>
        <v>0</v>
      </c>
      <c r="BW48" s="225">
        <f t="shared" ref="BW48:BY48" si="453">IF(BV$32=0,"N.D.",BV48/BV$32)</f>
        <v>0</v>
      </c>
      <c r="BX48" s="8">
        <f>'600'!$D595/1000+ajustes!AA27</f>
        <v>0</v>
      </c>
      <c r="BY48" s="225">
        <f t="shared" si="453"/>
        <v>0</v>
      </c>
      <c r="BZ48" s="200">
        <f>'600'!$D640/1000+ajustes!AB27</f>
        <v>0</v>
      </c>
      <c r="CA48" s="225">
        <f t="shared" ref="CA48:CC48" si="454">IF(BZ$32=0,"N.D.",BZ48/BZ$32)</f>
        <v>0</v>
      </c>
      <c r="CB48" s="8">
        <f>'600'!$D550/1000+ajustes!AC27</f>
        <v>0</v>
      </c>
      <c r="CC48" s="225">
        <f t="shared" si="454"/>
        <v>0</v>
      </c>
      <c r="CD48" s="209">
        <f>'600'!$D662/1000+ajustes!AD27</f>
        <v>0</v>
      </c>
      <c r="CE48" s="225">
        <f t="shared" ref="CE48:CG48" si="455">IF(CD$32=0,"N.D.",CD48/CD$32)</f>
        <v>0</v>
      </c>
      <c r="CF48" s="209">
        <f>SUM(BV48,BX48,BZ48,CB48,CD48)</f>
        <v>0</v>
      </c>
      <c r="CG48" s="225">
        <f t="shared" si="455"/>
        <v>0</v>
      </c>
    </row>
    <row r="49" spans="2:85" x14ac:dyDescent="0.35">
      <c r="B49" s="1"/>
      <c r="C49" s="222"/>
      <c r="D49" s="30"/>
      <c r="E49" s="222"/>
      <c r="F49" s="30"/>
      <c r="G49" s="222"/>
      <c r="H49" s="30"/>
      <c r="I49" s="222"/>
      <c r="J49" s="30"/>
      <c r="K49" s="222"/>
      <c r="L49" s="30"/>
      <c r="N49" s="1"/>
      <c r="O49" s="222"/>
      <c r="P49" s="30"/>
      <c r="Q49" s="222"/>
      <c r="R49" s="30"/>
      <c r="S49" s="222"/>
      <c r="T49" s="30"/>
      <c r="U49" s="222"/>
      <c r="V49" s="30"/>
      <c r="W49" s="222"/>
      <c r="X49" s="30"/>
      <c r="Y49" s="222"/>
      <c r="Z49" s="30"/>
      <c r="AA49" s="222"/>
      <c r="AB49" s="30"/>
      <c r="AC49" s="283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320</v>
      </c>
      <c r="BH49" s="203">
        <f>'600'!$D$684/1000+ajustes!U28</f>
        <v>12.436389999999999</v>
      </c>
      <c r="BI49" s="195">
        <f t="shared" si="449"/>
        <v>2.0074819618607982E-3</v>
      </c>
      <c r="BJ49" s="202">
        <f>'600'!$D483/1000+ajustes!V28</f>
        <v>0</v>
      </c>
      <c r="BK49" s="195">
        <f t="shared" si="449"/>
        <v>0</v>
      </c>
      <c r="BL49" s="34">
        <f>'600'!$D506/1000+ajustes!W28</f>
        <v>0</v>
      </c>
      <c r="BM49" s="195">
        <f t="shared" ref="BM49:BO49" si="456">IF(BL$32=0,"N.D.",BL49/BL$32)</f>
        <v>0</v>
      </c>
      <c r="BN49" s="202">
        <f>'600'!$D573/1000+ajustes!X28</f>
        <v>0</v>
      </c>
      <c r="BO49" s="195">
        <f t="shared" si="456"/>
        <v>0</v>
      </c>
      <c r="BP49" s="34">
        <f>'600'!$D618/1000+ajustes!Y28</f>
        <v>0</v>
      </c>
      <c r="BQ49" s="195">
        <f t="shared" ref="BQ49:BS49" si="457">IF(BP$32=0,"N.D.",BP49/BP$32)</f>
        <v>0</v>
      </c>
      <c r="BR49" s="211">
        <f t="shared" si="452"/>
        <v>12.436389999999999</v>
      </c>
      <c r="BS49" s="195">
        <f t="shared" si="457"/>
        <v>6.4741550410462527E-4</v>
      </c>
      <c r="BU49" s="1" t="s">
        <v>320</v>
      </c>
      <c r="BV49" s="201">
        <f>'600'!$D528/1000-SUM(BX49,BZ49,CB49,CD49)+ajustes!Z28</f>
        <v>0</v>
      </c>
      <c r="BW49" s="195">
        <f t="shared" ref="BW49:BY49" si="458">IF(BV$32=0,"N.D.",BV49/BV$32)</f>
        <v>0</v>
      </c>
      <c r="BX49" s="34">
        <f>'600'!$D594/1000+ajustes!AA28</f>
        <v>0</v>
      </c>
      <c r="BY49" s="195">
        <f t="shared" si="458"/>
        <v>0</v>
      </c>
      <c r="BZ49" s="202">
        <f>'600'!$D639/1000+ajustes!AB28</f>
        <v>0</v>
      </c>
      <c r="CA49" s="195">
        <f t="shared" ref="CA49:CC49" si="459">IF(BZ$32=0,"N.D.",BZ49/BZ$32)</f>
        <v>0</v>
      </c>
      <c r="CB49" s="34">
        <f>'600'!$D549/1000+ajustes!AC28</f>
        <v>0</v>
      </c>
      <c r="CC49" s="195">
        <f t="shared" si="459"/>
        <v>0</v>
      </c>
      <c r="CD49" s="212">
        <f>'600'!$D661/1000+ajustes!AD28</f>
        <v>0</v>
      </c>
      <c r="CE49" s="195">
        <f t="shared" ref="CE49:CG49" si="460">IF(CD$32=0,"N.D.",CD49/CD$32)</f>
        <v>0</v>
      </c>
      <c r="CF49" s="211">
        <f>SUM(BV49,BX49,BZ49,CB49,CD49)</f>
        <v>0</v>
      </c>
      <c r="CG49" s="195">
        <f t="shared" si="460"/>
        <v>0</v>
      </c>
    </row>
    <row r="50" spans="2:85" x14ac:dyDescent="0.35">
      <c r="B50" s="7" t="s">
        <v>19</v>
      </c>
      <c r="C50" s="203">
        <f>'600'!$D173/1000+ajustes!B27</f>
        <v>609.60699999999997</v>
      </c>
      <c r="D50" s="225">
        <f t="shared" ref="D50:F53" si="461">IF(C$32=0,"N.D.",C50/C$32)</f>
        <v>3.6989306881695561E-3</v>
      </c>
      <c r="E50" s="11">
        <f>'600'!$D151/1000+ajustes!C27</f>
        <v>0</v>
      </c>
      <c r="F50" s="225">
        <f t="shared" si="461"/>
        <v>0</v>
      </c>
      <c r="G50" s="30">
        <f>'600'!$D217/1000+ajustes!D27</f>
        <v>0</v>
      </c>
      <c r="H50" s="225">
        <f t="shared" ref="H50" si="462">IF(G$32=0,"N.D.",G50/G$32)</f>
        <v>0</v>
      </c>
      <c r="I50" s="11">
        <f>'600'!$D195/1000+ajustes!E27</f>
        <v>47.72</v>
      </c>
      <c r="J50" s="225">
        <f t="shared" ref="J50:L50" si="463">IF(I$32=0,"N.D.",I50/I$32)</f>
        <v>3.9981269361785325E-3</v>
      </c>
      <c r="K50" s="211">
        <f>SUM(C50,E50,G50,I50)</f>
        <v>657.327</v>
      </c>
      <c r="L50" s="225">
        <f t="shared" si="463"/>
        <v>2.4185005970646929E-3</v>
      </c>
      <c r="N50" s="7" t="s">
        <v>19</v>
      </c>
      <c r="O50" s="203">
        <f>'600'!$D19/1000+ajustes!F27</f>
        <v>5920.5628899999992</v>
      </c>
      <c r="P50" s="225">
        <f t="shared" ref="P50:R50" si="464">IF(O$32=0,"N.D.",O50/O$32)</f>
        <v>2.3642563108956443E-2</v>
      </c>
      <c r="Q50" s="11">
        <f>'600'!$D41/1000+ajustes!G27</f>
        <v>1195.01</v>
      </c>
      <c r="R50" s="225">
        <f t="shared" si="464"/>
        <v>2.9139374649917421E-2</v>
      </c>
      <c r="S50" s="30">
        <f>'600'!$D63/1000+ajustes!H27</f>
        <v>3450</v>
      </c>
      <c r="T50" s="225">
        <f t="shared" ref="T50:V50" si="465">IF(S$32=0,"N.D.",S50/S$32)</f>
        <v>1.3634388541594423E-2</v>
      </c>
      <c r="U50" s="11">
        <f>'600'!$D85/1000+ajustes!I27</f>
        <v>615.92948999999999</v>
      </c>
      <c r="V50" s="225">
        <f t="shared" si="465"/>
        <v>2.1479999447593927E-2</v>
      </c>
      <c r="W50" s="30">
        <f>'600'!$D107/1000+ajustes!J27</f>
        <v>79.778000000000006</v>
      </c>
      <c r="X50" s="225">
        <f t="shared" ref="X50:Z50" si="466">IF(W$32=0,"N.D.",W50/W$32)</f>
        <v>1.553125266086201E-2</v>
      </c>
      <c r="Y50" s="11">
        <f>'600'!$D129/1000+ajustes!K27</f>
        <v>263.95632000000001</v>
      </c>
      <c r="Z50" s="225">
        <f t="shared" si="466"/>
        <v>0.11922000951207912</v>
      </c>
      <c r="AA50" s="211">
        <f>SUM(O50,Q50,S50,U50,W50,Y50)</f>
        <v>11525.236699999999</v>
      </c>
      <c r="AB50" s="225">
        <f t="shared" ref="AB50" si="467">IF(AA$32=0,"N.D.",AA50/AA$32)</f>
        <v>2.5503554175771295E-2</v>
      </c>
      <c r="AC50" s="284"/>
      <c r="AE50" s="7" t="s">
        <v>19</v>
      </c>
      <c r="AF50" s="8">
        <f>'600'!$D305/1000+ajustes!L27</f>
        <v>4483.49575</v>
      </c>
      <c r="AG50" s="225">
        <f t="shared" ref="AG50:AI50" si="468">IF(AF$32=0,"N.D.",AF50/AF$32)</f>
        <v>1.7325051445920562E-2</v>
      </c>
      <c r="AH50" s="8">
        <f>'600'!$D327/1000+ajustes!M27</f>
        <v>5959.8819199999998</v>
      </c>
      <c r="AI50" s="225">
        <f t="shared" si="468"/>
        <v>3.1303523699511081E-2</v>
      </c>
      <c r="AJ50" s="8">
        <f>'600'!$D371/1000+ajustes!N27</f>
        <v>2663.3380000000002</v>
      </c>
      <c r="AK50" s="225">
        <f t="shared" ref="AK50:AM50" si="469">IF(AJ$32=0,"N.D.",AJ50/AJ$32)</f>
        <v>6.3048384576899957E-2</v>
      </c>
      <c r="AL50" s="8">
        <f>'600'!$D349/2000+ajustes!O27</f>
        <v>1445.4175</v>
      </c>
      <c r="AM50" s="225">
        <f t="shared" si="469"/>
        <v>2.0286751455490932E-2</v>
      </c>
      <c r="AN50" s="8">
        <f>ajustes!P27</f>
        <v>0</v>
      </c>
      <c r="AO50" s="225" t="str">
        <f t="shared" ref="AO50:AQ50" si="470">IF(AN$32=0,"N.D.",AN50/AN$32)</f>
        <v>N.D.</v>
      </c>
      <c r="AP50" s="8">
        <f>'600'!$D415/1000+ajustes!Q27</f>
        <v>127.943</v>
      </c>
      <c r="AQ50" s="225">
        <f t="shared" si="470"/>
        <v>6.7851218600445623E-3</v>
      </c>
      <c r="AR50" s="8">
        <f>'600'!$D393/1000+ajustes!R27</f>
        <v>6955.4319999999998</v>
      </c>
      <c r="AS50" s="225">
        <f t="shared" ref="AS50:AU50" si="471">IF(AR$32=0,"N.D.",AR50/AR$32)</f>
        <v>1.072340383358295E-2</v>
      </c>
      <c r="AT50" s="8">
        <f>SUM(AF50,AH50,AJ50,AL50,AP50,AR50)</f>
        <v>21635.508169999997</v>
      </c>
      <c r="AU50" s="225">
        <f t="shared" si="471"/>
        <v>1.7587739878054915E-2</v>
      </c>
      <c r="AX50" s="7" t="s">
        <v>19</v>
      </c>
      <c r="AY50" s="8">
        <f>'600'!$D459/1000+ajustes!S27</f>
        <v>0</v>
      </c>
      <c r="AZ50" s="225">
        <f>IF(AY$32=0,"N.D.",AY50/AY$32)</f>
        <v>0</v>
      </c>
      <c r="BA50" s="209">
        <f>'600'!$D437/1000+ajustes!T27</f>
        <v>0</v>
      </c>
      <c r="BB50" s="225">
        <f>IF(BA$32=0,"N.D.",BA50/BA$32)</f>
        <v>0</v>
      </c>
      <c r="BC50" s="209">
        <f>SUM(AY50,BA50)</f>
        <v>0</v>
      </c>
      <c r="BD50" s="225">
        <f>IF(BC$32=0,"N.D.",BC50/BC$32)</f>
        <v>0</v>
      </c>
      <c r="BE50" s="192"/>
      <c r="BG50" s="4" t="s">
        <v>321</v>
      </c>
      <c r="BH50" s="14">
        <f>BH46-BH48-BH49</f>
        <v>160.20813000000052</v>
      </c>
      <c r="BI50" s="35">
        <f t="shared" si="449"/>
        <v>2.5860794902576301E-2</v>
      </c>
      <c r="BJ50" s="213">
        <f>BJ46-BJ48-BJ49</f>
        <v>-69.815860000000185</v>
      </c>
      <c r="BK50" s="35">
        <f t="shared" si="449"/>
        <v>-2.680822690133099E-2</v>
      </c>
      <c r="BL50" s="213">
        <f>BL46-BL48-BL49</f>
        <v>20.601459999999662</v>
      </c>
      <c r="BM50" s="35">
        <f t="shared" ref="BM50:BO50" si="472">IF(BL$32=0,"N.D.",BL50/BL$32)</f>
        <v>3.694070215478702E-3</v>
      </c>
      <c r="BN50" s="213">
        <f>BN46-BN48-BN49</f>
        <v>-215.8674599999998</v>
      </c>
      <c r="BO50" s="35">
        <f t="shared" si="472"/>
        <v>-0.10344114950666554</v>
      </c>
      <c r="BP50" s="213">
        <f>BP46-BP48-BP49</f>
        <v>-103.38532999999998</v>
      </c>
      <c r="BQ50" s="35">
        <f t="shared" ref="BQ50:BS50" si="473">IF(BP$32=0,"N.D.",BP50/BP$32)</f>
        <v>-3.7646211331577216E-2</v>
      </c>
      <c r="BR50" s="14">
        <f>BR46-BR48-BR49</f>
        <v>-208.2590599999991</v>
      </c>
      <c r="BS50" s="35">
        <f t="shared" si="473"/>
        <v>-1.0841582188581641E-2</v>
      </c>
      <c r="BU50" s="4" t="s">
        <v>321</v>
      </c>
      <c r="BV50" s="213">
        <f>BV46-BV48-BV49</f>
        <v>85.55926999999997</v>
      </c>
      <c r="BW50" s="35">
        <f t="shared" ref="BW50:BY50" si="474">IF(BV$32=0,"N.D.",BV50/BV$32)</f>
        <v>0.16809929180987362</v>
      </c>
      <c r="BX50" s="213">
        <f>BX46-BX48-BX49</f>
        <v>249.55927000000003</v>
      </c>
      <c r="BY50" s="35">
        <f t="shared" si="474"/>
        <v>0.83995733424307661</v>
      </c>
      <c r="BZ50" s="213">
        <f>BZ46-BZ48-BZ49</f>
        <v>182.50473000000002</v>
      </c>
      <c r="CA50" s="35">
        <f t="shared" ref="CA50:CC50" si="475">IF(BZ$32=0,"N.D.",BZ50/BZ$32)</f>
        <v>0.7990326482845761</v>
      </c>
      <c r="CB50" s="213">
        <f>CB46-CB48-CB49</f>
        <v>-10.358259999999991</v>
      </c>
      <c r="CC50" s="35">
        <f t="shared" si="475"/>
        <v>-0.18268536155202805</v>
      </c>
      <c r="CD50" s="213">
        <f>CD46-CD48-CD49</f>
        <v>16.21133</v>
      </c>
      <c r="CE50" s="35">
        <f t="shared" ref="CE50:CG50" si="476">IF(CD$32=0,"N.D.",CD50/CD$32)</f>
        <v>0.72050355555555556</v>
      </c>
      <c r="CF50" s="14">
        <f>CF46-CF48-CF49</f>
        <v>523.47634000000005</v>
      </c>
      <c r="CG50" s="35">
        <f t="shared" si="476"/>
        <v>0.47003474759847408</v>
      </c>
    </row>
    <row r="51" spans="2:85" x14ac:dyDescent="0.35">
      <c r="B51" s="7" t="s">
        <v>43</v>
      </c>
      <c r="C51" s="201">
        <f>'600'!$D174/1000+ajustes!B28</f>
        <v>0</v>
      </c>
      <c r="D51" s="224">
        <f t="shared" si="461"/>
        <v>0</v>
      </c>
      <c r="E51" s="34">
        <f>'600'!$D152/1000+ajustes!C28</f>
        <v>0</v>
      </c>
      <c r="F51" s="224">
        <f t="shared" si="461"/>
        <v>0</v>
      </c>
      <c r="G51" s="202">
        <f>'600'!$D218/1000+ajustes!D28</f>
        <v>0</v>
      </c>
      <c r="H51" s="224">
        <f t="shared" ref="H51" si="477">IF(G$32=0,"N.D.",G51/G$32)</f>
        <v>0</v>
      </c>
      <c r="I51" s="34">
        <f>'600'!$D196/1000+ajustes!E28</f>
        <v>4</v>
      </c>
      <c r="J51" s="224">
        <f t="shared" ref="J51:L51" si="478">IF(I$32=0,"N.D.",I51/I$32)</f>
        <v>3.3513218241228268E-4</v>
      </c>
      <c r="K51" s="212">
        <f>SUM(C51,E51,G51,I51)</f>
        <v>4</v>
      </c>
      <c r="L51" s="224">
        <f t="shared" si="478"/>
        <v>1.4717183971233148E-5</v>
      </c>
      <c r="N51" s="7" t="s">
        <v>43</v>
      </c>
      <c r="O51" s="201">
        <f>'600'!$D20/1000+ajustes!F28</f>
        <v>0</v>
      </c>
      <c r="P51" s="224">
        <f t="shared" ref="P51:R51" si="479">IF(O$32=0,"N.D.",O51/O$32)</f>
        <v>0</v>
      </c>
      <c r="Q51" s="34">
        <f>'600'!$D42/1000+ajustes!G28</f>
        <v>0</v>
      </c>
      <c r="R51" s="224">
        <f t="shared" si="479"/>
        <v>0</v>
      </c>
      <c r="S51" s="202">
        <f>'600'!$D64/1000+ajustes!H28</f>
        <v>0</v>
      </c>
      <c r="T51" s="224">
        <f t="shared" ref="T51:V51" si="480">IF(S$32=0,"N.D.",S51/S$32)</f>
        <v>0</v>
      </c>
      <c r="U51" s="34">
        <f>'600'!$D86/1000+ajustes!I28</f>
        <v>0</v>
      </c>
      <c r="V51" s="224">
        <f t="shared" si="480"/>
        <v>0</v>
      </c>
      <c r="W51" s="202">
        <f>'600'!$D108/1000+ajustes!J28</f>
        <v>0</v>
      </c>
      <c r="X51" s="224">
        <f t="shared" ref="X51:Z51" si="481">IF(W$32=0,"N.D.",W51/W$32)</f>
        <v>0</v>
      </c>
      <c r="Y51" s="34">
        <f>'600'!$D130/1000+ajustes!K28</f>
        <v>0</v>
      </c>
      <c r="Z51" s="224">
        <f t="shared" si="481"/>
        <v>0</v>
      </c>
      <c r="AA51" s="212">
        <f>SUM(O51,Q51,S51,U51,W51,Y51)</f>
        <v>0</v>
      </c>
      <c r="AB51" s="224">
        <f t="shared" ref="AB51" si="482">IF(AA$32=0,"N.D.",AA51/AA$32)</f>
        <v>0</v>
      </c>
      <c r="AC51" s="284"/>
      <c r="AE51" s="7" t="s">
        <v>43</v>
      </c>
      <c r="AF51" s="11">
        <f>'600'!$D306/1000+ajustes!L28</f>
        <v>0</v>
      </c>
      <c r="AG51" s="224">
        <f t="shared" ref="AG51:AI51" si="483">IF(AF$32=0,"N.D.",AF51/AF$32)</f>
        <v>0</v>
      </c>
      <c r="AH51" s="11">
        <f>'600'!$D328/1000+ajustes!M28</f>
        <v>0</v>
      </c>
      <c r="AI51" s="224">
        <f t="shared" si="483"/>
        <v>0</v>
      </c>
      <c r="AJ51" s="11">
        <f>'600'!$D372/1000+ajustes!N28</f>
        <v>0</v>
      </c>
      <c r="AK51" s="224">
        <f t="shared" ref="AK51:AM51" si="484">IF(AJ$32=0,"N.D.",AJ51/AJ$32)</f>
        <v>0</v>
      </c>
      <c r="AL51" s="11">
        <f>'600'!$D350/2000+ajustes!O28</f>
        <v>0</v>
      </c>
      <c r="AM51" s="224">
        <f t="shared" si="484"/>
        <v>0</v>
      </c>
      <c r="AN51" s="11">
        <f>ajustes!P28</f>
        <v>0</v>
      </c>
      <c r="AO51" s="224" t="str">
        <f t="shared" ref="AO51:AQ51" si="485">IF(AN$32=0,"N.D.",AN51/AN$32)</f>
        <v>N.D.</v>
      </c>
      <c r="AP51" s="11">
        <f>'600'!$D416/1000+ajustes!Q28</f>
        <v>0</v>
      </c>
      <c r="AQ51" s="224">
        <f t="shared" si="485"/>
        <v>0</v>
      </c>
      <c r="AR51" s="11">
        <f>'600'!$D394/1000+ajustes!R28</f>
        <v>0</v>
      </c>
      <c r="AS51" s="224">
        <f t="shared" ref="AS51:AU51" si="486">IF(AR$32=0,"N.D.",AR51/AR$32)</f>
        <v>0</v>
      </c>
      <c r="AT51" s="11">
        <f>SUM(AF51,AH51,AJ51,AL51,AP51,AR51)</f>
        <v>0</v>
      </c>
      <c r="AU51" s="224">
        <f t="shared" si="486"/>
        <v>0</v>
      </c>
      <c r="AX51" s="7" t="s">
        <v>43</v>
      </c>
      <c r="AY51" s="34">
        <f>'600'!$D460/1000+ajustes!S28</f>
        <v>0</v>
      </c>
      <c r="AZ51" s="224">
        <f>IF(AY$32=0,"N.D.",AY51/AY$32)</f>
        <v>0</v>
      </c>
      <c r="BA51" s="212">
        <f>'600'!$D438/1000+ajustes!T28</f>
        <v>0</v>
      </c>
      <c r="BB51" s="224">
        <f>IF(BA$32=0,"N.D.",BA51/BA$32)</f>
        <v>0</v>
      </c>
      <c r="BC51" s="211">
        <f>SUM(AY51,BA51)</f>
        <v>0</v>
      </c>
      <c r="BD51" s="224">
        <f>IF(BC$32=0,"N.D.",BC51/BC$32)</f>
        <v>0</v>
      </c>
      <c r="BE51" s="192"/>
      <c r="BG51" s="4" t="s">
        <v>322</v>
      </c>
      <c r="BH51" s="20">
        <f>BH40+BH38</f>
        <v>186.76188000000053</v>
      </c>
      <c r="BI51" s="22">
        <f t="shared" si="449"/>
        <v>3.0147100988567588E-2</v>
      </c>
      <c r="BJ51" s="14">
        <f>BJ40+BJ38</f>
        <v>-67.986510000000195</v>
      </c>
      <c r="BK51" s="22">
        <f t="shared" si="449"/>
        <v>-2.6105784363461379E-2</v>
      </c>
      <c r="BL51" s="14">
        <f>BL40+BL38</f>
        <v>73.082129999999637</v>
      </c>
      <c r="BM51" s="22">
        <f t="shared" ref="BM51:BO51" si="487">IF(BL$32=0,"N.D.",BL51/BL$32)</f>
        <v>1.3104436273776015E-2</v>
      </c>
      <c r="BN51" s="14">
        <f>BN40+BN38</f>
        <v>-152.7276999999998</v>
      </c>
      <c r="BO51" s="22">
        <f t="shared" si="487"/>
        <v>-7.318531866502323E-2</v>
      </c>
      <c r="BP51" s="14">
        <f>BP40+BP38</f>
        <v>-41.463009999999983</v>
      </c>
      <c r="BQ51" s="22">
        <f t="shared" ref="BQ51:BS51" si="488">IF(BP$32=0,"N.D.",BP51/BP$32)</f>
        <v>-1.5098130817044343E-2</v>
      </c>
      <c r="BR51" s="20">
        <f>BR40+BR38</f>
        <v>-2.3332099999990987</v>
      </c>
      <c r="BS51" s="22">
        <f t="shared" si="488"/>
        <v>-1.2146260517170733E-4</v>
      </c>
      <c r="BU51" s="4" t="s">
        <v>322</v>
      </c>
      <c r="BV51" s="14">
        <f>BV40+BV38</f>
        <v>432.09906999999998</v>
      </c>
      <c r="BW51" s="22">
        <f t="shared" ref="BW51:BY51" si="489">IF(BV$32=0,"N.D.",BV51/BV$32)</f>
        <v>0.84895006302303688</v>
      </c>
      <c r="BX51" s="14">
        <f>BX40+BX38</f>
        <v>272.17780000000005</v>
      </c>
      <c r="BY51" s="22">
        <f t="shared" si="489"/>
        <v>0.91608594354417405</v>
      </c>
      <c r="BZ51" s="14">
        <f>BZ40+BZ38</f>
        <v>211.69885000000002</v>
      </c>
      <c r="CA51" s="22">
        <f t="shared" ref="CA51:CC51" si="490">IF(BZ$32=0,"N.D.",BZ51/BZ$32)</f>
        <v>0.92684881512002038</v>
      </c>
      <c r="CB51" s="14">
        <f>CB40+CB38</f>
        <v>54.271330000000006</v>
      </c>
      <c r="CC51" s="22">
        <f t="shared" si="490"/>
        <v>0.95716631393298068</v>
      </c>
      <c r="CD51" s="14">
        <f>CD40+CD38</f>
        <v>20.67632</v>
      </c>
      <c r="CE51" s="22">
        <f t="shared" ref="CE51:CG51" si="491">IF(CD$32=0,"N.D.",CD51/CD$32)</f>
        <v>0.91894755555555563</v>
      </c>
      <c r="CF51" s="20">
        <f>CF40+CF38</f>
        <v>990.92337000000009</v>
      </c>
      <c r="CG51" s="22">
        <f t="shared" si="491"/>
        <v>0.88976020598634764</v>
      </c>
    </row>
    <row r="52" spans="2:85" x14ac:dyDescent="0.35">
      <c r="B52" s="4" t="s">
        <v>21</v>
      </c>
      <c r="C52" s="221">
        <f>C48-C50</f>
        <v>-3814.9685500000182</v>
      </c>
      <c r="D52" s="22">
        <f t="shared" si="461"/>
        <v>-2.3148199157812792E-2</v>
      </c>
      <c r="E52" s="213">
        <f>E48-E50</f>
        <v>-1323.4375799999991</v>
      </c>
      <c r="F52" s="22">
        <f t="shared" si="461"/>
        <v>-0.11938940456844152</v>
      </c>
      <c r="G52" s="207">
        <f>G48-G50</f>
        <v>-5591.3204899999837</v>
      </c>
      <c r="H52" s="22">
        <f t="shared" ref="H52" si="492">IF(G$32=0,"N.D.",G52/G$32)</f>
        <v>-6.6591713531133176E-2</v>
      </c>
      <c r="I52" s="213">
        <f>I48-I50</f>
        <v>483.53661999999827</v>
      </c>
      <c r="J52" s="22">
        <f t="shared" ref="J52:L52" si="493">IF(I$32=0,"N.D.",I52/I$32)</f>
        <v>4.0512170684214512E-2</v>
      </c>
      <c r="K52" s="218">
        <f>K48-K50</f>
        <v>-10246.19000000005</v>
      </c>
      <c r="L52" s="22">
        <f t="shared" si="493"/>
        <v>-3.7698765808552526E-2</v>
      </c>
      <c r="N52" s="4" t="s">
        <v>21</v>
      </c>
      <c r="O52" s="221">
        <f>O48-O50</f>
        <v>18011.504690000023</v>
      </c>
      <c r="P52" s="22">
        <f t="shared" ref="P52:R52" si="494">IF(O$32=0,"N.D.",O52/O$32)</f>
        <v>7.1925278766963752E-2</v>
      </c>
      <c r="Q52" s="213">
        <f>Q48-Q50</f>
        <v>3321.1200800000042</v>
      </c>
      <c r="R52" s="22">
        <f t="shared" si="494"/>
        <v>8.0982889070789238E-2</v>
      </c>
      <c r="S52" s="207">
        <f>S48-S50</f>
        <v>10047.723660000021</v>
      </c>
      <c r="T52" s="22">
        <f t="shared" ref="T52:V52" si="495">IF(S$32=0,"N.D.",S52/S$32)</f>
        <v>3.9708570533046807E-2</v>
      </c>
      <c r="U52" s="213">
        <f>U48-U50</f>
        <v>719.01356000000214</v>
      </c>
      <c r="V52" s="22">
        <f t="shared" si="495"/>
        <v>2.5074965758844551E-2</v>
      </c>
      <c r="W52" s="207">
        <f>W48-W50</f>
        <v>-203.94452000000075</v>
      </c>
      <c r="X52" s="22">
        <f t="shared" ref="X52:Z52" si="496">IF(W$32=0,"N.D.",W52/W$32)</f>
        <v>-3.9704102245208414E-2</v>
      </c>
      <c r="Y52" s="213">
        <f>Y48-Y50</f>
        <v>122.72720999999996</v>
      </c>
      <c r="Z52" s="22">
        <f t="shared" si="496"/>
        <v>5.5431668177488333E-2</v>
      </c>
      <c r="AA52" s="218">
        <f>AA48-AA50</f>
        <v>32018.144679999859</v>
      </c>
      <c r="AB52" s="22">
        <f t="shared" ref="AB52" si="497">IF(AA$32=0,"N.D.",AA52/AA$32)</f>
        <v>7.085116850173323E-2</v>
      </c>
      <c r="AC52" s="285"/>
      <c r="AE52" s="4" t="s">
        <v>21</v>
      </c>
      <c r="AF52" s="14">
        <f>AF48-AF50</f>
        <v>9547.1537399999925</v>
      </c>
      <c r="AG52" s="22">
        <f t="shared" ref="AG52:AI52" si="498">IF(AF$32=0,"N.D.",AF52/AF$32)</f>
        <v>3.6891956395322278E-2</v>
      </c>
      <c r="AH52" s="14">
        <f>AH48-AH50</f>
        <v>4743.4379599999957</v>
      </c>
      <c r="AI52" s="22">
        <f t="shared" si="498"/>
        <v>2.4914306120685754E-2</v>
      </c>
      <c r="AJ52" s="14">
        <f>AJ48-AJ50</f>
        <v>5461.7628200000072</v>
      </c>
      <c r="AK52" s="22">
        <f t="shared" ref="AK52:AM52" si="499">IF(AJ$32=0,"N.D.",AJ52/AJ$32)</f>
        <v>0.12929463806064947</v>
      </c>
      <c r="AL52" s="14">
        <f>AL48-AL50</f>
        <v>10429.815515000011</v>
      </c>
      <c r="AM52" s="22">
        <f t="shared" si="499"/>
        <v>0.14638474702252352</v>
      </c>
      <c r="AN52" s="14">
        <f>AN48-AN50</f>
        <v>0</v>
      </c>
      <c r="AO52" s="22" t="str">
        <f t="shared" ref="AO52:AQ52" si="500">IF(AN$32=0,"N.D.",AN52/AN$32)</f>
        <v>N.D.</v>
      </c>
      <c r="AP52" s="14">
        <f>AP48-AP50</f>
        <v>-3559.9432200000028</v>
      </c>
      <c r="AQ52" s="22">
        <f t="shared" si="500"/>
        <v>-0.18879226344965688</v>
      </c>
      <c r="AR52" s="14">
        <f>AR48-AR50</f>
        <v>29160.50334999997</v>
      </c>
      <c r="AS52" s="22">
        <f t="shared" ref="AS52:AU52" si="501">IF(AR$32=0,"N.D.",AR52/AR$32)</f>
        <v>4.4957646543392009E-2</v>
      </c>
      <c r="AT52" s="14">
        <f>AT48-AT50</f>
        <v>55782.730165000088</v>
      </c>
      <c r="AU52" s="22">
        <f t="shared" si="501"/>
        <v>4.5346387989635514E-2</v>
      </c>
      <c r="AX52" s="4" t="s">
        <v>21</v>
      </c>
      <c r="AY52" s="213">
        <f>AY48-AY50</f>
        <v>15312.721550000002</v>
      </c>
      <c r="AZ52" s="22">
        <f>IF(AY$32=0,"N.D.",AY52/AY$32)</f>
        <v>0.53968363344232817</v>
      </c>
      <c r="BA52" s="213">
        <f>BA48-BA50</f>
        <v>2138.6692899999994</v>
      </c>
      <c r="BB52" s="22">
        <f>IF(BA$32=0,"N.D.",BA52/BA$32)</f>
        <v>0.1513834265172565</v>
      </c>
      <c r="BC52" s="14">
        <f>BC48-BC50</f>
        <v>17451.390840000004</v>
      </c>
      <c r="BD52" s="22">
        <f>IF(BC$32=0,"N.D.",BC52/BC$32)</f>
        <v>0.41061116105367085</v>
      </c>
      <c r="BE52" s="226"/>
    </row>
    <row r="53" spans="2:85" x14ac:dyDescent="0.35">
      <c r="B53" s="4" t="s">
        <v>22</v>
      </c>
      <c r="C53" s="220">
        <f>C40+C38</f>
        <v>-2033.6043600000185</v>
      </c>
      <c r="D53" s="22">
        <f t="shared" si="461"/>
        <v>-1.2339362203517149E-2</v>
      </c>
      <c r="E53" s="14">
        <f>E40+E38</f>
        <v>-1124.8240999999991</v>
      </c>
      <c r="F53" s="22">
        <f t="shared" si="461"/>
        <v>-0.10147216731085504</v>
      </c>
      <c r="G53" s="31">
        <f>G40+G38</f>
        <v>-4137.1731899999841</v>
      </c>
      <c r="H53" s="22">
        <f t="shared" ref="H53" si="502">IF(G$32=0,"N.D.",G53/G$32)</f>
        <v>-4.9273056765373177E-2</v>
      </c>
      <c r="I53" s="14">
        <f>I40+I38</f>
        <v>550.39061999999831</v>
      </c>
      <c r="J53" s="22">
        <f t="shared" ref="J53:L53" si="503">IF(I$32=0,"N.D.",I53/I$32)</f>
        <v>4.6113402414962201E-2</v>
      </c>
      <c r="K53" s="219">
        <f>K40+K38</f>
        <v>-6745.2110300000504</v>
      </c>
      <c r="L53" s="22">
        <f t="shared" si="503"/>
        <v>-2.4817627913325445E-2</v>
      </c>
      <c r="N53" s="4" t="s">
        <v>22</v>
      </c>
      <c r="O53" s="220">
        <f>O40+O38</f>
        <v>32032.50092000002</v>
      </c>
      <c r="P53" s="22">
        <f t="shared" ref="P53:R53" si="504">IF(O$32=0,"N.D.",O53/O$32)</f>
        <v>0.1279152740388855</v>
      </c>
      <c r="Q53" s="14">
        <f>Q40+Q38</f>
        <v>4457.9651300000041</v>
      </c>
      <c r="R53" s="22">
        <f t="shared" si="504"/>
        <v>0.10870395737218763</v>
      </c>
      <c r="S53" s="31">
        <f>S40+S38</f>
        <v>14884.97443000002</v>
      </c>
      <c r="T53" s="22">
        <f t="shared" ref="T53:V53" si="505">IF(S$32=0,"N.D.",S53/S$32)</f>
        <v>5.8825369510237174E-2</v>
      </c>
      <c r="U53" s="14">
        <f>U40+U38</f>
        <v>1801.3637500000023</v>
      </c>
      <c r="V53" s="22">
        <f t="shared" si="505"/>
        <v>6.2820977048713436E-2</v>
      </c>
      <c r="W53" s="31">
        <f>W40+W38</f>
        <v>-243.23737000000074</v>
      </c>
      <c r="X53" s="22">
        <f t="shared" ref="X53:Z53" si="506">IF(W$32=0,"N.D.",W53/W$32)</f>
        <v>-4.7353669558444542E-2</v>
      </c>
      <c r="Y53" s="14">
        <f>Y40+Y38</f>
        <v>701.65678000000003</v>
      </c>
      <c r="Z53" s="22">
        <f t="shared" si="506"/>
        <v>0.31691428333981475</v>
      </c>
      <c r="AA53" s="219">
        <f>AA40+AA38</f>
        <v>53635.223639999858</v>
      </c>
      <c r="AB53" s="22">
        <f t="shared" ref="AB53" si="507">IF(AA$32=0,"N.D.",AA53/AA$32)</f>
        <v>0.11868639815721491</v>
      </c>
      <c r="AC53" s="285"/>
      <c r="AE53" s="4" t="s">
        <v>22</v>
      </c>
      <c r="AF53" s="20">
        <f>AF40+AF38</f>
        <v>13725.166649999992</v>
      </c>
      <c r="AG53" s="22">
        <f t="shared" ref="AG53:AI53" si="508">IF(AF$32=0,"N.D.",AF53/AF$32)</f>
        <v>5.3036566013268338E-2</v>
      </c>
      <c r="AH53" s="20">
        <f>AH40+AH38</f>
        <v>-25832.257270000009</v>
      </c>
      <c r="AI53" s="22">
        <f t="shared" si="508"/>
        <v>-0.13568065416693903</v>
      </c>
      <c r="AJ53" s="20">
        <f>AJ40+AJ38</f>
        <v>-33644.465210000002</v>
      </c>
      <c r="AK53" s="22">
        <f t="shared" ref="AK53:AM53" si="509">IF(AJ$32=0,"N.D.",AJ53/AJ$32)</f>
        <v>-0.7964551181428009</v>
      </c>
      <c r="AL53" s="20">
        <f>AL40+AL38</f>
        <v>13332.121680000011</v>
      </c>
      <c r="AM53" s="22">
        <f t="shared" si="509"/>
        <v>0.18711925024881906</v>
      </c>
      <c r="AN53" s="20">
        <f>AN40+AN38</f>
        <v>0</v>
      </c>
      <c r="AO53" s="22" t="str">
        <f t="shared" ref="AO53:AQ53" si="510">IF(AN$32=0,"N.D.",AN53/AN$32)</f>
        <v>N.D.</v>
      </c>
      <c r="AP53" s="20">
        <f>AP40+AP38</f>
        <v>-1193.1779700000025</v>
      </c>
      <c r="AQ53" s="22">
        <f t="shared" si="510"/>
        <v>-6.3277068125420013E-2</v>
      </c>
      <c r="AR53" s="20">
        <f>AR40+AR38</f>
        <v>41507.778029999972</v>
      </c>
      <c r="AS53" s="22">
        <f t="shared" ref="AS53:AU53" si="511">IF(AR$32=0,"N.D.",AR53/AR$32)</f>
        <v>6.3993820376708713E-2</v>
      </c>
      <c r="AT53" s="20">
        <f>AT40+AT38</f>
        <v>7895.165910000087</v>
      </c>
      <c r="AU53" s="22">
        <f t="shared" si="511"/>
        <v>6.4180662283546573E-3</v>
      </c>
      <c r="AX53" s="4" t="s">
        <v>22</v>
      </c>
      <c r="AY53" s="14">
        <f>AY40+AY38</f>
        <v>11327.660650000002</v>
      </c>
      <c r="AZ53" s="22">
        <f>IF(AY$32=0,"N.D.",AY53/AY$32)</f>
        <v>0.39923360703921928</v>
      </c>
      <c r="BA53" s="14">
        <f>BA40+BA38</f>
        <v>2410.1104099999993</v>
      </c>
      <c r="BB53" s="22">
        <f>IF(BA$32=0,"N.D.",BA53/BA$32)</f>
        <v>0.17059709692222211</v>
      </c>
      <c r="BC53" s="20">
        <f>BC40+BC38</f>
        <v>13737.771060000005</v>
      </c>
      <c r="BD53" s="22">
        <f>IF(BC$32=0,"N.D.",BC53/BC$32)</f>
        <v>0.32323395750823253</v>
      </c>
      <c r="BE53" s="2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28"/>
  <sheetViews>
    <sheetView zoomScaleNormal="100" workbookViewId="0">
      <pane xSplit="1" topLeftCell="R1" activePane="topRight" state="frozen"/>
      <selection activeCell="A11" sqref="A11"/>
      <selection pane="topRight" activeCell="AD29" sqref="AD29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281</v>
      </c>
      <c r="C1" s="2" t="s">
        <v>282</v>
      </c>
      <c r="D1" s="2" t="s">
        <v>283</v>
      </c>
      <c r="E1" s="2" t="s">
        <v>284</v>
      </c>
      <c r="F1" s="2" t="s">
        <v>289</v>
      </c>
      <c r="G1" s="2" t="s">
        <v>290</v>
      </c>
      <c r="H1" s="2" t="s">
        <v>291</v>
      </c>
      <c r="I1" s="2" t="s">
        <v>292</v>
      </c>
      <c r="J1" s="2" t="s">
        <v>293</v>
      </c>
      <c r="K1" s="2" t="s">
        <v>294</v>
      </c>
      <c r="L1" s="2" t="s">
        <v>297</v>
      </c>
      <c r="M1" s="2" t="s">
        <v>298</v>
      </c>
      <c r="N1" s="2" t="s">
        <v>299</v>
      </c>
      <c r="O1" s="2" t="s">
        <v>300</v>
      </c>
      <c r="P1" s="2" t="s">
        <v>301</v>
      </c>
      <c r="Q1" s="2" t="s">
        <v>302</v>
      </c>
      <c r="R1" s="2" t="s">
        <v>303</v>
      </c>
      <c r="S1" s="2" t="s">
        <v>305</v>
      </c>
      <c r="T1" s="2" t="s">
        <v>306</v>
      </c>
      <c r="U1" s="2" t="s">
        <v>324</v>
      </c>
      <c r="V1" s="2" t="s">
        <v>325</v>
      </c>
      <c r="W1" s="2" t="s">
        <v>326</v>
      </c>
      <c r="X1" s="2" t="s">
        <v>327</v>
      </c>
      <c r="Y1" s="2" t="s">
        <v>328</v>
      </c>
      <c r="Z1" s="2" t="s">
        <v>331</v>
      </c>
      <c r="AA1" s="2" t="s">
        <v>332</v>
      </c>
      <c r="AB1" s="2" t="s">
        <v>333</v>
      </c>
      <c r="AC1" s="2" t="s">
        <v>334</v>
      </c>
      <c r="AD1" s="2" t="s">
        <v>335</v>
      </c>
    </row>
    <row r="2" spans="1:30" x14ac:dyDescent="0.35">
      <c r="A2" s="7" t="s">
        <v>712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</row>
    <row r="3" spans="1:30" x14ac:dyDescent="0.35">
      <c r="A3" s="7" t="s">
        <v>5</v>
      </c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</row>
    <row r="4" spans="1:30" x14ac:dyDescent="0.35">
      <c r="A4" s="7" t="s">
        <v>6</v>
      </c>
      <c r="B4" s="201"/>
      <c r="C4" s="201"/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</row>
    <row r="5" spans="1:30" x14ac:dyDescent="0.35">
      <c r="A5" s="7" t="s">
        <v>8</v>
      </c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</row>
    <row r="6" spans="1:30" x14ac:dyDescent="0.35">
      <c r="A6" s="7" t="s">
        <v>9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  <c r="AC6" s="203"/>
      <c r="AD6" s="203"/>
    </row>
    <row r="7" spans="1:30" x14ac:dyDescent="0.35">
      <c r="A7" s="7" t="s">
        <v>10</v>
      </c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201"/>
      <c r="N7" s="201"/>
      <c r="O7" s="201"/>
      <c r="P7" s="201"/>
      <c r="Q7" s="201"/>
      <c r="R7" s="201"/>
      <c r="S7" s="201"/>
      <c r="T7" s="201"/>
      <c r="U7" s="201"/>
      <c r="V7" s="201"/>
      <c r="W7" s="201"/>
      <c r="X7" s="201"/>
      <c r="Y7" s="201"/>
      <c r="Z7" s="201"/>
      <c r="AA7" s="201"/>
      <c r="AB7" s="201"/>
      <c r="AC7" s="201"/>
      <c r="AD7" s="201"/>
    </row>
    <row r="8" spans="1:30" x14ac:dyDescent="0.35">
      <c r="A8" s="7" t="s">
        <v>13</v>
      </c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  <c r="AD8" s="199"/>
    </row>
    <row r="9" spans="1:30" x14ac:dyDescent="0.35">
      <c r="A9" s="7" t="s">
        <v>14</v>
      </c>
      <c r="B9" s="203"/>
      <c r="C9" s="203"/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  <c r="AC9" s="203"/>
      <c r="AD9" s="203"/>
    </row>
    <row r="10" spans="1:30" x14ac:dyDescent="0.35">
      <c r="A10" s="7" t="s">
        <v>15</v>
      </c>
      <c r="B10" s="203"/>
      <c r="C10" s="203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</row>
    <row r="11" spans="1:30" x14ac:dyDescent="0.35">
      <c r="A11" s="7" t="s">
        <v>16</v>
      </c>
      <c r="B11" s="203"/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</row>
    <row r="12" spans="1:30" x14ac:dyDescent="0.35">
      <c r="A12" s="7" t="s">
        <v>288</v>
      </c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</row>
    <row r="13" spans="1:30" x14ac:dyDescent="0.35">
      <c r="A13" s="7" t="s">
        <v>19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</row>
    <row r="14" spans="1:30" x14ac:dyDescent="0.35">
      <c r="A14" s="7" t="s">
        <v>43</v>
      </c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</row>
    <row r="15" spans="1:30" x14ac:dyDescent="0.35">
      <c r="A15" s="26" t="s">
        <v>71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35">
      <c r="A16" s="7" t="s">
        <v>712</v>
      </c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</row>
    <row r="17" spans="1:30" x14ac:dyDescent="0.35">
      <c r="A17" s="7" t="s">
        <v>5</v>
      </c>
      <c r="B17" s="199">
        <v>894.09978999999998</v>
      </c>
      <c r="C17">
        <v>912.09978999999998</v>
      </c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</row>
    <row r="18" spans="1:30" x14ac:dyDescent="0.35">
      <c r="A18" s="7" t="s">
        <v>6</v>
      </c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</row>
    <row r="19" spans="1:30" x14ac:dyDescent="0.35">
      <c r="A19" s="7" t="s">
        <v>8</v>
      </c>
      <c r="B19" s="199"/>
      <c r="C19" s="199"/>
      <c r="D19" s="199"/>
      <c r="E19" s="199">
        <v>4</v>
      </c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</row>
    <row r="20" spans="1:30" x14ac:dyDescent="0.35">
      <c r="A20" s="7" t="s">
        <v>9</v>
      </c>
      <c r="B20" s="203"/>
      <c r="C20" s="203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</row>
    <row r="21" spans="1:30" x14ac:dyDescent="0.35">
      <c r="A21" s="7" t="s">
        <v>10</v>
      </c>
      <c r="B21" s="201"/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  <c r="U21" s="201"/>
      <c r="V21" s="201"/>
      <c r="W21" s="201"/>
      <c r="X21" s="201"/>
      <c r="Y21" s="201"/>
      <c r="Z21" s="201"/>
      <c r="AA21" s="201"/>
      <c r="AB21" s="201"/>
      <c r="AC21" s="201"/>
      <c r="AD21" s="201"/>
    </row>
    <row r="22" spans="1:30" x14ac:dyDescent="0.35">
      <c r="A22" s="7" t="s">
        <v>13</v>
      </c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</row>
    <row r="23" spans="1:30" x14ac:dyDescent="0.35">
      <c r="A23" s="7" t="s">
        <v>14</v>
      </c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</row>
    <row r="24" spans="1:30" x14ac:dyDescent="0.35">
      <c r="A24" s="7" t="s">
        <v>15</v>
      </c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</row>
    <row r="25" spans="1:30" x14ac:dyDescent="0.35">
      <c r="A25" s="7" t="s">
        <v>16</v>
      </c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</row>
    <row r="26" spans="1:30" x14ac:dyDescent="0.35">
      <c r="A26" s="7" t="s">
        <v>288</v>
      </c>
      <c r="B26" s="201"/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</row>
    <row r="27" spans="1:30" x14ac:dyDescent="0.35">
      <c r="A27" s="7" t="s">
        <v>19</v>
      </c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</row>
    <row r="28" spans="1:30" x14ac:dyDescent="0.35">
      <c r="A28" s="7" t="s">
        <v>43</v>
      </c>
      <c r="B28" s="201"/>
      <c r="C28" s="201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topLeftCell="E1" zoomScale="50" zoomScaleNormal="50" workbookViewId="0">
      <selection activeCell="AA10" sqref="AA10"/>
    </sheetView>
  </sheetViews>
  <sheetFormatPr baseColWidth="10" defaultRowHeight="14.5" x14ac:dyDescent="0.35"/>
  <sheetData>
    <row r="3" spans="2:29" x14ac:dyDescent="0.35">
      <c r="B3" s="297" t="s">
        <v>677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97" t="s">
        <v>678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74" t="s">
        <v>679</v>
      </c>
      <c r="C4" s="274" t="s">
        <v>680</v>
      </c>
      <c r="D4" s="274" t="s">
        <v>681</v>
      </c>
      <c r="E4" s="274" t="s">
        <v>682</v>
      </c>
      <c r="F4" s="274" t="s">
        <v>683</v>
      </c>
      <c r="G4" s="274" t="s">
        <v>684</v>
      </c>
      <c r="H4" s="274" t="s">
        <v>685</v>
      </c>
      <c r="I4" s="274" t="s">
        <v>686</v>
      </c>
      <c r="J4" s="274" t="s">
        <v>687</v>
      </c>
      <c r="K4" s="274" t="s">
        <v>688</v>
      </c>
      <c r="L4" s="274" t="s">
        <v>689</v>
      </c>
      <c r="M4" s="274" t="s">
        <v>690</v>
      </c>
      <c r="N4" s="274" t="s">
        <v>691</v>
      </c>
      <c r="O4" s="25"/>
      <c r="P4" s="40"/>
      <c r="Q4" s="274" t="s">
        <v>679</v>
      </c>
      <c r="R4" s="274" t="s">
        <v>680</v>
      </c>
      <c r="S4" s="274" t="s">
        <v>681</v>
      </c>
      <c r="T4" s="274" t="s">
        <v>682</v>
      </c>
      <c r="U4" s="274" t="s">
        <v>683</v>
      </c>
      <c r="V4" s="274" t="s">
        <v>684</v>
      </c>
      <c r="W4" s="274" t="s">
        <v>685</v>
      </c>
      <c r="X4" s="274" t="s">
        <v>686</v>
      </c>
      <c r="Y4" s="274" t="s">
        <v>687</v>
      </c>
      <c r="Z4" s="274" t="s">
        <v>688</v>
      </c>
      <c r="AA4" s="274" t="s">
        <v>689</v>
      </c>
      <c r="AB4" s="274" t="s">
        <v>690</v>
      </c>
      <c r="AC4" s="274" t="s">
        <v>691</v>
      </c>
    </row>
    <row r="5" spans="2:29" x14ac:dyDescent="0.35">
      <c r="B5" s="8">
        <v>58812.692348079981</v>
      </c>
      <c r="C5" s="8">
        <v>59582.277827445992</v>
      </c>
      <c r="D5" s="8">
        <v>67125.346926344995</v>
      </c>
      <c r="E5" s="8">
        <v>43552.077256414996</v>
      </c>
      <c r="F5" s="8">
        <v>29870.978742328003</v>
      </c>
      <c r="G5" s="8">
        <v>27466.105414166999</v>
      </c>
      <c r="H5" s="8">
        <v>26809.552778352998</v>
      </c>
      <c r="I5" s="8">
        <v>29839.478068864006</v>
      </c>
      <c r="J5" s="8">
        <v>28076.887484985</v>
      </c>
      <c r="K5" s="8"/>
      <c r="L5" s="8"/>
      <c r="M5" s="8"/>
      <c r="N5" s="8">
        <f>SUM(B5:CHOOSE(MONTH(Mes_cierre),B5,C5,D5,E5,F5,G5,H5,I5,J5,K5,L5,M5))</f>
        <v>371135.39684698294</v>
      </c>
      <c r="O5" s="40"/>
      <c r="P5" s="25"/>
      <c r="Q5" s="8">
        <v>2228.0041467199999</v>
      </c>
      <c r="R5" s="8">
        <v>2268.4978958059996</v>
      </c>
      <c r="S5" s="8">
        <v>2340.1096966620003</v>
      </c>
      <c r="T5" s="8">
        <v>2033.1774307389999</v>
      </c>
      <c r="U5" s="8">
        <v>2558.2274743240005</v>
      </c>
      <c r="V5" s="8">
        <v>2501.7170771250003</v>
      </c>
      <c r="W5" s="8">
        <v>2473.5165903750003</v>
      </c>
      <c r="X5" s="8">
        <v>2613.7392690000006</v>
      </c>
      <c r="Y5" s="8">
        <v>2570.0979393749999</v>
      </c>
      <c r="Z5" s="8"/>
      <c r="AA5" s="8"/>
      <c r="AB5" s="8"/>
      <c r="AC5" s="8">
        <f>SUM(Q5:CHOOSE(MONTH(Mes_cierre),Q5,R5,S5,T5,U5,V5,W5,X5,Y5,Z5,AA5,AB5))</f>
        <v>21587.087520126002</v>
      </c>
    </row>
    <row r="6" spans="2:29" x14ac:dyDescent="0.35">
      <c r="B6" s="11">
        <v>21366.940619199999</v>
      </c>
      <c r="C6" s="11">
        <v>20995.749889073002</v>
      </c>
      <c r="D6" s="11">
        <v>23442.934627835995</v>
      </c>
      <c r="E6" s="11">
        <v>14935.564022105997</v>
      </c>
      <c r="F6" s="11">
        <v>10136.387339452001</v>
      </c>
      <c r="G6" s="11">
        <v>9070.0014229650005</v>
      </c>
      <c r="H6" s="11">
        <v>9079.1873827399995</v>
      </c>
      <c r="I6" s="11">
        <v>9925.4684456480009</v>
      </c>
      <c r="J6" s="11">
        <v>9099.1491193149996</v>
      </c>
      <c r="K6" s="11"/>
      <c r="L6" s="11"/>
      <c r="M6" s="11"/>
      <c r="N6" s="11">
        <f>SUM(B6:CHOOSE(MONTH(Mes_cierre),B6,C6,D6,E6,F6,G6,H6,I6,J6,K6,L6,M6))</f>
        <v>128051.382868335</v>
      </c>
      <c r="O6" s="25"/>
      <c r="P6" s="25"/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37445.751728880001</v>
      </c>
      <c r="C7" s="14">
        <v>38586.527938372994</v>
      </c>
      <c r="D7" s="14">
        <v>43682.412298509007</v>
      </c>
      <c r="E7" s="14">
        <v>28616.513234308997</v>
      </c>
      <c r="F7" s="14">
        <v>19734.591402876002</v>
      </c>
      <c r="G7" s="14">
        <v>18396.103991201999</v>
      </c>
      <c r="H7" s="14">
        <v>17730.365395613</v>
      </c>
      <c r="I7" s="14">
        <v>19914.009623215999</v>
      </c>
      <c r="J7" s="14">
        <v>18977.73836567</v>
      </c>
      <c r="K7" s="14"/>
      <c r="L7" s="14"/>
      <c r="M7" s="14"/>
      <c r="N7" s="14">
        <f>SUM(B7:CHOOSE(MONTH(Mes_cierre),B7,C7,D7,E7,F7,G7,H7,I7,J7,K7,L7,M7))</f>
        <v>243084.01397864797</v>
      </c>
      <c r="O7" s="25"/>
      <c r="P7" s="25"/>
      <c r="Q7" s="14">
        <v>2228.0041467199999</v>
      </c>
      <c r="R7" s="14">
        <v>2268.4978958059996</v>
      </c>
      <c r="S7" s="14">
        <v>2340.1096966620003</v>
      </c>
      <c r="T7" s="14">
        <v>2033.1774307389999</v>
      </c>
      <c r="U7" s="14">
        <v>2558.2274743240005</v>
      </c>
      <c r="V7" s="14">
        <v>2501.7170771250003</v>
      </c>
      <c r="W7" s="14">
        <v>2473.5165903750003</v>
      </c>
      <c r="X7" s="14">
        <v>2613.7392690000006</v>
      </c>
      <c r="Y7" s="14">
        <v>2570.0979393749999</v>
      </c>
      <c r="Z7" s="14"/>
      <c r="AA7" s="14"/>
      <c r="AB7" s="14"/>
      <c r="AC7" s="14">
        <f>SUM(Q7:CHOOSE(MONTH(Mes_cierre),Q7,R7,S7,T7,U7,V7,W7,X7,Y7,Z7,AA7,AB7))</f>
        <v>21587.087520126002</v>
      </c>
    </row>
    <row r="8" spans="2:29" x14ac:dyDescent="0.35"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35638.637952983998</v>
      </c>
      <c r="C9" s="8">
        <v>33977.484224092004</v>
      </c>
      <c r="D9" s="8">
        <v>37298.052709550997</v>
      </c>
      <c r="E9" s="8">
        <v>26265.193150833002</v>
      </c>
      <c r="F9" s="8">
        <v>18652.452676384</v>
      </c>
      <c r="G9" s="8">
        <v>17662.057158879001</v>
      </c>
      <c r="H9" s="8">
        <v>17683.442486518001</v>
      </c>
      <c r="I9" s="8">
        <v>19108.634838552</v>
      </c>
      <c r="J9" s="8">
        <v>18558.299723909997</v>
      </c>
      <c r="K9" s="8"/>
      <c r="L9" s="8"/>
      <c r="M9" s="8"/>
      <c r="N9" s="8">
        <f>SUM(B9:CHOOSE(MONTH(Mes_cierre),B9,C9,D9,E9,F9,G9,H9,I9,J9,K9,L9,M9))</f>
        <v>224844.25492170305</v>
      </c>
      <c r="O9" s="25"/>
      <c r="P9" s="25"/>
      <c r="Q9" s="8">
        <v>278.64844981599998</v>
      </c>
      <c r="R9" s="8">
        <v>129.75471333199999</v>
      </c>
      <c r="S9" s="8">
        <v>140.02044226200002</v>
      </c>
      <c r="T9" s="8">
        <v>200.64721331199996</v>
      </c>
      <c r="U9" s="8">
        <v>123.57748938</v>
      </c>
      <c r="V9" s="8">
        <v>414.69758473500002</v>
      </c>
      <c r="W9" s="8">
        <v>180.681167061</v>
      </c>
      <c r="X9" s="8">
        <v>429.874977016</v>
      </c>
      <c r="Y9" s="8">
        <v>454.46915536499995</v>
      </c>
      <c r="Z9" s="8"/>
      <c r="AA9" s="8"/>
      <c r="AB9" s="8"/>
      <c r="AC9" s="8">
        <f>SUM(Q9:CHOOSE(MONTH(Mes_cierre),Q9,R9,S9,T9,U9,V9,W9,X9,Y9,Z9,AA9,AB9))</f>
        <v>2352.3711922789998</v>
      </c>
    </row>
    <row r="10" spans="2:29" x14ac:dyDescent="0.35">
      <c r="B10" s="11">
        <v>3202.3107385720004</v>
      </c>
      <c r="C10" s="11">
        <v>2737.7821548079996</v>
      </c>
      <c r="D10" s="11">
        <v>3252.484981953</v>
      </c>
      <c r="E10" s="11">
        <v>2372.664589295</v>
      </c>
      <c r="F10" s="11">
        <v>1493.5011270280002</v>
      </c>
      <c r="G10" s="11">
        <v>696.142688787</v>
      </c>
      <c r="H10" s="11">
        <v>834.76530477599999</v>
      </c>
      <c r="I10" s="11">
        <v>955.26278600000012</v>
      </c>
      <c r="J10" s="11">
        <v>845.05023512000002</v>
      </c>
      <c r="K10" s="11"/>
      <c r="L10" s="11"/>
      <c r="M10" s="11"/>
      <c r="N10" s="11">
        <f>SUM(B10:CHOOSE(MONTH(Mes_cierre),B10,C10,D10,E10,F10,G10,H10,I10,J10,K10,L10,M10))</f>
        <v>16389.964606339003</v>
      </c>
      <c r="O10" s="25"/>
      <c r="P10" s="25"/>
      <c r="Q10" s="11">
        <v>0.33908102799999995</v>
      </c>
      <c r="R10" s="11">
        <v>0.33243968200000001</v>
      </c>
      <c r="S10" s="11">
        <v>0.34376394599999999</v>
      </c>
      <c r="T10" s="11">
        <v>0.303968301</v>
      </c>
      <c r="U10" s="11">
        <v>0.31526373000000008</v>
      </c>
      <c r="V10" s="11">
        <v>0.43450079400000002</v>
      </c>
      <c r="W10" s="11">
        <v>0.40416891199999999</v>
      </c>
      <c r="X10" s="11">
        <v>0.4718362960000001</v>
      </c>
      <c r="Y10" s="11">
        <v>32.984637990000003</v>
      </c>
      <c r="Z10" s="11"/>
      <c r="AA10" s="11"/>
      <c r="AB10" s="11"/>
      <c r="AC10" s="11">
        <f>SUM(Q10:CHOOSE(MONTH(Mes_cierre),Q10,R10,S10,T10,U10,V10,W10,X10,Y10,Z10,AA10,AB10))</f>
        <v>35.929660679000001</v>
      </c>
    </row>
    <row r="11" spans="2:29" x14ac:dyDescent="0.35">
      <c r="B11" s="11">
        <v>838.63229529199998</v>
      </c>
      <c r="C11" s="11">
        <v>848.4178486190001</v>
      </c>
      <c r="D11" s="11">
        <v>853.58622471300009</v>
      </c>
      <c r="E11" s="11">
        <v>837.37601975299992</v>
      </c>
      <c r="F11" s="11">
        <v>359.57802487799995</v>
      </c>
      <c r="G11" s="11">
        <v>370.985498667</v>
      </c>
      <c r="H11" s="11">
        <v>387.48175006000002</v>
      </c>
      <c r="I11" s="11">
        <v>409.44793744000009</v>
      </c>
      <c r="J11" s="11">
        <v>402.61142830000006</v>
      </c>
      <c r="K11" s="11"/>
      <c r="L11" s="11"/>
      <c r="M11" s="11"/>
      <c r="N11" s="11">
        <f>SUM(B11:CHOOSE(MONTH(Mes_cierre),B11,C11,D11,E11,F11,G11,H11,I11,J11,K11,L11,M11))</f>
        <v>5308.1170277219999</v>
      </c>
      <c r="O11" s="25"/>
      <c r="P11" s="25"/>
      <c r="Q11" s="11">
        <v>399.86068350799997</v>
      </c>
      <c r="R11" s="11">
        <v>404.52111828700004</v>
      </c>
      <c r="S11" s="11">
        <v>406.98260073900002</v>
      </c>
      <c r="T11" s="11">
        <v>399.25371385899996</v>
      </c>
      <c r="U11" s="11">
        <v>412.54193866600008</v>
      </c>
      <c r="V11" s="11">
        <v>403.42899296700006</v>
      </c>
      <c r="W11" s="11">
        <v>398.896672889</v>
      </c>
      <c r="X11" s="11">
        <v>421.50996773600002</v>
      </c>
      <c r="Y11" s="11">
        <v>21.002410000000001</v>
      </c>
      <c r="Z11" s="11"/>
      <c r="AA11" s="11"/>
      <c r="AB11" s="11"/>
      <c r="AC11" s="11">
        <f>SUM(Q11:CHOOSE(MONTH(Mes_cierre),Q11,R11,S11,T11,U11,V11,W11,X11,Y11,Z11,AA11,AB11))</f>
        <v>3267.998098651</v>
      </c>
    </row>
    <row r="12" spans="2:29" x14ac:dyDescent="0.35">
      <c r="B12" s="14">
        <v>39679.580986847999</v>
      </c>
      <c r="C12" s="14">
        <v>37563.684227519007</v>
      </c>
      <c r="D12" s="14">
        <v>41404.123916216995</v>
      </c>
      <c r="E12" s="14">
        <v>29475.233759881001</v>
      </c>
      <c r="F12" s="14">
        <v>20505.531828290001</v>
      </c>
      <c r="G12" s="14">
        <v>18729.185346333001</v>
      </c>
      <c r="H12" s="14">
        <v>18905.689541354001</v>
      </c>
      <c r="I12" s="14">
        <v>20473.345561991999</v>
      </c>
      <c r="J12" s="14">
        <v>19805.961387329997</v>
      </c>
      <c r="K12" s="14"/>
      <c r="L12" s="14"/>
      <c r="M12" s="14"/>
      <c r="N12" s="14">
        <f>SUM(B12:CHOOSE(MONTH(Mes_cierre),B12,C12,D12,E12,F12,G12,H12,I12,J12,K12,L12,M12))</f>
        <v>246542.33655576399</v>
      </c>
      <c r="O12" s="25"/>
      <c r="P12" s="25"/>
      <c r="Q12" s="14">
        <v>678.84821435200001</v>
      </c>
      <c r="R12" s="14">
        <v>534.60827130099995</v>
      </c>
      <c r="S12" s="14">
        <v>547.346806947</v>
      </c>
      <c r="T12" s="14">
        <v>600.20489547199998</v>
      </c>
      <c r="U12" s="14">
        <v>536.43469177600002</v>
      </c>
      <c r="V12" s="14">
        <v>818.56107849600005</v>
      </c>
      <c r="W12" s="14">
        <v>579.98200886200004</v>
      </c>
      <c r="X12" s="14">
        <v>851.85678104800002</v>
      </c>
      <c r="Y12" s="14">
        <v>508.45620335499996</v>
      </c>
      <c r="Z12" s="14"/>
      <c r="AA12" s="14"/>
      <c r="AB12" s="14"/>
      <c r="AC12" s="14">
        <f>SUM(Q12:CHOOSE(MONTH(Mes_cierre),Q12,R12,S12,T12,U12,V12,W12,X12,Y12,Z12,AA12,AB12))</f>
        <v>5656.2989516090001</v>
      </c>
    </row>
    <row r="13" spans="2:29" x14ac:dyDescent="0.35">
      <c r="B13" s="31">
        <v>0</v>
      </c>
      <c r="C13" s="31">
        <v>0</v>
      </c>
      <c r="D13" s="31">
        <v>0</v>
      </c>
      <c r="E13" s="31">
        <v>0</v>
      </c>
      <c r="F13" s="31">
        <v>0</v>
      </c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-2233.8292579680005</v>
      </c>
      <c r="C14" s="20">
        <v>1022.8437108539933</v>
      </c>
      <c r="D14" s="20">
        <v>2278.2883822920107</v>
      </c>
      <c r="E14" s="20">
        <v>-858.72052557200414</v>
      </c>
      <c r="F14" s="20">
        <v>-770.94042541399949</v>
      </c>
      <c r="G14" s="20">
        <v>-333.08135513100206</v>
      </c>
      <c r="H14" s="20">
        <v>-1175.324145741004</v>
      </c>
      <c r="I14" s="20">
        <v>-559.33593877599924</v>
      </c>
      <c r="J14" s="20">
        <v>-828.22302165999645</v>
      </c>
      <c r="K14" s="20"/>
      <c r="L14" s="20"/>
      <c r="M14" s="20"/>
      <c r="N14" s="20">
        <f>SUM(B14:CHOOSE(MONTH(Mes_cierre),B14,C14,D14,E14,F14,G14,H14,I14,J14,K14,L14,M14))</f>
        <v>-3458.3225771160019</v>
      </c>
      <c r="O14" s="25"/>
      <c r="P14" s="298"/>
      <c r="Q14" s="20">
        <v>1549.1559323679999</v>
      </c>
      <c r="R14" s="20">
        <v>1733.8896245049996</v>
      </c>
      <c r="S14" s="20">
        <v>1792.7628897150003</v>
      </c>
      <c r="T14" s="20">
        <v>1432.9725352669998</v>
      </c>
      <c r="U14" s="20">
        <v>2021.7927825480006</v>
      </c>
      <c r="V14" s="20">
        <v>1683.1559986290004</v>
      </c>
      <c r="W14" s="20">
        <v>1893.5345815130004</v>
      </c>
      <c r="X14" s="20">
        <v>1761.8824879520007</v>
      </c>
      <c r="Y14" s="20">
        <v>2061.6417360199998</v>
      </c>
      <c r="Z14" s="20"/>
      <c r="AA14" s="20"/>
      <c r="AB14" s="20"/>
      <c r="AC14" s="20">
        <f>SUM(Q14:CHOOSE(MONTH(Mes_cierre),Q14,R14,S14,T14,U14,V14,W14,X14,Y14,Z14,AA14,AB14))</f>
        <v>15930.788568517</v>
      </c>
    </row>
    <row r="15" spans="2:29" x14ac:dyDescent="0.35">
      <c r="B15" s="8">
        <v>147.55069999999998</v>
      </c>
      <c r="C15" s="8">
        <v>149.27042499999999</v>
      </c>
      <c r="D15" s="8">
        <v>150.17872500000001</v>
      </c>
      <c r="E15" s="8">
        <v>147.32672499999998</v>
      </c>
      <c r="F15" s="8">
        <v>152.23015000000001</v>
      </c>
      <c r="G15" s="8">
        <v>148.867425</v>
      </c>
      <c r="H15" s="8">
        <v>147.194975</v>
      </c>
      <c r="I15" s="8">
        <v>155.5394</v>
      </c>
      <c r="J15" s="8">
        <v>152.942375</v>
      </c>
      <c r="K15" s="8"/>
      <c r="L15" s="8"/>
      <c r="M15" s="8"/>
      <c r="N15" s="8">
        <f>SUM(B15:CHOOSE(MONTH(Mes_cierre),B15,C15,D15,E15,F15,G15,H15,I15,J15,K15,L15,M15))</f>
        <v>1351.1008999999999</v>
      </c>
      <c r="O15" s="298"/>
      <c r="P15" s="298"/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/>
      <c r="L16" s="34"/>
      <c r="M16" s="34"/>
      <c r="N16" s="34">
        <f>SUM(B16:CHOOSE(MONTH(Mes_cierre),B16,C16,D16,E16,F16,G16,H16,I16,J16,K16,L16,M16))</f>
        <v>0</v>
      </c>
      <c r="O16" s="298"/>
      <c r="P16" s="25"/>
      <c r="Q16" s="34">
        <v>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-2381.3799579680008</v>
      </c>
      <c r="C17" s="14">
        <v>873.57328585399318</v>
      </c>
      <c r="D17" s="14">
        <v>2128.1096572920105</v>
      </c>
      <c r="E17" s="14">
        <v>-1006.0472505720041</v>
      </c>
      <c r="F17" s="14">
        <v>-923.17057541399959</v>
      </c>
      <c r="G17" s="14">
        <v>-481.94878013100208</v>
      </c>
      <c r="H17" s="14">
        <v>-1322.5191207410039</v>
      </c>
      <c r="I17" s="14">
        <v>-714.87533877599924</v>
      </c>
      <c r="J17" s="14">
        <v>-981.16539665999642</v>
      </c>
      <c r="K17" s="14"/>
      <c r="L17" s="14"/>
      <c r="M17" s="14"/>
      <c r="N17" s="14">
        <f>SUM(B17:CHOOSE(MONTH(Mes_cierre),B17,C17,D17,E17,F17,G17,H17,I17,J17,K17,L17,M17))</f>
        <v>-4809.4234771160027</v>
      </c>
      <c r="O17" s="25"/>
      <c r="P17" s="25"/>
      <c r="Q17" s="14">
        <v>1549.1559323679999</v>
      </c>
      <c r="R17" s="14">
        <v>1733.8896245049996</v>
      </c>
      <c r="S17" s="14">
        <v>1792.7628897150003</v>
      </c>
      <c r="T17" s="14">
        <v>1432.9725352669998</v>
      </c>
      <c r="U17" s="14">
        <v>2021.7927825480006</v>
      </c>
      <c r="V17" s="14">
        <v>1683.1559986290004</v>
      </c>
      <c r="W17" s="14">
        <v>1893.5345815130004</v>
      </c>
      <c r="X17" s="14">
        <v>1761.8824879520007</v>
      </c>
      <c r="Y17" s="14">
        <v>2061.6417360199998</v>
      </c>
      <c r="Z17" s="14"/>
      <c r="AA17" s="14"/>
      <c r="AB17" s="14"/>
      <c r="AC17" s="14">
        <f>SUM(Q17:CHOOSE(MONTH(Mes_cierre),Q17,R17,S17,T17,U17,V17,W17,X17,Y17,Z17,AA17,AB17))</f>
        <v>15930.788568517</v>
      </c>
    </row>
    <row r="18" spans="2:29" x14ac:dyDescent="0.35">
      <c r="B18" s="30">
        <v>0</v>
      </c>
      <c r="C18" s="30">
        <v>0</v>
      </c>
      <c r="D18" s="30">
        <v>0</v>
      </c>
      <c r="E18" s="30">
        <v>0</v>
      </c>
      <c r="F18" s="30">
        <v>0</v>
      </c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-561.75007495199998</v>
      </c>
      <c r="C20" s="11">
        <v>-1439.7508074900002</v>
      </c>
      <c r="D20" s="11">
        <v>-809.89642381499993</v>
      </c>
      <c r="E20" s="11">
        <v>-470.95392398600001</v>
      </c>
      <c r="F20" s="11">
        <v>-341.55927861999999</v>
      </c>
      <c r="G20" s="11">
        <v>-303.70875569999998</v>
      </c>
      <c r="H20" s="11">
        <v>-148.40216372399999</v>
      </c>
      <c r="I20" s="11">
        <v>-327.52784416000003</v>
      </c>
      <c r="J20" s="11">
        <v>-2223.8806076550004</v>
      </c>
      <c r="K20" s="11"/>
      <c r="L20" s="11"/>
      <c r="M20" s="11"/>
      <c r="N20" s="11">
        <f>SUM(B20:CHOOSE(MONTH(Mes_cierre),B20,C20,D20,E20,F20,G20,H20,I20,J20,K20,L20,M20))</f>
        <v>-6627.4298801020013</v>
      </c>
      <c r="O20" s="25"/>
      <c r="P20" s="25"/>
      <c r="Q20" s="11">
        <v>3.6466917519999993</v>
      </c>
      <c r="R20" s="11">
        <v>2.0736069619999999</v>
      </c>
      <c r="S20" s="11">
        <v>6.5231824769999998</v>
      </c>
      <c r="T20" s="11">
        <v>12.386280543</v>
      </c>
      <c r="U20" s="11">
        <v>5.276198786000001</v>
      </c>
      <c r="V20" s="11">
        <v>7.1884718010000004</v>
      </c>
      <c r="W20" s="11">
        <v>8.0723623579999995</v>
      </c>
      <c r="X20" s="11">
        <v>37.412744840000002</v>
      </c>
      <c r="Y20" s="11">
        <v>9.4757175200000017</v>
      </c>
      <c r="Z20" s="11"/>
      <c r="AA20" s="11"/>
      <c r="AB20" s="11"/>
      <c r="AC20" s="11">
        <f>SUM(Q20:CHOOSE(MONTH(Mes_cierre),Q20,R20,S20,T20,U20,V20,W20,X20,Y20,Z20,AA20,AB20))</f>
        <v>92.055257039000011</v>
      </c>
    </row>
    <row r="21" spans="2:29" x14ac:dyDescent="0.35">
      <c r="B21" s="11">
        <v>1000.747486904</v>
      </c>
      <c r="C21" s="11">
        <v>950.34162087899983</v>
      </c>
      <c r="D21" s="11">
        <v>962.19082793700011</v>
      </c>
      <c r="E21" s="11">
        <v>947.62773678299982</v>
      </c>
      <c r="F21" s="11">
        <v>385.43475781399991</v>
      </c>
      <c r="G21" s="11">
        <v>350.05800419100001</v>
      </c>
      <c r="H21" s="11">
        <v>333.77970516799991</v>
      </c>
      <c r="I21" s="11">
        <v>351.43996977600005</v>
      </c>
      <c r="J21" s="11">
        <v>88.173746000000008</v>
      </c>
      <c r="K21" s="11"/>
      <c r="L21" s="11"/>
      <c r="M21" s="11"/>
      <c r="N21" s="11">
        <f>SUM(B21:CHOOSE(MONTH(Mes_cierre),B21,C21,D21,E21,F21,G21,H21,I21,J21,K21,L21,M21))</f>
        <v>5369.7938554519997</v>
      </c>
      <c r="O21" s="25"/>
      <c r="P21" s="25"/>
      <c r="Q21" s="11">
        <v>534.78884949600001</v>
      </c>
      <c r="R21" s="11">
        <v>606.48149942099997</v>
      </c>
      <c r="S21" s="11">
        <v>667.03208094900003</v>
      </c>
      <c r="T21" s="11">
        <v>677.39516471899992</v>
      </c>
      <c r="U21" s="11">
        <v>652.08403494400011</v>
      </c>
      <c r="V21" s="11">
        <v>565.91058409200002</v>
      </c>
      <c r="W21" s="11">
        <v>532.18903501800003</v>
      </c>
      <c r="X21" s="11">
        <v>585.93116921600006</v>
      </c>
      <c r="Y21" s="11">
        <v>618.03244092</v>
      </c>
      <c r="Z21" s="11"/>
      <c r="AA21" s="11"/>
      <c r="AB21" s="11"/>
      <c r="AC21" s="11">
        <f>SUM(Q21:CHOOSE(MONTH(Mes_cierre),Q21,R21,S21,T21,U21,V21,W21,X21,Y21,Z21,AA21,AB21))</f>
        <v>5439.8448587749999</v>
      </c>
    </row>
    <row r="22" spans="2:29" x14ac:dyDescent="0.3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438.99741195200022</v>
      </c>
      <c r="C24" s="14">
        <v>-489.40918661100034</v>
      </c>
      <c r="D24" s="14">
        <v>152.29440412200006</v>
      </c>
      <c r="E24" s="14">
        <v>476.67381279699987</v>
      </c>
      <c r="F24" s="14">
        <v>43.875479193999922</v>
      </c>
      <c r="G24" s="14">
        <v>46.34924849099999</v>
      </c>
      <c r="H24" s="14">
        <v>185.37754144399997</v>
      </c>
      <c r="I24" s="14">
        <v>23.912125615999987</v>
      </c>
      <c r="J24" s="14">
        <v>-2135.7068616550005</v>
      </c>
      <c r="K24" s="14"/>
      <c r="L24" s="14"/>
      <c r="M24" s="14"/>
      <c r="N24" s="14">
        <f>SUM(B24:CHOOSE(MONTH(Mes_cierre),B24,C24,D24,E24,F24,G24,H24,I24,J24,K24,L24,M24))</f>
        <v>-1257.6360246500008</v>
      </c>
      <c r="O24" s="25"/>
      <c r="P24" s="25"/>
      <c r="Q24" s="14">
        <v>538.43554124799994</v>
      </c>
      <c r="R24" s="14">
        <v>608.55510638299995</v>
      </c>
      <c r="S24" s="14">
        <v>673.55526342600001</v>
      </c>
      <c r="T24" s="14">
        <v>689.78144526199992</v>
      </c>
      <c r="U24" s="14">
        <v>657.36023373000012</v>
      </c>
      <c r="V24" s="14">
        <v>573.09905589300001</v>
      </c>
      <c r="W24" s="14">
        <v>540.26139737599999</v>
      </c>
      <c r="X24" s="14">
        <v>623.34391405600002</v>
      </c>
      <c r="Y24" s="14">
        <v>627.50815843999999</v>
      </c>
      <c r="Z24" s="14"/>
      <c r="AA24" s="14"/>
      <c r="AB24" s="14"/>
      <c r="AC24" s="14">
        <f>SUM(Q24:CHOOSE(MONTH(Mes_cierre),Q24,R24,S24,T24,U24,V24,W24,X24,Y24,Z24,AA24,AB24))</f>
        <v>5531.9001158139999</v>
      </c>
    </row>
    <row r="25" spans="2:29" x14ac:dyDescent="0.35">
      <c r="B25" s="14">
        <v>-2820.3773699200042</v>
      </c>
      <c r="C25" s="14">
        <v>1362.9824724649973</v>
      </c>
      <c r="D25" s="14">
        <v>1975.8152531700061</v>
      </c>
      <c r="E25" s="14">
        <v>-1482.721063369002</v>
      </c>
      <c r="F25" s="14">
        <v>-967.04605460799689</v>
      </c>
      <c r="G25" s="14">
        <v>-528.29802862200086</v>
      </c>
      <c r="H25" s="14">
        <v>-1507.8966621850016</v>
      </c>
      <c r="I25" s="14">
        <v>-738.7874643920012</v>
      </c>
      <c r="J25" s="14">
        <v>1154.5414649950039</v>
      </c>
      <c r="K25" s="14"/>
      <c r="L25" s="14"/>
      <c r="M25" s="14"/>
      <c r="N25" s="14">
        <f>SUM(B25:CHOOSE(MONTH(Mes_cierre),B25,C25,D25,E25,F25,G25,H25,I25,J25,K25,L25,M25))</f>
        <v>-3551.7874524659996</v>
      </c>
      <c r="O25" s="25"/>
      <c r="P25" s="25"/>
      <c r="Q25" s="14">
        <v>1010.7203911199998</v>
      </c>
      <c r="R25" s="14">
        <v>1125.334518122</v>
      </c>
      <c r="S25" s="14">
        <v>1119.207626289</v>
      </c>
      <c r="T25" s="14">
        <v>743.19109000499998</v>
      </c>
      <c r="U25" s="14">
        <v>1364.4325488180002</v>
      </c>
      <c r="V25" s="14">
        <v>1110.0569427360001</v>
      </c>
      <c r="W25" s="14">
        <v>1353.273184137</v>
      </c>
      <c r="X25" s="14">
        <v>1138.5385738960001</v>
      </c>
      <c r="Y25" s="14">
        <v>1434.1335775799998</v>
      </c>
      <c r="Z25" s="14"/>
      <c r="AA25" s="14"/>
      <c r="AB25" s="14"/>
      <c r="AC25" s="14">
        <f>SUM(Q25:CHOOSE(MONTH(Mes_cierre),Q25,R25,S25,T25,U25,V25,W25,X25,Y25,Z25,AA25,AB25))</f>
        <v>10398.888452703</v>
      </c>
    </row>
    <row r="26" spans="2:29" x14ac:dyDescent="0.35">
      <c r="B26" s="30">
        <v>0</v>
      </c>
      <c r="C26" s="30">
        <v>0</v>
      </c>
      <c r="D26" s="30">
        <v>0</v>
      </c>
      <c r="E26" s="30">
        <v>0</v>
      </c>
      <c r="F26" s="30">
        <v>0</v>
      </c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18.467635999999999</v>
      </c>
      <c r="C27" s="8">
        <v>73.614395400000006</v>
      </c>
      <c r="D27" s="8">
        <v>74.063884032000004</v>
      </c>
      <c r="E27" s="8">
        <v>72.657358591999994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/>
      <c r="L27" s="8"/>
      <c r="M27" s="8"/>
      <c r="N27" s="8">
        <f>SUM(B27:CHOOSE(MONTH(Mes_cierre),B27,C27,D27,E27,F27,G27,H27,I27,J27,K27,L27,M27))</f>
        <v>238.80327402400002</v>
      </c>
      <c r="O27" s="25"/>
      <c r="P27" s="25"/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-2838.8450059200031</v>
      </c>
      <c r="C29" s="14">
        <v>1289.3680770649967</v>
      </c>
      <c r="D29" s="14">
        <v>1901.7513691380063</v>
      </c>
      <c r="E29" s="14">
        <v>-1555.378421961002</v>
      </c>
      <c r="F29" s="14">
        <v>-967.04605460799712</v>
      </c>
      <c r="G29" s="14">
        <v>-528.29802862200074</v>
      </c>
      <c r="H29" s="14">
        <v>-1507.8966621850018</v>
      </c>
      <c r="I29" s="14">
        <v>-738.78746439200131</v>
      </c>
      <c r="J29" s="14">
        <v>1154.5414649950039</v>
      </c>
      <c r="K29" s="14"/>
      <c r="L29" s="14"/>
      <c r="M29" s="14"/>
      <c r="N29" s="14">
        <f>SUM(B29:CHOOSE(MONTH(Mes_cierre),B29,C29,D29,E29,F29,G29,H29,I29,J29,K29,L29,M29))</f>
        <v>-3790.5907264899993</v>
      </c>
      <c r="O29" s="25"/>
      <c r="P29" s="25"/>
      <c r="Q29" s="14">
        <v>1010.7203911199997</v>
      </c>
      <c r="R29" s="14">
        <v>1125.3345181220002</v>
      </c>
      <c r="S29" s="14">
        <v>1119.207626289</v>
      </c>
      <c r="T29" s="14">
        <v>743.19109000499986</v>
      </c>
      <c r="U29" s="14">
        <v>1364.4325488180002</v>
      </c>
      <c r="V29" s="14">
        <v>1110.0569427360001</v>
      </c>
      <c r="W29" s="14">
        <v>1353.273184137</v>
      </c>
      <c r="X29" s="14">
        <v>1138.5385738960003</v>
      </c>
      <c r="Y29" s="14">
        <v>1434.1335775799998</v>
      </c>
      <c r="Z29" s="14"/>
      <c r="AA29" s="14"/>
      <c r="AB29" s="14"/>
      <c r="AC29" s="14">
        <f>SUM(Q29:CHOOSE(MONTH(Mes_cierre),Q29,R29,S29,T29,U29,V29,W29,X29,Y29,Z29,AA29,AB29))</f>
        <v>10398.888452703002</v>
      </c>
    </row>
    <row r="30" spans="2:29" x14ac:dyDescent="0.35">
      <c r="B30" s="14">
        <v>-1542.7476626760042</v>
      </c>
      <c r="C30" s="14">
        <v>1721.9911344729971</v>
      </c>
      <c r="D30" s="14">
        <v>2981.6958820050068</v>
      </c>
      <c r="E30" s="14">
        <v>-168.6712308190024</v>
      </c>
      <c r="F30" s="14">
        <v>-563.59255053599668</v>
      </c>
      <c r="G30" s="14">
        <v>-110.96328146400087</v>
      </c>
      <c r="H30" s="14">
        <v>-935.03737068100179</v>
      </c>
      <c r="I30" s="14">
        <v>-305.42740133600114</v>
      </c>
      <c r="J30" s="14">
        <v>-578.55396835999636</v>
      </c>
      <c r="K30" s="14"/>
      <c r="L30" s="14"/>
      <c r="M30" s="14"/>
      <c r="N30" s="14">
        <f>SUM(B30:CHOOSE(MONTH(Mes_cierre),B30,C30,D30,E30,F30,G30,H30,I30,J30,K30,L30,M30))</f>
        <v>498.69355060600014</v>
      </c>
      <c r="O30" s="25"/>
      <c r="P30" s="25"/>
      <c r="Q30" s="14">
        <v>1949.0166158760001</v>
      </c>
      <c r="R30" s="14">
        <v>2138.4107427920003</v>
      </c>
      <c r="S30" s="14">
        <v>2199.745490454</v>
      </c>
      <c r="T30" s="14">
        <v>1832.2262491259999</v>
      </c>
      <c r="U30" s="14">
        <v>2434.3347212140002</v>
      </c>
      <c r="V30" s="14">
        <v>2086.5849915960002</v>
      </c>
      <c r="W30" s="14">
        <v>2292.4312544020004</v>
      </c>
      <c r="X30" s="14">
        <v>2183.3924556880002</v>
      </c>
      <c r="Y30" s="14">
        <v>2082.6441460199999</v>
      </c>
      <c r="Z30" s="14"/>
      <c r="AA30" s="14"/>
      <c r="AB30" s="14"/>
      <c r="AC30" s="14">
        <f>SUM(Q30:CHOOSE(MONTH(Mes_cierre),Q30,R30,S30,T30,U30,V30,W30,X30,Y30,Z30,AA30,AB30))</f>
        <v>19198.786667168002</v>
      </c>
    </row>
    <row r="31" spans="2:29" x14ac:dyDescent="0.35">
      <c r="B31" s="14">
        <v>-433.71052758000297</v>
      </c>
      <c r="C31" s="14">
        <v>3825.3799538479975</v>
      </c>
      <c r="D31" s="14">
        <v>4440.2260396140073</v>
      </c>
      <c r="E31" s="14">
        <v>580.12682919099871</v>
      </c>
      <c r="F31" s="14">
        <v>1330.3724768440038</v>
      </c>
      <c r="G31" s="14">
        <v>-157.31252995500068</v>
      </c>
      <c r="H31" s="14">
        <v>-1120.4149121250018</v>
      </c>
      <c r="I31" s="14">
        <v>-329.33952695200128</v>
      </c>
      <c r="J31" s="14">
        <v>1557.1528932950041</v>
      </c>
      <c r="K31" s="14"/>
      <c r="L31" s="14"/>
      <c r="M31" s="14"/>
      <c r="N31" s="14">
        <f>SUM(B31:CHOOSE(MONTH(Mes_cierre),B31,C31,D31,E31,F31,G31,H31,I31,J31,K31,L31,M31))</f>
        <v>9692.4806961800059</v>
      </c>
      <c r="O31" s="25"/>
      <c r="P31" s="298"/>
      <c r="Q31" s="14">
        <v>-155.92110842000073</v>
      </c>
      <c r="R31" s="14">
        <v>-157.73839175500069</v>
      </c>
      <c r="S31" s="14">
        <v>-158.69821873500078</v>
      </c>
      <c r="T31" s="14">
        <v>-155.68442753500079</v>
      </c>
      <c r="U31" s="14">
        <v>-160.86601909000078</v>
      </c>
      <c r="V31" s="14">
        <v>1513.485935703</v>
      </c>
      <c r="W31" s="14">
        <v>1752.1698570259998</v>
      </c>
      <c r="X31" s="14">
        <v>1560.0485416320005</v>
      </c>
      <c r="Y31" s="14">
        <v>1455.1359875799999</v>
      </c>
      <c r="Z31" s="14"/>
      <c r="AA31" s="14"/>
      <c r="AB31" s="14"/>
      <c r="AC31" s="14">
        <f>SUM(Q31:CHOOSE(MONTH(Mes_cierre),Q31,R31,S31,T31,U31,V31,W31,X31,Y31,Z31,AA31,AB31))</f>
        <v>5491.9321564059965</v>
      </c>
    </row>
    <row r="32" spans="2:29" x14ac:dyDescent="0.35">
      <c r="B32" s="299">
        <v>776.57946599999991</v>
      </c>
      <c r="C32" s="299">
        <v>871.27739899999972</v>
      </c>
      <c r="D32" s="299">
        <v>865.97146961099997</v>
      </c>
      <c r="E32" s="299">
        <v>526.85940266399984</v>
      </c>
      <c r="F32" s="299">
        <v>257.94383400000015</v>
      </c>
      <c r="G32" s="299">
        <v>230.5044</v>
      </c>
      <c r="H32" s="299">
        <v>227.91479999999999</v>
      </c>
      <c r="I32" s="299">
        <v>240.83520000000001</v>
      </c>
      <c r="J32" s="299"/>
      <c r="K32" s="299"/>
      <c r="L32" s="299"/>
      <c r="M32" s="299"/>
      <c r="N32" s="299">
        <f>SUM(B32:CHOOSE(MONTH(Mes_cierre),B32,C32,D32,E32,F32,G32,H32,I32,J32,K32,L32,M32))</f>
        <v>3997.8859712749995</v>
      </c>
      <c r="O32" s="298"/>
      <c r="P32" s="25"/>
      <c r="Q32" s="299">
        <v>507.96836999999999</v>
      </c>
      <c r="R32" s="299">
        <v>564.99300000000005</v>
      </c>
      <c r="S32" s="299">
        <v>508.21695958500004</v>
      </c>
      <c r="T32" s="299">
        <v>534.35039553000001</v>
      </c>
      <c r="U32" s="299">
        <v>539.34929999999997</v>
      </c>
      <c r="V32" s="299">
        <v>672.30449999999996</v>
      </c>
      <c r="W32" s="299">
        <v>664.75149999999996</v>
      </c>
      <c r="X32" s="299">
        <v>702.43600000000004</v>
      </c>
      <c r="Y32" s="299"/>
      <c r="Z32" s="299"/>
      <c r="AA32" s="299"/>
      <c r="AB32" s="299"/>
      <c r="AC32" s="299">
        <f>SUM(Q32:CHOOSE(MONTH(Mes_cierre),Q32,R32,S32,T32,U32,V32,W32,X32,Y32,Z32,AA32,AB32))</f>
        <v>4694.3700251150003</v>
      </c>
    </row>
    <row r="33" spans="2:29" x14ac:dyDescent="0.35">
      <c r="B33" s="14">
        <v>-1051.9003635800029</v>
      </c>
      <c r="C33" s="14">
        <v>3063.2340548479979</v>
      </c>
      <c r="D33" s="14">
        <v>3744.2641104180075</v>
      </c>
      <c r="E33" s="14">
        <v>184.26353099699872</v>
      </c>
      <c r="F33" s="14">
        <v>1220.5703428440038</v>
      </c>
      <c r="G33" s="14">
        <v>-387.81692995500066</v>
      </c>
      <c r="H33" s="14">
        <v>-1348.3297121250018</v>
      </c>
      <c r="I33" s="14">
        <v>-570.17472695200127</v>
      </c>
      <c r="J33" s="14">
        <v>1557.1528932950041</v>
      </c>
      <c r="K33" s="14"/>
      <c r="L33" s="14"/>
      <c r="M33" s="14"/>
      <c r="N33" s="14">
        <f>SUM(B33:CHOOSE(MONTH(Mes_cierre),B33,C33,D33,E33,F33,G33,H33,I33,J33,K33,L33,M33))</f>
        <v>6411.2631997900062</v>
      </c>
      <c r="O33" s="25"/>
      <c r="P33" s="298"/>
      <c r="Q33" s="14">
        <v>-822.27910842000074</v>
      </c>
      <c r="R33" s="14">
        <v>-831.86289175500065</v>
      </c>
      <c r="S33" s="14">
        <v>-836.92471873500074</v>
      </c>
      <c r="T33" s="14">
        <v>-821.03092753500073</v>
      </c>
      <c r="U33" s="14">
        <v>-848.3570190900009</v>
      </c>
      <c r="V33" s="14">
        <v>841.18143570300003</v>
      </c>
      <c r="W33" s="14">
        <v>1087.4183570259997</v>
      </c>
      <c r="X33" s="14">
        <v>857.61254163200044</v>
      </c>
      <c r="Y33" s="14">
        <v>1455.1359875799999</v>
      </c>
      <c r="Z33" s="14"/>
      <c r="AA33" s="14"/>
      <c r="AB33" s="14"/>
      <c r="AC33" s="14">
        <f>SUM(Q33:CHOOSE(MONTH(Mes_cierre),Q33,R33,S33,T33,U33,V33,W33,X33,Y33,Z33,AA33,AB33))</f>
        <v>80.893656405995898</v>
      </c>
    </row>
    <row r="34" spans="2:29" x14ac:dyDescent="0.35">
      <c r="B34" s="299">
        <v>0</v>
      </c>
      <c r="C34" s="299">
        <v>0</v>
      </c>
      <c r="D34" s="299">
        <v>0</v>
      </c>
      <c r="E34" s="299">
        <v>0</v>
      </c>
      <c r="F34" s="299">
        <v>0</v>
      </c>
      <c r="G34" s="299">
        <v>0</v>
      </c>
      <c r="H34" s="299">
        <v>0</v>
      </c>
      <c r="I34" s="299">
        <v>0</v>
      </c>
      <c r="J34" s="299"/>
      <c r="K34" s="299"/>
      <c r="L34" s="299"/>
      <c r="M34" s="299"/>
      <c r="N34" s="299">
        <f>SUM(B34:CHOOSE(MONTH(Mes_cierre),B34,C34,D34,E34,F34,G34,H34,I34,J34,K34,L34,M34))</f>
        <v>0</v>
      </c>
      <c r="O34" s="298"/>
      <c r="P34" s="298"/>
      <c r="Q34" s="299">
        <v>0</v>
      </c>
      <c r="R34" s="299">
        <v>0</v>
      </c>
      <c r="S34" s="299">
        <v>0</v>
      </c>
      <c r="T34" s="299">
        <v>0</v>
      </c>
      <c r="U34" s="299">
        <v>0</v>
      </c>
      <c r="V34" s="299">
        <v>0</v>
      </c>
      <c r="W34" s="299">
        <v>0</v>
      </c>
      <c r="X34" s="299">
        <v>0</v>
      </c>
      <c r="Y34" s="299"/>
      <c r="Z34" s="299"/>
      <c r="AA34" s="299"/>
      <c r="AB34" s="299"/>
      <c r="AC34" s="299">
        <f>SUM(Q34:CHOOSE(MONTH(Mes_cierre),Q34,R34,S34,T34,U34,V34,W34,X34,Y34,Z34,AA34,AB34))</f>
        <v>0</v>
      </c>
    </row>
    <row r="35" spans="2:29" x14ac:dyDescent="0.35">
      <c r="B35" s="14">
        <v>-1051.9003635800029</v>
      </c>
      <c r="C35" s="14">
        <v>3063.2340548479979</v>
      </c>
      <c r="D35" s="14">
        <v>3744.2641104180075</v>
      </c>
      <c r="E35" s="14">
        <v>184.26353099699872</v>
      </c>
      <c r="F35" s="14">
        <v>1220.5703428440038</v>
      </c>
      <c r="G35" s="14">
        <v>-387.81692995500066</v>
      </c>
      <c r="H35" s="14">
        <v>-1348.3297121250018</v>
      </c>
      <c r="I35" s="14">
        <v>-570.17472695200127</v>
      </c>
      <c r="J35" s="14">
        <v>1557.1528932950041</v>
      </c>
      <c r="K35" s="14"/>
      <c r="L35" s="14"/>
      <c r="M35" s="14"/>
      <c r="N35" s="14">
        <f>SUM(B35:CHOOSE(MONTH(Mes_cierre),B35,C35,D35,E35,F35,G35,H35,I35,J35,K35,L35,M35))</f>
        <v>6411.2631997900062</v>
      </c>
      <c r="O35" s="25"/>
      <c r="P35" s="297"/>
      <c r="Q35" s="14">
        <v>-822.27910842000074</v>
      </c>
      <c r="R35" s="14">
        <v>-831.86289175500065</v>
      </c>
      <c r="S35" s="14">
        <v>-836.92471873500074</v>
      </c>
      <c r="T35" s="14">
        <v>-821.03092753500073</v>
      </c>
      <c r="U35" s="14">
        <v>-848.3570190900009</v>
      </c>
      <c r="V35" s="14">
        <v>841.18143570300003</v>
      </c>
      <c r="W35" s="14">
        <v>1087.4183570259997</v>
      </c>
      <c r="X35" s="14">
        <v>857.61254163200044</v>
      </c>
      <c r="Y35" s="14">
        <v>1455.1359875799999</v>
      </c>
      <c r="Z35" s="14"/>
      <c r="AA35" s="14"/>
      <c r="AB35" s="14"/>
      <c r="AC35" s="14">
        <f>SUM(Q35:CHOOSE(MONTH(Mes_cierre),Q35,R35,S35,T35,U35,V35,W35,X35,Y35,Z35,AA35,AB35))</f>
        <v>80.893656405995898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97" t="s">
        <v>703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97" t="s">
        <v>705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74" t="s">
        <v>692</v>
      </c>
      <c r="C39" s="274" t="s">
        <v>693</v>
      </c>
      <c r="D39" s="274" t="s">
        <v>694</v>
      </c>
      <c r="E39" s="274" t="s">
        <v>695</v>
      </c>
      <c r="F39" s="274" t="s">
        <v>683</v>
      </c>
      <c r="G39" s="274" t="s">
        <v>696</v>
      </c>
      <c r="H39" s="274" t="s">
        <v>697</v>
      </c>
      <c r="I39" s="274" t="s">
        <v>698</v>
      </c>
      <c r="J39" s="274" t="s">
        <v>699</v>
      </c>
      <c r="K39" s="274" t="s">
        <v>700</v>
      </c>
      <c r="L39" s="274" t="s">
        <v>701</v>
      </c>
      <c r="M39" s="274" t="s">
        <v>702</v>
      </c>
      <c r="N39" s="274" t="s">
        <v>691</v>
      </c>
      <c r="O39" s="25"/>
      <c r="P39" s="25"/>
      <c r="Q39" s="274" t="s">
        <v>692</v>
      </c>
      <c r="R39" s="274" t="s">
        <v>693</v>
      </c>
      <c r="S39" s="274" t="s">
        <v>694</v>
      </c>
      <c r="T39" s="274" t="s">
        <v>695</v>
      </c>
      <c r="U39" s="274" t="s">
        <v>683</v>
      </c>
      <c r="V39" s="274" t="s">
        <v>696</v>
      </c>
      <c r="W39" s="274" t="s">
        <v>697</v>
      </c>
      <c r="X39" s="274" t="s">
        <v>698</v>
      </c>
      <c r="Y39" s="274" t="s">
        <v>699</v>
      </c>
      <c r="Z39" s="274" t="s">
        <v>700</v>
      </c>
      <c r="AA39" s="274" t="s">
        <v>701</v>
      </c>
      <c r="AB39" s="274" t="s">
        <v>702</v>
      </c>
      <c r="AC39" s="274" t="s">
        <v>691</v>
      </c>
    </row>
    <row r="40" spans="2:29" x14ac:dyDescent="0.35">
      <c r="B40" s="8">
        <v>59957.007998799992</v>
      </c>
      <c r="C40" s="8">
        <v>59297.358529700003</v>
      </c>
      <c r="D40" s="8">
        <v>71125.438653899997</v>
      </c>
      <c r="E40" s="8">
        <v>46370.373822499998</v>
      </c>
      <c r="F40" s="8">
        <v>32074.342612200009</v>
      </c>
      <c r="G40" s="8">
        <v>30462.885242999997</v>
      </c>
      <c r="H40" s="8">
        <v>29330.203668799997</v>
      </c>
      <c r="I40" s="8">
        <v>31770.517983200007</v>
      </c>
      <c r="J40" s="8">
        <v>29717.788860000001</v>
      </c>
      <c r="K40" s="8"/>
      <c r="L40" s="8"/>
      <c r="M40" s="8"/>
      <c r="N40" s="8">
        <f>SUM(B40:CHOOSE(MONTH(Mes_cierre),B40,C40,D40,E40,F40,G40,H40,I40,J40,K40,L40,M40))</f>
        <v>390105.91737210006</v>
      </c>
      <c r="O40" s="25"/>
      <c r="P40" s="25"/>
      <c r="Q40" s="8">
        <v>2212.3085599999999</v>
      </c>
      <c r="R40" s="8">
        <v>2238.0933399999999</v>
      </c>
      <c r="S40" s="8">
        <v>2251.71198</v>
      </c>
      <c r="T40" s="8">
        <v>2210.8513699999999</v>
      </c>
      <c r="U40" s="8">
        <v>2284.4343800000001</v>
      </c>
      <c r="V40" s="8">
        <v>2233.97181</v>
      </c>
      <c r="W40" s="8">
        <v>2210.7735600000001</v>
      </c>
      <c r="X40" s="8">
        <v>2336.1014400000004</v>
      </c>
      <c r="Y40" s="8">
        <v>2295.1223500000001</v>
      </c>
      <c r="Z40" s="8"/>
      <c r="AA40" s="8"/>
      <c r="AB40" s="8"/>
      <c r="AC40" s="8">
        <f>SUM(Q40:CHOOSE(MONTH(Mes_cierre),Q40,R40,S40,T40,U40,V40,W40,X40,Y40,Z40,AA40,AB40))</f>
        <v>20273.36879</v>
      </c>
    </row>
    <row r="41" spans="2:29" x14ac:dyDescent="0.35">
      <c r="B41" s="11">
        <v>21923.558975999997</v>
      </c>
      <c r="C41" s="11">
        <v>21673.699756700003</v>
      </c>
      <c r="D41" s="11">
        <v>26014.985773199998</v>
      </c>
      <c r="E41" s="11">
        <v>16753.662493749995</v>
      </c>
      <c r="F41" s="11">
        <v>11272.9667104</v>
      </c>
      <c r="G41" s="11">
        <v>10708.85025</v>
      </c>
      <c r="H41" s="11">
        <v>10312.593905899999</v>
      </c>
      <c r="I41" s="11">
        <v>11169.755949600001</v>
      </c>
      <c r="J41" s="11">
        <v>10446.2404955</v>
      </c>
      <c r="K41" s="11"/>
      <c r="L41" s="11"/>
      <c r="M41" s="11"/>
      <c r="N41" s="11">
        <f>SUM(B41:CHOOSE(MONTH(Mes_cierre),B41,C41,D41,E41,F41,G41,H41,I41,J41,K41,L41,M41))</f>
        <v>140276.31431105</v>
      </c>
      <c r="O41" s="25"/>
      <c r="P41" s="25"/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38033.4490228</v>
      </c>
      <c r="C42" s="14">
        <v>37623.658772999996</v>
      </c>
      <c r="D42" s="14">
        <v>45110.45288070001</v>
      </c>
      <c r="E42" s="14">
        <v>29616.71132875</v>
      </c>
      <c r="F42" s="14">
        <v>20801.375901800009</v>
      </c>
      <c r="G42" s="14">
        <v>19754.034992999997</v>
      </c>
      <c r="H42" s="14">
        <v>19017.6097629</v>
      </c>
      <c r="I42" s="14">
        <v>20600.762033600004</v>
      </c>
      <c r="J42" s="14">
        <v>19271.548364499999</v>
      </c>
      <c r="K42" s="14"/>
      <c r="L42" s="14"/>
      <c r="M42" s="14"/>
      <c r="N42" s="14">
        <f>SUM(B42:CHOOSE(MONTH(Mes_cierre),B42,C42,D42,E42,F42,G42,H42,I42,J42,K42,L42,M42))</f>
        <v>249829.60306105</v>
      </c>
      <c r="O42" s="25"/>
      <c r="P42" s="25"/>
      <c r="Q42" s="14">
        <v>2212.3085599999999</v>
      </c>
      <c r="R42" s="14">
        <v>2238.0933399999999</v>
      </c>
      <c r="S42" s="14">
        <v>2251.71198</v>
      </c>
      <c r="T42" s="14">
        <v>2210.8513699999999</v>
      </c>
      <c r="U42" s="14">
        <v>2284.4343800000001</v>
      </c>
      <c r="V42" s="14">
        <v>2233.97181</v>
      </c>
      <c r="W42" s="14">
        <v>2210.7735600000001</v>
      </c>
      <c r="X42" s="14">
        <v>2336.1014400000004</v>
      </c>
      <c r="Y42" s="14">
        <v>2295.1223500000001</v>
      </c>
      <c r="Z42" s="14"/>
      <c r="AA42" s="14"/>
      <c r="AB42" s="14"/>
      <c r="AC42" s="14">
        <f>SUM(Q42:CHOOSE(MONTH(Mes_cierre),Q42,R42,S42,T42,U42,V42,W42,X42,Y42,Z42,AA42,AB42))</f>
        <v>20273.36879</v>
      </c>
    </row>
    <row r="43" spans="2:29" x14ac:dyDescent="0.35"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37023.174139599992</v>
      </c>
      <c r="C44" s="8">
        <v>36040.140322499996</v>
      </c>
      <c r="D44" s="8">
        <v>39698.263544400012</v>
      </c>
      <c r="E44" s="8">
        <v>27845.749044749999</v>
      </c>
      <c r="F44" s="8">
        <v>19695.536807</v>
      </c>
      <c r="G44" s="8">
        <v>18859.255329600001</v>
      </c>
      <c r="H44" s="8">
        <v>18532.493111100001</v>
      </c>
      <c r="I44" s="8">
        <v>19776.282796</v>
      </c>
      <c r="J44" s="8">
        <v>19042.568961000001</v>
      </c>
      <c r="K44" s="8"/>
      <c r="L44" s="8"/>
      <c r="M44" s="8"/>
      <c r="N44" s="8">
        <f>SUM(B44:CHOOSE(MONTH(Mes_cierre),B44,C44,D44,E44,F44,G44,H44,I44,J44,K44,L44,M44))</f>
        <v>236513.46405595</v>
      </c>
      <c r="O44" s="25"/>
      <c r="P44" s="25"/>
      <c r="Q44" s="8">
        <v>118.04056</v>
      </c>
      <c r="R44" s="8">
        <v>119.41634000000001</v>
      </c>
      <c r="S44" s="8">
        <v>120.14298000000001</v>
      </c>
      <c r="T44" s="8">
        <v>117.86138</v>
      </c>
      <c r="U44" s="8">
        <v>121.78412000000002</v>
      </c>
      <c r="V44" s="8">
        <v>119.09394</v>
      </c>
      <c r="W44" s="8">
        <v>117.75597999999999</v>
      </c>
      <c r="X44" s="8">
        <v>124.43152000000001</v>
      </c>
      <c r="Y44" s="8">
        <v>122.35390000000001</v>
      </c>
      <c r="Z44" s="8"/>
      <c r="AA44" s="8"/>
      <c r="AB44" s="8"/>
      <c r="AC44" s="8">
        <f>SUM(Q44:CHOOSE(MONTH(Mes_cierre),Q44,R44,S44,T44,U44,V44,W44,X44,Y44,Z44,AA44,AB44))</f>
        <v>1080.8807200000001</v>
      </c>
    </row>
    <row r="45" spans="2:29" x14ac:dyDescent="0.35">
      <c r="B45" s="11">
        <v>3838.298235199999</v>
      </c>
      <c r="C45" s="11">
        <v>3281.445459</v>
      </c>
      <c r="D45" s="11">
        <v>3368.5378685999999</v>
      </c>
      <c r="E45" s="11">
        <v>2285.7883958000002</v>
      </c>
      <c r="F45" s="11">
        <v>1521.0443736000002</v>
      </c>
      <c r="G45" s="11">
        <v>1326.2070654000001</v>
      </c>
      <c r="H45" s="11">
        <v>1135.2626117</v>
      </c>
      <c r="I45" s="11">
        <v>1319.4156432000002</v>
      </c>
      <c r="J45" s="11">
        <v>1170.0782395000001</v>
      </c>
      <c r="K45" s="11"/>
      <c r="L45" s="11"/>
      <c r="M45" s="11"/>
      <c r="N45" s="11">
        <f>SUM(B45:CHOOSE(MONTH(Mes_cierre),B45,C45,D45,E45,F45,G45,H45,I45,J45,K45,L45,M45))</f>
        <v>19246.077892000001</v>
      </c>
      <c r="O45" s="25"/>
      <c r="P45" s="25"/>
      <c r="Q45" s="11">
        <v>80.914899999999989</v>
      </c>
      <c r="R45" s="11">
        <v>81.857974999999996</v>
      </c>
      <c r="S45" s="11">
        <v>82.356075000000004</v>
      </c>
      <c r="T45" s="11">
        <v>80.792074999999997</v>
      </c>
      <c r="U45" s="11">
        <v>83.48105000000001</v>
      </c>
      <c r="V45" s="11">
        <v>81.636975000000007</v>
      </c>
      <c r="W45" s="11">
        <v>80.719825</v>
      </c>
      <c r="X45" s="11">
        <v>85.2958</v>
      </c>
      <c r="Y45" s="11">
        <v>83.871624999999995</v>
      </c>
      <c r="Z45" s="11"/>
      <c r="AA45" s="11"/>
      <c r="AB45" s="11"/>
      <c r="AC45" s="11">
        <f>SUM(Q45:CHOOSE(MONTH(Mes_cierre),Q45,R45,S45,T45,U45,V45,W45,X45,Y45,Z45,AA45,AB45))</f>
        <v>740.92629999999997</v>
      </c>
    </row>
    <row r="46" spans="2:29" x14ac:dyDescent="0.35">
      <c r="B46" s="11">
        <v>782.70410679999986</v>
      </c>
      <c r="C46" s="11">
        <v>385.42586770000008</v>
      </c>
      <c r="D46" s="11">
        <v>796.64484690000006</v>
      </c>
      <c r="E46" s="11">
        <v>645.5286792500001</v>
      </c>
      <c r="F46" s="11">
        <v>526.50025040000025</v>
      </c>
      <c r="G46" s="11">
        <v>514.86999480000009</v>
      </c>
      <c r="H46" s="11">
        <v>509.08569160000002</v>
      </c>
      <c r="I46" s="11">
        <v>537.9455584000001</v>
      </c>
      <c r="J46" s="11">
        <v>528.96353800000009</v>
      </c>
      <c r="K46" s="11"/>
      <c r="L46" s="11"/>
      <c r="M46" s="11"/>
      <c r="N46" s="11">
        <f>SUM(B46:CHOOSE(MONTH(Mes_cierre),B46,C46,D46,E46,F46,G46,H46,I46,J46,K46,L46,M46))</f>
        <v>5227.6685338500001</v>
      </c>
      <c r="O46" s="25"/>
      <c r="P46" s="25"/>
      <c r="Q46" s="11">
        <v>401.71868000000001</v>
      </c>
      <c r="R46" s="11">
        <v>406.40077000000002</v>
      </c>
      <c r="S46" s="11">
        <v>408.87369000000001</v>
      </c>
      <c r="T46" s="11">
        <v>401.10888999999997</v>
      </c>
      <c r="U46" s="11">
        <v>414.45886000000007</v>
      </c>
      <c r="V46" s="11">
        <v>405.30357000000004</v>
      </c>
      <c r="W46" s="11">
        <v>400.75018999999998</v>
      </c>
      <c r="X46" s="11">
        <v>423.46856000000008</v>
      </c>
      <c r="Y46" s="11">
        <v>416.39795000000004</v>
      </c>
      <c r="Z46" s="11"/>
      <c r="AA46" s="11"/>
      <c r="AB46" s="11"/>
      <c r="AC46" s="11">
        <f>SUM(Q46:CHOOSE(MONTH(Mes_cierre),Q46,R46,S46,T46,U46,V46,W46,X46,Y46,Z46,AA46,AB46))</f>
        <v>3678.4811600000007</v>
      </c>
    </row>
    <row r="47" spans="2:29" x14ac:dyDescent="0.35">
      <c r="B47" s="14">
        <v>41644.176481599992</v>
      </c>
      <c r="C47" s="14">
        <v>39707.011649199994</v>
      </c>
      <c r="D47" s="14">
        <v>43863.446259900011</v>
      </c>
      <c r="E47" s="14">
        <v>30777.066119799998</v>
      </c>
      <c r="F47" s="14">
        <v>21743.081430999999</v>
      </c>
      <c r="G47" s="14">
        <v>20700.332389800002</v>
      </c>
      <c r="H47" s="14">
        <v>20176.841414400002</v>
      </c>
      <c r="I47" s="14">
        <v>21633.6439976</v>
      </c>
      <c r="J47" s="14">
        <v>20741.6107385</v>
      </c>
      <c r="K47" s="14"/>
      <c r="L47" s="14"/>
      <c r="M47" s="14"/>
      <c r="N47" s="14">
        <f>SUM(B47:CHOOSE(MONTH(Mes_cierre),B47,C47,D47,E47,F47,G47,H47,I47,J47,K47,L47,M47))</f>
        <v>260987.21048179999</v>
      </c>
      <c r="O47" s="25"/>
      <c r="P47" s="25"/>
      <c r="Q47" s="14">
        <v>600.67413999999997</v>
      </c>
      <c r="R47" s="14">
        <v>607.67508500000008</v>
      </c>
      <c r="S47" s="14">
        <v>611.37274500000001</v>
      </c>
      <c r="T47" s="14">
        <v>599.76234499999998</v>
      </c>
      <c r="U47" s="14">
        <v>619.72403000000008</v>
      </c>
      <c r="V47" s="14">
        <v>606.03448500000002</v>
      </c>
      <c r="W47" s="14">
        <v>599.22599500000001</v>
      </c>
      <c r="X47" s="14">
        <v>633.1958800000001</v>
      </c>
      <c r="Y47" s="14">
        <v>622.6234750000001</v>
      </c>
      <c r="Z47" s="14"/>
      <c r="AA47" s="14"/>
      <c r="AB47" s="14"/>
      <c r="AC47" s="14">
        <f>SUM(Q47:CHOOSE(MONTH(Mes_cierre),Q47,R47,S47,T47,U47,V47,W47,X47,Y47,Z47,AA47,AB47))</f>
        <v>5500.2881800000005</v>
      </c>
    </row>
    <row r="48" spans="2:29" x14ac:dyDescent="0.35">
      <c r="B48" s="20">
        <v>-3610.7274587999977</v>
      </c>
      <c r="C48" s="20">
        <v>-2083.3528762000014</v>
      </c>
      <c r="D48" s="20">
        <v>1247.0066207999985</v>
      </c>
      <c r="E48" s="20">
        <v>-1160.3547910499969</v>
      </c>
      <c r="F48" s="20">
        <v>-941.70552919999204</v>
      </c>
      <c r="G48" s="20">
        <v>-946.29739680000421</v>
      </c>
      <c r="H48" s="20">
        <v>-1159.231651500002</v>
      </c>
      <c r="I48" s="20">
        <v>-1032.8819639999965</v>
      </c>
      <c r="J48" s="20">
        <v>-1470.062374000001</v>
      </c>
      <c r="K48" s="20"/>
      <c r="L48" s="20"/>
      <c r="M48" s="20"/>
      <c r="N48" s="20">
        <f>SUM(B48:CHOOSE(MONTH(Mes_cierre),B48,C48,D48,E48,F48,G48,H48,I48,J48,K48,L48,M48))</f>
        <v>-11157.607420749991</v>
      </c>
      <c r="O48" s="25"/>
      <c r="P48" s="25"/>
      <c r="Q48" s="20">
        <v>1611.6344199999999</v>
      </c>
      <c r="R48" s="20">
        <v>1630.4182549999998</v>
      </c>
      <c r="S48" s="20">
        <v>1640.3392349999999</v>
      </c>
      <c r="T48" s="20">
        <v>1611.0890249999998</v>
      </c>
      <c r="U48" s="20">
        <v>1664.7103500000001</v>
      </c>
      <c r="V48" s="20">
        <v>1627.9373249999999</v>
      </c>
      <c r="W48" s="20">
        <v>1611.5475650000001</v>
      </c>
      <c r="X48" s="20">
        <v>1702.9055600000002</v>
      </c>
      <c r="Y48" s="20">
        <v>1672.498875</v>
      </c>
      <c r="Z48" s="20"/>
      <c r="AA48" s="20"/>
      <c r="AB48" s="20"/>
      <c r="AC48" s="20">
        <f>SUM(Q48:CHOOSE(MONTH(Mes_cierre),Q48,R48,S48,T48,U48,V48,W48,X48,Y48,Z48,AA48,AB48))</f>
        <v>14773.080609999999</v>
      </c>
    </row>
    <row r="49" spans="2:29" x14ac:dyDescent="0.35"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-571.16399999999999</v>
      </c>
      <c r="C51" s="11">
        <v>-1424.0591152</v>
      </c>
      <c r="D51" s="11">
        <v>-1139.8855896</v>
      </c>
      <c r="E51" s="11">
        <v>-629.87402659999998</v>
      </c>
      <c r="F51" s="11">
        <v>-146.21951440000001</v>
      </c>
      <c r="G51" s="11">
        <v>-719.2505627999999</v>
      </c>
      <c r="H51" s="11">
        <v>-711.17014759999984</v>
      </c>
      <c r="I51" s="11">
        <v>-751.48610239999994</v>
      </c>
      <c r="J51" s="11">
        <v>-738.93861800000002</v>
      </c>
      <c r="K51" s="11"/>
      <c r="L51" s="11"/>
      <c r="M51" s="11"/>
      <c r="N51" s="11">
        <f>SUM(B51:CHOOSE(MONTH(Mes_cierre),B51,C51,D51,E51,F51,G51,H51,I51,J51,K51,L51,M51))</f>
        <v>-6832.0476766000002</v>
      </c>
      <c r="O51" s="25"/>
      <c r="P51" s="25"/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1009.0563999999999</v>
      </c>
      <c r="C52" s="11">
        <v>1516.0867398</v>
      </c>
      <c r="D52" s="11">
        <v>1011.6814032</v>
      </c>
      <c r="E52" s="11">
        <v>692.32154809999975</v>
      </c>
      <c r="F52" s="11">
        <v>407.95715940000002</v>
      </c>
      <c r="G52" s="11">
        <v>323.07112530000001</v>
      </c>
      <c r="H52" s="11">
        <v>317.99812469999995</v>
      </c>
      <c r="I52" s="11">
        <v>334.50002320000004</v>
      </c>
      <c r="J52" s="11">
        <v>327.395355</v>
      </c>
      <c r="K52" s="11"/>
      <c r="L52" s="11"/>
      <c r="M52" s="11"/>
      <c r="N52" s="11">
        <f>SUM(B52:CHOOSE(MONTH(Mes_cierre),B52,C52,D52,E52,F52,G52,H52,I52,J52,K52,L52,M52))</f>
        <v>5940.0678786999988</v>
      </c>
      <c r="O52" s="25"/>
      <c r="P52" s="25"/>
      <c r="Q52" s="11">
        <v>530.8778992</v>
      </c>
      <c r="R52" s="11">
        <v>514.47255769999992</v>
      </c>
      <c r="S52" s="11">
        <v>514.25071019999996</v>
      </c>
      <c r="T52" s="11">
        <v>501.19601349999994</v>
      </c>
      <c r="U52" s="11">
        <v>514.47897920000003</v>
      </c>
      <c r="V52" s="11">
        <v>499.79116529999999</v>
      </c>
      <c r="W52" s="11">
        <v>490.89049339999997</v>
      </c>
      <c r="X52" s="11">
        <v>518.71888160000003</v>
      </c>
      <c r="Y52" s="11">
        <v>503.22975000000002</v>
      </c>
      <c r="Z52" s="11"/>
      <c r="AA52" s="11"/>
      <c r="AB52" s="11"/>
      <c r="AC52" s="11">
        <f>SUM(Q52:CHOOSE(MONTH(Mes_cierre),Q52,R52,S52,T52,U52,V52,W52,X52,Y52,Z52,AA52,AB52))</f>
        <v>4587.9064501000003</v>
      </c>
    </row>
    <row r="53" spans="2:29" x14ac:dyDescent="0.35"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300">
        <v>437.89239999999995</v>
      </c>
      <c r="C55" s="300">
        <v>92.027624600000081</v>
      </c>
      <c r="D55" s="300">
        <v>-128.20418640000003</v>
      </c>
      <c r="E55" s="300">
        <v>62.447521499999766</v>
      </c>
      <c r="F55" s="300">
        <v>261.73764500000004</v>
      </c>
      <c r="G55" s="300">
        <v>-396.17943749999989</v>
      </c>
      <c r="H55" s="300">
        <v>-393.17202289999989</v>
      </c>
      <c r="I55" s="300">
        <v>-416.98607919999989</v>
      </c>
      <c r="J55" s="300">
        <v>-411.54326300000002</v>
      </c>
      <c r="K55" s="300"/>
      <c r="L55" s="300"/>
      <c r="M55" s="300"/>
      <c r="N55" s="300">
        <f>SUM(B55:CHOOSE(MONTH(Mes_cierre),B55,C55,D55,E55,F55,G55,H55,I55,J55,K55,L55,M55))</f>
        <v>-891.97979789999988</v>
      </c>
      <c r="O55" s="25"/>
      <c r="P55" s="25"/>
      <c r="Q55" s="300">
        <v>530.8778992</v>
      </c>
      <c r="R55" s="300">
        <v>514.47255769999992</v>
      </c>
      <c r="S55" s="300">
        <v>514.25071019999996</v>
      </c>
      <c r="T55" s="300">
        <v>501.19601349999994</v>
      </c>
      <c r="U55" s="300">
        <v>514.47897920000003</v>
      </c>
      <c r="V55" s="300">
        <v>499.79116529999999</v>
      </c>
      <c r="W55" s="300">
        <v>490.89049339999997</v>
      </c>
      <c r="X55" s="300">
        <v>518.71888160000003</v>
      </c>
      <c r="Y55" s="300">
        <v>503.22975000000002</v>
      </c>
      <c r="Z55" s="300"/>
      <c r="AA55" s="300"/>
      <c r="AB55" s="300"/>
      <c r="AC55" s="300">
        <f>SUM(Q55:CHOOSE(MONTH(Mes_cierre),Q55,R55,S55,T55,U55,V55,W55,X55,Y55,Z55,AA55,AB55))</f>
        <v>4587.9064501000003</v>
      </c>
    </row>
    <row r="56" spans="2:29" x14ac:dyDescent="0.35">
      <c r="B56" s="14">
        <v>-4048.6198587999979</v>
      </c>
      <c r="C56" s="14">
        <v>-2175.3805008000018</v>
      </c>
      <c r="D56" s="14">
        <v>1375.2108071999987</v>
      </c>
      <c r="E56" s="14">
        <v>-1222.8023125499967</v>
      </c>
      <c r="F56" s="14">
        <v>-1203.4431741999922</v>
      </c>
      <c r="G56" s="14">
        <v>-550.11795930000426</v>
      </c>
      <c r="H56" s="14">
        <v>-766.05962860000216</v>
      </c>
      <c r="I56" s="14">
        <v>-615.89588479999657</v>
      </c>
      <c r="J56" s="14">
        <v>-1058.519111000001</v>
      </c>
      <c r="K56" s="14"/>
      <c r="L56" s="14"/>
      <c r="M56" s="14"/>
      <c r="N56" s="14">
        <f>SUM(B56:CHOOSE(MONTH(Mes_cierre),B56,C56,D56,E56,F56,G56,H56,I56,J56,K56,L56,M56))</f>
        <v>-10265.627622849996</v>
      </c>
      <c r="O56" s="25"/>
      <c r="P56" s="25"/>
      <c r="Q56" s="14">
        <v>1080.7565207999999</v>
      </c>
      <c r="R56" s="14">
        <v>1115.9456972999999</v>
      </c>
      <c r="S56" s="14">
        <v>1126.0885248</v>
      </c>
      <c r="T56" s="14">
        <v>1109.8930114999998</v>
      </c>
      <c r="U56" s="14">
        <v>1150.2313708000001</v>
      </c>
      <c r="V56" s="14">
        <v>1128.1461596999998</v>
      </c>
      <c r="W56" s="14">
        <v>1120.6570716000001</v>
      </c>
      <c r="X56" s="14">
        <v>1184.1866784000001</v>
      </c>
      <c r="Y56" s="14">
        <v>1169.269125</v>
      </c>
      <c r="Z56" s="14"/>
      <c r="AA56" s="14"/>
      <c r="AB56" s="14"/>
      <c r="AC56" s="14">
        <f>SUM(Q56:CHOOSE(MONTH(Mes_cierre),Q56,R56,S56,T56,U56,V56,W56,X56,Y56,Z56,AA56,AB56))</f>
        <v>10185.1741599</v>
      </c>
    </row>
    <row r="57" spans="2:29" x14ac:dyDescent="0.35"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-4048.6198587999979</v>
      </c>
      <c r="C60" s="14">
        <v>-2175.3805008000018</v>
      </c>
      <c r="D60" s="14">
        <v>1375.2108071999987</v>
      </c>
      <c r="E60" s="14">
        <v>-1222.8023125499967</v>
      </c>
      <c r="F60" s="14">
        <v>-1203.4431741999922</v>
      </c>
      <c r="G60" s="14">
        <v>-550.11795930000426</v>
      </c>
      <c r="H60" s="14">
        <v>-766.05962860000216</v>
      </c>
      <c r="I60" s="14">
        <v>-615.89588479999657</v>
      </c>
      <c r="J60" s="14">
        <v>-1058.519111000001</v>
      </c>
      <c r="K60" s="14"/>
      <c r="L60" s="14"/>
      <c r="M60" s="14"/>
      <c r="N60" s="14">
        <f>SUM(B60:CHOOSE(MONTH(Mes_cierre),B60,C60,D60,E60,F60,G60,H60,I60,J60,K60,L60,M60))</f>
        <v>-10265.627622849996</v>
      </c>
      <c r="O60" s="25"/>
      <c r="P60" s="25"/>
      <c r="Q60" s="14">
        <v>1080.7565207999999</v>
      </c>
      <c r="R60" s="14">
        <v>1115.9456972999999</v>
      </c>
      <c r="S60" s="14">
        <v>1126.0885248</v>
      </c>
      <c r="T60" s="14">
        <v>1109.8930114999998</v>
      </c>
      <c r="U60" s="14">
        <v>1150.2313708000001</v>
      </c>
      <c r="V60" s="14">
        <v>1128.1461596999998</v>
      </c>
      <c r="W60" s="14">
        <v>1120.6570716000001</v>
      </c>
      <c r="X60" s="14">
        <v>1184.1866784000001</v>
      </c>
      <c r="Y60" s="14">
        <v>1169.269125</v>
      </c>
      <c r="Z60" s="14"/>
      <c r="AA60" s="14"/>
      <c r="AB60" s="14"/>
      <c r="AC60" s="14">
        <f>SUM(Q60:CHOOSE(MONTH(Mes_cierre),Q60,R60,S60,T60,U60,V60,W60,X60,Y60,Z60,AA60,AB60))</f>
        <v>10185.1741599</v>
      </c>
    </row>
    <row r="61" spans="2:29" x14ac:dyDescent="0.35">
      <c r="B61" s="20">
        <v>-2828.0233519999979</v>
      </c>
      <c r="C61" s="20">
        <v>-1697.9270085000016</v>
      </c>
      <c r="D61" s="20">
        <v>2043.6514676999986</v>
      </c>
      <c r="E61" s="20">
        <v>-514.82611179999685</v>
      </c>
      <c r="F61" s="20">
        <v>-415.20527879999167</v>
      </c>
      <c r="G61" s="20">
        <v>-431.42740200000412</v>
      </c>
      <c r="H61" s="20">
        <v>-650.14595990000203</v>
      </c>
      <c r="I61" s="20">
        <v>-494.93640559999642</v>
      </c>
      <c r="J61" s="20">
        <v>-941.09883600000092</v>
      </c>
      <c r="K61" s="20"/>
      <c r="L61" s="20"/>
      <c r="M61" s="20"/>
      <c r="N61" s="20">
        <f>SUM(B61:CHOOSE(MONTH(Mes_cierre),B61,C61,D61,E61,F61,G61,H61,I61,J61,K61,L61,M61))</f>
        <v>-5929.9388868999922</v>
      </c>
      <c r="O61" s="25"/>
      <c r="P61" s="25"/>
      <c r="Q61" s="20">
        <v>2013.3530999999998</v>
      </c>
      <c r="R61" s="20">
        <v>2036.8190249999998</v>
      </c>
      <c r="S61" s="20">
        <v>2049.2129249999998</v>
      </c>
      <c r="T61" s="20">
        <v>2012.1979149999997</v>
      </c>
      <c r="U61" s="20">
        <v>2079.16921</v>
      </c>
      <c r="V61" s="20">
        <v>2033.2408949999999</v>
      </c>
      <c r="W61" s="20">
        <v>2012.2977550000001</v>
      </c>
      <c r="X61" s="20">
        <v>2126.3741200000004</v>
      </c>
      <c r="Y61" s="20">
        <v>2088.8968249999998</v>
      </c>
      <c r="Z61" s="20"/>
      <c r="AA61" s="20"/>
      <c r="AB61" s="20"/>
      <c r="AC61" s="20">
        <f>SUM(Q61:CHOOSE(MONTH(Mes_cierre),Q61,R61,S61,T61,U61,V61,W61,X61,Y61,Z61,AA61,AB61))</f>
        <v>18451.561769999997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97" t="s">
        <v>704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97" t="s">
        <v>706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74" t="s">
        <v>692</v>
      </c>
      <c r="C65" s="274" t="s">
        <v>693</v>
      </c>
      <c r="D65" s="274" t="s">
        <v>694</v>
      </c>
      <c r="E65" s="274" t="s">
        <v>695</v>
      </c>
      <c r="F65" s="274" t="s">
        <v>683</v>
      </c>
      <c r="G65" s="274" t="s">
        <v>696</v>
      </c>
      <c r="H65" s="274" t="s">
        <v>697</v>
      </c>
      <c r="I65" s="274" t="s">
        <v>698</v>
      </c>
      <c r="J65" s="274" t="s">
        <v>699</v>
      </c>
      <c r="K65" s="274" t="s">
        <v>700</v>
      </c>
      <c r="L65" s="274" t="s">
        <v>701</v>
      </c>
      <c r="M65" s="274" t="s">
        <v>702</v>
      </c>
      <c r="N65" s="274" t="s">
        <v>691</v>
      </c>
      <c r="O65" s="25"/>
      <c r="P65" s="25"/>
      <c r="Q65" s="274" t="s">
        <v>27</v>
      </c>
      <c r="R65" s="274" t="s">
        <v>27</v>
      </c>
      <c r="S65" s="274" t="s">
        <v>27</v>
      </c>
      <c r="T65" s="274" t="s">
        <v>27</v>
      </c>
      <c r="U65" s="274" t="s">
        <v>27</v>
      </c>
      <c r="V65" s="274" t="s">
        <v>696</v>
      </c>
      <c r="W65" s="274" t="s">
        <v>697</v>
      </c>
      <c r="X65" s="274" t="s">
        <v>698</v>
      </c>
      <c r="Y65" s="274" t="s">
        <v>699</v>
      </c>
      <c r="Z65" s="274" t="s">
        <v>700</v>
      </c>
      <c r="AA65" s="274" t="s">
        <v>701</v>
      </c>
      <c r="AB65" s="274" t="s">
        <v>702</v>
      </c>
      <c r="AC65" s="274" t="s">
        <v>691</v>
      </c>
    </row>
    <row r="66" spans="2:29" x14ac:dyDescent="0.35">
      <c r="B66" s="8">
        <v>56937.897536559001</v>
      </c>
      <c r="C66" s="8">
        <v>56713.506172751993</v>
      </c>
      <c r="D66" s="8">
        <v>66338.076718880999</v>
      </c>
      <c r="E66" s="8">
        <v>60800.584052981998</v>
      </c>
      <c r="F66" s="8">
        <v>31038.737597797997</v>
      </c>
      <c r="G66" s="8">
        <v>30184.323254767995</v>
      </c>
      <c r="H66" s="8">
        <v>27546.827151109999</v>
      </c>
      <c r="I66" s="8">
        <v>28935.280826176004</v>
      </c>
      <c r="J66" s="8">
        <v>28890.149584850002</v>
      </c>
      <c r="K66" s="8"/>
      <c r="L66" s="8"/>
      <c r="M66" s="8"/>
      <c r="N66" s="8">
        <f>SUM(B66:CHOOSE(MONTH(Mes_cierre),B66,C66,D66,E66,F66,G66,H66,I66,J66,K66,L66,M66))</f>
        <v>387385.38289587596</v>
      </c>
      <c r="O66" s="25"/>
      <c r="P66" s="25"/>
      <c r="Q66" s="8">
        <v>2201.5291474409996</v>
      </c>
      <c r="R66" s="8">
        <v>2209.1295982470001</v>
      </c>
      <c r="S66" s="8">
        <v>2290.985593074</v>
      </c>
      <c r="T66" s="8">
        <v>2271.59250423</v>
      </c>
      <c r="U66" s="8">
        <v>2456.7130892149999</v>
      </c>
      <c r="V66" s="8">
        <v>2322.7520947679996</v>
      </c>
      <c r="W66" s="8">
        <v>2202.1140393850001</v>
      </c>
      <c r="X66" s="8">
        <v>2280.7175830400001</v>
      </c>
      <c r="Y66" s="8">
        <v>2289.0841850350002</v>
      </c>
      <c r="Z66" s="8"/>
      <c r="AA66" s="8"/>
      <c r="AB66" s="8"/>
      <c r="AC66" s="8">
        <f>SUM(Q66:CHOOSE(MONTH(Mes_cierre),Q66,R66,S66,T66,U66,V66,W66,X66,Y66,Z66,AA66,AB66))</f>
        <v>20524.617834435001</v>
      </c>
    </row>
    <row r="67" spans="2:29" x14ac:dyDescent="0.35">
      <c r="B67" s="11">
        <v>21034.300353299997</v>
      </c>
      <c r="C67" s="11">
        <v>20455.935043830003</v>
      </c>
      <c r="D67" s="11">
        <v>24121.217331575997</v>
      </c>
      <c r="E67" s="11">
        <v>21763.316134098</v>
      </c>
      <c r="F67" s="11">
        <v>10886.216682768001</v>
      </c>
      <c r="G67" s="11">
        <v>10587.055989216</v>
      </c>
      <c r="H67" s="11">
        <v>9662.0214360810005</v>
      </c>
      <c r="I67" s="11">
        <v>9999.0523295840012</v>
      </c>
      <c r="J67" s="11">
        <v>9984.9341252649992</v>
      </c>
      <c r="K67" s="11"/>
      <c r="L67" s="11"/>
      <c r="M67" s="11"/>
      <c r="N67" s="11">
        <f>SUM(B67:CHOOSE(MONTH(Mes_cierre),B67,C67,D67,E67,F67,G67,H67,I67,J67,K67,L67,M67))</f>
        <v>138494.049425718</v>
      </c>
      <c r="O67" s="25"/>
      <c r="P67" s="25"/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35903.597183259008</v>
      </c>
      <c r="C68" s="14">
        <v>36257.571128921991</v>
      </c>
      <c r="D68" s="14">
        <v>42216.859387304998</v>
      </c>
      <c r="E68" s="14">
        <v>39037.267918883997</v>
      </c>
      <c r="F68" s="14">
        <v>20152.52091503</v>
      </c>
      <c r="G68" s="14">
        <v>19597.267265551993</v>
      </c>
      <c r="H68" s="14">
        <v>17884.805715028997</v>
      </c>
      <c r="I68" s="14">
        <v>18936.228496592004</v>
      </c>
      <c r="J68" s="14">
        <v>18905.215459585001</v>
      </c>
      <c r="K68" s="14"/>
      <c r="L68" s="14"/>
      <c r="M68" s="14"/>
      <c r="N68" s="14">
        <f>SUM(B68:CHOOSE(MONTH(Mes_cierre),B68,C68,D68,E68,F68,G68,H68,I68,J68,K68,L68,M68))</f>
        <v>248891.33347015799</v>
      </c>
      <c r="O68" s="25"/>
      <c r="P68" s="25"/>
      <c r="Q68" s="14">
        <v>2201.5291474409996</v>
      </c>
      <c r="R68" s="14">
        <v>2209.1295982470001</v>
      </c>
      <c r="S68" s="14">
        <v>2290.985593074</v>
      </c>
      <c r="T68" s="14">
        <v>2271.59250423</v>
      </c>
      <c r="U68" s="14">
        <v>2456.7130892149999</v>
      </c>
      <c r="V68" s="14">
        <v>2322.7520947679996</v>
      </c>
      <c r="W68" s="14">
        <v>2202.1140393850001</v>
      </c>
      <c r="X68" s="14">
        <v>2280.7175830400001</v>
      </c>
      <c r="Y68" s="14">
        <v>2289.0841850350002</v>
      </c>
      <c r="Z68" s="14"/>
      <c r="AA68" s="14"/>
      <c r="AB68" s="14"/>
      <c r="AC68" s="14">
        <f>SUM(Q68:CHOOSE(MONTH(Mes_cierre),Q68,R68,S68,T68,U68,V68,W68,X68,Y68,Z68,AA68,AB68))</f>
        <v>20524.617834435001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34939.371623324994</v>
      </c>
      <c r="C70" s="8">
        <v>34186.003766343005</v>
      </c>
      <c r="D70" s="8">
        <v>36673.455720384001</v>
      </c>
      <c r="E70" s="8">
        <v>35592.492661746001</v>
      </c>
      <c r="F70" s="8">
        <v>19829.508614440001</v>
      </c>
      <c r="G70" s="8">
        <v>19281.720314528</v>
      </c>
      <c r="H70" s="8">
        <v>18403.552582611002</v>
      </c>
      <c r="I70" s="8">
        <v>18479.087086208001</v>
      </c>
      <c r="J70" s="8">
        <v>18204.350217744999</v>
      </c>
      <c r="K70" s="8"/>
      <c r="L70" s="8"/>
      <c r="M70" s="8"/>
      <c r="N70" s="8">
        <f>SUM(B70:CHOOSE(MONTH(Mes_cierre),B70,C70,D70,E70,F70,G70,H70,I70,J70,K70,L70,M70))</f>
        <v>235589.54258733001</v>
      </c>
      <c r="O70" s="25"/>
      <c r="P70" s="25"/>
      <c r="Q70" s="8">
        <v>272.30732977499997</v>
      </c>
      <c r="R70" s="8">
        <v>173.482230636</v>
      </c>
      <c r="S70" s="8">
        <v>99.41616920700001</v>
      </c>
      <c r="T70" s="8">
        <v>147.32566096799999</v>
      </c>
      <c r="U70" s="8">
        <v>215.83100986299999</v>
      </c>
      <c r="V70" s="8">
        <v>123.71764356799999</v>
      </c>
      <c r="W70" s="8">
        <v>115.95928641300002</v>
      </c>
      <c r="X70" s="8">
        <v>118.51518131200002</v>
      </c>
      <c r="Y70" s="8">
        <v>208.45355004999999</v>
      </c>
      <c r="Z70" s="8"/>
      <c r="AA70" s="8"/>
      <c r="AB70" s="8"/>
      <c r="AC70" s="8">
        <f>SUM(Q70:CHOOSE(MONTH(Mes_cierre),Q70,R70,S70,T70,U70,V70,W70,X70,Y70,Z70,AA70,AB70))</f>
        <v>1475.0080617919998</v>
      </c>
    </row>
    <row r="71" spans="2:29" x14ac:dyDescent="0.35">
      <c r="B71" s="11">
        <v>3823.6829690279997</v>
      </c>
      <c r="C71" s="11">
        <v>3297.7296726660002</v>
      </c>
      <c r="D71" s="11">
        <v>3186.8809036739999</v>
      </c>
      <c r="E71" s="11">
        <v>3186.7808117820005</v>
      </c>
      <c r="F71" s="11">
        <v>1543.7401488670002</v>
      </c>
      <c r="G71" s="11">
        <v>1465.4273743039998</v>
      </c>
      <c r="H71" s="11">
        <v>1215.1650677810001</v>
      </c>
      <c r="I71" s="11">
        <v>1364.0475272480001</v>
      </c>
      <c r="J71" s="11">
        <v>1276.65677489</v>
      </c>
      <c r="K71" s="11"/>
      <c r="L71" s="11"/>
      <c r="M71" s="11"/>
      <c r="N71" s="11">
        <f>SUM(B71:CHOOSE(MONTH(Mes_cierre),B71,C71,D71,E71,F71,G71,H71,I71,J71,K71,L71,M71))</f>
        <v>20360.111250240003</v>
      </c>
      <c r="O71" s="25"/>
      <c r="P71" s="25"/>
      <c r="Q71" s="11">
        <v>6.6218235719999994</v>
      </c>
      <c r="R71" s="11">
        <v>0.42977134200000006</v>
      </c>
      <c r="S71" s="11">
        <v>0.41182608599999998</v>
      </c>
      <c r="T71" s="11">
        <v>0.41896794000000004</v>
      </c>
      <c r="U71" s="11">
        <v>33.407695160000003</v>
      </c>
      <c r="V71" s="11">
        <v>0.40977387199999993</v>
      </c>
      <c r="W71" s="11">
        <v>0.43630937999999997</v>
      </c>
      <c r="X71" s="11">
        <v>0.39144747200000007</v>
      </c>
      <c r="Y71" s="11">
        <v>0.39172982500000009</v>
      </c>
      <c r="Z71" s="11"/>
      <c r="AA71" s="11"/>
      <c r="AB71" s="11"/>
      <c r="AC71" s="11">
        <f>SUM(Q71:CHOOSE(MONTH(Mes_cierre),Q71,R71,S71,T71,U71,V71,W71,X71,Y71,Z71,AA71,AB71))</f>
        <v>42.919344649000003</v>
      </c>
    </row>
    <row r="72" spans="2:29" x14ac:dyDescent="0.35">
      <c r="B72" s="11">
        <v>1298.476376223</v>
      </c>
      <c r="C72" s="11">
        <v>1314.2695784790003</v>
      </c>
      <c r="D72" s="11">
        <v>1275.0424302779998</v>
      </c>
      <c r="E72" s="11">
        <v>1311.1145138759998</v>
      </c>
      <c r="F72" s="11">
        <v>635.91459843099983</v>
      </c>
      <c r="G72" s="11">
        <v>626.85143300800007</v>
      </c>
      <c r="H72" s="11">
        <v>593.56889191300013</v>
      </c>
      <c r="I72" s="11">
        <v>610.55237892800017</v>
      </c>
      <c r="J72" s="11">
        <v>628.22984910499986</v>
      </c>
      <c r="K72" s="11"/>
      <c r="L72" s="11"/>
      <c r="M72" s="11"/>
      <c r="N72" s="11">
        <f>SUM(B72:CHOOSE(MONTH(Mes_cierre),B72,C72,D72,E72,F72,G72,H72,I72,J72,K72,L72,M72))</f>
        <v>8294.0200502410007</v>
      </c>
      <c r="O72" s="25"/>
      <c r="P72" s="25"/>
      <c r="Q72" s="11">
        <v>772.322738577</v>
      </c>
      <c r="R72" s="11">
        <v>781.71169662300008</v>
      </c>
      <c r="S72" s="11">
        <v>758.3762756970001</v>
      </c>
      <c r="T72" s="11">
        <v>779.83141457400006</v>
      </c>
      <c r="U72" s="11">
        <v>829.14627334700003</v>
      </c>
      <c r="V72" s="11">
        <v>817.32913649600005</v>
      </c>
      <c r="W72" s="11">
        <v>773.93322298100009</v>
      </c>
      <c r="X72" s="11">
        <v>796.07738353600007</v>
      </c>
      <c r="Y72" s="11">
        <v>819.12640388500006</v>
      </c>
      <c r="Z72" s="11"/>
      <c r="AA72" s="11"/>
      <c r="AB72" s="11"/>
      <c r="AC72" s="11">
        <f>SUM(Q72:CHOOSE(MONTH(Mes_cierre),Q72,R72,S72,T72,U72,V72,W72,X72,Y72,Z72,AA72,AB72))</f>
        <v>7127.8545457160017</v>
      </c>
    </row>
    <row r="73" spans="2:29" x14ac:dyDescent="0.35">
      <c r="B73" s="14">
        <v>40061.530968575993</v>
      </c>
      <c r="C73" s="14">
        <v>38798.003017488008</v>
      </c>
      <c r="D73" s="14">
        <v>41135.379054336016</v>
      </c>
      <c r="E73" s="14">
        <v>40090.387987404007</v>
      </c>
      <c r="F73" s="14">
        <v>22009.163361737999</v>
      </c>
      <c r="G73" s="14">
        <v>21373.999121839999</v>
      </c>
      <c r="H73" s="14">
        <v>20212.286542305003</v>
      </c>
      <c r="I73" s="14">
        <v>20453.686992384002</v>
      </c>
      <c r="J73" s="14">
        <v>20109.236841739999</v>
      </c>
      <c r="K73" s="14"/>
      <c r="L73" s="14"/>
      <c r="M73" s="14"/>
      <c r="N73" s="14">
        <f>SUM(B73:CHOOSE(MONTH(Mes_cierre),B73,C73,D73,E73,F73,G73,H73,I73,J73,K73,L73,M73))</f>
        <v>264243.67388781102</v>
      </c>
      <c r="O73" s="25"/>
      <c r="P73" s="25"/>
      <c r="Q73" s="14">
        <v>1051.2518919239999</v>
      </c>
      <c r="R73" s="14">
        <v>955.623698601</v>
      </c>
      <c r="S73" s="14">
        <v>858.20427099000005</v>
      </c>
      <c r="T73" s="14">
        <v>927.57604348200016</v>
      </c>
      <c r="U73" s="14">
        <v>1078.38497837</v>
      </c>
      <c r="V73" s="14">
        <v>941.45655393599998</v>
      </c>
      <c r="W73" s="14">
        <v>890.32881877400018</v>
      </c>
      <c r="X73" s="14">
        <v>914.98401232000015</v>
      </c>
      <c r="Y73" s="14">
        <v>1027.9716837600001</v>
      </c>
      <c r="Z73" s="14"/>
      <c r="AA73" s="14"/>
      <c r="AB73" s="14"/>
      <c r="AC73" s="14">
        <f>SUM(Q73:CHOOSE(MONTH(Mes_cierre),Q73,R73,S73,T73,U73,V73,W73,X73,Y73,Z73,AA73,AB73))</f>
        <v>8645.781952157</v>
      </c>
    </row>
    <row r="74" spans="2:29" x14ac:dyDescent="0.35">
      <c r="B74" s="20">
        <v>-4157.9337853169909</v>
      </c>
      <c r="C74" s="20">
        <v>-2540.4318885660114</v>
      </c>
      <c r="D74" s="20">
        <v>1081.4803329689857</v>
      </c>
      <c r="E74" s="20">
        <v>-1053.1200685200054</v>
      </c>
      <c r="F74" s="20">
        <v>-1856.6424467080003</v>
      </c>
      <c r="G74" s="20">
        <v>-1776.7318562880064</v>
      </c>
      <c r="H74" s="20">
        <v>-2327.4808272760056</v>
      </c>
      <c r="I74" s="20">
        <v>-1517.4584957919978</v>
      </c>
      <c r="J74" s="20">
        <v>-1204.0213821549987</v>
      </c>
      <c r="K74" s="20"/>
      <c r="L74" s="20"/>
      <c r="M74" s="20"/>
      <c r="N74" s="20">
        <f>SUM(B74:CHOOSE(MONTH(Mes_cierre),B74,C74,D74,E74,F74,G74,H74,I74,J74,K74,L74,M74))</f>
        <v>-15352.340417653031</v>
      </c>
      <c r="O74" s="25"/>
      <c r="P74" s="25"/>
      <c r="Q74" s="20">
        <v>1150.2772555169997</v>
      </c>
      <c r="R74" s="20">
        <v>1253.5058996460002</v>
      </c>
      <c r="S74" s="20">
        <v>1432.7813220839998</v>
      </c>
      <c r="T74" s="20">
        <v>1344.0164607479999</v>
      </c>
      <c r="U74" s="20">
        <v>1378.3281108449999</v>
      </c>
      <c r="V74" s="20">
        <v>1381.2955408319995</v>
      </c>
      <c r="W74" s="20">
        <v>1311.7852206109999</v>
      </c>
      <c r="X74" s="20">
        <v>1365.73357072</v>
      </c>
      <c r="Y74" s="20">
        <v>1261.1125012750001</v>
      </c>
      <c r="Z74" s="20"/>
      <c r="AA74" s="20"/>
      <c r="AB74" s="20"/>
      <c r="AC74" s="20">
        <f>SUM(Q74:CHOOSE(MONTH(Mes_cierre),Q74,R74,S74,T74,U74,V74,W74,X74,Y74,Z74,AA74,AB74))</f>
        <v>11878.835882277999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-1461.6836364000001</v>
      </c>
      <c r="C77" s="11">
        <v>-988.62380974500002</v>
      </c>
      <c r="D77" s="11">
        <v>-634.93295944499994</v>
      </c>
      <c r="E77" s="11">
        <v>-1038.5367902820001</v>
      </c>
      <c r="F77" s="11">
        <v>-73.558055605999982</v>
      </c>
      <c r="G77" s="11">
        <v>-100.02046584</v>
      </c>
      <c r="H77" s="11">
        <v>-54.124551503000013</v>
      </c>
      <c r="I77" s="11">
        <v>-91.103501504000008</v>
      </c>
      <c r="J77" s="11">
        <v>-234.75805979</v>
      </c>
      <c r="K77" s="11"/>
      <c r="L77" s="11"/>
      <c r="M77" s="11"/>
      <c r="N77" s="11">
        <f>SUM(B77:CHOOSE(MONTH(Mes_cierre),B77,C77,D77,E77,F77,G77,H77,I77,J77,K77,L77,M77))</f>
        <v>-4677.3418301149995</v>
      </c>
      <c r="O77" s="25"/>
      <c r="P77" s="25"/>
      <c r="Q77" s="11">
        <v>0</v>
      </c>
      <c r="R77" s="11">
        <v>0</v>
      </c>
      <c r="S77" s="11">
        <v>-2.0097990000000001</v>
      </c>
      <c r="T77" s="11">
        <v>-6.7636079999999996</v>
      </c>
      <c r="U77" s="11">
        <v>5.6931314999999989</v>
      </c>
      <c r="V77" s="11">
        <v>-13.232486399999999</v>
      </c>
      <c r="W77" s="11">
        <v>4.8258800740000005</v>
      </c>
      <c r="X77" s="11">
        <v>15.266259615999999</v>
      </c>
      <c r="Y77" s="11">
        <v>25.664717250000002</v>
      </c>
      <c r="Z77" s="11"/>
      <c r="AA77" s="11"/>
      <c r="AB77" s="11"/>
      <c r="AC77" s="11">
        <f>SUM(Q77:CHOOSE(MONTH(Mes_cierre),Q77,R77,S77,T77,U77,V77,W77,X77,Y77,Z77,AA77,AB77))</f>
        <v>29.444095040000004</v>
      </c>
    </row>
    <row r="78" spans="2:29" x14ac:dyDescent="0.35">
      <c r="B78" s="11">
        <v>992.68202244899999</v>
      </c>
      <c r="C78" s="11">
        <v>948.62833193700021</v>
      </c>
      <c r="D78" s="11">
        <v>888.87289018499996</v>
      </c>
      <c r="E78" s="11">
        <v>1033.6444471620002</v>
      </c>
      <c r="F78" s="11">
        <v>451.46972264800024</v>
      </c>
      <c r="G78" s="11">
        <v>451.73975743999995</v>
      </c>
      <c r="H78" s="11">
        <v>430.72853553299996</v>
      </c>
      <c r="I78" s="11">
        <v>413.04938854400012</v>
      </c>
      <c r="J78" s="11">
        <v>529.95953821500007</v>
      </c>
      <c r="K78" s="11"/>
      <c r="L78" s="11"/>
      <c r="M78" s="11"/>
      <c r="N78" s="11">
        <f>SUM(B78:CHOOSE(MONTH(Mes_cierre),B78,C78,D78,E78,F78,G78,H78,I78,J78,K78,L78,M78))</f>
        <v>6140.7746341130005</v>
      </c>
      <c r="O78" s="25"/>
      <c r="P78" s="25"/>
      <c r="Q78" s="11">
        <v>486.52931375100002</v>
      </c>
      <c r="R78" s="11">
        <v>464.75495523600006</v>
      </c>
      <c r="S78" s="11">
        <v>442.58368447800007</v>
      </c>
      <c r="T78" s="11">
        <v>492.85077562200001</v>
      </c>
      <c r="U78" s="11">
        <v>534.48137292899992</v>
      </c>
      <c r="V78" s="11">
        <v>555.63426996800001</v>
      </c>
      <c r="W78" s="11">
        <v>513.3407333240001</v>
      </c>
      <c r="X78" s="11">
        <v>528.18327689600005</v>
      </c>
      <c r="Y78" s="11">
        <v>540.85969194500012</v>
      </c>
      <c r="Z78" s="11"/>
      <c r="AA78" s="11"/>
      <c r="AB78" s="11"/>
      <c r="AC78" s="11">
        <f>SUM(Q78:CHOOSE(MONTH(Mes_cierre),Q78,R78,S78,T78,U78,V78,W78,X78,Y78,Z78,AA78,AB78))</f>
        <v>4559.2180741490001</v>
      </c>
    </row>
    <row r="79" spans="2:29" x14ac:dyDescent="0.35">
      <c r="B79" s="11">
        <v>0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300">
        <v>-469.00161395100008</v>
      </c>
      <c r="C81" s="300">
        <v>-39.995477807999748</v>
      </c>
      <c r="D81" s="300">
        <v>253.93993074000002</v>
      </c>
      <c r="E81" s="300">
        <v>-4.8923431199999641</v>
      </c>
      <c r="F81" s="300">
        <v>377.9116670420002</v>
      </c>
      <c r="G81" s="300">
        <v>351.71929159999996</v>
      </c>
      <c r="H81" s="300">
        <v>376.60398402999994</v>
      </c>
      <c r="I81" s="300">
        <v>321.94588704000012</v>
      </c>
      <c r="J81" s="300">
        <v>295.20147842500006</v>
      </c>
      <c r="K81" s="300"/>
      <c r="L81" s="300"/>
      <c r="M81" s="300"/>
      <c r="N81" s="300">
        <f>SUM(B81:CHOOSE(MONTH(Mes_cierre),B81,C81,D81,E81,F81,G81,H81,I81,J81,K81,L81,M81))</f>
        <v>1463.4328039980005</v>
      </c>
      <c r="O81" s="25"/>
      <c r="P81" s="25"/>
      <c r="Q81" s="300">
        <v>486.52931375100002</v>
      </c>
      <c r="R81" s="300">
        <v>464.75495523600006</v>
      </c>
      <c r="S81" s="300">
        <v>440.57388547800008</v>
      </c>
      <c r="T81" s="300">
        <v>486.08716762200004</v>
      </c>
      <c r="U81" s="300">
        <v>540.17450442899997</v>
      </c>
      <c r="V81" s="300">
        <v>542.40178356800004</v>
      </c>
      <c r="W81" s="300">
        <v>518.1666133980001</v>
      </c>
      <c r="X81" s="300">
        <v>543.44953651200001</v>
      </c>
      <c r="Y81" s="300">
        <v>566.52440919500009</v>
      </c>
      <c r="Z81" s="300"/>
      <c r="AA81" s="300"/>
      <c r="AB81" s="300"/>
      <c r="AC81" s="300">
        <f>SUM(Q81:CHOOSE(MONTH(Mes_cierre),Q81,R81,S81,T81,U81,V81,W81,X81,Y81,Z81,AA81,AB81))</f>
        <v>4588.6621691890005</v>
      </c>
    </row>
    <row r="82" spans="2:29" x14ac:dyDescent="0.35">
      <c r="B82" s="14">
        <v>-3688.9321713659911</v>
      </c>
      <c r="C82" s="14">
        <v>-2500.4364107580113</v>
      </c>
      <c r="D82" s="14">
        <v>827.54040222898573</v>
      </c>
      <c r="E82" s="14">
        <v>-1048.2277254000055</v>
      </c>
      <c r="F82" s="14">
        <v>-2234.5541137500004</v>
      </c>
      <c r="G82" s="14">
        <v>-2128.4511478880063</v>
      </c>
      <c r="H82" s="14">
        <v>-2704.0848113060056</v>
      </c>
      <c r="I82" s="14">
        <v>-1839.404382831998</v>
      </c>
      <c r="J82" s="14">
        <v>-1499.2228605799987</v>
      </c>
      <c r="K82" s="14"/>
      <c r="L82" s="14"/>
      <c r="M82" s="14"/>
      <c r="N82" s="14">
        <f>SUM(B82:CHOOSE(MONTH(Mes_cierre),B82,C82,D82,E82,F82,G82,H82,I82,J82,K82,L82,M82))</f>
        <v>-16815.77322165103</v>
      </c>
      <c r="O82" s="25"/>
      <c r="P82" s="25"/>
      <c r="Q82" s="14">
        <v>663.74794176599971</v>
      </c>
      <c r="R82" s="14">
        <v>788.7509444100001</v>
      </c>
      <c r="S82" s="14">
        <v>992.20743660599976</v>
      </c>
      <c r="T82" s="14">
        <v>857.92929312599983</v>
      </c>
      <c r="U82" s="14">
        <v>838.15360641599989</v>
      </c>
      <c r="V82" s="14">
        <v>838.89375726399942</v>
      </c>
      <c r="W82" s="14">
        <v>793.61860721299979</v>
      </c>
      <c r="X82" s="14">
        <v>822.28403420799998</v>
      </c>
      <c r="Y82" s="14">
        <v>694.58809208000002</v>
      </c>
      <c r="Z82" s="14"/>
      <c r="AA82" s="14"/>
      <c r="AB82" s="14"/>
      <c r="AC82" s="14">
        <f>SUM(Q82:CHOOSE(MONTH(Mes_cierre),Q82,R82,S82,T82,U82,V82,W82,X82,Y82,Z82,AA82,AB82))</f>
        <v>7290.1737130889978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77.5349523</v>
      </c>
      <c r="C85" s="11">
        <v>71.377449000000013</v>
      </c>
      <c r="D85" s="11">
        <v>76.134840300000008</v>
      </c>
      <c r="E85" s="11">
        <v>78.288762599999998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K85" s="11"/>
      <c r="L85" s="11"/>
      <c r="M85" s="11"/>
      <c r="N85" s="11">
        <f>SUM(B85:CHOOSE(MONTH(Mes_cierre),B85,C85,D85,E85,F85,G85,H85,I85,J85,K85,L85,M85))</f>
        <v>303.33600419999999</v>
      </c>
      <c r="O85" s="25"/>
      <c r="P85" s="25"/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-3766.467123665991</v>
      </c>
      <c r="C86" s="14">
        <v>-2571.8138597580119</v>
      </c>
      <c r="D86" s="14">
        <v>751.40556192898578</v>
      </c>
      <c r="E86" s="14">
        <v>-1126.5164880000054</v>
      </c>
      <c r="F86" s="14">
        <v>-2234.5541137500004</v>
      </c>
      <c r="G86" s="14">
        <v>-2128.4511478880063</v>
      </c>
      <c r="H86" s="14">
        <v>-2704.0848113060056</v>
      </c>
      <c r="I86" s="14">
        <v>-1839.404382831998</v>
      </c>
      <c r="J86" s="14">
        <v>-1499.2228605799987</v>
      </c>
      <c r="K86" s="14"/>
      <c r="L86" s="14"/>
      <c r="M86" s="14"/>
      <c r="N86" s="14">
        <f>SUM(B86:CHOOSE(MONTH(Mes_cierre),B86,C86,D86,E86,F86,G86,H86,I86,J86,K86,L86,M86))</f>
        <v>-17119.109225851033</v>
      </c>
      <c r="O86" s="25"/>
      <c r="P86" s="25"/>
      <c r="Q86" s="14">
        <v>663.74794176599971</v>
      </c>
      <c r="R86" s="14">
        <v>788.7509444100001</v>
      </c>
      <c r="S86" s="14">
        <v>992.20743660599976</v>
      </c>
      <c r="T86" s="14">
        <v>857.92929312599983</v>
      </c>
      <c r="U86" s="14">
        <v>838.15360641599989</v>
      </c>
      <c r="V86" s="14">
        <v>838.89375726399942</v>
      </c>
      <c r="W86" s="14">
        <v>793.61860721299979</v>
      </c>
      <c r="X86" s="14">
        <v>822.28403420799998</v>
      </c>
      <c r="Y86" s="14">
        <v>694.58809208000002</v>
      </c>
      <c r="Z86" s="14"/>
      <c r="AA86" s="14"/>
      <c r="AB86" s="14"/>
      <c r="AC86" s="14">
        <f>SUM(Q86:CHOOSE(MONTH(Mes_cierre),Q86,R86,S86,T86,U86,V86,W86,X86,Y86,Z86,AA86,AB86))</f>
        <v>7290.1737130889978</v>
      </c>
    </row>
    <row r="87" spans="2:29" x14ac:dyDescent="0.35">
      <c r="B87" s="20">
        <v>-2859.4574090939909</v>
      </c>
      <c r="C87" s="20">
        <v>-1226.1623100870111</v>
      </c>
      <c r="D87" s="20">
        <v>2356.522763246986</v>
      </c>
      <c r="E87" s="20">
        <v>257.99444535599469</v>
      </c>
      <c r="F87" s="20">
        <v>-1220.7278482770005</v>
      </c>
      <c r="G87" s="20">
        <v>-1149.8804232800062</v>
      </c>
      <c r="H87" s="20">
        <v>-1733.9119353630053</v>
      </c>
      <c r="I87" s="20">
        <v>-906.90611686399768</v>
      </c>
      <c r="J87" s="20">
        <v>-575.79153304999886</v>
      </c>
      <c r="K87" s="20"/>
      <c r="L87" s="20"/>
      <c r="M87" s="20"/>
      <c r="N87" s="20">
        <f>SUM(B87:CHOOSE(MONTH(Mes_cierre),B87,C87,D87,E87,F87,G87,H87,I87,J87,K87,L87,M87))</f>
        <v>-7058.3203674120296</v>
      </c>
      <c r="O87" s="25"/>
      <c r="P87" s="25"/>
      <c r="Q87" s="20">
        <v>1922.5999940939996</v>
      </c>
      <c r="R87" s="20">
        <v>2035.2175962690003</v>
      </c>
      <c r="S87" s="20">
        <v>2191.1575977809998</v>
      </c>
      <c r="T87" s="20">
        <v>2123.8478753219997</v>
      </c>
      <c r="U87" s="20">
        <v>2207.4743841919999</v>
      </c>
      <c r="V87" s="20">
        <v>2198.6246773279995</v>
      </c>
      <c r="W87" s="20">
        <v>2085.7184435919999</v>
      </c>
      <c r="X87" s="20">
        <v>2161.8109542560001</v>
      </c>
      <c r="Y87" s="20">
        <v>2080.2389051600003</v>
      </c>
      <c r="Z87" s="20"/>
      <c r="AA87" s="20"/>
      <c r="AB87" s="20"/>
      <c r="AC87" s="20">
        <f>SUM(Q87:CHOOSE(MONTH(Mes_cierre),Q87,R87,S87,T87,U87,V87,W87,X87,Y87,Z87,AA87,AB87))</f>
        <v>19006.690427993999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M12" sqref="M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9" customWidth="1"/>
    <col min="3" max="3" width="11" style="149" customWidth="1"/>
    <col min="4" max="4" width="11.453125" style="149" customWidth="1"/>
    <col min="5" max="6" width="11.1796875" style="149" customWidth="1"/>
    <col min="7" max="7" width="10.81640625" style="149" customWidth="1"/>
    <col min="8" max="8" width="12" style="149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11.81640625" style="48" bestFit="1" customWidth="1"/>
    <col min="29" max="29" width="6.6328125" style="48" bestFit="1" customWidth="1"/>
    <col min="30" max="30" width="10.36328125" style="48" customWidth="1"/>
    <col min="31" max="31" width="10.453125" style="48" customWidth="1"/>
    <col min="32" max="32" width="8.453125" style="48" customWidth="1"/>
    <col min="33" max="33" width="10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135</v>
      </c>
      <c r="C3" s="150"/>
      <c r="D3" s="150"/>
      <c r="E3" s="150"/>
      <c r="F3" s="150"/>
      <c r="G3" s="150"/>
      <c r="H3" s="150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51"/>
      <c r="B4" s="151" t="s">
        <v>136</v>
      </c>
      <c r="C4" s="151" t="s">
        <v>25</v>
      </c>
      <c r="D4" s="151" t="s">
        <v>137</v>
      </c>
      <c r="E4" s="151" t="s">
        <v>27</v>
      </c>
      <c r="F4" s="151" t="s">
        <v>28</v>
      </c>
      <c r="G4" s="151" t="s">
        <v>29</v>
      </c>
      <c r="H4" s="151" t="s">
        <v>117</v>
      </c>
      <c r="I4" s="151"/>
      <c r="J4" s="151"/>
      <c r="K4" s="151"/>
      <c r="L4" s="151"/>
      <c r="M4" s="151" t="s">
        <v>138</v>
      </c>
      <c r="N4" s="56"/>
      <c r="Y4" s="4" t="s">
        <v>11</v>
      </c>
      <c r="Z4" s="48">
        <f>TablasER!C11</f>
        <v>4802.7626700000001</v>
      </c>
      <c r="AA4" s="179">
        <f>TablasER!D11</f>
        <v>0.14017069304119253</v>
      </c>
      <c r="AB4" s="48">
        <f>TablasER!E11</f>
        <v>16270.810949999999</v>
      </c>
      <c r="AC4" s="48">
        <f>TablasER!F11</f>
        <v>0.34604504342209025</v>
      </c>
      <c r="AD4" s="48">
        <f>TablasER!G11</f>
        <v>19805.961387329997</v>
      </c>
      <c r="AE4" s="48">
        <f>TablasER!H11</f>
        <v>0.70541869706611382</v>
      </c>
      <c r="AF4" s="48">
        <f>TablasER!I11</f>
        <v>508.45620335499996</v>
      </c>
      <c r="AG4" s="48">
        <f>TablasER!J11</f>
        <v>0.19783534143397161</v>
      </c>
      <c r="AH4" s="48">
        <f>TablasER!K11</f>
        <v>26360.163420000001</v>
      </c>
      <c r="AI4" s="48">
        <f>TablasER!L11</f>
        <v>0.19270049850343121</v>
      </c>
      <c r="AJ4" s="48">
        <f>TablasER!M11</f>
        <v>490.18018000000001</v>
      </c>
      <c r="AK4" s="48">
        <f>TablasER!N11</f>
        <v>6.9465904746892154E-2</v>
      </c>
    </row>
    <row r="5" spans="1:37" ht="14" x14ac:dyDescent="0.3">
      <c r="A5" s="48" t="s">
        <v>141</v>
      </c>
      <c r="B5" s="152">
        <f>TablasER!AZ5</f>
        <v>0.68407509776799125</v>
      </c>
      <c r="C5" s="152">
        <f>TablasER!$D$5</f>
        <v>0.86159937059215641</v>
      </c>
      <c r="D5" s="152">
        <f>TablasER!$F$5</f>
        <v>0.5487613850599351</v>
      </c>
      <c r="E5" s="152">
        <f>TablasER!$H$5</f>
        <v>0.3240796945238697</v>
      </c>
      <c r="F5" s="152">
        <f>TablasER!$J$5</f>
        <v>0</v>
      </c>
      <c r="G5" s="152">
        <f>TablasER!$L$5</f>
        <v>0.78203131939994541</v>
      </c>
      <c r="H5" s="152">
        <f>TablasER!$N$5</f>
        <v>0.50631494414196765</v>
      </c>
      <c r="I5" s="154"/>
      <c r="J5" s="154"/>
      <c r="K5" s="154"/>
      <c r="L5" s="155"/>
      <c r="M5" s="153">
        <f>(G5+D5+C5+H5+E5+F5)/6</f>
        <v>0.50379778561964572</v>
      </c>
      <c r="N5" s="156"/>
      <c r="Y5" s="7" t="s">
        <v>33</v>
      </c>
      <c r="Z5" s="48">
        <f>TablasER!C14</f>
        <v>793</v>
      </c>
      <c r="AA5" s="48">
        <f>TablasER!D14</f>
        <v>2.3144045879257592E-2</v>
      </c>
      <c r="AB5" s="48">
        <f>TablasER!E14</f>
        <v>2589</v>
      </c>
      <c r="AC5" s="48">
        <f>TablasER!F14</f>
        <v>5.5062444039999846E-2</v>
      </c>
      <c r="AD5" s="48">
        <f>TablasER!G14</f>
        <v>152.942375</v>
      </c>
      <c r="AE5" s="48">
        <f>TablasER!H14</f>
        <v>5.4472695765081063E-3</v>
      </c>
      <c r="AF5" s="48">
        <f>TablasER!I14</f>
        <v>0</v>
      </c>
      <c r="AG5" s="48">
        <f>TablasER!J14</f>
        <v>0</v>
      </c>
      <c r="AH5" s="48">
        <f>TablasER!K14</f>
        <v>2500</v>
      </c>
      <c r="AI5" s="48">
        <f>TablasER!L14</f>
        <v>1.8275730638796551E-2</v>
      </c>
      <c r="AJ5" s="48">
        <f>TablasER!M14</f>
        <v>77</v>
      </c>
      <c r="AK5" s="48">
        <f>TablasER!N14</f>
        <v>1.0912058226243859E-2</v>
      </c>
    </row>
    <row r="6" spans="1:37" ht="14" x14ac:dyDescent="0.3">
      <c r="A6" s="48" t="s">
        <v>142</v>
      </c>
      <c r="B6" s="157">
        <f>TablasER!BB5</f>
        <v>0.71183473844618961</v>
      </c>
      <c r="C6" s="157">
        <f>TablasER!$T$5</f>
        <v>0.82783172724060849</v>
      </c>
      <c r="D6" s="157" t="str">
        <f>TablasER!$V$5</f>
        <v>N.D.</v>
      </c>
      <c r="E6" s="157">
        <f>TablasER!$X$5</f>
        <v>0.35151472892926394</v>
      </c>
      <c r="F6" s="157">
        <f>TablasER!$Z$5</f>
        <v>0</v>
      </c>
      <c r="G6" s="157">
        <f>TablasER!$AB$5</f>
        <v>0.77473945508949738</v>
      </c>
      <c r="H6" s="157">
        <f>TablasER!$AD$5</f>
        <v>0.5210492534266189</v>
      </c>
      <c r="I6" s="157">
        <f>TablasER!Z$5</f>
        <v>0</v>
      </c>
      <c r="J6" s="157">
        <f>TablasER!AA$5</f>
        <v>114317.63400000001</v>
      </c>
      <c r="K6" s="157">
        <f>TablasER!AB$5</f>
        <v>0.77473945508949738</v>
      </c>
      <c r="L6" s="157">
        <f>TablasER!AC$5</f>
        <v>1597.6110000000001</v>
      </c>
      <c r="M6" s="157" t="e">
        <f>(G6+D6+C6+H6+E6+F6)/6</f>
        <v>#VALUE!</v>
      </c>
      <c r="N6" s="156"/>
      <c r="Y6" s="7" t="s">
        <v>34</v>
      </c>
      <c r="Z6" s="48">
        <f>TablasER!C15</f>
        <v>210.54243</v>
      </c>
      <c r="AA6" s="48">
        <f>TablasER!D15</f>
        <v>6.1447713233926601E-3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">
        <v>143</v>
      </c>
      <c r="B7" s="159">
        <f>TablasER!BD5</f>
        <v>0.68654308133223452</v>
      </c>
      <c r="C7" s="157">
        <f>TablasER!$AJ$5</f>
        <v>0.83427242233392451</v>
      </c>
      <c r="D7" s="157">
        <f>TablasER!$AL$5</f>
        <v>0.57745334858509156</v>
      </c>
      <c r="E7" s="157">
        <f>TablasER!$AN$5</f>
        <v>0.34561725254967529</v>
      </c>
      <c r="F7" s="157">
        <f>TablasER!$AP$5</f>
        <v>0</v>
      </c>
      <c r="G7" s="157">
        <f>TablasER!$AR$5</f>
        <v>0.79943086628928539</v>
      </c>
      <c r="H7" s="157">
        <f>TablasER!$AT$5</f>
        <v>0.55133412924064684</v>
      </c>
      <c r="I7" s="158"/>
      <c r="J7" s="158"/>
      <c r="K7" s="158"/>
      <c r="L7" s="158"/>
      <c r="M7" s="159">
        <f>(G7+D7+C7+H7+E7+F7)/6</f>
        <v>0.51801800316643731</v>
      </c>
      <c r="N7" s="156"/>
      <c r="Z7" s="48">
        <f>SUM(Z4:Z6)</f>
        <v>5806.3051000000005</v>
      </c>
      <c r="AA7" s="179">
        <f>SUM(AA4:AA6)</f>
        <v>0.16945951024384279</v>
      </c>
      <c r="AB7" s="180">
        <f>SUM(AB4:AB6)</f>
        <v>18859.810949999999</v>
      </c>
      <c r="AC7" s="179">
        <f t="shared" ref="AC7:AK7" si="0">SUM(AC4:AC6)</f>
        <v>0.40110748746209007</v>
      </c>
      <c r="AD7" s="180">
        <f t="shared" si="0"/>
        <v>19958.903762329996</v>
      </c>
      <c r="AE7" s="179">
        <f t="shared" si="0"/>
        <v>0.71086596664262192</v>
      </c>
      <c r="AF7" s="180">
        <f t="shared" si="0"/>
        <v>508.45620335499996</v>
      </c>
      <c r="AG7" s="179">
        <f t="shared" si="0"/>
        <v>0.19783534143397161</v>
      </c>
      <c r="AH7" s="180">
        <f t="shared" si="0"/>
        <v>28860.163420000001</v>
      </c>
      <c r="AI7" s="179">
        <f t="shared" si="0"/>
        <v>0.21097622914222777</v>
      </c>
      <c r="AJ7" s="180">
        <f t="shared" si="0"/>
        <v>567.18018000000006</v>
      </c>
      <c r="AK7" s="179">
        <f t="shared" si="0"/>
        <v>8.0377962973136013E-2</v>
      </c>
    </row>
    <row r="8" spans="1:37" x14ac:dyDescent="0.25">
      <c r="B8" s="160">
        <f>SUM(C8:H8)</f>
        <v>174.972627359315</v>
      </c>
      <c r="C8" s="287">
        <f>TablasER!$C$5/1000</f>
        <v>29.521558349999999</v>
      </c>
      <c r="D8" s="287">
        <f>TablasER!$E$5/1000</f>
        <v>25.802400360000004</v>
      </c>
      <c r="E8" s="287">
        <f>TablasER!$G$5/1000</f>
        <v>9.0991491193149994</v>
      </c>
      <c r="F8" s="287">
        <f>TablasER!$I$5/1000</f>
        <v>0</v>
      </c>
      <c r="G8" s="287">
        <f>TablasER!$K$5/1000</f>
        <v>106.97675169</v>
      </c>
      <c r="H8" s="287">
        <f>TablasER!$M$5/1000</f>
        <v>3.5727678400000005</v>
      </c>
      <c r="I8" s="161"/>
      <c r="J8" s="162"/>
      <c r="K8" s="163"/>
      <c r="L8" s="161"/>
      <c r="M8" s="160">
        <f>(G8+D8+C8+H8+E8)</f>
        <v>174.972627359315</v>
      </c>
      <c r="N8" s="59"/>
    </row>
    <row r="9" spans="1:37" x14ac:dyDescent="0.25">
      <c r="B9" s="160">
        <f>SUM(C9:H9)</f>
        <v>152.37216449550002</v>
      </c>
      <c r="C9" s="288">
        <f>TablasER!$S$5/1000</f>
        <v>26.010679</v>
      </c>
      <c r="D9" s="288">
        <f>TablasER!$U$5/1000</f>
        <v>0</v>
      </c>
      <c r="E9" s="160">
        <f>TablasER!$W$5/1000</f>
        <v>10.4462404955</v>
      </c>
      <c r="F9" s="160">
        <f>TablasER!$Y$5/1000</f>
        <v>0</v>
      </c>
      <c r="G9" s="160">
        <f>TablasER!$AA$5/1000</f>
        <v>114.31763400000001</v>
      </c>
      <c r="H9" s="160">
        <f>TablasER!$AC$5/1000</f>
        <v>1.5976110000000001</v>
      </c>
      <c r="I9" s="161">
        <f>TablasER!$AC$5</f>
        <v>1597.6110000000001</v>
      </c>
      <c r="J9" s="161"/>
      <c r="K9" s="161"/>
      <c r="L9" s="161"/>
      <c r="M9" s="160">
        <f>(G9+D9+C9+H9+E9)</f>
        <v>152.37216449550002</v>
      </c>
      <c r="N9" s="59"/>
    </row>
    <row r="10" spans="1:37" x14ac:dyDescent="0.25">
      <c r="B10" s="164">
        <f>SUM(C10:H10)</f>
        <v>166.45098935526499</v>
      </c>
      <c r="C10" s="288">
        <f>TablasER!$AI$5/1000</f>
        <v>22.712656819999999</v>
      </c>
      <c r="D10" s="289">
        <f>TablasER!$AK$5/1000</f>
        <v>31.819001650000001</v>
      </c>
      <c r="E10" s="164">
        <f>TablasER!$AM$5/1000</f>
        <v>9.9849341252649992</v>
      </c>
      <c r="F10" s="164">
        <f>TablasER!$AO$5/1000</f>
        <v>0</v>
      </c>
      <c r="G10" s="164">
        <f>TablasER!$AQ$5/1000</f>
        <v>99.388174100000001</v>
      </c>
      <c r="H10" s="164">
        <f>TablasER!$AS$5/1000</f>
        <v>2.5462226600000002</v>
      </c>
      <c r="I10" s="165">
        <f>TablasER!$AS$5</f>
        <v>2546.2226600000004</v>
      </c>
      <c r="J10" s="165"/>
      <c r="K10" s="166"/>
      <c r="L10" s="165"/>
      <c r="M10" s="164">
        <f>(G10+D10+C10+H10+E10)</f>
        <v>166.45098935526502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7"/>
      <c r="J11" s="167"/>
      <c r="K11" s="167"/>
      <c r="L11" s="167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8"/>
      <c r="J12" s="168"/>
      <c r="K12" s="168"/>
      <c r="L12" s="168"/>
      <c r="M12" s="66"/>
      <c r="N12" s="66"/>
    </row>
    <row r="13" spans="1:37" x14ac:dyDescent="0.25">
      <c r="B13" s="169"/>
    </row>
    <row r="14" spans="1:37" x14ac:dyDescent="0.25">
      <c r="A14" s="73"/>
      <c r="M14" s="74"/>
      <c r="N14" s="74"/>
    </row>
    <row r="15" spans="1:37" x14ac:dyDescent="0.25">
      <c r="A15" s="73"/>
      <c r="B15" s="170"/>
      <c r="C15" s="170"/>
      <c r="D15" s="170"/>
      <c r="E15" s="170"/>
      <c r="F15" s="170"/>
      <c r="G15" s="171"/>
      <c r="H15" s="171"/>
      <c r="I15" s="74"/>
      <c r="J15" s="74"/>
      <c r="K15" s="74"/>
      <c r="L15" s="74"/>
      <c r="M15" s="74"/>
      <c r="N15" s="74"/>
    </row>
    <row r="17" spans="1:14" x14ac:dyDescent="0.25">
      <c r="A17" s="73"/>
      <c r="B17" s="170"/>
      <c r="C17" s="170"/>
      <c r="D17" s="170"/>
      <c r="E17" s="170"/>
      <c r="F17" s="170"/>
      <c r="G17" s="170"/>
      <c r="H17" s="170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70"/>
      <c r="C18" s="170"/>
      <c r="D18" s="170"/>
      <c r="E18" s="170"/>
      <c r="F18" s="170"/>
      <c r="G18" s="170"/>
      <c r="H18" s="170"/>
      <c r="I18" s="74"/>
      <c r="J18" s="74"/>
      <c r="K18" s="74"/>
      <c r="L18" s="74"/>
      <c r="M18" s="74"/>
      <c r="N18" s="74"/>
    </row>
    <row r="19" spans="1:14" ht="13" x14ac:dyDescent="0.3">
      <c r="A19" s="49" t="s">
        <v>139</v>
      </c>
    </row>
    <row r="20" spans="1:14" ht="13" x14ac:dyDescent="0.3">
      <c r="B20" s="150"/>
      <c r="C20" s="150"/>
      <c r="D20" s="150"/>
      <c r="E20" s="150"/>
      <c r="F20" s="150"/>
      <c r="G20" s="150"/>
      <c r="H20" s="150"/>
      <c r="I20" s="53"/>
      <c r="J20" s="53"/>
      <c r="K20" s="53"/>
      <c r="L20" s="53"/>
      <c r="M20" s="53"/>
      <c r="N20" s="53"/>
    </row>
    <row r="21" spans="1:14" ht="13" x14ac:dyDescent="0.3">
      <c r="A21" s="151"/>
      <c r="B21" s="151" t="s">
        <v>136</v>
      </c>
      <c r="C21" s="151" t="s">
        <v>25</v>
      </c>
      <c r="D21" s="151" t="s">
        <v>137</v>
      </c>
      <c r="E21" s="151" t="s">
        <v>27</v>
      </c>
      <c r="F21" s="151" t="s">
        <v>28</v>
      </c>
      <c r="G21" s="151" t="s">
        <v>29</v>
      </c>
      <c r="H21" s="151" t="s">
        <v>117</v>
      </c>
      <c r="I21" s="151"/>
      <c r="J21" s="151"/>
      <c r="K21" s="151"/>
      <c r="L21" s="151"/>
      <c r="M21" s="151" t="s">
        <v>138</v>
      </c>
      <c r="N21" s="56"/>
    </row>
    <row r="22" spans="1:14" x14ac:dyDescent="0.25">
      <c r="A22" s="48" t="s">
        <v>144</v>
      </c>
      <c r="B22" s="152">
        <f>TablasER!$AZ$11</f>
        <v>0.54371894746540594</v>
      </c>
      <c r="C22" s="189">
        <f>$AA$7</f>
        <v>0.16945951024384279</v>
      </c>
      <c r="D22" s="189">
        <f>$AC$7</f>
        <v>0.40110748746209007</v>
      </c>
      <c r="E22" s="189">
        <f>$AE$7</f>
        <v>0.71086596664262192</v>
      </c>
      <c r="F22" s="189">
        <f>$AG$7</f>
        <v>0.19783534143397161</v>
      </c>
      <c r="G22" s="189">
        <f>$AI$7</f>
        <v>0.21097622914222777</v>
      </c>
      <c r="H22" s="189">
        <f>$AK$7</f>
        <v>8.0377962973136013E-2</v>
      </c>
      <c r="I22" s="154"/>
      <c r="J22" s="154"/>
      <c r="K22" s="154"/>
      <c r="L22" s="155"/>
      <c r="M22" s="153">
        <f>(G22+D22+C22+H22+E22+F22)/6</f>
        <v>0.29510374964964836</v>
      </c>
      <c r="N22" s="156"/>
    </row>
    <row r="23" spans="1:14" ht="14" x14ac:dyDescent="0.3">
      <c r="A23" s="48" t="s">
        <v>145</v>
      </c>
      <c r="B23" s="157">
        <f>TablasER!$BB$11</f>
        <v>0.23397079002095281</v>
      </c>
      <c r="C23" s="204">
        <f>TablasER!$T$11</f>
        <v>0.16846489663401459</v>
      </c>
      <c r="D23" s="204" t="str">
        <f>TablasER!$V$11</f>
        <v>N.D.</v>
      </c>
      <c r="E23" s="204">
        <f>TablasER!$X$11</f>
        <v>0.69795269211358135</v>
      </c>
      <c r="F23" s="204">
        <f>TablasER!$Z$11</f>
        <v>0.27128116938950991</v>
      </c>
      <c r="G23" s="204">
        <f>TablasER!$AB$11</f>
        <v>0.15597429430140433</v>
      </c>
      <c r="H23" s="204">
        <f>TablasER!$AD$11</f>
        <v>0.13382289535187869</v>
      </c>
      <c r="I23" s="158"/>
      <c r="J23" s="158"/>
      <c r="K23" s="158"/>
      <c r="L23" s="158"/>
      <c r="M23" s="157" t="e">
        <f>(G23+D23+C23+H23+E23+F23)/6</f>
        <v>#VALUE!</v>
      </c>
      <c r="N23" s="156"/>
    </row>
    <row r="24" spans="1:14" ht="14" x14ac:dyDescent="0.3">
      <c r="A24" s="48" t="s">
        <v>146</v>
      </c>
      <c r="B24" s="159">
        <f>TablasER!$BD$11</f>
        <v>0.31519345079083144</v>
      </c>
      <c r="C24" s="204">
        <f>TablasER!$AJ$11</f>
        <v>0.20467918085882672</v>
      </c>
      <c r="D24" s="204">
        <f>TablasER!$AL$11</f>
        <v>0.39787853127651546</v>
      </c>
      <c r="E24" s="204">
        <f>TablasER!$AN$11</f>
        <v>0.696058591966768</v>
      </c>
      <c r="F24" s="204">
        <f>TablasER!$AP$11</f>
        <v>0.4490755256973139</v>
      </c>
      <c r="G24" s="204">
        <f>TablasER!$AR$11</f>
        <v>0.21874044868327544</v>
      </c>
      <c r="H24" s="204">
        <f>TablasER!$AT$11</f>
        <v>0.12772847986351324</v>
      </c>
      <c r="I24" s="158"/>
      <c r="J24" s="158"/>
      <c r="K24" s="158"/>
      <c r="L24" s="158"/>
      <c r="M24" s="159">
        <f>(G24+D24+C24+H24+E24+F24)/6</f>
        <v>0.34902679305770207</v>
      </c>
      <c r="N24" s="156"/>
    </row>
    <row r="25" spans="1:14" x14ac:dyDescent="0.25">
      <c r="B25" s="160">
        <f>TablasER!$AY$11/1000</f>
        <v>139.07235198806998</v>
      </c>
      <c r="C25" s="290">
        <f>$Z$7/1000</f>
        <v>5.8063051000000003</v>
      </c>
      <c r="D25" s="290">
        <f>$AB$7/1000</f>
        <v>18.85981095</v>
      </c>
      <c r="E25" s="290">
        <f>$AD$7/1000</f>
        <v>19.958903762329996</v>
      </c>
      <c r="F25" s="290">
        <f>$AF$7/1000</f>
        <v>0.50845620335499997</v>
      </c>
      <c r="G25" s="290">
        <f>$AH$7/1000</f>
        <v>28.860163419999999</v>
      </c>
      <c r="H25" s="290">
        <f>$AJ$7/1000</f>
        <v>0.56718018000000003</v>
      </c>
      <c r="I25" s="158"/>
      <c r="J25" s="74"/>
      <c r="K25" s="172"/>
      <c r="L25" s="158"/>
      <c r="M25" s="173">
        <f>(G25+D25+C25+H25+E25)</f>
        <v>74.05236341233001</v>
      </c>
      <c r="N25" s="59"/>
    </row>
    <row r="26" spans="1:14" ht="14" x14ac:dyDescent="0.3">
      <c r="B26" s="160">
        <f>TablasER!$BA$11/1000</f>
        <v>50.082742213500005</v>
      </c>
      <c r="C26" s="291">
        <f>TablasER!$S$11/1000</f>
        <v>5.2932090000000009</v>
      </c>
      <c r="D26" s="291">
        <f>TablasER!$U$11/1000</f>
        <v>0</v>
      </c>
      <c r="E26" s="291">
        <f>TablasER!$W$11/1000</f>
        <v>20.7416107385</v>
      </c>
      <c r="F26" s="291">
        <f>TablasER!$Y$11/1000</f>
        <v>0.62262347500000015</v>
      </c>
      <c r="G26" s="291">
        <f>TablasER!$AA$11/1000</f>
        <v>23.014979</v>
      </c>
      <c r="H26" s="291">
        <f>TablasER!$AC$11/1000</f>
        <v>0.41032000000000002</v>
      </c>
      <c r="I26" s="158"/>
      <c r="J26" s="158"/>
      <c r="K26" s="158"/>
      <c r="L26" s="158"/>
      <c r="M26" s="173">
        <f>(G26+D26+C26+H26+E26)</f>
        <v>49.4601187385</v>
      </c>
      <c r="N26" s="59"/>
    </row>
    <row r="27" spans="1:14" ht="14" x14ac:dyDescent="0.3">
      <c r="B27" s="164">
        <f>TablasER!$BC$11/1000</f>
        <v>76.418018255500002</v>
      </c>
      <c r="C27" s="291">
        <f>TablasER!$AI$11/1000</f>
        <v>5.5722901400000007</v>
      </c>
      <c r="D27" s="291">
        <f>TablasER!$AK$11/1000</f>
        <v>21.924018059999998</v>
      </c>
      <c r="E27" s="291">
        <f>TablasER!$AM$11/1000</f>
        <v>20.10923684174</v>
      </c>
      <c r="F27" s="291">
        <f>TablasER!$AO$11/1000</f>
        <v>1.0279716837600001</v>
      </c>
      <c r="G27" s="291">
        <f>TablasER!$AQ$11/1000</f>
        <v>27.194613960000002</v>
      </c>
      <c r="H27" s="291">
        <f>TablasER!$AS$11/1000</f>
        <v>0.58988757000000014</v>
      </c>
      <c r="I27" s="174"/>
      <c r="J27" s="174"/>
      <c r="K27" s="175"/>
      <c r="L27" s="174"/>
      <c r="M27" s="176">
        <f>(G27+D27+C27+H27+E27)</f>
        <v>75.390046571740001</v>
      </c>
      <c r="N27" s="59"/>
    </row>
    <row r="28" spans="1:14" x14ac:dyDescent="0.25">
      <c r="B28" s="170"/>
      <c r="C28" s="170"/>
      <c r="D28" s="170"/>
      <c r="E28" s="170"/>
      <c r="F28" s="170"/>
      <c r="G28" s="170"/>
      <c r="H28" s="170"/>
      <c r="I28" s="74"/>
      <c r="J28" s="74"/>
      <c r="K28" s="74"/>
      <c r="L28" s="74"/>
      <c r="M28" s="170"/>
      <c r="N28" s="59"/>
    </row>
    <row r="29" spans="1:14" x14ac:dyDescent="0.25">
      <c r="B29" s="170"/>
      <c r="C29" s="170"/>
      <c r="D29" s="170"/>
      <c r="E29" s="170"/>
      <c r="F29" s="170"/>
      <c r="G29" s="170"/>
      <c r="H29" s="170"/>
      <c r="I29" s="74"/>
      <c r="J29" s="74"/>
      <c r="K29" s="74"/>
      <c r="L29" s="74"/>
      <c r="M29" s="170"/>
      <c r="N29" s="59"/>
    </row>
    <row r="30" spans="1:14" x14ac:dyDescent="0.25">
      <c r="B30" s="170"/>
      <c r="C30" s="170"/>
      <c r="D30" s="170"/>
      <c r="E30" s="170"/>
      <c r="F30" s="170"/>
      <c r="G30" s="170"/>
      <c r="H30" s="170"/>
      <c r="I30" s="74"/>
      <c r="J30" s="74"/>
      <c r="K30" s="74"/>
      <c r="L30" s="74"/>
      <c r="M30" s="170"/>
      <c r="N30" s="59"/>
    </row>
    <row r="31" spans="1:14" x14ac:dyDescent="0.25">
      <c r="B31" s="170"/>
      <c r="C31" s="170"/>
      <c r="D31" s="170"/>
      <c r="E31" s="170"/>
      <c r="F31" s="170"/>
      <c r="G31" s="170"/>
      <c r="H31" s="170"/>
      <c r="I31" s="74"/>
      <c r="J31" s="74"/>
      <c r="K31" s="74"/>
      <c r="L31" s="74"/>
      <c r="M31" s="170"/>
      <c r="N31" s="59"/>
    </row>
    <row r="32" spans="1:14" x14ac:dyDescent="0.25">
      <c r="B32" s="170"/>
      <c r="C32" s="170"/>
      <c r="D32" s="170"/>
      <c r="E32" s="170"/>
      <c r="F32" s="170"/>
      <c r="G32" s="170"/>
      <c r="H32" s="170"/>
      <c r="I32" s="74"/>
      <c r="J32" s="74"/>
      <c r="K32" s="74"/>
      <c r="L32" s="74"/>
      <c r="M32" s="170"/>
      <c r="N32" s="59"/>
    </row>
    <row r="33" spans="1:14" x14ac:dyDescent="0.25">
      <c r="B33" s="170"/>
      <c r="C33" s="170"/>
      <c r="D33" s="170"/>
      <c r="E33" s="170"/>
      <c r="F33" s="170"/>
      <c r="G33" s="170"/>
      <c r="H33" s="170"/>
      <c r="I33" s="74"/>
      <c r="J33" s="74"/>
      <c r="K33" s="74"/>
      <c r="L33" s="74"/>
      <c r="M33" s="170"/>
      <c r="N33" s="59"/>
    </row>
    <row r="34" spans="1:14" x14ac:dyDescent="0.25">
      <c r="B34" s="170"/>
      <c r="C34" s="170"/>
      <c r="D34" s="170"/>
      <c r="E34" s="170"/>
      <c r="F34" s="170"/>
      <c r="G34" s="170"/>
      <c r="H34" s="170"/>
      <c r="I34" s="74"/>
      <c r="J34" s="74"/>
      <c r="K34" s="74"/>
      <c r="L34" s="74"/>
      <c r="M34" s="170"/>
      <c r="N34" s="59"/>
    </row>
    <row r="35" spans="1:14" x14ac:dyDescent="0.25">
      <c r="B35" s="170"/>
      <c r="C35" s="170"/>
      <c r="D35" s="170"/>
      <c r="E35" s="170"/>
      <c r="F35" s="170"/>
      <c r="G35" s="170"/>
      <c r="H35" s="170"/>
      <c r="I35" s="74"/>
      <c r="J35" s="74"/>
      <c r="K35" s="74"/>
      <c r="L35" s="74"/>
      <c r="M35" s="170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70"/>
      <c r="C39" s="170"/>
      <c r="D39" s="170"/>
      <c r="E39" s="170"/>
      <c r="F39" s="170"/>
      <c r="G39" s="170"/>
      <c r="H39" s="170"/>
      <c r="I39" s="74"/>
      <c r="J39" s="74"/>
      <c r="K39" s="74"/>
      <c r="L39" s="74"/>
      <c r="M39" s="74"/>
      <c r="N39" s="74"/>
    </row>
    <row r="40" spans="1:14" x14ac:dyDescent="0.25">
      <c r="A40" s="73"/>
      <c r="B40" s="170"/>
      <c r="C40" s="170"/>
      <c r="D40" s="170"/>
      <c r="E40" s="170"/>
      <c r="F40" s="170"/>
      <c r="G40" s="170"/>
      <c r="H40" s="170"/>
      <c r="I40" s="74"/>
      <c r="J40" s="74"/>
      <c r="K40" s="74"/>
      <c r="L40" s="74"/>
      <c r="M40" s="74"/>
      <c r="N40" s="74"/>
    </row>
    <row r="41" spans="1:14" x14ac:dyDescent="0.25">
      <c r="A41" s="73"/>
      <c r="B41" s="170"/>
      <c r="C41" s="170"/>
      <c r="D41" s="170"/>
      <c r="E41" s="170"/>
      <c r="F41" s="170"/>
      <c r="G41" s="170"/>
      <c r="H41" s="170"/>
      <c r="I41" s="74"/>
      <c r="J41" s="74"/>
      <c r="K41" s="74"/>
      <c r="L41" s="74"/>
      <c r="M41" s="74"/>
      <c r="N41" s="74"/>
    </row>
    <row r="42" spans="1:14" ht="13" x14ac:dyDescent="0.3">
      <c r="A42" s="177"/>
      <c r="B42" s="178"/>
      <c r="C42" s="170"/>
      <c r="D42" s="170"/>
      <c r="E42" s="170"/>
      <c r="F42" s="170"/>
      <c r="G42" s="170"/>
      <c r="H42" s="170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zoomScale="90" zoomScaleNormal="90" zoomScaleSheetLayoutView="75" zoomScalePageLayoutView="80" workbookViewId="0">
      <selection activeCell="P27" sqref="P27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">
        <v>108</v>
      </c>
      <c r="B4" s="58">
        <f>B51+B70+B34+B90+B149+B161</f>
        <v>292038.38190979994</v>
      </c>
      <c r="C4" s="58">
        <f t="shared" ref="B4:H8" si="0">C51+C70+C34+C90+C149+C161</f>
        <v>264740.963233252</v>
      </c>
      <c r="D4" s="58">
        <f t="shared" si="0"/>
        <v>285169.55220300698</v>
      </c>
      <c r="E4" s="58">
        <f t="shared" si="0"/>
        <v>263702.720322154</v>
      </c>
      <c r="F4" s="58">
        <f t="shared" si="0"/>
        <v>250935.18311665201</v>
      </c>
      <c r="G4" s="58">
        <f t="shared" si="0"/>
        <v>238244.24466629201</v>
      </c>
      <c r="H4" s="58">
        <f t="shared" si="0"/>
        <v>241217.61922872794</v>
      </c>
      <c r="I4" s="58"/>
      <c r="J4" s="58">
        <f t="shared" ref="J4:M8" si="1">J51+J70+J34+J90+J149+J161</f>
        <v>28059.990830000002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">
        <v>109</v>
      </c>
      <c r="B5" s="60">
        <f t="shared" si="0"/>
        <v>315332.50669260311</v>
      </c>
      <c r="C5" s="60">
        <f t="shared" si="0"/>
        <v>295566.01484237233</v>
      </c>
      <c r="D5" s="60">
        <f t="shared" si="0"/>
        <v>320996.39654754952</v>
      </c>
      <c r="E5" s="60">
        <f t="shared" si="0"/>
        <v>290992.19483968965</v>
      </c>
      <c r="F5" s="60">
        <f t="shared" si="0"/>
        <v>284823.36262884387</v>
      </c>
      <c r="G5" s="60">
        <f t="shared" si="0"/>
        <v>276790.31994619506</v>
      </c>
      <c r="H5" s="60">
        <f t="shared" si="0"/>
        <v>277630.63007168612</v>
      </c>
      <c r="I5" s="60">
        <f>I52+I71+I35+I91+I150+I162</f>
        <v>280940.54130700411</v>
      </c>
      <c r="J5" s="60">
        <f t="shared" si="1"/>
        <v>260210.90791151341</v>
      </c>
      <c r="K5" s="60">
        <f t="shared" si="1"/>
        <v>280034.50973541755</v>
      </c>
      <c r="L5" s="60">
        <f t="shared" si="1"/>
        <v>295760.09368811827</v>
      </c>
      <c r="M5" s="60">
        <f t="shared" si="1"/>
        <v>322890.92172404303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">
        <v>110</v>
      </c>
      <c r="B6" s="60">
        <f t="shared" si="0"/>
        <v>260623.96103600002</v>
      </c>
      <c r="C6" s="60">
        <f t="shared" si="0"/>
        <v>239069.83384989901</v>
      </c>
      <c r="D6" s="60">
        <f t="shared" si="0"/>
        <v>266818.49179195496</v>
      </c>
      <c r="E6" s="60">
        <f t="shared" si="0"/>
        <v>254691.16178721198</v>
      </c>
      <c r="F6" s="60">
        <f t="shared" si="0"/>
        <v>239757.23358879797</v>
      </c>
      <c r="G6" s="60">
        <f t="shared" si="0"/>
        <v>224767.909816536</v>
      </c>
      <c r="H6" s="60">
        <f t="shared" si="0"/>
        <v>235249.81693449497</v>
      </c>
      <c r="I6" s="60">
        <f>I53+I72+I36+I92+I151+I163</f>
        <v>227745.89480221597</v>
      </c>
      <c r="J6" s="60">
        <f t="shared" si="1"/>
        <v>217640.61614816298</v>
      </c>
      <c r="K6" s="60">
        <f t="shared" si="1"/>
        <v>244142.22283983996</v>
      </c>
      <c r="L6" s="60">
        <f t="shared" si="1"/>
        <v>239684.44021200002</v>
      </c>
      <c r="M6" s="60">
        <f t="shared" si="1"/>
        <v>281008.9383162345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">
        <v>111</v>
      </c>
      <c r="B7" s="60">
        <f t="shared" si="0"/>
        <v>23729.707573200012</v>
      </c>
      <c r="C7" s="60">
        <f t="shared" si="0"/>
        <v>24011.208677265011</v>
      </c>
      <c r="D7" s="60">
        <f t="shared" si="0"/>
        <v>25897.225082459012</v>
      </c>
      <c r="E7" s="60">
        <f t="shared" si="0"/>
        <v>23537.661098306911</v>
      </c>
      <c r="F7" s="60">
        <f t="shared" si="0"/>
        <v>19705.408160678013</v>
      </c>
      <c r="G7" s="60">
        <f t="shared" si="0"/>
        <v>23508.877925132001</v>
      </c>
      <c r="H7" s="60">
        <f t="shared" si="0"/>
        <v>20675.840943720988</v>
      </c>
      <c r="I7" s="60"/>
      <c r="J7" s="60">
        <f t="shared" si="1"/>
        <v>2707.9599399999997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">
        <v>112</v>
      </c>
      <c r="B8" s="60">
        <f t="shared" si="0"/>
        <v>20633.838960187117</v>
      </c>
      <c r="C8" s="60">
        <f t="shared" si="0"/>
        <v>16837.992663153214</v>
      </c>
      <c r="D8" s="60">
        <f t="shared" si="0"/>
        <v>23753.912835564872</v>
      </c>
      <c r="E8" s="60">
        <f t="shared" si="0"/>
        <v>21011.234894283247</v>
      </c>
      <c r="F8" s="60">
        <f t="shared" si="0"/>
        <v>20635.666174638205</v>
      </c>
      <c r="G8" s="60">
        <f t="shared" si="0"/>
        <v>21962.021052522923</v>
      </c>
      <c r="H8" s="60">
        <f t="shared" si="0"/>
        <v>20427.153468021275</v>
      </c>
      <c r="I8" s="60">
        <f>I55+I74+I38+I94+I153+I165</f>
        <v>20676.533894174834</v>
      </c>
      <c r="J8" s="60">
        <f t="shared" si="1"/>
        <v>16531.284944172832</v>
      </c>
      <c r="K8" s="60">
        <f t="shared" si="1"/>
        <v>18608.973070941985</v>
      </c>
      <c r="L8" s="60">
        <f t="shared" si="1"/>
        <v>24129.178796182026</v>
      </c>
      <c r="M8" s="60">
        <f t="shared" si="1"/>
        <v>31638.238967257945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">
        <v>113</v>
      </c>
      <c r="B9" s="62">
        <f t="shared" ref="B9:H9" si="2">B56+B75+B39+B95+B154+B19+B166</f>
        <v>7398.3140787699995</v>
      </c>
      <c r="C9" s="62">
        <f t="shared" si="2"/>
        <v>8170.4706196119996</v>
      </c>
      <c r="D9" s="62">
        <f t="shared" si="2"/>
        <v>7604.8606662730008</v>
      </c>
      <c r="E9" s="62">
        <f t="shared" si="2"/>
        <v>6719.8029408745679</v>
      </c>
      <c r="F9" s="62">
        <f t="shared" si="2"/>
        <v>6197.144359424</v>
      </c>
      <c r="G9" s="62">
        <f t="shared" si="2"/>
        <v>5704.3488892240011</v>
      </c>
      <c r="H9" s="62">
        <f t="shared" si="2"/>
        <v>5700.1569349999991</v>
      </c>
      <c r="I9" s="62"/>
      <c r="J9" s="62">
        <f>J56+J75+J39+J95+J154+J19+J166</f>
        <v>2188.5560500000001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1100</v>
      </c>
      <c r="C10" s="62">
        <f t="shared" si="3"/>
        <v>1094.16796</v>
      </c>
      <c r="D10" s="62">
        <f t="shared" si="3"/>
        <v>7038.8634699989998</v>
      </c>
      <c r="E10" s="62">
        <f t="shared" si="3"/>
        <v>110227.25253384844</v>
      </c>
      <c r="F10" s="62">
        <f t="shared" si="3"/>
        <v>10660.549727600001</v>
      </c>
      <c r="G10" s="62">
        <f t="shared" si="3"/>
        <v>6038.0264535570004</v>
      </c>
      <c r="H10" s="62">
        <f t="shared" si="3"/>
        <v>6430.9231971930003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8.1255441212961035E-2</v>
      </c>
      <c r="C11" s="65">
        <f t="shared" ref="C11:M12" si="4">IFERROR(C7/C4,0)</f>
        <v>9.0696990688629311E-2</v>
      </c>
      <c r="D11" s="65">
        <f t="shared" si="4"/>
        <v>9.0813429703123602E-2</v>
      </c>
      <c r="E11" s="65">
        <f t="shared" si="4"/>
        <v>8.9258317356574815E-2</v>
      </c>
      <c r="F11" s="65">
        <f t="shared" si="4"/>
        <v>7.8527880849285206E-2</v>
      </c>
      <c r="G11" s="65">
        <f t="shared" si="4"/>
        <v>9.8675533413454808E-2</v>
      </c>
      <c r="H11" s="65">
        <f t="shared" si="4"/>
        <v>8.5714472308574166E-2</v>
      </c>
      <c r="I11" s="65">
        <f t="shared" si="4"/>
        <v>0</v>
      </c>
      <c r="J11" s="65">
        <f t="shared" si="4"/>
        <v>9.650608784607359E-2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6.5435178810479208E-2</v>
      </c>
      <c r="C12" s="67">
        <f>IFERROR(C8/C5,0)</f>
        <v>5.6968635829572789E-2</v>
      </c>
      <c r="D12" s="67">
        <f t="shared" si="4"/>
        <v>7.4000559168414776E-2</v>
      </c>
      <c r="E12" s="67">
        <f t="shared" si="4"/>
        <v>7.2205493023132575E-2</v>
      </c>
      <c r="F12" s="67">
        <f t="shared" si="4"/>
        <v>7.2450749770582357E-2</v>
      </c>
      <c r="G12" s="67">
        <f t="shared" si="4"/>
        <v>7.9345336414915424E-2</v>
      </c>
      <c r="H12" s="67">
        <f t="shared" si="4"/>
        <v>7.3576728413384529E-2</v>
      </c>
      <c r="I12" s="67">
        <f t="shared" si="4"/>
        <v>7.3597544156434463E-2</v>
      </c>
      <c r="J12" s="67">
        <f t="shared" si="4"/>
        <v>6.3530330364914664E-2</v>
      </c>
      <c r="K12" s="67">
        <f t="shared" si="4"/>
        <v>6.6452427911560363E-2</v>
      </c>
      <c r="L12" s="67">
        <f t="shared" si="4"/>
        <v>8.1583618990959839E-2</v>
      </c>
      <c r="M12" s="67">
        <f t="shared" si="4"/>
        <v>9.7984293885776674E-2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>
        <v>319.87735199199989</v>
      </c>
      <c r="C18" s="78">
        <v>935.14762507700004</v>
      </c>
      <c r="D18" s="78">
        <v>690.52177755000002</v>
      </c>
      <c r="E18" s="77">
        <v>663.407870398</v>
      </c>
      <c r="F18" s="77">
        <v>662.27265156400006</v>
      </c>
      <c r="G18" s="77">
        <v>636.96587043599993</v>
      </c>
      <c r="H18" s="77">
        <v>598.79010794499993</v>
      </c>
      <c r="I18" s="77">
        <v>679.865527144</v>
      </c>
      <c r="J18" s="77">
        <v>552.0150127600001</v>
      </c>
      <c r="K18" s="77"/>
      <c r="L18" s="77"/>
      <c r="M18" s="77"/>
      <c r="N18" s="79">
        <f>SUM(B18:M18)</f>
        <v>5738.8637948660007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f>B24</f>
        <v>1467.89148</v>
      </c>
      <c r="C19" s="77">
        <f t="shared" ref="C19:D19" si="5">C24</f>
        <v>2636.7898300000002</v>
      </c>
      <c r="D19" s="77">
        <f t="shared" si="5"/>
        <v>2300.1567300000002</v>
      </c>
      <c r="E19" s="77">
        <f>E24</f>
        <v>2108.1979099999999</v>
      </c>
      <c r="F19" s="77">
        <f t="shared" ref="F19:M19" si="6">F24-F21</f>
        <v>2178.3643400000001</v>
      </c>
      <c r="G19" s="77">
        <f t="shared" si="6"/>
        <v>2130.2448300000001</v>
      </c>
      <c r="H19" s="77">
        <f t="shared" si="6"/>
        <v>2106.3126099999999</v>
      </c>
      <c r="I19" s="77">
        <v>2225.7186400000001</v>
      </c>
      <c r="J19" s="77">
        <v>2188.5560500000001</v>
      </c>
      <c r="K19" s="77">
        <f t="shared" si="6"/>
        <v>0</v>
      </c>
      <c r="L19" s="77">
        <f t="shared" si="6"/>
        <v>0</v>
      </c>
      <c r="M19" s="77">
        <f t="shared" si="6"/>
        <v>0</v>
      </c>
      <c r="N19" s="79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>
        <v>1148.0141280079999</v>
      </c>
      <c r="C20" s="77">
        <v>1701.6422049229998</v>
      </c>
      <c r="D20" s="77">
        <v>1609.6349524499999</v>
      </c>
      <c r="E20" s="77">
        <v>1444.7900396019998</v>
      </c>
      <c r="F20" s="77">
        <v>1516.0916884359999</v>
      </c>
      <c r="G20" s="77">
        <v>1493.2789595640002</v>
      </c>
      <c r="H20" s="77">
        <v>1507.5225020549997</v>
      </c>
      <c r="I20" s="77">
        <v>1545.8531128560003</v>
      </c>
      <c r="J20" s="77">
        <v>1636.5410372399999</v>
      </c>
      <c r="K20" s="77"/>
      <c r="L20" s="77"/>
      <c r="M20" s="77"/>
      <c r="N20" s="79">
        <f>SUM(B20:M20)</f>
        <v>13603.368625133999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>
        <f>(40000*F142)/1000</f>
        <v>785.70400000000006</v>
      </c>
      <c r="G21" s="77">
        <v>1536.6959999999999</v>
      </c>
      <c r="H21" s="77">
        <f>(82000*H142)/1000</f>
        <v>1557.4177999999997</v>
      </c>
      <c r="I21" s="77"/>
      <c r="J21" s="77"/>
      <c r="K21" s="77"/>
      <c r="L21" s="77"/>
      <c r="M21" s="77"/>
      <c r="N21" s="79">
        <f>SUM(B21:M21)</f>
        <v>3879.8177999999998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O22" s="48" t="s">
        <v>116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O23" s="80">
        <v>477.82255928400002</v>
      </c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 t="s">
        <v>114</v>
      </c>
      <c r="O25" s="80">
        <v>2814.5486207160002</v>
      </c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 t="s">
        <v>115</v>
      </c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O30" s="48" t="str">
        <f>"Int. Fin. Corp.: $"&amp;TEXT(ROUND(N18,0),"#,###")&amp;" MP"</f>
        <v>Int. Fin. Corp.: $5,739 MP</v>
      </c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O31" s="48" t="str">
        <f>"Amort. Corp.: $"&amp;TEXT(ROUND(N20+N21,0),"#,###")&amp;" MP"</f>
        <v>Amort. Corp.: $17,483 MP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">
        <v>108</v>
      </c>
      <c r="B34" s="58">
        <v>134357.96565499998</v>
      </c>
      <c r="C34" s="58">
        <v>119221.93445000002</v>
      </c>
      <c r="D34" s="58">
        <v>140174.86512999999</v>
      </c>
      <c r="E34" s="58">
        <v>132578.11558499999</v>
      </c>
      <c r="F34" s="58">
        <v>131490.85925000001</v>
      </c>
      <c r="G34" s="58">
        <v>126230.776725</v>
      </c>
      <c r="H34" s="58">
        <v>129049.07658999997</v>
      </c>
      <c r="I34" s="58">
        <v>125157.227765</v>
      </c>
      <c r="J34" s="58"/>
      <c r="K34" s="58"/>
      <c r="L34" s="58"/>
      <c r="M34" s="58"/>
      <c r="N34" s="59">
        <f>SUM(B34:CHOOSE(MONTH(Mes_cierre),B34,C34,D34,E34,F34,G34,H34,I34,J34,K34,L34,M34))</f>
        <v>1038260.8211499999</v>
      </c>
      <c r="O34" s="92"/>
      <c r="P34" s="93">
        <f>TablasER!$K$4</f>
        <v>136793.436575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">
        <v>109</v>
      </c>
      <c r="B35" s="60">
        <v>160317.90435047427</v>
      </c>
      <c r="C35" s="60">
        <v>149174.45651651203</v>
      </c>
      <c r="D35" s="60">
        <v>160764.25833241406</v>
      </c>
      <c r="E35" s="60">
        <v>154988.36378592486</v>
      </c>
      <c r="F35" s="60">
        <v>161360.80533017436</v>
      </c>
      <c r="G35" s="60">
        <v>156973.08722103341</v>
      </c>
      <c r="H35" s="60">
        <v>154772.06931968205</v>
      </c>
      <c r="I35" s="60">
        <v>153110.78917892464</v>
      </c>
      <c r="J35" s="60">
        <v>148867.76667506646</v>
      </c>
      <c r="K35" s="60">
        <v>166199.52856527682</v>
      </c>
      <c r="L35" s="60">
        <v>170462.49930981535</v>
      </c>
      <c r="M35" s="60">
        <v>174704.0576069504</v>
      </c>
      <c r="N35" s="59">
        <f>SUM(B35:CHOOSE(MONTH(Mes_cierre),B35,C35,D35,E35,F35,G35,H35,I35,J35,K35,L35,M35))</f>
        <v>1400329.5007102061</v>
      </c>
      <c r="O35" s="92">
        <v>0</v>
      </c>
      <c r="P35" s="93">
        <f>TablasER!$AA$4</f>
        <v>147556.231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">
        <v>110</v>
      </c>
      <c r="B36" s="60">
        <v>118752.63871199999</v>
      </c>
      <c r="C36" s="60">
        <v>106016.83184890001</v>
      </c>
      <c r="D36" s="60">
        <v>118287.20777000001</v>
      </c>
      <c r="E36" s="60">
        <v>119428.62426999999</v>
      </c>
      <c r="F36" s="60">
        <v>129403.82406100001</v>
      </c>
      <c r="G36" s="60">
        <v>122768.305687</v>
      </c>
      <c r="H36" s="60">
        <v>122795.49713399999</v>
      </c>
      <c r="I36" s="60">
        <v>120063.668383</v>
      </c>
      <c r="J36" s="60">
        <v>114814.77227104</v>
      </c>
      <c r="K36" s="60">
        <v>127317.99937143998</v>
      </c>
      <c r="L36" s="60">
        <v>129227.69776400001</v>
      </c>
      <c r="M36" s="60">
        <v>140624.59282503449</v>
      </c>
      <c r="N36" s="59">
        <f>SUM(B36:CHOOSE(MONTH(Mes_cierre),B36,C36,D36,E36,F36,G36,H36,I36,J36,K36,L36,M36))</f>
        <v>1072331.3701369399</v>
      </c>
      <c r="O36" s="92"/>
      <c r="P36" s="93">
        <f>TablasER!$AQ$4</f>
        <v>124323.66361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">
        <v>111</v>
      </c>
      <c r="B37" s="60">
        <v>15292.745060000003</v>
      </c>
      <c r="C37" s="60">
        <v>11653.494420000014</v>
      </c>
      <c r="D37" s="60">
        <v>14412.652470000003</v>
      </c>
      <c r="E37" s="60">
        <v>14855.355669999906</v>
      </c>
      <c r="F37" s="60">
        <v>11906.973790000004</v>
      </c>
      <c r="G37" s="60">
        <v>14343.640625000004</v>
      </c>
      <c r="H37" s="60">
        <v>12835.236629999985</v>
      </c>
      <c r="I37" s="60">
        <v>10666.292494999992</v>
      </c>
      <c r="J37" s="60"/>
      <c r="K37" s="60"/>
      <c r="L37" s="60"/>
      <c r="M37" s="60"/>
      <c r="N37" s="59">
        <f>SUM(B37:CHOOSE(MONTH(Mes_cierre),B37,C37,D37,E37,F37,G37,H37,I37,J37,K37,L37,M37))</f>
        <v>105966.3911599999</v>
      </c>
      <c r="O37" s="92"/>
      <c r="P37" s="93">
        <f>TablasER!$K$29</f>
        <v>3185.0727849999944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">
        <v>112</v>
      </c>
      <c r="B38" s="60">
        <v>14734.204882442025</v>
      </c>
      <c r="C38" s="60">
        <v>11698.702624113903</v>
      </c>
      <c r="D38" s="60">
        <v>13119.642043605832</v>
      </c>
      <c r="E38" s="60">
        <v>11561.608383315484</v>
      </c>
      <c r="F38" s="60">
        <v>12411.919511921098</v>
      </c>
      <c r="G38" s="60">
        <v>12928.212139989622</v>
      </c>
      <c r="H38" s="60">
        <v>12459.03119079817</v>
      </c>
      <c r="I38" s="60">
        <v>12128.119444769742</v>
      </c>
      <c r="J38" s="60">
        <v>11900.882527770982</v>
      </c>
      <c r="K38" s="60">
        <v>14642.616608245453</v>
      </c>
      <c r="L38" s="60">
        <v>16161.895466105809</v>
      </c>
      <c r="M38" s="60">
        <v>17287.925225655155</v>
      </c>
      <c r="N38" s="94">
        <f>SUM(B38:CHOOSE(MONTH(Mes_cierre),B38,C38,D38,E38,F38,G38,H38,I38,J38,K38,L38,M38))</f>
        <v>112942.32274872686</v>
      </c>
      <c r="O38" s="92"/>
      <c r="P38" s="93">
        <f>TablasER!$AA$25</f>
        <v>11684.125999999995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">
        <v>113</v>
      </c>
      <c r="B39" s="62">
        <f>(0+0+14050+18500+13500+23500+11300+0+0)*19.0388/1000+(0+0+0+0)/1000</f>
        <v>1539.2869800000001</v>
      </c>
      <c r="C39" s="62">
        <f>(0+0+14050+18500+13500+23500+11300+47562.16+0)*19.2607/1000+(0+0+0+0)/1000-C40</f>
        <v>1962.8995401120001</v>
      </c>
      <c r="D39" s="62">
        <f>(0+0+14050+18500+13500+23500+11300+102789.65+0)*19.3779/1000+(0+0+0+0)/1000-D40</f>
        <v>1767.2576977349997</v>
      </c>
      <c r="E39" s="62">
        <f>(0+0+14050+18500+13500+23500+11300+81300+0)*19.0099/1000+(0+0+0+0)/1000-E40</f>
        <v>1748.9298098999996</v>
      </c>
      <c r="F39" s="62">
        <f>(0+0+14050+18500+13500+23500+11300+42455.62+0)*19.6426/1000+(0+0+0+0)/1000-F40</f>
        <v>1791.3976558119998</v>
      </c>
      <c r="G39" s="62">
        <f>(0+0+14050+18500+13500+23500+11300+0)*19.2087/1000+(0+0+0+0)/1000</f>
        <v>1553.0233949999999</v>
      </c>
      <c r="H39" s="62">
        <f>(0+0+14050+18500+13500+23500+11300+0+0)*18.9929/1000+(0+0+0+0)/1000</f>
        <v>1535.5759649999998</v>
      </c>
      <c r="I39" s="62">
        <v>1622.6271600000002</v>
      </c>
      <c r="J39" s="62"/>
      <c r="K39" s="62"/>
      <c r="L39" s="62"/>
      <c r="M39" s="62"/>
      <c r="N39" s="59">
        <f>SUM(B39:CHOOSE(MONTH(Mes_cierre),B39,C39,D39,E39,F39,G39,H39,I39,J39,K39,L39,M39))</f>
        <v>13520.998203559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">
        <v>57</v>
      </c>
      <c r="B40" s="62"/>
      <c r="C40" s="62">
        <f>(26500*C142)/1000</f>
        <v>510.40854999999999</v>
      </c>
      <c r="D40" s="62">
        <f>(92440*D142)/1000</f>
        <v>1791.2930760000002</v>
      </c>
      <c r="E40" s="62">
        <f>(70149*E142)/1000</f>
        <v>1333.5254751</v>
      </c>
      <c r="F40" s="62">
        <f>(32106*F142)/1000</f>
        <v>630.64531560000012</v>
      </c>
      <c r="G40" s="62"/>
      <c r="H40" s="62"/>
      <c r="I40" s="62"/>
      <c r="J40" s="62"/>
      <c r="K40" s="62"/>
      <c r="L40" s="62"/>
      <c r="M40" s="62"/>
      <c r="N40" s="59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7">IFERROR(B37/B34,0)</f>
        <v>0.11382090362448787</v>
      </c>
      <c r="C41" s="65">
        <f t="shared" si="7"/>
        <v>9.7746228273852778E-2</v>
      </c>
      <c r="D41" s="65">
        <f t="shared" si="7"/>
        <v>0.10281909282832925</v>
      </c>
      <c r="E41" s="65">
        <f t="shared" si="7"/>
        <v>0.11204983269260356</v>
      </c>
      <c r="F41" s="65">
        <f>IFERROR(F38/F34,0)</f>
        <v>9.4393782067562979E-2</v>
      </c>
      <c r="G41" s="65">
        <f t="shared" ref="G41:M41" si="8">IFERROR(G38/G34,0)</f>
        <v>0.10241727473605246</v>
      </c>
      <c r="H41" s="65">
        <f t="shared" si="8"/>
        <v>9.6544907720506876E-2</v>
      </c>
      <c r="I41" s="65">
        <f t="shared" si="8"/>
        <v>9.6903068734807404E-2</v>
      </c>
      <c r="J41" s="65">
        <f t="shared" si="8"/>
        <v>0</v>
      </c>
      <c r="K41" s="65">
        <f t="shared" si="8"/>
        <v>0</v>
      </c>
      <c r="L41" s="65">
        <f t="shared" si="8"/>
        <v>0</v>
      </c>
      <c r="M41" s="65">
        <f t="shared" si="8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9.1906171940916076E-2</v>
      </c>
      <c r="C42" s="95">
        <f>IFERROR(C38/C35,0)</f>
        <v>7.8422961258243162E-2</v>
      </c>
      <c r="D42" s="95">
        <f>IFERROR(D38/D35,0)</f>
        <v>8.1607953034425113E-2</v>
      </c>
      <c r="E42" s="95">
        <f t="shared" si="7"/>
        <v>7.4596621971471141E-2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">
        <v>108</v>
      </c>
      <c r="B51" s="58">
        <v>48229.557410000009</v>
      </c>
      <c r="C51" s="58">
        <v>45289.73904</v>
      </c>
      <c r="D51" s="58">
        <v>46974.176949999994</v>
      </c>
      <c r="E51" s="58">
        <v>53070.356799999994</v>
      </c>
      <c r="F51" s="58">
        <v>53602.18202</v>
      </c>
      <c r="G51" s="58">
        <v>52730.619179999994</v>
      </c>
      <c r="H51" s="58">
        <v>53458.350320000005</v>
      </c>
      <c r="I51" s="58">
        <v>51532.75435000001</v>
      </c>
      <c r="J51" s="58"/>
      <c r="K51" s="58"/>
      <c r="L51" s="58"/>
      <c r="M51" s="58"/>
      <c r="N51" s="59">
        <f>SUM(B51:CHOOSE(MONTH(Mes_cierre),B51,C51,D51,E51,F51,G51,H51,I51,J51,K51,L51,M51))</f>
        <v>404887.73607000004</v>
      </c>
      <c r="P51" s="93">
        <f>TablasER!$E$4</f>
        <v>47019.344039999996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">
        <v>109</v>
      </c>
      <c r="B52" s="60">
        <v>48078.255783328845</v>
      </c>
      <c r="C52" s="60">
        <v>44637.658456160301</v>
      </c>
      <c r="D52" s="60">
        <v>49222.154581235474</v>
      </c>
      <c r="E52" s="60">
        <v>49346.488861264763</v>
      </c>
      <c r="F52" s="60">
        <v>52558.956306469438</v>
      </c>
      <c r="G52" s="60">
        <v>53213.535672161634</v>
      </c>
      <c r="H52" s="60">
        <v>56146.866523204073</v>
      </c>
      <c r="I52" s="60">
        <v>54602.155704879442</v>
      </c>
      <c r="J52" s="60">
        <v>45873.108107446969</v>
      </c>
      <c r="K52" s="60">
        <v>48932.326284760537</v>
      </c>
      <c r="L52" s="60">
        <v>54397.396491212399</v>
      </c>
      <c r="M52" s="60">
        <v>67860.481107699772</v>
      </c>
      <c r="N52" s="59">
        <f>SUM(B52:CHOOSE(MONTH(Mes_cierre),B52,C52,D52,E52,F52,G52,H52,I52,J52,K52,L52,M52))</f>
        <v>453679.17999615095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">
        <v>110</v>
      </c>
      <c r="B53" s="60">
        <v>44515.064759999994</v>
      </c>
      <c r="C53" s="60">
        <v>40098.880979999994</v>
      </c>
      <c r="D53" s="60">
        <v>44565.026299999998</v>
      </c>
      <c r="E53" s="60">
        <v>45118.440200000005</v>
      </c>
      <c r="F53" s="60">
        <v>48567.050029999991</v>
      </c>
      <c r="G53" s="60">
        <v>48098.082239999996</v>
      </c>
      <c r="H53" s="60">
        <v>50984.018480000006</v>
      </c>
      <c r="I53" s="60">
        <v>49007.166169999997</v>
      </c>
      <c r="J53" s="60">
        <v>41401.754999999997</v>
      </c>
      <c r="K53" s="60">
        <v>44006.87</v>
      </c>
      <c r="L53" s="60">
        <v>45841.161999999997</v>
      </c>
      <c r="M53" s="60">
        <v>62454.741999999998</v>
      </c>
      <c r="N53" s="59">
        <f>SUM(B53:CHOOSE(MONTH(Mes_cierre),B53,C53,D53,E53,F53,G53,H53,I53,J53,K53,L53,M53))</f>
        <v>412355.48415999999</v>
      </c>
      <c r="P53" s="93">
        <f>TablasER!$AK$4</f>
        <v>55102.28961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">
        <v>111</v>
      </c>
      <c r="B54" s="60">
        <v>4752.3889600000093</v>
      </c>
      <c r="C54" s="60">
        <v>5244.5184900000013</v>
      </c>
      <c r="D54" s="60">
        <v>6640.2418000000016</v>
      </c>
      <c r="E54" s="60">
        <v>8009.5251100000078</v>
      </c>
      <c r="F54" s="60">
        <v>6864.1546000000062</v>
      </c>
      <c r="G54" s="60">
        <v>7686.4923900000013</v>
      </c>
      <c r="H54" s="60">
        <v>6252.6970700000084</v>
      </c>
      <c r="I54" s="60">
        <v>5047.3588400000126</v>
      </c>
      <c r="J54" s="60"/>
      <c r="K54" s="60"/>
      <c r="L54" s="60"/>
      <c r="M54" s="60"/>
      <c r="N54" s="59">
        <f>SUM(B54:CHOOSE(MONTH(Mes_cierre),B54,C54,D54,E54,F54,G54,H54,I54,J54,K54,L54,M54))</f>
        <v>50497.377260000052</v>
      </c>
      <c r="P54" s="93">
        <f>TablasER!$E$29</f>
        <v>3137.846379999994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">
        <v>112</v>
      </c>
      <c r="B55" s="60">
        <v>4362.4004297450883</v>
      </c>
      <c r="C55" s="60">
        <v>2829.4836736981961</v>
      </c>
      <c r="D55" s="60">
        <v>4961.7696492590439</v>
      </c>
      <c r="E55" s="60">
        <v>5299.3762890154239</v>
      </c>
      <c r="F55" s="60">
        <v>4948.7825025394395</v>
      </c>
      <c r="G55" s="60">
        <v>6039.5934195333029</v>
      </c>
      <c r="H55" s="60">
        <v>5816.4664821231017</v>
      </c>
      <c r="I55" s="60">
        <v>4341.9278550050894</v>
      </c>
      <c r="J55" s="60">
        <v>2008.9745878669191</v>
      </c>
      <c r="K55" s="60">
        <v>1928.9130405968397</v>
      </c>
      <c r="L55" s="60">
        <v>4728.6835665427352</v>
      </c>
      <c r="M55" s="60">
        <v>10977.660712607769</v>
      </c>
      <c r="N55" s="59">
        <f>SUM(B55:CHOOSE(MONTH(Mes_cierre),B55,C55,D55,E55,F55,G55,H55,I55,J55,K55,L55,M55))</f>
        <v>40608.774888785607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">
        <v>113</v>
      </c>
      <c r="B56" s="62">
        <f>(0+846.7+7400)*19.0388/1000+(0+301313.07+0+2118850.78161)/1000-B57</f>
        <v>1477.1711235699995</v>
      </c>
      <c r="C56" s="62">
        <f>(0+0+7400)*19.2607/1000+(0+299124.52+0+687319.9)/1000-C57</f>
        <v>545.21419000000003</v>
      </c>
      <c r="D56" s="62">
        <f>(0+0+279033.03)*19.3779/1000+(0+293077.69+0+0)/1000-D57</f>
        <v>452.58144803800042</v>
      </c>
      <c r="E56" s="62">
        <f>(0+0+0)*19.0099/1000+(0+311248.1+0+0)/1000</f>
        <v>311.24809999999997</v>
      </c>
      <c r="F56" s="62">
        <f>(0+0+0)*19.6426/1000+(0+288606.28+0+0)/1000</f>
        <v>288.60628000000003</v>
      </c>
      <c r="G56" s="62">
        <f>(0+0+0)*19.2087/1000+(0+290155.51+0+0)/1000</f>
        <v>290.15550999999999</v>
      </c>
      <c r="H56" s="62">
        <f>(0+0+0)*18.9929/1000+(0+284331.5+0+0)/1000</f>
        <v>284.33150000000001</v>
      </c>
      <c r="I56" s="62">
        <v>285.34873999999996</v>
      </c>
      <c r="J56" s="62"/>
      <c r="K56" s="62"/>
      <c r="L56" s="62"/>
      <c r="M56" s="62"/>
      <c r="N56" s="59">
        <f>SUM(B56:CHOOSE(MONTH(Mes_cierre),B56,C56,D56,E56,F56,G56,H56,I56,J56,K56,L56,M56))</f>
        <v>3934.656891608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">
        <v>57</v>
      </c>
      <c r="B57" s="62">
        <v>1100</v>
      </c>
      <c r="C57" s="62">
        <f>(480168.71+103590.7)/1000</f>
        <v>583.75941</v>
      </c>
      <c r="D57" s="62">
        <f>(270801.81*D142)/1000</f>
        <v>5247.5703939989999</v>
      </c>
      <c r="E57" s="62"/>
      <c r="F57" s="62"/>
      <c r="G57" s="62"/>
      <c r="H57" s="62"/>
      <c r="I57" s="62"/>
      <c r="J57" s="62"/>
      <c r="K57" s="62"/>
      <c r="L57" s="62"/>
      <c r="M57" s="62"/>
      <c r="N57" s="59"/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9.8536856135748821E-2</v>
      </c>
      <c r="C58" s="65">
        <f t="shared" si="9"/>
        <v>0.11579926493654624</v>
      </c>
      <c r="D58" s="65">
        <f t="shared" si="9"/>
        <v>0.14135940704332026</v>
      </c>
      <c r="E58" s="65">
        <f t="shared" si="9"/>
        <v>0.1509227673027442</v>
      </c>
      <c r="F58" s="65">
        <f t="shared" si="9"/>
        <v>0.12805737269126205</v>
      </c>
      <c r="G58" s="65">
        <f t="shared" si="9"/>
        <v>0.14576905239366852</v>
      </c>
      <c r="H58" s="65">
        <f t="shared" si="9"/>
        <v>0.11696389867198595</v>
      </c>
      <c r="I58" s="65">
        <f t="shared" si="9"/>
        <v>9.7944674288499609E-2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9.073541372642209E-2</v>
      </c>
      <c r="C59" s="67">
        <f t="shared" si="9"/>
        <v>6.3387815838886322E-2</v>
      </c>
      <c r="D59" s="67">
        <f t="shared" si="9"/>
        <v>0.10080358512283766</v>
      </c>
      <c r="E59" s="67">
        <f t="shared" si="9"/>
        <v>0.10739115206178824</v>
      </c>
      <c r="F59" s="67">
        <f t="shared" si="9"/>
        <v>9.4156787925606084E-2</v>
      </c>
      <c r="G59" s="67">
        <f t="shared" si="9"/>
        <v>0.11349731498282838</v>
      </c>
      <c r="H59" s="67">
        <f t="shared" si="9"/>
        <v>0.10359378612374216</v>
      </c>
      <c r="I59" s="67">
        <f t="shared" si="9"/>
        <v>7.9519348621927749E-2</v>
      </c>
      <c r="J59" s="67">
        <f t="shared" si="9"/>
        <v>4.3794167667064732E-2</v>
      </c>
      <c r="K59" s="67">
        <f t="shared" si="9"/>
        <v>3.9420015091282908E-2</v>
      </c>
      <c r="L59" s="67">
        <f t="shared" si="9"/>
        <v>8.6928490544701489E-2</v>
      </c>
      <c r="M59" s="67">
        <f>IFERROR(M55/M52,0)</f>
        <v>0.16176809438155001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>
        <f>D57/D142</f>
        <v>270.80180999999999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">
        <v>108</v>
      </c>
      <c r="B70" s="58">
        <v>42923.092999999993</v>
      </c>
      <c r="C70" s="58">
        <v>28716.433639999996</v>
      </c>
      <c r="D70" s="58">
        <v>25302.674430000003</v>
      </c>
      <c r="E70" s="58">
        <v>29095.944830000004</v>
      </c>
      <c r="F70" s="58">
        <v>32264.749890000003</v>
      </c>
      <c r="G70" s="58">
        <v>24861.460199999998</v>
      </c>
      <c r="H70" s="58">
        <v>26635.551589999995</v>
      </c>
      <c r="I70" s="58">
        <v>27727.546549999999</v>
      </c>
      <c r="J70" s="58">
        <v>28059.990830000002</v>
      </c>
      <c r="K70" s="58"/>
      <c r="L70" s="58"/>
      <c r="M70" s="58"/>
      <c r="N70" s="59">
        <f>SUM(B70:CHOOSE(MONTH(Mes_cierre),B70,C70,D70,E70,F70,G70,H70,I70,J70,K70,L70,M70))</f>
        <v>265587.44495999999</v>
      </c>
      <c r="P70" s="93">
        <f>TablasER!$C$4</f>
        <v>34263.672139999995</v>
      </c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">
        <v>109</v>
      </c>
      <c r="B71" s="60">
        <v>40618.376000000004</v>
      </c>
      <c r="C71" s="60">
        <v>35648.195999999996</v>
      </c>
      <c r="D71" s="60">
        <v>33678.803999999996</v>
      </c>
      <c r="E71" s="60">
        <v>31916.085999999999</v>
      </c>
      <c r="F71" s="60">
        <v>31056.794000000002</v>
      </c>
      <c r="G71" s="60">
        <v>29911.578000000001</v>
      </c>
      <c r="H71" s="60">
        <v>33195.293000000005</v>
      </c>
      <c r="I71" s="60">
        <v>34578.729999999996</v>
      </c>
      <c r="J71" s="60">
        <v>31420.249</v>
      </c>
      <c r="K71" s="60">
        <v>31670.260642455403</v>
      </c>
      <c r="L71" s="60">
        <v>37349.576300089167</v>
      </c>
      <c r="M71" s="60">
        <v>44832.248968370186</v>
      </c>
      <c r="N71" s="59">
        <f>SUM(B71:CHOOSE(MONTH(Mes_cierre),B71,C71,D71,E71,F71,G71,H71,I71,J71,K71,L71,M71))</f>
        <v>302024.10600000003</v>
      </c>
      <c r="O71" s="92">
        <v>0</v>
      </c>
      <c r="P71" s="93">
        <f>TablasER!$S$4</f>
        <v>31420.249</v>
      </c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">
        <v>110</v>
      </c>
      <c r="B72" s="60">
        <v>37262.296999999999</v>
      </c>
      <c r="C72" s="60">
        <v>32205.154979999999</v>
      </c>
      <c r="D72" s="60">
        <v>32943.708379999996</v>
      </c>
      <c r="E72" s="60">
        <v>26395.821159999996</v>
      </c>
      <c r="F72" s="60">
        <v>26802.009260000003</v>
      </c>
      <c r="G72" s="60">
        <v>20481.989030000001</v>
      </c>
      <c r="H72" s="60">
        <v>27588.578889999997</v>
      </c>
      <c r="I72" s="60">
        <v>23906.255020000001</v>
      </c>
      <c r="J72" s="60">
        <v>27224.508699999998</v>
      </c>
      <c r="K72" s="60">
        <v>36213.603060000001</v>
      </c>
      <c r="L72" s="60">
        <v>30801.07906</v>
      </c>
      <c r="M72" s="60">
        <v>34636.959000000003</v>
      </c>
      <c r="N72" s="59">
        <f>SUM(B72:CHOOSE(MONTH(Mes_cierre),B72,C72,D72,E72,F72,G72,H72,I72,J72,K72,L72,M72))</f>
        <v>254810.32242000001</v>
      </c>
      <c r="P72" s="93">
        <f>TablasER!$AI$4</f>
        <v>27224.508699999998</v>
      </c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">
        <v>111</v>
      </c>
      <c r="B73" s="60">
        <v>1103.7430000000011</v>
      </c>
      <c r="C73" s="60">
        <v>-429.96137000000317</v>
      </c>
      <c r="D73" s="60">
        <v>-1295.9741599999977</v>
      </c>
      <c r="E73" s="60">
        <v>-1412.1541399999996</v>
      </c>
      <c r="F73" s="60">
        <v>-801.36338999999919</v>
      </c>
      <c r="G73" s="60">
        <v>-1908.2077300000001</v>
      </c>
      <c r="H73" s="60">
        <v>-581.71982000000219</v>
      </c>
      <c r="I73" s="60">
        <v>-620.48084000000358</v>
      </c>
      <c r="J73" s="60">
        <v>2707.9599399999997</v>
      </c>
      <c r="K73" s="60"/>
      <c r="L73" s="60"/>
      <c r="M73" s="60"/>
      <c r="N73" s="59">
        <f>SUM(B73:CHOOSE(MONTH(Mes_cierre),B73,C73,D73,E73,F73,G73,H73,I73,J73,K73,L73,M73))</f>
        <v>-3238.1585100000048</v>
      </c>
      <c r="P73" s="93">
        <f>TablasER!$C$29</f>
        <v>-795.09159000000432</v>
      </c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">
        <v>112</v>
      </c>
      <c r="B74" s="60">
        <v>1096.6870000000004</v>
      </c>
      <c r="C74" s="60">
        <v>657.76599999999826</v>
      </c>
      <c r="D74" s="60">
        <v>388.36299999999721</v>
      </c>
      <c r="E74" s="60">
        <v>584.06800000000123</v>
      </c>
      <c r="F74" s="60">
        <v>434.23299999999995</v>
      </c>
      <c r="G74" s="60">
        <v>173.54200000000196</v>
      </c>
      <c r="H74" s="60">
        <v>628.56900000000235</v>
      </c>
      <c r="I74" s="60">
        <v>1013.377</v>
      </c>
      <c r="J74" s="60">
        <v>434.99599999999896</v>
      </c>
      <c r="K74" s="60">
        <v>440.94089194068067</v>
      </c>
      <c r="L74" s="60">
        <v>957.70499813596098</v>
      </c>
      <c r="M74" s="60">
        <v>1086.402142639995</v>
      </c>
      <c r="N74" s="59">
        <f>SUM(B74:CHOOSE(MONTH(Mes_cierre),B74,C74,D74,E74,F74,G74,H74,I74,J74,K74,L74,M74))</f>
        <v>5411.6010000000006</v>
      </c>
      <c r="P74" s="93">
        <f>TablasER!$S$25</f>
        <v>434.99599999999896</v>
      </c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">
        <v>113</v>
      </c>
      <c r="B75" s="62"/>
      <c r="C75" s="62"/>
      <c r="D75" s="62"/>
      <c r="E75" s="62"/>
      <c r="F75" s="62"/>
      <c r="G75" s="62"/>
      <c r="H75" s="62"/>
      <c r="I75" s="62">
        <v>0</v>
      </c>
      <c r="J75" s="62"/>
      <c r="K75" s="62"/>
      <c r="L75" s="62"/>
      <c r="M75" s="62"/>
      <c r="N75" s="59">
        <f>SUM(B75:CHOOSE(MONTH(Mes_cierre),B75,C75,D75,E75,F75,G75,H75,I75,J75,K75,L75,M75))</f>
        <v>0</v>
      </c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">
        <v>57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0">IFERROR(B73/B70,0)</f>
        <v>2.5714433020938197E-2</v>
      </c>
      <c r="C77" s="65">
        <f t="shared" si="10"/>
        <v>-1.4972659049175831E-2</v>
      </c>
      <c r="D77" s="65">
        <f t="shared" si="10"/>
        <v>-5.121886081984408E-2</v>
      </c>
      <c r="E77" s="65">
        <f t="shared" si="10"/>
        <v>-4.8534397086977134E-2</v>
      </c>
      <c r="F77" s="65">
        <f t="shared" si="10"/>
        <v>-2.4837117682054939E-2</v>
      </c>
      <c r="G77" s="65">
        <f t="shared" si="10"/>
        <v>-7.6753646593935798E-2</v>
      </c>
      <c r="H77" s="65">
        <f t="shared" si="10"/>
        <v>-2.1839976470335313E-2</v>
      </c>
      <c r="I77" s="65">
        <f t="shared" si="10"/>
        <v>-2.2377776514814058E-2</v>
      </c>
      <c r="J77" s="65">
        <f t="shared" si="10"/>
        <v>9.650608784607359E-2</v>
      </c>
      <c r="K77" s="65">
        <f t="shared" si="10"/>
        <v>0</v>
      </c>
      <c r="L77" s="65">
        <f t="shared" si="10"/>
        <v>0</v>
      </c>
      <c r="M77" s="65">
        <f t="shared" si="10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2.699977468326159E-2</v>
      </c>
      <c r="C78" s="95">
        <f t="shared" si="10"/>
        <v>1.8451592894069543E-2</v>
      </c>
      <c r="D78" s="95">
        <f t="shared" si="10"/>
        <v>1.153137742064704E-2</v>
      </c>
      <c r="E78" s="95">
        <f t="shared" si="10"/>
        <v>1.8300113616688502E-2</v>
      </c>
      <c r="F78" s="95">
        <f t="shared" si="10"/>
        <v>1.3981900385467989E-2</v>
      </c>
      <c r="G78" s="95">
        <f t="shared" si="10"/>
        <v>5.8018336578565645E-3</v>
      </c>
      <c r="H78" s="95">
        <f t="shared" si="10"/>
        <v>1.8935485823246154E-2</v>
      </c>
      <c r="I78" s="95">
        <f t="shared" si="10"/>
        <v>2.9306368394674993E-2</v>
      </c>
      <c r="J78" s="95">
        <f t="shared" si="10"/>
        <v>1.3844447890912607E-2</v>
      </c>
      <c r="K78" s="95">
        <f t="shared" si="10"/>
        <v>1.3922869057464581E-2</v>
      </c>
      <c r="L78" s="95">
        <f t="shared" si="10"/>
        <v>2.5641656291926249E-2</v>
      </c>
      <c r="M78" s="95">
        <f t="shared" si="10"/>
        <v>2.423260415524699E-2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">
        <v>108</v>
      </c>
      <c r="B90" s="58">
        <v>5487.0693500000007</v>
      </c>
      <c r="C90" s="58">
        <v>9662.0803799999994</v>
      </c>
      <c r="D90" s="58">
        <v>3252.37907</v>
      </c>
      <c r="E90" s="58">
        <v>3373.0484200000001</v>
      </c>
      <c r="F90" s="58">
        <v>1148.1857399999999</v>
      </c>
      <c r="G90" s="58">
        <v>4453.5660699999999</v>
      </c>
      <c r="H90" s="58">
        <v>2791.5713599999999</v>
      </c>
      <c r="I90" s="58">
        <v>5276.6999800000003</v>
      </c>
      <c r="J90" s="58"/>
      <c r="K90" s="58"/>
      <c r="L90" s="58"/>
      <c r="M90" s="58"/>
      <c r="N90" s="59">
        <f>SUM(B90:CHOOSE(MONTH(Mes_cierre),B90,C90,D90,E90,F90,G90,H90,I90,J90,K90,L90,M90))</f>
        <v>35444.60037</v>
      </c>
      <c r="P90" s="93">
        <f>TablasER!$M$4</f>
        <v>7056.4139599999999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">
        <v>109</v>
      </c>
      <c r="B91" s="60">
        <v>4148.6540000000005</v>
      </c>
      <c r="C91" s="60">
        <v>4570.2520000000004</v>
      </c>
      <c r="D91" s="60">
        <v>3954.029</v>
      </c>
      <c r="E91" s="60">
        <v>6160.0309999999999</v>
      </c>
      <c r="F91" s="60">
        <v>5488.0300000000007</v>
      </c>
      <c r="G91" s="60">
        <v>3995.2620000000002</v>
      </c>
      <c r="H91" s="60">
        <v>1975.424</v>
      </c>
      <c r="I91" s="60">
        <v>4542.2469999999994</v>
      </c>
      <c r="J91" s="60">
        <v>3066.1424999999999</v>
      </c>
      <c r="K91" s="60">
        <v>1781.895</v>
      </c>
      <c r="L91" s="60">
        <v>2999.3175000000001</v>
      </c>
      <c r="M91" s="60">
        <v>2724.4825000000001</v>
      </c>
      <c r="N91" s="94">
        <f>SUM(B91:CHOOSE(MONTH(Mes_cierre),B91,C91,D91,E91,F91,G91,H91,I91,J91,K91,L91,M91))</f>
        <v>37900.071499999998</v>
      </c>
      <c r="O91" s="92">
        <v>0</v>
      </c>
      <c r="P91" s="93">
        <f>TablasER!$AC$4</f>
        <v>3066.1419999999998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">
        <v>110</v>
      </c>
      <c r="B92" s="60">
        <v>954.53387999999995</v>
      </c>
      <c r="C92" s="60">
        <v>1826.3302699999999</v>
      </c>
      <c r="D92" s="60">
        <v>2393.4870299999998</v>
      </c>
      <c r="E92" s="60">
        <v>676.09960000000001</v>
      </c>
      <c r="F92" s="60">
        <v>3945.6126400000003</v>
      </c>
      <c r="G92" s="60">
        <v>912.45750999999996</v>
      </c>
      <c r="H92" s="60">
        <v>4132.7812400000003</v>
      </c>
      <c r="I92" s="60">
        <v>3552.8068199999998</v>
      </c>
      <c r="J92" s="60">
        <v>4618.2929999999997</v>
      </c>
      <c r="K92" s="60">
        <v>4634.0119999999997</v>
      </c>
      <c r="L92" s="60">
        <v>2951.68</v>
      </c>
      <c r="M92" s="60">
        <v>11431.643</v>
      </c>
      <c r="N92" s="59">
        <f>SUM(B92:CHOOSE(MONTH(Mes_cierre),B92,C92,D92,E92,F92,G92,H92,I92,J92,K92,L92,M92))</f>
        <v>23012.401989999998</v>
      </c>
      <c r="P92" s="93">
        <f>TablasER!$AS$4</f>
        <v>4618.2932000000001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">
        <v>111</v>
      </c>
      <c r="B93" s="60">
        <v>2174.5616000000005</v>
      </c>
      <c r="C93" s="60">
        <v>3682.7552600000008</v>
      </c>
      <c r="D93" s="60">
        <v>958.86359999999968</v>
      </c>
      <c r="E93" s="60">
        <v>421.37944000000005</v>
      </c>
      <c r="F93" s="60">
        <v>-135.09901000000019</v>
      </c>
      <c r="G93" s="60">
        <v>1411.3309299999999</v>
      </c>
      <c r="H93" s="60">
        <v>812.23317999999961</v>
      </c>
      <c r="I93" s="60">
        <v>1470.4562100000003</v>
      </c>
      <c r="J93" s="60"/>
      <c r="K93" s="60"/>
      <c r="L93" s="60"/>
      <c r="M93" s="60"/>
      <c r="N93" s="59">
        <f>SUM(B93:CHOOSE(MONTH(Mes_cierre),B93,C93,D93,E93,F93,G93,H93,I93,J93,K93,L93,M93))</f>
        <v>10796.48121</v>
      </c>
      <c r="P93" s="93">
        <f>TablasER!$M$29</f>
        <v>2941.2898499999997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">
        <v>112</v>
      </c>
      <c r="B94" s="60">
        <v>1164.145</v>
      </c>
      <c r="C94" s="60">
        <v>1238.4159999999999</v>
      </c>
      <c r="D94" s="60">
        <v>1129.4100000000001</v>
      </c>
      <c r="E94" s="60">
        <v>2022.2600000000002</v>
      </c>
      <c r="F94" s="60">
        <v>1546.5780000000002</v>
      </c>
      <c r="G94" s="60">
        <v>1218.8599999999999</v>
      </c>
      <c r="H94" s="60">
        <v>160.93500000000012</v>
      </c>
      <c r="I94" s="60">
        <v>1676.8959999999995</v>
      </c>
      <c r="J94" s="60">
        <v>1086.1365059999998</v>
      </c>
      <c r="K94" s="60">
        <v>474.84368749999999</v>
      </c>
      <c r="L94" s="60">
        <v>1031.9219000000003</v>
      </c>
      <c r="M94" s="60">
        <v>891.81583749999982</v>
      </c>
      <c r="N94" s="94">
        <f>SUM(B94:CHOOSE(MONTH(Mes_cierre),B94,C94,D94,E94,F94,G94,H94,I94,J94,K94,L94,M94))</f>
        <v>11243.636505999999</v>
      </c>
      <c r="P94" s="93">
        <f>TablasER!$AC$25</f>
        <v>1086.1359999999997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">
        <v>113</v>
      </c>
      <c r="B95" s="62"/>
      <c r="C95" s="62"/>
      <c r="D95" s="62">
        <f>(0)*19.3779/1000+(0)/1000</f>
        <v>0</v>
      </c>
      <c r="E95" s="62">
        <f>(0)*19.3779/1000+(0)/1000</f>
        <v>0</v>
      </c>
      <c r="F95" s="62">
        <f>(0)*19.6426/1000+(0)/1000</f>
        <v>0</v>
      </c>
      <c r="G95" s="62">
        <f>(0)*19.2087/1000+(0)/1000</f>
        <v>0</v>
      </c>
      <c r="H95" s="62">
        <f>(0)*18.9929/1000+(0)/1000</f>
        <v>0</v>
      </c>
      <c r="I95" s="62">
        <v>0</v>
      </c>
      <c r="J95" s="62"/>
      <c r="K95" s="62"/>
      <c r="L95" s="62"/>
      <c r="M95" s="62"/>
      <c r="N95" s="59">
        <f>SUM(B95:CHOOSE(MONTH(Mes_cierre),B95,C95,D95,E95,F95,G95,H95,I95,J95,K95,L95,M95))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">
        <v>57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1">IFERROR(B93/B90,0)</f>
        <v>0.39630656390373492</v>
      </c>
      <c r="C97" s="65">
        <f t="shared" si="11"/>
        <v>0.38115551880763809</v>
      </c>
      <c r="D97" s="65">
        <f t="shared" si="11"/>
        <v>0.29481913988580666</v>
      </c>
      <c r="E97" s="65">
        <f t="shared" si="11"/>
        <v>0.12492540501390136</v>
      </c>
      <c r="F97" s="65">
        <f t="shared" si="11"/>
        <v>-0.1176630272380845</v>
      </c>
      <c r="G97" s="65">
        <f t="shared" si="11"/>
        <v>0.31689906645979093</v>
      </c>
      <c r="H97" s="65">
        <f t="shared" si="11"/>
        <v>0.29095913206388518</v>
      </c>
      <c r="I97" s="65">
        <f t="shared" si="11"/>
        <v>0.2786696639136948</v>
      </c>
      <c r="J97" s="65">
        <f t="shared" si="11"/>
        <v>0</v>
      </c>
      <c r="K97" s="65">
        <f t="shared" si="11"/>
        <v>0</v>
      </c>
      <c r="L97" s="65">
        <f t="shared" si="11"/>
        <v>0</v>
      </c>
      <c r="M97" s="65">
        <f t="shared" si="11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0.2806078790856022</v>
      </c>
      <c r="C98" s="95">
        <f t="shared" si="11"/>
        <v>0.27097324173809229</v>
      </c>
      <c r="D98" s="95">
        <f t="shared" si="11"/>
        <v>0.28563523433945481</v>
      </c>
      <c r="E98" s="95">
        <f t="shared" si="11"/>
        <v>0.32828730894373748</v>
      </c>
      <c r="F98" s="95">
        <f t="shared" si="11"/>
        <v>0.2818093195554689</v>
      </c>
      <c r="G98" s="95">
        <f t="shared" si="11"/>
        <v>0.30507636295191648</v>
      </c>
      <c r="H98" s="95">
        <f t="shared" si="11"/>
        <v>8.1468585984578554E-2</v>
      </c>
      <c r="I98" s="95">
        <f t="shared" si="11"/>
        <v>0.36917763388913016</v>
      </c>
      <c r="J98" s="95">
        <f t="shared" si="11"/>
        <v>0.35423549492562717</v>
      </c>
      <c r="K98" s="95">
        <f t="shared" si="11"/>
        <v>0.26648241759475166</v>
      </c>
      <c r="L98" s="95">
        <f t="shared" si="11"/>
        <v>0.34405223855093708</v>
      </c>
      <c r="M98" s="95">
        <f t="shared" si="11"/>
        <v>0.32733403040760944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">
        <v>108</v>
      </c>
      <c r="B108" s="58">
        <v>3089.0965999999994</v>
      </c>
      <c r="C108" s="58">
        <v>3093.4637799999996</v>
      </c>
      <c r="D108" s="58">
        <v>3464.0155499999996</v>
      </c>
      <c r="E108" s="58">
        <v>2291.0208499999999</v>
      </c>
      <c r="F108" s="58">
        <v>1520.7242800000001</v>
      </c>
      <c r="G108" s="58">
        <v>1429.87841</v>
      </c>
      <c r="H108" s="58">
        <v>1411.55657</v>
      </c>
      <c r="I108" s="58">
        <v>1486.7998400000001</v>
      </c>
      <c r="J108" s="58"/>
      <c r="K108" s="58"/>
      <c r="L108" s="58"/>
      <c r="M108" s="58"/>
      <c r="N108" s="59">
        <v>16299.75604</v>
      </c>
      <c r="P108" s="101">
        <f>TablasER!$G$77</f>
        <v>1422.7311299999999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">
        <v>109</v>
      </c>
      <c r="B109" s="60">
        <v>3149.201</v>
      </c>
      <c r="C109" s="60">
        <v>3078.7871168068536</v>
      </c>
      <c r="D109" s="60">
        <v>3682.7723341392702</v>
      </c>
      <c r="E109" s="60">
        <v>2400.8619270725385</v>
      </c>
      <c r="F109" s="60">
        <v>1668.5715320623381</v>
      </c>
      <c r="G109" s="60">
        <v>1530.7982534170853</v>
      </c>
      <c r="H109" s="60">
        <v>1543.6949299368418</v>
      </c>
      <c r="I109" s="60">
        <v>1663.3779048795814</v>
      </c>
      <c r="J109" s="60">
        <v>1505.8801899999999</v>
      </c>
      <c r="K109" s="60">
        <v>1521.7468355689998</v>
      </c>
      <c r="L109" s="60">
        <v>1466.5691236788266</v>
      </c>
      <c r="M109" s="60">
        <v>1563.9949508216757</v>
      </c>
      <c r="N109" s="94">
        <v>17054.687093434928</v>
      </c>
      <c r="O109" s="92">
        <v>0</v>
      </c>
      <c r="P109" s="101">
        <f>TablasER!$W$77</f>
        <v>1505.88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">
        <v>110</v>
      </c>
      <c r="B110" s="60">
        <v>3060.0421100000008</v>
      </c>
      <c r="C110" s="60">
        <v>3011.3739199999995</v>
      </c>
      <c r="D110" s="60">
        <v>3630.8050899999998</v>
      </c>
      <c r="E110" s="60">
        <v>3236.1736899999996</v>
      </c>
      <c r="F110" s="60">
        <v>1430.8253699999998</v>
      </c>
      <c r="G110" s="60">
        <v>1532.8838899999998</v>
      </c>
      <c r="H110" s="60">
        <v>1477.3822999999998</v>
      </c>
      <c r="I110" s="60">
        <v>1508.68028</v>
      </c>
      <c r="J110" s="60">
        <v>1463.9412999999997</v>
      </c>
      <c r="K110" s="60">
        <v>1455.5450000000001</v>
      </c>
      <c r="L110" s="60">
        <v>1400.6709999999996</v>
      </c>
      <c r="M110" s="60">
        <v>1504.4849999999999</v>
      </c>
      <c r="N110" s="59">
        <v>17379.486369999999</v>
      </c>
      <c r="P110" s="101">
        <f>TablasER!$AM$77</f>
        <v>1463.9413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">
        <v>111</v>
      </c>
      <c r="B111" s="60">
        <v>-81.031000000000205</v>
      </c>
      <c r="C111" s="60">
        <v>89.404389999999864</v>
      </c>
      <c r="D111" s="60">
        <v>153.87095000000033</v>
      </c>
      <c r="E111" s="60">
        <v>-19.443680000000128</v>
      </c>
      <c r="F111" s="60">
        <v>-28.692359999999837</v>
      </c>
      <c r="G111" s="60">
        <v>-5.7767200000000454</v>
      </c>
      <c r="H111" s="60">
        <v>-49.230890000000095</v>
      </c>
      <c r="I111" s="60">
        <v>-15.218410000000056</v>
      </c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-29.316879999999816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">
        <v>112</v>
      </c>
      <c r="B112" s="60">
        <v>-148.53999999999991</v>
      </c>
      <c r="C112" s="60">
        <v>-88.154360514018776</v>
      </c>
      <c r="D112" s="60">
        <v>106.1508228164638</v>
      </c>
      <c r="E112" s="60">
        <v>-28.265968746113842</v>
      </c>
      <c r="F112" s="60">
        <v>-40.817177880519267</v>
      </c>
      <c r="G112" s="60">
        <v>-21.679768944723826</v>
      </c>
      <c r="H112" s="60">
        <v>-34.218208415789583</v>
      </c>
      <c r="I112" s="60">
        <v>-25.912900816753737</v>
      </c>
      <c r="J112" s="60">
        <v>-47.688726568851635</v>
      </c>
      <c r="K112" s="60">
        <v>-46.327664444843364</v>
      </c>
      <c r="L112" s="60">
        <v>-39.589488839506672</v>
      </c>
      <c r="M112" s="60">
        <v>-31.821279545896132</v>
      </c>
      <c r="N112" s="94">
        <v>-255.52466168470141</v>
      </c>
      <c r="O112" s="92">
        <v>0</v>
      </c>
      <c r="P112" s="101">
        <f>TablasER!$W$98</f>
        <v>-47.688000000000073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">
        <v>113</v>
      </c>
      <c r="B113" s="62">
        <f>153.054-B128</f>
        <v>92.75200000000001</v>
      </c>
      <c r="C113" s="62">
        <f>157.085-C128</f>
        <v>92.754000000000005</v>
      </c>
      <c r="D113" s="62">
        <f>159.195-D128</f>
        <v>92.753999999999991</v>
      </c>
      <c r="E113" s="62">
        <f>134.215704500001-E128</f>
        <v>67.775704500001012</v>
      </c>
      <c r="F113" s="62">
        <f>98.70262-F128</f>
        <v>33.763620000000003</v>
      </c>
      <c r="G113" s="62">
        <v>32.670520000000039</v>
      </c>
      <c r="H113" s="62">
        <v>30.5</v>
      </c>
      <c r="I113" s="62">
        <v>30.5</v>
      </c>
      <c r="J113" s="62"/>
      <c r="K113" s="62"/>
      <c r="L113" s="62"/>
      <c r="M113" s="62"/>
      <c r="N113" s="59">
        <v>442.96984450000105</v>
      </c>
      <c r="P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">
        <v>57</v>
      </c>
      <c r="B114" s="62"/>
      <c r="C114" s="62"/>
      <c r="D114" s="62"/>
      <c r="E114" s="62">
        <v>5728.2640654999996</v>
      </c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2">IFERROR(B111/B108,0)</f>
        <v>-2.6231293640995305E-2</v>
      </c>
      <c r="C115" s="102">
        <f t="shared" si="12"/>
        <v>2.8901062484720567E-2</v>
      </c>
      <c r="D115" s="102">
        <f t="shared" si="12"/>
        <v>4.4419820805943075E-2</v>
      </c>
      <c r="E115" s="102">
        <f t="shared" si="12"/>
        <v>-8.4869066119586511E-3</v>
      </c>
      <c r="F115" s="102">
        <f t="shared" si="12"/>
        <v>-1.8867562238172351E-2</v>
      </c>
      <c r="G115" s="102">
        <f t="shared" si="12"/>
        <v>-4.0400078493387738E-3</v>
      </c>
      <c r="H115" s="102">
        <f t="shared" si="12"/>
        <v>-3.4877022321535507E-2</v>
      </c>
      <c r="I115" s="102">
        <f t="shared" si="12"/>
        <v>-1.0235681757942653E-2</v>
      </c>
      <c r="J115" s="102">
        <f t="shared" si="12"/>
        <v>0</v>
      </c>
      <c r="K115" s="102">
        <f t="shared" si="12"/>
        <v>0</v>
      </c>
      <c r="L115" s="102">
        <f t="shared" si="12"/>
        <v>0</v>
      </c>
      <c r="M115" s="102">
        <f t="shared" si="12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-4.7167519634345317E-2</v>
      </c>
      <c r="C116" s="95">
        <f t="shared" si="12"/>
        <v>-2.8632821032929214E-2</v>
      </c>
      <c r="D116" s="95">
        <f t="shared" si="12"/>
        <v>2.8823617966401701E-2</v>
      </c>
      <c r="E116" s="95">
        <f t="shared" si="12"/>
        <v>-1.1773258773185514E-2</v>
      </c>
      <c r="F116" s="95">
        <f t="shared" si="12"/>
        <v>-2.4462348239916113E-2</v>
      </c>
      <c r="G116" s="95">
        <f t="shared" si="12"/>
        <v>-1.4162394617533509E-2</v>
      </c>
      <c r="H116" s="95">
        <f t="shared" si="12"/>
        <v>-2.2166431820301161E-2</v>
      </c>
      <c r="I116" s="95">
        <f t="shared" si="12"/>
        <v>-1.5578480837539847E-2</v>
      </c>
      <c r="J116" s="95">
        <f t="shared" si="12"/>
        <v>-3.1668340473256139E-2</v>
      </c>
      <c r="K116" s="95">
        <f t="shared" si="12"/>
        <v>-3.0443739630002832E-2</v>
      </c>
      <c r="L116" s="95">
        <f t="shared" si="12"/>
        <v>-2.6994628620162216E-2</v>
      </c>
      <c r="M116" s="95">
        <f t="shared" si="12"/>
        <v>-2.0346152351181309E-2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">
        <v>108</v>
      </c>
      <c r="B123" s="58">
        <v>117.0244</v>
      </c>
      <c r="C123" s="58">
        <v>117.77857999999998</v>
      </c>
      <c r="D123" s="58">
        <v>120.76178000000002</v>
      </c>
      <c r="E123" s="58">
        <v>106.95361</v>
      </c>
      <c r="F123" s="58">
        <v>130.23874000000001</v>
      </c>
      <c r="G123" s="58">
        <v>130.23875000000001</v>
      </c>
      <c r="H123" s="58">
        <v>130.23375000000001</v>
      </c>
      <c r="I123" s="58">
        <v>130.23375000000001</v>
      </c>
      <c r="J123" s="58"/>
      <c r="K123" s="58"/>
      <c r="L123" s="58"/>
      <c r="M123" s="58"/>
      <c r="N123" s="59">
        <v>853.22960999999998</v>
      </c>
      <c r="P123" s="101">
        <f>TablasER!$I$77</f>
        <v>130.23374999999999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">
        <v>109</v>
      </c>
      <c r="B124" s="60">
        <v>116.2</v>
      </c>
      <c r="C124" s="60">
        <v>116.2</v>
      </c>
      <c r="D124" s="60">
        <v>116.2</v>
      </c>
      <c r="E124" s="60">
        <v>116.3</v>
      </c>
      <c r="F124" s="60">
        <v>116.3</v>
      </c>
      <c r="G124" s="60">
        <v>112.25988994974875</v>
      </c>
      <c r="H124" s="60">
        <v>116.35650315789474</v>
      </c>
      <c r="I124" s="60">
        <v>122.30897591623038</v>
      </c>
      <c r="J124" s="60">
        <v>116.3</v>
      </c>
      <c r="K124" s="60">
        <v>116.3</v>
      </c>
      <c r="L124" s="60">
        <v>116.4</v>
      </c>
      <c r="M124" s="60">
        <v>116.5</v>
      </c>
      <c r="N124" s="94">
        <v>809.81639310764353</v>
      </c>
      <c r="O124" s="92">
        <v>0</v>
      </c>
      <c r="P124" s="101">
        <f>TablasER!$Y$77</f>
        <v>116.3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">
        <v>110</v>
      </c>
      <c r="B125" s="60">
        <v>118.31789000000001</v>
      </c>
      <c r="C125" s="60">
        <v>117.30037</v>
      </c>
      <c r="D125" s="60">
        <v>125.38985999999998</v>
      </c>
      <c r="E125" s="60">
        <v>120.90785000000001</v>
      </c>
      <c r="F125" s="60">
        <v>122.98385</v>
      </c>
      <c r="G125" s="60">
        <v>117.95888999999998</v>
      </c>
      <c r="H125" s="60">
        <v>118.10305</v>
      </c>
      <c r="I125" s="60">
        <v>118.9162</v>
      </c>
      <c r="J125" s="60">
        <v>115.99403</v>
      </c>
      <c r="K125" s="60">
        <v>117.947</v>
      </c>
      <c r="L125" s="60">
        <v>116.265</v>
      </c>
      <c r="M125" s="60">
        <v>116.84099999999999</v>
      </c>
      <c r="N125" s="59">
        <v>840.96175999999991</v>
      </c>
      <c r="P125" s="101">
        <f>TablasER!$AO$77</f>
        <v>115.99403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">
        <v>111</v>
      </c>
      <c r="B126" s="60">
        <v>102.36999999999999</v>
      </c>
      <c r="C126" s="60">
        <v>111.02456000000001</v>
      </c>
      <c r="D126" s="60">
        <v>113.51826</v>
      </c>
      <c r="E126" s="60">
        <v>106.95361</v>
      </c>
      <c r="F126" s="60">
        <v>123.93139000000001</v>
      </c>
      <c r="G126" s="60">
        <v>108.62708000000001</v>
      </c>
      <c r="H126" s="60">
        <v>120.69938000000003</v>
      </c>
      <c r="I126" s="60">
        <v>108.79103000000001</v>
      </c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105.53316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">
        <v>112</v>
      </c>
      <c r="B127" s="60">
        <v>105.75</v>
      </c>
      <c r="C127" s="60">
        <v>105.75</v>
      </c>
      <c r="D127" s="60">
        <v>105.75</v>
      </c>
      <c r="E127" s="60">
        <v>105.85</v>
      </c>
      <c r="F127" s="60">
        <v>105.85</v>
      </c>
      <c r="G127" s="60">
        <v>102.17290929648242</v>
      </c>
      <c r="H127" s="60">
        <v>105.91040815789474</v>
      </c>
      <c r="I127" s="60">
        <v>111.32848795811519</v>
      </c>
      <c r="J127" s="60">
        <v>105.85</v>
      </c>
      <c r="K127" s="60">
        <v>105.85</v>
      </c>
      <c r="L127" s="60">
        <v>105.95000000000002</v>
      </c>
      <c r="M127" s="60">
        <v>106.05000000000001</v>
      </c>
      <c r="N127" s="94">
        <v>737.0333174543772</v>
      </c>
      <c r="O127" s="106">
        <v>0</v>
      </c>
      <c r="P127" s="101">
        <f>TablasER!$Y$98</f>
        <v>105.85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">
        <v>113</v>
      </c>
      <c r="B128" s="62">
        <v>60.302</v>
      </c>
      <c r="C128" s="62">
        <v>64.331000000000003</v>
      </c>
      <c r="D128" s="62">
        <v>66.441000000000003</v>
      </c>
      <c r="E128" s="62">
        <v>66.44</v>
      </c>
      <c r="F128" s="62">
        <v>64.938999999999993</v>
      </c>
      <c r="G128" s="62">
        <v>57.441000000000003</v>
      </c>
      <c r="H128" s="62">
        <v>62.899999999999977</v>
      </c>
      <c r="I128" s="62">
        <v>62.506390000000003</v>
      </c>
      <c r="J128" s="62"/>
      <c r="K128" s="62"/>
      <c r="L128" s="62"/>
      <c r="M128" s="62"/>
      <c r="N128" s="59">
        <v>442.79399999999998</v>
      </c>
      <c r="P128" s="93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">
        <v>57</v>
      </c>
      <c r="B129" s="62"/>
      <c r="C129" s="62"/>
      <c r="D129" s="62"/>
      <c r="E129" s="62"/>
      <c r="F129" s="62">
        <f>303.21+167.41</f>
        <v>470.62</v>
      </c>
      <c r="G129" s="62">
        <f>229.33811+5</f>
        <v>234.33811</v>
      </c>
      <c r="H129" s="62">
        <f>(8540+248056.17)/1000</f>
        <v>256.59617000000003</v>
      </c>
      <c r="I129" s="62"/>
      <c r="J129" s="62"/>
      <c r="K129" s="62"/>
      <c r="L129" s="62"/>
      <c r="M129" s="62"/>
      <c r="N129" s="59">
        <v>961.55428000000006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3">IFERROR(B126/B123,0)</f>
        <v>0.87477483328263161</v>
      </c>
      <c r="C130" s="102">
        <f t="shared" si="13"/>
        <v>0.94265493776542419</v>
      </c>
      <c r="D130" s="102">
        <f t="shared" si="13"/>
        <v>0.94001810837832944</v>
      </c>
      <c r="E130" s="102">
        <f t="shared" si="13"/>
        <v>1</v>
      </c>
      <c r="F130" s="102">
        <f t="shared" si="13"/>
        <v>0.95157086132743607</v>
      </c>
      <c r="G130" s="102">
        <f t="shared" si="13"/>
        <v>0.83406113771822898</v>
      </c>
      <c r="H130" s="102">
        <f t="shared" si="13"/>
        <v>0.92679032892779345</v>
      </c>
      <c r="I130" s="102">
        <f t="shared" si="13"/>
        <v>0.8353520496799024</v>
      </c>
      <c r="J130" s="102">
        <f t="shared" si="13"/>
        <v>0</v>
      </c>
      <c r="K130" s="102">
        <f t="shared" si="13"/>
        <v>0</v>
      </c>
      <c r="L130" s="102">
        <f t="shared" si="13"/>
        <v>0</v>
      </c>
      <c r="M130" s="102">
        <f t="shared" si="13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0.91006884681583478</v>
      </c>
      <c r="C131" s="95">
        <f t="shared" si="13"/>
        <v>0.91006884681583478</v>
      </c>
      <c r="D131" s="95">
        <f t="shared" si="13"/>
        <v>0.91006884681583478</v>
      </c>
      <c r="E131" s="95">
        <f t="shared" si="13"/>
        <v>0.91014617368873596</v>
      </c>
      <c r="F131" s="95">
        <f t="shared" si="13"/>
        <v>0.91014617368873596</v>
      </c>
      <c r="G131" s="95">
        <f t="shared" si="13"/>
        <v>0.91014617368873596</v>
      </c>
      <c r="H131" s="95">
        <f t="shared" si="13"/>
        <v>0.91022336769759449</v>
      </c>
      <c r="I131" s="95">
        <f t="shared" si="13"/>
        <v>0.91022336769759449</v>
      </c>
      <c r="J131" s="95">
        <f t="shared" si="13"/>
        <v>0.91014617368873596</v>
      </c>
      <c r="K131" s="95">
        <f t="shared" si="13"/>
        <v>0.91014617368873596</v>
      </c>
      <c r="L131" s="95">
        <f t="shared" si="13"/>
        <v>0.9102233676975946</v>
      </c>
      <c r="M131" s="95">
        <f t="shared" si="13"/>
        <v>0.91030042918454945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19.038799999999998</v>
      </c>
      <c r="C142" s="108">
        <v>19.2607</v>
      </c>
      <c r="D142" s="108">
        <v>19.3779</v>
      </c>
      <c r="E142" s="109">
        <v>19.009899999999998</v>
      </c>
      <c r="F142" s="109">
        <v>19.642600000000002</v>
      </c>
      <c r="G142" s="109">
        <v>19.2087</v>
      </c>
      <c r="H142" s="109">
        <v>18.992899999999999</v>
      </c>
      <c r="I142" s="109">
        <v>20.069600000000001</v>
      </c>
      <c r="J142" s="109">
        <v>0</v>
      </c>
      <c r="K142" s="109">
        <v>0</v>
      </c>
      <c r="L142" s="109">
        <v>0</v>
      </c>
      <c r="M142" s="109">
        <v>0</v>
      </c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v>19.100000000000001</v>
      </c>
      <c r="C143" s="108">
        <v>19.18</v>
      </c>
      <c r="D143" s="108">
        <v>19.37</v>
      </c>
      <c r="E143" s="108">
        <v>19.2087</v>
      </c>
      <c r="F143" s="108">
        <v>19</v>
      </c>
      <c r="G143" s="108">
        <v>19.2087</v>
      </c>
      <c r="H143" s="108">
        <v>19</v>
      </c>
      <c r="I143" s="108">
        <v>19.100000000000001</v>
      </c>
      <c r="J143" s="108">
        <v>19.100000000000001</v>
      </c>
      <c r="K143" s="108">
        <v>19.2</v>
      </c>
      <c r="L143" s="108">
        <v>19.3</v>
      </c>
      <c r="M143" s="108">
        <v>19.5</v>
      </c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18.6069</v>
      </c>
      <c r="C144" s="109">
        <v>18.833100000000002</v>
      </c>
      <c r="D144" s="108">
        <v>18.270900000000001</v>
      </c>
      <c r="E144" s="108">
        <v>18.787800000000001</v>
      </c>
      <c r="F144" s="108">
        <v>19.975899999999999</v>
      </c>
      <c r="G144" s="108">
        <v>19.691199999999998</v>
      </c>
      <c r="H144" s="108">
        <v>18.645700000000001</v>
      </c>
      <c r="I144" s="108">
        <v>19.179200000000002</v>
      </c>
      <c r="J144" s="108">
        <v>18.723099999999999</v>
      </c>
      <c r="K144" s="108">
        <v>20.317699999999999</v>
      </c>
      <c r="L144" s="108">
        <v>20.345500000000001</v>
      </c>
      <c r="M144" s="108">
        <v>19.651199999999999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>
        <v>19.038799999999998</v>
      </c>
      <c r="C145" s="110">
        <v>19.260000000000002</v>
      </c>
      <c r="D145" s="111">
        <v>19.315000000000001</v>
      </c>
      <c r="E145" s="111">
        <v>19.3</v>
      </c>
      <c r="F145" s="112">
        <v>19.25</v>
      </c>
      <c r="G145" s="112">
        <v>19.899999999999999</v>
      </c>
      <c r="H145" s="112">
        <v>19</v>
      </c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>A108</f>
        <v>Vtas. 19</v>
      </c>
      <c r="B149" s="58">
        <f>B108*B142</f>
        <v>58812.692348079981</v>
      </c>
      <c r="C149" s="58">
        <f t="shared" ref="C149:M149" si="14">C108*C142</f>
        <v>59582.277827445992</v>
      </c>
      <c r="D149" s="58">
        <f>D108*D142</f>
        <v>67125.346926344995</v>
      </c>
      <c r="E149" s="58">
        <f>E108*E142</f>
        <v>43552.077256414996</v>
      </c>
      <c r="F149" s="58">
        <f>F108*F142</f>
        <v>29870.978742328007</v>
      </c>
      <c r="G149" s="58">
        <f>G108*G142</f>
        <v>27466.105414166999</v>
      </c>
      <c r="H149" s="58">
        <f>H108*H142</f>
        <v>26809.552778352998</v>
      </c>
      <c r="I149" s="58">
        <f t="shared" si="14"/>
        <v>29839.478068864006</v>
      </c>
      <c r="J149" s="58">
        <f>J108*J142</f>
        <v>0</v>
      </c>
      <c r="K149" s="58">
        <f t="shared" si="14"/>
        <v>0</v>
      </c>
      <c r="L149" s="58">
        <f t="shared" si="14"/>
        <v>0</v>
      </c>
      <c r="M149" s="58">
        <f t="shared" si="14"/>
        <v>0</v>
      </c>
      <c r="N149" s="59">
        <v>313219.03129313391</v>
      </c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ref="A150:A154" si="15">A109</f>
        <v>Vtas. P. 19</v>
      </c>
      <c r="B150" s="60">
        <f t="shared" ref="B150:G150" si="16">B109*B145</f>
        <v>59957.007998799992</v>
      </c>
      <c r="C150" s="60">
        <f t="shared" si="16"/>
        <v>59297.439869700007</v>
      </c>
      <c r="D150" s="60">
        <f t="shared" si="16"/>
        <v>71132.747633900013</v>
      </c>
      <c r="E150" s="60">
        <f t="shared" si="16"/>
        <v>46336.635192499998</v>
      </c>
      <c r="F150" s="60">
        <f t="shared" si="16"/>
        <v>32120.001992200006</v>
      </c>
      <c r="G150" s="60">
        <f t="shared" si="16"/>
        <v>30462.885242999997</v>
      </c>
      <c r="H150" s="60">
        <f>H109*H143</f>
        <v>29330.203668799993</v>
      </c>
      <c r="I150" s="60">
        <f>I109*I143</f>
        <v>31770.517983200007</v>
      </c>
      <c r="J150" s="60">
        <f>J109*J143</f>
        <v>28762.311629</v>
      </c>
      <c r="K150" s="60">
        <f>K109*K143</f>
        <v>29217.539242924795</v>
      </c>
      <c r="L150" s="60">
        <f>L109*L143</f>
        <v>28304.784087001353</v>
      </c>
      <c r="M150" s="60">
        <f>M109*M143</f>
        <v>30497.901541022678</v>
      </c>
      <c r="N150" s="117">
        <v>328636.92159889999</v>
      </c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5"/>
        <v>Vtas. 18</v>
      </c>
      <c r="B151" s="60">
        <f>B110*B144</f>
        <v>56937.897536559016</v>
      </c>
      <c r="C151" s="60">
        <f>C110*C144</f>
        <v>56713.506172751993</v>
      </c>
      <c r="D151" s="60">
        <f>D110*D144</f>
        <v>66338.076718880999</v>
      </c>
      <c r="E151" s="60">
        <f>E110*E144</f>
        <v>60800.584052981998</v>
      </c>
      <c r="F151" s="60">
        <f t="shared" ref="F151:M151" si="17">F144*F110</f>
        <v>28582.024508582996</v>
      </c>
      <c r="G151" s="60">
        <f t="shared" si="17"/>
        <v>30184.323254767995</v>
      </c>
      <c r="H151" s="60">
        <f t="shared" si="17"/>
        <v>27546.827151109999</v>
      </c>
      <c r="I151" s="60">
        <f t="shared" si="17"/>
        <v>28935.280826176004</v>
      </c>
      <c r="J151" s="60">
        <f t="shared" si="17"/>
        <v>27409.519354029992</v>
      </c>
      <c r="K151" s="60">
        <f t="shared" si="17"/>
        <v>29573.326646499998</v>
      </c>
      <c r="L151" s="60">
        <f t="shared" si="17"/>
        <v>28497.351830499993</v>
      </c>
      <c r="M151" s="60">
        <f t="shared" si="17"/>
        <v>29564.935631999997</v>
      </c>
      <c r="N151" s="59">
        <v>327103.23939563497</v>
      </c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5"/>
        <v>UAFIR FL. 19</v>
      </c>
      <c r="B152" s="60">
        <f>B111*B142</f>
        <v>-1542.7330028000038</v>
      </c>
      <c r="C152" s="60">
        <f t="shared" ref="C152:M153" si="18">C111*C142</f>
        <v>1721.9911344729974</v>
      </c>
      <c r="D152" s="60">
        <f>D111*D142</f>
        <v>2981.6958820050068</v>
      </c>
      <c r="E152" s="60">
        <f>E111*E142</f>
        <v>-369.62241243200242</v>
      </c>
      <c r="F152" s="60">
        <f>F111*F142</f>
        <v>-563.59255053599691</v>
      </c>
      <c r="G152" s="60">
        <f>G111*G142</f>
        <v>-110.96328146400087</v>
      </c>
      <c r="H152" s="60">
        <f t="shared" si="18"/>
        <v>-935.03737068100179</v>
      </c>
      <c r="I152" s="60">
        <f t="shared" si="18"/>
        <v>-305.42740133600114</v>
      </c>
      <c r="J152" s="60">
        <f t="shared" si="18"/>
        <v>0</v>
      </c>
      <c r="K152" s="60">
        <f t="shared" si="18"/>
        <v>0</v>
      </c>
      <c r="L152" s="60">
        <f t="shared" si="18"/>
        <v>0</v>
      </c>
      <c r="M152" s="60">
        <f t="shared" si="18"/>
        <v>0</v>
      </c>
      <c r="N152" s="59">
        <v>1181.7383985649985</v>
      </c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5"/>
        <v>UAFIR FL. P. 19</v>
      </c>
      <c r="B153" s="60">
        <v>-2828.0233519999979</v>
      </c>
      <c r="C153" s="60">
        <v>-1690.8006346588802</v>
      </c>
      <c r="D153" s="60">
        <v>2050.3031426999983</v>
      </c>
      <c r="E153" s="60">
        <v>-562.49277804766541</v>
      </c>
      <c r="F153" s="60">
        <v>-812.2618398223334</v>
      </c>
      <c r="G153" s="60">
        <v>-431.42740200000412</v>
      </c>
      <c r="H153" s="60">
        <f t="shared" si="18"/>
        <v>-650.14595990000203</v>
      </c>
      <c r="I153" s="60">
        <f t="shared" si="18"/>
        <v>-494.93640559999642</v>
      </c>
      <c r="J153" s="60">
        <f t="shared" si="18"/>
        <v>-910.85467746506629</v>
      </c>
      <c r="K153" s="60">
        <f t="shared" si="18"/>
        <v>-889.49115734099257</v>
      </c>
      <c r="L153" s="60">
        <f t="shared" si="18"/>
        <v>-764.07713460247874</v>
      </c>
      <c r="M153" s="60">
        <f t="shared" si="18"/>
        <v>-620.51495114497459</v>
      </c>
      <c r="N153" s="59">
        <v>-4924.8488237288848</v>
      </c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5"/>
        <v>S. Deuda 19</v>
      </c>
      <c r="B154" s="60">
        <f>B113*B142</f>
        <v>1765.8867776</v>
      </c>
      <c r="C154" s="60">
        <f t="shared" ref="C154:M154" si="19">C113*C142</f>
        <v>1786.5069678</v>
      </c>
      <c r="D154" s="60">
        <f>D113*D142</f>
        <v>1797.3777365999999</v>
      </c>
      <c r="E154" s="60">
        <f>E113*E142</f>
        <v>1288.4093649745691</v>
      </c>
      <c r="F154" s="60">
        <f>F113*F142</f>
        <v>663.20528221200016</v>
      </c>
      <c r="G154" s="60">
        <f>G113*G142</f>
        <v>627.55821752400072</v>
      </c>
      <c r="H154" s="60">
        <f t="shared" si="19"/>
        <v>579.28345000000002</v>
      </c>
      <c r="I154" s="60">
        <f t="shared" si="19"/>
        <v>612.12279999999998</v>
      </c>
      <c r="J154" s="60">
        <f t="shared" si="19"/>
        <v>0</v>
      </c>
      <c r="K154" s="60">
        <f t="shared" si="19"/>
        <v>0</v>
      </c>
      <c r="L154" s="60">
        <f t="shared" si="19"/>
        <v>0</v>
      </c>
      <c r="M154" s="60">
        <f t="shared" si="19"/>
        <v>0</v>
      </c>
      <c r="N154" s="59">
        <v>8508.2277967105711</v>
      </c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">
        <v>57</v>
      </c>
      <c r="B155" s="60">
        <f>B114*B142</f>
        <v>0</v>
      </c>
      <c r="C155" s="60">
        <f t="shared" ref="C155:M155" si="20">C114*C142</f>
        <v>0</v>
      </c>
      <c r="D155" s="60">
        <f>D114*D142</f>
        <v>0</v>
      </c>
      <c r="E155" s="60">
        <f t="shared" si="20"/>
        <v>108893.72705874844</v>
      </c>
      <c r="F155" s="60">
        <f>F114*F142</f>
        <v>0</v>
      </c>
      <c r="G155" s="60">
        <f>G114*G142</f>
        <v>0</v>
      </c>
      <c r="H155" s="60">
        <f t="shared" si="20"/>
        <v>0</v>
      </c>
      <c r="I155" s="60">
        <f>I114*I142</f>
        <v>0</v>
      </c>
      <c r="J155" s="60">
        <f t="shared" si="20"/>
        <v>0</v>
      </c>
      <c r="K155" s="60">
        <f t="shared" si="20"/>
        <v>0</v>
      </c>
      <c r="L155" s="60">
        <f t="shared" si="20"/>
        <v>0</v>
      </c>
      <c r="M155" s="60">
        <f t="shared" si="20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1">IFERROR(B152/B149,0)</f>
        <v>-2.6231293640995308E-2</v>
      </c>
      <c r="C156" s="65">
        <f t="shared" si="21"/>
        <v>2.8901062484720567E-2</v>
      </c>
      <c r="D156" s="65">
        <f t="shared" si="21"/>
        <v>4.4419820805943082E-2</v>
      </c>
      <c r="E156" s="65">
        <f t="shared" si="21"/>
        <v>-8.4869066119586511E-3</v>
      </c>
      <c r="F156" s="65">
        <f t="shared" si="21"/>
        <v>-1.8867562238172351E-2</v>
      </c>
      <c r="G156" s="65">
        <f t="shared" si="21"/>
        <v>-4.0400078493387738E-3</v>
      </c>
      <c r="H156" s="65">
        <f t="shared" si="21"/>
        <v>-3.4877022321535507E-2</v>
      </c>
      <c r="I156" s="65">
        <f t="shared" si="21"/>
        <v>-1.0235681757942651E-2</v>
      </c>
      <c r="J156" s="65">
        <f t="shared" si="21"/>
        <v>0</v>
      </c>
      <c r="K156" s="65">
        <f t="shared" si="21"/>
        <v>0</v>
      </c>
      <c r="L156" s="65">
        <f t="shared" si="21"/>
        <v>0</v>
      </c>
      <c r="M156" s="65">
        <f t="shared" si="21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-4.7167519634345317E-2</v>
      </c>
      <c r="C157" s="95">
        <f t="shared" si="21"/>
        <v>-2.8513889273706246E-2</v>
      </c>
      <c r="D157" s="95">
        <f t="shared" si="21"/>
        <v>2.8823617966401698E-2</v>
      </c>
      <c r="E157" s="95">
        <f t="shared" si="21"/>
        <v>-1.2139266817947756E-2</v>
      </c>
      <c r="F157" s="95">
        <f t="shared" si="21"/>
        <v>-2.5288349609056137E-2</v>
      </c>
      <c r="G157" s="95">
        <f t="shared" si="21"/>
        <v>-1.4162394617533509E-2</v>
      </c>
      <c r="H157" s="95">
        <f t="shared" si="21"/>
        <v>-2.2166431820301161E-2</v>
      </c>
      <c r="I157" s="95">
        <f t="shared" si="21"/>
        <v>-1.5578480837539847E-2</v>
      </c>
      <c r="J157" s="95">
        <f t="shared" si="21"/>
        <v>-3.1668340473256132E-2</v>
      </c>
      <c r="K157" s="95">
        <f t="shared" si="21"/>
        <v>-3.0443739630002832E-2</v>
      </c>
      <c r="L157" s="95">
        <f t="shared" si="21"/>
        <v>-2.6994628620162213E-2</v>
      </c>
      <c r="M157" s="95">
        <f>IFERROR(M153/M150,0)</f>
        <v>-2.0346152351181309E-2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>A149</f>
        <v>Vtas. 19</v>
      </c>
      <c r="B161" s="58">
        <f t="shared" ref="B161:M162" si="22">B123*B142</f>
        <v>2228.0041467199999</v>
      </c>
      <c r="C161" s="58">
        <f t="shared" si="22"/>
        <v>2268.4978958059996</v>
      </c>
      <c r="D161" s="58">
        <f t="shared" si="22"/>
        <v>2340.1096966620003</v>
      </c>
      <c r="E161" s="58">
        <f t="shared" si="22"/>
        <v>2033.1774307389999</v>
      </c>
      <c r="F161" s="58">
        <f t="shared" si="22"/>
        <v>2558.2274743240005</v>
      </c>
      <c r="G161" s="58">
        <f t="shared" si="22"/>
        <v>2501.7170771250003</v>
      </c>
      <c r="H161" s="58">
        <f t="shared" si="22"/>
        <v>2473.5165903750003</v>
      </c>
      <c r="I161" s="58">
        <f t="shared" si="22"/>
        <v>2613.7392690000006</v>
      </c>
      <c r="J161" s="58">
        <f t="shared" si="22"/>
        <v>0</v>
      </c>
      <c r="K161" s="58">
        <f t="shared" si="22"/>
        <v>0</v>
      </c>
      <c r="L161" s="58">
        <f t="shared" si="22"/>
        <v>0</v>
      </c>
      <c r="M161" s="58">
        <f t="shared" si="22"/>
        <v>0</v>
      </c>
      <c r="N161" s="59">
        <v>16403.250311751002</v>
      </c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ref="A162:A169" si="23">A150</f>
        <v>Vtas. P. 19</v>
      </c>
      <c r="B162" s="60">
        <f t="shared" ref="B162:G162" si="24">B124*B145</f>
        <v>2212.3085599999999</v>
      </c>
      <c r="C162" s="60">
        <f t="shared" si="24"/>
        <v>2238.0120000000002</v>
      </c>
      <c r="D162" s="60">
        <f t="shared" si="24"/>
        <v>2244.4030000000002</v>
      </c>
      <c r="E162" s="60">
        <f t="shared" si="24"/>
        <v>2244.59</v>
      </c>
      <c r="F162" s="60">
        <f t="shared" si="24"/>
        <v>2238.7750000000001</v>
      </c>
      <c r="G162" s="60">
        <f t="shared" si="24"/>
        <v>2233.97181</v>
      </c>
      <c r="H162" s="60">
        <f t="shared" si="22"/>
        <v>2210.7735600000001</v>
      </c>
      <c r="I162" s="60">
        <f t="shared" si="22"/>
        <v>2336.1014400000004</v>
      </c>
      <c r="J162" s="60">
        <f t="shared" si="22"/>
        <v>2221.33</v>
      </c>
      <c r="K162" s="60">
        <f t="shared" si="22"/>
        <v>2232.96</v>
      </c>
      <c r="L162" s="60">
        <f t="shared" si="22"/>
        <v>2246.52</v>
      </c>
      <c r="M162" s="60">
        <f t="shared" si="22"/>
        <v>2271.75</v>
      </c>
      <c r="N162" s="117">
        <v>15622.833929999999</v>
      </c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3"/>
        <v>Vtas. 18</v>
      </c>
      <c r="B163" s="60">
        <f t="shared" ref="B163:M163" si="25">B144*B125</f>
        <v>2201.5291474410001</v>
      </c>
      <c r="C163" s="60">
        <f t="shared" si="25"/>
        <v>2209.1295982470001</v>
      </c>
      <c r="D163" s="60">
        <f t="shared" si="25"/>
        <v>2290.985593074</v>
      </c>
      <c r="E163" s="60">
        <f t="shared" si="25"/>
        <v>2271.5925042300005</v>
      </c>
      <c r="F163" s="60">
        <f t="shared" si="25"/>
        <v>2456.7130892149999</v>
      </c>
      <c r="G163" s="60">
        <f t="shared" si="25"/>
        <v>2322.7520947679996</v>
      </c>
      <c r="H163" s="60">
        <f t="shared" si="25"/>
        <v>2202.1140393850001</v>
      </c>
      <c r="I163" s="60">
        <f t="shared" si="25"/>
        <v>2280.7175830400001</v>
      </c>
      <c r="J163" s="60">
        <f t="shared" si="25"/>
        <v>2171.7678230929996</v>
      </c>
      <c r="K163" s="60">
        <f t="shared" si="25"/>
        <v>2396.4117618999999</v>
      </c>
      <c r="L163" s="60">
        <f t="shared" si="25"/>
        <v>2365.4695575000001</v>
      </c>
      <c r="M163" s="60">
        <f t="shared" si="25"/>
        <v>2296.0658592</v>
      </c>
      <c r="N163" s="59">
        <v>15954.816066359999</v>
      </c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3"/>
        <v>UAFIR FL. 19</v>
      </c>
      <c r="B164" s="60">
        <f t="shared" ref="B164:M164" si="26">B126*B142</f>
        <v>1949.0019559999996</v>
      </c>
      <c r="C164" s="60">
        <f t="shared" si="26"/>
        <v>2138.4107427920003</v>
      </c>
      <c r="D164" s="60">
        <f t="shared" si="26"/>
        <v>2199.745490454</v>
      </c>
      <c r="E164" s="60">
        <f t="shared" si="26"/>
        <v>2033.1774307389999</v>
      </c>
      <c r="F164" s="60">
        <f t="shared" si="26"/>
        <v>2434.3347212140002</v>
      </c>
      <c r="G164" s="60">
        <f t="shared" si="26"/>
        <v>2086.5849915960002</v>
      </c>
      <c r="H164" s="60">
        <f t="shared" si="26"/>
        <v>2292.4312544020004</v>
      </c>
      <c r="I164" s="60">
        <f t="shared" si="26"/>
        <v>2183.3924556880002</v>
      </c>
      <c r="J164" s="60">
        <f t="shared" si="26"/>
        <v>0</v>
      </c>
      <c r="K164" s="60">
        <f t="shared" si="26"/>
        <v>0</v>
      </c>
      <c r="L164" s="60">
        <f t="shared" si="26"/>
        <v>0</v>
      </c>
      <c r="M164" s="60">
        <f t="shared" si="26"/>
        <v>0</v>
      </c>
      <c r="N164" s="59">
        <v>15133.686587197</v>
      </c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3"/>
        <v>UAFIR FL. P. 19</v>
      </c>
      <c r="B165" s="118">
        <v>2104.4249999999997</v>
      </c>
      <c r="C165" s="118">
        <v>2104.4249999999997</v>
      </c>
      <c r="D165" s="118">
        <v>2104.4249999999997</v>
      </c>
      <c r="E165" s="118">
        <v>2106.415</v>
      </c>
      <c r="F165" s="118">
        <v>2106.415</v>
      </c>
      <c r="G165" s="118">
        <f t="shared" ref="G165" si="27">G127*G145</f>
        <v>2033.2408949999999</v>
      </c>
      <c r="H165" s="118">
        <f>H127*H143</f>
        <v>2012.2977550000001</v>
      </c>
      <c r="I165" s="118">
        <v>2011.1499999999999</v>
      </c>
      <c r="J165" s="118">
        <v>2011.1499999999999</v>
      </c>
      <c r="K165" s="118">
        <v>2011.1499999999999</v>
      </c>
      <c r="L165" s="118">
        <v>2013.0500000000004</v>
      </c>
      <c r="M165" s="118">
        <v>2014.9500000000003</v>
      </c>
      <c r="N165" s="59">
        <v>14571.643649999998</v>
      </c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3"/>
        <v>S. Deuda 19</v>
      </c>
      <c r="B166" s="60">
        <f t="shared" ref="B166:M166" si="28">B128*B142</f>
        <v>1148.0777175999999</v>
      </c>
      <c r="C166" s="60">
        <f t="shared" si="28"/>
        <v>1239.0600917000002</v>
      </c>
      <c r="D166" s="60">
        <f t="shared" si="28"/>
        <v>1287.4870539000001</v>
      </c>
      <c r="E166" s="60">
        <f t="shared" si="28"/>
        <v>1263.0177559999997</v>
      </c>
      <c r="F166" s="60">
        <f t="shared" si="28"/>
        <v>1275.5708013999999</v>
      </c>
      <c r="G166" s="60">
        <f t="shared" si="28"/>
        <v>1103.3669367</v>
      </c>
      <c r="H166" s="60">
        <f t="shared" si="28"/>
        <v>1194.6534099999994</v>
      </c>
      <c r="I166" s="60">
        <f t="shared" si="28"/>
        <v>1254.4782447440002</v>
      </c>
      <c r="J166" s="60">
        <f t="shared" si="28"/>
        <v>0</v>
      </c>
      <c r="K166" s="60">
        <f t="shared" si="28"/>
        <v>0</v>
      </c>
      <c r="L166" s="60">
        <f t="shared" si="28"/>
        <v>0</v>
      </c>
      <c r="M166" s="60">
        <f t="shared" si="28"/>
        <v>0</v>
      </c>
      <c r="N166" s="59">
        <v>8511.2337673000002</v>
      </c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3"/>
        <v>Pagos Ext.</v>
      </c>
      <c r="B167" s="60">
        <f t="shared" ref="B167:M167" si="29">B129*B142</f>
        <v>0</v>
      </c>
      <c r="C167" s="60">
        <f t="shared" si="29"/>
        <v>0</v>
      </c>
      <c r="D167" s="60">
        <f t="shared" si="29"/>
        <v>0</v>
      </c>
      <c r="E167" s="60">
        <f t="shared" si="29"/>
        <v>0</v>
      </c>
      <c r="F167" s="60">
        <f t="shared" si="29"/>
        <v>9244.2004120000001</v>
      </c>
      <c r="G167" s="60">
        <f t="shared" si="29"/>
        <v>4501.3304535570005</v>
      </c>
      <c r="H167" s="60">
        <f t="shared" si="29"/>
        <v>4873.5053971930001</v>
      </c>
      <c r="I167" s="60">
        <f t="shared" si="29"/>
        <v>0</v>
      </c>
      <c r="J167" s="60">
        <f t="shared" si="29"/>
        <v>0</v>
      </c>
      <c r="K167" s="60">
        <f t="shared" si="29"/>
        <v>0</v>
      </c>
      <c r="L167" s="60">
        <f t="shared" si="29"/>
        <v>0</v>
      </c>
      <c r="M167" s="60">
        <f t="shared" si="29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si="23"/>
        <v>UAFIR FL./V.R.</v>
      </c>
      <c r="B168" s="65">
        <f t="shared" ref="B168:M169" si="30">IFERROR(B164/B161,0)</f>
        <v>0.8747748332826315</v>
      </c>
      <c r="C168" s="65">
        <f t="shared" si="30"/>
        <v>0.94265493776542419</v>
      </c>
      <c r="D168" s="65">
        <f t="shared" si="30"/>
        <v>0.94001810837832955</v>
      </c>
      <c r="E168" s="65">
        <f t="shared" si="30"/>
        <v>1</v>
      </c>
      <c r="F168" s="65">
        <f t="shared" si="30"/>
        <v>0.95157086132743596</v>
      </c>
      <c r="G168" s="65">
        <f t="shared" si="30"/>
        <v>0.83406113771822898</v>
      </c>
      <c r="H168" s="65">
        <f t="shared" si="30"/>
        <v>0.92679032892779334</v>
      </c>
      <c r="I168" s="65">
        <f t="shared" si="30"/>
        <v>0.8353520496799024</v>
      </c>
      <c r="J168" s="65">
        <f t="shared" si="30"/>
        <v>0</v>
      </c>
      <c r="K168" s="65">
        <f t="shared" si="30"/>
        <v>0</v>
      </c>
      <c r="L168" s="65">
        <f t="shared" si="30"/>
        <v>0</v>
      </c>
      <c r="M168" s="65">
        <f t="shared" si="30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23"/>
        <v>UAFIR FL./V.P.</v>
      </c>
      <c r="B169" s="95">
        <f>IFERROR(B165/B162,0)</f>
        <v>0.95123484944613679</v>
      </c>
      <c r="C169" s="95">
        <f t="shared" si="30"/>
        <v>0.94030997152830265</v>
      </c>
      <c r="D169" s="95">
        <f t="shared" si="30"/>
        <v>0.93763241271732367</v>
      </c>
      <c r="E169" s="95">
        <f t="shared" si="30"/>
        <v>0.93844087338890392</v>
      </c>
      <c r="F169" s="95">
        <f t="shared" si="30"/>
        <v>0.94087838215095299</v>
      </c>
      <c r="G169" s="95">
        <f t="shared" si="30"/>
        <v>0.91014617368873596</v>
      </c>
      <c r="H169" s="95">
        <f t="shared" si="30"/>
        <v>0.91022336769759449</v>
      </c>
      <c r="I169" s="95">
        <f t="shared" si="30"/>
        <v>0.86090011570730407</v>
      </c>
      <c r="J169" s="95">
        <f t="shared" si="30"/>
        <v>0.90538101047570596</v>
      </c>
      <c r="K169" s="95">
        <f t="shared" si="30"/>
        <v>0.90066548437947824</v>
      </c>
      <c r="L169" s="95">
        <f t="shared" si="30"/>
        <v>0.89607481794063726</v>
      </c>
      <c r="M169" s="95">
        <f>IFERROR(M165/M162,0)</f>
        <v>0.88695939253879175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9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79" si="31">A149</f>
        <v>Vtas. 19</v>
      </c>
      <c r="B174" s="58">
        <f t="shared" ref="B174:L174" si="32">B51+B70+B34+B90</f>
        <v>230997.68541499999</v>
      </c>
      <c r="C174" s="58">
        <f t="shared" si="32"/>
        <v>202890.18751000002</v>
      </c>
      <c r="D174" s="58">
        <f t="shared" si="32"/>
        <v>215704.09557999999</v>
      </c>
      <c r="E174" s="58">
        <f t="shared" si="32"/>
        <v>218117.465635</v>
      </c>
      <c r="F174" s="58">
        <f t="shared" si="32"/>
        <v>218505.97690000001</v>
      </c>
      <c r="G174" s="58">
        <f t="shared" si="32"/>
        <v>208276.42217500001</v>
      </c>
      <c r="H174" s="58">
        <f t="shared" si="32"/>
        <v>211934.54985999997</v>
      </c>
      <c r="I174" s="58">
        <f t="shared" si="32"/>
        <v>209694.228645</v>
      </c>
      <c r="J174" s="58">
        <f t="shared" si="32"/>
        <v>28059.990830000002</v>
      </c>
      <c r="K174" s="58">
        <f t="shared" si="32"/>
        <v>0</v>
      </c>
      <c r="L174" s="58">
        <f t="shared" si="32"/>
        <v>0</v>
      </c>
      <c r="M174" s="58">
        <f>M51+M70+M34+M90</f>
        <v>0</v>
      </c>
      <c r="N174" s="59">
        <v>1506426.383075</v>
      </c>
      <c r="O174" s="48">
        <f>CHOOSE(MONTH(Mes_cierre),B174,C174,D174,E174,F174,G174,H174,I174,J174,K174,L174,M174)</f>
        <v>28059.990830000002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1"/>
        <v>Vtas. P. 19</v>
      </c>
      <c r="B175" s="60">
        <f t="shared" ref="B175:M175" si="33">B52+B71+B35+B91</f>
        <v>253163.19013380315</v>
      </c>
      <c r="C175" s="60">
        <f t="shared" si="33"/>
        <v>234030.56297267234</v>
      </c>
      <c r="D175" s="60">
        <f t="shared" si="33"/>
        <v>247619.24591364953</v>
      </c>
      <c r="E175" s="60">
        <f t="shared" si="33"/>
        <v>242410.9696471896</v>
      </c>
      <c r="F175" s="60">
        <f t="shared" si="33"/>
        <v>250464.58563664381</v>
      </c>
      <c r="G175" s="60">
        <f t="shared" si="33"/>
        <v>244093.46289319504</v>
      </c>
      <c r="H175" s="60">
        <f t="shared" si="33"/>
        <v>246089.65284288613</v>
      </c>
      <c r="I175" s="60">
        <f t="shared" si="33"/>
        <v>246833.92188380408</v>
      </c>
      <c r="J175" s="60">
        <f t="shared" si="33"/>
        <v>229227.26628251342</v>
      </c>
      <c r="K175" s="60">
        <f t="shared" si="33"/>
        <v>248584.01049249276</v>
      </c>
      <c r="L175" s="60">
        <f t="shared" si="33"/>
        <v>265208.78960111691</v>
      </c>
      <c r="M175" s="60">
        <f t="shared" si="33"/>
        <v>290121.27018302033</v>
      </c>
      <c r="N175" s="59">
        <v>1717871.6700400396</v>
      </c>
      <c r="O175" s="48">
        <f>CHOOSE(MONTH(Mes_cierre),B175,C175,D175,E175,F175,G175,H175,I175,J175,K175,L175,M175)</f>
        <v>229227.26628251342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1"/>
        <v>Vtas. 18</v>
      </c>
      <c r="B176" s="60">
        <f t="shared" ref="B176:M176" si="34">B53+B72+B36+B92</f>
        <v>201484.53435199999</v>
      </c>
      <c r="C176" s="60">
        <f t="shared" si="34"/>
        <v>180147.19807890002</v>
      </c>
      <c r="D176" s="60">
        <f t="shared" si="34"/>
        <v>198189.42947999999</v>
      </c>
      <c r="E176" s="60">
        <f t="shared" si="34"/>
        <v>191618.98522999996</v>
      </c>
      <c r="F176" s="60">
        <f t="shared" si="34"/>
        <v>208718.495991</v>
      </c>
      <c r="G176" s="60">
        <f t="shared" si="34"/>
        <v>192260.83446700001</v>
      </c>
      <c r="H176" s="60">
        <f t="shared" si="34"/>
        <v>205500.87574399999</v>
      </c>
      <c r="I176" s="60">
        <f t="shared" si="34"/>
        <v>196529.89639299997</v>
      </c>
      <c r="J176" s="60">
        <f t="shared" si="34"/>
        <v>188059.32897104</v>
      </c>
      <c r="K176" s="60">
        <f t="shared" si="34"/>
        <v>212172.48443143995</v>
      </c>
      <c r="L176" s="60">
        <f t="shared" si="34"/>
        <v>208821.618824</v>
      </c>
      <c r="M176" s="60">
        <f t="shared" si="34"/>
        <v>249147.9368250345</v>
      </c>
      <c r="N176" s="59">
        <v>1377920.3533429001</v>
      </c>
      <c r="O176" s="48">
        <f>CHOOSE(MONTH(Mes_cierre),B176,C176,D176,E176,F176,G176,H176,I176,J176,K176,L176,M176)</f>
        <v>188059.32897104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1"/>
        <v>UAFIR FL. 19</v>
      </c>
      <c r="B177" s="60">
        <f t="shared" ref="B177:M177" si="35">B54+B73+B37+B93</f>
        <v>23323.438620000015</v>
      </c>
      <c r="C177" s="60">
        <f t="shared" si="35"/>
        <v>20150.806800000013</v>
      </c>
      <c r="D177" s="60">
        <f t="shared" si="35"/>
        <v>20715.783710000007</v>
      </c>
      <c r="E177" s="60">
        <f t="shared" si="35"/>
        <v>21874.106079999914</v>
      </c>
      <c r="F177" s="60">
        <f t="shared" si="35"/>
        <v>17834.665990000009</v>
      </c>
      <c r="G177" s="60">
        <f t="shared" si="35"/>
        <v>21533.256215000005</v>
      </c>
      <c r="H177" s="60">
        <f t="shared" si="35"/>
        <v>19318.447059999991</v>
      </c>
      <c r="I177" s="60">
        <f t="shared" si="35"/>
        <v>16563.626705000002</v>
      </c>
      <c r="J177" s="60">
        <f t="shared" si="35"/>
        <v>2707.9599399999997</v>
      </c>
      <c r="K177" s="60">
        <f t="shared" si="35"/>
        <v>0</v>
      </c>
      <c r="L177" s="60">
        <f t="shared" si="35"/>
        <v>0</v>
      </c>
      <c r="M177" s="60">
        <f t="shared" si="35"/>
        <v>0</v>
      </c>
      <c r="N177" s="117">
        <v>144750.50447499997</v>
      </c>
      <c r="O177" s="120"/>
      <c r="P177" s="121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1"/>
        <v>UAFIR FL. P. 19</v>
      </c>
      <c r="B178" s="60">
        <f t="shared" ref="B178:M178" si="36">B55+B74+B38+B94</f>
        <v>21357.437312187114</v>
      </c>
      <c r="C178" s="60">
        <f t="shared" si="36"/>
        <v>16424.368297812096</v>
      </c>
      <c r="D178" s="60">
        <f t="shared" si="36"/>
        <v>19599.184692864874</v>
      </c>
      <c r="E178" s="60">
        <f t="shared" si="36"/>
        <v>19467.312672330911</v>
      </c>
      <c r="F178" s="60">
        <f t="shared" si="36"/>
        <v>19341.513014460539</v>
      </c>
      <c r="G178" s="60">
        <f t="shared" si="36"/>
        <v>20360.207559522929</v>
      </c>
      <c r="H178" s="60">
        <f t="shared" si="36"/>
        <v>19065.001672921277</v>
      </c>
      <c r="I178" s="60">
        <f t="shared" si="36"/>
        <v>19160.32029977483</v>
      </c>
      <c r="J178" s="60">
        <f t="shared" si="36"/>
        <v>15430.989621637898</v>
      </c>
      <c r="K178" s="60">
        <f t="shared" si="36"/>
        <v>17487.314228282976</v>
      </c>
      <c r="L178" s="60">
        <f t="shared" si="36"/>
        <v>22880.205930784505</v>
      </c>
      <c r="M178" s="60">
        <f t="shared" si="36"/>
        <v>30243.803918402918</v>
      </c>
      <c r="N178" s="59">
        <v>135615.02522209974</v>
      </c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1"/>
        <v>S. Deuda 19</v>
      </c>
      <c r="B179" s="60">
        <f t="shared" ref="B179:M179" si="37">B56+B75+B39+B95+B19</f>
        <v>4484.3495835699996</v>
      </c>
      <c r="C179" s="60">
        <f t="shared" si="37"/>
        <v>5144.9035601120004</v>
      </c>
      <c r="D179" s="60">
        <f t="shared" si="37"/>
        <v>4519.9958757730001</v>
      </c>
      <c r="E179" s="60">
        <f t="shared" si="37"/>
        <v>4168.3758198999994</v>
      </c>
      <c r="F179" s="60">
        <f t="shared" si="37"/>
        <v>4258.3682758119994</v>
      </c>
      <c r="G179" s="60">
        <f t="shared" si="37"/>
        <v>3973.4237350000003</v>
      </c>
      <c r="H179" s="60">
        <f t="shared" si="37"/>
        <v>3926.2200749999997</v>
      </c>
      <c r="I179" s="60">
        <f t="shared" si="37"/>
        <v>4133.6945400000004</v>
      </c>
      <c r="J179" s="60">
        <f t="shared" si="37"/>
        <v>2188.5560500000001</v>
      </c>
      <c r="K179" s="60">
        <f t="shared" si="37"/>
        <v>0</v>
      </c>
      <c r="L179" s="60">
        <f t="shared" si="37"/>
        <v>0</v>
      </c>
      <c r="M179" s="60">
        <f t="shared" si="37"/>
        <v>0</v>
      </c>
      <c r="N179" s="59">
        <v>30475.636925166997</v>
      </c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">
        <v>57</v>
      </c>
      <c r="B180" s="62">
        <f t="shared" ref="B180:M180" si="38">B57+B76+B40+B96+B21</f>
        <v>1100</v>
      </c>
      <c r="C180" s="62">
        <f t="shared" si="38"/>
        <v>1094.16796</v>
      </c>
      <c r="D180" s="62">
        <f t="shared" si="38"/>
        <v>7038.8634699989998</v>
      </c>
      <c r="E180" s="62">
        <f t="shared" si="38"/>
        <v>1333.5254751</v>
      </c>
      <c r="F180" s="62">
        <f t="shared" si="38"/>
        <v>1416.3493156000002</v>
      </c>
      <c r="G180" s="62">
        <f t="shared" si="38"/>
        <v>1536.6959999999999</v>
      </c>
      <c r="H180" s="62">
        <f t="shared" si="38"/>
        <v>1557.4177999999997</v>
      </c>
      <c r="I180" s="62">
        <f t="shared" si="38"/>
        <v>0</v>
      </c>
      <c r="J180" s="62">
        <f t="shared" si="38"/>
        <v>0</v>
      </c>
      <c r="K180" s="62">
        <f t="shared" si="38"/>
        <v>0</v>
      </c>
      <c r="L180" s="62">
        <f t="shared" si="38"/>
        <v>0</v>
      </c>
      <c r="M180" s="62">
        <f t="shared" si="38"/>
        <v>0</v>
      </c>
      <c r="N180" s="59">
        <v>15077.020020698998</v>
      </c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39">IFERROR(B177/B174,0)</f>
        <v>0.10096827844009858</v>
      </c>
      <c r="C181" s="65">
        <f t="shared" si="39"/>
        <v>9.9318784448394398E-2</v>
      </c>
      <c r="D181" s="65">
        <f t="shared" si="39"/>
        <v>9.6037971158118185E-2</v>
      </c>
      <c r="E181" s="65">
        <f t="shared" si="39"/>
        <v>0.10028589877623219</v>
      </c>
      <c r="F181" s="65">
        <f t="shared" si="39"/>
        <v>8.1620952630335156E-2</v>
      </c>
      <c r="G181" s="65">
        <f t="shared" si="39"/>
        <v>0.1033878726652368</v>
      </c>
      <c r="H181" s="65">
        <f t="shared" si="39"/>
        <v>9.1152891648678319E-2</v>
      </c>
      <c r="I181" s="65">
        <f t="shared" si="39"/>
        <v>7.8989425755924117E-2</v>
      </c>
      <c r="J181" s="65">
        <f t="shared" si="39"/>
        <v>9.650608784607359E-2</v>
      </c>
      <c r="K181" s="65">
        <f t="shared" si="39"/>
        <v>0</v>
      </c>
      <c r="L181" s="65">
        <f t="shared" si="39"/>
        <v>0</v>
      </c>
      <c r="M181" s="65">
        <f t="shared" si="39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8.4362332852967958E-2</v>
      </c>
      <c r="C182" s="67">
        <f t="shared" si="39"/>
        <v>7.0180441773025876E-2</v>
      </c>
      <c r="D182" s="67">
        <f t="shared" si="39"/>
        <v>7.9150490183220873E-2</v>
      </c>
      <c r="E182" s="67">
        <f t="shared" si="39"/>
        <v>8.0307061601478172E-2</v>
      </c>
      <c r="F182" s="67">
        <f t="shared" si="39"/>
        <v>7.7222546114842083E-2</v>
      </c>
      <c r="G182" s="67">
        <f t="shared" si="39"/>
        <v>8.3411523267346549E-2</v>
      </c>
      <c r="H182" s="67">
        <f t="shared" si="39"/>
        <v>7.7471772797750124E-2</v>
      </c>
      <c r="I182" s="67">
        <f t="shared" si="39"/>
        <v>7.7624340096959857E-2</v>
      </c>
      <c r="J182" s="67">
        <f t="shared" si="39"/>
        <v>6.7317426377278444E-2</v>
      </c>
      <c r="K182" s="67">
        <f t="shared" si="39"/>
        <v>7.0347703352428986E-2</v>
      </c>
      <c r="L182" s="67">
        <f t="shared" si="39"/>
        <v>8.6272426962911444E-2</v>
      </c>
      <c r="M182" s="67">
        <f t="shared" si="39"/>
        <v>0.1042453864183205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22" t="s">
        <v>107</v>
      </c>
      <c r="B184" s="88"/>
      <c r="C184" s="88"/>
      <c r="D184" s="88"/>
      <c r="E184" s="88"/>
      <c r="F184" s="88"/>
      <c r="G184" s="88"/>
      <c r="H184" s="88"/>
      <c r="I184" s="88"/>
      <c r="J184" s="123"/>
      <c r="K184" s="123"/>
      <c r="L184" s="123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133</v>
      </c>
      <c r="D188" s="49"/>
      <c r="E188" s="49"/>
      <c r="F188" s="49"/>
      <c r="G188" s="49"/>
      <c r="H188" s="49" t="s">
        <v>134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4"/>
      <c r="I189" s="124"/>
      <c r="J189" s="124"/>
      <c r="K189" s="124"/>
      <c r="L189" s="124"/>
      <c r="M189" s="124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4"/>
      <c r="K197" s="124"/>
      <c r="L197" s="124"/>
      <c r="M197" s="124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4"/>
      <c r="K198" s="124"/>
      <c r="L198" s="124"/>
      <c r="M198" s="124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4"/>
      <c r="K199" s="124"/>
      <c r="L199" s="124"/>
      <c r="M199" s="124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5"/>
      <c r="K202" s="125"/>
      <c r="L202" s="125"/>
      <c r="M202" s="125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4"/>
      <c r="AU202" s="124"/>
      <c r="AV202" s="124"/>
      <c r="AW202" s="124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5"/>
      <c r="K203" s="125"/>
      <c r="L203" s="125"/>
      <c r="M203" s="125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4"/>
      <c r="AU203" s="124"/>
      <c r="AV203" s="124"/>
      <c r="AW203" s="124"/>
    </row>
    <row r="204" spans="1:49" ht="18" x14ac:dyDescent="0.4">
      <c r="A204" s="72"/>
      <c r="B204" s="64"/>
      <c r="C204" s="125"/>
      <c r="D204" s="97"/>
      <c r="E204" s="125"/>
      <c r="F204" s="125"/>
      <c r="G204" s="125"/>
      <c r="H204" s="125"/>
      <c r="I204" s="125"/>
      <c r="J204" s="125"/>
      <c r="K204" s="125"/>
      <c r="L204" s="125"/>
      <c r="M204" s="125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4"/>
      <c r="AU204" s="124"/>
      <c r="AV204" s="124"/>
      <c r="AW204" s="124"/>
    </row>
    <row r="205" spans="1:49" ht="18" x14ac:dyDescent="0.4">
      <c r="A205" s="72"/>
      <c r="B205" s="50" t="str">
        <f t="shared" ref="B205:B210" si="40">A149</f>
        <v>Vtas. 19</v>
      </c>
      <c r="C205" s="124"/>
      <c r="D205" s="125">
        <f t="shared" ref="D205:D211" si="41">CHOOSE(MONTH(Mes_cierre),B174,C174,D174,E174,F174,G174,H174,I174,J174,K174,L174,M174)</f>
        <v>28059.990830000002</v>
      </c>
      <c r="E205" s="126"/>
      <c r="F205" s="124"/>
      <c r="G205" s="50" t="str">
        <f t="shared" ref="G205:G210" si="42">B205</f>
        <v>Vtas. 19</v>
      </c>
      <c r="H205" s="124"/>
      <c r="I205" s="125">
        <v>1541.7903200000001</v>
      </c>
      <c r="L205" s="125"/>
      <c r="M205" s="125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0"/>
        <v>Vtas. P. 19</v>
      </c>
      <c r="C206" s="124"/>
      <c r="D206" s="125">
        <f t="shared" si="41"/>
        <v>229227.26628251342</v>
      </c>
      <c r="F206" s="124"/>
      <c r="G206" s="50" t="str">
        <f t="shared" si="42"/>
        <v>Vtas. P. 19</v>
      </c>
      <c r="H206" s="124"/>
      <c r="I206" s="125">
        <v>1660.0514330947367</v>
      </c>
      <c r="L206" s="125"/>
      <c r="M206" s="125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0"/>
        <v>Vtas. 18</v>
      </c>
      <c r="C207" s="124"/>
      <c r="D207" s="125">
        <f t="shared" si="41"/>
        <v>188059.32897104</v>
      </c>
      <c r="F207" s="124"/>
      <c r="G207" s="50" t="str">
        <f t="shared" si="42"/>
        <v>Vtas. 18</v>
      </c>
      <c r="H207" s="124"/>
      <c r="I207" s="125">
        <v>1595.4853499999997</v>
      </c>
      <c r="J207" s="125"/>
      <c r="K207" s="125"/>
      <c r="L207" s="125"/>
      <c r="M207" s="125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5"/>
      <c r="AU207" s="125"/>
      <c r="AV207" s="125"/>
      <c r="AW207" s="125"/>
    </row>
    <row r="208" spans="1:49" ht="18" x14ac:dyDescent="0.4">
      <c r="A208" s="72"/>
      <c r="B208" s="50" t="str">
        <f t="shared" si="40"/>
        <v>UAFIR FL. 19</v>
      </c>
      <c r="C208" s="124"/>
      <c r="D208" s="125">
        <f t="shared" si="41"/>
        <v>2707.9599399999997</v>
      </c>
      <c r="E208" s="124"/>
      <c r="F208" s="52"/>
      <c r="G208" s="50" t="str">
        <f t="shared" si="42"/>
        <v>UAFIR FL. 19</v>
      </c>
      <c r="H208" s="52"/>
      <c r="I208" s="125">
        <v>71.468489999999946</v>
      </c>
      <c r="J208" s="125"/>
      <c r="K208" s="125"/>
      <c r="L208" s="125"/>
      <c r="M208" s="125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5"/>
      <c r="AU208" s="125"/>
      <c r="AV208" s="125"/>
      <c r="AW208" s="125"/>
    </row>
    <row r="209" spans="1:49" ht="18" x14ac:dyDescent="0.4">
      <c r="A209" s="76"/>
      <c r="B209" s="50" t="str">
        <f t="shared" si="40"/>
        <v>UAFIR FL. P. 19</v>
      </c>
      <c r="C209" s="124"/>
      <c r="D209" s="125">
        <f t="shared" si="41"/>
        <v>15430.989621637898</v>
      </c>
      <c r="E209" s="124"/>
      <c r="F209" s="100"/>
      <c r="G209" s="50" t="str">
        <f t="shared" si="42"/>
        <v>UAFIR FL. P. 19</v>
      </c>
      <c r="H209" s="100"/>
      <c r="I209" s="125">
        <v>71.692199742105146</v>
      </c>
      <c r="J209" s="127"/>
      <c r="K209" s="127"/>
      <c r="L209" s="127"/>
      <c r="M209" s="127"/>
      <c r="AK209" s="72"/>
      <c r="AL209" s="64"/>
      <c r="AM209" s="125"/>
      <c r="AN209" s="97"/>
      <c r="AO209" s="125"/>
      <c r="AP209" s="125"/>
      <c r="AQ209" s="125"/>
      <c r="AR209" s="125"/>
      <c r="AS209" s="125"/>
      <c r="AT209" s="125"/>
      <c r="AU209" s="125"/>
      <c r="AV209" s="125"/>
      <c r="AW209" s="125"/>
    </row>
    <row r="210" spans="1:49" ht="18" x14ac:dyDescent="0.4">
      <c r="A210" s="76"/>
      <c r="B210" s="50" t="str">
        <f t="shared" si="40"/>
        <v>S. Deuda 19</v>
      </c>
      <c r="C210" s="125"/>
      <c r="D210" s="125">
        <f t="shared" si="41"/>
        <v>2188.5560500000001</v>
      </c>
      <c r="E210" s="125"/>
      <c r="F210" s="125"/>
      <c r="G210" s="50" t="str">
        <f t="shared" si="42"/>
        <v>S. Deuda 19</v>
      </c>
      <c r="H210" s="125"/>
      <c r="I210" s="125">
        <v>93.399999999999977</v>
      </c>
      <c r="J210" s="127"/>
      <c r="K210" s="127"/>
      <c r="L210" s="127"/>
      <c r="M210" s="127"/>
      <c r="AK210" s="72"/>
      <c r="AL210" s="50"/>
      <c r="AM210" s="124"/>
      <c r="AN210" s="125"/>
      <c r="AO210" s="126"/>
      <c r="AP210" s="124"/>
      <c r="AQ210" s="50"/>
      <c r="AR210" s="124"/>
      <c r="AS210" s="125"/>
      <c r="AV210" s="125"/>
      <c r="AW210" s="125"/>
    </row>
    <row r="211" spans="1:49" ht="18" x14ac:dyDescent="0.4">
      <c r="A211" s="76"/>
      <c r="B211" s="50" t="s">
        <v>57</v>
      </c>
      <c r="C211" s="125"/>
      <c r="D211" s="125">
        <f t="shared" si="41"/>
        <v>0</v>
      </c>
      <c r="E211" s="125"/>
      <c r="F211" s="125"/>
      <c r="G211" s="50" t="s">
        <v>57</v>
      </c>
      <c r="H211" s="125"/>
      <c r="I211" s="125">
        <v>256.59617000000003</v>
      </c>
      <c r="J211" s="124"/>
      <c r="K211" s="124"/>
      <c r="L211" s="124"/>
      <c r="M211" s="124"/>
      <c r="AK211" s="72"/>
      <c r="AL211" s="50"/>
      <c r="AM211" s="124"/>
      <c r="AN211" s="125"/>
      <c r="AP211" s="124"/>
      <c r="AQ211" s="50"/>
      <c r="AR211" s="124"/>
      <c r="AS211" s="125"/>
      <c r="AV211" s="125"/>
      <c r="AW211" s="125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4"/>
      <c r="AN212" s="125"/>
      <c r="AP212" s="124"/>
      <c r="AQ212" s="50"/>
      <c r="AR212" s="124"/>
      <c r="AS212" s="125"/>
      <c r="AT212" s="125"/>
      <c r="AU212" s="125"/>
      <c r="AV212" s="125"/>
      <c r="AW212" s="125"/>
    </row>
    <row r="213" spans="1:49" ht="18" x14ac:dyDescent="0.4">
      <c r="A213" s="72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AK213" s="72"/>
      <c r="AL213" s="50"/>
      <c r="AM213" s="124"/>
      <c r="AN213" s="125"/>
      <c r="AO213" s="124"/>
      <c r="AP213" s="52"/>
      <c r="AQ213" s="50"/>
      <c r="AR213" s="52"/>
      <c r="AS213" s="125"/>
      <c r="AT213" s="125"/>
      <c r="AU213" s="125"/>
      <c r="AV213" s="125"/>
      <c r="AW213" s="125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4"/>
      <c r="AN214" s="125"/>
      <c r="AO214" s="124"/>
      <c r="AP214" s="100"/>
      <c r="AQ214" s="50"/>
      <c r="AR214" s="100"/>
      <c r="AS214" s="125"/>
      <c r="AT214" s="127"/>
      <c r="AU214" s="127"/>
      <c r="AV214" s="127"/>
      <c r="AW214" s="127"/>
    </row>
    <row r="215" spans="1:49" ht="18" x14ac:dyDescent="0.4">
      <c r="A215" s="72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AK215" s="76"/>
      <c r="AL215" s="50"/>
      <c r="AM215" s="125"/>
      <c r="AN215" s="125"/>
      <c r="AO215" s="125"/>
      <c r="AP215" s="125"/>
      <c r="AQ215" s="50"/>
      <c r="AR215" s="125"/>
      <c r="AS215" s="125"/>
      <c r="AT215" s="127"/>
      <c r="AU215" s="127"/>
      <c r="AV215" s="127"/>
      <c r="AW215" s="127"/>
    </row>
    <row r="216" spans="1:49" ht="18" x14ac:dyDescent="0.4">
      <c r="A216" s="72"/>
      <c r="B216" s="125"/>
      <c r="C216" s="125"/>
      <c r="D216" s="125"/>
      <c r="E216" s="125"/>
      <c r="F216" s="128"/>
      <c r="H216" s="125"/>
      <c r="I216" s="125"/>
      <c r="J216" s="125"/>
      <c r="K216" s="125"/>
      <c r="L216" s="125"/>
      <c r="M216" s="125"/>
      <c r="AK216" s="76"/>
      <c r="AL216" s="50"/>
      <c r="AM216" s="125"/>
      <c r="AN216" s="125"/>
      <c r="AO216" s="125"/>
      <c r="AP216" s="125"/>
      <c r="AQ216" s="50"/>
      <c r="AR216" s="125"/>
      <c r="AS216" s="125"/>
      <c r="AT216" s="124"/>
      <c r="AU216" s="124"/>
      <c r="AV216" s="124"/>
      <c r="AW216" s="124"/>
    </row>
    <row r="217" spans="1:49" x14ac:dyDescent="0.35">
      <c r="A217" s="76"/>
      <c r="B217" s="127"/>
      <c r="C217" s="127"/>
      <c r="D217" s="127"/>
      <c r="E217" s="127"/>
      <c r="F217" s="129"/>
      <c r="H217" s="127"/>
      <c r="I217" s="127"/>
      <c r="J217" s="127"/>
      <c r="K217" s="127"/>
      <c r="L217" s="127"/>
      <c r="M217" s="127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AK218" s="72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</row>
    <row r="219" spans="1:49" x14ac:dyDescent="0.35">
      <c r="A219" s="76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5"/>
      <c r="AM221" s="125"/>
      <c r="AN221" s="125"/>
      <c r="AO221" s="125"/>
      <c r="AP221" s="128"/>
      <c r="AR221" s="125"/>
      <c r="AS221" s="125"/>
      <c r="AT221" s="125"/>
      <c r="AU221" s="125"/>
      <c r="AV221" s="125"/>
      <c r="AW221" s="125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7"/>
      <c r="AM222" s="127"/>
      <c r="AN222" s="127"/>
      <c r="AO222" s="127"/>
      <c r="AP222" s="129"/>
      <c r="AR222" s="127"/>
      <c r="AS222" s="127"/>
      <c r="AT222" s="127"/>
      <c r="AU222" s="127"/>
      <c r="AV222" s="127"/>
      <c r="AW222" s="127"/>
    </row>
    <row r="223" spans="1:49" x14ac:dyDescent="0.35">
      <c r="A223" s="72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AK223" s="76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</row>
    <row r="238" spans="1:49" hidden="1" x14ac:dyDescent="0.35">
      <c r="A238" s="72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AK238" s="76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</row>
    <row r="253" spans="1:49" hidden="1" x14ac:dyDescent="0.35">
      <c r="A253" s="72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AK253" s="76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</row>
    <row r="268" spans="1:49" hidden="1" x14ac:dyDescent="0.35">
      <c r="A268" s="72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AK268" s="76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</row>
    <row r="283" spans="1:49" ht="18" hidden="1" x14ac:dyDescent="0.4">
      <c r="A283" s="72"/>
      <c r="B283" s="130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AK283" s="76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30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5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</row>
    <row r="298" spans="1:49" ht="18" hidden="1" x14ac:dyDescent="0.4">
      <c r="A298" s="72"/>
      <c r="B298" s="130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AK298" s="76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31"/>
      <c r="J299" s="52"/>
      <c r="K299" s="52"/>
      <c r="L299" s="52"/>
      <c r="M299" s="52"/>
      <c r="AK299" s="76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</row>
    <row r="300" spans="1:49" ht="18" hidden="1" x14ac:dyDescent="0.4">
      <c r="A300" s="57"/>
      <c r="B300" s="100"/>
      <c r="C300" s="100"/>
      <c r="D300" s="126">
        <f>D208</f>
        <v>2707.9599399999997</v>
      </c>
      <c r="E300" s="100"/>
      <c r="F300" s="132"/>
      <c r="G300" s="128"/>
      <c r="H300" s="100"/>
      <c r="I300" s="133"/>
      <c r="J300" s="134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5"/>
      <c r="C301" s="125"/>
      <c r="D301" s="126">
        <f>D209</f>
        <v>15430.989621637898</v>
      </c>
      <c r="E301" s="125"/>
      <c r="F301" s="135"/>
      <c r="G301" s="128"/>
      <c r="H301" s="125"/>
      <c r="J301" s="125"/>
      <c r="K301" s="125"/>
      <c r="L301" s="125"/>
      <c r="M301" s="125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5"/>
      <c r="C302" s="125"/>
      <c r="D302" s="125">
        <f>D300-D301</f>
        <v>-12723.029681637898</v>
      </c>
      <c r="E302" s="125"/>
      <c r="F302" s="125"/>
      <c r="G302" s="125"/>
      <c r="H302" s="125"/>
      <c r="I302" s="131"/>
      <c r="J302" s="125"/>
      <c r="K302" s="125"/>
      <c r="L302" s="125"/>
      <c r="M302" s="125"/>
      <c r="AK302" s="72"/>
      <c r="AL302" s="125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5"/>
      <c r="C303" s="125"/>
      <c r="D303" s="125"/>
      <c r="E303" s="125"/>
      <c r="F303" s="125"/>
      <c r="G303" s="125"/>
      <c r="H303" s="125"/>
      <c r="I303" s="136"/>
      <c r="J303" s="125"/>
      <c r="K303" s="125"/>
      <c r="L303" s="125"/>
      <c r="M303" s="125"/>
      <c r="AK303" s="72"/>
      <c r="AL303" s="130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</row>
    <row r="304" spans="1:49" ht="18" x14ac:dyDescent="0.4">
      <c r="A304" s="72"/>
      <c r="B304" s="125"/>
      <c r="C304" s="125"/>
      <c r="D304" s="125"/>
      <c r="E304" s="125"/>
      <c r="F304" s="125"/>
      <c r="G304" s="125"/>
      <c r="H304" s="125"/>
      <c r="I304" s="131"/>
      <c r="J304" s="125"/>
      <c r="K304" s="125"/>
      <c r="L304" s="125"/>
      <c r="M304" s="125"/>
      <c r="AK304" s="76"/>
      <c r="AL304" s="52"/>
      <c r="AM304" s="51"/>
      <c r="AN304" s="52"/>
      <c r="AO304" s="52"/>
      <c r="AP304" s="52"/>
      <c r="AQ304" s="52"/>
      <c r="AR304" s="52"/>
      <c r="AS304" s="131"/>
      <c r="AT304" s="52"/>
      <c r="AU304" s="52"/>
      <c r="AV304" s="52"/>
      <c r="AW304" s="52"/>
    </row>
    <row r="305" spans="1:49" ht="18" x14ac:dyDescent="0.4">
      <c r="A305" s="72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AK305" s="57"/>
      <c r="AL305" s="100"/>
      <c r="AM305" s="100"/>
      <c r="AN305" s="126"/>
      <c r="AO305" s="100"/>
      <c r="AP305" s="132"/>
      <c r="AQ305" s="128"/>
      <c r="AR305" s="100"/>
      <c r="AS305" s="133"/>
      <c r="AT305" s="134"/>
      <c r="AU305" s="100"/>
      <c r="AV305" s="100"/>
      <c r="AW305" s="100"/>
    </row>
    <row r="306" spans="1:49" ht="18" x14ac:dyDescent="0.4">
      <c r="A306" s="72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AK306" s="72"/>
      <c r="AL306" s="125"/>
      <c r="AM306" s="125"/>
      <c r="AN306" s="126"/>
      <c r="AO306" s="125"/>
      <c r="AP306" s="135"/>
      <c r="AQ306" s="128"/>
      <c r="AR306" s="125"/>
      <c r="AT306" s="125"/>
      <c r="AU306" s="125"/>
      <c r="AV306" s="125"/>
      <c r="AW306" s="125"/>
    </row>
    <row r="307" spans="1:49" ht="18" x14ac:dyDescent="0.4">
      <c r="A307" s="72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AK307" s="72"/>
      <c r="AL307" s="125"/>
      <c r="AM307" s="125"/>
      <c r="AN307" s="125"/>
      <c r="AO307" s="125"/>
      <c r="AP307" s="125"/>
      <c r="AQ307" s="125"/>
      <c r="AR307" s="125"/>
      <c r="AS307" s="131"/>
      <c r="AT307" s="125"/>
      <c r="AU307" s="125"/>
      <c r="AV307" s="125"/>
      <c r="AW307" s="125"/>
    </row>
    <row r="308" spans="1:49" ht="18" x14ac:dyDescent="0.4">
      <c r="A308" s="76"/>
      <c r="B308" s="12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AK308" s="72"/>
      <c r="AL308" s="125"/>
      <c r="AM308" s="125"/>
      <c r="AN308" s="125"/>
      <c r="AO308" s="125"/>
      <c r="AP308" s="125"/>
      <c r="AQ308" s="125"/>
      <c r="AR308" s="125"/>
      <c r="AS308" s="136"/>
      <c r="AT308" s="125"/>
      <c r="AU308" s="125"/>
      <c r="AV308" s="125"/>
      <c r="AW308" s="125"/>
    </row>
    <row r="309" spans="1:49" ht="18" x14ac:dyDescent="0.4">
      <c r="A309" s="76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AK309" s="72"/>
      <c r="AL309" s="125"/>
      <c r="AM309" s="125"/>
      <c r="AN309" s="125"/>
      <c r="AO309" s="125"/>
      <c r="AP309" s="125"/>
      <c r="AQ309" s="125"/>
      <c r="AR309" s="125"/>
      <c r="AS309" s="131"/>
      <c r="AT309" s="125"/>
      <c r="AU309" s="125"/>
      <c r="AV309" s="125"/>
      <c r="AW309" s="125"/>
    </row>
    <row r="310" spans="1:49" ht="18" x14ac:dyDescent="0.4">
      <c r="A310" s="76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AK310" s="72"/>
      <c r="AL310" s="125"/>
      <c r="AM310" s="125"/>
      <c r="AN310" s="125"/>
      <c r="AO310" s="125"/>
      <c r="AP310" s="125"/>
      <c r="AQ310" s="125"/>
      <c r="AR310" s="125"/>
      <c r="AS310" s="125"/>
      <c r="AT310" s="125"/>
      <c r="AU310" s="125"/>
      <c r="AV310" s="125"/>
      <c r="AW310" s="125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5"/>
      <c r="AM311" s="125"/>
      <c r="AN311" s="125"/>
      <c r="AO311" s="125"/>
      <c r="AP311" s="125"/>
      <c r="AQ311" s="125"/>
      <c r="AR311" s="125"/>
      <c r="AS311" s="125"/>
      <c r="AT311" s="125"/>
      <c r="AU311" s="125"/>
      <c r="AV311" s="125"/>
      <c r="AW311" s="125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5"/>
      <c r="AM312" s="125"/>
      <c r="AN312" s="125"/>
      <c r="AO312" s="125"/>
      <c r="AP312" s="125"/>
      <c r="AQ312" s="125"/>
      <c r="AR312" s="125"/>
      <c r="AS312" s="125"/>
      <c r="AT312" s="125"/>
      <c r="AU312" s="125"/>
      <c r="AV312" s="125"/>
      <c r="AW312" s="125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</row>
    <row r="344" spans="1:49" ht="18" hidden="1" x14ac:dyDescent="0.4">
      <c r="A344" s="72"/>
      <c r="B344" s="125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5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</row>
    <row r="359" spans="1:49" ht="18" hidden="1" x14ac:dyDescent="0.4">
      <c r="A359" s="72"/>
      <c r="B359" s="125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5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7"/>
      <c r="AM373" s="127"/>
      <c r="AN373" s="127"/>
      <c r="AO373" s="127"/>
      <c r="AP373" s="127"/>
      <c r="AQ373" s="127"/>
      <c r="AR373" s="127"/>
      <c r="AS373" s="127"/>
      <c r="AT373" s="127"/>
      <c r="AU373" s="127"/>
      <c r="AV373" s="127"/>
      <c r="AW373" s="127"/>
    </row>
    <row r="374" spans="1:49" ht="18" hidden="1" x14ac:dyDescent="0.4">
      <c r="A374" s="72"/>
      <c r="B374" s="125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5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</row>
    <row r="389" spans="1:49" ht="18" hidden="1" x14ac:dyDescent="0.4">
      <c r="A389" s="72"/>
      <c r="B389" s="130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AK389" s="76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</row>
    <row r="390" spans="1:49" hidden="1" x14ac:dyDescent="0.35">
      <c r="A390" s="76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AK390" s="76"/>
      <c r="AL390" s="124"/>
      <c r="AM390" s="124"/>
      <c r="AN390" s="124"/>
      <c r="AO390" s="124"/>
      <c r="AP390" s="124"/>
      <c r="AQ390" s="124"/>
      <c r="AR390" s="124"/>
      <c r="AS390" s="124"/>
      <c r="AT390" s="124"/>
      <c r="AU390" s="124"/>
      <c r="AV390" s="124"/>
      <c r="AW390" s="124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5"/>
      <c r="C393" s="125"/>
      <c r="D393" s="125"/>
      <c r="E393" s="125"/>
      <c r="F393" s="125"/>
      <c r="G393" s="125"/>
      <c r="H393" s="125"/>
      <c r="I393" s="125"/>
      <c r="J393" s="125"/>
      <c r="K393" s="125"/>
      <c r="L393" s="125"/>
      <c r="M393" s="125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5"/>
      <c r="C394" s="125"/>
      <c r="D394" s="125"/>
      <c r="E394" s="125"/>
      <c r="F394" s="125"/>
      <c r="G394" s="125"/>
      <c r="H394" s="125"/>
      <c r="I394" s="125"/>
      <c r="J394" s="125"/>
      <c r="K394" s="125"/>
      <c r="L394" s="125"/>
      <c r="M394" s="125"/>
      <c r="AK394" s="72"/>
      <c r="AL394" s="130"/>
      <c r="AM394" s="124"/>
      <c r="AN394" s="124"/>
      <c r="AO394" s="124"/>
      <c r="AP394" s="124"/>
      <c r="AQ394" s="124"/>
      <c r="AR394" s="124"/>
      <c r="AS394" s="124"/>
      <c r="AT394" s="124"/>
      <c r="AU394" s="124"/>
      <c r="AV394" s="124"/>
      <c r="AW394" s="124"/>
    </row>
    <row r="395" spans="1:49" ht="18" x14ac:dyDescent="0.4">
      <c r="A395" s="72"/>
      <c r="B395" s="125"/>
      <c r="C395" s="125"/>
      <c r="D395" s="125"/>
      <c r="E395" s="125"/>
      <c r="F395" s="125"/>
      <c r="G395" s="125"/>
      <c r="H395" s="125"/>
      <c r="I395" s="125"/>
      <c r="J395" s="125"/>
      <c r="K395" s="125"/>
      <c r="L395" s="125"/>
      <c r="M395" s="125"/>
      <c r="AK395" s="76"/>
      <c r="AL395" s="124"/>
      <c r="AM395" s="124"/>
      <c r="AN395" s="124"/>
      <c r="AO395" s="124"/>
      <c r="AP395" s="124"/>
      <c r="AQ395" s="124"/>
      <c r="AR395" s="124"/>
      <c r="AS395" s="124"/>
      <c r="AT395" s="124"/>
      <c r="AU395" s="124"/>
      <c r="AV395" s="124"/>
      <c r="AW395" s="124"/>
    </row>
    <row r="396" spans="1:49" ht="18" x14ac:dyDescent="0.4">
      <c r="A396" s="72"/>
      <c r="B396" s="125"/>
      <c r="C396" s="125"/>
      <c r="D396" s="125"/>
      <c r="E396" s="125"/>
      <c r="F396" s="125"/>
      <c r="G396" s="125"/>
      <c r="H396" s="125"/>
      <c r="I396" s="125"/>
      <c r="J396" s="125"/>
      <c r="K396" s="125"/>
      <c r="L396" s="125"/>
      <c r="M396" s="125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5"/>
      <c r="C397" s="125"/>
      <c r="D397" s="125"/>
      <c r="E397" s="125"/>
      <c r="F397" s="125"/>
      <c r="G397" s="125"/>
      <c r="H397" s="125"/>
      <c r="I397" s="125"/>
      <c r="J397" s="125"/>
      <c r="K397" s="125"/>
      <c r="L397" s="125"/>
      <c r="M397" s="125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5"/>
      <c r="C398" s="125"/>
      <c r="D398" s="125"/>
      <c r="E398" s="125"/>
      <c r="F398" s="125"/>
      <c r="G398" s="125"/>
      <c r="H398" s="125"/>
      <c r="I398" s="125"/>
      <c r="J398" s="125"/>
      <c r="K398" s="125"/>
      <c r="L398" s="125"/>
      <c r="M398" s="125"/>
      <c r="AK398" s="72"/>
      <c r="AL398" s="125"/>
      <c r="AM398" s="125"/>
      <c r="AN398" s="125"/>
      <c r="AO398" s="125"/>
      <c r="AP398" s="125"/>
      <c r="AQ398" s="125"/>
      <c r="AR398" s="125"/>
      <c r="AS398" s="125"/>
      <c r="AT398" s="125"/>
      <c r="AU398" s="125"/>
      <c r="AV398" s="125"/>
      <c r="AW398" s="125"/>
    </row>
    <row r="399" spans="1:49" ht="18" x14ac:dyDescent="0.4">
      <c r="A399" s="72"/>
      <c r="B399" s="125"/>
      <c r="C399" s="125"/>
      <c r="D399" s="125"/>
      <c r="E399" s="125"/>
      <c r="F399" s="125"/>
      <c r="G399" s="125"/>
      <c r="H399" s="125"/>
      <c r="I399" s="125"/>
      <c r="J399" s="125"/>
      <c r="K399" s="125"/>
      <c r="L399" s="125"/>
      <c r="M399" s="125"/>
      <c r="AK399" s="72"/>
      <c r="AL399" s="125"/>
      <c r="AM399" s="125"/>
      <c r="AN399" s="125"/>
      <c r="AO399" s="125"/>
      <c r="AP399" s="125"/>
      <c r="AQ399" s="125"/>
      <c r="AR399" s="125"/>
      <c r="AS399" s="125"/>
      <c r="AT399" s="125"/>
      <c r="AU399" s="125"/>
      <c r="AV399" s="125"/>
      <c r="AW399" s="125"/>
    </row>
    <row r="400" spans="1:49" ht="18" x14ac:dyDescent="0.4">
      <c r="A400" s="76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AK400" s="72"/>
      <c r="AL400" s="125"/>
      <c r="AM400" s="125"/>
      <c r="AN400" s="125"/>
      <c r="AO400" s="125"/>
      <c r="AP400" s="125"/>
      <c r="AQ400" s="125"/>
      <c r="AR400" s="125"/>
      <c r="AS400" s="125"/>
      <c r="AT400" s="125"/>
      <c r="AU400" s="125"/>
      <c r="AV400" s="125"/>
      <c r="AW400" s="125"/>
    </row>
    <row r="401" spans="1:49" ht="18" x14ac:dyDescent="0.4">
      <c r="A401" s="76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AK401" s="72"/>
      <c r="AL401" s="125"/>
      <c r="AM401" s="125"/>
      <c r="AN401" s="125"/>
      <c r="AO401" s="125"/>
      <c r="AP401" s="125"/>
      <c r="AQ401" s="125"/>
      <c r="AR401" s="125"/>
      <c r="AS401" s="125"/>
      <c r="AT401" s="125"/>
      <c r="AU401" s="125"/>
      <c r="AV401" s="125"/>
      <c r="AW401" s="125"/>
    </row>
    <row r="402" spans="1:49" ht="18" x14ac:dyDescent="0.4">
      <c r="A402" s="76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AK402" s="72"/>
      <c r="AL402" s="125"/>
      <c r="AM402" s="125"/>
      <c r="AN402" s="125"/>
      <c r="AO402" s="125"/>
      <c r="AP402" s="125"/>
      <c r="AQ402" s="125"/>
      <c r="AR402" s="125"/>
      <c r="AS402" s="125"/>
      <c r="AT402" s="125"/>
      <c r="AU402" s="125"/>
      <c r="AV402" s="125"/>
      <c r="AW402" s="125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5"/>
      <c r="AM403" s="125"/>
      <c r="AN403" s="125"/>
      <c r="AO403" s="125"/>
      <c r="AP403" s="125"/>
      <c r="AQ403" s="125"/>
      <c r="AR403" s="125"/>
      <c r="AS403" s="125"/>
      <c r="AT403" s="125"/>
      <c r="AU403" s="125"/>
      <c r="AV403" s="125"/>
      <c r="AW403" s="125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5"/>
      <c r="AM404" s="125"/>
      <c r="AN404" s="125"/>
      <c r="AO404" s="125"/>
      <c r="AP404" s="125"/>
      <c r="AQ404" s="125"/>
      <c r="AR404" s="125"/>
      <c r="AS404" s="125"/>
      <c r="AT404" s="125"/>
      <c r="AU404" s="125"/>
      <c r="AV404" s="125"/>
      <c r="AW404" s="125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7"/>
      <c r="AM405" s="127"/>
      <c r="AN405" s="127"/>
      <c r="AO405" s="127"/>
      <c r="AP405" s="127"/>
      <c r="AQ405" s="127"/>
      <c r="AR405" s="127"/>
      <c r="AS405" s="127"/>
      <c r="AT405" s="127"/>
      <c r="AU405" s="127"/>
      <c r="AV405" s="127"/>
      <c r="AW405" s="127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7"/>
      <c r="AM420" s="127"/>
      <c r="AN420" s="127"/>
      <c r="AO420" s="127"/>
      <c r="AP420" s="127"/>
      <c r="AQ420" s="127"/>
      <c r="AR420" s="127"/>
      <c r="AS420" s="127"/>
      <c r="AT420" s="127"/>
      <c r="AU420" s="127"/>
      <c r="AV420" s="127"/>
      <c r="AW420" s="127"/>
    </row>
    <row r="421" spans="1:49" ht="18" hidden="1" x14ac:dyDescent="0.4">
      <c r="A421" s="72"/>
      <c r="B421" s="125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4"/>
      <c r="AM422" s="124"/>
      <c r="AN422" s="124"/>
      <c r="AO422" s="124"/>
      <c r="AP422" s="124"/>
      <c r="AQ422" s="124"/>
      <c r="AR422" s="124"/>
      <c r="AS422" s="124"/>
      <c r="AT422" s="124"/>
      <c r="AU422" s="124"/>
      <c r="AV422" s="124"/>
      <c r="AW422" s="124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5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7"/>
      <c r="AM435" s="127"/>
      <c r="AN435" s="127"/>
      <c r="AO435" s="127"/>
      <c r="AP435" s="127"/>
      <c r="AQ435" s="127"/>
      <c r="AR435" s="127"/>
      <c r="AS435" s="127"/>
      <c r="AT435" s="127"/>
      <c r="AU435" s="127"/>
      <c r="AV435" s="127"/>
      <c r="AW435" s="127"/>
    </row>
    <row r="436" spans="1:49" ht="18" hidden="1" x14ac:dyDescent="0.4">
      <c r="A436" s="72"/>
      <c r="B436" s="125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4"/>
      <c r="AM437" s="124"/>
      <c r="AN437" s="124"/>
      <c r="AO437" s="124"/>
      <c r="AP437" s="124"/>
      <c r="AQ437" s="124"/>
      <c r="AR437" s="124"/>
      <c r="AS437" s="124"/>
      <c r="AT437" s="124"/>
      <c r="AU437" s="124"/>
      <c r="AV437" s="124"/>
      <c r="AW437" s="124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5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7"/>
      <c r="AM450" s="127"/>
      <c r="AN450" s="127"/>
      <c r="AO450" s="127"/>
      <c r="AP450" s="127"/>
      <c r="AQ450" s="127"/>
      <c r="AR450" s="127"/>
      <c r="AS450" s="127"/>
      <c r="AT450" s="127"/>
      <c r="AU450" s="127"/>
      <c r="AV450" s="127"/>
      <c r="AW450" s="127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</row>
    <row r="452" spans="1:49" ht="18" hidden="1" x14ac:dyDescent="0.4">
      <c r="A452" s="72"/>
      <c r="B452" s="130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AK452" s="76"/>
      <c r="AL452" s="124"/>
      <c r="AM452" s="124"/>
      <c r="AN452" s="124"/>
      <c r="AO452" s="124"/>
      <c r="AP452" s="124"/>
      <c r="AQ452" s="124"/>
      <c r="AR452" s="124"/>
      <c r="AS452" s="124"/>
      <c r="AT452" s="124"/>
      <c r="AU452" s="124"/>
      <c r="AV452" s="124"/>
      <c r="AW452" s="124"/>
    </row>
    <row r="453" spans="1:49" hidden="1" x14ac:dyDescent="0.35">
      <c r="A453" s="76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25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5"/>
      <c r="C457" s="125"/>
      <c r="D457" s="125"/>
      <c r="E457" s="125"/>
      <c r="F457" s="125"/>
      <c r="G457" s="125"/>
      <c r="H457" s="125"/>
      <c r="I457" s="125"/>
      <c r="J457" s="125"/>
      <c r="K457" s="125"/>
      <c r="L457" s="125"/>
      <c r="M457" s="125"/>
      <c r="AK457" s="72"/>
      <c r="AL457" s="130"/>
      <c r="AM457" s="124"/>
      <c r="AN457" s="124"/>
      <c r="AO457" s="124"/>
      <c r="AP457" s="124"/>
      <c r="AQ457" s="124"/>
      <c r="AR457" s="124"/>
      <c r="AS457" s="124"/>
      <c r="AT457" s="124"/>
      <c r="AU457" s="124"/>
      <c r="AV457" s="124"/>
      <c r="AW457" s="124"/>
    </row>
    <row r="458" spans="1:49" ht="18" x14ac:dyDescent="0.4">
      <c r="A458" s="72"/>
      <c r="B458" s="125"/>
      <c r="C458" s="125"/>
      <c r="D458" s="125"/>
      <c r="E458" s="125"/>
      <c r="F458" s="125"/>
      <c r="G458" s="125"/>
      <c r="H458" s="125"/>
      <c r="I458" s="125"/>
      <c r="J458" s="125"/>
      <c r="K458" s="125"/>
      <c r="L458" s="125"/>
      <c r="M458" s="125"/>
      <c r="AK458" s="76"/>
      <c r="AL458" s="124"/>
      <c r="AM458" s="124"/>
      <c r="AN458" s="124"/>
      <c r="AO458" s="124"/>
      <c r="AP458" s="124"/>
      <c r="AQ458" s="124"/>
      <c r="AR458" s="124"/>
      <c r="AS458" s="124"/>
      <c r="AT458" s="124"/>
      <c r="AU458" s="124"/>
      <c r="AV458" s="124"/>
      <c r="AW458" s="124"/>
    </row>
    <row r="459" spans="1:49" ht="18" x14ac:dyDescent="0.4">
      <c r="A459" s="72"/>
      <c r="B459" s="125"/>
      <c r="C459" s="125"/>
      <c r="D459" s="125"/>
      <c r="E459" s="125"/>
      <c r="F459" s="125"/>
      <c r="G459" s="125"/>
      <c r="H459" s="125"/>
      <c r="I459" s="125"/>
      <c r="J459" s="125"/>
      <c r="K459" s="125"/>
      <c r="L459" s="125"/>
      <c r="M459" s="125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5"/>
      <c r="C460" s="125"/>
      <c r="D460" s="125"/>
      <c r="E460" s="125"/>
      <c r="F460" s="125"/>
      <c r="G460" s="125"/>
      <c r="H460" s="125"/>
      <c r="I460" s="125"/>
      <c r="J460" s="125"/>
      <c r="K460" s="125"/>
      <c r="L460" s="125"/>
      <c r="M460" s="125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5"/>
      <c r="C461" s="125"/>
      <c r="D461" s="125"/>
      <c r="E461" s="125"/>
      <c r="F461" s="125"/>
      <c r="G461" s="125"/>
      <c r="H461" s="125"/>
      <c r="I461" s="125"/>
      <c r="J461" s="125"/>
      <c r="K461" s="125"/>
      <c r="L461" s="125"/>
      <c r="M461" s="125"/>
      <c r="AK461" s="72"/>
      <c r="AL461" s="125"/>
      <c r="AM461" s="125"/>
      <c r="AN461" s="125"/>
      <c r="AO461" s="125"/>
      <c r="AP461" s="125"/>
      <c r="AQ461" s="125"/>
      <c r="AR461" s="125"/>
      <c r="AS461" s="125"/>
      <c r="AT461" s="125"/>
      <c r="AU461" s="125"/>
      <c r="AV461" s="125"/>
      <c r="AW461" s="125"/>
    </row>
    <row r="462" spans="1:49" ht="18" x14ac:dyDescent="0.4">
      <c r="A462" s="72"/>
      <c r="B462" s="125"/>
      <c r="C462" s="125"/>
      <c r="D462" s="125"/>
      <c r="E462" s="125"/>
      <c r="F462" s="125"/>
      <c r="G462" s="125"/>
      <c r="H462" s="125"/>
      <c r="I462" s="125"/>
      <c r="J462" s="125"/>
      <c r="K462" s="125"/>
      <c r="L462" s="125"/>
      <c r="M462" s="125"/>
      <c r="AK462" s="72"/>
      <c r="AL462" s="125"/>
      <c r="AM462" s="125"/>
      <c r="AN462" s="125"/>
      <c r="AO462" s="125"/>
      <c r="AP462" s="125"/>
      <c r="AQ462" s="125"/>
      <c r="AR462" s="125"/>
      <c r="AS462" s="125"/>
      <c r="AT462" s="125"/>
      <c r="AU462" s="125"/>
      <c r="AV462" s="125"/>
      <c r="AW462" s="125"/>
    </row>
    <row r="463" spans="1:49" ht="18" x14ac:dyDescent="0.4">
      <c r="A463" s="76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AK463" s="72"/>
      <c r="AL463" s="125"/>
      <c r="AM463" s="125"/>
      <c r="AN463" s="125"/>
      <c r="AO463" s="125"/>
      <c r="AP463" s="125"/>
      <c r="AQ463" s="125"/>
      <c r="AR463" s="125"/>
      <c r="AS463" s="125"/>
      <c r="AT463" s="125"/>
      <c r="AU463" s="125"/>
      <c r="AV463" s="125"/>
      <c r="AW463" s="125"/>
    </row>
    <row r="464" spans="1:49" ht="18" x14ac:dyDescent="0.4">
      <c r="A464" s="76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AK464" s="72"/>
      <c r="AL464" s="125"/>
      <c r="AM464" s="125"/>
      <c r="AN464" s="125"/>
      <c r="AO464" s="125"/>
      <c r="AP464" s="125"/>
      <c r="AQ464" s="125"/>
      <c r="AR464" s="125"/>
      <c r="AS464" s="125"/>
      <c r="AT464" s="125"/>
      <c r="AU464" s="125"/>
      <c r="AV464" s="125"/>
      <c r="AW464" s="125"/>
    </row>
    <row r="465" spans="1:49" ht="18" x14ac:dyDescent="0.4">
      <c r="A465" s="76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AK465" s="72"/>
      <c r="AL465" s="125"/>
      <c r="AM465" s="125"/>
      <c r="AN465" s="125"/>
      <c r="AO465" s="125"/>
      <c r="AP465" s="125"/>
      <c r="AQ465" s="125"/>
      <c r="AR465" s="125"/>
      <c r="AS465" s="125"/>
      <c r="AT465" s="125"/>
      <c r="AU465" s="125"/>
      <c r="AV465" s="125"/>
      <c r="AW465" s="125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5"/>
      <c r="AM466" s="125"/>
      <c r="AN466" s="125"/>
      <c r="AO466" s="125"/>
      <c r="AP466" s="125"/>
      <c r="AQ466" s="125"/>
      <c r="AR466" s="125"/>
      <c r="AS466" s="125"/>
      <c r="AT466" s="125"/>
      <c r="AU466" s="125"/>
      <c r="AV466" s="125"/>
      <c r="AW466" s="125"/>
    </row>
    <row r="467" spans="1:49" ht="18" x14ac:dyDescent="0.4">
      <c r="A467" s="76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AK467" s="72"/>
      <c r="AL467" s="125"/>
      <c r="AM467" s="125"/>
      <c r="AN467" s="125"/>
      <c r="AO467" s="125"/>
      <c r="AP467" s="125"/>
      <c r="AQ467" s="125"/>
      <c r="AR467" s="125"/>
      <c r="AS467" s="125"/>
      <c r="AT467" s="125"/>
      <c r="AU467" s="125"/>
      <c r="AV467" s="125"/>
      <c r="AW467" s="125"/>
    </row>
    <row r="468" spans="1:49" x14ac:dyDescent="0.35">
      <c r="A468" s="76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AK468" s="76"/>
      <c r="AL468" s="127"/>
      <c r="AM468" s="127"/>
      <c r="AN468" s="127"/>
      <c r="AO468" s="127"/>
      <c r="AP468" s="127"/>
      <c r="AQ468" s="127"/>
      <c r="AR468" s="127"/>
      <c r="AS468" s="127"/>
      <c r="AT468" s="127"/>
      <c r="AU468" s="127"/>
      <c r="AV468" s="127"/>
      <c r="AW468" s="127"/>
    </row>
    <row r="469" spans="1:49" ht="18" x14ac:dyDescent="0.4">
      <c r="A469" s="72"/>
      <c r="B469" s="130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AK469" s="76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</row>
    <row r="470" spans="1:49" x14ac:dyDescent="0.35">
      <c r="A470" s="76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AK470" s="76"/>
      <c r="AL470" s="124"/>
      <c r="AM470" s="124"/>
      <c r="AN470" s="124"/>
      <c r="AO470" s="124"/>
      <c r="AP470" s="124"/>
      <c r="AQ470" s="124"/>
      <c r="AR470" s="124"/>
      <c r="AS470" s="124"/>
      <c r="AT470" s="124"/>
      <c r="AU470" s="124"/>
      <c r="AV470" s="124"/>
      <c r="AW470" s="124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4"/>
      <c r="AM472" s="124"/>
      <c r="AN472" s="124"/>
      <c r="AO472" s="124"/>
      <c r="AP472" s="124"/>
      <c r="AQ472" s="124"/>
      <c r="AR472" s="124"/>
      <c r="AS472" s="124"/>
      <c r="AT472" s="124"/>
      <c r="AU472" s="124"/>
      <c r="AV472" s="124"/>
      <c r="AW472" s="124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4"/>
      <c r="AM473" s="124"/>
      <c r="AN473" s="124"/>
      <c r="AO473" s="124"/>
      <c r="AP473" s="124"/>
      <c r="AQ473" s="124"/>
      <c r="AR473" s="124"/>
      <c r="AS473" s="124"/>
      <c r="AT473" s="124"/>
      <c r="AU473" s="124"/>
      <c r="AV473" s="124"/>
      <c r="AW473" s="124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30"/>
      <c r="AM474" s="124"/>
      <c r="AN474" s="124"/>
      <c r="AO474" s="124"/>
      <c r="AP474" s="124"/>
      <c r="AQ474" s="124"/>
      <c r="AR474" s="124"/>
      <c r="AS474" s="124"/>
      <c r="AT474" s="124"/>
      <c r="AU474" s="124"/>
      <c r="AV474" s="124"/>
      <c r="AW474" s="124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4"/>
      <c r="AM475" s="124"/>
      <c r="AN475" s="124"/>
      <c r="AO475" s="124"/>
      <c r="AP475" s="124"/>
      <c r="AQ475" s="124"/>
      <c r="AR475" s="124"/>
      <c r="AS475" s="124"/>
      <c r="AT475" s="124"/>
      <c r="AU475" s="124"/>
      <c r="AV475" s="124"/>
      <c r="AW475" s="124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30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AK484" s="76"/>
      <c r="AL484" s="127"/>
      <c r="AM484" s="127"/>
      <c r="AN484" s="127"/>
      <c r="AO484" s="127"/>
      <c r="AP484" s="127"/>
      <c r="AQ484" s="127"/>
      <c r="AR484" s="127"/>
      <c r="AS484" s="127"/>
      <c r="AT484" s="127"/>
      <c r="AU484" s="127"/>
      <c r="AV484" s="127"/>
      <c r="AW484" s="127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4"/>
      <c r="AM486" s="124"/>
      <c r="AN486" s="124"/>
      <c r="AO486" s="124"/>
      <c r="AP486" s="124"/>
      <c r="AQ486" s="124"/>
      <c r="AR486" s="124"/>
      <c r="AS486" s="124"/>
      <c r="AT486" s="124"/>
      <c r="AU486" s="124"/>
      <c r="AV486" s="124"/>
      <c r="AW486" s="124"/>
    </row>
    <row r="487" spans="1:49" ht="18" hidden="1" x14ac:dyDescent="0.4">
      <c r="A487" s="72"/>
      <c r="B487" s="125"/>
      <c r="C487" s="125"/>
      <c r="D487" s="125"/>
      <c r="E487" s="125"/>
      <c r="F487" s="125"/>
      <c r="G487" s="125"/>
      <c r="H487" s="125"/>
      <c r="I487" s="125"/>
      <c r="J487" s="125"/>
      <c r="K487" s="125"/>
      <c r="L487" s="125"/>
      <c r="M487" s="125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5"/>
      <c r="C488" s="125"/>
      <c r="D488" s="125"/>
      <c r="E488" s="125"/>
      <c r="F488" s="125"/>
      <c r="G488" s="125"/>
      <c r="H488" s="125"/>
      <c r="I488" s="125"/>
      <c r="J488" s="125"/>
      <c r="K488" s="125"/>
      <c r="L488" s="125"/>
      <c r="M488" s="125"/>
      <c r="AK488" s="72"/>
      <c r="AL488" s="130"/>
      <c r="AM488" s="124"/>
      <c r="AN488" s="124"/>
      <c r="AO488" s="124"/>
      <c r="AP488" s="124"/>
      <c r="AQ488" s="124"/>
      <c r="AR488" s="124"/>
      <c r="AS488" s="124"/>
      <c r="AT488" s="124"/>
      <c r="AU488" s="124"/>
      <c r="AV488" s="124"/>
      <c r="AW488" s="124"/>
    </row>
    <row r="489" spans="1:49" ht="18" x14ac:dyDescent="0.4">
      <c r="A489" s="72"/>
      <c r="B489" s="125"/>
      <c r="C489" s="125"/>
      <c r="D489" s="125"/>
      <c r="E489" s="125"/>
      <c r="F489" s="125"/>
      <c r="G489" s="125"/>
      <c r="H489" s="125"/>
      <c r="I489" s="125"/>
      <c r="J489" s="125"/>
      <c r="K489" s="125"/>
      <c r="L489" s="125"/>
      <c r="M489" s="125"/>
      <c r="AK489" s="76"/>
      <c r="AL489" s="124"/>
      <c r="AM489" s="124"/>
      <c r="AN489" s="124"/>
      <c r="AO489" s="124"/>
      <c r="AP489" s="124"/>
      <c r="AQ489" s="124"/>
      <c r="AR489" s="124"/>
      <c r="AS489" s="124"/>
      <c r="AT489" s="124"/>
      <c r="AU489" s="124"/>
      <c r="AV489" s="124"/>
      <c r="AW489" s="124"/>
    </row>
    <row r="490" spans="1:49" ht="18" x14ac:dyDescent="0.4">
      <c r="A490" s="72"/>
      <c r="B490" s="125"/>
      <c r="C490" s="125"/>
      <c r="D490" s="125"/>
      <c r="E490" s="125"/>
      <c r="F490" s="125"/>
      <c r="G490" s="125"/>
      <c r="H490" s="125"/>
      <c r="I490" s="125"/>
      <c r="J490" s="125"/>
      <c r="K490" s="125"/>
      <c r="L490" s="125"/>
      <c r="M490" s="125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5"/>
      <c r="C491" s="125"/>
      <c r="D491" s="125"/>
      <c r="E491" s="125"/>
      <c r="F491" s="125"/>
      <c r="G491" s="125"/>
      <c r="H491" s="125"/>
      <c r="I491" s="125"/>
      <c r="J491" s="125"/>
      <c r="K491" s="125"/>
      <c r="L491" s="125"/>
      <c r="M491" s="125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5"/>
      <c r="C492" s="125"/>
      <c r="D492" s="125"/>
      <c r="E492" s="125"/>
      <c r="F492" s="125"/>
      <c r="G492" s="125"/>
      <c r="H492" s="125"/>
      <c r="I492" s="125"/>
      <c r="J492" s="125"/>
      <c r="K492" s="125"/>
      <c r="L492" s="125"/>
      <c r="M492" s="125"/>
      <c r="AK492" s="72"/>
      <c r="AL492" s="125"/>
      <c r="AM492" s="125"/>
      <c r="AN492" s="125"/>
      <c r="AO492" s="125"/>
      <c r="AP492" s="125"/>
      <c r="AQ492" s="125"/>
      <c r="AR492" s="125"/>
      <c r="AS492" s="125"/>
      <c r="AT492" s="125"/>
      <c r="AU492" s="125"/>
      <c r="AV492" s="125"/>
      <c r="AW492" s="125"/>
    </row>
    <row r="493" spans="1:49" ht="18" x14ac:dyDescent="0.4">
      <c r="A493" s="72"/>
      <c r="B493" s="125"/>
      <c r="C493" s="125"/>
      <c r="D493" s="125"/>
      <c r="E493" s="125"/>
      <c r="F493" s="125"/>
      <c r="G493" s="125"/>
      <c r="H493" s="125"/>
      <c r="I493" s="125"/>
      <c r="J493" s="125"/>
      <c r="K493" s="125"/>
      <c r="L493" s="125"/>
      <c r="M493" s="125"/>
      <c r="AK493" s="72"/>
      <c r="AL493" s="125"/>
      <c r="AM493" s="125"/>
      <c r="AN493" s="125"/>
      <c r="AO493" s="125"/>
      <c r="AP493" s="125"/>
      <c r="AQ493" s="125"/>
      <c r="AR493" s="125"/>
      <c r="AS493" s="125"/>
      <c r="AT493" s="125"/>
      <c r="AU493" s="125"/>
      <c r="AV493" s="125"/>
      <c r="AW493" s="125"/>
    </row>
    <row r="494" spans="1:49" ht="18" x14ac:dyDescent="0.4">
      <c r="A494" s="76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AK494" s="72"/>
      <c r="AL494" s="125"/>
      <c r="AM494" s="125"/>
      <c r="AN494" s="125"/>
      <c r="AO494" s="125"/>
      <c r="AP494" s="125"/>
      <c r="AQ494" s="125"/>
      <c r="AR494" s="125"/>
      <c r="AS494" s="125"/>
      <c r="AT494" s="125"/>
      <c r="AU494" s="125"/>
      <c r="AV494" s="125"/>
      <c r="AW494" s="125"/>
    </row>
    <row r="495" spans="1:49" ht="18" x14ac:dyDescent="0.4">
      <c r="A495" s="76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AK495" s="72"/>
      <c r="AL495" s="125"/>
      <c r="AM495" s="125"/>
      <c r="AN495" s="125"/>
      <c r="AO495" s="125"/>
      <c r="AP495" s="125"/>
      <c r="AQ495" s="125"/>
      <c r="AR495" s="125"/>
      <c r="AS495" s="125"/>
      <c r="AT495" s="125"/>
      <c r="AU495" s="125"/>
      <c r="AV495" s="125"/>
      <c r="AW495" s="125"/>
    </row>
    <row r="496" spans="1:49" ht="18" x14ac:dyDescent="0.4">
      <c r="A496" s="76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AK496" s="72"/>
      <c r="AL496" s="125"/>
      <c r="AM496" s="125"/>
      <c r="AN496" s="125"/>
      <c r="AO496" s="125"/>
      <c r="AP496" s="125"/>
      <c r="AQ496" s="125"/>
      <c r="AR496" s="125"/>
      <c r="AS496" s="125"/>
      <c r="AT496" s="125"/>
      <c r="AU496" s="125"/>
      <c r="AV496" s="125"/>
      <c r="AW496" s="125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5"/>
      <c r="AM497" s="125"/>
      <c r="AN497" s="125"/>
      <c r="AO497" s="125"/>
      <c r="AP497" s="125"/>
      <c r="AQ497" s="125"/>
      <c r="AR497" s="125"/>
      <c r="AS497" s="125"/>
      <c r="AT497" s="125"/>
      <c r="AU497" s="125"/>
      <c r="AV497" s="125"/>
      <c r="AW497" s="125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7"/>
      <c r="AM499" s="127"/>
      <c r="AN499" s="127"/>
      <c r="AO499" s="127"/>
      <c r="AP499" s="127"/>
      <c r="AQ499" s="127"/>
      <c r="AR499" s="127"/>
      <c r="AS499" s="127"/>
      <c r="AT499" s="127"/>
      <c r="AU499" s="127"/>
      <c r="AV499" s="127"/>
      <c r="AW499" s="127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4"/>
      <c r="AM501" s="124"/>
      <c r="AN501" s="124"/>
      <c r="AO501" s="124"/>
      <c r="AP501" s="124"/>
      <c r="AQ501" s="124"/>
      <c r="AR501" s="124"/>
      <c r="AS501" s="124"/>
      <c r="AT501" s="124"/>
      <c r="AU501" s="124"/>
      <c r="AV501" s="124"/>
      <c r="AW501" s="124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AK514" s="76"/>
      <c r="AL514" s="127"/>
      <c r="AM514" s="127"/>
      <c r="AN514" s="127"/>
      <c r="AO514" s="127"/>
      <c r="AP514" s="127"/>
      <c r="AQ514" s="127"/>
      <c r="AR514" s="127"/>
      <c r="AS514" s="127"/>
      <c r="AT514" s="127"/>
      <c r="AU514" s="127"/>
      <c r="AV514" s="127"/>
      <c r="AW514" s="127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4"/>
      <c r="AM516" s="124"/>
      <c r="AN516" s="124"/>
      <c r="AO516" s="124"/>
      <c r="AP516" s="124"/>
      <c r="AQ516" s="124"/>
      <c r="AR516" s="124"/>
      <c r="AS516" s="124"/>
      <c r="AT516" s="124"/>
      <c r="AU516" s="124"/>
      <c r="AV516" s="124"/>
      <c r="AW516" s="124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4"/>
      <c r="AM518" s="124"/>
      <c r="AN518" s="124"/>
      <c r="AO518" s="124"/>
      <c r="AP518" s="124"/>
      <c r="AQ518" s="124"/>
      <c r="AR518" s="124"/>
      <c r="AS518" s="124"/>
      <c r="AT518" s="124"/>
      <c r="AU518" s="124"/>
      <c r="AV518" s="124"/>
      <c r="AW518" s="124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4"/>
      <c r="AM519" s="124"/>
      <c r="AN519" s="124"/>
      <c r="AO519" s="124"/>
      <c r="AP519" s="124"/>
      <c r="AQ519" s="124"/>
      <c r="AR519" s="124"/>
      <c r="AS519" s="124"/>
      <c r="AT519" s="124"/>
      <c r="AU519" s="124"/>
      <c r="AV519" s="124"/>
      <c r="AW519" s="124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6"/>
      <c r="C528" s="126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AK529" s="76"/>
      <c r="AL529" s="127"/>
      <c r="AM529" s="127"/>
      <c r="AN529" s="127"/>
      <c r="AO529" s="127"/>
      <c r="AP529" s="127"/>
      <c r="AQ529" s="127"/>
      <c r="AR529" s="127"/>
      <c r="AS529" s="127"/>
      <c r="AT529" s="127"/>
      <c r="AU529" s="127"/>
      <c r="AV529" s="127"/>
      <c r="AW529" s="127"/>
    </row>
    <row r="530" spans="1:49" ht="18" hidden="1" x14ac:dyDescent="0.4">
      <c r="A530" s="72"/>
      <c r="B530" s="130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AK530" s="76"/>
      <c r="AL530" s="137"/>
      <c r="AM530" s="137"/>
      <c r="AN530" s="137"/>
      <c r="AO530" s="137"/>
      <c r="AP530" s="137"/>
      <c r="AQ530" s="137"/>
      <c r="AR530" s="137"/>
      <c r="AS530" s="137"/>
      <c r="AT530" s="137"/>
      <c r="AU530" s="137"/>
      <c r="AV530" s="137"/>
      <c r="AW530" s="137"/>
    </row>
    <row r="531" spans="1:49" hidden="1" x14ac:dyDescent="0.35">
      <c r="A531" s="76"/>
      <c r="B531" s="110"/>
      <c r="C531" s="138"/>
      <c r="D531" s="114"/>
      <c r="E531" s="114"/>
      <c r="F531" s="114"/>
      <c r="G531" s="114"/>
      <c r="H531" s="114"/>
      <c r="I531" s="114"/>
      <c r="J531" s="114"/>
      <c r="K531" s="114"/>
      <c r="L531" s="114"/>
      <c r="M531" s="139"/>
      <c r="AK531" s="76"/>
      <c r="AL531" s="124"/>
      <c r="AM531" s="124"/>
      <c r="AN531" s="124"/>
      <c r="AO531" s="124"/>
      <c r="AP531" s="124"/>
      <c r="AQ531" s="124"/>
      <c r="AR531" s="124"/>
      <c r="AS531" s="124"/>
      <c r="AT531" s="124"/>
      <c r="AU531" s="124"/>
      <c r="AV531" s="124"/>
      <c r="AW531" s="124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9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6"/>
      <c r="AM533" s="126"/>
      <c r="AN533" s="124"/>
      <c r="AO533" s="124"/>
      <c r="AP533" s="124"/>
      <c r="AQ533" s="124"/>
      <c r="AR533" s="124"/>
      <c r="AS533" s="124"/>
      <c r="AT533" s="124"/>
      <c r="AU533" s="124"/>
      <c r="AV533" s="124"/>
      <c r="AW533" s="124"/>
    </row>
    <row r="534" spans="1:49" ht="18" hidden="1" x14ac:dyDescent="0.4">
      <c r="A534" s="72"/>
      <c r="B534" s="125"/>
      <c r="C534" s="125"/>
      <c r="D534" s="125"/>
      <c r="E534" s="125"/>
      <c r="F534" s="125"/>
      <c r="G534" s="125"/>
      <c r="H534" s="125"/>
      <c r="I534" s="125"/>
      <c r="J534" s="125"/>
      <c r="K534" s="125"/>
      <c r="L534" s="125"/>
      <c r="M534" s="125"/>
      <c r="AK534" s="76"/>
      <c r="AL534" s="124"/>
      <c r="AM534" s="124"/>
      <c r="AN534" s="124"/>
      <c r="AO534" s="124"/>
      <c r="AP534" s="124"/>
      <c r="AQ534" s="124"/>
      <c r="AR534" s="124"/>
      <c r="AS534" s="124"/>
      <c r="AT534" s="124"/>
      <c r="AU534" s="124"/>
      <c r="AV534" s="124"/>
      <c r="AW534" s="124"/>
    </row>
    <row r="535" spans="1:49" ht="18" x14ac:dyDescent="0.4">
      <c r="A535" s="72"/>
      <c r="B535" s="125"/>
      <c r="C535" s="125"/>
      <c r="D535" s="125"/>
      <c r="E535" s="125"/>
      <c r="F535" s="125"/>
      <c r="G535" s="125"/>
      <c r="H535" s="125"/>
      <c r="I535" s="125"/>
      <c r="J535" s="125"/>
      <c r="K535" s="125"/>
      <c r="L535" s="125"/>
      <c r="M535" s="125"/>
      <c r="AK535" s="72"/>
      <c r="AL535" s="130"/>
      <c r="AM535" s="124"/>
      <c r="AN535" s="124"/>
      <c r="AO535" s="124"/>
      <c r="AP535" s="124"/>
      <c r="AQ535" s="124"/>
      <c r="AR535" s="124"/>
      <c r="AS535" s="124"/>
      <c r="AT535" s="124"/>
      <c r="AU535" s="124"/>
      <c r="AV535" s="124"/>
      <c r="AW535" s="124"/>
    </row>
    <row r="536" spans="1:49" ht="18" x14ac:dyDescent="0.4">
      <c r="A536" s="72"/>
      <c r="B536" s="125"/>
      <c r="C536" s="125"/>
      <c r="D536" s="125"/>
      <c r="E536" s="125"/>
      <c r="F536" s="125"/>
      <c r="G536" s="125"/>
      <c r="H536" s="125"/>
      <c r="I536" s="125"/>
      <c r="J536" s="125"/>
      <c r="K536" s="125"/>
      <c r="L536" s="125"/>
      <c r="M536" s="125"/>
      <c r="AK536" s="76"/>
      <c r="AL536" s="110"/>
      <c r="AM536" s="138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9"/>
    </row>
    <row r="537" spans="1:49" ht="18" x14ac:dyDescent="0.4">
      <c r="A537" s="72"/>
      <c r="B537" s="125"/>
      <c r="C537" s="125"/>
      <c r="D537" s="125"/>
      <c r="E537" s="125"/>
      <c r="F537" s="125"/>
      <c r="G537" s="125"/>
      <c r="H537" s="125"/>
      <c r="I537" s="125"/>
      <c r="J537" s="125"/>
      <c r="K537" s="125"/>
      <c r="L537" s="125"/>
      <c r="M537" s="125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9"/>
    </row>
    <row r="538" spans="1:49" ht="18" x14ac:dyDescent="0.4">
      <c r="A538" s="72"/>
      <c r="B538" s="125"/>
      <c r="C538" s="125"/>
      <c r="D538" s="125"/>
      <c r="E538" s="125"/>
      <c r="F538" s="125"/>
      <c r="G538" s="125"/>
      <c r="H538" s="125"/>
      <c r="I538" s="125"/>
      <c r="J538" s="125"/>
      <c r="K538" s="125"/>
      <c r="L538" s="125"/>
      <c r="M538" s="125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5"/>
      <c r="C539" s="125"/>
      <c r="D539" s="125"/>
      <c r="E539" s="125"/>
      <c r="F539" s="125"/>
      <c r="G539" s="125"/>
      <c r="H539" s="125"/>
      <c r="I539" s="125"/>
      <c r="J539" s="125"/>
      <c r="K539" s="125"/>
      <c r="L539" s="125"/>
      <c r="M539" s="125"/>
      <c r="AK539" s="72"/>
      <c r="AL539" s="125"/>
      <c r="AM539" s="125"/>
      <c r="AN539" s="125"/>
      <c r="AO539" s="125"/>
      <c r="AP539" s="125"/>
      <c r="AQ539" s="125"/>
      <c r="AR539" s="125"/>
      <c r="AS539" s="125"/>
      <c r="AT539" s="125"/>
      <c r="AU539" s="125"/>
      <c r="AV539" s="125"/>
      <c r="AW539" s="125"/>
    </row>
    <row r="540" spans="1:49" ht="18" x14ac:dyDescent="0.4">
      <c r="A540" s="72"/>
      <c r="B540" s="125"/>
      <c r="C540" s="125"/>
      <c r="D540" s="125"/>
      <c r="E540" s="125"/>
      <c r="F540" s="125"/>
      <c r="G540" s="125"/>
      <c r="H540" s="125"/>
      <c r="I540" s="125"/>
      <c r="J540" s="125"/>
      <c r="K540" s="125"/>
      <c r="L540" s="125"/>
      <c r="M540" s="125"/>
      <c r="AK540" s="72"/>
      <c r="AL540" s="125"/>
      <c r="AM540" s="125"/>
      <c r="AN540" s="125"/>
      <c r="AO540" s="125"/>
      <c r="AP540" s="125"/>
      <c r="AQ540" s="125"/>
      <c r="AR540" s="125"/>
      <c r="AS540" s="125"/>
      <c r="AT540" s="125"/>
      <c r="AU540" s="125"/>
      <c r="AV540" s="125"/>
      <c r="AW540" s="125"/>
    </row>
    <row r="541" spans="1:49" ht="18" x14ac:dyDescent="0.4">
      <c r="A541" s="76"/>
      <c r="B541" s="12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AK541" s="72"/>
      <c r="AL541" s="125"/>
      <c r="AM541" s="125"/>
      <c r="AN541" s="125"/>
      <c r="AO541" s="125"/>
      <c r="AP541" s="125"/>
      <c r="AQ541" s="125"/>
      <c r="AR541" s="125"/>
      <c r="AS541" s="125"/>
      <c r="AT541" s="125"/>
      <c r="AU541" s="125"/>
      <c r="AV541" s="125"/>
      <c r="AW541" s="125"/>
    </row>
    <row r="542" spans="1:49" ht="18" x14ac:dyDescent="0.4">
      <c r="A542" s="76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AK542" s="72"/>
      <c r="AL542" s="125"/>
      <c r="AM542" s="125"/>
      <c r="AN542" s="125"/>
      <c r="AO542" s="125"/>
      <c r="AP542" s="125"/>
      <c r="AQ542" s="125"/>
      <c r="AR542" s="125"/>
      <c r="AS542" s="125"/>
      <c r="AT542" s="125"/>
      <c r="AU542" s="125"/>
      <c r="AV542" s="125"/>
      <c r="AW542" s="125"/>
    </row>
    <row r="543" spans="1:49" ht="18" x14ac:dyDescent="0.4">
      <c r="A543" s="76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AK543" s="72"/>
      <c r="AL543" s="125"/>
      <c r="AM543" s="125"/>
      <c r="AN543" s="125"/>
      <c r="AO543" s="125"/>
      <c r="AP543" s="125"/>
      <c r="AQ543" s="125"/>
      <c r="AR543" s="125"/>
      <c r="AS543" s="125"/>
      <c r="AT543" s="125"/>
      <c r="AU543" s="125"/>
      <c r="AV543" s="125"/>
      <c r="AW543" s="125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5"/>
      <c r="AM544" s="125"/>
      <c r="AN544" s="125"/>
      <c r="AO544" s="125"/>
      <c r="AP544" s="125"/>
      <c r="AQ544" s="125"/>
      <c r="AR544" s="125"/>
      <c r="AS544" s="125"/>
      <c r="AT544" s="125"/>
      <c r="AU544" s="125"/>
      <c r="AV544" s="125"/>
      <c r="AW544" s="125"/>
    </row>
    <row r="545" spans="1:49" ht="18" x14ac:dyDescent="0.4">
      <c r="A545" s="76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AK545" s="72"/>
      <c r="AL545" s="125"/>
      <c r="AM545" s="125"/>
      <c r="AN545" s="125"/>
      <c r="AO545" s="125"/>
      <c r="AP545" s="125"/>
      <c r="AQ545" s="125"/>
      <c r="AR545" s="125"/>
      <c r="AS545" s="125"/>
      <c r="AT545" s="125"/>
      <c r="AU545" s="125"/>
      <c r="AV545" s="125"/>
      <c r="AW545" s="125"/>
    </row>
    <row r="546" spans="1:49" ht="18" x14ac:dyDescent="0.4">
      <c r="A546" s="72"/>
      <c r="B546" s="124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7"/>
      <c r="AM546" s="127"/>
      <c r="AN546" s="127"/>
      <c r="AO546" s="127"/>
      <c r="AP546" s="127"/>
      <c r="AQ546" s="127"/>
      <c r="AR546" s="127"/>
      <c r="AS546" s="127"/>
      <c r="AT546" s="127"/>
      <c r="AU546" s="127"/>
      <c r="AV546" s="127"/>
      <c r="AW546" s="127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7"/>
      <c r="AM547" s="137"/>
      <c r="AN547" s="137"/>
      <c r="AO547" s="137"/>
      <c r="AP547" s="137"/>
      <c r="AQ547" s="137"/>
      <c r="AR547" s="137"/>
      <c r="AS547" s="137"/>
      <c r="AT547" s="137"/>
      <c r="AU547" s="137"/>
      <c r="AV547" s="137"/>
      <c r="AW547" s="137"/>
    </row>
    <row r="548" spans="1:49" ht="18" x14ac:dyDescent="0.4">
      <c r="A548" s="72"/>
      <c r="B548" s="125"/>
      <c r="C548" s="125"/>
      <c r="D548" s="125"/>
      <c r="E548" s="125"/>
      <c r="F548" s="125"/>
      <c r="G548" s="125"/>
      <c r="H548" s="125"/>
      <c r="I548" s="125"/>
      <c r="J548" s="125"/>
      <c r="K548" s="125"/>
      <c r="L548" s="125"/>
      <c r="M548" s="125"/>
      <c r="AK548" s="76"/>
      <c r="AL548" s="124"/>
      <c r="AM548" s="124"/>
      <c r="AN548" s="124"/>
      <c r="AO548" s="124"/>
      <c r="AP548" s="124"/>
      <c r="AQ548" s="124"/>
      <c r="AR548" s="124"/>
      <c r="AS548" s="124"/>
      <c r="AT548" s="124"/>
      <c r="AU548" s="124"/>
      <c r="AV548" s="124"/>
      <c r="AW548" s="124"/>
    </row>
    <row r="549" spans="1:49" ht="18" x14ac:dyDescent="0.4">
      <c r="A549" s="72"/>
      <c r="B549" s="125"/>
      <c r="C549" s="125"/>
      <c r="D549" s="125"/>
      <c r="E549" s="125"/>
      <c r="F549" s="125"/>
      <c r="G549" s="125"/>
      <c r="H549" s="125"/>
      <c r="I549" s="125"/>
      <c r="J549" s="125"/>
      <c r="K549" s="125"/>
      <c r="L549" s="125"/>
      <c r="M549" s="125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5"/>
      <c r="C550" s="125"/>
      <c r="D550" s="125"/>
      <c r="E550" s="125"/>
      <c r="F550" s="125"/>
      <c r="G550" s="125"/>
      <c r="H550" s="125"/>
      <c r="I550" s="125"/>
      <c r="J550" s="125"/>
      <c r="K550" s="125"/>
      <c r="L550" s="125"/>
      <c r="M550" s="125"/>
      <c r="AK550" s="76"/>
      <c r="AL550" s="124"/>
      <c r="AM550" s="124"/>
      <c r="AN550" s="124"/>
      <c r="AO550" s="124"/>
      <c r="AP550" s="124"/>
      <c r="AQ550" s="124"/>
      <c r="AR550" s="124"/>
      <c r="AS550" s="124"/>
      <c r="AT550" s="124"/>
      <c r="AU550" s="124"/>
      <c r="AV550" s="124"/>
      <c r="AW550" s="124"/>
    </row>
    <row r="551" spans="1:49" ht="18" x14ac:dyDescent="0.4">
      <c r="A551" s="72"/>
      <c r="B551" s="125"/>
      <c r="C551" s="125"/>
      <c r="D551" s="125"/>
      <c r="E551" s="125"/>
      <c r="F551" s="125"/>
      <c r="G551" s="125"/>
      <c r="H551" s="125"/>
      <c r="I551" s="125"/>
      <c r="J551" s="125"/>
      <c r="K551" s="125"/>
      <c r="L551" s="125"/>
      <c r="M551" s="125"/>
      <c r="AK551" s="72"/>
      <c r="AL551" s="124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5"/>
      <c r="C552" s="125"/>
      <c r="D552" s="125"/>
      <c r="E552" s="125"/>
      <c r="F552" s="125"/>
      <c r="G552" s="125"/>
      <c r="H552" s="125"/>
      <c r="I552" s="125"/>
      <c r="J552" s="125"/>
      <c r="K552" s="125"/>
      <c r="L552" s="125"/>
      <c r="M552" s="125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5"/>
      <c r="C553" s="125"/>
      <c r="D553" s="125"/>
      <c r="E553" s="125"/>
      <c r="F553" s="125"/>
      <c r="G553" s="125"/>
      <c r="H553" s="125"/>
      <c r="I553" s="125"/>
      <c r="J553" s="125"/>
      <c r="K553" s="125"/>
      <c r="L553" s="125"/>
      <c r="M553" s="125"/>
      <c r="AK553" s="72"/>
      <c r="AL553" s="125"/>
      <c r="AM553" s="125"/>
      <c r="AN553" s="125"/>
      <c r="AO553" s="125"/>
      <c r="AP553" s="125"/>
      <c r="AQ553" s="125"/>
      <c r="AR553" s="125"/>
      <c r="AS553" s="125"/>
      <c r="AT553" s="125"/>
      <c r="AU553" s="125"/>
      <c r="AV553" s="125"/>
      <c r="AW553" s="125"/>
    </row>
    <row r="554" spans="1:49" ht="18" x14ac:dyDescent="0.4">
      <c r="A554" s="72"/>
      <c r="B554" s="125"/>
      <c r="C554" s="125"/>
      <c r="D554" s="125"/>
      <c r="E554" s="125"/>
      <c r="F554" s="125"/>
      <c r="G554" s="125"/>
      <c r="H554" s="125"/>
      <c r="I554" s="125"/>
      <c r="J554" s="125"/>
      <c r="K554" s="125"/>
      <c r="L554" s="125"/>
      <c r="M554" s="125"/>
      <c r="AK554" s="72"/>
      <c r="AL554" s="125"/>
      <c r="AM554" s="125"/>
      <c r="AN554" s="125"/>
      <c r="AO554" s="125"/>
      <c r="AP554" s="125"/>
      <c r="AQ554" s="125"/>
      <c r="AR554" s="125"/>
      <c r="AS554" s="125"/>
      <c r="AT554" s="125"/>
      <c r="AU554" s="125"/>
      <c r="AV554" s="125"/>
      <c r="AW554" s="125"/>
    </row>
    <row r="555" spans="1:49" ht="18" x14ac:dyDescent="0.4">
      <c r="A555" s="76"/>
      <c r="B555" s="12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AK555" s="72"/>
      <c r="AL555" s="125"/>
      <c r="AM555" s="125"/>
      <c r="AN555" s="125"/>
      <c r="AO555" s="125"/>
      <c r="AP555" s="125"/>
      <c r="AQ555" s="125"/>
      <c r="AR555" s="125"/>
      <c r="AS555" s="125"/>
      <c r="AT555" s="125"/>
      <c r="AU555" s="125"/>
      <c r="AV555" s="125"/>
      <c r="AW555" s="125"/>
    </row>
    <row r="556" spans="1:49" ht="18" x14ac:dyDescent="0.4">
      <c r="A556" s="76"/>
      <c r="B556" s="12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AK556" s="72"/>
      <c r="AL556" s="125"/>
      <c r="AM556" s="125"/>
      <c r="AN556" s="125"/>
      <c r="AO556" s="125"/>
      <c r="AP556" s="125"/>
      <c r="AQ556" s="125"/>
      <c r="AR556" s="125"/>
      <c r="AS556" s="125"/>
      <c r="AT556" s="125"/>
      <c r="AU556" s="125"/>
      <c r="AV556" s="125"/>
      <c r="AW556" s="125"/>
    </row>
    <row r="557" spans="1:49" ht="18" x14ac:dyDescent="0.4">
      <c r="A557" s="76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AK557" s="72"/>
      <c r="AL557" s="125"/>
      <c r="AM557" s="125"/>
      <c r="AN557" s="125"/>
      <c r="AO557" s="125"/>
      <c r="AP557" s="125"/>
      <c r="AQ557" s="125"/>
      <c r="AR557" s="125"/>
      <c r="AS557" s="125"/>
      <c r="AT557" s="125"/>
      <c r="AU557" s="125"/>
      <c r="AV557" s="125"/>
      <c r="AW557" s="125"/>
    </row>
    <row r="558" spans="1:49" ht="18" x14ac:dyDescent="0.4">
      <c r="A558" s="76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AK558" s="72"/>
      <c r="AL558" s="125"/>
      <c r="AM558" s="125"/>
      <c r="AN558" s="125"/>
      <c r="AO558" s="125"/>
      <c r="AP558" s="125"/>
      <c r="AQ558" s="125"/>
      <c r="AR558" s="125"/>
      <c r="AS558" s="125"/>
      <c r="AT558" s="125"/>
      <c r="AU558" s="125"/>
      <c r="AV558" s="125"/>
      <c r="AW558" s="125"/>
    </row>
    <row r="559" spans="1:49" ht="18" x14ac:dyDescent="0.4">
      <c r="AK559" s="72"/>
      <c r="AL559" s="125"/>
      <c r="AM559" s="125"/>
      <c r="AN559" s="125"/>
      <c r="AO559" s="125"/>
      <c r="AP559" s="125"/>
      <c r="AQ559" s="125"/>
      <c r="AR559" s="125"/>
      <c r="AS559" s="125"/>
      <c r="AT559" s="125"/>
      <c r="AU559" s="125"/>
      <c r="AV559" s="125"/>
      <c r="AW559" s="125"/>
    </row>
    <row r="560" spans="1:49" x14ac:dyDescent="0.35">
      <c r="AK560" s="76"/>
      <c r="AL560" s="127"/>
      <c r="AM560" s="127"/>
      <c r="AN560" s="127"/>
      <c r="AO560" s="127"/>
      <c r="AP560" s="127"/>
      <c r="AQ560" s="127"/>
      <c r="AR560" s="127"/>
      <c r="AS560" s="127"/>
      <c r="AT560" s="127"/>
      <c r="AU560" s="127"/>
      <c r="AV560" s="127"/>
      <c r="AW560" s="127"/>
    </row>
    <row r="561" spans="37:49" x14ac:dyDescent="0.35">
      <c r="AK561" s="76"/>
      <c r="AL561" s="127"/>
      <c r="AM561" s="127"/>
      <c r="AN561" s="127"/>
      <c r="AO561" s="127"/>
      <c r="AP561" s="127"/>
      <c r="AQ561" s="127"/>
      <c r="AR561" s="127"/>
      <c r="AS561" s="127"/>
      <c r="AT561" s="127"/>
      <c r="AU561" s="127"/>
      <c r="AV561" s="127"/>
      <c r="AW561" s="127"/>
    </row>
    <row r="562" spans="37:49" x14ac:dyDescent="0.35">
      <c r="AK562" s="76"/>
      <c r="AL562" s="124"/>
      <c r="AM562" s="124"/>
      <c r="AN562" s="124"/>
      <c r="AO562" s="124"/>
      <c r="AP562" s="124"/>
      <c r="AQ562" s="124"/>
      <c r="AR562" s="124"/>
      <c r="AS562" s="124"/>
      <c r="AT562" s="124"/>
      <c r="AU562" s="124"/>
      <c r="AV562" s="124"/>
      <c r="AW562" s="124"/>
    </row>
    <row r="563" spans="37:49" x14ac:dyDescent="0.35">
      <c r="AK563" s="76"/>
      <c r="AL563" s="124"/>
      <c r="AM563" s="124"/>
      <c r="AN563" s="124"/>
      <c r="AO563" s="124"/>
      <c r="AP563" s="124"/>
      <c r="AQ563" s="124"/>
      <c r="AR563" s="124"/>
      <c r="AS563" s="124"/>
      <c r="AT563" s="124"/>
      <c r="AU563" s="124"/>
      <c r="AV563" s="124"/>
      <c r="AW563" s="124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0"/>
  <dimension ref="A1:T687"/>
  <sheetViews>
    <sheetView zoomScale="80" zoomScaleNormal="80" workbookViewId="0">
      <selection activeCell="D479" sqref="D479"/>
    </sheetView>
  </sheetViews>
  <sheetFormatPr baseColWidth="10" defaultColWidth="8.7265625" defaultRowHeight="14.5" x14ac:dyDescent="0.35"/>
  <cols>
    <col min="1" max="1" width="17" style="181" bestFit="1" customWidth="1"/>
    <col min="2" max="2" width="32.453125" style="181" bestFit="1" customWidth="1"/>
    <col min="3" max="16384" width="8.7265625" style="181"/>
  </cols>
  <sheetData>
    <row r="1" spans="1:20" x14ac:dyDescent="0.35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147</v>
      </c>
      <c r="C2">
        <v>24861160.43</v>
      </c>
      <c r="D2">
        <v>250419671.62</v>
      </c>
      <c r="E2">
        <v>24075603.82</v>
      </c>
      <c r="F2">
        <v>1</v>
      </c>
      <c r="G2">
        <v>24075603.82</v>
      </c>
      <c r="H2">
        <v>225478914.55000001</v>
      </c>
      <c r="I2">
        <v>1</v>
      </c>
      <c r="J2">
        <v>225478914.55000001</v>
      </c>
      <c r="K2">
        <v>0</v>
      </c>
      <c r="L2">
        <v>0</v>
      </c>
      <c r="M2" t="s">
        <v>184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148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184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149</v>
      </c>
      <c r="C4">
        <v>24861160.43</v>
      </c>
      <c r="D4">
        <v>250419671.62</v>
      </c>
      <c r="E4">
        <v>24075603.82</v>
      </c>
      <c r="F4">
        <v>1</v>
      </c>
      <c r="G4">
        <v>24075603.82</v>
      </c>
      <c r="H4">
        <v>225478914.55000001</v>
      </c>
      <c r="I4">
        <v>1</v>
      </c>
      <c r="J4">
        <v>225478914.55000001</v>
      </c>
      <c r="K4">
        <v>0</v>
      </c>
      <c r="L4">
        <v>0</v>
      </c>
      <c r="M4" t="s">
        <v>184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150</v>
      </c>
      <c r="C5">
        <v>9397860.5800000001</v>
      </c>
      <c r="D5">
        <v>91363673.620000005</v>
      </c>
      <c r="E5">
        <v>9948376</v>
      </c>
      <c r="F5">
        <v>1</v>
      </c>
      <c r="G5">
        <v>9948376</v>
      </c>
      <c r="H5">
        <v>93869696.359999999</v>
      </c>
      <c r="I5">
        <v>1</v>
      </c>
      <c r="J5">
        <v>93869696.359999999</v>
      </c>
      <c r="K5">
        <v>0</v>
      </c>
      <c r="L5">
        <v>0</v>
      </c>
      <c r="M5" t="s">
        <v>184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151</v>
      </c>
      <c r="C6">
        <v>15463299.85</v>
      </c>
      <c r="D6">
        <v>159055998</v>
      </c>
      <c r="E6">
        <v>14127227.82</v>
      </c>
      <c r="F6">
        <v>1</v>
      </c>
      <c r="G6">
        <v>14127227.82</v>
      </c>
      <c r="H6">
        <v>131609218.19</v>
      </c>
      <c r="I6">
        <v>1</v>
      </c>
      <c r="J6">
        <v>131609218.19</v>
      </c>
      <c r="K6">
        <v>0</v>
      </c>
      <c r="L6">
        <v>0</v>
      </c>
      <c r="M6" t="s">
        <v>184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152</v>
      </c>
      <c r="C7">
        <v>11814876.51</v>
      </c>
      <c r="D7">
        <v>105543664.86</v>
      </c>
      <c r="E7">
        <v>11081364.859999999</v>
      </c>
      <c r="F7">
        <v>1</v>
      </c>
      <c r="G7">
        <v>11081364.859999999</v>
      </c>
      <c r="H7">
        <v>92888837.609999999</v>
      </c>
      <c r="I7">
        <v>1</v>
      </c>
      <c r="J7">
        <v>92888837.609999999</v>
      </c>
      <c r="K7">
        <v>0</v>
      </c>
      <c r="L7">
        <v>0</v>
      </c>
      <c r="M7" t="s">
        <v>184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153</v>
      </c>
      <c r="C8">
        <v>2868303.06</v>
      </c>
      <c r="D8">
        <v>21479832.219999999</v>
      </c>
      <c r="E8">
        <v>1662851.87</v>
      </c>
      <c r="F8">
        <v>1</v>
      </c>
      <c r="G8">
        <v>1662851.87</v>
      </c>
      <c r="H8">
        <v>15313915.48</v>
      </c>
      <c r="I8">
        <v>1</v>
      </c>
      <c r="J8">
        <v>15313915.48</v>
      </c>
      <c r="K8">
        <v>0</v>
      </c>
      <c r="L8">
        <v>0</v>
      </c>
      <c r="M8" t="s">
        <v>184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154</v>
      </c>
      <c r="C9">
        <v>595018.57999999996</v>
      </c>
      <c r="D9">
        <v>5341798.53</v>
      </c>
      <c r="E9">
        <v>744226.75</v>
      </c>
      <c r="F9">
        <v>1</v>
      </c>
      <c r="G9">
        <v>744226.75</v>
      </c>
      <c r="H9">
        <v>6584992.2699999996</v>
      </c>
      <c r="I9">
        <v>1</v>
      </c>
      <c r="J9">
        <v>6584992.2699999996</v>
      </c>
      <c r="K9">
        <v>0</v>
      </c>
      <c r="L9">
        <v>0</v>
      </c>
      <c r="M9" t="s">
        <v>184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155</v>
      </c>
      <c r="C10">
        <v>15278198.15</v>
      </c>
      <c r="D10">
        <v>132365295.61</v>
      </c>
      <c r="E10">
        <v>13488443.48</v>
      </c>
      <c r="F10">
        <v>1</v>
      </c>
      <c r="G10">
        <v>13488443.48</v>
      </c>
      <c r="H10">
        <v>114787745.36</v>
      </c>
      <c r="I10">
        <v>1</v>
      </c>
      <c r="J10">
        <v>114787745.36</v>
      </c>
      <c r="K10">
        <v>0</v>
      </c>
      <c r="L10">
        <v>0</v>
      </c>
      <c r="M10" t="s">
        <v>184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156</v>
      </c>
      <c r="C11">
        <v>185101.7</v>
      </c>
      <c r="D11">
        <v>26690702.390000001</v>
      </c>
      <c r="E11">
        <v>638784.34</v>
      </c>
      <c r="F11">
        <v>1</v>
      </c>
      <c r="G11">
        <v>638784.34</v>
      </c>
      <c r="H11">
        <v>16821472.829999998</v>
      </c>
      <c r="I11">
        <v>1</v>
      </c>
      <c r="J11">
        <v>16821472.829999998</v>
      </c>
      <c r="K11">
        <v>0</v>
      </c>
      <c r="L11">
        <v>0</v>
      </c>
      <c r="M11" t="s">
        <v>184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157</v>
      </c>
      <c r="C12">
        <v>137543.51999999999</v>
      </c>
      <c r="D12">
        <v>874691.95</v>
      </c>
      <c r="E12">
        <v>-780841.93</v>
      </c>
      <c r="F12">
        <v>1</v>
      </c>
      <c r="G12">
        <v>-780841.93</v>
      </c>
      <c r="H12">
        <v>-1318028.1399999999</v>
      </c>
      <c r="I12">
        <v>1</v>
      </c>
      <c r="J12">
        <v>-1318028.1399999999</v>
      </c>
      <c r="K12">
        <v>0</v>
      </c>
      <c r="L12">
        <v>0</v>
      </c>
      <c r="M12" t="s">
        <v>184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158</v>
      </c>
      <c r="C13">
        <v>-148791.34</v>
      </c>
      <c r="D13">
        <v>-1035680.15</v>
      </c>
      <c r="E13">
        <v>-117963.46</v>
      </c>
      <c r="F13">
        <v>1</v>
      </c>
      <c r="G13">
        <v>-117963.46</v>
      </c>
      <c r="H13">
        <v>-468959.67</v>
      </c>
      <c r="I13">
        <v>1</v>
      </c>
      <c r="J13">
        <v>-468959.67</v>
      </c>
      <c r="K13">
        <v>0</v>
      </c>
      <c r="L13">
        <v>0</v>
      </c>
      <c r="M13" t="s">
        <v>184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159</v>
      </c>
      <c r="C14">
        <v>481006</v>
      </c>
      <c r="D14">
        <v>3370519.65</v>
      </c>
      <c r="E14">
        <v>509636.95</v>
      </c>
      <c r="F14">
        <v>1</v>
      </c>
      <c r="G14">
        <v>509636.95</v>
      </c>
      <c r="H14">
        <v>4093715.39</v>
      </c>
      <c r="I14">
        <v>1</v>
      </c>
      <c r="J14">
        <v>4093715.39</v>
      </c>
      <c r="K14">
        <v>0</v>
      </c>
      <c r="L14">
        <v>0</v>
      </c>
      <c r="M14" t="s">
        <v>184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160</v>
      </c>
      <c r="C15">
        <v>113034.34</v>
      </c>
      <c r="D15">
        <v>450896.64000000001</v>
      </c>
      <c r="E15">
        <v>39.74</v>
      </c>
      <c r="F15">
        <v>1</v>
      </c>
      <c r="G15">
        <v>39.74</v>
      </c>
      <c r="H15">
        <v>36490.379999999997</v>
      </c>
      <c r="I15">
        <v>1</v>
      </c>
      <c r="J15">
        <v>36490.379999999997</v>
      </c>
      <c r="K15">
        <v>0</v>
      </c>
      <c r="L15">
        <v>0</v>
      </c>
      <c r="M15" t="s">
        <v>184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161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184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162</v>
      </c>
      <c r="C17">
        <v>356723.84</v>
      </c>
      <c r="D17">
        <v>2758634.81</v>
      </c>
      <c r="E17">
        <v>-389208.18</v>
      </c>
      <c r="F17">
        <v>1</v>
      </c>
      <c r="G17">
        <v>-389208.18</v>
      </c>
      <c r="H17">
        <v>2270237.2000000002</v>
      </c>
      <c r="I17">
        <v>1</v>
      </c>
      <c r="J17">
        <v>2270237.2000000002</v>
      </c>
      <c r="K17">
        <v>0</v>
      </c>
      <c r="L17">
        <v>0</v>
      </c>
      <c r="M17" t="s">
        <v>184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163</v>
      </c>
      <c r="C18">
        <v>-171622.14</v>
      </c>
      <c r="D18">
        <v>23932067.579999998</v>
      </c>
      <c r="E18">
        <v>1027992.52</v>
      </c>
      <c r="F18">
        <v>1</v>
      </c>
      <c r="G18">
        <v>1027992.52</v>
      </c>
      <c r="H18">
        <v>14551235.630000001</v>
      </c>
      <c r="I18">
        <v>1</v>
      </c>
      <c r="J18">
        <v>14551235.630000001</v>
      </c>
      <c r="K18">
        <v>0</v>
      </c>
      <c r="L18">
        <v>0</v>
      </c>
      <c r="M18" t="s">
        <v>184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164</v>
      </c>
      <c r="C19">
        <v>587818.49</v>
      </c>
      <c r="D19">
        <v>5920562.8899999997</v>
      </c>
      <c r="E19">
        <v>569147.36</v>
      </c>
      <c r="F19">
        <v>1</v>
      </c>
      <c r="G19">
        <v>569147.36</v>
      </c>
      <c r="H19">
        <v>5330232.09</v>
      </c>
      <c r="I19">
        <v>1</v>
      </c>
      <c r="J19">
        <v>5330232.09</v>
      </c>
      <c r="K19">
        <v>0</v>
      </c>
      <c r="L19">
        <v>0</v>
      </c>
      <c r="M19" t="s">
        <v>184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165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184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166</v>
      </c>
      <c r="C21">
        <v>-759440.63</v>
      </c>
      <c r="D21">
        <v>18011504.690000001</v>
      </c>
      <c r="E21">
        <v>458845.16</v>
      </c>
      <c r="F21">
        <v>1</v>
      </c>
      <c r="G21">
        <v>458845.16</v>
      </c>
      <c r="H21">
        <v>9221003.5399999991</v>
      </c>
      <c r="I21">
        <v>1</v>
      </c>
      <c r="J21">
        <v>9221003.5399999991</v>
      </c>
      <c r="K21">
        <v>0</v>
      </c>
      <c r="L21">
        <v>0</v>
      </c>
      <c r="M21" t="s">
        <v>184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167</v>
      </c>
      <c r="C22">
        <v>780120.28</v>
      </c>
      <c r="D22">
        <v>32032500.920000002</v>
      </c>
      <c r="E22">
        <v>1383011.09</v>
      </c>
      <c r="F22">
        <v>1</v>
      </c>
      <c r="G22">
        <v>1383011.09</v>
      </c>
      <c r="H22">
        <v>23406465.100000001</v>
      </c>
      <c r="I22">
        <v>1</v>
      </c>
      <c r="J22">
        <v>23406465.100000001</v>
      </c>
      <c r="K22">
        <v>0</v>
      </c>
      <c r="L22">
        <v>0</v>
      </c>
      <c r="M22" t="s">
        <v>184</v>
      </c>
      <c r="N22"/>
      <c r="O22"/>
      <c r="P22"/>
      <c r="Q22"/>
      <c r="R22"/>
      <c r="S22"/>
      <c r="T22"/>
    </row>
    <row r="23" spans="1:20" x14ac:dyDescent="0.35">
      <c r="A23" t="s">
        <v>185</v>
      </c>
      <c r="B23" t="s">
        <v>172</v>
      </c>
      <c r="C23" t="s">
        <v>173</v>
      </c>
      <c r="D23" t="s">
        <v>174</v>
      </c>
      <c r="E23" t="s">
        <v>175</v>
      </c>
      <c r="F23" t="s">
        <v>186</v>
      </c>
      <c r="G23" t="s">
        <v>177</v>
      </c>
      <c r="H23" t="s">
        <v>187</v>
      </c>
      <c r="I23" t="s">
        <v>188</v>
      </c>
      <c r="J23" t="s">
        <v>189</v>
      </c>
      <c r="K23" t="s">
        <v>190</v>
      </c>
      <c r="L23" t="s">
        <v>191</v>
      </c>
      <c r="M23" t="s">
        <v>183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147</v>
      </c>
      <c r="C24">
        <v>3937290.32</v>
      </c>
      <c r="D24">
        <v>41014490.969999999</v>
      </c>
      <c r="E24">
        <v>3736751</v>
      </c>
      <c r="F24">
        <v>1</v>
      </c>
      <c r="G24">
        <v>3736751</v>
      </c>
      <c r="H24">
        <v>35129355.479999997</v>
      </c>
      <c r="I24">
        <v>1</v>
      </c>
      <c r="J24">
        <v>35129355.479999997</v>
      </c>
      <c r="K24">
        <v>0</v>
      </c>
      <c r="L24">
        <v>46588897</v>
      </c>
      <c r="M24" t="s">
        <v>184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148</v>
      </c>
      <c r="C25">
        <v>0</v>
      </c>
      <c r="D25">
        <v>4345.2700000000004</v>
      </c>
      <c r="E25">
        <v>0</v>
      </c>
      <c r="F25">
        <v>1</v>
      </c>
      <c r="G25">
        <v>0</v>
      </c>
      <c r="H25">
        <v>11358.94</v>
      </c>
      <c r="I25">
        <v>1</v>
      </c>
      <c r="J25">
        <v>11358.94</v>
      </c>
      <c r="K25">
        <v>0</v>
      </c>
      <c r="L25">
        <v>0</v>
      </c>
      <c r="M25" t="s">
        <v>184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149</v>
      </c>
      <c r="C26">
        <v>3937290.32</v>
      </c>
      <c r="D26">
        <v>41010145.700000003</v>
      </c>
      <c r="E26">
        <v>3736751</v>
      </c>
      <c r="F26">
        <v>1</v>
      </c>
      <c r="G26">
        <v>3736751</v>
      </c>
      <c r="H26">
        <v>35117996.539999999</v>
      </c>
      <c r="I26">
        <v>1</v>
      </c>
      <c r="J26">
        <v>35117996.539999999</v>
      </c>
      <c r="K26">
        <v>0</v>
      </c>
      <c r="L26">
        <v>46588897</v>
      </c>
      <c r="M26" t="s">
        <v>184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150</v>
      </c>
      <c r="C27">
        <v>2418459.64</v>
      </c>
      <c r="D27">
        <v>25044190.079999998</v>
      </c>
      <c r="E27">
        <v>2292587.16</v>
      </c>
      <c r="F27">
        <v>1</v>
      </c>
      <c r="G27">
        <v>2292587.16</v>
      </c>
      <c r="H27">
        <v>21287094.469999999</v>
      </c>
      <c r="I27">
        <v>1</v>
      </c>
      <c r="J27">
        <v>21287094.469999999</v>
      </c>
      <c r="K27">
        <v>0</v>
      </c>
      <c r="L27">
        <v>28896194</v>
      </c>
      <c r="M27" t="s">
        <v>184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151</v>
      </c>
      <c r="C28">
        <v>1518830.68</v>
      </c>
      <c r="D28">
        <v>15965955.619999999</v>
      </c>
      <c r="E28">
        <v>1444163.84</v>
      </c>
      <c r="F28">
        <v>1</v>
      </c>
      <c r="G28">
        <v>1444163.84</v>
      </c>
      <c r="H28">
        <v>13830902.07</v>
      </c>
      <c r="I28">
        <v>1</v>
      </c>
      <c r="J28">
        <v>13830902.07</v>
      </c>
      <c r="K28">
        <v>0</v>
      </c>
      <c r="L28">
        <v>17692703</v>
      </c>
      <c r="M28" t="s">
        <v>184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152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184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153</v>
      </c>
      <c r="C30">
        <v>1268252.77</v>
      </c>
      <c r="D30">
        <v>11507990.49</v>
      </c>
      <c r="E30">
        <v>1215137.18</v>
      </c>
      <c r="F30">
        <v>1</v>
      </c>
      <c r="G30">
        <v>1215137.18</v>
      </c>
      <c r="H30">
        <v>10981757.380000001</v>
      </c>
      <c r="I30">
        <v>1</v>
      </c>
      <c r="J30">
        <v>10981757.380000001</v>
      </c>
      <c r="K30">
        <v>0</v>
      </c>
      <c r="L30">
        <v>14892943</v>
      </c>
      <c r="M30" t="s">
        <v>184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154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2064</v>
      </c>
      <c r="M31" t="s">
        <v>184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155</v>
      </c>
      <c r="C32">
        <v>1268252.77</v>
      </c>
      <c r="D32">
        <v>11507990.49</v>
      </c>
      <c r="E32">
        <v>1215137.18</v>
      </c>
      <c r="F32">
        <v>1</v>
      </c>
      <c r="G32">
        <v>1215137.18</v>
      </c>
      <c r="H32">
        <v>10981757.380000001</v>
      </c>
      <c r="I32">
        <v>1</v>
      </c>
      <c r="J32">
        <v>10981757.380000001</v>
      </c>
      <c r="K32">
        <v>0</v>
      </c>
      <c r="L32">
        <v>14895007</v>
      </c>
      <c r="M32" t="s">
        <v>184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156</v>
      </c>
      <c r="C33">
        <v>250577.91</v>
      </c>
      <c r="D33">
        <v>4457965.13</v>
      </c>
      <c r="E33">
        <v>229026.66</v>
      </c>
      <c r="F33">
        <v>1</v>
      </c>
      <c r="G33">
        <v>229026.66</v>
      </c>
      <c r="H33">
        <v>2849144.69</v>
      </c>
      <c r="I33">
        <v>1</v>
      </c>
      <c r="J33">
        <v>2849144.69</v>
      </c>
      <c r="K33">
        <v>0</v>
      </c>
      <c r="L33">
        <v>2797696</v>
      </c>
      <c r="M33" t="s">
        <v>184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157</v>
      </c>
      <c r="C34">
        <v>-10914.13</v>
      </c>
      <c r="D34">
        <v>180022.68</v>
      </c>
      <c r="E34">
        <v>-58652.92</v>
      </c>
      <c r="F34">
        <v>1</v>
      </c>
      <c r="G34">
        <v>-58652.92</v>
      </c>
      <c r="H34">
        <v>-11641.01</v>
      </c>
      <c r="I34">
        <v>1</v>
      </c>
      <c r="J34">
        <v>-11641.01</v>
      </c>
      <c r="K34">
        <v>0</v>
      </c>
      <c r="L34">
        <v>32028</v>
      </c>
      <c r="M34" t="s">
        <v>184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158</v>
      </c>
      <c r="C35">
        <v>-675.03</v>
      </c>
      <c r="D35">
        <v>-200312.18</v>
      </c>
      <c r="E35">
        <v>-563.62</v>
      </c>
      <c r="F35">
        <v>1</v>
      </c>
      <c r="G35">
        <v>-563.62</v>
      </c>
      <c r="H35">
        <v>-750554.97</v>
      </c>
      <c r="I35">
        <v>1</v>
      </c>
      <c r="J35">
        <v>-750554.97</v>
      </c>
      <c r="K35">
        <v>0</v>
      </c>
      <c r="L35">
        <v>-1740000</v>
      </c>
      <c r="M35" t="s">
        <v>184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159</v>
      </c>
      <c r="C36">
        <v>1686.16</v>
      </c>
      <c r="D36">
        <v>54125.61</v>
      </c>
      <c r="E36">
        <v>36555.79</v>
      </c>
      <c r="F36">
        <v>1</v>
      </c>
      <c r="G36">
        <v>36555.79</v>
      </c>
      <c r="H36">
        <v>323895.93</v>
      </c>
      <c r="I36">
        <v>1</v>
      </c>
      <c r="J36">
        <v>323895.93</v>
      </c>
      <c r="K36">
        <v>0</v>
      </c>
      <c r="L36">
        <v>36670</v>
      </c>
      <c r="M36" t="s">
        <v>184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160</v>
      </c>
      <c r="C37">
        <v>12815.74</v>
      </c>
      <c r="D37">
        <v>92001.06</v>
      </c>
      <c r="E37">
        <v>0</v>
      </c>
      <c r="F37">
        <v>1</v>
      </c>
      <c r="G37">
        <v>0</v>
      </c>
      <c r="H37">
        <v>24422.29</v>
      </c>
      <c r="I37">
        <v>1</v>
      </c>
      <c r="J37">
        <v>24422.29</v>
      </c>
      <c r="K37">
        <v>0</v>
      </c>
      <c r="L37">
        <v>35386</v>
      </c>
      <c r="M37" t="s">
        <v>184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161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184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162</v>
      </c>
      <c r="C39">
        <v>-22718.74</v>
      </c>
      <c r="D39">
        <v>-58164.95</v>
      </c>
      <c r="E39">
        <v>-22660.75</v>
      </c>
      <c r="F39">
        <v>1</v>
      </c>
      <c r="G39">
        <v>-22660.75</v>
      </c>
      <c r="H39">
        <v>-462722.34</v>
      </c>
      <c r="I39">
        <v>1</v>
      </c>
      <c r="J39">
        <v>-462722.34</v>
      </c>
      <c r="K39">
        <v>0</v>
      </c>
      <c r="L39">
        <v>-1706688</v>
      </c>
      <c r="M39" t="s">
        <v>184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163</v>
      </c>
      <c r="C40">
        <v>273296.65000000002</v>
      </c>
      <c r="D40">
        <v>4516130.08</v>
      </c>
      <c r="E40">
        <v>251687.41</v>
      </c>
      <c r="F40">
        <v>1</v>
      </c>
      <c r="G40">
        <v>251687.41</v>
      </c>
      <c r="H40">
        <v>3311867.03</v>
      </c>
      <c r="I40">
        <v>1</v>
      </c>
      <c r="J40">
        <v>3311867.03</v>
      </c>
      <c r="K40">
        <v>0</v>
      </c>
      <c r="L40">
        <v>4504384</v>
      </c>
      <c r="M40" t="s">
        <v>184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164</v>
      </c>
      <c r="C41">
        <v>114750</v>
      </c>
      <c r="D41">
        <v>1195010</v>
      </c>
      <c r="E41">
        <v>109347</v>
      </c>
      <c r="F41">
        <v>1</v>
      </c>
      <c r="G41">
        <v>109347</v>
      </c>
      <c r="H41">
        <v>1039083</v>
      </c>
      <c r="I41">
        <v>1</v>
      </c>
      <c r="J41">
        <v>1039083</v>
      </c>
      <c r="K41">
        <v>0</v>
      </c>
      <c r="L41">
        <v>1297036</v>
      </c>
      <c r="M41" t="s">
        <v>184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165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184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166</v>
      </c>
      <c r="C43">
        <v>158546.65</v>
      </c>
      <c r="D43">
        <v>3321120.08</v>
      </c>
      <c r="E43">
        <v>142340.41</v>
      </c>
      <c r="F43">
        <v>1</v>
      </c>
      <c r="G43">
        <v>142340.41</v>
      </c>
      <c r="H43">
        <v>2272784.0299999998</v>
      </c>
      <c r="I43">
        <v>1</v>
      </c>
      <c r="J43">
        <v>2272784.0299999998</v>
      </c>
      <c r="K43">
        <v>0</v>
      </c>
      <c r="L43">
        <v>3207348</v>
      </c>
      <c r="M43" t="s">
        <v>184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167</v>
      </c>
      <c r="C44">
        <v>250577.91</v>
      </c>
      <c r="D44">
        <v>4457965.13</v>
      </c>
      <c r="E44">
        <v>229026.66</v>
      </c>
      <c r="F44">
        <v>1</v>
      </c>
      <c r="G44">
        <v>229026.66</v>
      </c>
      <c r="H44">
        <v>2849144.69</v>
      </c>
      <c r="I44">
        <v>1</v>
      </c>
      <c r="J44">
        <v>2849144.69</v>
      </c>
      <c r="K44">
        <v>0</v>
      </c>
      <c r="L44">
        <v>2799760</v>
      </c>
      <c r="M44" t="s">
        <v>184</v>
      </c>
      <c r="N44"/>
      <c r="O44"/>
      <c r="P44"/>
      <c r="Q44"/>
      <c r="R44"/>
      <c r="S44"/>
      <c r="T44"/>
    </row>
    <row r="45" spans="1:20" x14ac:dyDescent="0.35">
      <c r="A45" t="s">
        <v>192</v>
      </c>
      <c r="B45" t="s">
        <v>172</v>
      </c>
      <c r="C45" t="s">
        <v>173</v>
      </c>
      <c r="D45" t="s">
        <v>174</v>
      </c>
      <c r="E45" t="s">
        <v>175</v>
      </c>
      <c r="F45" t="s">
        <v>193</v>
      </c>
      <c r="G45" t="s">
        <v>177</v>
      </c>
      <c r="H45" t="s">
        <v>194</v>
      </c>
      <c r="I45" t="s">
        <v>195</v>
      </c>
      <c r="J45" t="s">
        <v>196</v>
      </c>
      <c r="K45" t="s">
        <v>197</v>
      </c>
      <c r="L45" t="s">
        <v>198</v>
      </c>
      <c r="M45" t="s">
        <v>183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147</v>
      </c>
      <c r="C46">
        <v>28194649.02</v>
      </c>
      <c r="D46">
        <v>255219475.28999999</v>
      </c>
      <c r="E46">
        <v>23252064.02</v>
      </c>
      <c r="F46">
        <v>1</v>
      </c>
      <c r="G46">
        <v>23252064.02</v>
      </c>
      <c r="H46">
        <v>253263262.34999999</v>
      </c>
      <c r="I46">
        <v>1</v>
      </c>
      <c r="J46">
        <v>253263262.34999999</v>
      </c>
      <c r="K46">
        <v>0</v>
      </c>
      <c r="L46">
        <v>0</v>
      </c>
      <c r="M46" t="s">
        <v>184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148</v>
      </c>
      <c r="C47">
        <v>182536.76</v>
      </c>
      <c r="D47">
        <v>2182825.39</v>
      </c>
      <c r="E47">
        <v>82336.87</v>
      </c>
      <c r="F47">
        <v>1</v>
      </c>
      <c r="G47">
        <v>82336.87</v>
      </c>
      <c r="H47">
        <v>1816349.61</v>
      </c>
      <c r="I47">
        <v>1</v>
      </c>
      <c r="J47">
        <v>1816349.61</v>
      </c>
      <c r="K47">
        <v>0</v>
      </c>
      <c r="L47">
        <v>0</v>
      </c>
      <c r="M47" t="s">
        <v>184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149</v>
      </c>
      <c r="C48">
        <v>28012112.260000002</v>
      </c>
      <c r="D48">
        <v>253036649.90000001</v>
      </c>
      <c r="E48">
        <v>23169727.149999999</v>
      </c>
      <c r="F48">
        <v>1</v>
      </c>
      <c r="G48">
        <v>23169727.149999999</v>
      </c>
      <c r="H48">
        <v>251446912.74000001</v>
      </c>
      <c r="I48">
        <v>1</v>
      </c>
      <c r="J48">
        <v>251446912.74000001</v>
      </c>
      <c r="K48">
        <v>0</v>
      </c>
      <c r="L48">
        <v>0</v>
      </c>
      <c r="M48" t="s">
        <v>184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150</v>
      </c>
      <c r="C49">
        <v>22803076.539999999</v>
      </c>
      <c r="D49">
        <v>206344376.28</v>
      </c>
      <c r="E49">
        <v>19064882.190000001</v>
      </c>
      <c r="F49">
        <v>1</v>
      </c>
      <c r="G49">
        <v>19064882.190000001</v>
      </c>
      <c r="H49">
        <v>207374840.27000001</v>
      </c>
      <c r="I49">
        <v>1</v>
      </c>
      <c r="J49">
        <v>207374840.27000001</v>
      </c>
      <c r="K49">
        <v>0</v>
      </c>
      <c r="L49">
        <v>0</v>
      </c>
      <c r="M49" t="s">
        <v>184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151</v>
      </c>
      <c r="C50">
        <v>5209035.72</v>
      </c>
      <c r="D50">
        <v>46692273.619999997</v>
      </c>
      <c r="E50">
        <v>4104844.96</v>
      </c>
      <c r="F50">
        <v>1</v>
      </c>
      <c r="G50">
        <v>4104844.96</v>
      </c>
      <c r="H50">
        <v>44072072.469999999</v>
      </c>
      <c r="I50">
        <v>1</v>
      </c>
      <c r="J50">
        <v>44072072.469999999</v>
      </c>
      <c r="K50">
        <v>0</v>
      </c>
      <c r="L50">
        <v>0</v>
      </c>
      <c r="M50" t="s">
        <v>184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152</v>
      </c>
      <c r="C51">
        <v>2555200.66</v>
      </c>
      <c r="D51">
        <v>23099693.649999999</v>
      </c>
      <c r="E51">
        <v>2720070.3</v>
      </c>
      <c r="F51">
        <v>1</v>
      </c>
      <c r="G51">
        <v>2720070.3</v>
      </c>
      <c r="H51">
        <v>22341231.149999999</v>
      </c>
      <c r="I51">
        <v>1</v>
      </c>
      <c r="J51">
        <v>22341231.149999999</v>
      </c>
      <c r="K51">
        <v>0</v>
      </c>
      <c r="L51">
        <v>0</v>
      </c>
      <c r="M51" t="s">
        <v>184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153</v>
      </c>
      <c r="C52">
        <v>971276.21</v>
      </c>
      <c r="D52">
        <v>8707605.5399999991</v>
      </c>
      <c r="E52">
        <v>927702.38</v>
      </c>
      <c r="F52">
        <v>1</v>
      </c>
      <c r="G52">
        <v>927702.38</v>
      </c>
      <c r="H52">
        <v>8623226.3499999996</v>
      </c>
      <c r="I52">
        <v>1</v>
      </c>
      <c r="J52">
        <v>8623226.3499999996</v>
      </c>
      <c r="K52">
        <v>0</v>
      </c>
      <c r="L52">
        <v>0</v>
      </c>
      <c r="M52" t="s">
        <v>184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154</v>
      </c>
      <c r="C53">
        <v>110029.08</v>
      </c>
      <c r="D53">
        <v>1113996.57</v>
      </c>
      <c r="E53">
        <v>147450.63</v>
      </c>
      <c r="F53">
        <v>1</v>
      </c>
      <c r="G53">
        <v>147450.63</v>
      </c>
      <c r="H53">
        <v>994964.75</v>
      </c>
      <c r="I53">
        <v>1</v>
      </c>
      <c r="J53">
        <v>994964.75</v>
      </c>
      <c r="K53">
        <v>0</v>
      </c>
      <c r="L53">
        <v>0</v>
      </c>
      <c r="M53" t="s">
        <v>184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155</v>
      </c>
      <c r="C54">
        <v>3636505.95</v>
      </c>
      <c r="D54">
        <v>32921295.760000002</v>
      </c>
      <c r="E54">
        <v>3795223.31</v>
      </c>
      <c r="F54">
        <v>1</v>
      </c>
      <c r="G54">
        <v>3795223.31</v>
      </c>
      <c r="H54">
        <v>31959422.25</v>
      </c>
      <c r="I54">
        <v>1</v>
      </c>
      <c r="J54">
        <v>31959422.25</v>
      </c>
      <c r="K54">
        <v>0</v>
      </c>
      <c r="L54">
        <v>0</v>
      </c>
      <c r="M54" t="s">
        <v>184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156</v>
      </c>
      <c r="C55">
        <v>1572529.77</v>
      </c>
      <c r="D55">
        <v>13770977.859999999</v>
      </c>
      <c r="E55">
        <v>309621.65000000002</v>
      </c>
      <c r="F55">
        <v>1</v>
      </c>
      <c r="G55">
        <v>309621.65000000002</v>
      </c>
      <c r="H55">
        <v>12112650.220000001</v>
      </c>
      <c r="I55">
        <v>1</v>
      </c>
      <c r="J55">
        <v>12112650.220000001</v>
      </c>
      <c r="K55">
        <v>0</v>
      </c>
      <c r="L55">
        <v>0</v>
      </c>
      <c r="M55" t="s">
        <v>184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157</v>
      </c>
      <c r="C56">
        <v>-23084.89</v>
      </c>
      <c r="D56">
        <v>-148428.43</v>
      </c>
      <c r="E56">
        <v>36975.120000000003</v>
      </c>
      <c r="F56">
        <v>1</v>
      </c>
      <c r="G56">
        <v>36975.120000000003</v>
      </c>
      <c r="H56">
        <v>-120437.67</v>
      </c>
      <c r="I56">
        <v>1</v>
      </c>
      <c r="J56">
        <v>-120437.67</v>
      </c>
      <c r="K56">
        <v>0</v>
      </c>
      <c r="L56">
        <v>0</v>
      </c>
      <c r="M56" t="s">
        <v>184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158</v>
      </c>
      <c r="C57">
        <v>11001.82</v>
      </c>
      <c r="D57">
        <v>-68054.039999999994</v>
      </c>
      <c r="E57">
        <v>0</v>
      </c>
      <c r="F57">
        <v>1</v>
      </c>
      <c r="G57">
        <v>0</v>
      </c>
      <c r="H57">
        <v>31958.53</v>
      </c>
      <c r="I57">
        <v>1</v>
      </c>
      <c r="J57">
        <v>31958.53</v>
      </c>
      <c r="K57">
        <v>0</v>
      </c>
      <c r="L57">
        <v>0</v>
      </c>
      <c r="M57" t="s">
        <v>184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159</v>
      </c>
      <c r="C58">
        <v>74497.09</v>
      </c>
      <c r="D58">
        <v>540671.28</v>
      </c>
      <c r="E58">
        <v>52587.38</v>
      </c>
      <c r="F58">
        <v>1</v>
      </c>
      <c r="G58">
        <v>52587.38</v>
      </c>
      <c r="H58">
        <v>702660.91</v>
      </c>
      <c r="I58">
        <v>1</v>
      </c>
      <c r="J58">
        <v>702660.91</v>
      </c>
      <c r="K58">
        <v>0</v>
      </c>
      <c r="L58">
        <v>0</v>
      </c>
      <c r="M58" t="s">
        <v>184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160</v>
      </c>
      <c r="C59">
        <v>19081.29</v>
      </c>
      <c r="D59">
        <v>50934.61</v>
      </c>
      <c r="E59">
        <v>65.7</v>
      </c>
      <c r="F59">
        <v>1</v>
      </c>
      <c r="G59">
        <v>65.7</v>
      </c>
      <c r="H59">
        <v>4035.42</v>
      </c>
      <c r="I59">
        <v>1</v>
      </c>
      <c r="J59">
        <v>4035.42</v>
      </c>
      <c r="K59">
        <v>0</v>
      </c>
      <c r="L59">
        <v>0</v>
      </c>
      <c r="M59" t="s">
        <v>184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161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184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162</v>
      </c>
      <c r="C61">
        <v>43332.73</v>
      </c>
      <c r="D61">
        <v>273254.2</v>
      </c>
      <c r="E61">
        <v>89496.8</v>
      </c>
      <c r="F61">
        <v>1</v>
      </c>
      <c r="G61">
        <v>89496.8</v>
      </c>
      <c r="H61">
        <v>610146.35</v>
      </c>
      <c r="I61">
        <v>1</v>
      </c>
      <c r="J61">
        <v>610146.35</v>
      </c>
      <c r="K61">
        <v>0</v>
      </c>
      <c r="L61">
        <v>0</v>
      </c>
      <c r="M61" t="s">
        <v>184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163</v>
      </c>
      <c r="C62">
        <v>1529197.04</v>
      </c>
      <c r="D62">
        <v>13497723.66</v>
      </c>
      <c r="E62">
        <v>220124.85</v>
      </c>
      <c r="F62">
        <v>1</v>
      </c>
      <c r="G62">
        <v>220124.85</v>
      </c>
      <c r="H62">
        <v>11502503.869999999</v>
      </c>
      <c r="I62">
        <v>1</v>
      </c>
      <c r="J62">
        <v>11502503.869999999</v>
      </c>
      <c r="K62">
        <v>0</v>
      </c>
      <c r="L62">
        <v>0</v>
      </c>
      <c r="M62" t="s">
        <v>184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164</v>
      </c>
      <c r="C63">
        <v>400000</v>
      </c>
      <c r="D63">
        <v>3450000</v>
      </c>
      <c r="E63">
        <v>400000</v>
      </c>
      <c r="F63">
        <v>1</v>
      </c>
      <c r="G63">
        <v>400000</v>
      </c>
      <c r="H63">
        <v>2860000</v>
      </c>
      <c r="I63">
        <v>1</v>
      </c>
      <c r="J63">
        <v>2860000</v>
      </c>
      <c r="K63">
        <v>0</v>
      </c>
      <c r="L63">
        <v>0</v>
      </c>
      <c r="M63" t="s">
        <v>184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165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184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166</v>
      </c>
      <c r="C65">
        <v>1129197.04</v>
      </c>
      <c r="D65">
        <v>10047723.66</v>
      </c>
      <c r="E65">
        <v>-179875.15</v>
      </c>
      <c r="F65">
        <v>1</v>
      </c>
      <c r="G65">
        <v>-179875.15</v>
      </c>
      <c r="H65">
        <v>8642503.8699999992</v>
      </c>
      <c r="I65">
        <v>1</v>
      </c>
      <c r="J65">
        <v>8642503.8699999992</v>
      </c>
      <c r="K65">
        <v>0</v>
      </c>
      <c r="L65">
        <v>0</v>
      </c>
      <c r="M65" t="s">
        <v>184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167</v>
      </c>
      <c r="C66">
        <v>1682558.85</v>
      </c>
      <c r="D66">
        <v>14884974.43</v>
      </c>
      <c r="E66">
        <v>457072.28</v>
      </c>
      <c r="F66">
        <v>1</v>
      </c>
      <c r="G66">
        <v>457072.28</v>
      </c>
      <c r="H66">
        <v>13107614.970000001</v>
      </c>
      <c r="I66">
        <v>1</v>
      </c>
      <c r="J66">
        <v>13107614.970000001</v>
      </c>
      <c r="K66">
        <v>0</v>
      </c>
      <c r="L66">
        <v>0</v>
      </c>
      <c r="M66" t="s">
        <v>184</v>
      </c>
      <c r="N66"/>
      <c r="O66"/>
      <c r="P66"/>
      <c r="Q66"/>
      <c r="R66"/>
      <c r="S66"/>
      <c r="T66"/>
    </row>
    <row r="67" spans="1:20" x14ac:dyDescent="0.35">
      <c r="A67" t="s">
        <v>199</v>
      </c>
      <c r="B67" t="s">
        <v>172</v>
      </c>
      <c r="C67" t="s">
        <v>173</v>
      </c>
      <c r="D67" t="s">
        <v>174</v>
      </c>
      <c r="E67" t="s">
        <v>200</v>
      </c>
      <c r="F67" t="s">
        <v>201</v>
      </c>
      <c r="G67" t="s">
        <v>177</v>
      </c>
      <c r="H67" t="s">
        <v>194</v>
      </c>
      <c r="I67" t="s">
        <v>195</v>
      </c>
      <c r="J67" t="s">
        <v>196</v>
      </c>
      <c r="K67" t="s">
        <v>202</v>
      </c>
      <c r="L67" t="s">
        <v>198</v>
      </c>
      <c r="M67" t="s">
        <v>183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147</v>
      </c>
      <c r="C68">
        <v>3186062</v>
      </c>
      <c r="D68">
        <v>28674558</v>
      </c>
      <c r="E68">
        <v>3081000</v>
      </c>
      <c r="F68">
        <v>1</v>
      </c>
      <c r="G68">
        <v>3081000</v>
      </c>
      <c r="H68">
        <v>28037690.280000001</v>
      </c>
      <c r="I68">
        <v>1</v>
      </c>
      <c r="J68">
        <v>28037690.280000001</v>
      </c>
      <c r="K68">
        <v>0</v>
      </c>
      <c r="L68">
        <v>37366380</v>
      </c>
      <c r="M68" t="s">
        <v>184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148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184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149</v>
      </c>
      <c r="C70">
        <v>3186062</v>
      </c>
      <c r="D70">
        <v>28674558</v>
      </c>
      <c r="E70">
        <v>3081000</v>
      </c>
      <c r="F70">
        <v>1</v>
      </c>
      <c r="G70">
        <v>3081000</v>
      </c>
      <c r="H70">
        <v>28037690.280000001</v>
      </c>
      <c r="I70">
        <v>1</v>
      </c>
      <c r="J70">
        <v>28037690.280000001</v>
      </c>
      <c r="K70">
        <v>0</v>
      </c>
      <c r="L70">
        <v>37366380</v>
      </c>
      <c r="M70" t="s">
        <v>184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150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184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151</v>
      </c>
      <c r="C72">
        <v>3186062</v>
      </c>
      <c r="D72">
        <v>28674558</v>
      </c>
      <c r="E72">
        <v>3081000</v>
      </c>
      <c r="F72">
        <v>1</v>
      </c>
      <c r="G72">
        <v>3081000</v>
      </c>
      <c r="H72">
        <v>28037690.280000001</v>
      </c>
      <c r="I72">
        <v>1</v>
      </c>
      <c r="J72">
        <v>28037690.280000001</v>
      </c>
      <c r="K72">
        <v>0</v>
      </c>
      <c r="L72">
        <v>37366380</v>
      </c>
      <c r="M72" t="s">
        <v>184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152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184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153</v>
      </c>
      <c r="C74">
        <v>2919673.24</v>
      </c>
      <c r="D74">
        <v>26873194.25</v>
      </c>
      <c r="E74">
        <v>2962748.13</v>
      </c>
      <c r="F74">
        <v>1</v>
      </c>
      <c r="G74">
        <v>2962748.13</v>
      </c>
      <c r="H74">
        <v>26908306.800000001</v>
      </c>
      <c r="I74">
        <v>1</v>
      </c>
      <c r="J74">
        <v>26908306.800000001</v>
      </c>
      <c r="K74">
        <v>0</v>
      </c>
      <c r="L74">
        <v>35277151</v>
      </c>
      <c r="M74" t="s">
        <v>184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154</v>
      </c>
      <c r="C75">
        <v>41879.120000000003</v>
      </c>
      <c r="D75">
        <v>376912.08</v>
      </c>
      <c r="E75">
        <v>41879.120000000003</v>
      </c>
      <c r="F75">
        <v>1</v>
      </c>
      <c r="G75">
        <v>41879.120000000003</v>
      </c>
      <c r="H75">
        <v>376912.08</v>
      </c>
      <c r="I75">
        <v>1</v>
      </c>
      <c r="J75">
        <v>376912.08</v>
      </c>
      <c r="K75">
        <v>0</v>
      </c>
      <c r="L75">
        <v>548161</v>
      </c>
      <c r="M75" t="s">
        <v>184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155</v>
      </c>
      <c r="C76">
        <v>2961552.36</v>
      </c>
      <c r="D76">
        <v>27250106.329999998</v>
      </c>
      <c r="E76">
        <v>3004627.25</v>
      </c>
      <c r="F76">
        <v>1</v>
      </c>
      <c r="G76">
        <v>3004627.25</v>
      </c>
      <c r="H76">
        <v>27285218.879999999</v>
      </c>
      <c r="I76">
        <v>1</v>
      </c>
      <c r="J76">
        <v>27285218.879999999</v>
      </c>
      <c r="K76">
        <v>0</v>
      </c>
      <c r="L76">
        <v>35825312</v>
      </c>
      <c r="M76" t="s">
        <v>184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156</v>
      </c>
      <c r="C77">
        <v>224509.64</v>
      </c>
      <c r="D77">
        <v>1424451.67</v>
      </c>
      <c r="E77">
        <v>76372.75</v>
      </c>
      <c r="F77">
        <v>1</v>
      </c>
      <c r="G77">
        <v>76372.75</v>
      </c>
      <c r="H77">
        <v>752471.4</v>
      </c>
      <c r="I77">
        <v>1</v>
      </c>
      <c r="J77">
        <v>752471.4</v>
      </c>
      <c r="K77">
        <v>0</v>
      </c>
      <c r="L77">
        <v>1541068</v>
      </c>
      <c r="M77" t="s">
        <v>184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157</v>
      </c>
      <c r="C78">
        <v>0.95</v>
      </c>
      <c r="D78">
        <v>4680.88</v>
      </c>
      <c r="E78">
        <v>1815.85</v>
      </c>
      <c r="F78">
        <v>1</v>
      </c>
      <c r="G78">
        <v>1815.85</v>
      </c>
      <c r="H78">
        <v>5592.62</v>
      </c>
      <c r="I78">
        <v>1</v>
      </c>
      <c r="J78">
        <v>5592.62</v>
      </c>
      <c r="K78">
        <v>0</v>
      </c>
      <c r="L78">
        <v>0</v>
      </c>
      <c r="M78" t="s">
        <v>184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158</v>
      </c>
      <c r="C79">
        <v>26</v>
      </c>
      <c r="D79">
        <v>-7851.83</v>
      </c>
      <c r="E79">
        <v>18635.669999999998</v>
      </c>
      <c r="F79">
        <v>1</v>
      </c>
      <c r="G79">
        <v>18635.669999999998</v>
      </c>
      <c r="H79">
        <v>-12837</v>
      </c>
      <c r="I79">
        <v>1</v>
      </c>
      <c r="J79">
        <v>-12837</v>
      </c>
      <c r="K79">
        <v>0</v>
      </c>
      <c r="L79">
        <v>0</v>
      </c>
      <c r="M79" t="s">
        <v>184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159</v>
      </c>
      <c r="C80">
        <v>7082.7</v>
      </c>
      <c r="D80">
        <v>92767.55</v>
      </c>
      <c r="E80">
        <v>10671.21</v>
      </c>
      <c r="F80">
        <v>1</v>
      </c>
      <c r="G80">
        <v>10671.21</v>
      </c>
      <c r="H80">
        <v>96228.57</v>
      </c>
      <c r="I80">
        <v>1</v>
      </c>
      <c r="J80">
        <v>96228.57</v>
      </c>
      <c r="K80">
        <v>0</v>
      </c>
      <c r="L80">
        <v>204706</v>
      </c>
      <c r="M80" t="s">
        <v>184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160</v>
      </c>
      <c r="C81">
        <v>14.34</v>
      </c>
      <c r="D81">
        <v>87.98</v>
      </c>
      <c r="E81">
        <v>7.09</v>
      </c>
      <c r="F81">
        <v>1</v>
      </c>
      <c r="G81">
        <v>7.09</v>
      </c>
      <c r="H81">
        <v>4894.53</v>
      </c>
      <c r="I81">
        <v>1</v>
      </c>
      <c r="J81">
        <v>4894.53</v>
      </c>
      <c r="K81">
        <v>0</v>
      </c>
      <c r="L81">
        <v>5045</v>
      </c>
      <c r="M81" t="s">
        <v>184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161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184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162</v>
      </c>
      <c r="C83">
        <v>7095.31</v>
      </c>
      <c r="D83">
        <v>89508.62</v>
      </c>
      <c r="E83">
        <v>31115.64</v>
      </c>
      <c r="F83">
        <v>1</v>
      </c>
      <c r="G83">
        <v>31115.64</v>
      </c>
      <c r="H83">
        <v>84089.66</v>
      </c>
      <c r="I83">
        <v>1</v>
      </c>
      <c r="J83">
        <v>84089.66</v>
      </c>
      <c r="K83">
        <v>0</v>
      </c>
      <c r="L83">
        <v>199661</v>
      </c>
      <c r="M83" t="s">
        <v>184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163</v>
      </c>
      <c r="C84">
        <v>217414.33</v>
      </c>
      <c r="D84">
        <v>1334943.05</v>
      </c>
      <c r="E84">
        <v>45257.11</v>
      </c>
      <c r="F84">
        <v>1</v>
      </c>
      <c r="G84">
        <v>45257.11</v>
      </c>
      <c r="H84">
        <v>668381.74</v>
      </c>
      <c r="I84">
        <v>1</v>
      </c>
      <c r="J84">
        <v>668381.74</v>
      </c>
      <c r="K84">
        <v>0</v>
      </c>
      <c r="L84">
        <v>1341407</v>
      </c>
      <c r="M84" t="s">
        <v>184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164</v>
      </c>
      <c r="C85">
        <v>68436.61</v>
      </c>
      <c r="D85">
        <v>615929.49</v>
      </c>
      <c r="E85">
        <v>66179.88</v>
      </c>
      <c r="F85">
        <v>1</v>
      </c>
      <c r="G85">
        <v>66179.88</v>
      </c>
      <c r="H85">
        <v>599743.07999999996</v>
      </c>
      <c r="I85">
        <v>1</v>
      </c>
      <c r="J85">
        <v>599743.07999999996</v>
      </c>
      <c r="K85">
        <v>0</v>
      </c>
      <c r="L85">
        <v>581797</v>
      </c>
      <c r="M85" t="s">
        <v>184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165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184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166</v>
      </c>
      <c r="C87">
        <v>148977.72</v>
      </c>
      <c r="D87">
        <v>719013.56</v>
      </c>
      <c r="E87">
        <v>-20922.77</v>
      </c>
      <c r="F87">
        <v>1</v>
      </c>
      <c r="G87">
        <v>-20922.77</v>
      </c>
      <c r="H87">
        <v>68638.66</v>
      </c>
      <c r="I87">
        <v>1</v>
      </c>
      <c r="J87">
        <v>68638.66</v>
      </c>
      <c r="K87">
        <v>0</v>
      </c>
      <c r="L87">
        <v>759610</v>
      </c>
      <c r="M87" t="s">
        <v>184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167</v>
      </c>
      <c r="C88">
        <v>266388.76</v>
      </c>
      <c r="D88">
        <v>1801363.75</v>
      </c>
      <c r="E88">
        <v>118251.87</v>
      </c>
      <c r="F88">
        <v>1</v>
      </c>
      <c r="G88">
        <v>118251.87</v>
      </c>
      <c r="H88">
        <v>1129383.48</v>
      </c>
      <c r="I88">
        <v>1</v>
      </c>
      <c r="J88">
        <v>1129383.48</v>
      </c>
      <c r="K88">
        <v>0</v>
      </c>
      <c r="L88">
        <v>2089229</v>
      </c>
      <c r="M88" t="s">
        <v>184</v>
      </c>
      <c r="N88"/>
      <c r="O88"/>
      <c r="P88"/>
      <c r="Q88"/>
      <c r="R88"/>
      <c r="S88"/>
      <c r="T88"/>
    </row>
    <row r="89" spans="1:20" x14ac:dyDescent="0.35">
      <c r="A89" t="s">
        <v>203</v>
      </c>
      <c r="B89" t="s">
        <v>172</v>
      </c>
      <c r="C89" t="s">
        <v>173</v>
      </c>
      <c r="D89" t="s">
        <v>174</v>
      </c>
      <c r="E89" t="s">
        <v>175</v>
      </c>
      <c r="F89" t="s">
        <v>176</v>
      </c>
      <c r="G89" t="s">
        <v>177</v>
      </c>
      <c r="H89" t="s">
        <v>178</v>
      </c>
      <c r="I89" t="s">
        <v>179</v>
      </c>
      <c r="J89" t="s">
        <v>180</v>
      </c>
      <c r="K89" t="s">
        <v>181</v>
      </c>
      <c r="L89" t="s">
        <v>182</v>
      </c>
      <c r="M89" t="s">
        <v>183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147</v>
      </c>
      <c r="C90">
        <v>816720.83</v>
      </c>
      <c r="D90">
        <v>5136610.79</v>
      </c>
      <c r="E90">
        <v>803300.67</v>
      </c>
      <c r="F90">
        <v>1</v>
      </c>
      <c r="G90">
        <v>803300.67</v>
      </c>
      <c r="H90">
        <v>6251190.3399999999</v>
      </c>
      <c r="I90">
        <v>1</v>
      </c>
      <c r="J90">
        <v>6251190.3399999999</v>
      </c>
      <c r="K90">
        <v>0</v>
      </c>
      <c r="L90">
        <v>9650283</v>
      </c>
      <c r="M90" t="s">
        <v>184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148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184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149</v>
      </c>
      <c r="C92">
        <v>816720.83</v>
      </c>
      <c r="D92">
        <v>5136610.79</v>
      </c>
      <c r="E92">
        <v>803300.67</v>
      </c>
      <c r="F92">
        <v>1</v>
      </c>
      <c r="G92">
        <v>803300.67</v>
      </c>
      <c r="H92">
        <v>6251190.3399999999</v>
      </c>
      <c r="I92">
        <v>1</v>
      </c>
      <c r="J92">
        <v>6251190.3399999999</v>
      </c>
      <c r="K92">
        <v>0</v>
      </c>
      <c r="L92">
        <v>9650283</v>
      </c>
      <c r="M92" t="s">
        <v>184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150</v>
      </c>
      <c r="C93">
        <v>520369.52</v>
      </c>
      <c r="D93">
        <v>3272942.62</v>
      </c>
      <c r="E93">
        <v>513156.3</v>
      </c>
      <c r="F93">
        <v>1</v>
      </c>
      <c r="G93">
        <v>513156.3</v>
      </c>
      <c r="H93">
        <v>3873882.2</v>
      </c>
      <c r="I93">
        <v>1</v>
      </c>
      <c r="J93">
        <v>3873882.2</v>
      </c>
      <c r="K93">
        <v>0</v>
      </c>
      <c r="L93">
        <v>6263887</v>
      </c>
      <c r="M93" t="s">
        <v>184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151</v>
      </c>
      <c r="C94">
        <v>296351.31</v>
      </c>
      <c r="D94">
        <v>1863668.17</v>
      </c>
      <c r="E94">
        <v>290144.37</v>
      </c>
      <c r="F94">
        <v>1</v>
      </c>
      <c r="G94">
        <v>290144.37</v>
      </c>
      <c r="H94">
        <v>2377308.14</v>
      </c>
      <c r="I94">
        <v>1</v>
      </c>
      <c r="J94">
        <v>2377308.14</v>
      </c>
      <c r="K94">
        <v>0</v>
      </c>
      <c r="L94">
        <v>3386396</v>
      </c>
      <c r="M94" t="s">
        <v>184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152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3197</v>
      </c>
      <c r="M95" t="s">
        <v>184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153</v>
      </c>
      <c r="C96">
        <v>220983.35</v>
      </c>
      <c r="D96">
        <v>2106905.54</v>
      </c>
      <c r="E96">
        <v>228844.68</v>
      </c>
      <c r="F96">
        <v>1</v>
      </c>
      <c r="G96">
        <v>228844.68</v>
      </c>
      <c r="H96">
        <v>2118323.02</v>
      </c>
      <c r="I96">
        <v>1</v>
      </c>
      <c r="J96">
        <v>2118323.02</v>
      </c>
      <c r="K96">
        <v>0</v>
      </c>
      <c r="L96">
        <v>2787393</v>
      </c>
      <c r="M96" t="s">
        <v>184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154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 t="s">
        <v>184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155</v>
      </c>
      <c r="C98">
        <v>220983.35</v>
      </c>
      <c r="D98">
        <v>2106905.54</v>
      </c>
      <c r="E98">
        <v>228844.68</v>
      </c>
      <c r="F98">
        <v>1</v>
      </c>
      <c r="G98">
        <v>228844.68</v>
      </c>
      <c r="H98">
        <v>2118323.02</v>
      </c>
      <c r="I98">
        <v>1</v>
      </c>
      <c r="J98">
        <v>2118323.02</v>
      </c>
      <c r="K98">
        <v>0</v>
      </c>
      <c r="L98">
        <v>2790590</v>
      </c>
      <c r="M98" t="s">
        <v>184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156</v>
      </c>
      <c r="C99">
        <v>75367.960000000006</v>
      </c>
      <c r="D99">
        <v>-243237.37</v>
      </c>
      <c r="E99">
        <v>61299.69</v>
      </c>
      <c r="F99">
        <v>1</v>
      </c>
      <c r="G99">
        <v>61299.69</v>
      </c>
      <c r="H99">
        <v>258985.12</v>
      </c>
      <c r="I99">
        <v>1</v>
      </c>
      <c r="J99">
        <v>258985.12</v>
      </c>
      <c r="K99">
        <v>0</v>
      </c>
      <c r="L99">
        <v>595806</v>
      </c>
      <c r="M99" t="s">
        <v>184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157</v>
      </c>
      <c r="C100">
        <v>11976.55</v>
      </c>
      <c r="D100">
        <v>-110411.39</v>
      </c>
      <c r="E100">
        <v>-34879.129999999997</v>
      </c>
      <c r="F100">
        <v>1</v>
      </c>
      <c r="G100">
        <v>-34879.129999999997</v>
      </c>
      <c r="H100">
        <v>-178949.35</v>
      </c>
      <c r="I100">
        <v>1</v>
      </c>
      <c r="J100">
        <v>-178949.35</v>
      </c>
      <c r="K100">
        <v>0</v>
      </c>
      <c r="L100">
        <v>23853</v>
      </c>
      <c r="M100" t="s">
        <v>184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158</v>
      </c>
      <c r="C101">
        <v>-205.18</v>
      </c>
      <c r="D101">
        <v>-14035.79</v>
      </c>
      <c r="E101">
        <v>-58804.36</v>
      </c>
      <c r="F101">
        <v>1</v>
      </c>
      <c r="G101">
        <v>-58804.36</v>
      </c>
      <c r="H101">
        <v>4109.59</v>
      </c>
      <c r="I101">
        <v>1</v>
      </c>
      <c r="J101">
        <v>4109.59</v>
      </c>
      <c r="K101">
        <v>0</v>
      </c>
      <c r="L101">
        <v>0</v>
      </c>
      <c r="M101" t="s">
        <v>184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159</v>
      </c>
      <c r="C102">
        <v>877.77</v>
      </c>
      <c r="D102">
        <v>5379.48</v>
      </c>
      <c r="E102">
        <v>270</v>
      </c>
      <c r="F102">
        <v>1</v>
      </c>
      <c r="G102">
        <v>270</v>
      </c>
      <c r="H102">
        <v>2426</v>
      </c>
      <c r="I102">
        <v>1</v>
      </c>
      <c r="J102">
        <v>2426</v>
      </c>
      <c r="K102">
        <v>0</v>
      </c>
      <c r="L102">
        <v>337</v>
      </c>
      <c r="M102" t="s">
        <v>184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160</v>
      </c>
      <c r="C103">
        <v>0</v>
      </c>
      <c r="D103">
        <v>3.15</v>
      </c>
      <c r="E103">
        <v>0</v>
      </c>
      <c r="F103">
        <v>1</v>
      </c>
      <c r="G103">
        <v>0</v>
      </c>
      <c r="H103">
        <v>30</v>
      </c>
      <c r="I103">
        <v>1</v>
      </c>
      <c r="J103">
        <v>30</v>
      </c>
      <c r="K103">
        <v>0</v>
      </c>
      <c r="L103">
        <v>3979</v>
      </c>
      <c r="M103" t="s">
        <v>184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161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184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162</v>
      </c>
      <c r="C105">
        <v>12649.14</v>
      </c>
      <c r="D105">
        <v>-119070.85</v>
      </c>
      <c r="E105">
        <v>-93413.49</v>
      </c>
      <c r="F105">
        <v>1</v>
      </c>
      <c r="G105">
        <v>-93413.49</v>
      </c>
      <c r="H105">
        <v>-172443.76</v>
      </c>
      <c r="I105">
        <v>1</v>
      </c>
      <c r="J105">
        <v>-172443.76</v>
      </c>
      <c r="K105">
        <v>0</v>
      </c>
      <c r="L105">
        <v>20211</v>
      </c>
      <c r="M105" t="s">
        <v>184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163</v>
      </c>
      <c r="C106">
        <v>62718.82</v>
      </c>
      <c r="D106">
        <v>-124166.52</v>
      </c>
      <c r="E106">
        <v>154713.18</v>
      </c>
      <c r="F106">
        <v>1</v>
      </c>
      <c r="G106">
        <v>154713.18</v>
      </c>
      <c r="H106">
        <v>431428.88</v>
      </c>
      <c r="I106">
        <v>1</v>
      </c>
      <c r="J106">
        <v>431428.88</v>
      </c>
      <c r="K106">
        <v>0</v>
      </c>
      <c r="L106">
        <v>575595</v>
      </c>
      <c r="M106" t="s">
        <v>184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164</v>
      </c>
      <c r="C107">
        <v>11774</v>
      </c>
      <c r="D107">
        <v>79778</v>
      </c>
      <c r="E107">
        <v>12988</v>
      </c>
      <c r="F107">
        <v>1</v>
      </c>
      <c r="G107">
        <v>12988</v>
      </c>
      <c r="H107">
        <v>112221.08</v>
      </c>
      <c r="I107">
        <v>1</v>
      </c>
      <c r="J107">
        <v>112221.08</v>
      </c>
      <c r="K107">
        <v>0</v>
      </c>
      <c r="L107">
        <v>238267</v>
      </c>
      <c r="M107" t="s">
        <v>184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165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184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166</v>
      </c>
      <c r="C109">
        <v>50944.82</v>
      </c>
      <c r="D109">
        <v>-203944.52</v>
      </c>
      <c r="E109">
        <v>141725.18</v>
      </c>
      <c r="F109">
        <v>1</v>
      </c>
      <c r="G109">
        <v>141725.18</v>
      </c>
      <c r="H109">
        <v>319207.8</v>
      </c>
      <c r="I109">
        <v>1</v>
      </c>
      <c r="J109">
        <v>319207.8</v>
      </c>
      <c r="K109">
        <v>0</v>
      </c>
      <c r="L109">
        <v>337328</v>
      </c>
      <c r="M109" t="s">
        <v>184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167</v>
      </c>
      <c r="C110">
        <v>75367.960000000006</v>
      </c>
      <c r="D110">
        <v>-243237.37</v>
      </c>
      <c r="E110">
        <v>61299.69</v>
      </c>
      <c r="F110">
        <v>1</v>
      </c>
      <c r="G110">
        <v>61299.69</v>
      </c>
      <c r="H110">
        <v>258985.12</v>
      </c>
      <c r="I110">
        <v>1</v>
      </c>
      <c r="J110">
        <v>258985.12</v>
      </c>
      <c r="K110">
        <v>0</v>
      </c>
      <c r="L110">
        <v>595806</v>
      </c>
      <c r="M110" t="s">
        <v>184</v>
      </c>
      <c r="N110"/>
      <c r="O110"/>
      <c r="P110"/>
      <c r="Q110"/>
      <c r="R110"/>
      <c r="S110"/>
      <c r="T110"/>
    </row>
    <row r="111" spans="1:20" x14ac:dyDescent="0.35">
      <c r="A111" t="s">
        <v>204</v>
      </c>
      <c r="B111" t="s">
        <v>172</v>
      </c>
      <c r="C111" t="s">
        <v>205</v>
      </c>
      <c r="D111" t="s">
        <v>206</v>
      </c>
      <c r="E111" t="s">
        <v>175</v>
      </c>
      <c r="F111" t="s">
        <v>207</v>
      </c>
      <c r="G111" t="s">
        <v>208</v>
      </c>
      <c r="H111" t="s">
        <v>209</v>
      </c>
      <c r="I111" t="s">
        <v>210</v>
      </c>
      <c r="J111" t="s">
        <v>211</v>
      </c>
      <c r="K111" t="s">
        <v>212</v>
      </c>
      <c r="L111" t="s">
        <v>213</v>
      </c>
      <c r="M111" t="s">
        <v>183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147</v>
      </c>
      <c r="C112">
        <v>246003</v>
      </c>
      <c r="D112">
        <v>2214027</v>
      </c>
      <c r="E112">
        <v>235906.97</v>
      </c>
      <c r="F112">
        <v>1</v>
      </c>
      <c r="G112">
        <v>235906.97</v>
      </c>
      <c r="H112">
        <v>2335502.91</v>
      </c>
      <c r="I112">
        <v>1</v>
      </c>
      <c r="J112">
        <v>2335502.91</v>
      </c>
      <c r="K112">
        <v>0</v>
      </c>
      <c r="L112">
        <v>3043224</v>
      </c>
      <c r="M112" t="s">
        <v>184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148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184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149</v>
      </c>
      <c r="C114">
        <v>246003</v>
      </c>
      <c r="D114">
        <v>2214027</v>
      </c>
      <c r="E114">
        <v>235906.97</v>
      </c>
      <c r="F114">
        <v>1</v>
      </c>
      <c r="G114">
        <v>235906.97</v>
      </c>
      <c r="H114">
        <v>2335502.91</v>
      </c>
      <c r="I114">
        <v>1</v>
      </c>
      <c r="J114">
        <v>2335502.91</v>
      </c>
      <c r="K114">
        <v>0</v>
      </c>
      <c r="L114">
        <v>3043224</v>
      </c>
      <c r="M114" t="s">
        <v>184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150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184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151</v>
      </c>
      <c r="C116">
        <v>246003</v>
      </c>
      <c r="D116">
        <v>2214027</v>
      </c>
      <c r="E116">
        <v>235906.97</v>
      </c>
      <c r="F116">
        <v>1</v>
      </c>
      <c r="G116">
        <v>235906.97</v>
      </c>
      <c r="H116">
        <v>2335502.91</v>
      </c>
      <c r="I116">
        <v>1</v>
      </c>
      <c r="J116">
        <v>2335502.91</v>
      </c>
      <c r="K116">
        <v>0</v>
      </c>
      <c r="L116">
        <v>3043224</v>
      </c>
      <c r="M116" t="s">
        <v>184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152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184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153</v>
      </c>
      <c r="C118">
        <v>163170.38</v>
      </c>
      <c r="D118">
        <v>1512370.22</v>
      </c>
      <c r="E118">
        <v>157955.29</v>
      </c>
      <c r="F118">
        <v>1</v>
      </c>
      <c r="G118">
        <v>157955.29</v>
      </c>
      <c r="H118">
        <v>1572943.74</v>
      </c>
      <c r="I118">
        <v>1</v>
      </c>
      <c r="J118">
        <v>1572943.74</v>
      </c>
      <c r="K118">
        <v>0</v>
      </c>
      <c r="L118">
        <v>1958350</v>
      </c>
      <c r="M118" t="s">
        <v>184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154</v>
      </c>
      <c r="C119">
        <v>33786.870000000003</v>
      </c>
      <c r="D119">
        <v>304081.83</v>
      </c>
      <c r="E119">
        <v>33786.870000000003</v>
      </c>
      <c r="F119">
        <v>1</v>
      </c>
      <c r="G119">
        <v>33786.870000000003</v>
      </c>
      <c r="H119">
        <v>304081.83</v>
      </c>
      <c r="I119">
        <v>1</v>
      </c>
      <c r="J119">
        <v>304081.83</v>
      </c>
      <c r="K119">
        <v>0</v>
      </c>
      <c r="L119">
        <v>405444</v>
      </c>
      <c r="M119" t="s">
        <v>184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155</v>
      </c>
      <c r="C120">
        <v>196957.25</v>
      </c>
      <c r="D120">
        <v>1816452.05</v>
      </c>
      <c r="E120">
        <v>191742.16</v>
      </c>
      <c r="F120">
        <v>1</v>
      </c>
      <c r="G120">
        <v>191742.16</v>
      </c>
      <c r="H120">
        <v>1877025.57</v>
      </c>
      <c r="I120">
        <v>1</v>
      </c>
      <c r="J120">
        <v>1877025.57</v>
      </c>
      <c r="K120">
        <v>0</v>
      </c>
      <c r="L120">
        <v>2363794</v>
      </c>
      <c r="M120" t="s">
        <v>184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156</v>
      </c>
      <c r="C121">
        <v>49045.75</v>
      </c>
      <c r="D121">
        <v>397574.95</v>
      </c>
      <c r="E121">
        <v>44164.81</v>
      </c>
      <c r="F121">
        <v>1</v>
      </c>
      <c r="G121">
        <v>44164.81</v>
      </c>
      <c r="H121">
        <v>458477.34</v>
      </c>
      <c r="I121">
        <v>1</v>
      </c>
      <c r="J121">
        <v>458477.34</v>
      </c>
      <c r="K121">
        <v>0</v>
      </c>
      <c r="L121">
        <v>679430</v>
      </c>
      <c r="M121" t="s">
        <v>184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157</v>
      </c>
      <c r="C122">
        <v>-3602.18</v>
      </c>
      <c r="D122">
        <v>267.33</v>
      </c>
      <c r="E122">
        <v>-3101.36</v>
      </c>
      <c r="F122">
        <v>1</v>
      </c>
      <c r="G122">
        <v>-3101.36</v>
      </c>
      <c r="H122">
        <v>35208.06</v>
      </c>
      <c r="I122">
        <v>1</v>
      </c>
      <c r="J122">
        <v>35208.06</v>
      </c>
      <c r="K122">
        <v>0</v>
      </c>
      <c r="L122">
        <v>0</v>
      </c>
      <c r="M122" t="s">
        <v>184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158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184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159</v>
      </c>
      <c r="C124">
        <v>1534.25</v>
      </c>
      <c r="D124">
        <v>10629.79</v>
      </c>
      <c r="E124">
        <v>670</v>
      </c>
      <c r="F124">
        <v>1</v>
      </c>
      <c r="G124">
        <v>670</v>
      </c>
      <c r="H124">
        <v>5254</v>
      </c>
      <c r="I124">
        <v>1</v>
      </c>
      <c r="J124">
        <v>5254</v>
      </c>
      <c r="K124">
        <v>0</v>
      </c>
      <c r="L124">
        <v>0</v>
      </c>
      <c r="M124" t="s">
        <v>184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160</v>
      </c>
      <c r="C125">
        <v>5.34</v>
      </c>
      <c r="D125">
        <v>5.7</v>
      </c>
      <c r="E125">
        <v>7.0000000000000007E-2</v>
      </c>
      <c r="F125">
        <v>1</v>
      </c>
      <c r="G125">
        <v>7.0000000000000007E-2</v>
      </c>
      <c r="H125">
        <v>0.71</v>
      </c>
      <c r="I125">
        <v>1</v>
      </c>
      <c r="J125">
        <v>0.71</v>
      </c>
      <c r="K125">
        <v>0</v>
      </c>
      <c r="L125">
        <v>16335</v>
      </c>
      <c r="M125" t="s">
        <v>184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161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184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162</v>
      </c>
      <c r="C127">
        <v>-2073.27</v>
      </c>
      <c r="D127">
        <v>10891.42</v>
      </c>
      <c r="E127">
        <v>-2431.4299999999998</v>
      </c>
      <c r="F127">
        <v>1</v>
      </c>
      <c r="G127">
        <v>-2431.4299999999998</v>
      </c>
      <c r="H127">
        <v>40461.35</v>
      </c>
      <c r="I127">
        <v>1</v>
      </c>
      <c r="J127">
        <v>40461.35</v>
      </c>
      <c r="K127">
        <v>0</v>
      </c>
      <c r="L127">
        <v>-16335</v>
      </c>
      <c r="M127" t="s">
        <v>184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163</v>
      </c>
      <c r="C128">
        <v>51119.02</v>
      </c>
      <c r="D128">
        <v>386683.53</v>
      </c>
      <c r="E128">
        <v>46596.24</v>
      </c>
      <c r="F128">
        <v>1</v>
      </c>
      <c r="G128">
        <v>46596.24</v>
      </c>
      <c r="H128">
        <v>418015.99</v>
      </c>
      <c r="I128">
        <v>1</v>
      </c>
      <c r="J128">
        <v>418015.99</v>
      </c>
      <c r="K128">
        <v>0</v>
      </c>
      <c r="L128">
        <v>695765</v>
      </c>
      <c r="M128" t="s">
        <v>184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164</v>
      </c>
      <c r="C129">
        <v>29328.48</v>
      </c>
      <c r="D129">
        <v>263956.32</v>
      </c>
      <c r="E129">
        <v>28124.83</v>
      </c>
      <c r="F129">
        <v>1</v>
      </c>
      <c r="G129">
        <v>28124.83</v>
      </c>
      <c r="H129">
        <v>260204.83</v>
      </c>
      <c r="I129">
        <v>1</v>
      </c>
      <c r="J129">
        <v>260204.83</v>
      </c>
      <c r="K129">
        <v>0</v>
      </c>
      <c r="L129">
        <v>381528</v>
      </c>
      <c r="M129" t="s">
        <v>184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165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184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166</v>
      </c>
      <c r="C131">
        <v>21790.54</v>
      </c>
      <c r="D131">
        <v>122727.21</v>
      </c>
      <c r="E131">
        <v>18471.41</v>
      </c>
      <c r="F131">
        <v>1</v>
      </c>
      <c r="G131">
        <v>18471.41</v>
      </c>
      <c r="H131">
        <v>157811.16</v>
      </c>
      <c r="I131">
        <v>1</v>
      </c>
      <c r="J131">
        <v>157811.16</v>
      </c>
      <c r="K131">
        <v>0</v>
      </c>
      <c r="L131">
        <v>314237</v>
      </c>
      <c r="M131" t="s">
        <v>184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167</v>
      </c>
      <c r="C132">
        <v>82832.62</v>
      </c>
      <c r="D132">
        <v>701656.78</v>
      </c>
      <c r="E132">
        <v>77951.679999999993</v>
      </c>
      <c r="F132">
        <v>1</v>
      </c>
      <c r="G132">
        <v>77951.679999999993</v>
      </c>
      <c r="H132">
        <v>762559.17</v>
      </c>
      <c r="I132">
        <v>1</v>
      </c>
      <c r="J132">
        <v>762559.17</v>
      </c>
      <c r="K132">
        <v>0</v>
      </c>
      <c r="L132">
        <v>1084874</v>
      </c>
      <c r="M132" t="s">
        <v>184</v>
      </c>
      <c r="N132"/>
      <c r="O132"/>
      <c r="P132"/>
      <c r="Q132"/>
      <c r="R132"/>
      <c r="S132"/>
      <c r="T132"/>
    </row>
    <row r="133" spans="1:20" s="210" customFormat="1" x14ac:dyDescent="0.35">
      <c r="A133" t="s">
        <v>214</v>
      </c>
      <c r="B133" t="s">
        <v>172</v>
      </c>
      <c r="C133" t="s">
        <v>173</v>
      </c>
      <c r="D133" t="s">
        <v>174</v>
      </c>
      <c r="E133" t="s">
        <v>175</v>
      </c>
      <c r="F133" t="s">
        <v>186</v>
      </c>
      <c r="G133" t="s">
        <v>215</v>
      </c>
      <c r="H133" t="s">
        <v>216</v>
      </c>
      <c r="I133" t="s">
        <v>217</v>
      </c>
      <c r="J133" t="s">
        <v>218</v>
      </c>
      <c r="K133" t="s">
        <v>219</v>
      </c>
      <c r="L133" t="s">
        <v>220</v>
      </c>
      <c r="M133" t="s">
        <v>221</v>
      </c>
      <c r="N133" t="s">
        <v>222</v>
      </c>
      <c r="O133" t="s">
        <v>223</v>
      </c>
      <c r="P133" t="s">
        <v>224</v>
      </c>
      <c r="Q133" t="s">
        <v>225</v>
      </c>
      <c r="R133" t="s">
        <v>226</v>
      </c>
      <c r="S133" t="s">
        <v>227</v>
      </c>
      <c r="T133" t="s">
        <v>183</v>
      </c>
    </row>
    <row r="134" spans="1:20" ht="14.5" customHeight="1" x14ac:dyDescent="0.35">
      <c r="A134">
        <v>30</v>
      </c>
      <c r="B134" t="s">
        <v>147</v>
      </c>
      <c r="C134">
        <v>1005594.11</v>
      </c>
      <c r="D134">
        <v>10172950.720000001</v>
      </c>
      <c r="E134">
        <v>3723059.6</v>
      </c>
      <c r="F134">
        <v>1</v>
      </c>
      <c r="G134">
        <v>3723059.6</v>
      </c>
      <c r="H134">
        <v>48592627.420000002</v>
      </c>
      <c r="I134">
        <v>1</v>
      </c>
      <c r="J134">
        <v>48592627.420000002</v>
      </c>
      <c r="K134">
        <v>3361000</v>
      </c>
      <c r="L134">
        <v>36418000</v>
      </c>
      <c r="M134">
        <v>-2355405.89</v>
      </c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184</v>
      </c>
    </row>
    <row r="135" spans="1:20" ht="14.5" customHeight="1" x14ac:dyDescent="0.35">
      <c r="A135">
        <v>40</v>
      </c>
      <c r="B135" t="s">
        <v>148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184</v>
      </c>
    </row>
    <row r="136" spans="1:20" x14ac:dyDescent="0.35">
      <c r="A136">
        <v>50</v>
      </c>
      <c r="B136" t="s">
        <v>149</v>
      </c>
      <c r="C136">
        <v>1005594.11</v>
      </c>
      <c r="D136">
        <v>10172950.720000001</v>
      </c>
      <c r="E136">
        <v>3723059.6</v>
      </c>
      <c r="F136">
        <v>1</v>
      </c>
      <c r="G136">
        <v>3723059.6</v>
      </c>
      <c r="H136">
        <v>48592627.420000002</v>
      </c>
      <c r="I136">
        <v>1</v>
      </c>
      <c r="J136">
        <v>48592627.420000002</v>
      </c>
      <c r="K136">
        <v>3361000</v>
      </c>
      <c r="L136">
        <v>36418000</v>
      </c>
      <c r="M136">
        <v>-2355405.89</v>
      </c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184</v>
      </c>
    </row>
    <row r="137" spans="1:20" x14ac:dyDescent="0.35">
      <c r="A137">
        <v>60</v>
      </c>
      <c r="B137" t="s">
        <v>150</v>
      </c>
      <c r="C137">
        <v>514045.48</v>
      </c>
      <c r="D137">
        <v>5322882.13</v>
      </c>
      <c r="E137">
        <v>2922296.1</v>
      </c>
      <c r="F137">
        <v>1</v>
      </c>
      <c r="G137">
        <v>2922296.1</v>
      </c>
      <c r="H137">
        <v>38489756.710000001</v>
      </c>
      <c r="I137">
        <v>1</v>
      </c>
      <c r="J137">
        <v>38489756.710000001</v>
      </c>
      <c r="K137">
        <v>2716726</v>
      </c>
      <c r="L137">
        <v>29784973</v>
      </c>
      <c r="M137">
        <v>-2202680.52</v>
      </c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184</v>
      </c>
    </row>
    <row r="138" spans="1:20" x14ac:dyDescent="0.35">
      <c r="A138">
        <v>70</v>
      </c>
      <c r="B138" t="s">
        <v>151</v>
      </c>
      <c r="C138">
        <v>491548.63</v>
      </c>
      <c r="D138">
        <v>4850068.59</v>
      </c>
      <c r="E138">
        <v>800763.5</v>
      </c>
      <c r="F138">
        <v>1</v>
      </c>
      <c r="G138">
        <v>800763.5</v>
      </c>
      <c r="H138">
        <v>10102870.710000001</v>
      </c>
      <c r="I138">
        <v>1</v>
      </c>
      <c r="J138">
        <v>10102870.710000001</v>
      </c>
      <c r="K138">
        <v>644274</v>
      </c>
      <c r="L138">
        <v>6633027</v>
      </c>
      <c r="M138">
        <v>-152725.37</v>
      </c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184</v>
      </c>
    </row>
    <row r="139" spans="1:20" ht="14.5" customHeight="1" x14ac:dyDescent="0.35">
      <c r="A139">
        <v>80</v>
      </c>
      <c r="B139" t="s">
        <v>152</v>
      </c>
      <c r="C139">
        <v>132068.98000000001</v>
      </c>
      <c r="D139">
        <v>1367839.07</v>
      </c>
      <c r="E139">
        <v>615475.18000000005</v>
      </c>
      <c r="F139">
        <v>1</v>
      </c>
      <c r="G139">
        <v>615475.18000000005</v>
      </c>
      <c r="H139">
        <v>5186380.3899999997</v>
      </c>
      <c r="I139">
        <v>1</v>
      </c>
      <c r="J139">
        <v>5186380.3899999997</v>
      </c>
      <c r="K139">
        <v>178700</v>
      </c>
      <c r="L139">
        <v>1864859</v>
      </c>
      <c r="M139">
        <v>-46631.02</v>
      </c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184</v>
      </c>
    </row>
    <row r="140" spans="1:20" ht="14.5" customHeight="1" x14ac:dyDescent="0.35">
      <c r="A140">
        <v>90</v>
      </c>
      <c r="B140" t="s">
        <v>153</v>
      </c>
      <c r="C140">
        <v>600083.78</v>
      </c>
      <c r="D140">
        <v>5519153.4100000001</v>
      </c>
      <c r="E140">
        <v>828954.83</v>
      </c>
      <c r="F140">
        <v>1</v>
      </c>
      <c r="G140">
        <v>828954.83</v>
      </c>
      <c r="H140">
        <v>8006351.8200000003</v>
      </c>
      <c r="I140">
        <v>1</v>
      </c>
      <c r="J140">
        <v>8006351.8200000003</v>
      </c>
      <c r="K140">
        <v>549536</v>
      </c>
      <c r="L140">
        <v>4951628</v>
      </c>
      <c r="M140">
        <v>50547.78</v>
      </c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184</v>
      </c>
    </row>
    <row r="141" spans="1:20" ht="14.5" customHeight="1" x14ac:dyDescent="0.35">
      <c r="A141">
        <v>100</v>
      </c>
      <c r="B141" t="s">
        <v>154</v>
      </c>
      <c r="C141">
        <v>32252</v>
      </c>
      <c r="D141">
        <v>290267.59999999998</v>
      </c>
      <c r="E141">
        <v>38200</v>
      </c>
      <c r="F141">
        <v>1</v>
      </c>
      <c r="G141">
        <v>38200</v>
      </c>
      <c r="H141">
        <v>343800</v>
      </c>
      <c r="I141">
        <v>1</v>
      </c>
      <c r="J141">
        <v>343800</v>
      </c>
      <c r="K141">
        <v>40702</v>
      </c>
      <c r="L141">
        <v>351468</v>
      </c>
      <c r="M141">
        <v>-8450</v>
      </c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184</v>
      </c>
    </row>
    <row r="142" spans="1:20" ht="14.5" customHeight="1" x14ac:dyDescent="0.35">
      <c r="A142">
        <v>110</v>
      </c>
      <c r="B142" t="s">
        <v>155</v>
      </c>
      <c r="C142">
        <v>764404.76</v>
      </c>
      <c r="D142">
        <v>7177260.0800000001</v>
      </c>
      <c r="E142">
        <v>1482630.01</v>
      </c>
      <c r="F142">
        <v>1</v>
      </c>
      <c r="G142">
        <v>1482630.01</v>
      </c>
      <c r="H142">
        <v>13536532.210000001</v>
      </c>
      <c r="I142">
        <v>1</v>
      </c>
      <c r="J142">
        <v>13536532.210000001</v>
      </c>
      <c r="K142">
        <v>768938</v>
      </c>
      <c r="L142">
        <v>7167955</v>
      </c>
      <c r="M142">
        <v>-4533.24</v>
      </c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184</v>
      </c>
    </row>
    <row r="143" spans="1:20" ht="14.5" customHeight="1" x14ac:dyDescent="0.35">
      <c r="A143">
        <v>120</v>
      </c>
      <c r="B143" t="s">
        <v>156</v>
      </c>
      <c r="C143">
        <v>-272856.13</v>
      </c>
      <c r="D143">
        <v>-2327191.4900000002</v>
      </c>
      <c r="E143">
        <v>-681866.51</v>
      </c>
      <c r="F143">
        <v>1</v>
      </c>
      <c r="G143">
        <v>-681866.51</v>
      </c>
      <c r="H143">
        <v>-3433661.5</v>
      </c>
      <c r="I143">
        <v>1</v>
      </c>
      <c r="J143">
        <v>-3433661.5</v>
      </c>
      <c r="K143">
        <v>-124664</v>
      </c>
      <c r="L143">
        <v>-534928</v>
      </c>
      <c r="M143">
        <v>-148192.13</v>
      </c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184</v>
      </c>
    </row>
    <row r="144" spans="1:20" ht="14.5" customHeight="1" x14ac:dyDescent="0.35">
      <c r="A144">
        <v>130</v>
      </c>
      <c r="B144" t="s">
        <v>157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184</v>
      </c>
    </row>
    <row r="145" spans="1:20" ht="14.5" customHeight="1" x14ac:dyDescent="0.35">
      <c r="A145">
        <v>135</v>
      </c>
      <c r="B145" t="s">
        <v>158</v>
      </c>
      <c r="C145">
        <v>0</v>
      </c>
      <c r="D145">
        <v>-91637.93</v>
      </c>
      <c r="E145">
        <v>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184</v>
      </c>
    </row>
    <row r="146" spans="1:20" ht="14.5" customHeight="1" x14ac:dyDescent="0.35">
      <c r="A146">
        <v>140</v>
      </c>
      <c r="B146" t="s">
        <v>159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5069</v>
      </c>
      <c r="L146">
        <v>15654</v>
      </c>
      <c r="M146">
        <v>-5069</v>
      </c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184</v>
      </c>
    </row>
    <row r="147" spans="1:20" ht="14.5" customHeight="1" x14ac:dyDescent="0.35">
      <c r="A147">
        <v>150</v>
      </c>
      <c r="B147" t="s">
        <v>160</v>
      </c>
      <c r="C147">
        <v>2.17</v>
      </c>
      <c r="D147">
        <v>16.190000000000001</v>
      </c>
      <c r="E147">
        <v>27.35</v>
      </c>
      <c r="F147">
        <v>1</v>
      </c>
      <c r="G147">
        <v>27.35</v>
      </c>
      <c r="H147">
        <v>341.8</v>
      </c>
      <c r="I147">
        <v>1</v>
      </c>
      <c r="J147">
        <v>341.8</v>
      </c>
      <c r="K147">
        <v>23396</v>
      </c>
      <c r="L147">
        <v>142770</v>
      </c>
      <c r="M147">
        <v>-23393.83</v>
      </c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184</v>
      </c>
    </row>
    <row r="148" spans="1:20" ht="14.5" customHeight="1" x14ac:dyDescent="0.35">
      <c r="A148">
        <v>155</v>
      </c>
      <c r="B148" t="s">
        <v>161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184</v>
      </c>
    </row>
    <row r="149" spans="1:20" ht="14.5" customHeight="1" x14ac:dyDescent="0.35">
      <c r="A149">
        <v>160</v>
      </c>
      <c r="B149" t="s">
        <v>162</v>
      </c>
      <c r="C149">
        <v>-2.17</v>
      </c>
      <c r="D149">
        <v>-91654.12</v>
      </c>
      <c r="E149">
        <v>-27.35</v>
      </c>
      <c r="F149">
        <v>1</v>
      </c>
      <c r="G149">
        <v>-27.35</v>
      </c>
      <c r="H149">
        <v>-341.8</v>
      </c>
      <c r="I149">
        <v>1</v>
      </c>
      <c r="J149">
        <v>-341.8</v>
      </c>
      <c r="K149">
        <v>-18327</v>
      </c>
      <c r="L149">
        <v>-127116</v>
      </c>
      <c r="M149">
        <v>18324.830000000002</v>
      </c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184</v>
      </c>
    </row>
    <row r="150" spans="1:20" ht="14.5" customHeight="1" x14ac:dyDescent="0.35">
      <c r="A150">
        <v>170</v>
      </c>
      <c r="B150" t="s">
        <v>163</v>
      </c>
      <c r="C150">
        <v>-272853.96000000002</v>
      </c>
      <c r="D150">
        <v>-2235537.37</v>
      </c>
      <c r="E150">
        <v>-681839.16</v>
      </c>
      <c r="F150">
        <v>1</v>
      </c>
      <c r="G150">
        <v>-681839.16</v>
      </c>
      <c r="H150">
        <v>-3433319.7</v>
      </c>
      <c r="I150">
        <v>1</v>
      </c>
      <c r="J150">
        <v>-3433319.7</v>
      </c>
      <c r="K150">
        <v>-106337</v>
      </c>
      <c r="L150">
        <v>-407812</v>
      </c>
      <c r="M150">
        <v>-166516.96</v>
      </c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184</v>
      </c>
    </row>
    <row r="151" spans="1:20" x14ac:dyDescent="0.35">
      <c r="A151">
        <v>180</v>
      </c>
      <c r="B151" t="s">
        <v>164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184</v>
      </c>
    </row>
    <row r="152" spans="1:20" x14ac:dyDescent="0.35">
      <c r="A152">
        <v>190</v>
      </c>
      <c r="B152" t="s">
        <v>165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184</v>
      </c>
    </row>
    <row r="153" spans="1:20" ht="14.5" customHeight="1" x14ac:dyDescent="0.35">
      <c r="A153">
        <v>200</v>
      </c>
      <c r="B153" t="s">
        <v>166</v>
      </c>
      <c r="C153">
        <v>-272853.96000000002</v>
      </c>
      <c r="D153">
        <v>-2235537.37</v>
      </c>
      <c r="E153">
        <v>-681839.16</v>
      </c>
      <c r="F153">
        <v>1</v>
      </c>
      <c r="G153">
        <v>-681839.16</v>
      </c>
      <c r="H153">
        <v>-3433319.7</v>
      </c>
      <c r="I153">
        <v>1</v>
      </c>
      <c r="J153">
        <v>-3433319.7</v>
      </c>
      <c r="K153">
        <v>-106337</v>
      </c>
      <c r="L153">
        <v>-407812</v>
      </c>
      <c r="M153">
        <v>-166516.96</v>
      </c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184</v>
      </c>
    </row>
    <row r="154" spans="1:20" ht="14.5" customHeight="1" x14ac:dyDescent="0.35">
      <c r="A154">
        <v>210</v>
      </c>
      <c r="B154" t="s">
        <v>167</v>
      </c>
      <c r="C154">
        <v>-240604.13</v>
      </c>
      <c r="D154">
        <v>-2036923.89</v>
      </c>
      <c r="E154">
        <v>-643666.51</v>
      </c>
      <c r="F154">
        <v>1</v>
      </c>
      <c r="G154">
        <v>-643666.51</v>
      </c>
      <c r="H154">
        <v>-3089861.5</v>
      </c>
      <c r="I154">
        <v>1</v>
      </c>
      <c r="J154">
        <v>-3089861.5</v>
      </c>
      <c r="K154">
        <v>-83962</v>
      </c>
      <c r="L154">
        <v>-183460</v>
      </c>
      <c r="M154">
        <v>-156642.13</v>
      </c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184</v>
      </c>
    </row>
    <row r="155" spans="1:20" s="210" customFormat="1" x14ac:dyDescent="0.35">
      <c r="A155" t="s">
        <v>228</v>
      </c>
      <c r="B155" t="s">
        <v>172</v>
      </c>
      <c r="C155" t="s">
        <v>173</v>
      </c>
      <c r="D155" t="s">
        <v>174</v>
      </c>
      <c r="E155" t="s">
        <v>175</v>
      </c>
      <c r="F155" t="s">
        <v>186</v>
      </c>
      <c r="G155" t="s">
        <v>215</v>
      </c>
      <c r="H155" t="s">
        <v>216</v>
      </c>
      <c r="I155" t="s">
        <v>217</v>
      </c>
      <c r="J155" t="s">
        <v>218</v>
      </c>
      <c r="K155" t="s">
        <v>219</v>
      </c>
      <c r="L155" t="s">
        <v>220</v>
      </c>
      <c r="M155" t="s">
        <v>221</v>
      </c>
      <c r="N155" t="s">
        <v>222</v>
      </c>
      <c r="O155" t="s">
        <v>223</v>
      </c>
      <c r="P155" t="s">
        <v>224</v>
      </c>
      <c r="Q155" t="s">
        <v>225</v>
      </c>
      <c r="R155" t="s">
        <v>226</v>
      </c>
      <c r="S155" t="s">
        <v>227</v>
      </c>
      <c r="T155" t="s">
        <v>183</v>
      </c>
    </row>
    <row r="156" spans="1:20" ht="14.5" customHeight="1" x14ac:dyDescent="0.35">
      <c r="A156">
        <v>30</v>
      </c>
      <c r="B156" t="s">
        <v>147</v>
      </c>
      <c r="C156">
        <v>17045064.91</v>
      </c>
      <c r="D156">
        <v>164784702.91999999</v>
      </c>
      <c r="E156">
        <v>16968420</v>
      </c>
      <c r="F156">
        <v>1</v>
      </c>
      <c r="G156">
        <v>16968420</v>
      </c>
      <c r="H156">
        <v>137534125.87</v>
      </c>
      <c r="I156">
        <v>1</v>
      </c>
      <c r="J156">
        <v>137534125.87</v>
      </c>
      <c r="K156">
        <v>20647385</v>
      </c>
      <c r="L156">
        <v>193052070</v>
      </c>
      <c r="M156">
        <v>-3602320.09</v>
      </c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184</v>
      </c>
    </row>
    <row r="157" spans="1:20" ht="14.5" customHeight="1" x14ac:dyDescent="0.35">
      <c r="A157">
        <v>40</v>
      </c>
      <c r="B157" t="s">
        <v>148</v>
      </c>
      <c r="C157">
        <v>-808.62</v>
      </c>
      <c r="D157">
        <v>-143635.66</v>
      </c>
      <c r="E157">
        <v>-6372.6</v>
      </c>
      <c r="F157">
        <v>1</v>
      </c>
      <c r="G157">
        <v>-6372.6</v>
      </c>
      <c r="H157">
        <v>-98994.08</v>
      </c>
      <c r="I157">
        <v>1</v>
      </c>
      <c r="J157">
        <v>-98994.08</v>
      </c>
      <c r="K157">
        <v>0</v>
      </c>
      <c r="L157">
        <v>0</v>
      </c>
      <c r="M157">
        <v>-808.62</v>
      </c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184</v>
      </c>
    </row>
    <row r="158" spans="1:20" x14ac:dyDescent="0.35">
      <c r="A158">
        <v>50</v>
      </c>
      <c r="B158" t="s">
        <v>149</v>
      </c>
      <c r="C158">
        <v>17044256.289999999</v>
      </c>
      <c r="D158">
        <v>164641067.25999999</v>
      </c>
      <c r="E158">
        <v>16962047.399999999</v>
      </c>
      <c r="F158">
        <v>1</v>
      </c>
      <c r="G158">
        <v>16962047.399999999</v>
      </c>
      <c r="H158">
        <v>137435131.78999999</v>
      </c>
      <c r="I158">
        <v>1</v>
      </c>
      <c r="J158">
        <v>137435131.78999999</v>
      </c>
      <c r="K158">
        <v>20647385</v>
      </c>
      <c r="L158">
        <v>193052070</v>
      </c>
      <c r="M158">
        <v>-3603128.71</v>
      </c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184</v>
      </c>
    </row>
    <row r="159" spans="1:20" x14ac:dyDescent="0.35">
      <c r="A159">
        <v>60</v>
      </c>
      <c r="B159" t="s">
        <v>150</v>
      </c>
      <c r="C159">
        <v>14417967.859999999</v>
      </c>
      <c r="D159">
        <v>138832430.25</v>
      </c>
      <c r="E159">
        <v>14452374.5</v>
      </c>
      <c r="F159">
        <v>1</v>
      </c>
      <c r="G159">
        <v>14452374.5</v>
      </c>
      <c r="H159">
        <v>114609740.06</v>
      </c>
      <c r="I159">
        <v>1</v>
      </c>
      <c r="J159">
        <v>114609740.06</v>
      </c>
      <c r="K159">
        <v>17232808</v>
      </c>
      <c r="L159">
        <v>161303581</v>
      </c>
      <c r="M159">
        <v>-2814840.14</v>
      </c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184</v>
      </c>
    </row>
    <row r="160" spans="1:20" x14ac:dyDescent="0.35">
      <c r="A160">
        <v>70</v>
      </c>
      <c r="B160" t="s">
        <v>151</v>
      </c>
      <c r="C160">
        <v>2626288.4300000002</v>
      </c>
      <c r="D160">
        <v>25808637.010000002</v>
      </c>
      <c r="E160">
        <v>2509672.9</v>
      </c>
      <c r="F160">
        <v>1</v>
      </c>
      <c r="G160">
        <v>2509672.9</v>
      </c>
      <c r="H160">
        <v>22825391.73</v>
      </c>
      <c r="I160">
        <v>1</v>
      </c>
      <c r="J160">
        <v>22825391.73</v>
      </c>
      <c r="K160">
        <v>3414577</v>
      </c>
      <c r="L160">
        <v>31748489</v>
      </c>
      <c r="M160">
        <v>-788288.57</v>
      </c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184</v>
      </c>
    </row>
    <row r="161" spans="1:20" ht="14.5" customHeight="1" x14ac:dyDescent="0.35">
      <c r="A161">
        <v>80</v>
      </c>
      <c r="B161" t="s">
        <v>152</v>
      </c>
      <c r="C161">
        <v>1342066.68</v>
      </c>
      <c r="D161">
        <v>13544032.560000001</v>
      </c>
      <c r="E161">
        <v>1091522.79</v>
      </c>
      <c r="F161">
        <v>1</v>
      </c>
      <c r="G161">
        <v>1091522.79</v>
      </c>
      <c r="H161">
        <v>9981161.4299999997</v>
      </c>
      <c r="I161">
        <v>1</v>
      </c>
      <c r="J161">
        <v>9981161.4299999997</v>
      </c>
      <c r="K161">
        <v>1413289</v>
      </c>
      <c r="L161">
        <v>13133681</v>
      </c>
      <c r="M161">
        <v>-71222.320000000007</v>
      </c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184</v>
      </c>
    </row>
    <row r="162" spans="1:20" ht="14.5" customHeight="1" x14ac:dyDescent="0.35">
      <c r="A162">
        <v>90</v>
      </c>
      <c r="B162" t="s">
        <v>153</v>
      </c>
      <c r="C162">
        <v>1817507.44</v>
      </c>
      <c r="D162">
        <v>14463419.74</v>
      </c>
      <c r="E162">
        <v>1545746.48</v>
      </c>
      <c r="F162">
        <v>1</v>
      </c>
      <c r="G162">
        <v>1545746.48</v>
      </c>
      <c r="H162">
        <v>14580028.59</v>
      </c>
      <c r="I162">
        <v>1</v>
      </c>
      <c r="J162">
        <v>14580028.59</v>
      </c>
      <c r="K162">
        <v>1631925</v>
      </c>
      <c r="L162">
        <v>14687325</v>
      </c>
      <c r="M162">
        <v>185582.44</v>
      </c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184</v>
      </c>
    </row>
    <row r="163" spans="1:20" ht="14.5" customHeight="1" x14ac:dyDescent="0.35">
      <c r="A163">
        <v>100</v>
      </c>
      <c r="B163" t="s">
        <v>154</v>
      </c>
      <c r="C163">
        <v>79762.86</v>
      </c>
      <c r="D163">
        <v>914362.8</v>
      </c>
      <c r="E163">
        <v>110750.98</v>
      </c>
      <c r="F163">
        <v>1</v>
      </c>
      <c r="G163">
        <v>110750.98</v>
      </c>
      <c r="H163">
        <v>1005707.42</v>
      </c>
      <c r="I163">
        <v>1</v>
      </c>
      <c r="J163">
        <v>1005707.42</v>
      </c>
      <c r="K163">
        <v>128416</v>
      </c>
      <c r="L163">
        <v>1094647</v>
      </c>
      <c r="M163">
        <v>-48653.14</v>
      </c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184</v>
      </c>
    </row>
    <row r="164" spans="1:20" ht="14.5" customHeight="1" x14ac:dyDescent="0.35">
      <c r="A164">
        <v>110</v>
      </c>
      <c r="B164" t="s">
        <v>155</v>
      </c>
      <c r="C164">
        <v>3239336.98</v>
      </c>
      <c r="D164">
        <v>28921815.100000001</v>
      </c>
      <c r="E164">
        <v>2748020.25</v>
      </c>
      <c r="F164">
        <v>1</v>
      </c>
      <c r="G164">
        <v>2748020.25</v>
      </c>
      <c r="H164">
        <v>25566897.440000001</v>
      </c>
      <c r="I164">
        <v>1</v>
      </c>
      <c r="J164">
        <v>25566897.440000001</v>
      </c>
      <c r="K164">
        <v>3173630</v>
      </c>
      <c r="L164">
        <v>28915653</v>
      </c>
      <c r="M164">
        <v>65706.98</v>
      </c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184</v>
      </c>
    </row>
    <row r="165" spans="1:20" ht="14.5" customHeight="1" x14ac:dyDescent="0.35">
      <c r="A165">
        <v>120</v>
      </c>
      <c r="B165" t="s">
        <v>156</v>
      </c>
      <c r="C165">
        <v>-613048.55000000005</v>
      </c>
      <c r="D165">
        <v>-3113178.09</v>
      </c>
      <c r="E165">
        <v>-238347.35</v>
      </c>
      <c r="F165">
        <v>1</v>
      </c>
      <c r="G165">
        <v>-238347.35</v>
      </c>
      <c r="H165">
        <v>-2741505.71</v>
      </c>
      <c r="I165">
        <v>1</v>
      </c>
      <c r="J165">
        <v>-2741505.71</v>
      </c>
      <c r="K165">
        <v>240947</v>
      </c>
      <c r="L165">
        <v>2832836</v>
      </c>
      <c r="M165">
        <v>-853995.55</v>
      </c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184</v>
      </c>
    </row>
    <row r="166" spans="1:20" ht="14.5" customHeight="1" x14ac:dyDescent="0.35">
      <c r="A166">
        <v>130</v>
      </c>
      <c r="B166" t="s">
        <v>157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184</v>
      </c>
    </row>
    <row r="167" spans="1:20" ht="14.5" customHeight="1" x14ac:dyDescent="0.35">
      <c r="A167">
        <v>135</v>
      </c>
      <c r="B167" t="s">
        <v>158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184</v>
      </c>
    </row>
    <row r="168" spans="1:20" ht="14.5" customHeight="1" x14ac:dyDescent="0.35">
      <c r="A168">
        <v>140</v>
      </c>
      <c r="B168" t="s">
        <v>159</v>
      </c>
      <c r="C168">
        <v>44041.279999999999</v>
      </c>
      <c r="D168">
        <v>257394.39</v>
      </c>
      <c r="E168">
        <v>40195.14</v>
      </c>
      <c r="F168">
        <v>1</v>
      </c>
      <c r="G168">
        <v>40195.14</v>
      </c>
      <c r="H168">
        <v>355129.25</v>
      </c>
      <c r="I168">
        <v>1</v>
      </c>
      <c r="J168">
        <v>355129.25</v>
      </c>
      <c r="K168">
        <v>35220</v>
      </c>
      <c r="L168">
        <v>315310</v>
      </c>
      <c r="M168">
        <v>8821.2800000000007</v>
      </c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184</v>
      </c>
    </row>
    <row r="169" spans="1:20" ht="14.5" customHeight="1" x14ac:dyDescent="0.35">
      <c r="A169">
        <v>150</v>
      </c>
      <c r="B169" t="s">
        <v>160</v>
      </c>
      <c r="C169">
        <v>-10847.61</v>
      </c>
      <c r="D169">
        <v>-728888.86</v>
      </c>
      <c r="E169">
        <v>204.04</v>
      </c>
      <c r="F169">
        <v>1</v>
      </c>
      <c r="G169">
        <v>204.04</v>
      </c>
      <c r="H169">
        <v>2094574.88</v>
      </c>
      <c r="I169">
        <v>1</v>
      </c>
      <c r="J169">
        <v>2094574.88</v>
      </c>
      <c r="K169">
        <v>3386</v>
      </c>
      <c r="L169">
        <v>15649</v>
      </c>
      <c r="M169">
        <v>-14233.61</v>
      </c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184</v>
      </c>
    </row>
    <row r="170" spans="1:20" ht="14.5" customHeight="1" x14ac:dyDescent="0.35">
      <c r="A170">
        <v>155</v>
      </c>
      <c r="B170" t="s">
        <v>161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184</v>
      </c>
    </row>
    <row r="171" spans="1:20" ht="14.5" customHeight="1" x14ac:dyDescent="0.35">
      <c r="A171">
        <v>160</v>
      </c>
      <c r="B171" t="s">
        <v>162</v>
      </c>
      <c r="C171">
        <v>54888.89</v>
      </c>
      <c r="D171">
        <v>986283.25</v>
      </c>
      <c r="E171">
        <v>39991.1</v>
      </c>
      <c r="F171">
        <v>1</v>
      </c>
      <c r="G171">
        <v>39991.1</v>
      </c>
      <c r="H171">
        <v>-1739445.63</v>
      </c>
      <c r="I171">
        <v>1</v>
      </c>
      <c r="J171">
        <v>-1739445.63</v>
      </c>
      <c r="K171">
        <v>31834</v>
      </c>
      <c r="L171">
        <v>299661</v>
      </c>
      <c r="M171">
        <v>23054.89</v>
      </c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184</v>
      </c>
    </row>
    <row r="172" spans="1:20" ht="14.5" customHeight="1" x14ac:dyDescent="0.35">
      <c r="A172">
        <v>170</v>
      </c>
      <c r="B172" t="s">
        <v>163</v>
      </c>
      <c r="C172">
        <v>-667937.43999999994</v>
      </c>
      <c r="D172">
        <v>-4099461.34</v>
      </c>
      <c r="E172">
        <v>-278338.45</v>
      </c>
      <c r="F172">
        <v>1</v>
      </c>
      <c r="G172">
        <v>-278338.45</v>
      </c>
      <c r="H172">
        <v>-1002060.08</v>
      </c>
      <c r="I172">
        <v>1</v>
      </c>
      <c r="J172">
        <v>-1002060.08</v>
      </c>
      <c r="K172">
        <v>209113</v>
      </c>
      <c r="L172">
        <v>2533175</v>
      </c>
      <c r="M172">
        <v>-877050.44</v>
      </c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184</v>
      </c>
    </row>
    <row r="173" spans="1:20" x14ac:dyDescent="0.35">
      <c r="A173">
        <v>180</v>
      </c>
      <c r="B173" t="s">
        <v>164</v>
      </c>
      <c r="C173">
        <v>0</v>
      </c>
      <c r="D173">
        <v>609607</v>
      </c>
      <c r="E173">
        <v>28815</v>
      </c>
      <c r="F173">
        <v>1</v>
      </c>
      <c r="G173">
        <v>28815</v>
      </c>
      <c r="H173">
        <v>203149</v>
      </c>
      <c r="I173">
        <v>1</v>
      </c>
      <c r="J173">
        <v>203149</v>
      </c>
      <c r="K173">
        <v>56000</v>
      </c>
      <c r="L173">
        <v>504000</v>
      </c>
      <c r="M173">
        <v>-56000</v>
      </c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184</v>
      </c>
    </row>
    <row r="174" spans="1:20" x14ac:dyDescent="0.35">
      <c r="A174">
        <v>190</v>
      </c>
      <c r="B174" t="s">
        <v>165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184</v>
      </c>
    </row>
    <row r="175" spans="1:20" ht="14.5" customHeight="1" x14ac:dyDescent="0.35">
      <c r="A175">
        <v>200</v>
      </c>
      <c r="B175" t="s">
        <v>166</v>
      </c>
      <c r="C175">
        <v>-667937.43999999994</v>
      </c>
      <c r="D175">
        <v>-4709068.34</v>
      </c>
      <c r="E175">
        <v>-307153.45</v>
      </c>
      <c r="F175">
        <v>1</v>
      </c>
      <c r="G175">
        <v>-307153.45</v>
      </c>
      <c r="H175">
        <v>-1205209.08</v>
      </c>
      <c r="I175">
        <v>1</v>
      </c>
      <c r="J175">
        <v>-1205209.08</v>
      </c>
      <c r="K175">
        <v>153113</v>
      </c>
      <c r="L175">
        <v>2029175</v>
      </c>
      <c r="M175">
        <v>-821050.44</v>
      </c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184</v>
      </c>
    </row>
    <row r="176" spans="1:20" ht="14.5" customHeight="1" x14ac:dyDescent="0.35">
      <c r="A176">
        <v>210</v>
      </c>
      <c r="B176" t="s">
        <v>167</v>
      </c>
      <c r="C176">
        <v>-533285.68999999994</v>
      </c>
      <c r="D176">
        <v>-2198815.29</v>
      </c>
      <c r="E176">
        <v>-127596.37</v>
      </c>
      <c r="F176">
        <v>1</v>
      </c>
      <c r="G176">
        <v>-127596.37</v>
      </c>
      <c r="H176">
        <v>-1735798.29</v>
      </c>
      <c r="I176">
        <v>1</v>
      </c>
      <c r="J176">
        <v>-1735798.29</v>
      </c>
      <c r="K176">
        <v>369363</v>
      </c>
      <c r="L176">
        <v>3927483</v>
      </c>
      <c r="M176">
        <v>-902648.69</v>
      </c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184</v>
      </c>
    </row>
    <row r="177" spans="1:20" s="210" customFormat="1" x14ac:dyDescent="0.35">
      <c r="A177" t="s">
        <v>229</v>
      </c>
      <c r="B177" t="s">
        <v>172</v>
      </c>
      <c r="C177" t="s">
        <v>173</v>
      </c>
      <c r="D177" t="s">
        <v>174</v>
      </c>
      <c r="E177" t="s">
        <v>175</v>
      </c>
      <c r="F177" t="s">
        <v>176</v>
      </c>
      <c r="G177" t="s">
        <v>177</v>
      </c>
      <c r="H177" t="s">
        <v>178</v>
      </c>
      <c r="I177" t="s">
        <v>179</v>
      </c>
      <c r="J177" t="s">
        <v>180</v>
      </c>
      <c r="K177" t="s">
        <v>181</v>
      </c>
      <c r="L177" t="s">
        <v>182</v>
      </c>
      <c r="M177" t="s">
        <v>221</v>
      </c>
      <c r="N177" t="s">
        <v>230</v>
      </c>
      <c r="O177" t="s">
        <v>231</v>
      </c>
      <c r="P177" t="s">
        <v>232</v>
      </c>
      <c r="Q177" t="s">
        <v>225</v>
      </c>
      <c r="R177" t="s">
        <v>226</v>
      </c>
      <c r="S177" t="s">
        <v>227</v>
      </c>
      <c r="T177" t="s">
        <v>183</v>
      </c>
    </row>
    <row r="178" spans="1:20" ht="14.5" customHeight="1" x14ac:dyDescent="0.35">
      <c r="A178">
        <v>30</v>
      </c>
      <c r="B178" t="s">
        <v>147</v>
      </c>
      <c r="C178">
        <v>1895611.75</v>
      </c>
      <c r="D178">
        <v>11935589.029999999</v>
      </c>
      <c r="E178">
        <v>1085103.45</v>
      </c>
      <c r="F178">
        <v>1</v>
      </c>
      <c r="G178">
        <v>1085103.45</v>
      </c>
      <c r="H178">
        <v>9771491.6099999994</v>
      </c>
      <c r="I178">
        <v>1</v>
      </c>
      <c r="J178">
        <v>9771491.6099999994</v>
      </c>
      <c r="K178">
        <v>1190000</v>
      </c>
      <c r="L178">
        <v>11893000</v>
      </c>
      <c r="M178">
        <v>705611.75</v>
      </c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184</v>
      </c>
    </row>
    <row r="179" spans="1:20" ht="14.5" customHeight="1" x14ac:dyDescent="0.35">
      <c r="A179">
        <v>40</v>
      </c>
      <c r="B179" t="s">
        <v>148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184</v>
      </c>
    </row>
    <row r="180" spans="1:20" x14ac:dyDescent="0.35">
      <c r="A180">
        <v>50</v>
      </c>
      <c r="B180" t="s">
        <v>149</v>
      </c>
      <c r="C180">
        <v>1895611.75</v>
      </c>
      <c r="D180">
        <v>11935589.029999999</v>
      </c>
      <c r="E180">
        <v>1085103.45</v>
      </c>
      <c r="F180">
        <v>1</v>
      </c>
      <c r="G180">
        <v>1085103.45</v>
      </c>
      <c r="H180">
        <v>9771491.6099999994</v>
      </c>
      <c r="I180">
        <v>1</v>
      </c>
      <c r="J180">
        <v>9771491.6099999994</v>
      </c>
      <c r="K180">
        <v>1190000</v>
      </c>
      <c r="L180">
        <v>11893000</v>
      </c>
      <c r="M180">
        <v>705611.75</v>
      </c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184</v>
      </c>
    </row>
    <row r="181" spans="1:20" x14ac:dyDescent="0.35">
      <c r="A181">
        <v>60</v>
      </c>
      <c r="B181" t="s">
        <v>150</v>
      </c>
      <c r="C181">
        <v>1616421.16</v>
      </c>
      <c r="D181">
        <v>9977023.2200000007</v>
      </c>
      <c r="E181">
        <v>905658.13</v>
      </c>
      <c r="F181">
        <v>1</v>
      </c>
      <c r="G181">
        <v>905658.13</v>
      </c>
      <c r="H181">
        <v>8290552.79</v>
      </c>
      <c r="I181">
        <v>1</v>
      </c>
      <c r="J181">
        <v>8290552.79</v>
      </c>
      <c r="K181">
        <v>1005550</v>
      </c>
      <c r="L181">
        <v>10055500</v>
      </c>
      <c r="M181">
        <v>610871.16</v>
      </c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184</v>
      </c>
    </row>
    <row r="182" spans="1:20" x14ac:dyDescent="0.35">
      <c r="A182">
        <v>70</v>
      </c>
      <c r="B182" t="s">
        <v>151</v>
      </c>
      <c r="C182">
        <v>279190.59000000003</v>
      </c>
      <c r="D182">
        <v>1958565.81</v>
      </c>
      <c r="E182">
        <v>179445.32</v>
      </c>
      <c r="F182">
        <v>1</v>
      </c>
      <c r="G182">
        <v>179445.32</v>
      </c>
      <c r="H182">
        <v>1480938.82</v>
      </c>
      <c r="I182">
        <v>1</v>
      </c>
      <c r="J182">
        <v>1480938.82</v>
      </c>
      <c r="K182">
        <v>184450</v>
      </c>
      <c r="L182">
        <v>1837500</v>
      </c>
      <c r="M182">
        <v>94740.59</v>
      </c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184</v>
      </c>
    </row>
    <row r="183" spans="1:20" ht="14.5" customHeight="1" x14ac:dyDescent="0.35">
      <c r="A183">
        <v>80</v>
      </c>
      <c r="B183" t="s">
        <v>152</v>
      </c>
      <c r="C183">
        <v>71603.61</v>
      </c>
      <c r="D183">
        <v>510603.93</v>
      </c>
      <c r="E183">
        <v>53102.879999999997</v>
      </c>
      <c r="F183">
        <v>1</v>
      </c>
      <c r="G183">
        <v>53102.879999999997</v>
      </c>
      <c r="H183">
        <v>491930.09</v>
      </c>
      <c r="I183">
        <v>1</v>
      </c>
      <c r="J183">
        <v>491930.09</v>
      </c>
      <c r="K183">
        <v>56238</v>
      </c>
      <c r="L183">
        <v>527380</v>
      </c>
      <c r="M183">
        <v>15365.61</v>
      </c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184</v>
      </c>
    </row>
    <row r="184" spans="1:20" ht="14.5" customHeight="1" x14ac:dyDescent="0.35">
      <c r="A184">
        <v>90</v>
      </c>
      <c r="B184" t="s">
        <v>153</v>
      </c>
      <c r="C184">
        <v>116784.47</v>
      </c>
      <c r="D184">
        <v>893571.26</v>
      </c>
      <c r="E184">
        <v>90959.99</v>
      </c>
      <c r="F184">
        <v>1</v>
      </c>
      <c r="G184">
        <v>90959.99</v>
      </c>
      <c r="H184">
        <v>851684.22</v>
      </c>
      <c r="I184">
        <v>1</v>
      </c>
      <c r="J184">
        <v>851684.22</v>
      </c>
      <c r="K184">
        <v>100825</v>
      </c>
      <c r="L184">
        <v>907425</v>
      </c>
      <c r="M184">
        <v>15959.47</v>
      </c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184</v>
      </c>
    </row>
    <row r="185" spans="1:20" ht="14.5" customHeight="1" x14ac:dyDescent="0.35">
      <c r="A185">
        <v>100</v>
      </c>
      <c r="B185" t="s">
        <v>154</v>
      </c>
      <c r="C185">
        <v>0</v>
      </c>
      <c r="D185">
        <v>19134</v>
      </c>
      <c r="E185">
        <v>2222</v>
      </c>
      <c r="F185">
        <v>1</v>
      </c>
      <c r="G185">
        <v>2222</v>
      </c>
      <c r="H185">
        <v>17776</v>
      </c>
      <c r="I185">
        <v>1</v>
      </c>
      <c r="J185">
        <v>17776</v>
      </c>
      <c r="K185">
        <v>5399</v>
      </c>
      <c r="L185">
        <v>48591</v>
      </c>
      <c r="M185">
        <v>-5399</v>
      </c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184</v>
      </c>
    </row>
    <row r="186" spans="1:20" ht="14.5" customHeight="1" x14ac:dyDescent="0.35">
      <c r="A186">
        <v>110</v>
      </c>
      <c r="B186" t="s">
        <v>155</v>
      </c>
      <c r="C186">
        <v>188388.08</v>
      </c>
      <c r="D186">
        <v>1423309.19</v>
      </c>
      <c r="E186">
        <v>146284.87</v>
      </c>
      <c r="F186">
        <v>1</v>
      </c>
      <c r="G186">
        <v>146284.87</v>
      </c>
      <c r="H186">
        <v>1361390.31</v>
      </c>
      <c r="I186">
        <v>1</v>
      </c>
      <c r="J186">
        <v>1361390.31</v>
      </c>
      <c r="K186">
        <v>162462</v>
      </c>
      <c r="L186">
        <v>1483396</v>
      </c>
      <c r="M186">
        <v>25926.080000000002</v>
      </c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184</v>
      </c>
    </row>
    <row r="187" spans="1:20" ht="14.5" customHeight="1" x14ac:dyDescent="0.35">
      <c r="A187">
        <v>120</v>
      </c>
      <c r="B187" t="s">
        <v>156</v>
      </c>
      <c r="C187">
        <v>90802.51</v>
      </c>
      <c r="D187">
        <v>535256.62</v>
      </c>
      <c r="E187">
        <v>33160.449999999997</v>
      </c>
      <c r="F187">
        <v>1</v>
      </c>
      <c r="G187">
        <v>33160.449999999997</v>
      </c>
      <c r="H187">
        <v>119548.51</v>
      </c>
      <c r="I187">
        <v>1</v>
      </c>
      <c r="J187">
        <v>119548.51</v>
      </c>
      <c r="K187">
        <v>21988</v>
      </c>
      <c r="L187">
        <v>354104</v>
      </c>
      <c r="M187">
        <v>68814.509999999995</v>
      </c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184</v>
      </c>
    </row>
    <row r="188" spans="1:20" ht="14.5" customHeight="1" x14ac:dyDescent="0.35">
      <c r="A188">
        <v>130</v>
      </c>
      <c r="B188" t="s">
        <v>157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184</v>
      </c>
    </row>
    <row r="189" spans="1:20" ht="14.5" customHeight="1" x14ac:dyDescent="0.35">
      <c r="A189">
        <v>135</v>
      </c>
      <c r="B189" t="s">
        <v>158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184</v>
      </c>
    </row>
    <row r="190" spans="1:20" ht="14.5" customHeight="1" x14ac:dyDescent="0.35">
      <c r="A190">
        <v>140</v>
      </c>
      <c r="B190" t="s">
        <v>159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230</v>
      </c>
      <c r="I190">
        <v>1</v>
      </c>
      <c r="J190">
        <v>230</v>
      </c>
      <c r="K190">
        <v>0</v>
      </c>
      <c r="L190">
        <v>3704</v>
      </c>
      <c r="M190">
        <v>0</v>
      </c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184</v>
      </c>
    </row>
    <row r="191" spans="1:20" ht="14.5" customHeight="1" x14ac:dyDescent="0.35">
      <c r="A191">
        <v>150</v>
      </c>
      <c r="B191" t="s">
        <v>160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2711</v>
      </c>
      <c r="L191">
        <v>27558</v>
      </c>
      <c r="M191">
        <v>-2711</v>
      </c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184</v>
      </c>
    </row>
    <row r="192" spans="1:20" ht="14.5" customHeight="1" x14ac:dyDescent="0.35">
      <c r="A192">
        <v>155</v>
      </c>
      <c r="B192" t="s">
        <v>161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184</v>
      </c>
    </row>
    <row r="193" spans="1:20" ht="14.5" customHeight="1" x14ac:dyDescent="0.35">
      <c r="A193">
        <v>160</v>
      </c>
      <c r="B193" t="s">
        <v>162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230</v>
      </c>
      <c r="I193">
        <v>1</v>
      </c>
      <c r="J193">
        <v>230</v>
      </c>
      <c r="K193">
        <v>-2711</v>
      </c>
      <c r="L193">
        <v>-23854</v>
      </c>
      <c r="M193">
        <v>2711</v>
      </c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184</v>
      </c>
    </row>
    <row r="194" spans="1:20" ht="14.5" customHeight="1" x14ac:dyDescent="0.35">
      <c r="A194">
        <v>170</v>
      </c>
      <c r="B194" t="s">
        <v>163</v>
      </c>
      <c r="C194">
        <v>90802.51</v>
      </c>
      <c r="D194">
        <v>535256.62</v>
      </c>
      <c r="E194">
        <v>33160.449999999997</v>
      </c>
      <c r="F194">
        <v>1</v>
      </c>
      <c r="G194">
        <v>33160.449999999997</v>
      </c>
      <c r="H194">
        <v>119318.51</v>
      </c>
      <c r="I194">
        <v>1</v>
      </c>
      <c r="J194">
        <v>119318.51</v>
      </c>
      <c r="K194">
        <v>24699</v>
      </c>
      <c r="L194">
        <v>377958</v>
      </c>
      <c r="M194">
        <v>66103.509999999995</v>
      </c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184</v>
      </c>
    </row>
    <row r="195" spans="1:20" x14ac:dyDescent="0.35">
      <c r="A195">
        <v>180</v>
      </c>
      <c r="B195" t="s">
        <v>164</v>
      </c>
      <c r="C195">
        <v>0</v>
      </c>
      <c r="D195">
        <v>47720</v>
      </c>
      <c r="E195">
        <v>12203</v>
      </c>
      <c r="F195">
        <v>1</v>
      </c>
      <c r="G195">
        <v>12203</v>
      </c>
      <c r="H195">
        <v>122156.11</v>
      </c>
      <c r="I195">
        <v>1</v>
      </c>
      <c r="J195">
        <v>122156.11</v>
      </c>
      <c r="K195">
        <v>4496</v>
      </c>
      <c r="L195">
        <v>87329</v>
      </c>
      <c r="M195">
        <v>-4496</v>
      </c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184</v>
      </c>
    </row>
    <row r="196" spans="1:20" x14ac:dyDescent="0.35">
      <c r="A196">
        <v>190</v>
      </c>
      <c r="B196" t="s">
        <v>165</v>
      </c>
      <c r="C196">
        <v>0</v>
      </c>
      <c r="D196">
        <v>4000</v>
      </c>
      <c r="E196">
        <v>8083</v>
      </c>
      <c r="F196">
        <v>1</v>
      </c>
      <c r="G196">
        <v>8083</v>
      </c>
      <c r="H196">
        <v>62535</v>
      </c>
      <c r="I196">
        <v>1</v>
      </c>
      <c r="J196">
        <v>62535</v>
      </c>
      <c r="K196">
        <v>0</v>
      </c>
      <c r="L196">
        <v>0</v>
      </c>
      <c r="M196">
        <v>0</v>
      </c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184</v>
      </c>
    </row>
    <row r="197" spans="1:20" ht="14.5" customHeight="1" x14ac:dyDescent="0.35">
      <c r="A197">
        <v>200</v>
      </c>
      <c r="B197" t="s">
        <v>166</v>
      </c>
      <c r="C197">
        <v>90802.51</v>
      </c>
      <c r="D197">
        <v>483536.62</v>
      </c>
      <c r="E197">
        <v>12874.45</v>
      </c>
      <c r="F197">
        <v>1</v>
      </c>
      <c r="G197">
        <v>12874.45</v>
      </c>
      <c r="H197">
        <v>-65372.6</v>
      </c>
      <c r="I197">
        <v>1</v>
      </c>
      <c r="J197">
        <v>-65372.6</v>
      </c>
      <c r="K197">
        <v>20203</v>
      </c>
      <c r="L197">
        <v>290629</v>
      </c>
      <c r="M197">
        <v>70599.509999999995</v>
      </c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184</v>
      </c>
    </row>
    <row r="198" spans="1:20" ht="14.5" customHeight="1" x14ac:dyDescent="0.35">
      <c r="A198">
        <v>210</v>
      </c>
      <c r="B198" t="s">
        <v>167</v>
      </c>
      <c r="C198">
        <v>90802.51</v>
      </c>
      <c r="D198">
        <v>554390.62</v>
      </c>
      <c r="E198">
        <v>35382.449999999997</v>
      </c>
      <c r="F198">
        <v>1</v>
      </c>
      <c r="G198">
        <v>35382.449999999997</v>
      </c>
      <c r="H198">
        <v>137324.51</v>
      </c>
      <c r="I198">
        <v>1</v>
      </c>
      <c r="J198">
        <v>137324.51</v>
      </c>
      <c r="K198">
        <v>27387</v>
      </c>
      <c r="L198">
        <v>402695</v>
      </c>
      <c r="M198">
        <v>63415.51</v>
      </c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184</v>
      </c>
    </row>
    <row r="199" spans="1:20" s="210" customFormat="1" x14ac:dyDescent="0.35">
      <c r="A199" t="s">
        <v>233</v>
      </c>
      <c r="B199" t="s">
        <v>172</v>
      </c>
      <c r="C199" t="s">
        <v>173</v>
      </c>
      <c r="D199" t="s">
        <v>174</v>
      </c>
      <c r="E199" t="s">
        <v>175</v>
      </c>
      <c r="F199" t="s">
        <v>186</v>
      </c>
      <c r="G199" t="s">
        <v>215</v>
      </c>
      <c r="H199" t="s">
        <v>216</v>
      </c>
      <c r="I199" t="s">
        <v>217</v>
      </c>
      <c r="J199" t="s">
        <v>218</v>
      </c>
      <c r="K199" t="s">
        <v>219</v>
      </c>
      <c r="L199" t="s">
        <v>220</v>
      </c>
      <c r="M199" t="s">
        <v>221</v>
      </c>
      <c r="N199" t="s">
        <v>222</v>
      </c>
      <c r="O199" t="s">
        <v>223</v>
      </c>
      <c r="P199" t="s">
        <v>224</v>
      </c>
      <c r="Q199" t="s">
        <v>225</v>
      </c>
      <c r="R199" t="s">
        <v>226</v>
      </c>
      <c r="S199" t="s">
        <v>227</v>
      </c>
      <c r="T199" t="s">
        <v>183</v>
      </c>
    </row>
    <row r="200" spans="1:20" ht="14.5" customHeight="1" x14ac:dyDescent="0.35">
      <c r="A200">
        <v>30</v>
      </c>
      <c r="B200" t="s">
        <v>147</v>
      </c>
      <c r="C200">
        <v>14329057.6</v>
      </c>
      <c r="D200">
        <v>83964208.060000002</v>
      </c>
      <c r="E200">
        <v>5454298.25</v>
      </c>
      <c r="F200">
        <v>1</v>
      </c>
      <c r="G200">
        <v>5454298.25</v>
      </c>
      <c r="H200">
        <v>63457313.240000002</v>
      </c>
      <c r="I200">
        <v>1</v>
      </c>
      <c r="J200">
        <v>63457313.240000002</v>
      </c>
      <c r="K200">
        <v>6221864</v>
      </c>
      <c r="L200">
        <v>60661036</v>
      </c>
      <c r="M200">
        <v>8107193.5999999996</v>
      </c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184</v>
      </c>
    </row>
    <row r="201" spans="1:20" ht="14.5" customHeight="1" x14ac:dyDescent="0.35">
      <c r="A201">
        <v>40</v>
      </c>
      <c r="B201" t="s">
        <v>148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184</v>
      </c>
    </row>
    <row r="202" spans="1:20" x14ac:dyDescent="0.35">
      <c r="A202">
        <v>50</v>
      </c>
      <c r="B202" t="s">
        <v>149</v>
      </c>
      <c r="C202">
        <v>14329057.6</v>
      </c>
      <c r="D202">
        <v>83964208.060000002</v>
      </c>
      <c r="E202">
        <v>5454298.25</v>
      </c>
      <c r="F202">
        <v>1</v>
      </c>
      <c r="G202">
        <v>5454298.25</v>
      </c>
      <c r="H202">
        <v>63457313.240000002</v>
      </c>
      <c r="I202">
        <v>1</v>
      </c>
      <c r="J202">
        <v>63457313.240000002</v>
      </c>
      <c r="K202">
        <v>6221864</v>
      </c>
      <c r="L202">
        <v>60661036</v>
      </c>
      <c r="M202">
        <v>8107193.5999999996</v>
      </c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184</v>
      </c>
    </row>
    <row r="203" spans="1:20" x14ac:dyDescent="0.35">
      <c r="A203">
        <v>60</v>
      </c>
      <c r="B203" t="s">
        <v>150</v>
      </c>
      <c r="C203">
        <v>12973123.85</v>
      </c>
      <c r="D203">
        <v>72487630.769999996</v>
      </c>
      <c r="E203">
        <v>4432328.09</v>
      </c>
      <c r="F203">
        <v>1</v>
      </c>
      <c r="G203">
        <v>4432328.09</v>
      </c>
      <c r="H203">
        <v>52976475.810000002</v>
      </c>
      <c r="I203">
        <v>1</v>
      </c>
      <c r="J203">
        <v>52976475.810000002</v>
      </c>
      <c r="K203">
        <v>5055595</v>
      </c>
      <c r="L203">
        <v>49386339</v>
      </c>
      <c r="M203">
        <v>7917528.8499999996</v>
      </c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184</v>
      </c>
    </row>
    <row r="204" spans="1:20" x14ac:dyDescent="0.35">
      <c r="A204">
        <v>70</v>
      </c>
      <c r="B204" t="s">
        <v>151</v>
      </c>
      <c r="C204">
        <v>1355933.75</v>
      </c>
      <c r="D204">
        <v>11476577.289999999</v>
      </c>
      <c r="E204">
        <v>1021970.16</v>
      </c>
      <c r="F204">
        <v>1</v>
      </c>
      <c r="G204">
        <v>1021970.16</v>
      </c>
      <c r="H204">
        <v>10480837.43</v>
      </c>
      <c r="I204">
        <v>1</v>
      </c>
      <c r="J204">
        <v>10480837.43</v>
      </c>
      <c r="K204">
        <v>1166269</v>
      </c>
      <c r="L204">
        <v>11274697</v>
      </c>
      <c r="M204">
        <v>189664.75</v>
      </c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184</v>
      </c>
    </row>
    <row r="205" spans="1:20" ht="14.5" customHeight="1" x14ac:dyDescent="0.35">
      <c r="A205">
        <v>80</v>
      </c>
      <c r="B205" t="s">
        <v>152</v>
      </c>
      <c r="C205">
        <v>718226.01</v>
      </c>
      <c r="D205">
        <v>8279100.1600000001</v>
      </c>
      <c r="E205">
        <v>466239.07</v>
      </c>
      <c r="F205">
        <v>1</v>
      </c>
      <c r="G205">
        <v>466239.07</v>
      </c>
      <c r="H205">
        <v>4124832.53</v>
      </c>
      <c r="I205">
        <v>1</v>
      </c>
      <c r="J205">
        <v>4124832.53</v>
      </c>
      <c r="K205">
        <v>446296</v>
      </c>
      <c r="L205">
        <v>4253499</v>
      </c>
      <c r="M205">
        <v>271930.01</v>
      </c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184</v>
      </c>
    </row>
    <row r="206" spans="1:20" ht="14.5" customHeight="1" x14ac:dyDescent="0.35">
      <c r="A206">
        <v>90</v>
      </c>
      <c r="B206" t="s">
        <v>153</v>
      </c>
      <c r="C206">
        <v>738864.41</v>
      </c>
      <c r="D206">
        <v>7334650.3200000003</v>
      </c>
      <c r="E206">
        <v>574857.84</v>
      </c>
      <c r="F206">
        <v>1</v>
      </c>
      <c r="G206">
        <v>574857.84</v>
      </c>
      <c r="H206">
        <v>5777806.9000000004</v>
      </c>
      <c r="I206">
        <v>1</v>
      </c>
      <c r="J206">
        <v>5777806.9000000004</v>
      </c>
      <c r="K206">
        <v>597765</v>
      </c>
      <c r="L206">
        <v>5756315</v>
      </c>
      <c r="M206">
        <v>141099.41</v>
      </c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184</v>
      </c>
    </row>
    <row r="207" spans="1:20" ht="14.5" customHeight="1" x14ac:dyDescent="0.35">
      <c r="A207">
        <v>100</v>
      </c>
      <c r="B207" t="s">
        <v>154</v>
      </c>
      <c r="C207">
        <v>157084.85999999999</v>
      </c>
      <c r="D207">
        <v>1404832.19</v>
      </c>
      <c r="E207">
        <v>154258.1</v>
      </c>
      <c r="F207">
        <v>1</v>
      </c>
      <c r="G207">
        <v>154258.1</v>
      </c>
      <c r="H207">
        <v>1384274.52</v>
      </c>
      <c r="I207">
        <v>1</v>
      </c>
      <c r="J207">
        <v>1384274.52</v>
      </c>
      <c r="K207">
        <v>144118</v>
      </c>
      <c r="L207">
        <v>1293926</v>
      </c>
      <c r="M207">
        <v>12966.86</v>
      </c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184</v>
      </c>
    </row>
    <row r="208" spans="1:20" ht="14.5" customHeight="1" x14ac:dyDescent="0.35">
      <c r="A208">
        <v>110</v>
      </c>
      <c r="B208" t="s">
        <v>155</v>
      </c>
      <c r="C208">
        <v>1614175.28</v>
      </c>
      <c r="D208">
        <v>17018582.670000002</v>
      </c>
      <c r="E208">
        <v>1195355.01</v>
      </c>
      <c r="F208">
        <v>1</v>
      </c>
      <c r="G208">
        <v>1195355.01</v>
      </c>
      <c r="H208">
        <v>11286913.949999999</v>
      </c>
      <c r="I208">
        <v>1</v>
      </c>
      <c r="J208">
        <v>11286913.949999999</v>
      </c>
      <c r="K208">
        <v>1188179</v>
      </c>
      <c r="L208">
        <v>11303740</v>
      </c>
      <c r="M208">
        <v>425996.28</v>
      </c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184</v>
      </c>
    </row>
    <row r="209" spans="1:20" ht="14.5" customHeight="1" x14ac:dyDescent="0.35">
      <c r="A209">
        <v>120</v>
      </c>
      <c r="B209" t="s">
        <v>156</v>
      </c>
      <c r="C209">
        <v>-258241.53</v>
      </c>
      <c r="D209">
        <v>-5542005.3799999999</v>
      </c>
      <c r="E209">
        <v>-173384.85</v>
      </c>
      <c r="F209">
        <v>1</v>
      </c>
      <c r="G209">
        <v>-173384.85</v>
      </c>
      <c r="H209">
        <v>-806076.52</v>
      </c>
      <c r="I209">
        <v>1</v>
      </c>
      <c r="J209">
        <v>-806076.52</v>
      </c>
      <c r="K209">
        <v>-21910</v>
      </c>
      <c r="L209">
        <v>-29043</v>
      </c>
      <c r="M209">
        <v>-236331.53</v>
      </c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184</v>
      </c>
    </row>
    <row r="210" spans="1:20" ht="14.5" customHeight="1" x14ac:dyDescent="0.35">
      <c r="A210">
        <v>130</v>
      </c>
      <c r="B210" t="s">
        <v>157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184</v>
      </c>
    </row>
    <row r="211" spans="1:20" ht="14.5" customHeight="1" x14ac:dyDescent="0.35">
      <c r="A211">
        <v>135</v>
      </c>
      <c r="B211" t="s">
        <v>158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184</v>
      </c>
    </row>
    <row r="212" spans="1:20" ht="14.5" customHeight="1" x14ac:dyDescent="0.35">
      <c r="A212">
        <v>140</v>
      </c>
      <c r="B212" t="s">
        <v>159</v>
      </c>
      <c r="C212">
        <v>7334.99</v>
      </c>
      <c r="D212">
        <v>49415.19</v>
      </c>
      <c r="E212">
        <v>2018.74</v>
      </c>
      <c r="F212">
        <v>1</v>
      </c>
      <c r="G212">
        <v>2018.74</v>
      </c>
      <c r="H212">
        <v>64898.63</v>
      </c>
      <c r="I212">
        <v>1</v>
      </c>
      <c r="J212">
        <v>64898.63</v>
      </c>
      <c r="K212">
        <v>4865</v>
      </c>
      <c r="L212">
        <v>35126</v>
      </c>
      <c r="M212">
        <v>2469.9899999999998</v>
      </c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184</v>
      </c>
    </row>
    <row r="213" spans="1:20" ht="14.5" customHeight="1" x14ac:dyDescent="0.35">
      <c r="A213">
        <v>150</v>
      </c>
      <c r="B213" t="s">
        <v>160</v>
      </c>
      <c r="C213">
        <v>5.71</v>
      </c>
      <c r="D213">
        <v>100.08</v>
      </c>
      <c r="E213">
        <v>3.92</v>
      </c>
      <c r="F213">
        <v>1</v>
      </c>
      <c r="G213">
        <v>3.92</v>
      </c>
      <c r="H213">
        <v>35.72</v>
      </c>
      <c r="I213">
        <v>1</v>
      </c>
      <c r="J213">
        <v>35.72</v>
      </c>
      <c r="K213">
        <v>0</v>
      </c>
      <c r="L213">
        <v>13171</v>
      </c>
      <c r="M213">
        <v>5.71</v>
      </c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184</v>
      </c>
    </row>
    <row r="214" spans="1:20" ht="14.5" customHeight="1" x14ac:dyDescent="0.35">
      <c r="A214">
        <v>155</v>
      </c>
      <c r="B214" t="s">
        <v>161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184</v>
      </c>
    </row>
    <row r="215" spans="1:20" ht="14.5" customHeight="1" x14ac:dyDescent="0.35">
      <c r="A215">
        <v>160</v>
      </c>
      <c r="B215" t="s">
        <v>162</v>
      </c>
      <c r="C215">
        <v>7329.28</v>
      </c>
      <c r="D215">
        <v>49315.11</v>
      </c>
      <c r="E215">
        <v>2014.82</v>
      </c>
      <c r="F215">
        <v>1</v>
      </c>
      <c r="G215">
        <v>2014.82</v>
      </c>
      <c r="H215">
        <v>64862.91</v>
      </c>
      <c r="I215">
        <v>1</v>
      </c>
      <c r="J215">
        <v>64862.91</v>
      </c>
      <c r="K215">
        <v>4865</v>
      </c>
      <c r="L215">
        <v>21955</v>
      </c>
      <c r="M215">
        <v>2464.2800000000002</v>
      </c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184</v>
      </c>
    </row>
    <row r="216" spans="1:20" ht="14.5" customHeight="1" x14ac:dyDescent="0.35">
      <c r="A216">
        <v>170</v>
      </c>
      <c r="B216" t="s">
        <v>163</v>
      </c>
      <c r="C216">
        <v>-265570.81</v>
      </c>
      <c r="D216">
        <v>-5591320.4900000002</v>
      </c>
      <c r="E216">
        <v>-175399.67</v>
      </c>
      <c r="F216">
        <v>1</v>
      </c>
      <c r="G216">
        <v>-175399.67</v>
      </c>
      <c r="H216">
        <v>-870939.43</v>
      </c>
      <c r="I216">
        <v>1</v>
      </c>
      <c r="J216">
        <v>-870939.43</v>
      </c>
      <c r="K216">
        <v>-26775</v>
      </c>
      <c r="L216">
        <v>-50998</v>
      </c>
      <c r="M216">
        <v>-238795.81</v>
      </c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184</v>
      </c>
    </row>
    <row r="217" spans="1:20" x14ac:dyDescent="0.35">
      <c r="A217">
        <v>180</v>
      </c>
      <c r="B217" t="s">
        <v>164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184</v>
      </c>
    </row>
    <row r="218" spans="1:20" x14ac:dyDescent="0.35">
      <c r="A218">
        <v>190</v>
      </c>
      <c r="B218" t="s">
        <v>165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184</v>
      </c>
    </row>
    <row r="219" spans="1:20" ht="14.5" customHeight="1" x14ac:dyDescent="0.35">
      <c r="A219">
        <v>200</v>
      </c>
      <c r="B219" t="s">
        <v>166</v>
      </c>
      <c r="C219">
        <v>-265570.81</v>
      </c>
      <c r="D219">
        <v>-5591320.4900000002</v>
      </c>
      <c r="E219">
        <v>-175399.67</v>
      </c>
      <c r="F219">
        <v>1</v>
      </c>
      <c r="G219">
        <v>-175399.67</v>
      </c>
      <c r="H219">
        <v>-870939.43</v>
      </c>
      <c r="I219">
        <v>1</v>
      </c>
      <c r="J219">
        <v>-870939.43</v>
      </c>
      <c r="K219">
        <v>-26775</v>
      </c>
      <c r="L219">
        <v>-50998</v>
      </c>
      <c r="M219">
        <v>-238795.81</v>
      </c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184</v>
      </c>
    </row>
    <row r="220" spans="1:20" ht="14.5" customHeight="1" x14ac:dyDescent="0.35">
      <c r="A220">
        <v>210</v>
      </c>
      <c r="B220" t="s">
        <v>167</v>
      </c>
      <c r="C220">
        <v>-101156.67</v>
      </c>
      <c r="D220">
        <v>-4137173.19</v>
      </c>
      <c r="E220">
        <v>-19126.75</v>
      </c>
      <c r="F220">
        <v>1</v>
      </c>
      <c r="G220">
        <v>-19126.75</v>
      </c>
      <c r="H220">
        <v>578198</v>
      </c>
      <c r="I220">
        <v>1</v>
      </c>
      <c r="J220">
        <v>578198</v>
      </c>
      <c r="K220">
        <v>122208</v>
      </c>
      <c r="L220">
        <v>1264883</v>
      </c>
      <c r="M220">
        <v>-223364.67</v>
      </c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184</v>
      </c>
    </row>
    <row r="221" spans="1:20" s="182" customFormat="1" x14ac:dyDescent="0.35">
      <c r="A221" t="s">
        <v>234</v>
      </c>
      <c r="B221" t="s">
        <v>172</v>
      </c>
      <c r="C221" t="s">
        <v>205</v>
      </c>
      <c r="D221" t="s">
        <v>206</v>
      </c>
      <c r="E221" t="s">
        <v>175</v>
      </c>
      <c r="F221" t="s">
        <v>207</v>
      </c>
      <c r="G221" t="s">
        <v>208</v>
      </c>
      <c r="H221" t="s">
        <v>209</v>
      </c>
      <c r="I221" t="s">
        <v>210</v>
      </c>
      <c r="J221" t="s">
        <v>211</v>
      </c>
      <c r="K221" t="s">
        <v>212</v>
      </c>
      <c r="L221" t="s">
        <v>213</v>
      </c>
      <c r="M221" t="s">
        <v>231</v>
      </c>
      <c r="N221" t="s">
        <v>235</v>
      </c>
      <c r="O221" t="s">
        <v>236</v>
      </c>
      <c r="P221" t="s">
        <v>237</v>
      </c>
      <c r="Q221" t="s">
        <v>183</v>
      </c>
      <c r="R221"/>
      <c r="S221"/>
      <c r="T221"/>
    </row>
    <row r="222" spans="1:20" ht="14.5" customHeight="1" x14ac:dyDescent="0.35">
      <c r="A222">
        <v>30</v>
      </c>
      <c r="B222" t="s">
        <v>147</v>
      </c>
      <c r="C222">
        <v>205000</v>
      </c>
      <c r="D222">
        <v>12520000</v>
      </c>
      <c r="E222">
        <v>195000</v>
      </c>
      <c r="F222">
        <v>1</v>
      </c>
      <c r="G222">
        <v>195000</v>
      </c>
      <c r="H222">
        <v>1755000</v>
      </c>
      <c r="I222">
        <v>1</v>
      </c>
      <c r="J222">
        <v>1755000</v>
      </c>
      <c r="K222">
        <v>0</v>
      </c>
      <c r="L222">
        <v>0</v>
      </c>
      <c r="M222">
        <v>10000</v>
      </c>
      <c r="N222">
        <v>10765000</v>
      </c>
      <c r="O222">
        <v>205000</v>
      </c>
      <c r="P222">
        <v>12520000</v>
      </c>
      <c r="Q222" t="s">
        <v>184</v>
      </c>
      <c r="R222"/>
      <c r="S222"/>
      <c r="T222"/>
    </row>
    <row r="223" spans="1:20" ht="14.5" customHeight="1" x14ac:dyDescent="0.35">
      <c r="A223">
        <v>40</v>
      </c>
      <c r="B223" t="s">
        <v>148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184</v>
      </c>
      <c r="R223"/>
      <c r="S223"/>
      <c r="T223"/>
    </row>
    <row r="224" spans="1:20" x14ac:dyDescent="0.35">
      <c r="A224">
        <v>50</v>
      </c>
      <c r="B224" t="s">
        <v>149</v>
      </c>
      <c r="C224">
        <v>205000</v>
      </c>
      <c r="D224">
        <v>12520000</v>
      </c>
      <c r="E224">
        <v>195000</v>
      </c>
      <c r="F224">
        <v>1</v>
      </c>
      <c r="G224">
        <v>195000</v>
      </c>
      <c r="H224">
        <v>1755000</v>
      </c>
      <c r="I224">
        <v>1</v>
      </c>
      <c r="J224">
        <v>1755000</v>
      </c>
      <c r="K224">
        <v>0</v>
      </c>
      <c r="L224">
        <v>0</v>
      </c>
      <c r="M224">
        <v>10000</v>
      </c>
      <c r="N224">
        <v>10765000</v>
      </c>
      <c r="O224">
        <v>205000</v>
      </c>
      <c r="P224">
        <v>12520000</v>
      </c>
      <c r="Q224" t="s">
        <v>184</v>
      </c>
      <c r="R224"/>
      <c r="S224"/>
      <c r="T224"/>
    </row>
    <row r="225" spans="1:20" x14ac:dyDescent="0.35">
      <c r="A225">
        <v>60</v>
      </c>
      <c r="B225" t="s">
        <v>150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184</v>
      </c>
      <c r="R225"/>
      <c r="S225"/>
      <c r="T225"/>
    </row>
    <row r="226" spans="1:20" x14ac:dyDescent="0.35">
      <c r="A226">
        <v>70</v>
      </c>
      <c r="B226" t="s">
        <v>151</v>
      </c>
      <c r="C226">
        <v>205000</v>
      </c>
      <c r="D226">
        <v>12520000</v>
      </c>
      <c r="E226">
        <v>195000</v>
      </c>
      <c r="F226">
        <v>1</v>
      </c>
      <c r="G226">
        <v>195000</v>
      </c>
      <c r="H226">
        <v>1755000</v>
      </c>
      <c r="I226">
        <v>1</v>
      </c>
      <c r="J226">
        <v>1755000</v>
      </c>
      <c r="K226">
        <v>0</v>
      </c>
      <c r="L226">
        <v>0</v>
      </c>
      <c r="M226">
        <v>10000</v>
      </c>
      <c r="N226">
        <v>10765000</v>
      </c>
      <c r="O226">
        <v>205000</v>
      </c>
      <c r="P226">
        <v>12520000</v>
      </c>
      <c r="Q226" t="s">
        <v>184</v>
      </c>
      <c r="R226"/>
      <c r="S226"/>
      <c r="T226"/>
    </row>
    <row r="227" spans="1:20" ht="14.5" customHeight="1" x14ac:dyDescent="0.35">
      <c r="A227">
        <v>80</v>
      </c>
      <c r="B227" t="s">
        <v>152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184</v>
      </c>
      <c r="R227"/>
      <c r="S227"/>
      <c r="T227"/>
    </row>
    <row r="228" spans="1:20" ht="14.5" customHeight="1" x14ac:dyDescent="0.35">
      <c r="A228">
        <v>90</v>
      </c>
      <c r="B228" t="s">
        <v>153</v>
      </c>
      <c r="C228">
        <v>127456.15</v>
      </c>
      <c r="D228">
        <v>1093731.1499999999</v>
      </c>
      <c r="E228">
        <v>108548.9</v>
      </c>
      <c r="F228">
        <v>1</v>
      </c>
      <c r="G228">
        <v>108548.9</v>
      </c>
      <c r="H228">
        <v>1751238.3</v>
      </c>
      <c r="I228">
        <v>1</v>
      </c>
      <c r="J228">
        <v>1751238.3</v>
      </c>
      <c r="K228">
        <v>0</v>
      </c>
      <c r="L228">
        <v>0</v>
      </c>
      <c r="M228">
        <v>18907.25</v>
      </c>
      <c r="N228">
        <v>-657507.15</v>
      </c>
      <c r="O228">
        <v>127456.15</v>
      </c>
      <c r="P228">
        <v>1093731.1499999999</v>
      </c>
      <c r="Q228" t="s">
        <v>184</v>
      </c>
      <c r="R228"/>
      <c r="S228"/>
      <c r="T228"/>
    </row>
    <row r="229" spans="1:20" ht="14.5" customHeight="1" x14ac:dyDescent="0.35">
      <c r="A229">
        <v>100</v>
      </c>
      <c r="B229" t="s">
        <v>154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184</v>
      </c>
      <c r="R229"/>
      <c r="S229"/>
      <c r="T229"/>
    </row>
    <row r="230" spans="1:20" ht="14.5" customHeight="1" x14ac:dyDescent="0.35">
      <c r="A230">
        <v>110</v>
      </c>
      <c r="B230" t="s">
        <v>155</v>
      </c>
      <c r="C230">
        <v>127456.15</v>
      </c>
      <c r="D230">
        <v>1093731.1499999999</v>
      </c>
      <c r="E230">
        <v>108548.9</v>
      </c>
      <c r="F230">
        <v>1</v>
      </c>
      <c r="G230">
        <v>108548.9</v>
      </c>
      <c r="H230">
        <v>1751238.3</v>
      </c>
      <c r="I230">
        <v>1</v>
      </c>
      <c r="J230">
        <v>1751238.3</v>
      </c>
      <c r="K230">
        <v>0</v>
      </c>
      <c r="L230">
        <v>0</v>
      </c>
      <c r="M230">
        <v>18907.25</v>
      </c>
      <c r="N230">
        <v>-657507.15</v>
      </c>
      <c r="O230">
        <v>127456.15</v>
      </c>
      <c r="P230">
        <v>1093731.1499999999</v>
      </c>
      <c r="Q230" t="s">
        <v>184</v>
      </c>
      <c r="R230"/>
      <c r="S230"/>
      <c r="T230"/>
    </row>
    <row r="231" spans="1:20" ht="14.5" customHeight="1" x14ac:dyDescent="0.35">
      <c r="A231">
        <v>120</v>
      </c>
      <c r="B231" t="s">
        <v>156</v>
      </c>
      <c r="C231">
        <v>77543.850000000006</v>
      </c>
      <c r="D231">
        <v>11426268.85</v>
      </c>
      <c r="E231">
        <v>86451.1</v>
      </c>
      <c r="F231">
        <v>1</v>
      </c>
      <c r="G231">
        <v>86451.1</v>
      </c>
      <c r="H231">
        <v>3761.7</v>
      </c>
      <c r="I231">
        <v>1</v>
      </c>
      <c r="J231">
        <v>3761.7</v>
      </c>
      <c r="K231">
        <v>0</v>
      </c>
      <c r="L231">
        <v>0</v>
      </c>
      <c r="M231">
        <v>-8907.25</v>
      </c>
      <c r="N231">
        <v>11422507.15</v>
      </c>
      <c r="O231">
        <v>77543.850000000006</v>
      </c>
      <c r="P231">
        <v>11426268.85</v>
      </c>
      <c r="Q231" t="s">
        <v>184</v>
      </c>
      <c r="R231"/>
      <c r="S231"/>
      <c r="T231"/>
    </row>
    <row r="232" spans="1:20" ht="14.5" customHeight="1" x14ac:dyDescent="0.35">
      <c r="A232">
        <v>130</v>
      </c>
      <c r="B232" t="s">
        <v>157</v>
      </c>
      <c r="C232">
        <v>-1919395.63</v>
      </c>
      <c r="D232">
        <v>-365763.27</v>
      </c>
      <c r="E232">
        <v>-1848483.52</v>
      </c>
      <c r="F232">
        <v>1</v>
      </c>
      <c r="G232">
        <v>-1848483.52</v>
      </c>
      <c r="H232">
        <v>-7022877.5700000003</v>
      </c>
      <c r="I232">
        <v>1</v>
      </c>
      <c r="J232">
        <v>-7022877.5700000003</v>
      </c>
      <c r="K232">
        <v>0</v>
      </c>
      <c r="L232">
        <v>0</v>
      </c>
      <c r="M232">
        <v>-70912.11</v>
      </c>
      <c r="N232">
        <v>6657114.2999999998</v>
      </c>
      <c r="O232">
        <v>-1919395.63</v>
      </c>
      <c r="P232">
        <v>-365763.27</v>
      </c>
      <c r="Q232" t="s">
        <v>184</v>
      </c>
      <c r="R232"/>
      <c r="S232"/>
      <c r="T232"/>
    </row>
    <row r="233" spans="1:20" ht="14.5" customHeight="1" x14ac:dyDescent="0.35">
      <c r="A233">
        <v>135</v>
      </c>
      <c r="B233" t="s">
        <v>158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184</v>
      </c>
      <c r="R233"/>
      <c r="S233"/>
      <c r="T233"/>
    </row>
    <row r="234" spans="1:20" ht="14.5" customHeight="1" x14ac:dyDescent="0.35">
      <c r="A234">
        <v>140</v>
      </c>
      <c r="B234" t="s">
        <v>159</v>
      </c>
      <c r="C234">
        <v>427066.85</v>
      </c>
      <c r="D234">
        <v>4293995.92</v>
      </c>
      <c r="E234">
        <v>439684.08</v>
      </c>
      <c r="F234">
        <v>1</v>
      </c>
      <c r="G234">
        <v>439684.08</v>
      </c>
      <c r="H234">
        <v>4353680.5</v>
      </c>
      <c r="I234">
        <v>1</v>
      </c>
      <c r="J234">
        <v>4353680.5</v>
      </c>
      <c r="K234">
        <v>0</v>
      </c>
      <c r="L234">
        <v>0</v>
      </c>
      <c r="M234">
        <v>-12617.23</v>
      </c>
      <c r="N234">
        <v>-59684.58</v>
      </c>
      <c r="O234">
        <v>427066.85</v>
      </c>
      <c r="P234">
        <v>4293995.92</v>
      </c>
      <c r="Q234" t="s">
        <v>184</v>
      </c>
      <c r="R234"/>
      <c r="S234"/>
      <c r="T234"/>
    </row>
    <row r="235" spans="1:20" ht="14.5" customHeight="1" x14ac:dyDescent="0.35">
      <c r="A235">
        <v>150</v>
      </c>
      <c r="B235" t="s">
        <v>160</v>
      </c>
      <c r="C235">
        <v>3.74</v>
      </c>
      <c r="D235">
        <v>68.8</v>
      </c>
      <c r="E235">
        <v>2.59</v>
      </c>
      <c r="F235">
        <v>1</v>
      </c>
      <c r="G235">
        <v>2.59</v>
      </c>
      <c r="H235">
        <v>79.510000000000005</v>
      </c>
      <c r="I235">
        <v>1</v>
      </c>
      <c r="J235">
        <v>79.510000000000005</v>
      </c>
      <c r="K235">
        <v>0</v>
      </c>
      <c r="L235">
        <v>0</v>
      </c>
      <c r="M235">
        <v>1.1499999999999999</v>
      </c>
      <c r="N235">
        <v>-10.71</v>
      </c>
      <c r="O235">
        <v>3.74</v>
      </c>
      <c r="P235">
        <v>68.8</v>
      </c>
      <c r="Q235" t="s">
        <v>184</v>
      </c>
      <c r="R235"/>
      <c r="S235"/>
      <c r="T235"/>
    </row>
    <row r="236" spans="1:20" ht="14.5" customHeight="1" x14ac:dyDescent="0.35">
      <c r="A236">
        <v>155</v>
      </c>
      <c r="B236" t="s">
        <v>161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184</v>
      </c>
      <c r="R236"/>
      <c r="S236"/>
      <c r="T236"/>
    </row>
    <row r="237" spans="1:20" ht="14.5" customHeight="1" x14ac:dyDescent="0.35">
      <c r="A237">
        <v>160</v>
      </c>
      <c r="B237" t="s">
        <v>162</v>
      </c>
      <c r="C237">
        <v>-1492332.52</v>
      </c>
      <c r="D237">
        <v>3928163.85</v>
      </c>
      <c r="E237">
        <v>-1408802.03</v>
      </c>
      <c r="F237">
        <v>1</v>
      </c>
      <c r="G237">
        <v>-1408802.03</v>
      </c>
      <c r="H237">
        <v>-2669276.58</v>
      </c>
      <c r="I237">
        <v>1</v>
      </c>
      <c r="J237">
        <v>-2669276.58</v>
      </c>
      <c r="K237">
        <v>0</v>
      </c>
      <c r="L237">
        <v>0</v>
      </c>
      <c r="M237">
        <v>-83530.490000000005</v>
      </c>
      <c r="N237">
        <v>6597440.4299999997</v>
      </c>
      <c r="O237">
        <v>-1492332.52</v>
      </c>
      <c r="P237">
        <v>3928163.85</v>
      </c>
      <c r="Q237" t="s">
        <v>184</v>
      </c>
      <c r="R237"/>
      <c r="S237"/>
      <c r="T237"/>
    </row>
    <row r="238" spans="1:20" ht="14.5" customHeight="1" x14ac:dyDescent="0.35">
      <c r="A238">
        <v>170</v>
      </c>
      <c r="B238" t="s">
        <v>163</v>
      </c>
      <c r="C238">
        <v>1569876.37</v>
      </c>
      <c r="D238">
        <v>7498105</v>
      </c>
      <c r="E238">
        <v>1495253.13</v>
      </c>
      <c r="F238">
        <v>1</v>
      </c>
      <c r="G238">
        <v>1495253.13</v>
      </c>
      <c r="H238">
        <v>2673038.2799999998</v>
      </c>
      <c r="I238">
        <v>1</v>
      </c>
      <c r="J238">
        <v>2673038.2799999998</v>
      </c>
      <c r="K238">
        <v>0</v>
      </c>
      <c r="L238">
        <v>0</v>
      </c>
      <c r="M238">
        <v>74623.240000000005</v>
      </c>
      <c r="N238">
        <v>4825066.72</v>
      </c>
      <c r="O238">
        <v>1569876.37</v>
      </c>
      <c r="P238">
        <v>7498105</v>
      </c>
      <c r="Q238" t="s">
        <v>184</v>
      </c>
      <c r="R238"/>
      <c r="S238"/>
      <c r="T238"/>
    </row>
    <row r="239" spans="1:20" x14ac:dyDescent="0.35">
      <c r="A239">
        <v>180</v>
      </c>
      <c r="B239" t="s">
        <v>164</v>
      </c>
      <c r="C239">
        <v>21898.62</v>
      </c>
      <c r="D239">
        <v>219831.65</v>
      </c>
      <c r="E239">
        <v>22504.37</v>
      </c>
      <c r="F239">
        <v>1</v>
      </c>
      <c r="G239">
        <v>22504.37</v>
      </c>
      <c r="H239">
        <v>209587.43</v>
      </c>
      <c r="I239">
        <v>1</v>
      </c>
      <c r="J239">
        <v>209587.43</v>
      </c>
      <c r="K239">
        <v>0</v>
      </c>
      <c r="L239">
        <v>0</v>
      </c>
      <c r="M239">
        <v>-605.75</v>
      </c>
      <c r="N239">
        <v>10244.219999999999</v>
      </c>
      <c r="O239">
        <v>21898.62</v>
      </c>
      <c r="P239">
        <v>219831.65</v>
      </c>
      <c r="Q239" t="s">
        <v>184</v>
      </c>
      <c r="R239"/>
      <c r="S239"/>
      <c r="T239"/>
    </row>
    <row r="240" spans="1:20" x14ac:dyDescent="0.35">
      <c r="A240">
        <v>190</v>
      </c>
      <c r="B240" t="s">
        <v>165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184</v>
      </c>
      <c r="R240"/>
      <c r="S240"/>
      <c r="T240"/>
    </row>
    <row r="241" spans="1:20" ht="14.5" customHeight="1" x14ac:dyDescent="0.35">
      <c r="A241">
        <v>200</v>
      </c>
      <c r="B241" t="s">
        <v>166</v>
      </c>
      <c r="C241">
        <v>1547977.75</v>
      </c>
      <c r="D241">
        <v>7278273.3499999996</v>
      </c>
      <c r="E241">
        <v>1472748.76</v>
      </c>
      <c r="F241">
        <v>1</v>
      </c>
      <c r="G241">
        <v>1472748.76</v>
      </c>
      <c r="H241">
        <v>2463450.85</v>
      </c>
      <c r="I241">
        <v>1</v>
      </c>
      <c r="J241">
        <v>2463450.85</v>
      </c>
      <c r="K241">
        <v>0</v>
      </c>
      <c r="L241">
        <v>0</v>
      </c>
      <c r="M241">
        <v>75228.990000000005</v>
      </c>
      <c r="N241">
        <v>4814822.5</v>
      </c>
      <c r="O241">
        <v>1547977.75</v>
      </c>
      <c r="P241">
        <v>7278273.3499999996</v>
      </c>
      <c r="Q241" t="s">
        <v>184</v>
      </c>
      <c r="R241"/>
      <c r="S241"/>
      <c r="T241"/>
    </row>
    <row r="242" spans="1:20" ht="14.5" customHeight="1" x14ac:dyDescent="0.35">
      <c r="A242">
        <v>210</v>
      </c>
      <c r="B242" t="s">
        <v>167</v>
      </c>
      <c r="C242">
        <v>77543.850000000006</v>
      </c>
      <c r="D242">
        <v>11426268.85</v>
      </c>
      <c r="E242">
        <v>86451.1</v>
      </c>
      <c r="F242">
        <v>1</v>
      </c>
      <c r="G242">
        <v>86451.1</v>
      </c>
      <c r="H242">
        <v>3761.7</v>
      </c>
      <c r="I242">
        <v>1</v>
      </c>
      <c r="J242">
        <v>3761.7</v>
      </c>
      <c r="K242">
        <v>0</v>
      </c>
      <c r="L242">
        <v>0</v>
      </c>
      <c r="M242">
        <v>-8907.25</v>
      </c>
      <c r="N242">
        <v>11422507.15</v>
      </c>
      <c r="O242">
        <v>77543.850000000006</v>
      </c>
      <c r="P242">
        <v>11426268.85</v>
      </c>
      <c r="Q242" t="s">
        <v>184</v>
      </c>
      <c r="R242"/>
      <c r="S242"/>
      <c r="T242"/>
    </row>
    <row r="243" spans="1:20" s="182" customFormat="1" x14ac:dyDescent="0.35">
      <c r="A243" t="s">
        <v>238</v>
      </c>
      <c r="B243" t="s">
        <v>172</v>
      </c>
      <c r="C243" t="s">
        <v>205</v>
      </c>
      <c r="D243" t="s">
        <v>206</v>
      </c>
      <c r="E243" t="s">
        <v>175</v>
      </c>
      <c r="F243" t="s">
        <v>207</v>
      </c>
      <c r="G243" t="s">
        <v>208</v>
      </c>
      <c r="H243" t="s">
        <v>209</v>
      </c>
      <c r="I243" t="s">
        <v>210</v>
      </c>
      <c r="J243" t="s">
        <v>211</v>
      </c>
      <c r="K243" t="s">
        <v>212</v>
      </c>
      <c r="L243" t="s">
        <v>213</v>
      </c>
      <c r="M243" t="s">
        <v>231</v>
      </c>
      <c r="N243" t="s">
        <v>235</v>
      </c>
      <c r="O243" t="s">
        <v>236</v>
      </c>
      <c r="P243" t="s">
        <v>237</v>
      </c>
      <c r="Q243" t="s">
        <v>183</v>
      </c>
      <c r="R243"/>
      <c r="S243"/>
      <c r="T243"/>
    </row>
    <row r="244" spans="1:20" ht="14.5" customHeight="1" x14ac:dyDescent="0.35">
      <c r="A244">
        <v>30</v>
      </c>
      <c r="B244" t="s">
        <v>147</v>
      </c>
      <c r="C244">
        <v>3431847.02</v>
      </c>
      <c r="D244">
        <v>30766623.949999999</v>
      </c>
      <c r="E244">
        <v>3258949.55</v>
      </c>
      <c r="F244">
        <v>1</v>
      </c>
      <c r="G244">
        <v>3258949.55</v>
      </c>
      <c r="H244">
        <v>29746574.539999999</v>
      </c>
      <c r="I244">
        <v>1</v>
      </c>
      <c r="J244">
        <v>29746574.539999999</v>
      </c>
      <c r="K244">
        <v>0</v>
      </c>
      <c r="L244">
        <v>0</v>
      </c>
      <c r="M244">
        <v>172897.47</v>
      </c>
      <c r="N244">
        <v>1020049.41</v>
      </c>
      <c r="O244">
        <v>3431847.02</v>
      </c>
      <c r="P244">
        <v>30766623.949999999</v>
      </c>
      <c r="Q244" t="s">
        <v>184</v>
      </c>
      <c r="R244"/>
      <c r="S244"/>
      <c r="T244"/>
    </row>
    <row r="245" spans="1:20" ht="14.5" customHeight="1" x14ac:dyDescent="0.35">
      <c r="A245">
        <v>40</v>
      </c>
      <c r="B245" t="s">
        <v>148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184</v>
      </c>
      <c r="R245"/>
      <c r="S245"/>
      <c r="T245"/>
    </row>
    <row r="246" spans="1:20" x14ac:dyDescent="0.35">
      <c r="A246">
        <v>50</v>
      </c>
      <c r="B246" t="s">
        <v>149</v>
      </c>
      <c r="C246">
        <v>3431847.02</v>
      </c>
      <c r="D246">
        <v>30766623.949999999</v>
      </c>
      <c r="E246">
        <v>3258949.55</v>
      </c>
      <c r="F246">
        <v>1</v>
      </c>
      <c r="G246">
        <v>3258949.55</v>
      </c>
      <c r="H246">
        <v>29746574.539999999</v>
      </c>
      <c r="I246">
        <v>1</v>
      </c>
      <c r="J246">
        <v>29746574.539999999</v>
      </c>
      <c r="K246">
        <v>0</v>
      </c>
      <c r="L246">
        <v>0</v>
      </c>
      <c r="M246">
        <v>172897.47</v>
      </c>
      <c r="N246">
        <v>1020049.41</v>
      </c>
      <c r="O246">
        <v>3431847.02</v>
      </c>
      <c r="P246">
        <v>30766623.949999999</v>
      </c>
      <c r="Q246" t="s">
        <v>184</v>
      </c>
      <c r="R246"/>
      <c r="S246"/>
      <c r="T246"/>
    </row>
    <row r="247" spans="1:20" x14ac:dyDescent="0.35">
      <c r="A247">
        <v>60</v>
      </c>
      <c r="B247" t="s">
        <v>150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184</v>
      </c>
      <c r="R247"/>
      <c r="S247"/>
      <c r="T247"/>
    </row>
    <row r="248" spans="1:20" x14ac:dyDescent="0.35">
      <c r="A248">
        <v>70</v>
      </c>
      <c r="B248" t="s">
        <v>151</v>
      </c>
      <c r="C248">
        <v>3431847.02</v>
      </c>
      <c r="D248">
        <v>30766623.949999999</v>
      </c>
      <c r="E248">
        <v>3258949.55</v>
      </c>
      <c r="F248">
        <v>1</v>
      </c>
      <c r="G248">
        <v>3258949.55</v>
      </c>
      <c r="H248">
        <v>29746574.539999999</v>
      </c>
      <c r="I248">
        <v>1</v>
      </c>
      <c r="J248">
        <v>29746574.539999999</v>
      </c>
      <c r="K248">
        <v>0</v>
      </c>
      <c r="L248">
        <v>0</v>
      </c>
      <c r="M248">
        <v>172897.47</v>
      </c>
      <c r="N248">
        <v>1020049.41</v>
      </c>
      <c r="O248">
        <v>3431847.02</v>
      </c>
      <c r="P248">
        <v>30766623.949999999</v>
      </c>
      <c r="Q248" t="s">
        <v>184</v>
      </c>
      <c r="R248"/>
      <c r="S248"/>
      <c r="T248"/>
    </row>
    <row r="249" spans="1:20" ht="14.5" customHeight="1" x14ac:dyDescent="0.35">
      <c r="A249">
        <v>80</v>
      </c>
      <c r="B249" t="s">
        <v>152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184</v>
      </c>
      <c r="R249"/>
      <c r="S249"/>
      <c r="T249"/>
    </row>
    <row r="250" spans="1:20" ht="14.5" customHeight="1" x14ac:dyDescent="0.35">
      <c r="A250">
        <v>90</v>
      </c>
      <c r="B250" t="s">
        <v>153</v>
      </c>
      <c r="C250">
        <v>3020633.56</v>
      </c>
      <c r="D250">
        <v>26901867.629999999</v>
      </c>
      <c r="E250">
        <v>2993598.85</v>
      </c>
      <c r="F250">
        <v>1</v>
      </c>
      <c r="G250">
        <v>2993598.85</v>
      </c>
      <c r="H250">
        <v>26459175.059999999</v>
      </c>
      <c r="I250">
        <v>1</v>
      </c>
      <c r="J250">
        <v>26459175.059999999</v>
      </c>
      <c r="K250">
        <v>0</v>
      </c>
      <c r="L250">
        <v>0</v>
      </c>
      <c r="M250">
        <v>27034.71</v>
      </c>
      <c r="N250">
        <v>442692.57</v>
      </c>
      <c r="O250">
        <v>3020633.56</v>
      </c>
      <c r="P250">
        <v>26901867.629999999</v>
      </c>
      <c r="Q250" t="s">
        <v>184</v>
      </c>
      <c r="R250"/>
      <c r="S250"/>
      <c r="T250"/>
    </row>
    <row r="251" spans="1:20" ht="14.5" customHeight="1" x14ac:dyDescent="0.35">
      <c r="A251">
        <v>100</v>
      </c>
      <c r="B251" t="s">
        <v>154</v>
      </c>
      <c r="C251">
        <v>19594.25</v>
      </c>
      <c r="D251">
        <v>136722.17000000001</v>
      </c>
      <c r="E251">
        <v>10568.79</v>
      </c>
      <c r="F251">
        <v>1</v>
      </c>
      <c r="G251">
        <v>10568.79</v>
      </c>
      <c r="H251">
        <v>198044.99</v>
      </c>
      <c r="I251">
        <v>1</v>
      </c>
      <c r="J251">
        <v>198044.99</v>
      </c>
      <c r="K251">
        <v>0</v>
      </c>
      <c r="L251">
        <v>0</v>
      </c>
      <c r="M251">
        <v>9025.4599999999991</v>
      </c>
      <c r="N251">
        <v>-61322.82</v>
      </c>
      <c r="O251">
        <v>19594.25</v>
      </c>
      <c r="P251">
        <v>136722.17000000001</v>
      </c>
      <c r="Q251" t="s">
        <v>184</v>
      </c>
      <c r="R251"/>
      <c r="S251"/>
      <c r="T251"/>
    </row>
    <row r="252" spans="1:20" ht="14.5" customHeight="1" x14ac:dyDescent="0.35">
      <c r="A252">
        <v>110</v>
      </c>
      <c r="B252" t="s">
        <v>155</v>
      </c>
      <c r="C252">
        <v>3040227.81</v>
      </c>
      <c r="D252">
        <v>27038589.800000001</v>
      </c>
      <c r="E252">
        <v>3004167.64</v>
      </c>
      <c r="F252">
        <v>1</v>
      </c>
      <c r="G252">
        <v>3004167.64</v>
      </c>
      <c r="H252">
        <v>26657220.050000001</v>
      </c>
      <c r="I252">
        <v>1</v>
      </c>
      <c r="J252">
        <v>26657220.050000001</v>
      </c>
      <c r="K252">
        <v>0</v>
      </c>
      <c r="L252">
        <v>0</v>
      </c>
      <c r="M252">
        <v>36060.17</v>
      </c>
      <c r="N252">
        <v>381369.75</v>
      </c>
      <c r="O252">
        <v>3040227.81</v>
      </c>
      <c r="P252">
        <v>27038589.800000001</v>
      </c>
      <c r="Q252" t="s">
        <v>184</v>
      </c>
      <c r="R252"/>
      <c r="S252"/>
      <c r="T252"/>
    </row>
    <row r="253" spans="1:20" ht="14.5" customHeight="1" x14ac:dyDescent="0.35">
      <c r="A253">
        <v>120</v>
      </c>
      <c r="B253" t="s">
        <v>156</v>
      </c>
      <c r="C253">
        <v>391619.21</v>
      </c>
      <c r="D253">
        <v>3728034.15</v>
      </c>
      <c r="E253">
        <v>254781.91</v>
      </c>
      <c r="F253">
        <v>1</v>
      </c>
      <c r="G253">
        <v>254781.91</v>
      </c>
      <c r="H253">
        <v>3089354.49</v>
      </c>
      <c r="I253">
        <v>1</v>
      </c>
      <c r="J253">
        <v>3089354.49</v>
      </c>
      <c r="K253">
        <v>0</v>
      </c>
      <c r="L253">
        <v>0</v>
      </c>
      <c r="M253">
        <v>136837.29999999999</v>
      </c>
      <c r="N253">
        <v>638679.66</v>
      </c>
      <c r="O253">
        <v>391619.21</v>
      </c>
      <c r="P253">
        <v>3728034.15</v>
      </c>
      <c r="Q253" t="s">
        <v>184</v>
      </c>
      <c r="R253"/>
      <c r="S253"/>
      <c r="T253"/>
    </row>
    <row r="254" spans="1:20" ht="14.5" customHeight="1" x14ac:dyDescent="0.35">
      <c r="A254">
        <v>130</v>
      </c>
      <c r="B254" t="s">
        <v>157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184</v>
      </c>
      <c r="R254"/>
      <c r="S254"/>
      <c r="T254"/>
    </row>
    <row r="255" spans="1:20" ht="14.5" customHeight="1" x14ac:dyDescent="0.35">
      <c r="A255">
        <v>135</v>
      </c>
      <c r="B255" t="s">
        <v>158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184</v>
      </c>
      <c r="R255"/>
      <c r="S255"/>
      <c r="T255"/>
    </row>
    <row r="256" spans="1:20" ht="14.5" customHeight="1" x14ac:dyDescent="0.35">
      <c r="A256">
        <v>140</v>
      </c>
      <c r="B256" t="s">
        <v>159</v>
      </c>
      <c r="C256">
        <v>3146.81</v>
      </c>
      <c r="D256">
        <v>28428.66</v>
      </c>
      <c r="E256">
        <v>2819.35</v>
      </c>
      <c r="F256">
        <v>1</v>
      </c>
      <c r="G256">
        <v>2819.35</v>
      </c>
      <c r="H256">
        <v>209141.19</v>
      </c>
      <c r="I256">
        <v>1</v>
      </c>
      <c r="J256">
        <v>209141.19</v>
      </c>
      <c r="K256">
        <v>0</v>
      </c>
      <c r="L256">
        <v>0</v>
      </c>
      <c r="M256">
        <v>327.45999999999998</v>
      </c>
      <c r="N256">
        <v>-180712.53</v>
      </c>
      <c r="O256">
        <v>3146.81</v>
      </c>
      <c r="P256">
        <v>28428.66</v>
      </c>
      <c r="Q256" t="s">
        <v>184</v>
      </c>
      <c r="R256"/>
      <c r="S256"/>
      <c r="T256"/>
    </row>
    <row r="257" spans="1:20" ht="14.5" customHeight="1" x14ac:dyDescent="0.35">
      <c r="A257">
        <v>150</v>
      </c>
      <c r="B257" t="s">
        <v>160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184</v>
      </c>
      <c r="R257"/>
      <c r="S257"/>
      <c r="T257"/>
    </row>
    <row r="258" spans="1:20" ht="14.5" customHeight="1" x14ac:dyDescent="0.35">
      <c r="A258">
        <v>155</v>
      </c>
      <c r="B258" t="s">
        <v>161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184</v>
      </c>
      <c r="R258"/>
      <c r="S258"/>
      <c r="T258"/>
    </row>
    <row r="259" spans="1:20" ht="14.5" customHeight="1" x14ac:dyDescent="0.35">
      <c r="A259">
        <v>160</v>
      </c>
      <c r="B259" t="s">
        <v>162</v>
      </c>
      <c r="C259">
        <v>3146.81</v>
      </c>
      <c r="D259">
        <v>28428.66</v>
      </c>
      <c r="E259">
        <v>2819.35</v>
      </c>
      <c r="F259">
        <v>1</v>
      </c>
      <c r="G259">
        <v>2819.35</v>
      </c>
      <c r="H259">
        <v>209141.19</v>
      </c>
      <c r="I259">
        <v>1</v>
      </c>
      <c r="J259">
        <v>209141.19</v>
      </c>
      <c r="K259">
        <v>0</v>
      </c>
      <c r="L259">
        <v>0</v>
      </c>
      <c r="M259">
        <v>327.45999999999998</v>
      </c>
      <c r="N259">
        <v>-180712.53</v>
      </c>
      <c r="O259">
        <v>3146.81</v>
      </c>
      <c r="P259">
        <v>28428.66</v>
      </c>
      <c r="Q259" t="s">
        <v>184</v>
      </c>
      <c r="R259"/>
      <c r="S259"/>
      <c r="T259"/>
    </row>
    <row r="260" spans="1:20" ht="14.5" customHeight="1" x14ac:dyDescent="0.35">
      <c r="A260">
        <v>170</v>
      </c>
      <c r="B260" t="s">
        <v>163</v>
      </c>
      <c r="C260">
        <v>388472.4</v>
      </c>
      <c r="D260">
        <v>3699605.49</v>
      </c>
      <c r="E260">
        <v>251962.56</v>
      </c>
      <c r="F260">
        <v>1</v>
      </c>
      <c r="G260">
        <v>251962.56</v>
      </c>
      <c r="H260">
        <v>2880213.3</v>
      </c>
      <c r="I260">
        <v>1</v>
      </c>
      <c r="J260">
        <v>2880213.3</v>
      </c>
      <c r="K260">
        <v>0</v>
      </c>
      <c r="L260">
        <v>0</v>
      </c>
      <c r="M260">
        <v>136509.84</v>
      </c>
      <c r="N260">
        <v>819392.19</v>
      </c>
      <c r="O260">
        <v>388472.4</v>
      </c>
      <c r="P260">
        <v>3699605.49</v>
      </c>
      <c r="Q260" t="s">
        <v>184</v>
      </c>
      <c r="R260"/>
      <c r="S260"/>
      <c r="T260"/>
    </row>
    <row r="261" spans="1:20" x14ac:dyDescent="0.35">
      <c r="A261">
        <v>180</v>
      </c>
      <c r="B261" t="s">
        <v>164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184</v>
      </c>
      <c r="R261"/>
      <c r="S261"/>
      <c r="T261"/>
    </row>
    <row r="262" spans="1:20" x14ac:dyDescent="0.35">
      <c r="A262">
        <v>190</v>
      </c>
      <c r="B262" t="s">
        <v>165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184</v>
      </c>
      <c r="R262"/>
      <c r="S262"/>
      <c r="T262"/>
    </row>
    <row r="263" spans="1:20" ht="14.5" customHeight="1" x14ac:dyDescent="0.35">
      <c r="A263">
        <v>200</v>
      </c>
      <c r="B263" t="s">
        <v>166</v>
      </c>
      <c r="C263">
        <v>388472.4</v>
      </c>
      <c r="D263">
        <v>3699605.49</v>
      </c>
      <c r="E263">
        <v>251962.56</v>
      </c>
      <c r="F263">
        <v>1</v>
      </c>
      <c r="G263">
        <v>251962.56</v>
      </c>
      <c r="H263">
        <v>2880213.3</v>
      </c>
      <c r="I263">
        <v>1</v>
      </c>
      <c r="J263">
        <v>2880213.3</v>
      </c>
      <c r="K263">
        <v>0</v>
      </c>
      <c r="L263">
        <v>0</v>
      </c>
      <c r="M263">
        <v>136509.84</v>
      </c>
      <c r="N263">
        <v>819392.19</v>
      </c>
      <c r="O263">
        <v>388472.4</v>
      </c>
      <c r="P263">
        <v>3699605.49</v>
      </c>
      <c r="Q263" t="s">
        <v>184</v>
      </c>
      <c r="R263"/>
      <c r="S263"/>
      <c r="T263"/>
    </row>
    <row r="264" spans="1:20" ht="14.5" customHeight="1" x14ac:dyDescent="0.35">
      <c r="A264">
        <v>210</v>
      </c>
      <c r="B264" t="s">
        <v>167</v>
      </c>
      <c r="C264">
        <v>411213.46</v>
      </c>
      <c r="D264">
        <v>3864756.32</v>
      </c>
      <c r="E264">
        <v>265350.7</v>
      </c>
      <c r="F264">
        <v>1</v>
      </c>
      <c r="G264">
        <v>265350.7</v>
      </c>
      <c r="H264">
        <v>3287399.48</v>
      </c>
      <c r="I264">
        <v>1</v>
      </c>
      <c r="J264">
        <v>3287399.48</v>
      </c>
      <c r="K264">
        <v>0</v>
      </c>
      <c r="L264">
        <v>0</v>
      </c>
      <c r="M264">
        <v>145862.76</v>
      </c>
      <c r="N264">
        <v>577356.84</v>
      </c>
      <c r="O264">
        <v>411213.46</v>
      </c>
      <c r="P264">
        <v>3864756.32</v>
      </c>
      <c r="Q264" t="s">
        <v>184</v>
      </c>
      <c r="R264"/>
      <c r="S264"/>
      <c r="T264"/>
    </row>
    <row r="265" spans="1:20" s="182" customFormat="1" x14ac:dyDescent="0.35">
      <c r="A265" t="s">
        <v>239</v>
      </c>
      <c r="B265" t="s">
        <v>172</v>
      </c>
      <c r="C265" t="s">
        <v>205</v>
      </c>
      <c r="D265" t="s">
        <v>206</v>
      </c>
      <c r="E265" t="s">
        <v>175</v>
      </c>
      <c r="F265" t="s">
        <v>207</v>
      </c>
      <c r="G265" t="s">
        <v>208</v>
      </c>
      <c r="H265" t="s">
        <v>209</v>
      </c>
      <c r="I265" t="s">
        <v>210</v>
      </c>
      <c r="J265" t="s">
        <v>211</v>
      </c>
      <c r="K265" t="s">
        <v>212</v>
      </c>
      <c r="L265" t="s">
        <v>213</v>
      </c>
      <c r="M265" t="s">
        <v>231</v>
      </c>
      <c r="N265" t="s">
        <v>235</v>
      </c>
      <c r="O265" t="s">
        <v>236</v>
      </c>
      <c r="P265" t="s">
        <v>237</v>
      </c>
      <c r="Q265" t="s">
        <v>183</v>
      </c>
      <c r="R265"/>
      <c r="S265"/>
      <c r="T265"/>
    </row>
    <row r="266" spans="1:20" ht="14.5" customHeight="1" x14ac:dyDescent="0.35">
      <c r="A266">
        <v>30</v>
      </c>
      <c r="B266" t="s">
        <v>147</v>
      </c>
      <c r="C266">
        <v>0</v>
      </c>
      <c r="D266">
        <v>0.89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0.89</v>
      </c>
      <c r="O266">
        <v>0</v>
      </c>
      <c r="P266">
        <v>0.89</v>
      </c>
      <c r="Q266" t="s">
        <v>184</v>
      </c>
      <c r="R266"/>
      <c r="S266"/>
      <c r="T266"/>
    </row>
    <row r="267" spans="1:20" ht="14.5" customHeight="1" x14ac:dyDescent="0.35">
      <c r="A267">
        <v>40</v>
      </c>
      <c r="B267" t="s">
        <v>148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184</v>
      </c>
      <c r="R267"/>
      <c r="S267"/>
      <c r="T267"/>
    </row>
    <row r="268" spans="1:20" x14ac:dyDescent="0.35">
      <c r="A268">
        <v>50</v>
      </c>
      <c r="B268" t="s">
        <v>149</v>
      </c>
      <c r="C268">
        <v>0</v>
      </c>
      <c r="D268">
        <v>0.89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0.89</v>
      </c>
      <c r="O268">
        <v>0</v>
      </c>
      <c r="P268">
        <v>0.89</v>
      </c>
      <c r="Q268" t="s">
        <v>184</v>
      </c>
      <c r="R268"/>
      <c r="S268"/>
      <c r="T268"/>
    </row>
    <row r="269" spans="1:20" x14ac:dyDescent="0.35">
      <c r="A269">
        <v>60</v>
      </c>
      <c r="B269" t="s">
        <v>150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184</v>
      </c>
      <c r="R269"/>
      <c r="S269"/>
      <c r="T269"/>
    </row>
    <row r="270" spans="1:20" x14ac:dyDescent="0.35">
      <c r="A270">
        <v>70</v>
      </c>
      <c r="B270" t="s">
        <v>151</v>
      </c>
      <c r="C270">
        <v>0</v>
      </c>
      <c r="D270">
        <v>0.89</v>
      </c>
      <c r="E270">
        <v>0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0.89</v>
      </c>
      <c r="O270">
        <v>0</v>
      </c>
      <c r="P270">
        <v>0.89</v>
      </c>
      <c r="Q270" t="s">
        <v>184</v>
      </c>
      <c r="R270"/>
      <c r="S270"/>
      <c r="T270"/>
    </row>
    <row r="271" spans="1:20" ht="14.5" customHeight="1" x14ac:dyDescent="0.35">
      <c r="A271">
        <v>80</v>
      </c>
      <c r="B271" t="s">
        <v>152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184</v>
      </c>
      <c r="R271"/>
      <c r="S271"/>
      <c r="T271"/>
    </row>
    <row r="272" spans="1:20" ht="14.5" customHeight="1" x14ac:dyDescent="0.35">
      <c r="A272">
        <v>90</v>
      </c>
      <c r="B272" t="s">
        <v>153</v>
      </c>
      <c r="C272">
        <v>4026.98</v>
      </c>
      <c r="D272">
        <v>24806.98</v>
      </c>
      <c r="E272">
        <v>250</v>
      </c>
      <c r="F272">
        <v>1</v>
      </c>
      <c r="G272">
        <v>250</v>
      </c>
      <c r="H272">
        <v>29578.83</v>
      </c>
      <c r="I272">
        <v>1</v>
      </c>
      <c r="J272">
        <v>29578.83</v>
      </c>
      <c r="K272">
        <v>0</v>
      </c>
      <c r="L272">
        <v>0</v>
      </c>
      <c r="M272">
        <v>3776.98</v>
      </c>
      <c r="N272">
        <v>-4771.8500000000004</v>
      </c>
      <c r="O272">
        <v>4026.98</v>
      </c>
      <c r="P272">
        <v>24806.98</v>
      </c>
      <c r="Q272" t="s">
        <v>184</v>
      </c>
      <c r="R272"/>
      <c r="S272"/>
      <c r="T272"/>
    </row>
    <row r="273" spans="1:20" ht="14.5" customHeight="1" x14ac:dyDescent="0.35">
      <c r="A273">
        <v>100</v>
      </c>
      <c r="B273" t="s">
        <v>154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184</v>
      </c>
      <c r="R273"/>
      <c r="S273"/>
      <c r="T273"/>
    </row>
    <row r="274" spans="1:20" ht="14.5" customHeight="1" x14ac:dyDescent="0.35">
      <c r="A274">
        <v>110</v>
      </c>
      <c r="B274" t="s">
        <v>155</v>
      </c>
      <c r="C274">
        <v>4026.98</v>
      </c>
      <c r="D274">
        <v>24806.98</v>
      </c>
      <c r="E274">
        <v>250</v>
      </c>
      <c r="F274">
        <v>1</v>
      </c>
      <c r="G274">
        <v>250</v>
      </c>
      <c r="H274">
        <v>29578.83</v>
      </c>
      <c r="I274">
        <v>1</v>
      </c>
      <c r="J274">
        <v>29578.83</v>
      </c>
      <c r="K274">
        <v>0</v>
      </c>
      <c r="L274">
        <v>0</v>
      </c>
      <c r="M274">
        <v>3776.98</v>
      </c>
      <c r="N274">
        <v>-4771.8500000000004</v>
      </c>
      <c r="O274">
        <v>4026.98</v>
      </c>
      <c r="P274">
        <v>24806.98</v>
      </c>
      <c r="Q274" t="s">
        <v>184</v>
      </c>
      <c r="R274"/>
      <c r="S274"/>
      <c r="T274"/>
    </row>
    <row r="275" spans="1:20" ht="14.5" customHeight="1" x14ac:dyDescent="0.35">
      <c r="A275">
        <v>120</v>
      </c>
      <c r="B275" t="s">
        <v>156</v>
      </c>
      <c r="C275">
        <v>-4026.98</v>
      </c>
      <c r="D275">
        <v>-24806.09</v>
      </c>
      <c r="E275">
        <v>-250</v>
      </c>
      <c r="F275">
        <v>1</v>
      </c>
      <c r="G275">
        <v>-250</v>
      </c>
      <c r="H275">
        <v>-29578.83</v>
      </c>
      <c r="I275">
        <v>1</v>
      </c>
      <c r="J275">
        <v>-29578.83</v>
      </c>
      <c r="K275">
        <v>0</v>
      </c>
      <c r="L275">
        <v>0</v>
      </c>
      <c r="M275">
        <v>-3776.98</v>
      </c>
      <c r="N275">
        <v>4772.74</v>
      </c>
      <c r="O275">
        <v>-4026.98</v>
      </c>
      <c r="P275">
        <v>-24806.09</v>
      </c>
      <c r="Q275" t="s">
        <v>184</v>
      </c>
      <c r="R275"/>
      <c r="S275"/>
      <c r="T275"/>
    </row>
    <row r="276" spans="1:20" ht="14.5" customHeight="1" x14ac:dyDescent="0.35">
      <c r="A276">
        <v>130</v>
      </c>
      <c r="B276" t="s">
        <v>157</v>
      </c>
      <c r="C276">
        <v>-533355.86</v>
      </c>
      <c r="D276">
        <v>-5680.04</v>
      </c>
      <c r="E276">
        <v>-368235.68</v>
      </c>
      <c r="F276">
        <v>1</v>
      </c>
      <c r="G276">
        <v>-368235.68</v>
      </c>
      <c r="H276">
        <v>-1594478.63</v>
      </c>
      <c r="I276">
        <v>1</v>
      </c>
      <c r="J276">
        <v>-1594478.63</v>
      </c>
      <c r="K276">
        <v>0</v>
      </c>
      <c r="L276">
        <v>0</v>
      </c>
      <c r="M276">
        <v>-165120.18</v>
      </c>
      <c r="N276">
        <v>1588798.59</v>
      </c>
      <c r="O276">
        <v>-533355.86</v>
      </c>
      <c r="P276">
        <v>-5680.04</v>
      </c>
      <c r="Q276" t="s">
        <v>184</v>
      </c>
      <c r="R276"/>
      <c r="S276"/>
      <c r="T276"/>
    </row>
    <row r="277" spans="1:20" ht="14.5" customHeight="1" x14ac:dyDescent="0.35">
      <c r="A277">
        <v>135</v>
      </c>
      <c r="B277" t="s">
        <v>158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184</v>
      </c>
      <c r="R277"/>
      <c r="S277"/>
      <c r="T277"/>
    </row>
    <row r="278" spans="1:20" ht="14.5" customHeight="1" x14ac:dyDescent="0.35">
      <c r="A278">
        <v>140</v>
      </c>
      <c r="B278" t="s">
        <v>159</v>
      </c>
      <c r="C278">
        <v>121477.42</v>
      </c>
      <c r="D278">
        <v>1412019.24</v>
      </c>
      <c r="E278">
        <v>137132.71</v>
      </c>
      <c r="F278">
        <v>1</v>
      </c>
      <c r="G278">
        <v>137132.71</v>
      </c>
      <c r="H278">
        <v>1305198.44</v>
      </c>
      <c r="I278">
        <v>1</v>
      </c>
      <c r="J278">
        <v>1305198.44</v>
      </c>
      <c r="K278">
        <v>0</v>
      </c>
      <c r="L278">
        <v>0</v>
      </c>
      <c r="M278">
        <v>-15655.29</v>
      </c>
      <c r="N278">
        <v>106820.8</v>
      </c>
      <c r="O278">
        <v>121477.42</v>
      </c>
      <c r="P278">
        <v>1412019.24</v>
      </c>
      <c r="Q278" t="s">
        <v>184</v>
      </c>
      <c r="R278"/>
      <c r="S278"/>
      <c r="T278"/>
    </row>
    <row r="279" spans="1:20" ht="14.5" customHeight="1" x14ac:dyDescent="0.35">
      <c r="A279">
        <v>150</v>
      </c>
      <c r="B279" t="s">
        <v>160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184</v>
      </c>
      <c r="R279"/>
      <c r="S279"/>
      <c r="T279"/>
    </row>
    <row r="280" spans="1:20" ht="14.5" customHeight="1" x14ac:dyDescent="0.35">
      <c r="A280">
        <v>155</v>
      </c>
      <c r="B280" t="s">
        <v>161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184</v>
      </c>
      <c r="R280"/>
      <c r="S280"/>
      <c r="T280"/>
    </row>
    <row r="281" spans="1:20" ht="14.5" customHeight="1" x14ac:dyDescent="0.35">
      <c r="A281">
        <v>160</v>
      </c>
      <c r="B281" t="s">
        <v>162</v>
      </c>
      <c r="C281">
        <v>-411878.44</v>
      </c>
      <c r="D281">
        <v>1406339.2</v>
      </c>
      <c r="E281">
        <v>-231102.97</v>
      </c>
      <c r="F281">
        <v>1</v>
      </c>
      <c r="G281">
        <v>-231102.97</v>
      </c>
      <c r="H281">
        <v>-289280.19</v>
      </c>
      <c r="I281">
        <v>1</v>
      </c>
      <c r="J281">
        <v>-289280.19</v>
      </c>
      <c r="K281">
        <v>0</v>
      </c>
      <c r="L281">
        <v>0</v>
      </c>
      <c r="M281">
        <v>-180775.47</v>
      </c>
      <c r="N281">
        <v>1695619.39</v>
      </c>
      <c r="O281">
        <v>-411878.44</v>
      </c>
      <c r="P281">
        <v>1406339.2</v>
      </c>
      <c r="Q281" t="s">
        <v>184</v>
      </c>
      <c r="R281"/>
      <c r="S281"/>
      <c r="T281"/>
    </row>
    <row r="282" spans="1:20" ht="14.5" customHeight="1" x14ac:dyDescent="0.35">
      <c r="A282">
        <v>170</v>
      </c>
      <c r="B282" t="s">
        <v>163</v>
      </c>
      <c r="C282">
        <v>407851.46</v>
      </c>
      <c r="D282">
        <v>-1431145.29</v>
      </c>
      <c r="E282">
        <v>230852.97</v>
      </c>
      <c r="F282">
        <v>1</v>
      </c>
      <c r="G282">
        <v>230852.97</v>
      </c>
      <c r="H282">
        <v>259701.36</v>
      </c>
      <c r="I282">
        <v>1</v>
      </c>
      <c r="J282">
        <v>259701.36</v>
      </c>
      <c r="K282">
        <v>0</v>
      </c>
      <c r="L282">
        <v>0</v>
      </c>
      <c r="M282">
        <v>176998.49</v>
      </c>
      <c r="N282">
        <v>-1690846.65</v>
      </c>
      <c r="O282">
        <v>407851.46</v>
      </c>
      <c r="P282">
        <v>-1431145.29</v>
      </c>
      <c r="Q282" t="s">
        <v>184</v>
      </c>
      <c r="R282"/>
      <c r="S282"/>
      <c r="T282"/>
    </row>
    <row r="283" spans="1:20" x14ac:dyDescent="0.35">
      <c r="A283">
        <v>180</v>
      </c>
      <c r="B283" t="s">
        <v>164</v>
      </c>
      <c r="C283">
        <v>6259.09</v>
      </c>
      <c r="D283">
        <v>72753.86</v>
      </c>
      <c r="E283">
        <v>7065.72</v>
      </c>
      <c r="F283">
        <v>1</v>
      </c>
      <c r="G283">
        <v>7065.72</v>
      </c>
      <c r="H283">
        <v>67249.97</v>
      </c>
      <c r="I283">
        <v>1</v>
      </c>
      <c r="J283">
        <v>67249.97</v>
      </c>
      <c r="K283">
        <v>0</v>
      </c>
      <c r="L283">
        <v>0</v>
      </c>
      <c r="M283">
        <v>-806.63</v>
      </c>
      <c r="N283">
        <v>5503.89</v>
      </c>
      <c r="O283">
        <v>6259.09</v>
      </c>
      <c r="P283">
        <v>72753.86</v>
      </c>
      <c r="Q283" t="s">
        <v>184</v>
      </c>
      <c r="R283"/>
      <c r="S283"/>
      <c r="T283"/>
    </row>
    <row r="284" spans="1:20" x14ac:dyDescent="0.35">
      <c r="A284">
        <v>190</v>
      </c>
      <c r="B284" t="s">
        <v>165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184</v>
      </c>
      <c r="R284"/>
      <c r="S284"/>
      <c r="T284"/>
    </row>
    <row r="285" spans="1:20" ht="14.5" customHeight="1" x14ac:dyDescent="0.35">
      <c r="A285">
        <v>200</v>
      </c>
      <c r="B285" t="s">
        <v>166</v>
      </c>
      <c r="C285">
        <v>401592.37</v>
      </c>
      <c r="D285">
        <v>-1503899.15</v>
      </c>
      <c r="E285">
        <v>223787.25</v>
      </c>
      <c r="F285">
        <v>1</v>
      </c>
      <c r="G285">
        <v>223787.25</v>
      </c>
      <c r="H285">
        <v>192451.39</v>
      </c>
      <c r="I285">
        <v>1</v>
      </c>
      <c r="J285">
        <v>192451.39</v>
      </c>
      <c r="K285">
        <v>0</v>
      </c>
      <c r="L285">
        <v>0</v>
      </c>
      <c r="M285">
        <v>177805.12</v>
      </c>
      <c r="N285">
        <v>-1696350.54</v>
      </c>
      <c r="O285">
        <v>401592.37</v>
      </c>
      <c r="P285">
        <v>-1503899.15</v>
      </c>
      <c r="Q285" t="s">
        <v>184</v>
      </c>
      <c r="R285"/>
      <c r="S285"/>
      <c r="T285"/>
    </row>
    <row r="286" spans="1:20" ht="14.5" customHeight="1" x14ac:dyDescent="0.35">
      <c r="A286">
        <v>210</v>
      </c>
      <c r="B286" t="s">
        <v>167</v>
      </c>
      <c r="C286">
        <v>-4026.98</v>
      </c>
      <c r="D286">
        <v>-24806.09</v>
      </c>
      <c r="E286">
        <v>-250</v>
      </c>
      <c r="F286">
        <v>1</v>
      </c>
      <c r="G286">
        <v>-250</v>
      </c>
      <c r="H286">
        <v>-29578.83</v>
      </c>
      <c r="I286">
        <v>1</v>
      </c>
      <c r="J286">
        <v>-29578.83</v>
      </c>
      <c r="K286">
        <v>0</v>
      </c>
      <c r="L286">
        <v>0</v>
      </c>
      <c r="M286">
        <v>-3776.98</v>
      </c>
      <c r="N286">
        <v>4772.74</v>
      </c>
      <c r="O286">
        <v>-4026.98</v>
      </c>
      <c r="P286">
        <v>-24806.09</v>
      </c>
      <c r="Q286" t="s">
        <v>184</v>
      </c>
      <c r="R286"/>
      <c r="S286"/>
      <c r="T286"/>
    </row>
    <row r="287" spans="1:20" s="183" customFormat="1" x14ac:dyDescent="0.35">
      <c r="A287" t="s">
        <v>240</v>
      </c>
      <c r="B287" t="s">
        <v>172</v>
      </c>
      <c r="C287" t="s">
        <v>205</v>
      </c>
      <c r="D287" t="s">
        <v>206</v>
      </c>
      <c r="E287" t="s">
        <v>175</v>
      </c>
      <c r="F287" t="s">
        <v>207</v>
      </c>
      <c r="G287" t="s">
        <v>208</v>
      </c>
      <c r="H287" t="s">
        <v>209</v>
      </c>
      <c r="I287" t="s">
        <v>210</v>
      </c>
      <c r="J287" t="s">
        <v>211</v>
      </c>
      <c r="K287" t="s">
        <v>212</v>
      </c>
      <c r="L287" t="s">
        <v>213</v>
      </c>
      <c r="M287" t="s">
        <v>231</v>
      </c>
      <c r="N287" t="s">
        <v>235</v>
      </c>
      <c r="O287" t="s">
        <v>236</v>
      </c>
      <c r="P287" t="s">
        <v>237</v>
      </c>
      <c r="Q287" t="s">
        <v>225</v>
      </c>
      <c r="R287" t="s">
        <v>183</v>
      </c>
      <c r="S287"/>
      <c r="T287"/>
    </row>
    <row r="288" spans="1:20" ht="14.5" customHeight="1" x14ac:dyDescent="0.35">
      <c r="A288">
        <v>30</v>
      </c>
      <c r="B288" t="s">
        <v>147</v>
      </c>
      <c r="C288">
        <v>29084739.43</v>
      </c>
      <c r="D288">
        <v>259861748.61000001</v>
      </c>
      <c r="E288">
        <v>17085262.780000001</v>
      </c>
      <c r="F288">
        <v>1</v>
      </c>
      <c r="G288">
        <v>17085262.780000001</v>
      </c>
      <c r="H288">
        <v>170337011.09</v>
      </c>
      <c r="I288">
        <v>1</v>
      </c>
      <c r="J288">
        <v>170337011.09</v>
      </c>
      <c r="K288">
        <v>18316952</v>
      </c>
      <c r="L288">
        <v>192911184</v>
      </c>
      <c r="M288">
        <v>11999476.65</v>
      </c>
      <c r="N288">
        <v>89524737.519999996</v>
      </c>
      <c r="O288">
        <v>10767787.43</v>
      </c>
      <c r="P288">
        <v>66950564.609999999</v>
      </c>
      <c r="Q288">
        <v>22925625</v>
      </c>
      <c r="R288" t="s">
        <v>184</v>
      </c>
      <c r="S288"/>
      <c r="T288"/>
    </row>
    <row r="289" spans="1:20" ht="14.5" customHeight="1" x14ac:dyDescent="0.35">
      <c r="A289">
        <v>40</v>
      </c>
      <c r="B289" t="s">
        <v>148</v>
      </c>
      <c r="C289">
        <v>104528.79</v>
      </c>
      <c r="D289">
        <v>1074883.5900000001</v>
      </c>
      <c r="E289">
        <v>91229.75</v>
      </c>
      <c r="F289">
        <v>1</v>
      </c>
      <c r="G289">
        <v>91229.75</v>
      </c>
      <c r="H289">
        <v>869774.41</v>
      </c>
      <c r="I289">
        <v>1</v>
      </c>
      <c r="J289">
        <v>869774.41</v>
      </c>
      <c r="K289">
        <v>0</v>
      </c>
      <c r="L289">
        <v>0</v>
      </c>
      <c r="M289">
        <v>13299.04</v>
      </c>
      <c r="N289">
        <v>205109.18</v>
      </c>
      <c r="O289">
        <v>104528.79</v>
      </c>
      <c r="P289">
        <v>1074883.5900000001</v>
      </c>
      <c r="Q289">
        <v>0</v>
      </c>
      <c r="R289" t="s">
        <v>184</v>
      </c>
      <c r="S289"/>
      <c r="T289"/>
    </row>
    <row r="290" spans="1:20" x14ac:dyDescent="0.35">
      <c r="A290">
        <v>50</v>
      </c>
      <c r="B290" t="s">
        <v>149</v>
      </c>
      <c r="C290">
        <v>28980210.640000001</v>
      </c>
      <c r="D290">
        <v>258786865.02000001</v>
      </c>
      <c r="E290">
        <v>16994033.030000001</v>
      </c>
      <c r="F290">
        <v>1</v>
      </c>
      <c r="G290">
        <v>16994033.030000001</v>
      </c>
      <c r="H290">
        <v>169467236.68000001</v>
      </c>
      <c r="I290">
        <v>1</v>
      </c>
      <c r="J290">
        <v>169467236.68000001</v>
      </c>
      <c r="K290">
        <v>18316952</v>
      </c>
      <c r="L290">
        <v>192911184</v>
      </c>
      <c r="M290">
        <v>11986177.609999999</v>
      </c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184</v>
      </c>
      <c r="S290"/>
      <c r="T290"/>
    </row>
    <row r="291" spans="1:20" x14ac:dyDescent="0.35">
      <c r="A291">
        <v>60</v>
      </c>
      <c r="B291" t="s">
        <v>150</v>
      </c>
      <c r="C291">
        <v>21659256.350000001</v>
      </c>
      <c r="D291">
        <v>189150176.21000001</v>
      </c>
      <c r="E291">
        <v>11156746.49</v>
      </c>
      <c r="F291">
        <v>1</v>
      </c>
      <c r="G291">
        <v>11156746.49</v>
      </c>
      <c r="H291">
        <v>110343619.13</v>
      </c>
      <c r="I291">
        <v>1</v>
      </c>
      <c r="J291">
        <v>110343619.13</v>
      </c>
      <c r="K291">
        <v>11333126</v>
      </c>
      <c r="L291">
        <v>122835314</v>
      </c>
      <c r="M291">
        <v>10502509.859999999</v>
      </c>
      <c r="N291">
        <v>78806557.079999998</v>
      </c>
      <c r="O291">
        <v>10326130.35</v>
      </c>
      <c r="P291">
        <v>66314862.210000001</v>
      </c>
      <c r="Q291">
        <v>14972847</v>
      </c>
      <c r="R291" t="s">
        <v>184</v>
      </c>
      <c r="S291"/>
      <c r="T291"/>
    </row>
    <row r="292" spans="1:20" x14ac:dyDescent="0.35">
      <c r="A292">
        <v>70</v>
      </c>
      <c r="B292" t="s">
        <v>151</v>
      </c>
      <c r="C292">
        <v>7320954.29</v>
      </c>
      <c r="D292">
        <v>69636688.810000002</v>
      </c>
      <c r="E292">
        <v>5837286.54</v>
      </c>
      <c r="F292">
        <v>1</v>
      </c>
      <c r="G292">
        <v>5837286.54</v>
      </c>
      <c r="H292">
        <v>59123617.549999997</v>
      </c>
      <c r="I292">
        <v>1</v>
      </c>
      <c r="J292">
        <v>59123617.549999997</v>
      </c>
      <c r="K292">
        <v>6983826</v>
      </c>
      <c r="L292">
        <v>70075870</v>
      </c>
      <c r="M292">
        <v>1483667.75</v>
      </c>
      <c r="N292">
        <v>10513071.26</v>
      </c>
      <c r="O292">
        <v>337128.29</v>
      </c>
      <c r="P292">
        <v>-439181.19</v>
      </c>
      <c r="Q292">
        <v>7952778</v>
      </c>
      <c r="R292" t="s">
        <v>184</v>
      </c>
      <c r="S292"/>
      <c r="T292"/>
    </row>
    <row r="293" spans="1:20" ht="14.5" customHeight="1" x14ac:dyDescent="0.35">
      <c r="A293">
        <v>80</v>
      </c>
      <c r="B293" t="s">
        <v>152</v>
      </c>
      <c r="C293">
        <v>3388970.86</v>
      </c>
      <c r="D293">
        <v>31837839.789999999</v>
      </c>
      <c r="E293">
        <v>3223721.16</v>
      </c>
      <c r="F293">
        <v>1</v>
      </c>
      <c r="G293">
        <v>3223721.16</v>
      </c>
      <c r="H293">
        <v>28237347.199999999</v>
      </c>
      <c r="I293">
        <v>1</v>
      </c>
      <c r="J293">
        <v>28237347.199999999</v>
      </c>
      <c r="K293">
        <v>3280660</v>
      </c>
      <c r="L293">
        <v>30703440</v>
      </c>
      <c r="M293">
        <v>165249.70000000001</v>
      </c>
      <c r="N293">
        <v>3600492.59</v>
      </c>
      <c r="O293">
        <v>108310.86</v>
      </c>
      <c r="P293">
        <v>1134399.79</v>
      </c>
      <c r="Q293">
        <v>3280660</v>
      </c>
      <c r="R293" t="s">
        <v>184</v>
      </c>
      <c r="S293"/>
      <c r="T293"/>
    </row>
    <row r="294" spans="1:20" ht="14.5" customHeight="1" x14ac:dyDescent="0.35">
      <c r="A294">
        <v>90</v>
      </c>
      <c r="B294" t="s">
        <v>153</v>
      </c>
      <c r="C294">
        <v>2576498.56</v>
      </c>
      <c r="D294">
        <v>24073682.370000001</v>
      </c>
      <c r="E294">
        <v>2622564.5299999998</v>
      </c>
      <c r="F294">
        <v>1</v>
      </c>
      <c r="G294">
        <v>2622564.5299999998</v>
      </c>
      <c r="H294">
        <v>24155173.98</v>
      </c>
      <c r="I294">
        <v>1</v>
      </c>
      <c r="J294">
        <v>24155173.98</v>
      </c>
      <c r="K294">
        <v>2796308</v>
      </c>
      <c r="L294">
        <v>25166772</v>
      </c>
      <c r="M294">
        <v>-46065.97</v>
      </c>
      <c r="N294">
        <v>-81491.61</v>
      </c>
      <c r="O294">
        <v>-219809.44</v>
      </c>
      <c r="P294">
        <v>-1093089.6299999999</v>
      </c>
      <c r="Q294">
        <v>2796308</v>
      </c>
      <c r="R294" t="s">
        <v>184</v>
      </c>
      <c r="S294"/>
      <c r="T294"/>
    </row>
    <row r="295" spans="1:20" ht="14.5" customHeight="1" x14ac:dyDescent="0.35">
      <c r="A295">
        <v>100</v>
      </c>
      <c r="B295" t="s">
        <v>154</v>
      </c>
      <c r="C295">
        <v>348645.84</v>
      </c>
      <c r="D295">
        <v>3017191.84</v>
      </c>
      <c r="E295">
        <v>315838.39</v>
      </c>
      <c r="F295">
        <v>1</v>
      </c>
      <c r="G295">
        <v>315838.39</v>
      </c>
      <c r="H295">
        <v>2652328.14</v>
      </c>
      <c r="I295">
        <v>1</v>
      </c>
      <c r="J295">
        <v>2652328.14</v>
      </c>
      <c r="K295">
        <v>273544</v>
      </c>
      <c r="L295">
        <v>2461896</v>
      </c>
      <c r="M295">
        <v>32807.449999999997</v>
      </c>
      <c r="N295">
        <v>364863.7</v>
      </c>
      <c r="O295">
        <v>75101.84</v>
      </c>
      <c r="P295">
        <v>555295.84</v>
      </c>
      <c r="Q295">
        <v>273544</v>
      </c>
      <c r="R295" t="s">
        <v>184</v>
      </c>
      <c r="S295"/>
      <c r="T295"/>
    </row>
    <row r="296" spans="1:20" ht="14.5" customHeight="1" x14ac:dyDescent="0.35">
      <c r="A296">
        <v>110</v>
      </c>
      <c r="B296" t="s">
        <v>155</v>
      </c>
      <c r="C296">
        <v>6314115.2599999998</v>
      </c>
      <c r="D296">
        <v>58928714</v>
      </c>
      <c r="E296">
        <v>6162124.0800000001</v>
      </c>
      <c r="F296">
        <v>1</v>
      </c>
      <c r="G296">
        <v>6162124.0800000001</v>
      </c>
      <c r="H296">
        <v>55044849.32</v>
      </c>
      <c r="I296">
        <v>1</v>
      </c>
      <c r="J296">
        <v>55044849.32</v>
      </c>
      <c r="K296">
        <v>6350512</v>
      </c>
      <c r="L296">
        <v>58332108</v>
      </c>
      <c r="M296">
        <v>151991.18</v>
      </c>
      <c r="N296">
        <v>3883864.68</v>
      </c>
      <c r="O296">
        <v>-36396.74</v>
      </c>
      <c r="P296">
        <v>596606</v>
      </c>
      <c r="Q296">
        <v>6350512</v>
      </c>
      <c r="R296" t="s">
        <v>184</v>
      </c>
      <c r="S296"/>
      <c r="T296"/>
    </row>
    <row r="297" spans="1:20" ht="14.5" customHeight="1" x14ac:dyDescent="0.35">
      <c r="A297">
        <v>120</v>
      </c>
      <c r="B297" t="s">
        <v>156</v>
      </c>
      <c r="C297">
        <v>1006839.03</v>
      </c>
      <c r="D297">
        <v>10707974.810000001</v>
      </c>
      <c r="E297">
        <v>-324837.53999999998</v>
      </c>
      <c r="F297">
        <v>1</v>
      </c>
      <c r="G297">
        <v>-324837.53999999998</v>
      </c>
      <c r="H297">
        <v>4078768.23</v>
      </c>
      <c r="I297">
        <v>1</v>
      </c>
      <c r="J297">
        <v>4078768.23</v>
      </c>
      <c r="K297">
        <v>633314</v>
      </c>
      <c r="L297">
        <v>11743762</v>
      </c>
      <c r="M297">
        <v>1331676.57</v>
      </c>
      <c r="N297">
        <v>6629206.5800000001</v>
      </c>
      <c r="O297">
        <v>373525.03</v>
      </c>
      <c r="P297">
        <v>-1035787.19</v>
      </c>
      <c r="Q297">
        <v>1602266</v>
      </c>
      <c r="R297" t="s">
        <v>184</v>
      </c>
      <c r="S297"/>
      <c r="T297"/>
    </row>
    <row r="298" spans="1:20" ht="14.5" customHeight="1" x14ac:dyDescent="0.35">
      <c r="A298">
        <v>130</v>
      </c>
      <c r="B298" t="s">
        <v>157</v>
      </c>
      <c r="C298">
        <v>960.61</v>
      </c>
      <c r="D298">
        <v>4007.82</v>
      </c>
      <c r="E298">
        <v>1598.77</v>
      </c>
      <c r="F298">
        <v>1</v>
      </c>
      <c r="G298">
        <v>1598.77</v>
      </c>
      <c r="H298">
        <v>9244.0400000000009</v>
      </c>
      <c r="I298">
        <v>1</v>
      </c>
      <c r="J298">
        <v>9244.0400000000009</v>
      </c>
      <c r="K298">
        <v>0</v>
      </c>
      <c r="L298">
        <v>0</v>
      </c>
      <c r="M298">
        <v>-638.16</v>
      </c>
      <c r="N298">
        <v>-5236.22</v>
      </c>
      <c r="O298">
        <v>960.61</v>
      </c>
      <c r="P298">
        <v>4007.82</v>
      </c>
      <c r="Q298">
        <v>0</v>
      </c>
      <c r="R298" t="s">
        <v>184</v>
      </c>
      <c r="S298"/>
      <c r="T298"/>
    </row>
    <row r="299" spans="1:20" ht="14.5" customHeight="1" x14ac:dyDescent="0.35">
      <c r="A299">
        <v>135</v>
      </c>
      <c r="B299" t="s">
        <v>158</v>
      </c>
      <c r="C299">
        <v>-1121049.1299999999</v>
      </c>
      <c r="D299">
        <v>-4199142.25</v>
      </c>
      <c r="E299">
        <v>-258178.66</v>
      </c>
      <c r="F299">
        <v>1</v>
      </c>
      <c r="G299">
        <v>-258178.66</v>
      </c>
      <c r="H299">
        <v>-3143834.34</v>
      </c>
      <c r="I299">
        <v>1</v>
      </c>
      <c r="J299">
        <v>-3143834.34</v>
      </c>
      <c r="K299">
        <v>0</v>
      </c>
      <c r="L299">
        <v>0</v>
      </c>
      <c r="M299">
        <v>-862870.47</v>
      </c>
      <c r="N299">
        <v>-1055307.9099999999</v>
      </c>
      <c r="O299">
        <v>-1121049.1299999999</v>
      </c>
      <c r="P299">
        <v>-4199142.25</v>
      </c>
      <c r="Q299">
        <v>0</v>
      </c>
      <c r="R299" t="s">
        <v>184</v>
      </c>
      <c r="S299"/>
      <c r="T299"/>
    </row>
    <row r="300" spans="1:20" ht="14.5" customHeight="1" x14ac:dyDescent="0.35">
      <c r="A300">
        <v>140</v>
      </c>
      <c r="B300" t="s">
        <v>159</v>
      </c>
      <c r="C300">
        <v>144883.79</v>
      </c>
      <c r="D300">
        <v>872460.98</v>
      </c>
      <c r="E300">
        <v>105389.79</v>
      </c>
      <c r="F300">
        <v>1</v>
      </c>
      <c r="G300">
        <v>105389.79</v>
      </c>
      <c r="H300">
        <v>1128973.72</v>
      </c>
      <c r="I300">
        <v>1</v>
      </c>
      <c r="J300">
        <v>1128973.72</v>
      </c>
      <c r="K300">
        <v>121040</v>
      </c>
      <c r="L300">
        <v>1078394</v>
      </c>
      <c r="M300">
        <v>39494</v>
      </c>
      <c r="N300">
        <v>-256512.74</v>
      </c>
      <c r="O300">
        <v>23843.79</v>
      </c>
      <c r="P300">
        <v>-205933.02</v>
      </c>
      <c r="Q300">
        <v>110327</v>
      </c>
      <c r="R300" t="s">
        <v>184</v>
      </c>
      <c r="S300"/>
      <c r="T300"/>
    </row>
    <row r="301" spans="1:20" ht="14.5" customHeight="1" x14ac:dyDescent="0.35">
      <c r="A301">
        <v>150</v>
      </c>
      <c r="B301" t="s">
        <v>160</v>
      </c>
      <c r="C301">
        <v>0.12</v>
      </c>
      <c r="D301">
        <v>1.23</v>
      </c>
      <c r="E301">
        <v>0.13</v>
      </c>
      <c r="F301">
        <v>1</v>
      </c>
      <c r="G301">
        <v>0.13</v>
      </c>
      <c r="H301">
        <v>1.17</v>
      </c>
      <c r="I301">
        <v>1</v>
      </c>
      <c r="J301">
        <v>1.17</v>
      </c>
      <c r="K301">
        <v>109501</v>
      </c>
      <c r="L301">
        <v>573547</v>
      </c>
      <c r="M301">
        <v>-0.01</v>
      </c>
      <c r="N301">
        <v>0.06</v>
      </c>
      <c r="O301">
        <v>-109500.88</v>
      </c>
      <c r="P301">
        <v>-573545.77</v>
      </c>
      <c r="Q301">
        <v>119273</v>
      </c>
      <c r="R301" t="s">
        <v>184</v>
      </c>
      <c r="S301"/>
      <c r="T301"/>
    </row>
    <row r="302" spans="1:20" ht="14.5" customHeight="1" x14ac:dyDescent="0.35">
      <c r="A302">
        <v>155</v>
      </c>
      <c r="B302" t="s">
        <v>161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184</v>
      </c>
      <c r="S302"/>
      <c r="T302"/>
    </row>
    <row r="303" spans="1:20" ht="14.5" customHeight="1" x14ac:dyDescent="0.35">
      <c r="A303">
        <v>160</v>
      </c>
      <c r="B303" t="s">
        <v>162</v>
      </c>
      <c r="C303">
        <v>-975204.85</v>
      </c>
      <c r="D303">
        <v>-3322674.68</v>
      </c>
      <c r="E303">
        <v>-151190.23000000001</v>
      </c>
      <c r="F303">
        <v>1</v>
      </c>
      <c r="G303">
        <v>-151190.23000000001</v>
      </c>
      <c r="H303">
        <v>-2005617.75</v>
      </c>
      <c r="I303">
        <v>1</v>
      </c>
      <c r="J303">
        <v>-2005617.75</v>
      </c>
      <c r="K303">
        <v>11539</v>
      </c>
      <c r="L303">
        <v>504847</v>
      </c>
      <c r="M303">
        <v>-824014.62</v>
      </c>
      <c r="N303">
        <v>-1317056.93</v>
      </c>
      <c r="O303">
        <v>-986743.85</v>
      </c>
      <c r="P303">
        <v>-3827521.68</v>
      </c>
      <c r="Q303">
        <v>-8946</v>
      </c>
      <c r="R303" t="s">
        <v>184</v>
      </c>
      <c r="S303"/>
      <c r="T303"/>
    </row>
    <row r="304" spans="1:20" ht="14.5" customHeight="1" x14ac:dyDescent="0.35">
      <c r="A304">
        <v>170</v>
      </c>
      <c r="B304" t="s">
        <v>163</v>
      </c>
      <c r="C304">
        <v>1982043.88</v>
      </c>
      <c r="D304">
        <v>14030649.49</v>
      </c>
      <c r="E304">
        <v>-173647.31</v>
      </c>
      <c r="F304">
        <v>1</v>
      </c>
      <c r="G304">
        <v>-173647.31</v>
      </c>
      <c r="H304">
        <v>6084385.9800000004</v>
      </c>
      <c r="I304">
        <v>1</v>
      </c>
      <c r="J304">
        <v>6084385.9800000004</v>
      </c>
      <c r="K304">
        <v>621775</v>
      </c>
      <c r="L304">
        <v>11238915</v>
      </c>
      <c r="M304">
        <v>2155691.19</v>
      </c>
      <c r="N304">
        <v>7946263.5099999998</v>
      </c>
      <c r="O304">
        <v>1360268.88</v>
      </c>
      <c r="P304">
        <v>2791734.49</v>
      </c>
      <c r="Q304">
        <v>1611212</v>
      </c>
      <c r="R304" t="s">
        <v>184</v>
      </c>
      <c r="S304"/>
      <c r="T304"/>
    </row>
    <row r="305" spans="1:20" x14ac:dyDescent="0.35">
      <c r="A305">
        <v>180</v>
      </c>
      <c r="B305" t="s">
        <v>164</v>
      </c>
      <c r="C305">
        <v>459430</v>
      </c>
      <c r="D305">
        <v>4483495.75</v>
      </c>
      <c r="E305">
        <v>398552.29</v>
      </c>
      <c r="F305">
        <v>1</v>
      </c>
      <c r="G305">
        <v>398552.29</v>
      </c>
      <c r="H305">
        <v>3599368.58</v>
      </c>
      <c r="I305">
        <v>1</v>
      </c>
      <c r="J305">
        <v>3599368.58</v>
      </c>
      <c r="K305">
        <v>399930</v>
      </c>
      <c r="L305">
        <v>3599370</v>
      </c>
      <c r="M305">
        <v>60877.71</v>
      </c>
      <c r="N305">
        <v>884127.17</v>
      </c>
      <c r="O305">
        <v>59500</v>
      </c>
      <c r="P305">
        <v>884125.75</v>
      </c>
      <c r="Q305">
        <v>399930</v>
      </c>
      <c r="R305" t="s">
        <v>184</v>
      </c>
      <c r="S305"/>
      <c r="T305"/>
    </row>
    <row r="306" spans="1:20" x14ac:dyDescent="0.35">
      <c r="A306">
        <v>190</v>
      </c>
      <c r="B306" t="s">
        <v>165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184</v>
      </c>
      <c r="S306"/>
      <c r="T306"/>
    </row>
    <row r="307" spans="1:20" ht="14.5" customHeight="1" x14ac:dyDescent="0.35">
      <c r="A307">
        <v>200</v>
      </c>
      <c r="B307" t="s">
        <v>166</v>
      </c>
      <c r="C307">
        <v>1522613.88</v>
      </c>
      <c r="D307">
        <v>9547153.7400000002</v>
      </c>
      <c r="E307">
        <v>-572199.6</v>
      </c>
      <c r="F307">
        <v>1</v>
      </c>
      <c r="G307">
        <v>-572199.6</v>
      </c>
      <c r="H307">
        <v>2485017.4</v>
      </c>
      <c r="I307">
        <v>1</v>
      </c>
      <c r="J307">
        <v>2485017.4</v>
      </c>
      <c r="K307">
        <v>221845</v>
      </c>
      <c r="L307">
        <v>7639545</v>
      </c>
      <c r="M307">
        <v>2094813.48</v>
      </c>
      <c r="N307">
        <v>7062136.3399999999</v>
      </c>
      <c r="O307">
        <v>1300768.8799999999</v>
      </c>
      <c r="P307">
        <v>1907608.74</v>
      </c>
      <c r="Q307">
        <v>1211282</v>
      </c>
      <c r="R307" t="s">
        <v>184</v>
      </c>
      <c r="S307"/>
      <c r="T307"/>
    </row>
    <row r="308" spans="1:20" ht="14.5" customHeight="1" x14ac:dyDescent="0.35">
      <c r="A308">
        <v>210</v>
      </c>
      <c r="B308" t="s">
        <v>167</v>
      </c>
      <c r="C308">
        <v>1355484.87</v>
      </c>
      <c r="D308">
        <v>13725166.65</v>
      </c>
      <c r="E308">
        <v>-8999.15</v>
      </c>
      <c r="F308">
        <v>1</v>
      </c>
      <c r="G308">
        <v>-8999.15</v>
      </c>
      <c r="H308">
        <v>6731096.3700000001</v>
      </c>
      <c r="I308">
        <v>1</v>
      </c>
      <c r="J308">
        <v>6731096.3700000001</v>
      </c>
      <c r="K308">
        <v>906858</v>
      </c>
      <c r="L308">
        <v>14205658</v>
      </c>
      <c r="M308">
        <v>1364484.02</v>
      </c>
      <c r="N308">
        <v>6994070.2800000003</v>
      </c>
      <c r="O308">
        <v>448626.87</v>
      </c>
      <c r="P308">
        <v>-480491.35</v>
      </c>
      <c r="Q308">
        <v>1875810</v>
      </c>
      <c r="R308" t="s">
        <v>184</v>
      </c>
      <c r="S308"/>
      <c r="T308"/>
    </row>
    <row r="309" spans="1:20" s="183" customFormat="1" x14ac:dyDescent="0.35">
      <c r="A309" t="s">
        <v>241</v>
      </c>
      <c r="B309" t="s">
        <v>172</v>
      </c>
      <c r="C309" t="s">
        <v>205</v>
      </c>
      <c r="D309" t="s">
        <v>206</v>
      </c>
      <c r="E309" t="s">
        <v>175</v>
      </c>
      <c r="F309" t="s">
        <v>207</v>
      </c>
      <c r="G309" t="s">
        <v>208</v>
      </c>
      <c r="H309" t="s">
        <v>209</v>
      </c>
      <c r="I309" t="s">
        <v>210</v>
      </c>
      <c r="J309" t="s">
        <v>211</v>
      </c>
      <c r="K309" t="s">
        <v>212</v>
      </c>
      <c r="L309" t="s">
        <v>213</v>
      </c>
      <c r="M309" t="s">
        <v>231</v>
      </c>
      <c r="N309" t="s">
        <v>235</v>
      </c>
      <c r="O309" t="s">
        <v>236</v>
      </c>
      <c r="P309" t="s">
        <v>237</v>
      </c>
      <c r="Q309" t="s">
        <v>225</v>
      </c>
      <c r="R309" t="s">
        <v>183</v>
      </c>
      <c r="S309"/>
      <c r="T309"/>
    </row>
    <row r="310" spans="1:20" ht="14.5" customHeight="1" x14ac:dyDescent="0.35">
      <c r="A310">
        <v>30</v>
      </c>
      <c r="B310" t="s">
        <v>147</v>
      </c>
      <c r="C310">
        <v>16756248.550000001</v>
      </c>
      <c r="D310">
        <v>193990516.49000001</v>
      </c>
      <c r="E310">
        <v>20907464.25</v>
      </c>
      <c r="F310">
        <v>1</v>
      </c>
      <c r="G310">
        <v>20907464.25</v>
      </c>
      <c r="H310">
        <v>205530996.28999999</v>
      </c>
      <c r="I310">
        <v>1</v>
      </c>
      <c r="J310">
        <v>205530996.28999999</v>
      </c>
      <c r="K310">
        <v>29667560</v>
      </c>
      <c r="L310">
        <v>277697379</v>
      </c>
      <c r="M310">
        <v>-4151215.7</v>
      </c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184</v>
      </c>
      <c r="S310"/>
      <c r="T310"/>
    </row>
    <row r="311" spans="1:20" ht="14.5" customHeight="1" x14ac:dyDescent="0.35">
      <c r="A311">
        <v>40</v>
      </c>
      <c r="B311" t="s">
        <v>148</v>
      </c>
      <c r="C311">
        <v>-346888.99</v>
      </c>
      <c r="D311">
        <v>-3600387.34</v>
      </c>
      <c r="E311">
        <v>-281166.62</v>
      </c>
      <c r="F311">
        <v>1</v>
      </c>
      <c r="G311">
        <v>-281166.62</v>
      </c>
      <c r="H311">
        <v>-2379087.87</v>
      </c>
      <c r="I311">
        <v>1</v>
      </c>
      <c r="J311">
        <v>-2379087.87</v>
      </c>
      <c r="K311">
        <v>0</v>
      </c>
      <c r="L311">
        <v>0</v>
      </c>
      <c r="M311">
        <v>-65722.37</v>
      </c>
      <c r="N311">
        <v>-1221299.47</v>
      </c>
      <c r="O311">
        <v>-346888.99</v>
      </c>
      <c r="P311">
        <v>-3600387.34</v>
      </c>
      <c r="Q311">
        <v>0</v>
      </c>
      <c r="R311" t="s">
        <v>184</v>
      </c>
      <c r="S311"/>
      <c r="T311"/>
    </row>
    <row r="312" spans="1:20" x14ac:dyDescent="0.35">
      <c r="A312">
        <v>50</v>
      </c>
      <c r="B312" t="s">
        <v>149</v>
      </c>
      <c r="C312">
        <v>16409359.560000001</v>
      </c>
      <c r="D312">
        <v>190390129.15000001</v>
      </c>
      <c r="E312">
        <v>20626297.629999999</v>
      </c>
      <c r="F312">
        <v>1</v>
      </c>
      <c r="G312">
        <v>20626297.629999999</v>
      </c>
      <c r="H312">
        <v>203151908.41999999</v>
      </c>
      <c r="I312">
        <v>1</v>
      </c>
      <c r="J312">
        <v>203151908.41999999</v>
      </c>
      <c r="K312">
        <v>29667560</v>
      </c>
      <c r="L312">
        <v>277697379</v>
      </c>
      <c r="M312">
        <v>-4216938.07</v>
      </c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184</v>
      </c>
      <c r="S312"/>
      <c r="T312"/>
    </row>
    <row r="313" spans="1:20" x14ac:dyDescent="0.35">
      <c r="A313">
        <v>60</v>
      </c>
      <c r="B313" t="s">
        <v>150</v>
      </c>
      <c r="C313">
        <v>8581654.5700000003</v>
      </c>
      <c r="D313">
        <v>117019918.51000001</v>
      </c>
      <c r="E313">
        <v>13217753.689999999</v>
      </c>
      <c r="F313">
        <v>1</v>
      </c>
      <c r="G313">
        <v>13217753.689999999</v>
      </c>
      <c r="H313">
        <v>136645355.97</v>
      </c>
      <c r="I313">
        <v>1</v>
      </c>
      <c r="J313">
        <v>136645355.97</v>
      </c>
      <c r="K313">
        <v>19986785</v>
      </c>
      <c r="L313">
        <v>188171978</v>
      </c>
      <c r="M313">
        <v>-4636099.12</v>
      </c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184</v>
      </c>
      <c r="S313"/>
      <c r="T313"/>
    </row>
    <row r="314" spans="1:20" x14ac:dyDescent="0.35">
      <c r="A314">
        <v>70</v>
      </c>
      <c r="B314" t="s">
        <v>151</v>
      </c>
      <c r="C314">
        <v>7827704.9900000002</v>
      </c>
      <c r="D314">
        <v>73370210.640000001</v>
      </c>
      <c r="E314">
        <v>7408543.9400000004</v>
      </c>
      <c r="F314">
        <v>1</v>
      </c>
      <c r="G314">
        <v>7408543.9400000004</v>
      </c>
      <c r="H314">
        <v>66506552.450000003</v>
      </c>
      <c r="I314">
        <v>1</v>
      </c>
      <c r="J314">
        <v>66506552.450000003</v>
      </c>
      <c r="K314">
        <v>9680775</v>
      </c>
      <c r="L314">
        <v>89525401</v>
      </c>
      <c r="M314">
        <v>419161.05</v>
      </c>
      <c r="N314">
        <v>6863658.1900000004</v>
      </c>
      <c r="O314">
        <v>-1853070.01</v>
      </c>
      <c r="P314">
        <v>-16155190.359999999</v>
      </c>
      <c r="Q314">
        <v>10185974</v>
      </c>
      <c r="R314" t="s">
        <v>184</v>
      </c>
      <c r="S314"/>
      <c r="T314"/>
    </row>
    <row r="315" spans="1:20" ht="14.5" customHeight="1" x14ac:dyDescent="0.35">
      <c r="A315">
        <v>80</v>
      </c>
      <c r="B315" t="s">
        <v>152</v>
      </c>
      <c r="C315">
        <v>6538783.1200000001</v>
      </c>
      <c r="D315">
        <v>83660055.709999993</v>
      </c>
      <c r="E315">
        <v>5086274.4400000004</v>
      </c>
      <c r="F315">
        <v>1</v>
      </c>
      <c r="G315">
        <v>5086274.4400000004</v>
      </c>
      <c r="H315">
        <v>106564492.78</v>
      </c>
      <c r="I315">
        <v>1</v>
      </c>
      <c r="J315">
        <v>106564492.78</v>
      </c>
      <c r="K315">
        <v>5174758</v>
      </c>
      <c r="L315">
        <v>48147961</v>
      </c>
      <c r="M315">
        <v>1452508.68</v>
      </c>
      <c r="N315">
        <v>-22904437.07</v>
      </c>
      <c r="O315">
        <v>1364025.12</v>
      </c>
      <c r="P315">
        <v>35512094.710000001</v>
      </c>
      <c r="Q315">
        <v>5130342</v>
      </c>
      <c r="R315" t="s">
        <v>184</v>
      </c>
      <c r="S315"/>
      <c r="T315"/>
    </row>
    <row r="316" spans="1:20" ht="14.5" customHeight="1" x14ac:dyDescent="0.35">
      <c r="A316">
        <v>90</v>
      </c>
      <c r="B316" t="s">
        <v>153</v>
      </c>
      <c r="C316">
        <v>1774821.37</v>
      </c>
      <c r="D316">
        <v>15542412.199999999</v>
      </c>
      <c r="E316">
        <v>1508602.37</v>
      </c>
      <c r="F316">
        <v>1</v>
      </c>
      <c r="G316">
        <v>1508602.37</v>
      </c>
      <c r="H316">
        <v>14874740.66</v>
      </c>
      <c r="I316">
        <v>1</v>
      </c>
      <c r="J316">
        <v>14874740.66</v>
      </c>
      <c r="K316">
        <v>1670383</v>
      </c>
      <c r="L316">
        <v>15033447</v>
      </c>
      <c r="M316">
        <v>266219</v>
      </c>
      <c r="N316">
        <v>667671.54</v>
      </c>
      <c r="O316">
        <v>104438.37</v>
      </c>
      <c r="P316">
        <v>508965.2</v>
      </c>
      <c r="Q316">
        <v>1670383</v>
      </c>
      <c r="R316" t="s">
        <v>184</v>
      </c>
      <c r="S316"/>
      <c r="T316"/>
    </row>
    <row r="317" spans="1:20" ht="14.5" customHeight="1" x14ac:dyDescent="0.35">
      <c r="A317">
        <v>100</v>
      </c>
      <c r="B317" t="s">
        <v>154</v>
      </c>
      <c r="C317">
        <v>613608.56000000006</v>
      </c>
      <c r="D317">
        <v>5299571.6399999997</v>
      </c>
      <c r="E317">
        <v>548842.14</v>
      </c>
      <c r="F317">
        <v>1</v>
      </c>
      <c r="G317">
        <v>548842.14</v>
      </c>
      <c r="H317">
        <v>4764664.54</v>
      </c>
      <c r="I317">
        <v>1</v>
      </c>
      <c r="J317">
        <v>4764664.54</v>
      </c>
      <c r="K317">
        <v>512809</v>
      </c>
      <c r="L317">
        <v>4615281</v>
      </c>
      <c r="M317">
        <v>64766.42</v>
      </c>
      <c r="N317">
        <v>534907.1</v>
      </c>
      <c r="O317">
        <v>100799.56</v>
      </c>
      <c r="P317">
        <v>684290.64</v>
      </c>
      <c r="Q317">
        <v>512809</v>
      </c>
      <c r="R317" t="s">
        <v>184</v>
      </c>
      <c r="S317"/>
      <c r="T317"/>
    </row>
    <row r="318" spans="1:20" ht="14.5" customHeight="1" x14ac:dyDescent="0.35">
      <c r="A318">
        <v>110</v>
      </c>
      <c r="B318" t="s">
        <v>155</v>
      </c>
      <c r="C318">
        <v>8927213.0500000007</v>
      </c>
      <c r="D318">
        <v>104502039.55</v>
      </c>
      <c r="E318">
        <v>7143718.9500000002</v>
      </c>
      <c r="F318">
        <v>1</v>
      </c>
      <c r="G318">
        <v>7143718.9500000002</v>
      </c>
      <c r="H318">
        <v>126203897.98</v>
      </c>
      <c r="I318">
        <v>1</v>
      </c>
      <c r="J318">
        <v>126203897.98</v>
      </c>
      <c r="K318">
        <v>7357950</v>
      </c>
      <c r="L318">
        <v>67796689</v>
      </c>
      <c r="M318">
        <v>1783494.1</v>
      </c>
      <c r="N318">
        <v>-21701858.43</v>
      </c>
      <c r="O318">
        <v>1569263.05</v>
      </c>
      <c r="P318">
        <v>36705350.549999997</v>
      </c>
      <c r="Q318">
        <v>7313534</v>
      </c>
      <c r="R318" t="s">
        <v>184</v>
      </c>
      <c r="S318"/>
      <c r="T318"/>
    </row>
    <row r="319" spans="1:20" ht="14.5" customHeight="1" x14ac:dyDescent="0.35">
      <c r="A319">
        <v>120</v>
      </c>
      <c r="B319" t="s">
        <v>156</v>
      </c>
      <c r="C319">
        <v>-1099508.06</v>
      </c>
      <c r="D319">
        <v>-31131828.91</v>
      </c>
      <c r="E319">
        <v>264824.99</v>
      </c>
      <c r="F319">
        <v>1</v>
      </c>
      <c r="G319">
        <v>264824.99</v>
      </c>
      <c r="H319">
        <v>-59697345.530000001</v>
      </c>
      <c r="I319">
        <v>1</v>
      </c>
      <c r="J319">
        <v>-59697345.530000001</v>
      </c>
      <c r="K319">
        <v>2322825</v>
      </c>
      <c r="L319">
        <v>21728712</v>
      </c>
      <c r="M319">
        <v>-1364333.05</v>
      </c>
      <c r="N319">
        <v>28565516.620000001</v>
      </c>
      <c r="O319">
        <v>-3422333.06</v>
      </c>
      <c r="P319">
        <v>-52860540.909999996</v>
      </c>
      <c r="Q319">
        <v>2872440</v>
      </c>
      <c r="R319" t="s">
        <v>184</v>
      </c>
      <c r="S319"/>
      <c r="T319"/>
    </row>
    <row r="320" spans="1:20" ht="14.5" customHeight="1" x14ac:dyDescent="0.35">
      <c r="A320">
        <v>130</v>
      </c>
      <c r="B320" t="s">
        <v>157</v>
      </c>
      <c r="C320">
        <v>282511.5</v>
      </c>
      <c r="D320">
        <v>282511.5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282511.5</v>
      </c>
      <c r="N320">
        <v>282511.5</v>
      </c>
      <c r="O320">
        <v>282511.5</v>
      </c>
      <c r="P320">
        <v>282511.5</v>
      </c>
      <c r="Q320">
        <v>0</v>
      </c>
      <c r="R320" t="s">
        <v>184</v>
      </c>
      <c r="S320"/>
      <c r="T320"/>
    </row>
    <row r="321" spans="1:20" ht="14.5" customHeight="1" x14ac:dyDescent="0.35">
      <c r="A321">
        <v>135</v>
      </c>
      <c r="B321" t="s">
        <v>158</v>
      </c>
      <c r="C321">
        <v>-241542.28</v>
      </c>
      <c r="D321">
        <v>-43360556.560000002</v>
      </c>
      <c r="E321">
        <v>-179195.84</v>
      </c>
      <c r="F321">
        <v>1</v>
      </c>
      <c r="G321">
        <v>-179195.84</v>
      </c>
      <c r="H321">
        <v>-85229384.439999998</v>
      </c>
      <c r="I321">
        <v>1</v>
      </c>
      <c r="J321">
        <v>-85229384.439999998</v>
      </c>
      <c r="K321">
        <v>0</v>
      </c>
      <c r="L321">
        <v>0</v>
      </c>
      <c r="M321">
        <v>-62346.44</v>
      </c>
      <c r="N321">
        <v>41868827.880000003</v>
      </c>
      <c r="O321">
        <v>-241542.28</v>
      </c>
      <c r="P321">
        <v>-43360556.560000002</v>
      </c>
      <c r="Q321">
        <v>0</v>
      </c>
      <c r="R321" t="s">
        <v>184</v>
      </c>
      <c r="S321"/>
      <c r="T321"/>
    </row>
    <row r="322" spans="1:20" ht="14.5" customHeight="1" x14ac:dyDescent="0.35">
      <c r="A322">
        <v>140</v>
      </c>
      <c r="B322" t="s">
        <v>159</v>
      </c>
      <c r="C322">
        <v>21668.560000000001</v>
      </c>
      <c r="D322">
        <v>1243193.0900000001</v>
      </c>
      <c r="E322">
        <v>119774.41</v>
      </c>
      <c r="F322">
        <v>1</v>
      </c>
      <c r="G322">
        <v>119774.41</v>
      </c>
      <c r="H322">
        <v>1216517.81</v>
      </c>
      <c r="I322">
        <v>1</v>
      </c>
      <c r="J322">
        <v>1216517.81</v>
      </c>
      <c r="K322">
        <v>143134</v>
      </c>
      <c r="L322">
        <v>1310451</v>
      </c>
      <c r="M322">
        <v>-98105.85</v>
      </c>
      <c r="N322">
        <v>26675.279999999999</v>
      </c>
      <c r="O322">
        <v>-121465.44</v>
      </c>
      <c r="P322">
        <v>-67257.91</v>
      </c>
      <c r="Q322">
        <v>139644</v>
      </c>
      <c r="R322" t="s">
        <v>184</v>
      </c>
      <c r="S322"/>
      <c r="T322"/>
    </row>
    <row r="323" spans="1:20" ht="14.5" customHeight="1" x14ac:dyDescent="0.35">
      <c r="A323">
        <v>150</v>
      </c>
      <c r="B323" t="s">
        <v>160</v>
      </c>
      <c r="C323">
        <v>7.43</v>
      </c>
      <c r="D323">
        <v>296.82</v>
      </c>
      <c r="E323">
        <v>7.45</v>
      </c>
      <c r="F323">
        <v>1</v>
      </c>
      <c r="G323">
        <v>7.45</v>
      </c>
      <c r="H323">
        <v>21.14</v>
      </c>
      <c r="I323">
        <v>1</v>
      </c>
      <c r="J323">
        <v>21.14</v>
      </c>
      <c r="K323">
        <v>80225</v>
      </c>
      <c r="L323">
        <v>368531</v>
      </c>
      <c r="M323">
        <v>-0.02</v>
      </c>
      <c r="N323">
        <v>275.68</v>
      </c>
      <c r="O323">
        <v>-80217.570000000007</v>
      </c>
      <c r="P323">
        <v>-368234.18</v>
      </c>
      <c r="Q323">
        <v>90937</v>
      </c>
      <c r="R323" t="s">
        <v>184</v>
      </c>
      <c r="S323"/>
      <c r="T323"/>
    </row>
    <row r="324" spans="1:20" ht="14.5" customHeight="1" x14ac:dyDescent="0.35">
      <c r="A324">
        <v>155</v>
      </c>
      <c r="B324" t="s">
        <v>161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184</v>
      </c>
      <c r="S324"/>
      <c r="T324"/>
    </row>
    <row r="325" spans="1:20" ht="14.5" customHeight="1" x14ac:dyDescent="0.35">
      <c r="A325">
        <v>160</v>
      </c>
      <c r="B325" t="s">
        <v>162</v>
      </c>
      <c r="C325">
        <v>62630.35</v>
      </c>
      <c r="D325">
        <v>-41835148.789999999</v>
      </c>
      <c r="E325">
        <v>-59428.88</v>
      </c>
      <c r="F325">
        <v>1</v>
      </c>
      <c r="G325">
        <v>-59428.88</v>
      </c>
      <c r="H325">
        <v>-84012887.769999996</v>
      </c>
      <c r="I325">
        <v>1</v>
      </c>
      <c r="J325">
        <v>-84012887.769999996</v>
      </c>
      <c r="K325">
        <v>62909</v>
      </c>
      <c r="L325">
        <v>941920</v>
      </c>
      <c r="M325">
        <v>122059.23</v>
      </c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184</v>
      </c>
      <c r="S325"/>
      <c r="T325"/>
    </row>
    <row r="326" spans="1:20" ht="14.5" customHeight="1" x14ac:dyDescent="0.35">
      <c r="A326">
        <v>170</v>
      </c>
      <c r="B326" t="s">
        <v>163</v>
      </c>
      <c r="C326">
        <v>-1162138.4099999999</v>
      </c>
      <c r="D326">
        <v>10703319.880000001</v>
      </c>
      <c r="E326">
        <v>324253.87</v>
      </c>
      <c r="F326">
        <v>1</v>
      </c>
      <c r="G326">
        <v>324253.87</v>
      </c>
      <c r="H326">
        <v>24315542.239999998</v>
      </c>
      <c r="I326">
        <v>1</v>
      </c>
      <c r="J326">
        <v>24315542.239999998</v>
      </c>
      <c r="K326">
        <v>2259916</v>
      </c>
      <c r="L326">
        <v>20786792</v>
      </c>
      <c r="M326">
        <v>-1486392.28</v>
      </c>
      <c r="N326">
        <v>-13612222.359999999</v>
      </c>
      <c r="O326">
        <v>-3422054.41</v>
      </c>
      <c r="P326">
        <v>-10083472.119999999</v>
      </c>
      <c r="Q326">
        <v>2823733</v>
      </c>
      <c r="R326" t="s">
        <v>184</v>
      </c>
      <c r="S326"/>
      <c r="T326"/>
    </row>
    <row r="327" spans="1:20" x14ac:dyDescent="0.35">
      <c r="A327">
        <v>180</v>
      </c>
      <c r="B327" t="s">
        <v>164</v>
      </c>
      <c r="C327">
        <v>426821.98</v>
      </c>
      <c r="D327">
        <v>5959881.9199999999</v>
      </c>
      <c r="E327">
        <v>435003.75</v>
      </c>
      <c r="F327">
        <v>1</v>
      </c>
      <c r="G327">
        <v>435003.75</v>
      </c>
      <c r="H327">
        <v>5996530.4299999997</v>
      </c>
      <c r="I327">
        <v>1</v>
      </c>
      <c r="J327">
        <v>5996530.4299999997</v>
      </c>
      <c r="K327">
        <v>666667</v>
      </c>
      <c r="L327">
        <v>6000003</v>
      </c>
      <c r="M327">
        <v>-8181.77</v>
      </c>
      <c r="N327">
        <v>-36648.51</v>
      </c>
      <c r="O327">
        <v>-239845.02</v>
      </c>
      <c r="P327">
        <v>-40121.08</v>
      </c>
      <c r="Q327">
        <v>666667</v>
      </c>
      <c r="R327" t="s">
        <v>184</v>
      </c>
      <c r="S327"/>
      <c r="T327"/>
    </row>
    <row r="328" spans="1:20" x14ac:dyDescent="0.35">
      <c r="A328">
        <v>190</v>
      </c>
      <c r="B328" t="s">
        <v>165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184</v>
      </c>
      <c r="S328"/>
      <c r="T328"/>
    </row>
    <row r="329" spans="1:20" ht="14.5" customHeight="1" x14ac:dyDescent="0.35">
      <c r="A329">
        <v>200</v>
      </c>
      <c r="B329" t="s">
        <v>166</v>
      </c>
      <c r="C329">
        <v>-1588960.39</v>
      </c>
      <c r="D329">
        <v>4743437.96</v>
      </c>
      <c r="E329">
        <v>-110749.88</v>
      </c>
      <c r="F329">
        <v>1</v>
      </c>
      <c r="G329">
        <v>-110749.88</v>
      </c>
      <c r="H329">
        <v>18319011.809999999</v>
      </c>
      <c r="I329">
        <v>1</v>
      </c>
      <c r="J329">
        <v>18319011.809999999</v>
      </c>
      <c r="K329">
        <v>1593249</v>
      </c>
      <c r="L329">
        <v>14786789</v>
      </c>
      <c r="M329">
        <v>-1478210.51</v>
      </c>
      <c r="N329">
        <v>-13575573.85</v>
      </c>
      <c r="O329">
        <v>-3182209.39</v>
      </c>
      <c r="P329">
        <v>-10043351.039999999</v>
      </c>
      <c r="Q329">
        <v>2157066</v>
      </c>
      <c r="R329" t="s">
        <v>184</v>
      </c>
      <c r="S329"/>
      <c r="T329"/>
    </row>
    <row r="330" spans="1:20" ht="14.5" customHeight="1" x14ac:dyDescent="0.35">
      <c r="A330">
        <v>210</v>
      </c>
      <c r="B330" t="s">
        <v>167</v>
      </c>
      <c r="C330">
        <v>-485899.5</v>
      </c>
      <c r="D330">
        <v>-25832257.27</v>
      </c>
      <c r="E330">
        <v>813667.13</v>
      </c>
      <c r="F330">
        <v>1</v>
      </c>
      <c r="G330">
        <v>813667.13</v>
      </c>
      <c r="H330">
        <v>-54932680.990000002</v>
      </c>
      <c r="I330">
        <v>1</v>
      </c>
      <c r="J330">
        <v>-54932680.990000002</v>
      </c>
      <c r="K330">
        <v>2835634</v>
      </c>
      <c r="L330">
        <v>26343993</v>
      </c>
      <c r="M330">
        <v>-1299566.6299999999</v>
      </c>
      <c r="N330">
        <v>29100423.719999999</v>
      </c>
      <c r="O330">
        <v>-3321533.5</v>
      </c>
      <c r="P330">
        <v>-52176250.270000003</v>
      </c>
      <c r="Q330">
        <v>3385249</v>
      </c>
      <c r="R330" t="s">
        <v>184</v>
      </c>
      <c r="S330"/>
      <c r="T330"/>
    </row>
    <row r="331" spans="1:20" s="183" customFormat="1" x14ac:dyDescent="0.35">
      <c r="A331" t="s">
        <v>242</v>
      </c>
      <c r="B331" t="s">
        <v>172</v>
      </c>
      <c r="C331" t="s">
        <v>173</v>
      </c>
      <c r="D331" t="s">
        <v>174</v>
      </c>
      <c r="E331" t="s">
        <v>200</v>
      </c>
      <c r="F331" t="s">
        <v>243</v>
      </c>
      <c r="G331" t="s">
        <v>244</v>
      </c>
      <c r="H331" t="s">
        <v>245</v>
      </c>
      <c r="I331" t="s">
        <v>225</v>
      </c>
      <c r="J331" t="s">
        <v>183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147</v>
      </c>
      <c r="C332">
        <v>14728340.93</v>
      </c>
      <c r="D332">
        <v>146033771.33000001</v>
      </c>
      <c r="E332">
        <v>19080021.300000001</v>
      </c>
      <c r="F332">
        <v>170143999.63</v>
      </c>
      <c r="G332">
        <v>11349191</v>
      </c>
      <c r="H332">
        <v>101067112</v>
      </c>
      <c r="I332">
        <v>12694890</v>
      </c>
      <c r="J332" t="s">
        <v>184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148</v>
      </c>
      <c r="C333">
        <v>361711.18</v>
      </c>
      <c r="D333">
        <v>3535106.31</v>
      </c>
      <c r="E333">
        <v>350217.97</v>
      </c>
      <c r="F333">
        <v>3475353.33</v>
      </c>
      <c r="G333">
        <v>0</v>
      </c>
      <c r="H333">
        <v>0</v>
      </c>
      <c r="I333">
        <v>0</v>
      </c>
      <c r="J333" t="s">
        <v>184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149</v>
      </c>
      <c r="C334">
        <v>14366629.75</v>
      </c>
      <c r="D334">
        <v>142498665.02000001</v>
      </c>
      <c r="E334">
        <v>18729803.329999998</v>
      </c>
      <c r="F334">
        <v>166668646.30000001</v>
      </c>
      <c r="G334">
        <v>11349191</v>
      </c>
      <c r="H334">
        <v>101067112</v>
      </c>
      <c r="I334">
        <v>12694890</v>
      </c>
      <c r="J334" t="s">
        <v>184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150</v>
      </c>
      <c r="C335">
        <v>7486709</v>
      </c>
      <c r="D335">
        <v>79008553.109999999</v>
      </c>
      <c r="E335">
        <v>14175722</v>
      </c>
      <c r="F335">
        <v>128011092</v>
      </c>
      <c r="G335">
        <v>7969320</v>
      </c>
      <c r="H335">
        <v>71563945</v>
      </c>
      <c r="I335">
        <v>9138064</v>
      </c>
      <c r="J335" t="s">
        <v>184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151</v>
      </c>
      <c r="C336">
        <v>6879920.75</v>
      </c>
      <c r="D336">
        <v>63490111.909999996</v>
      </c>
      <c r="E336">
        <v>4554081.33</v>
      </c>
      <c r="F336">
        <v>38657554.299999997</v>
      </c>
      <c r="G336">
        <v>3379871</v>
      </c>
      <c r="H336">
        <v>29503167</v>
      </c>
      <c r="I336">
        <v>3556826</v>
      </c>
      <c r="J336" t="s">
        <v>184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152</v>
      </c>
      <c r="C337">
        <v>3230485.19</v>
      </c>
      <c r="D337">
        <v>30686503.710000001</v>
      </c>
      <c r="E337">
        <v>3218182.22</v>
      </c>
      <c r="F337">
        <v>27367414.91</v>
      </c>
      <c r="G337">
        <v>1598186</v>
      </c>
      <c r="H337">
        <v>14609004</v>
      </c>
      <c r="I337">
        <v>1564553</v>
      </c>
      <c r="J337" t="s">
        <v>184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153</v>
      </c>
      <c r="C338">
        <v>1217091.57</v>
      </c>
      <c r="D338">
        <v>6139364.8399999999</v>
      </c>
      <c r="E338">
        <v>344305.24</v>
      </c>
      <c r="F338">
        <v>3067707.1</v>
      </c>
      <c r="G338">
        <v>125523</v>
      </c>
      <c r="H338">
        <v>1373107</v>
      </c>
      <c r="I338">
        <v>144723</v>
      </c>
      <c r="J338" t="s">
        <v>184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154</v>
      </c>
      <c r="C339">
        <v>355089</v>
      </c>
      <c r="D339">
        <v>3195801</v>
      </c>
      <c r="E339">
        <v>355089</v>
      </c>
      <c r="F339">
        <v>3195801</v>
      </c>
      <c r="G339">
        <v>188174</v>
      </c>
      <c r="H339">
        <v>1693566</v>
      </c>
      <c r="I339">
        <v>188174</v>
      </c>
      <c r="J339" t="s">
        <v>184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155</v>
      </c>
      <c r="C340">
        <v>4802665.76</v>
      </c>
      <c r="D340">
        <v>40021669.549999997</v>
      </c>
      <c r="E340">
        <v>3917576.46</v>
      </c>
      <c r="F340">
        <v>33630923.009999998</v>
      </c>
      <c r="G340">
        <v>1911883</v>
      </c>
      <c r="H340">
        <v>17675677</v>
      </c>
      <c r="I340">
        <v>1897450</v>
      </c>
      <c r="J340" t="s">
        <v>184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156</v>
      </c>
      <c r="C341">
        <v>2077254.99</v>
      </c>
      <c r="D341">
        <v>23468442.359999999</v>
      </c>
      <c r="E341">
        <v>636504.87</v>
      </c>
      <c r="F341">
        <v>5026631.29</v>
      </c>
      <c r="G341">
        <v>1467988</v>
      </c>
      <c r="H341">
        <v>11827490</v>
      </c>
      <c r="I341">
        <v>1659376</v>
      </c>
      <c r="J341" t="s">
        <v>184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157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184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158</v>
      </c>
      <c r="C343">
        <v>-36458.800000000003</v>
      </c>
      <c r="D343">
        <v>-632254.66</v>
      </c>
      <c r="E343">
        <v>0</v>
      </c>
      <c r="F343">
        <v>-55308.959999999999</v>
      </c>
      <c r="G343">
        <v>0</v>
      </c>
      <c r="H343">
        <v>0</v>
      </c>
      <c r="I343">
        <v>0</v>
      </c>
      <c r="J343" t="s">
        <v>184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159</v>
      </c>
      <c r="C344">
        <v>19967.39</v>
      </c>
      <c r="D344">
        <v>350230.99</v>
      </c>
      <c r="E344">
        <v>29755.200000000001</v>
      </c>
      <c r="F344">
        <v>305883.48</v>
      </c>
      <c r="G344">
        <v>57287</v>
      </c>
      <c r="H344">
        <v>515849</v>
      </c>
      <c r="I344">
        <v>61064</v>
      </c>
      <c r="J344" t="s">
        <v>184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160</v>
      </c>
      <c r="C345">
        <v>0</v>
      </c>
      <c r="D345">
        <v>0</v>
      </c>
      <c r="E345">
        <v>0</v>
      </c>
      <c r="F345">
        <v>0</v>
      </c>
      <c r="G345">
        <v>38929</v>
      </c>
      <c r="H345">
        <v>237584</v>
      </c>
      <c r="I345">
        <v>44767</v>
      </c>
      <c r="J345" t="s">
        <v>184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161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184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162</v>
      </c>
      <c r="C347">
        <v>-16491.41</v>
      </c>
      <c r="D347">
        <v>-282023.67</v>
      </c>
      <c r="E347">
        <v>29755.200000000001</v>
      </c>
      <c r="F347">
        <v>250574.52</v>
      </c>
      <c r="G347">
        <v>18358</v>
      </c>
      <c r="H347">
        <v>278265</v>
      </c>
      <c r="I347">
        <v>16297</v>
      </c>
      <c r="J347" t="s">
        <v>184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163</v>
      </c>
      <c r="C348">
        <v>2093746.4</v>
      </c>
      <c r="D348">
        <v>23750466.030000001</v>
      </c>
      <c r="E348">
        <v>606749.67000000004</v>
      </c>
      <c r="F348">
        <v>4776056.7699999996</v>
      </c>
      <c r="G348">
        <v>1449630</v>
      </c>
      <c r="H348">
        <v>11549225</v>
      </c>
      <c r="I348">
        <v>1643079</v>
      </c>
      <c r="J348" t="s">
        <v>184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164</v>
      </c>
      <c r="C349">
        <v>268526</v>
      </c>
      <c r="D349">
        <v>2890835</v>
      </c>
      <c r="E349">
        <v>398647</v>
      </c>
      <c r="F349">
        <v>3774326</v>
      </c>
      <c r="G349">
        <v>209685</v>
      </c>
      <c r="H349">
        <v>1887165</v>
      </c>
      <c r="I349">
        <v>209685</v>
      </c>
      <c r="J349" t="s">
        <v>184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165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184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166</v>
      </c>
      <c r="C351">
        <v>1825220.4</v>
      </c>
      <c r="D351">
        <v>20859631.030000001</v>
      </c>
      <c r="E351">
        <v>208102.67</v>
      </c>
      <c r="F351">
        <v>1001730.77</v>
      </c>
      <c r="G351">
        <v>1239945</v>
      </c>
      <c r="H351">
        <v>9662060</v>
      </c>
      <c r="I351">
        <v>1433394</v>
      </c>
      <c r="J351" t="s">
        <v>184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167</v>
      </c>
      <c r="C352">
        <v>2432343.9900000002</v>
      </c>
      <c r="D352">
        <v>26664243.359999999</v>
      </c>
      <c r="E352">
        <v>991593.87</v>
      </c>
      <c r="F352">
        <v>8222432.29</v>
      </c>
      <c r="G352">
        <v>1656162</v>
      </c>
      <c r="H352">
        <v>13521056</v>
      </c>
      <c r="I352">
        <v>1847550</v>
      </c>
      <c r="J352" t="s">
        <v>184</v>
      </c>
      <c r="K352"/>
      <c r="L352"/>
      <c r="M352"/>
      <c r="N352"/>
      <c r="O352"/>
      <c r="P352"/>
      <c r="Q352"/>
      <c r="R352"/>
      <c r="S352"/>
      <c r="T352"/>
    </row>
    <row r="353" spans="1:20" s="183" customFormat="1" x14ac:dyDescent="0.35">
      <c r="A353" t="s">
        <v>246</v>
      </c>
      <c r="B353" t="s">
        <v>172</v>
      </c>
      <c r="C353" t="s">
        <v>205</v>
      </c>
      <c r="D353" t="s">
        <v>206</v>
      </c>
      <c r="E353" t="s">
        <v>175</v>
      </c>
      <c r="F353" t="s">
        <v>207</v>
      </c>
      <c r="G353" t="s">
        <v>208</v>
      </c>
      <c r="H353" t="s">
        <v>209</v>
      </c>
      <c r="I353" t="s">
        <v>210</v>
      </c>
      <c r="J353" t="s">
        <v>211</v>
      </c>
      <c r="K353" t="s">
        <v>212</v>
      </c>
      <c r="L353" t="s">
        <v>213</v>
      </c>
      <c r="M353" t="s">
        <v>231</v>
      </c>
      <c r="N353" t="s">
        <v>235</v>
      </c>
      <c r="O353" t="s">
        <v>236</v>
      </c>
      <c r="P353" t="s">
        <v>237</v>
      </c>
      <c r="Q353" t="s">
        <v>225</v>
      </c>
      <c r="R353" t="s">
        <v>183</v>
      </c>
      <c r="S353"/>
      <c r="T353"/>
    </row>
    <row r="354" spans="1:20" ht="14.5" customHeight="1" x14ac:dyDescent="0.35">
      <c r="A354">
        <v>30</v>
      </c>
      <c r="B354" t="s">
        <v>147</v>
      </c>
      <c r="C354">
        <v>2415379.19</v>
      </c>
      <c r="D354">
        <v>43214989.32</v>
      </c>
      <c r="E354">
        <v>8565930.1699999999</v>
      </c>
      <c r="F354">
        <v>1</v>
      </c>
      <c r="G354">
        <v>8565930.1699999999</v>
      </c>
      <c r="H354">
        <v>71375934.569999993</v>
      </c>
      <c r="I354">
        <v>1</v>
      </c>
      <c r="J354">
        <v>71375934.569999993</v>
      </c>
      <c r="K354">
        <v>11834289</v>
      </c>
      <c r="L354">
        <v>108048746</v>
      </c>
      <c r="M354">
        <v>-6150550.9800000004</v>
      </c>
      <c r="N354">
        <v>-28160945.25</v>
      </c>
      <c r="O354">
        <v>-9418909.8100000005</v>
      </c>
      <c r="P354">
        <v>-64833756.68</v>
      </c>
      <c r="Q354">
        <v>13755924</v>
      </c>
      <c r="R354" t="s">
        <v>184</v>
      </c>
      <c r="S354"/>
      <c r="T354"/>
    </row>
    <row r="355" spans="1:20" ht="14.5" customHeight="1" x14ac:dyDescent="0.35">
      <c r="A355">
        <v>40</v>
      </c>
      <c r="B355" t="s">
        <v>148</v>
      </c>
      <c r="C355">
        <v>-88508.18</v>
      </c>
      <c r="D355">
        <v>-972225.8</v>
      </c>
      <c r="E355">
        <v>-129062.59</v>
      </c>
      <c r="F355">
        <v>1</v>
      </c>
      <c r="G355">
        <v>-129062.59</v>
      </c>
      <c r="H355">
        <v>-873843.33</v>
      </c>
      <c r="I355">
        <v>1</v>
      </c>
      <c r="J355">
        <v>-873843.33</v>
      </c>
      <c r="K355">
        <v>0</v>
      </c>
      <c r="L355">
        <v>0</v>
      </c>
      <c r="M355">
        <v>40554.410000000003</v>
      </c>
      <c r="N355">
        <v>-98382.47</v>
      </c>
      <c r="O355">
        <v>-88508.18</v>
      </c>
      <c r="P355">
        <v>-972225.8</v>
      </c>
      <c r="Q355">
        <v>0</v>
      </c>
      <c r="R355" t="s">
        <v>184</v>
      </c>
      <c r="S355"/>
      <c r="T355"/>
    </row>
    <row r="356" spans="1:20" x14ac:dyDescent="0.35">
      <c r="A356">
        <v>50</v>
      </c>
      <c r="B356" t="s">
        <v>149</v>
      </c>
      <c r="C356">
        <v>2326871.0099999998</v>
      </c>
      <c r="D356">
        <v>42242763.520000003</v>
      </c>
      <c r="E356">
        <v>8436867.5800000001</v>
      </c>
      <c r="F356">
        <v>1</v>
      </c>
      <c r="G356">
        <v>8436867.5800000001</v>
      </c>
      <c r="H356">
        <v>70502091.239999995</v>
      </c>
      <c r="I356">
        <v>1</v>
      </c>
      <c r="J356">
        <v>70502091.239999995</v>
      </c>
      <c r="K356">
        <v>11834289</v>
      </c>
      <c r="L356">
        <v>108048746</v>
      </c>
      <c r="M356">
        <v>-6109996.5700000003</v>
      </c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184</v>
      </c>
      <c r="S356"/>
      <c r="T356"/>
    </row>
    <row r="357" spans="1:20" x14ac:dyDescent="0.35">
      <c r="A357">
        <v>60</v>
      </c>
      <c r="B357" t="s">
        <v>150</v>
      </c>
      <c r="C357">
        <v>1104400.8500000001</v>
      </c>
      <c r="D357">
        <v>28032342.960000001</v>
      </c>
      <c r="E357">
        <v>6320257.6799999997</v>
      </c>
      <c r="F357">
        <v>1</v>
      </c>
      <c r="G357">
        <v>6320257.6799999997</v>
      </c>
      <c r="H357">
        <v>57900653.799999997</v>
      </c>
      <c r="I357">
        <v>1</v>
      </c>
      <c r="J357">
        <v>57900653.799999997</v>
      </c>
      <c r="K357">
        <v>7730085</v>
      </c>
      <c r="L357">
        <v>71302279</v>
      </c>
      <c r="M357">
        <v>-5215856.83</v>
      </c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184</v>
      </c>
      <c r="S357"/>
      <c r="T357"/>
    </row>
    <row r="358" spans="1:20" x14ac:dyDescent="0.35">
      <c r="A358">
        <v>70</v>
      </c>
      <c r="B358" t="s">
        <v>151</v>
      </c>
      <c r="C358">
        <v>1222470.1599999999</v>
      </c>
      <c r="D358">
        <v>14210420.560000001</v>
      </c>
      <c r="E358">
        <v>2116609.9</v>
      </c>
      <c r="F358">
        <v>1</v>
      </c>
      <c r="G358">
        <v>2116609.9</v>
      </c>
      <c r="H358">
        <v>12601437.439999999</v>
      </c>
      <c r="I358">
        <v>1</v>
      </c>
      <c r="J358">
        <v>12601437.439999999</v>
      </c>
      <c r="K358">
        <v>4104204</v>
      </c>
      <c r="L358">
        <v>36746467</v>
      </c>
      <c r="M358">
        <v>-894139.74</v>
      </c>
      <c r="N358">
        <v>1608983.12</v>
      </c>
      <c r="O358">
        <v>-2881733.84</v>
      </c>
      <c r="P358">
        <v>-22536046.440000001</v>
      </c>
      <c r="Q358">
        <v>4533872</v>
      </c>
      <c r="R358" t="s">
        <v>184</v>
      </c>
      <c r="S358"/>
      <c r="T358"/>
    </row>
    <row r="359" spans="1:20" ht="14.5" customHeight="1" x14ac:dyDescent="0.35">
      <c r="A359">
        <v>80</v>
      </c>
      <c r="B359" t="s">
        <v>152</v>
      </c>
      <c r="C359">
        <v>4359509.57</v>
      </c>
      <c r="D359">
        <v>41821515.280000001</v>
      </c>
      <c r="E359">
        <v>5422123.6699999999</v>
      </c>
      <c r="F359">
        <v>1</v>
      </c>
      <c r="G359">
        <v>5422123.6699999999</v>
      </c>
      <c r="H359">
        <v>46558915.68</v>
      </c>
      <c r="I359">
        <v>1</v>
      </c>
      <c r="J359">
        <v>46558915.68</v>
      </c>
      <c r="K359">
        <v>2441883</v>
      </c>
      <c r="L359">
        <v>22532277</v>
      </c>
      <c r="M359">
        <v>-1062614.1000000001</v>
      </c>
      <c r="N359">
        <v>-4737400.4000000004</v>
      </c>
      <c r="O359">
        <v>1917626.57</v>
      </c>
      <c r="P359">
        <v>19289238.280000001</v>
      </c>
      <c r="Q359">
        <v>2444681</v>
      </c>
      <c r="R359" t="s">
        <v>184</v>
      </c>
      <c r="S359"/>
      <c r="T359"/>
    </row>
    <row r="360" spans="1:20" ht="14.5" customHeight="1" x14ac:dyDescent="0.35">
      <c r="A360">
        <v>90</v>
      </c>
      <c r="B360" t="s">
        <v>153</v>
      </c>
      <c r="C360">
        <v>619629.63</v>
      </c>
      <c r="D360">
        <v>6033370.4900000002</v>
      </c>
      <c r="E360">
        <v>422082.17</v>
      </c>
      <c r="F360">
        <v>1</v>
      </c>
      <c r="G360">
        <v>422082.17</v>
      </c>
      <c r="H360">
        <v>4292212.5199999996</v>
      </c>
      <c r="I360">
        <v>1</v>
      </c>
      <c r="J360">
        <v>4292212.5199999996</v>
      </c>
      <c r="K360">
        <v>495394</v>
      </c>
      <c r="L360">
        <v>4458546</v>
      </c>
      <c r="M360">
        <v>197547.46</v>
      </c>
      <c r="N360">
        <v>1741157.97</v>
      </c>
      <c r="O360">
        <v>124235.63</v>
      </c>
      <c r="P360">
        <v>1574824.49</v>
      </c>
      <c r="Q360">
        <v>495394</v>
      </c>
      <c r="R360" t="s">
        <v>184</v>
      </c>
      <c r="S360"/>
      <c r="T360"/>
    </row>
    <row r="361" spans="1:20" ht="14.5" customHeight="1" x14ac:dyDescent="0.35">
      <c r="A361">
        <v>100</v>
      </c>
      <c r="B361" t="s">
        <v>154</v>
      </c>
      <c r="C361">
        <v>351605.83</v>
      </c>
      <c r="D361">
        <v>3148194.85</v>
      </c>
      <c r="E361">
        <v>321085.27</v>
      </c>
      <c r="F361">
        <v>1</v>
      </c>
      <c r="G361">
        <v>321085.27</v>
      </c>
      <c r="H361">
        <v>2718196.62</v>
      </c>
      <c r="I361">
        <v>1</v>
      </c>
      <c r="J361">
        <v>2718196.62</v>
      </c>
      <c r="K361">
        <v>309306</v>
      </c>
      <c r="L361">
        <v>2783754</v>
      </c>
      <c r="M361">
        <v>30520.560000000001</v>
      </c>
      <c r="N361">
        <v>429998.23</v>
      </c>
      <c r="O361">
        <v>42299.83</v>
      </c>
      <c r="P361">
        <v>364440.85</v>
      </c>
      <c r="Q361">
        <v>309306</v>
      </c>
      <c r="R361" t="s">
        <v>184</v>
      </c>
      <c r="S361"/>
      <c r="T361"/>
    </row>
    <row r="362" spans="1:20" ht="14.5" customHeight="1" x14ac:dyDescent="0.35">
      <c r="A362">
        <v>110</v>
      </c>
      <c r="B362" t="s">
        <v>155</v>
      </c>
      <c r="C362">
        <v>5330745.03</v>
      </c>
      <c r="D362">
        <v>51003080.619999997</v>
      </c>
      <c r="E362">
        <v>6165291.1100000003</v>
      </c>
      <c r="F362">
        <v>1</v>
      </c>
      <c r="G362">
        <v>6165291.1100000003</v>
      </c>
      <c r="H362">
        <v>53569324.82</v>
      </c>
      <c r="I362">
        <v>1</v>
      </c>
      <c r="J362">
        <v>53569324.82</v>
      </c>
      <c r="K362">
        <v>3246583</v>
      </c>
      <c r="L362">
        <v>29774577</v>
      </c>
      <c r="M362">
        <v>-834546.08</v>
      </c>
      <c r="N362">
        <v>-2566244.2000000002</v>
      </c>
      <c r="O362">
        <v>2084162.03</v>
      </c>
      <c r="P362">
        <v>21228503.620000001</v>
      </c>
      <c r="Q362">
        <v>3249381</v>
      </c>
      <c r="R362" t="s">
        <v>184</v>
      </c>
      <c r="S362"/>
      <c r="T362"/>
    </row>
    <row r="363" spans="1:20" ht="14.5" customHeight="1" x14ac:dyDescent="0.35">
      <c r="A363">
        <v>120</v>
      </c>
      <c r="B363" t="s">
        <v>156</v>
      </c>
      <c r="C363">
        <v>-4108274.87</v>
      </c>
      <c r="D363">
        <v>-36792660.060000002</v>
      </c>
      <c r="E363">
        <v>-4048681.21</v>
      </c>
      <c r="F363">
        <v>1</v>
      </c>
      <c r="G363">
        <v>-4048681.21</v>
      </c>
      <c r="H363">
        <v>-40967887.380000003</v>
      </c>
      <c r="I363">
        <v>1</v>
      </c>
      <c r="J363">
        <v>-40967887.380000003</v>
      </c>
      <c r="K363">
        <v>857621</v>
      </c>
      <c r="L363">
        <v>6971890</v>
      </c>
      <c r="M363">
        <v>-59593.66</v>
      </c>
      <c r="N363">
        <v>4175227.32</v>
      </c>
      <c r="O363">
        <v>-4965895.87</v>
      </c>
      <c r="P363">
        <v>-43764550.060000002</v>
      </c>
      <c r="Q363">
        <v>1284491</v>
      </c>
      <c r="R363" t="s">
        <v>184</v>
      </c>
      <c r="S363"/>
      <c r="T363"/>
    </row>
    <row r="364" spans="1:20" ht="14.5" customHeight="1" x14ac:dyDescent="0.35">
      <c r="A364">
        <v>130</v>
      </c>
      <c r="B364" t="s">
        <v>157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184</v>
      </c>
      <c r="S364"/>
      <c r="T364"/>
    </row>
    <row r="365" spans="1:20" ht="14.5" customHeight="1" x14ac:dyDescent="0.35">
      <c r="A365">
        <v>135</v>
      </c>
      <c r="B365" t="s">
        <v>158</v>
      </c>
      <c r="C365">
        <v>-5127742.75</v>
      </c>
      <c r="D365">
        <v>-45072417.380000003</v>
      </c>
      <c r="E365">
        <v>-47903.38</v>
      </c>
      <c r="F365">
        <v>1</v>
      </c>
      <c r="G365">
        <v>-47903.38</v>
      </c>
      <c r="H365">
        <v>-60993691.109999999</v>
      </c>
      <c r="I365">
        <v>1</v>
      </c>
      <c r="J365">
        <v>-60993691.109999999</v>
      </c>
      <c r="K365">
        <v>0</v>
      </c>
      <c r="L365">
        <v>0</v>
      </c>
      <c r="M365">
        <v>-5079839.37</v>
      </c>
      <c r="N365">
        <v>15921273.73</v>
      </c>
      <c r="O365">
        <v>-5127742.75</v>
      </c>
      <c r="P365">
        <v>-45072417.380000003</v>
      </c>
      <c r="Q365">
        <v>0</v>
      </c>
      <c r="R365" t="s">
        <v>184</v>
      </c>
      <c r="S365"/>
      <c r="T365"/>
    </row>
    <row r="366" spans="1:20" ht="14.5" customHeight="1" x14ac:dyDescent="0.35">
      <c r="A366">
        <v>140</v>
      </c>
      <c r="B366" t="s">
        <v>159</v>
      </c>
      <c r="C366">
        <v>0</v>
      </c>
      <c r="D366">
        <v>154656.5</v>
      </c>
      <c r="E366">
        <v>25222.799999999999</v>
      </c>
      <c r="F366">
        <v>1</v>
      </c>
      <c r="G366">
        <v>25222.799999999999</v>
      </c>
      <c r="H366">
        <v>327140.71000000002</v>
      </c>
      <c r="I366">
        <v>1</v>
      </c>
      <c r="J366">
        <v>327140.71000000002</v>
      </c>
      <c r="K366">
        <v>63161</v>
      </c>
      <c r="L366">
        <v>346989</v>
      </c>
      <c r="M366">
        <v>-25222.799999999999</v>
      </c>
      <c r="N366">
        <v>-172484.21</v>
      </c>
      <c r="O366">
        <v>-63161</v>
      </c>
      <c r="P366">
        <v>-192332.5</v>
      </c>
      <c r="Q366">
        <v>30365</v>
      </c>
      <c r="R366" t="s">
        <v>184</v>
      </c>
      <c r="S366"/>
      <c r="T366"/>
    </row>
    <row r="367" spans="1:20" ht="14.5" customHeight="1" x14ac:dyDescent="0.35">
      <c r="A367">
        <v>150</v>
      </c>
      <c r="B367" t="s">
        <v>160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17821</v>
      </c>
      <c r="L367">
        <v>76940</v>
      </c>
      <c r="M367">
        <v>0</v>
      </c>
      <c r="N367">
        <v>0</v>
      </c>
      <c r="O367">
        <v>-17821</v>
      </c>
      <c r="P367">
        <v>-76940</v>
      </c>
      <c r="Q367">
        <v>20291</v>
      </c>
      <c r="R367" t="s">
        <v>184</v>
      </c>
      <c r="S367"/>
      <c r="T367"/>
    </row>
    <row r="368" spans="1:20" ht="14.5" customHeight="1" x14ac:dyDescent="0.35">
      <c r="A368">
        <v>155</v>
      </c>
      <c r="B368" t="s">
        <v>161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184</v>
      </c>
      <c r="S368"/>
      <c r="T368"/>
    </row>
    <row r="369" spans="1:20" ht="14.5" customHeight="1" x14ac:dyDescent="0.35">
      <c r="A369">
        <v>160</v>
      </c>
      <c r="B369" t="s">
        <v>162</v>
      </c>
      <c r="C369">
        <v>-5127742.75</v>
      </c>
      <c r="D369">
        <v>-44917760.880000003</v>
      </c>
      <c r="E369">
        <v>-22680.58</v>
      </c>
      <c r="F369">
        <v>1</v>
      </c>
      <c r="G369">
        <v>-22680.58</v>
      </c>
      <c r="H369">
        <v>-60666550.399999999</v>
      </c>
      <c r="I369">
        <v>1</v>
      </c>
      <c r="J369">
        <v>-60666550.399999999</v>
      </c>
      <c r="K369">
        <v>45340</v>
      </c>
      <c r="L369">
        <v>270049</v>
      </c>
      <c r="M369">
        <v>-5105062.17</v>
      </c>
      <c r="N369">
        <v>15748789.52</v>
      </c>
      <c r="O369">
        <v>-5173082.75</v>
      </c>
      <c r="P369">
        <v>-45187809.880000003</v>
      </c>
      <c r="Q369">
        <v>10074</v>
      </c>
      <c r="R369" t="s">
        <v>184</v>
      </c>
      <c r="S369"/>
      <c r="T369"/>
    </row>
    <row r="370" spans="1:20" ht="14.5" customHeight="1" x14ac:dyDescent="0.35">
      <c r="A370">
        <v>170</v>
      </c>
      <c r="B370" t="s">
        <v>163</v>
      </c>
      <c r="C370">
        <v>1019467.88</v>
      </c>
      <c r="D370">
        <v>8125100.8200000003</v>
      </c>
      <c r="E370">
        <v>-4026000.63</v>
      </c>
      <c r="F370">
        <v>1</v>
      </c>
      <c r="G370">
        <v>-4026000.63</v>
      </c>
      <c r="H370">
        <v>19698663.02</v>
      </c>
      <c r="I370">
        <v>1</v>
      </c>
      <c r="J370">
        <v>19698663.02</v>
      </c>
      <c r="K370">
        <v>812281</v>
      </c>
      <c r="L370">
        <v>6701841</v>
      </c>
      <c r="M370">
        <v>5045468.51</v>
      </c>
      <c r="N370">
        <v>-11573562.199999999</v>
      </c>
      <c r="O370">
        <v>207186.88</v>
      </c>
      <c r="P370">
        <v>1423259.82</v>
      </c>
      <c r="Q370">
        <v>1274417</v>
      </c>
      <c r="R370" t="s">
        <v>184</v>
      </c>
      <c r="S370"/>
      <c r="T370"/>
    </row>
    <row r="371" spans="1:20" x14ac:dyDescent="0.35">
      <c r="A371">
        <v>180</v>
      </c>
      <c r="B371" t="s">
        <v>164</v>
      </c>
      <c r="C371">
        <v>227425</v>
      </c>
      <c r="D371">
        <v>2663338</v>
      </c>
      <c r="E371">
        <v>0</v>
      </c>
      <c r="F371">
        <v>1</v>
      </c>
      <c r="G371">
        <v>0</v>
      </c>
      <c r="H371">
        <v>547564</v>
      </c>
      <c r="I371">
        <v>1</v>
      </c>
      <c r="J371">
        <v>547564</v>
      </c>
      <c r="K371">
        <v>60889</v>
      </c>
      <c r="L371">
        <v>522112</v>
      </c>
      <c r="M371">
        <v>227425</v>
      </c>
      <c r="N371">
        <v>2115774</v>
      </c>
      <c r="O371">
        <v>166536</v>
      </c>
      <c r="P371">
        <v>2141226</v>
      </c>
      <c r="Q371">
        <v>60889</v>
      </c>
      <c r="R371" t="s">
        <v>184</v>
      </c>
      <c r="S371"/>
      <c r="T371"/>
    </row>
    <row r="372" spans="1:20" x14ac:dyDescent="0.35">
      <c r="A372">
        <v>190</v>
      </c>
      <c r="B372" t="s">
        <v>165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184</v>
      </c>
      <c r="S372"/>
      <c r="T372"/>
    </row>
    <row r="373" spans="1:20" ht="14.5" customHeight="1" x14ac:dyDescent="0.35">
      <c r="A373">
        <v>200</v>
      </c>
      <c r="B373" t="s">
        <v>166</v>
      </c>
      <c r="C373">
        <v>792042.88</v>
      </c>
      <c r="D373">
        <v>5461762.8200000003</v>
      </c>
      <c r="E373">
        <v>-4026000.63</v>
      </c>
      <c r="F373">
        <v>1</v>
      </c>
      <c r="G373">
        <v>-4026000.63</v>
      </c>
      <c r="H373">
        <v>19151099.02</v>
      </c>
      <c r="I373">
        <v>1</v>
      </c>
      <c r="J373">
        <v>19151099.02</v>
      </c>
      <c r="K373">
        <v>751392</v>
      </c>
      <c r="L373">
        <v>6179729</v>
      </c>
      <c r="M373">
        <v>4818043.51</v>
      </c>
      <c r="N373">
        <v>-13689336.199999999</v>
      </c>
      <c r="O373">
        <v>40650.879999999997</v>
      </c>
      <c r="P373">
        <v>-717966.18</v>
      </c>
      <c r="Q373">
        <v>1213528</v>
      </c>
      <c r="R373" t="s">
        <v>184</v>
      </c>
      <c r="S373"/>
      <c r="T373"/>
    </row>
    <row r="374" spans="1:20" ht="14.5" customHeight="1" x14ac:dyDescent="0.35">
      <c r="A374">
        <v>210</v>
      </c>
      <c r="B374" t="s">
        <v>167</v>
      </c>
      <c r="C374">
        <v>-3756669.04</v>
      </c>
      <c r="D374">
        <v>-33644465.210000001</v>
      </c>
      <c r="E374">
        <v>-3727595.94</v>
      </c>
      <c r="F374">
        <v>1</v>
      </c>
      <c r="G374">
        <v>-3727595.94</v>
      </c>
      <c r="H374">
        <v>-38249690.759999998</v>
      </c>
      <c r="I374">
        <v>1</v>
      </c>
      <c r="J374">
        <v>-38249690.759999998</v>
      </c>
      <c r="K374">
        <v>1166927</v>
      </c>
      <c r="L374">
        <v>9755644</v>
      </c>
      <c r="M374">
        <v>-29073.1</v>
      </c>
      <c r="N374">
        <v>4605225.55</v>
      </c>
      <c r="O374">
        <v>-4923596.04</v>
      </c>
      <c r="P374">
        <v>-43400109.210000001</v>
      </c>
      <c r="Q374">
        <v>1593797</v>
      </c>
      <c r="R374" t="s">
        <v>184</v>
      </c>
      <c r="S374"/>
      <c r="T374"/>
    </row>
    <row r="375" spans="1:20" s="183" customFormat="1" x14ac:dyDescent="0.35">
      <c r="A375" t="s">
        <v>247</v>
      </c>
      <c r="B375" t="s">
        <v>172</v>
      </c>
      <c r="C375" t="s">
        <v>205</v>
      </c>
      <c r="D375" t="s">
        <v>206</v>
      </c>
      <c r="E375" t="s">
        <v>175</v>
      </c>
      <c r="F375" t="s">
        <v>207</v>
      </c>
      <c r="G375" t="s">
        <v>208</v>
      </c>
      <c r="H375" t="s">
        <v>209</v>
      </c>
      <c r="I375" t="s">
        <v>210</v>
      </c>
      <c r="J375" t="s">
        <v>211</v>
      </c>
      <c r="K375" t="s">
        <v>212</v>
      </c>
      <c r="L375" t="s">
        <v>213</v>
      </c>
      <c r="M375" t="s">
        <v>231</v>
      </c>
      <c r="N375" t="s">
        <v>235</v>
      </c>
      <c r="O375" t="s">
        <v>236</v>
      </c>
      <c r="P375" t="s">
        <v>237</v>
      </c>
      <c r="Q375" t="s">
        <v>225</v>
      </c>
      <c r="R375" t="s">
        <v>183</v>
      </c>
      <c r="S375"/>
      <c r="T375"/>
    </row>
    <row r="376" spans="1:20" ht="14.5" customHeight="1" x14ac:dyDescent="0.35">
      <c r="A376">
        <v>30</v>
      </c>
      <c r="B376" t="s">
        <v>147</v>
      </c>
      <c r="C376">
        <v>80076254.489999995</v>
      </c>
      <c r="D376">
        <v>648621660.42999995</v>
      </c>
      <c r="E376">
        <v>57845256.520000003</v>
      </c>
      <c r="F376">
        <v>1</v>
      </c>
      <c r="G376">
        <v>57845256.520000003</v>
      </c>
      <c r="H376">
        <v>470769060.43000001</v>
      </c>
      <c r="I376">
        <v>1</v>
      </c>
      <c r="J376">
        <v>470769060.43000001</v>
      </c>
      <c r="K376">
        <v>69985304</v>
      </c>
      <c r="L376">
        <v>646599861</v>
      </c>
      <c r="M376">
        <v>22230997.969999999</v>
      </c>
      <c r="N376">
        <v>177852600</v>
      </c>
      <c r="O376">
        <v>10090950.49</v>
      </c>
      <c r="P376">
        <v>2021799.43</v>
      </c>
      <c r="Q376">
        <v>74993736</v>
      </c>
      <c r="R376" t="s">
        <v>184</v>
      </c>
      <c r="S376"/>
      <c r="T376"/>
    </row>
    <row r="377" spans="1:20" ht="14.5" customHeight="1" x14ac:dyDescent="0.35">
      <c r="A377">
        <v>40</v>
      </c>
      <c r="B377" t="s">
        <v>148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12320.5</v>
      </c>
      <c r="I377">
        <v>1</v>
      </c>
      <c r="J377">
        <v>12320.5</v>
      </c>
      <c r="K377">
        <v>0</v>
      </c>
      <c r="L377">
        <v>0</v>
      </c>
      <c r="M377">
        <v>0</v>
      </c>
      <c r="N377">
        <v>-12320.5</v>
      </c>
      <c r="O377">
        <v>0</v>
      </c>
      <c r="P377">
        <v>0</v>
      </c>
      <c r="Q377">
        <v>0</v>
      </c>
      <c r="R377" t="s">
        <v>184</v>
      </c>
      <c r="S377"/>
      <c r="T377"/>
    </row>
    <row r="378" spans="1:20" x14ac:dyDescent="0.35">
      <c r="A378">
        <v>50</v>
      </c>
      <c r="B378" t="s">
        <v>149</v>
      </c>
      <c r="C378">
        <v>80076254.489999995</v>
      </c>
      <c r="D378">
        <v>648621660.42999995</v>
      </c>
      <c r="E378">
        <v>57845256.520000003</v>
      </c>
      <c r="F378">
        <v>1</v>
      </c>
      <c r="G378">
        <v>57845256.520000003</v>
      </c>
      <c r="H378">
        <v>470756739.93000001</v>
      </c>
      <c r="I378">
        <v>1</v>
      </c>
      <c r="J378">
        <v>470756739.93000001</v>
      </c>
      <c r="K378">
        <v>69985304</v>
      </c>
      <c r="L378">
        <v>646599861</v>
      </c>
      <c r="M378">
        <v>22230997.969999999</v>
      </c>
      <c r="N378">
        <v>177864920.5</v>
      </c>
      <c r="O378">
        <v>10090950.49</v>
      </c>
      <c r="P378">
        <v>2021799.43</v>
      </c>
      <c r="Q378">
        <v>74993736</v>
      </c>
      <c r="R378" t="s">
        <v>184</v>
      </c>
      <c r="S378"/>
      <c r="T378"/>
    </row>
    <row r="379" spans="1:20" x14ac:dyDescent="0.35">
      <c r="A379">
        <v>60</v>
      </c>
      <c r="B379" t="s">
        <v>150</v>
      </c>
      <c r="C379">
        <v>71017687.959999993</v>
      </c>
      <c r="D379">
        <v>572487679.03999996</v>
      </c>
      <c r="E379">
        <v>53251782.880000003</v>
      </c>
      <c r="F379">
        <v>1</v>
      </c>
      <c r="G379">
        <v>53251782.880000003</v>
      </c>
      <c r="H379">
        <v>429824228.36000001</v>
      </c>
      <c r="I379">
        <v>1</v>
      </c>
      <c r="J379">
        <v>429824228.36000001</v>
      </c>
      <c r="K379">
        <v>63096250</v>
      </c>
      <c r="L379">
        <v>582974290</v>
      </c>
      <c r="M379">
        <v>17765905.079999998</v>
      </c>
      <c r="N379">
        <v>142663450.68000001</v>
      </c>
      <c r="O379">
        <v>7921437.96</v>
      </c>
      <c r="P379">
        <v>-10486610.960000001</v>
      </c>
      <c r="Q379">
        <v>67674212</v>
      </c>
      <c r="R379" t="s">
        <v>184</v>
      </c>
      <c r="S379"/>
      <c r="T379"/>
    </row>
    <row r="380" spans="1:20" x14ac:dyDescent="0.35">
      <c r="A380">
        <v>70</v>
      </c>
      <c r="B380" t="s">
        <v>151</v>
      </c>
      <c r="C380">
        <v>9058566.5299999993</v>
      </c>
      <c r="D380">
        <v>76133981.390000001</v>
      </c>
      <c r="E380">
        <v>4593473.6399999997</v>
      </c>
      <c r="F380">
        <v>1</v>
      </c>
      <c r="G380">
        <v>4593473.6399999997</v>
      </c>
      <c r="H380">
        <v>40932511.57</v>
      </c>
      <c r="I380">
        <v>1</v>
      </c>
      <c r="J380">
        <v>40932511.57</v>
      </c>
      <c r="K380">
        <v>6889054</v>
      </c>
      <c r="L380">
        <v>63625571</v>
      </c>
      <c r="M380">
        <v>4465092.8899999997</v>
      </c>
      <c r="N380">
        <v>35201469.82</v>
      </c>
      <c r="O380">
        <v>2169512.5299999998</v>
      </c>
      <c r="P380">
        <v>12508410.390000001</v>
      </c>
      <c r="Q380">
        <v>7319524</v>
      </c>
      <c r="R380" t="s">
        <v>184</v>
      </c>
      <c r="S380"/>
      <c r="T380"/>
    </row>
    <row r="381" spans="1:20" ht="14.5" customHeight="1" x14ac:dyDescent="0.35">
      <c r="A381">
        <v>80</v>
      </c>
      <c r="B381" t="s">
        <v>152</v>
      </c>
      <c r="C381">
        <v>3348007.21</v>
      </c>
      <c r="D381">
        <v>25387762.289999999</v>
      </c>
      <c r="E381">
        <v>2191667.7599999998</v>
      </c>
      <c r="F381">
        <v>1</v>
      </c>
      <c r="G381">
        <v>2191667.7599999998</v>
      </c>
      <c r="H381">
        <v>17492429.329999998</v>
      </c>
      <c r="I381">
        <v>1</v>
      </c>
      <c r="J381">
        <v>17492429.329999998</v>
      </c>
      <c r="K381">
        <v>2224129</v>
      </c>
      <c r="L381">
        <v>20697161</v>
      </c>
      <c r="M381">
        <v>1156339.45</v>
      </c>
      <c r="N381">
        <v>7895332.96</v>
      </c>
      <c r="O381">
        <v>1123878.21</v>
      </c>
      <c r="P381">
        <v>4690601.29</v>
      </c>
      <c r="Q381">
        <v>2224129</v>
      </c>
      <c r="R381" t="s">
        <v>184</v>
      </c>
      <c r="S381"/>
      <c r="T381"/>
    </row>
    <row r="382" spans="1:20" ht="14.5" customHeight="1" x14ac:dyDescent="0.35">
      <c r="A382">
        <v>90</v>
      </c>
      <c r="B382" t="s">
        <v>153</v>
      </c>
      <c r="C382">
        <v>991403.87</v>
      </c>
      <c r="D382">
        <v>9238441.0700000003</v>
      </c>
      <c r="E382">
        <v>905855.2</v>
      </c>
      <c r="F382">
        <v>1</v>
      </c>
      <c r="G382">
        <v>905855.2</v>
      </c>
      <c r="H382">
        <v>8792360.6199999992</v>
      </c>
      <c r="I382">
        <v>1</v>
      </c>
      <c r="J382">
        <v>8792360.6199999992</v>
      </c>
      <c r="K382">
        <v>819872</v>
      </c>
      <c r="L382">
        <v>7378848</v>
      </c>
      <c r="M382">
        <v>85548.67</v>
      </c>
      <c r="N382">
        <v>446080.45</v>
      </c>
      <c r="O382">
        <v>171531.87</v>
      </c>
      <c r="P382">
        <v>1859593.07</v>
      </c>
      <c r="Q382">
        <v>819872</v>
      </c>
      <c r="R382" t="s">
        <v>184</v>
      </c>
      <c r="S382"/>
      <c r="T382"/>
    </row>
    <row r="383" spans="1:20" ht="14.5" customHeight="1" x14ac:dyDescent="0.35">
      <c r="A383">
        <v>100</v>
      </c>
      <c r="B383" t="s">
        <v>154</v>
      </c>
      <c r="C383">
        <v>471234.78</v>
      </c>
      <c r="D383">
        <v>2838163.88</v>
      </c>
      <c r="E383">
        <v>176896.47</v>
      </c>
      <c r="F383">
        <v>1</v>
      </c>
      <c r="G383">
        <v>176896.47</v>
      </c>
      <c r="H383">
        <v>1504236.69</v>
      </c>
      <c r="I383">
        <v>1</v>
      </c>
      <c r="J383">
        <v>1504236.69</v>
      </c>
      <c r="K383">
        <v>176675</v>
      </c>
      <c r="L383">
        <v>1590075</v>
      </c>
      <c r="M383">
        <v>294338.31</v>
      </c>
      <c r="N383">
        <v>1333927.19</v>
      </c>
      <c r="O383">
        <v>294559.78000000003</v>
      </c>
      <c r="P383">
        <v>1248088.8799999999</v>
      </c>
      <c r="Q383">
        <v>176675</v>
      </c>
      <c r="R383" t="s">
        <v>184</v>
      </c>
      <c r="S383"/>
      <c r="T383"/>
    </row>
    <row r="384" spans="1:20" ht="14.5" customHeight="1" x14ac:dyDescent="0.35">
      <c r="A384">
        <v>110</v>
      </c>
      <c r="B384" t="s">
        <v>155</v>
      </c>
      <c r="C384">
        <v>4810645.8600000003</v>
      </c>
      <c r="D384">
        <v>37464367.240000002</v>
      </c>
      <c r="E384">
        <v>3274419.43</v>
      </c>
      <c r="F384">
        <v>1</v>
      </c>
      <c r="G384">
        <v>3274419.43</v>
      </c>
      <c r="H384">
        <v>27789026.640000001</v>
      </c>
      <c r="I384">
        <v>1</v>
      </c>
      <c r="J384">
        <v>27789026.640000001</v>
      </c>
      <c r="K384">
        <v>3220676</v>
      </c>
      <c r="L384">
        <v>29666084</v>
      </c>
      <c r="M384">
        <v>1536226.43</v>
      </c>
      <c r="N384">
        <v>9675340.5999999996</v>
      </c>
      <c r="O384">
        <v>1589969.86</v>
      </c>
      <c r="P384">
        <v>7798283.2400000002</v>
      </c>
      <c r="Q384">
        <v>3220676</v>
      </c>
      <c r="R384" t="s">
        <v>184</v>
      </c>
      <c r="S384"/>
      <c r="T384"/>
    </row>
    <row r="385" spans="1:20" ht="14.5" customHeight="1" x14ac:dyDescent="0.35">
      <c r="A385">
        <v>120</v>
      </c>
      <c r="B385" t="s">
        <v>156</v>
      </c>
      <c r="C385">
        <v>4247920.67</v>
      </c>
      <c r="D385">
        <v>38669614.149999999</v>
      </c>
      <c r="E385">
        <v>1319054.21</v>
      </c>
      <c r="F385">
        <v>1</v>
      </c>
      <c r="G385">
        <v>1319054.21</v>
      </c>
      <c r="H385">
        <v>13143484.93</v>
      </c>
      <c r="I385">
        <v>1</v>
      </c>
      <c r="J385">
        <v>13143484.93</v>
      </c>
      <c r="K385">
        <v>3668378</v>
      </c>
      <c r="L385">
        <v>33959487</v>
      </c>
      <c r="M385">
        <v>2928866.46</v>
      </c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184</v>
      </c>
      <c r="S385"/>
      <c r="T385"/>
    </row>
    <row r="386" spans="1:20" ht="14.5" customHeight="1" x14ac:dyDescent="0.35">
      <c r="A386">
        <v>130</v>
      </c>
      <c r="B386" t="s">
        <v>157</v>
      </c>
      <c r="C386">
        <v>-1443842.63</v>
      </c>
      <c r="D386">
        <v>-171237.92</v>
      </c>
      <c r="E386">
        <v>-1240576.68</v>
      </c>
      <c r="F386">
        <v>1</v>
      </c>
      <c r="G386">
        <v>-1240576.68</v>
      </c>
      <c r="H386">
        <v>-3220211.41</v>
      </c>
      <c r="I386">
        <v>1</v>
      </c>
      <c r="J386">
        <v>-3220211.41</v>
      </c>
      <c r="K386">
        <v>-1228605</v>
      </c>
      <c r="L386">
        <v>-121269</v>
      </c>
      <c r="M386">
        <v>-203265.95</v>
      </c>
      <c r="N386">
        <v>3048973.49</v>
      </c>
      <c r="O386">
        <v>-215237.63</v>
      </c>
      <c r="P386">
        <v>-49968.92</v>
      </c>
      <c r="Q386">
        <v>520995</v>
      </c>
      <c r="R386" t="s">
        <v>184</v>
      </c>
      <c r="S386"/>
      <c r="T386"/>
    </row>
    <row r="387" spans="1:20" ht="14.5" customHeight="1" x14ac:dyDescent="0.35">
      <c r="A387">
        <v>135</v>
      </c>
      <c r="B387" t="s">
        <v>158</v>
      </c>
      <c r="C387">
        <v>-56226.58</v>
      </c>
      <c r="D387">
        <v>-606518.91</v>
      </c>
      <c r="E387">
        <v>-1000994.74</v>
      </c>
      <c r="F387">
        <v>1</v>
      </c>
      <c r="G387">
        <v>-1000994.74</v>
      </c>
      <c r="H387">
        <v>-5439050.3300000001</v>
      </c>
      <c r="I387">
        <v>1</v>
      </c>
      <c r="J387">
        <v>-5439050.3300000001</v>
      </c>
      <c r="K387">
        <v>0</v>
      </c>
      <c r="L387">
        <v>0</v>
      </c>
      <c r="M387">
        <v>944768.16</v>
      </c>
      <c r="N387">
        <v>4832531.42</v>
      </c>
      <c r="O387">
        <v>-56226.58</v>
      </c>
      <c r="P387">
        <v>-606518.91</v>
      </c>
      <c r="Q387">
        <v>0</v>
      </c>
      <c r="R387" t="s">
        <v>184</v>
      </c>
      <c r="S387"/>
      <c r="T387"/>
    </row>
    <row r="388" spans="1:20" ht="14.5" customHeight="1" x14ac:dyDescent="0.35">
      <c r="A388">
        <v>140</v>
      </c>
      <c r="B388" t="s">
        <v>159</v>
      </c>
      <c r="C388">
        <v>347434.77</v>
      </c>
      <c r="D388">
        <v>3331435.63</v>
      </c>
      <c r="E388">
        <v>382553.48</v>
      </c>
      <c r="F388">
        <v>1</v>
      </c>
      <c r="G388">
        <v>382553.48</v>
      </c>
      <c r="H388">
        <v>3050605.49</v>
      </c>
      <c r="I388">
        <v>1</v>
      </c>
      <c r="J388">
        <v>3050605.49</v>
      </c>
      <c r="K388">
        <v>361719</v>
      </c>
      <c r="L388">
        <v>3271581</v>
      </c>
      <c r="M388">
        <v>-35118.71</v>
      </c>
      <c r="N388">
        <v>280830.14</v>
      </c>
      <c r="O388">
        <v>-14284.23</v>
      </c>
      <c r="P388">
        <v>59854.63</v>
      </c>
      <c r="Q388">
        <v>377579</v>
      </c>
      <c r="R388" t="s">
        <v>184</v>
      </c>
      <c r="S388"/>
      <c r="T388"/>
    </row>
    <row r="389" spans="1:20" ht="14.5" customHeight="1" x14ac:dyDescent="0.35">
      <c r="A389">
        <v>150</v>
      </c>
      <c r="B389" t="s">
        <v>160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145736</v>
      </c>
      <c r="L389">
        <v>643411</v>
      </c>
      <c r="M389">
        <v>0</v>
      </c>
      <c r="N389">
        <v>0</v>
      </c>
      <c r="O389">
        <v>-145736</v>
      </c>
      <c r="P389">
        <v>-643411</v>
      </c>
      <c r="Q389">
        <v>163252</v>
      </c>
      <c r="R389" t="s">
        <v>184</v>
      </c>
      <c r="S389"/>
      <c r="T389"/>
    </row>
    <row r="390" spans="1:20" ht="14.5" customHeight="1" x14ac:dyDescent="0.35">
      <c r="A390">
        <v>155</v>
      </c>
      <c r="B390" t="s">
        <v>161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184</v>
      </c>
      <c r="S390"/>
      <c r="T390"/>
    </row>
    <row r="391" spans="1:20" ht="14.5" customHeight="1" x14ac:dyDescent="0.35">
      <c r="A391">
        <v>160</v>
      </c>
      <c r="B391" t="s">
        <v>162</v>
      </c>
      <c r="C391">
        <v>-1152634.44</v>
      </c>
      <c r="D391">
        <v>2553678.7999999998</v>
      </c>
      <c r="E391">
        <v>-1859017.94</v>
      </c>
      <c r="F391">
        <v>1</v>
      </c>
      <c r="G391">
        <v>-1859017.94</v>
      </c>
      <c r="H391">
        <v>-5608656.25</v>
      </c>
      <c r="I391">
        <v>1</v>
      </c>
      <c r="J391">
        <v>-5608656.25</v>
      </c>
      <c r="K391">
        <v>-1012622</v>
      </c>
      <c r="L391">
        <v>2506901</v>
      </c>
      <c r="M391">
        <v>706383.5</v>
      </c>
      <c r="N391">
        <v>8162335.0499999998</v>
      </c>
      <c r="O391">
        <v>-140012.44</v>
      </c>
      <c r="P391">
        <v>46777.8</v>
      </c>
      <c r="Q391">
        <v>735322</v>
      </c>
      <c r="R391" t="s">
        <v>184</v>
      </c>
      <c r="S391"/>
      <c r="T391"/>
    </row>
    <row r="392" spans="1:20" ht="14.5" customHeight="1" x14ac:dyDescent="0.35">
      <c r="A392">
        <v>170</v>
      </c>
      <c r="B392" t="s">
        <v>163</v>
      </c>
      <c r="C392">
        <v>5400555.1100000003</v>
      </c>
      <c r="D392">
        <v>36115935.350000001</v>
      </c>
      <c r="E392">
        <v>3178072.15</v>
      </c>
      <c r="F392">
        <v>1</v>
      </c>
      <c r="G392">
        <v>3178072.15</v>
      </c>
      <c r="H392">
        <v>18752141.18</v>
      </c>
      <c r="I392">
        <v>1</v>
      </c>
      <c r="J392">
        <v>18752141.18</v>
      </c>
      <c r="K392">
        <v>4681000</v>
      </c>
      <c r="L392">
        <v>31452586</v>
      </c>
      <c r="M392">
        <v>2222482.96</v>
      </c>
      <c r="N392">
        <v>17363794.170000002</v>
      </c>
      <c r="O392">
        <v>719555.11</v>
      </c>
      <c r="P392">
        <v>4663349.3499999996</v>
      </c>
      <c r="Q392">
        <v>3363526</v>
      </c>
      <c r="R392" t="s">
        <v>184</v>
      </c>
      <c r="S392"/>
      <c r="T392"/>
    </row>
    <row r="393" spans="1:20" x14ac:dyDescent="0.35">
      <c r="A393">
        <v>180</v>
      </c>
      <c r="B393" t="s">
        <v>164</v>
      </c>
      <c r="C393">
        <v>817628</v>
      </c>
      <c r="D393">
        <v>6955432</v>
      </c>
      <c r="E393">
        <v>791808</v>
      </c>
      <c r="F393">
        <v>1</v>
      </c>
      <c r="G393">
        <v>791808</v>
      </c>
      <c r="H393">
        <v>5062704</v>
      </c>
      <c r="I393">
        <v>1</v>
      </c>
      <c r="J393">
        <v>5062704</v>
      </c>
      <c r="K393">
        <v>0</v>
      </c>
      <c r="L393">
        <v>0</v>
      </c>
      <c r="M393">
        <v>25820</v>
      </c>
      <c r="N393">
        <v>1892728</v>
      </c>
      <c r="O393">
        <v>817628</v>
      </c>
      <c r="P393">
        <v>6955432</v>
      </c>
      <c r="Q393">
        <v>0</v>
      </c>
      <c r="R393" t="s">
        <v>184</v>
      </c>
      <c r="S393"/>
      <c r="T393"/>
    </row>
    <row r="394" spans="1:20" x14ac:dyDescent="0.35">
      <c r="A394">
        <v>190</v>
      </c>
      <c r="B394" t="s">
        <v>165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184</v>
      </c>
      <c r="S394"/>
      <c r="T394"/>
    </row>
    <row r="395" spans="1:20" ht="14.5" customHeight="1" x14ac:dyDescent="0.35">
      <c r="A395">
        <v>200</v>
      </c>
      <c r="B395" t="s">
        <v>166</v>
      </c>
      <c r="C395">
        <v>4582927.1100000003</v>
      </c>
      <c r="D395">
        <v>29160503.350000001</v>
      </c>
      <c r="E395">
        <v>2386264.15</v>
      </c>
      <c r="F395">
        <v>1</v>
      </c>
      <c r="G395">
        <v>2386264.15</v>
      </c>
      <c r="H395">
        <v>13689437.18</v>
      </c>
      <c r="I395">
        <v>1</v>
      </c>
      <c r="J395">
        <v>13689437.18</v>
      </c>
      <c r="K395">
        <v>4681000</v>
      </c>
      <c r="L395">
        <v>31452586</v>
      </c>
      <c r="M395">
        <v>2196662.96</v>
      </c>
      <c r="N395">
        <v>15471066.17</v>
      </c>
      <c r="O395">
        <v>-98072.89</v>
      </c>
      <c r="P395">
        <v>-2292082.65</v>
      </c>
      <c r="Q395">
        <v>3363526</v>
      </c>
      <c r="R395" t="s">
        <v>184</v>
      </c>
      <c r="S395"/>
      <c r="T395"/>
    </row>
    <row r="396" spans="1:20" ht="14.5" customHeight="1" x14ac:dyDescent="0.35">
      <c r="A396">
        <v>210</v>
      </c>
      <c r="B396" t="s">
        <v>167</v>
      </c>
      <c r="C396">
        <v>4719155.45</v>
      </c>
      <c r="D396">
        <v>41507778.030000001</v>
      </c>
      <c r="E396">
        <v>1495950.68</v>
      </c>
      <c r="F396">
        <v>1</v>
      </c>
      <c r="G396">
        <v>1495950.68</v>
      </c>
      <c r="H396">
        <v>14647721.619999999</v>
      </c>
      <c r="I396">
        <v>1</v>
      </c>
      <c r="J396">
        <v>14647721.619999999</v>
      </c>
      <c r="K396">
        <v>3845053</v>
      </c>
      <c r="L396">
        <v>35549562</v>
      </c>
      <c r="M396">
        <v>3223204.77</v>
      </c>
      <c r="N396">
        <v>26860056.41</v>
      </c>
      <c r="O396">
        <v>874102.45</v>
      </c>
      <c r="P396">
        <v>5958216.0300000003</v>
      </c>
      <c r="Q396">
        <v>4275523</v>
      </c>
      <c r="R396" t="s">
        <v>184</v>
      </c>
      <c r="S396"/>
      <c r="T396"/>
    </row>
    <row r="397" spans="1:20" s="183" customFormat="1" x14ac:dyDescent="0.35">
      <c r="A397" t="s">
        <v>248</v>
      </c>
      <c r="B397" t="s">
        <v>172</v>
      </c>
      <c r="C397" t="s">
        <v>205</v>
      </c>
      <c r="D397" t="s">
        <v>206</v>
      </c>
      <c r="E397" t="s">
        <v>175</v>
      </c>
      <c r="F397" t="s">
        <v>207</v>
      </c>
      <c r="G397" t="s">
        <v>208</v>
      </c>
      <c r="H397" t="s">
        <v>209</v>
      </c>
      <c r="I397" t="s">
        <v>210</v>
      </c>
      <c r="J397" t="s">
        <v>211</v>
      </c>
      <c r="K397" t="s">
        <v>212</v>
      </c>
      <c r="L397" t="s">
        <v>213</v>
      </c>
      <c r="M397" t="s">
        <v>231</v>
      </c>
      <c r="N397" t="s">
        <v>235</v>
      </c>
      <c r="O397" t="s">
        <v>236</v>
      </c>
      <c r="P397" t="s">
        <v>237</v>
      </c>
      <c r="Q397" t="s">
        <v>225</v>
      </c>
      <c r="R397" t="s">
        <v>183</v>
      </c>
      <c r="S397"/>
      <c r="T397"/>
    </row>
    <row r="398" spans="1:20" ht="14.5" customHeight="1" x14ac:dyDescent="0.35">
      <c r="A398">
        <v>30</v>
      </c>
      <c r="B398" t="s">
        <v>147</v>
      </c>
      <c r="C398">
        <v>1896692.77</v>
      </c>
      <c r="D398">
        <v>19524238.68</v>
      </c>
      <c r="E398">
        <v>1740465.18</v>
      </c>
      <c r="F398">
        <v>1</v>
      </c>
      <c r="G398">
        <v>1740465.18</v>
      </c>
      <c r="H398">
        <v>16068941.01</v>
      </c>
      <c r="I398">
        <v>1</v>
      </c>
      <c r="J398">
        <v>16068941.01</v>
      </c>
      <c r="K398">
        <v>6402935</v>
      </c>
      <c r="L398">
        <v>61260093</v>
      </c>
      <c r="M398">
        <v>156227.59</v>
      </c>
      <c r="N398">
        <v>3455297.67</v>
      </c>
      <c r="O398">
        <v>-4506242.2300000004</v>
      </c>
      <c r="P398">
        <v>-41735854.32</v>
      </c>
      <c r="Q398">
        <v>7619072</v>
      </c>
      <c r="R398" t="s">
        <v>184</v>
      </c>
      <c r="S398"/>
      <c r="T398"/>
    </row>
    <row r="399" spans="1:20" ht="14.5" customHeight="1" x14ac:dyDescent="0.35">
      <c r="A399">
        <v>40</v>
      </c>
      <c r="B399" t="s">
        <v>148</v>
      </c>
      <c r="C399">
        <v>-79266.77</v>
      </c>
      <c r="D399">
        <v>-667834.53</v>
      </c>
      <c r="E399">
        <v>-49059.66</v>
      </c>
      <c r="F399">
        <v>1</v>
      </c>
      <c r="G399">
        <v>-49059.66</v>
      </c>
      <c r="H399">
        <v>-304857.26</v>
      </c>
      <c r="I399">
        <v>1</v>
      </c>
      <c r="J399">
        <v>-304857.26</v>
      </c>
      <c r="K399">
        <v>0</v>
      </c>
      <c r="L399">
        <v>0</v>
      </c>
      <c r="M399">
        <v>-30207.11</v>
      </c>
      <c r="N399">
        <v>-362977.27</v>
      </c>
      <c r="O399">
        <v>-79266.77</v>
      </c>
      <c r="P399">
        <v>-667834.53</v>
      </c>
      <c r="Q399">
        <v>0</v>
      </c>
      <c r="R399" t="s">
        <v>184</v>
      </c>
      <c r="S399"/>
      <c r="T399"/>
    </row>
    <row r="400" spans="1:20" x14ac:dyDescent="0.35">
      <c r="A400">
        <v>50</v>
      </c>
      <c r="B400" t="s">
        <v>149</v>
      </c>
      <c r="C400">
        <v>1817426</v>
      </c>
      <c r="D400">
        <v>18856404.149999999</v>
      </c>
      <c r="E400">
        <v>1691405.52</v>
      </c>
      <c r="F400">
        <v>1</v>
      </c>
      <c r="G400">
        <v>1691405.52</v>
      </c>
      <c r="H400">
        <v>15764083.75</v>
      </c>
      <c r="I400">
        <v>1</v>
      </c>
      <c r="J400">
        <v>15764083.75</v>
      </c>
      <c r="K400">
        <v>6402935</v>
      </c>
      <c r="L400">
        <v>61260093</v>
      </c>
      <c r="M400">
        <v>126020.48</v>
      </c>
      <c r="N400">
        <v>3092320.4</v>
      </c>
      <c r="O400">
        <v>-4585509</v>
      </c>
      <c r="P400">
        <v>-42403688.850000001</v>
      </c>
      <c r="Q400">
        <v>7619072</v>
      </c>
      <c r="R400" t="s">
        <v>184</v>
      </c>
      <c r="S400"/>
      <c r="T400"/>
    </row>
    <row r="401" spans="1:20" x14ac:dyDescent="0.35">
      <c r="A401">
        <v>60</v>
      </c>
      <c r="B401" t="s">
        <v>150</v>
      </c>
      <c r="C401">
        <v>870397.46</v>
      </c>
      <c r="D401">
        <v>10564811.23</v>
      </c>
      <c r="E401">
        <v>1265911.3600000001</v>
      </c>
      <c r="F401">
        <v>1</v>
      </c>
      <c r="G401">
        <v>1265911.3600000001</v>
      </c>
      <c r="H401">
        <v>10849902.52</v>
      </c>
      <c r="I401">
        <v>1</v>
      </c>
      <c r="J401">
        <v>10849902.52</v>
      </c>
      <c r="K401">
        <v>4202068</v>
      </c>
      <c r="L401">
        <v>40586506</v>
      </c>
      <c r="M401">
        <v>-395513.9</v>
      </c>
      <c r="N401">
        <v>-285091.28999999998</v>
      </c>
      <c r="O401">
        <v>-3331670.54</v>
      </c>
      <c r="P401">
        <v>-30021694.77</v>
      </c>
      <c r="Q401">
        <v>5136409</v>
      </c>
      <c r="R401" t="s">
        <v>184</v>
      </c>
      <c r="S401"/>
      <c r="T401"/>
    </row>
    <row r="402" spans="1:20" x14ac:dyDescent="0.35">
      <c r="A402">
        <v>70</v>
      </c>
      <c r="B402" t="s">
        <v>151</v>
      </c>
      <c r="C402">
        <v>947028.54</v>
      </c>
      <c r="D402">
        <v>8291592.9199999999</v>
      </c>
      <c r="E402">
        <v>425494.16</v>
      </c>
      <c r="F402">
        <v>1</v>
      </c>
      <c r="G402">
        <v>425494.16</v>
      </c>
      <c r="H402">
        <v>4914181.2300000004</v>
      </c>
      <c r="I402">
        <v>1</v>
      </c>
      <c r="J402">
        <v>4914181.2300000004</v>
      </c>
      <c r="K402">
        <v>2200867</v>
      </c>
      <c r="L402">
        <v>20673587</v>
      </c>
      <c r="M402">
        <v>521534.38</v>
      </c>
      <c r="N402">
        <v>3377411.69</v>
      </c>
      <c r="O402">
        <v>-1253838.46</v>
      </c>
      <c r="P402">
        <v>-12381994.08</v>
      </c>
      <c r="Q402">
        <v>2482663</v>
      </c>
      <c r="R402" t="s">
        <v>184</v>
      </c>
      <c r="S402"/>
      <c r="T402"/>
    </row>
    <row r="403" spans="1:20" ht="14.5" customHeight="1" x14ac:dyDescent="0.35">
      <c r="A403">
        <v>80</v>
      </c>
      <c r="B403" t="s">
        <v>152</v>
      </c>
      <c r="C403">
        <v>810199.53</v>
      </c>
      <c r="D403">
        <v>9484770.8900000006</v>
      </c>
      <c r="E403">
        <v>531483.93000000005</v>
      </c>
      <c r="F403">
        <v>1</v>
      </c>
      <c r="G403">
        <v>531483.93000000005</v>
      </c>
      <c r="H403">
        <v>7475830.8600000003</v>
      </c>
      <c r="I403">
        <v>1</v>
      </c>
      <c r="J403">
        <v>7475830.8600000003</v>
      </c>
      <c r="K403">
        <v>927375</v>
      </c>
      <c r="L403">
        <v>8909267</v>
      </c>
      <c r="M403">
        <v>278715.59999999998</v>
      </c>
      <c r="N403">
        <v>2008940.03</v>
      </c>
      <c r="O403">
        <v>-117175.47</v>
      </c>
      <c r="P403">
        <v>575503.89</v>
      </c>
      <c r="Q403">
        <v>1043712</v>
      </c>
      <c r="R403" t="s">
        <v>184</v>
      </c>
      <c r="S403"/>
      <c r="T403"/>
    </row>
    <row r="404" spans="1:20" ht="14.5" customHeight="1" x14ac:dyDescent="0.35">
      <c r="A404">
        <v>90</v>
      </c>
      <c r="B404" t="s">
        <v>153</v>
      </c>
      <c r="C404">
        <v>0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t="s">
        <v>184</v>
      </c>
      <c r="S404"/>
      <c r="T404"/>
    </row>
    <row r="405" spans="1:20" ht="14.5" customHeight="1" x14ac:dyDescent="0.35">
      <c r="A405">
        <v>100</v>
      </c>
      <c r="B405" t="s">
        <v>154</v>
      </c>
      <c r="C405">
        <v>265911.81</v>
      </c>
      <c r="D405">
        <v>2238916.9700000002</v>
      </c>
      <c r="E405">
        <v>0</v>
      </c>
      <c r="F405">
        <v>1</v>
      </c>
      <c r="G405">
        <v>0</v>
      </c>
      <c r="H405">
        <v>0</v>
      </c>
      <c r="I405">
        <v>1</v>
      </c>
      <c r="J405">
        <v>0</v>
      </c>
      <c r="K405">
        <v>0</v>
      </c>
      <c r="L405">
        <v>0</v>
      </c>
      <c r="M405">
        <v>265911.81</v>
      </c>
      <c r="N405">
        <v>2238916.9700000002</v>
      </c>
      <c r="O405">
        <v>265911.81</v>
      </c>
      <c r="P405">
        <v>2238916.9700000002</v>
      </c>
      <c r="Q405">
        <v>0</v>
      </c>
      <c r="R405" t="s">
        <v>184</v>
      </c>
      <c r="S405"/>
      <c r="T405"/>
    </row>
    <row r="406" spans="1:20" ht="14.5" customHeight="1" x14ac:dyDescent="0.35">
      <c r="A406">
        <v>110</v>
      </c>
      <c r="B406" t="s">
        <v>155</v>
      </c>
      <c r="C406">
        <v>1076111.3400000001</v>
      </c>
      <c r="D406">
        <v>11723687.859999999</v>
      </c>
      <c r="E406">
        <v>531483.93000000005</v>
      </c>
      <c r="F406">
        <v>1</v>
      </c>
      <c r="G406">
        <v>531483.93000000005</v>
      </c>
      <c r="H406">
        <v>7475830.8600000003</v>
      </c>
      <c r="I406">
        <v>1</v>
      </c>
      <c r="J406">
        <v>7475830.8600000003</v>
      </c>
      <c r="K406">
        <v>927375</v>
      </c>
      <c r="L406">
        <v>8909267</v>
      </c>
      <c r="M406">
        <v>544627.41</v>
      </c>
      <c r="N406">
        <v>4247857</v>
      </c>
      <c r="O406">
        <v>148736.34</v>
      </c>
      <c r="P406">
        <v>2814420.86</v>
      </c>
      <c r="Q406">
        <v>1043712</v>
      </c>
      <c r="R406" t="s">
        <v>184</v>
      </c>
      <c r="S406"/>
      <c r="T406"/>
    </row>
    <row r="407" spans="1:20" ht="14.5" customHeight="1" x14ac:dyDescent="0.35">
      <c r="A407">
        <v>120</v>
      </c>
      <c r="B407" t="s">
        <v>156</v>
      </c>
      <c r="C407">
        <v>-129082.8</v>
      </c>
      <c r="D407">
        <v>-3432094.94</v>
      </c>
      <c r="E407">
        <v>-105989.77</v>
      </c>
      <c r="F407">
        <v>1</v>
      </c>
      <c r="G407">
        <v>-105989.77</v>
      </c>
      <c r="H407">
        <v>-2561649.63</v>
      </c>
      <c r="I407">
        <v>1</v>
      </c>
      <c r="J407">
        <v>-2561649.63</v>
      </c>
      <c r="K407">
        <v>1273492</v>
      </c>
      <c r="L407">
        <v>11764320</v>
      </c>
      <c r="M407">
        <v>-23093.03</v>
      </c>
      <c r="N407">
        <v>-870445.31</v>
      </c>
      <c r="O407">
        <v>-1402574.8</v>
      </c>
      <c r="P407">
        <v>-15196414.939999999</v>
      </c>
      <c r="Q407">
        <v>1438951</v>
      </c>
      <c r="R407" t="s">
        <v>184</v>
      </c>
      <c r="S407"/>
      <c r="T407"/>
    </row>
    <row r="408" spans="1:20" ht="14.5" customHeight="1" x14ac:dyDescent="0.35">
      <c r="A408">
        <v>130</v>
      </c>
      <c r="B408" t="s">
        <v>157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184</v>
      </c>
      <c r="S408"/>
      <c r="T408"/>
    </row>
    <row r="409" spans="1:20" ht="14.5" customHeight="1" x14ac:dyDescent="0.35">
      <c r="A409">
        <v>135</v>
      </c>
      <c r="B409" t="s">
        <v>158</v>
      </c>
      <c r="C409">
        <v>-6.55</v>
      </c>
      <c r="D409">
        <v>-62.6</v>
      </c>
      <c r="E409">
        <v>-2.6</v>
      </c>
      <c r="F409">
        <v>1</v>
      </c>
      <c r="G409">
        <v>-2.6</v>
      </c>
      <c r="H409">
        <v>-500060.36</v>
      </c>
      <c r="I409">
        <v>1</v>
      </c>
      <c r="J409">
        <v>-500060.36</v>
      </c>
      <c r="K409">
        <v>0</v>
      </c>
      <c r="L409">
        <v>0</v>
      </c>
      <c r="M409">
        <v>-3.95</v>
      </c>
      <c r="N409">
        <v>499997.76</v>
      </c>
      <c r="O409">
        <v>-6.55</v>
      </c>
      <c r="P409">
        <v>-62.6</v>
      </c>
      <c r="Q409">
        <v>0</v>
      </c>
      <c r="R409" t="s">
        <v>184</v>
      </c>
      <c r="S409"/>
      <c r="T409"/>
    </row>
    <row r="410" spans="1:20" ht="14.5" customHeight="1" x14ac:dyDescent="0.35">
      <c r="A410">
        <v>140</v>
      </c>
      <c r="B410" t="s">
        <v>159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14101.11</v>
      </c>
      <c r="I410">
        <v>1</v>
      </c>
      <c r="J410">
        <v>14101.11</v>
      </c>
      <c r="K410">
        <v>0</v>
      </c>
      <c r="L410">
        <v>0</v>
      </c>
      <c r="M410">
        <v>0</v>
      </c>
      <c r="N410">
        <v>-14101.11</v>
      </c>
      <c r="O410">
        <v>0</v>
      </c>
      <c r="P410">
        <v>0</v>
      </c>
      <c r="Q410">
        <v>0</v>
      </c>
      <c r="R410" t="s">
        <v>184</v>
      </c>
      <c r="S410"/>
      <c r="T410"/>
    </row>
    <row r="411" spans="1:20" ht="14.5" customHeight="1" x14ac:dyDescent="0.35">
      <c r="A411">
        <v>150</v>
      </c>
      <c r="B411" t="s">
        <v>160</v>
      </c>
      <c r="C411">
        <v>1.1200000000000001</v>
      </c>
      <c r="D411">
        <v>32.119999999999997</v>
      </c>
      <c r="E411">
        <v>1.53</v>
      </c>
      <c r="F411">
        <v>1</v>
      </c>
      <c r="G411">
        <v>1.53</v>
      </c>
      <c r="H411">
        <v>119.69</v>
      </c>
      <c r="I411">
        <v>1</v>
      </c>
      <c r="J411">
        <v>119.69</v>
      </c>
      <c r="K411">
        <v>52833</v>
      </c>
      <c r="L411">
        <v>332464</v>
      </c>
      <c r="M411">
        <v>-0.41</v>
      </c>
      <c r="N411">
        <v>-87.57</v>
      </c>
      <c r="O411">
        <v>-52831.88</v>
      </c>
      <c r="P411">
        <v>-332431.88</v>
      </c>
      <c r="Q411">
        <v>53948</v>
      </c>
      <c r="R411" t="s">
        <v>184</v>
      </c>
      <c r="S411"/>
      <c r="T411"/>
    </row>
    <row r="412" spans="1:20" ht="14.5" customHeight="1" x14ac:dyDescent="0.35">
      <c r="A412">
        <v>155</v>
      </c>
      <c r="B412" t="s">
        <v>161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184</v>
      </c>
      <c r="S412"/>
      <c r="T412"/>
    </row>
    <row r="413" spans="1:20" ht="14.5" customHeight="1" x14ac:dyDescent="0.35">
      <c r="A413">
        <v>160</v>
      </c>
      <c r="B413" t="s">
        <v>162</v>
      </c>
      <c r="C413">
        <v>-7.67</v>
      </c>
      <c r="D413">
        <v>-94.72</v>
      </c>
      <c r="E413">
        <v>-4.13</v>
      </c>
      <c r="F413">
        <v>1</v>
      </c>
      <c r="G413">
        <v>-4.13</v>
      </c>
      <c r="H413">
        <v>-486078.94</v>
      </c>
      <c r="I413">
        <v>1</v>
      </c>
      <c r="J413">
        <v>-486078.94</v>
      </c>
      <c r="K413">
        <v>-52833</v>
      </c>
      <c r="L413">
        <v>-332464</v>
      </c>
      <c r="M413">
        <v>-3.54</v>
      </c>
      <c r="N413">
        <v>485984.22</v>
      </c>
      <c r="O413">
        <v>52825.33</v>
      </c>
      <c r="P413">
        <v>332369.28000000003</v>
      </c>
      <c r="Q413">
        <v>-53948</v>
      </c>
      <c r="R413" t="s">
        <v>184</v>
      </c>
      <c r="S413"/>
      <c r="T413"/>
    </row>
    <row r="414" spans="1:20" ht="14.5" customHeight="1" x14ac:dyDescent="0.35">
      <c r="A414">
        <v>170</v>
      </c>
      <c r="B414" t="s">
        <v>163</v>
      </c>
      <c r="C414">
        <v>-129075.13</v>
      </c>
      <c r="D414">
        <v>-3432000.22</v>
      </c>
      <c r="E414">
        <v>-105985.64</v>
      </c>
      <c r="F414">
        <v>1</v>
      </c>
      <c r="G414">
        <v>-105985.64</v>
      </c>
      <c r="H414">
        <v>-2075570.69</v>
      </c>
      <c r="I414">
        <v>1</v>
      </c>
      <c r="J414">
        <v>-2075570.69</v>
      </c>
      <c r="K414">
        <v>1326325</v>
      </c>
      <c r="L414">
        <v>12096784</v>
      </c>
      <c r="M414">
        <v>-23089.49</v>
      </c>
      <c r="N414">
        <v>-1356429.53</v>
      </c>
      <c r="O414">
        <v>-1455400.13</v>
      </c>
      <c r="P414">
        <v>-15528784.220000001</v>
      </c>
      <c r="Q414">
        <v>1492899</v>
      </c>
      <c r="R414" t="s">
        <v>184</v>
      </c>
      <c r="S414"/>
      <c r="T414"/>
    </row>
    <row r="415" spans="1:20" x14ac:dyDescent="0.35">
      <c r="A415">
        <v>180</v>
      </c>
      <c r="B415" t="s">
        <v>164</v>
      </c>
      <c r="C415">
        <v>34199</v>
      </c>
      <c r="D415">
        <v>127943</v>
      </c>
      <c r="E415">
        <v>0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34199</v>
      </c>
      <c r="N415">
        <v>127943</v>
      </c>
      <c r="O415">
        <v>34199</v>
      </c>
      <c r="P415">
        <v>127943</v>
      </c>
      <c r="Q415">
        <v>0</v>
      </c>
      <c r="R415" t="s">
        <v>184</v>
      </c>
      <c r="S415"/>
      <c r="T415"/>
    </row>
    <row r="416" spans="1:20" x14ac:dyDescent="0.35">
      <c r="A416">
        <v>190</v>
      </c>
      <c r="B416" t="s">
        <v>165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184</v>
      </c>
      <c r="S416"/>
      <c r="T416"/>
    </row>
    <row r="417" spans="1:20" ht="14.5" customHeight="1" x14ac:dyDescent="0.35">
      <c r="A417">
        <v>200</v>
      </c>
      <c r="B417" t="s">
        <v>166</v>
      </c>
      <c r="C417">
        <v>-163274.13</v>
      </c>
      <c r="D417">
        <v>-3559943.22</v>
      </c>
      <c r="E417">
        <v>-105985.64</v>
      </c>
      <c r="F417">
        <v>1</v>
      </c>
      <c r="G417">
        <v>-105985.64</v>
      </c>
      <c r="H417">
        <v>-2075570.69</v>
      </c>
      <c r="I417">
        <v>1</v>
      </c>
      <c r="J417">
        <v>-2075570.69</v>
      </c>
      <c r="K417">
        <v>1326325</v>
      </c>
      <c r="L417">
        <v>12096784</v>
      </c>
      <c r="M417">
        <v>-57288.49</v>
      </c>
      <c r="N417">
        <v>-1484372.53</v>
      </c>
      <c r="O417">
        <v>-1489599.13</v>
      </c>
      <c r="P417">
        <v>-15656727.220000001</v>
      </c>
      <c r="Q417">
        <v>1492899</v>
      </c>
      <c r="R417" t="s">
        <v>184</v>
      </c>
      <c r="S417"/>
      <c r="T417"/>
    </row>
    <row r="418" spans="1:20" ht="14.5" customHeight="1" x14ac:dyDescent="0.35">
      <c r="A418">
        <v>210</v>
      </c>
      <c r="B418" t="s">
        <v>167</v>
      </c>
      <c r="C418">
        <v>136829.01</v>
      </c>
      <c r="D418">
        <v>-1193177.97</v>
      </c>
      <c r="E418">
        <v>-105989.77</v>
      </c>
      <c r="F418">
        <v>1</v>
      </c>
      <c r="G418">
        <v>-105989.77</v>
      </c>
      <c r="H418">
        <v>-2561649.63</v>
      </c>
      <c r="I418">
        <v>1</v>
      </c>
      <c r="J418">
        <v>-2561649.63</v>
      </c>
      <c r="K418">
        <v>1273492</v>
      </c>
      <c r="L418">
        <v>11764320</v>
      </c>
      <c r="M418">
        <v>242818.78</v>
      </c>
      <c r="N418">
        <v>1368471.66</v>
      </c>
      <c r="O418">
        <v>-1136662.99</v>
      </c>
      <c r="P418">
        <v>-12957497.970000001</v>
      </c>
      <c r="Q418">
        <v>1438951</v>
      </c>
      <c r="R418" t="s">
        <v>184</v>
      </c>
      <c r="S418"/>
      <c r="T418"/>
    </row>
    <row r="419" spans="1:20" s="184" customFormat="1" x14ac:dyDescent="0.35">
      <c r="A419" t="s">
        <v>249</v>
      </c>
      <c r="B419" t="s">
        <v>172</v>
      </c>
      <c r="C419" t="s">
        <v>205</v>
      </c>
      <c r="D419" t="s">
        <v>206</v>
      </c>
      <c r="E419" t="s">
        <v>175</v>
      </c>
      <c r="F419" t="s">
        <v>207</v>
      </c>
      <c r="G419" t="s">
        <v>208</v>
      </c>
      <c r="H419" t="s">
        <v>209</v>
      </c>
      <c r="I419" t="s">
        <v>210</v>
      </c>
      <c r="J419" t="s">
        <v>211</v>
      </c>
      <c r="K419" t="s">
        <v>212</v>
      </c>
      <c r="L419" t="s">
        <v>213</v>
      </c>
      <c r="M419" t="s">
        <v>231</v>
      </c>
      <c r="N419" t="s">
        <v>235</v>
      </c>
      <c r="O419" t="s">
        <v>236</v>
      </c>
      <c r="P419" t="s">
        <v>237</v>
      </c>
      <c r="Q419" t="s">
        <v>225</v>
      </c>
      <c r="R419" t="s">
        <v>226</v>
      </c>
      <c r="S419" t="s">
        <v>250</v>
      </c>
      <c r="T419" t="s">
        <v>183</v>
      </c>
    </row>
    <row r="420" spans="1:20" ht="14.5" customHeight="1" x14ac:dyDescent="0.35">
      <c r="A420">
        <v>30</v>
      </c>
      <c r="B420" t="s">
        <v>147</v>
      </c>
      <c r="C420">
        <v>2023544.26</v>
      </c>
      <c r="D420">
        <v>14127499.550000001</v>
      </c>
      <c r="E420">
        <v>1987378.27</v>
      </c>
      <c r="F420">
        <v>1</v>
      </c>
      <c r="G420">
        <v>1987378.27</v>
      </c>
      <c r="H420">
        <v>12015020.960000001</v>
      </c>
      <c r="I420">
        <v>1</v>
      </c>
      <c r="J420">
        <v>12015020.960000001</v>
      </c>
      <c r="K420">
        <v>1196162</v>
      </c>
      <c r="L420">
        <v>16727404</v>
      </c>
      <c r="M420">
        <v>36165.99</v>
      </c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184</v>
      </c>
    </row>
    <row r="421" spans="1:20" ht="14.5" customHeight="1" x14ac:dyDescent="0.35">
      <c r="A421">
        <v>40</v>
      </c>
      <c r="B421" t="s">
        <v>148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184</v>
      </c>
    </row>
    <row r="422" spans="1:20" x14ac:dyDescent="0.35">
      <c r="A422">
        <v>50</v>
      </c>
      <c r="B422" t="s">
        <v>149</v>
      </c>
      <c r="C422">
        <v>2023544.26</v>
      </c>
      <c r="D422">
        <v>14127499.550000001</v>
      </c>
      <c r="E422">
        <v>1987378.27</v>
      </c>
      <c r="F422">
        <v>1</v>
      </c>
      <c r="G422">
        <v>1987378.27</v>
      </c>
      <c r="H422">
        <v>12015020.960000001</v>
      </c>
      <c r="I422">
        <v>1</v>
      </c>
      <c r="J422">
        <v>12015020.960000001</v>
      </c>
      <c r="K422">
        <v>1196162</v>
      </c>
      <c r="L422">
        <v>16727404</v>
      </c>
      <c r="M422">
        <v>36165.99</v>
      </c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184</v>
      </c>
    </row>
    <row r="423" spans="1:20" x14ac:dyDescent="0.35">
      <c r="A423">
        <v>60</v>
      </c>
      <c r="B423" t="s">
        <v>150</v>
      </c>
      <c r="C423">
        <v>1241086.47</v>
      </c>
      <c r="D423">
        <v>10554780.550000001</v>
      </c>
      <c r="E423">
        <v>1463513.6</v>
      </c>
      <c r="F423">
        <v>1</v>
      </c>
      <c r="G423">
        <v>1463513.6</v>
      </c>
      <c r="H423">
        <v>8803018.4800000004</v>
      </c>
      <c r="I423">
        <v>1</v>
      </c>
      <c r="J423">
        <v>8803018.4800000004</v>
      </c>
      <c r="K423">
        <v>779550</v>
      </c>
      <c r="L423">
        <v>12537780</v>
      </c>
      <c r="M423">
        <v>-222427.13</v>
      </c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184</v>
      </c>
    </row>
    <row r="424" spans="1:20" x14ac:dyDescent="0.35">
      <c r="A424">
        <v>70</v>
      </c>
      <c r="B424" t="s">
        <v>151</v>
      </c>
      <c r="C424">
        <v>782457.79</v>
      </c>
      <c r="D424">
        <v>3572719</v>
      </c>
      <c r="E424">
        <v>523864.67</v>
      </c>
      <c r="F424">
        <v>1</v>
      </c>
      <c r="G424">
        <v>523864.67</v>
      </c>
      <c r="H424">
        <v>3212002.48</v>
      </c>
      <c r="I424">
        <v>1</v>
      </c>
      <c r="J424">
        <v>3212002.48</v>
      </c>
      <c r="K424">
        <v>416612</v>
      </c>
      <c r="L424">
        <v>4189624</v>
      </c>
      <c r="M424">
        <v>258593.12</v>
      </c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184</v>
      </c>
    </row>
    <row r="425" spans="1:20" ht="14.5" customHeight="1" x14ac:dyDescent="0.35">
      <c r="A425">
        <v>80</v>
      </c>
      <c r="B425" t="s">
        <v>152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184</v>
      </c>
    </row>
    <row r="426" spans="1:20" ht="14.5" customHeight="1" x14ac:dyDescent="0.35">
      <c r="A426">
        <v>90</v>
      </c>
      <c r="B426" t="s">
        <v>153</v>
      </c>
      <c r="C426">
        <v>129787.5</v>
      </c>
      <c r="D426">
        <v>1162608.5900000001</v>
      </c>
      <c r="E426">
        <v>103486.89</v>
      </c>
      <c r="F426">
        <v>1</v>
      </c>
      <c r="G426">
        <v>103486.89</v>
      </c>
      <c r="H426">
        <v>1003851.74</v>
      </c>
      <c r="I426">
        <v>1</v>
      </c>
      <c r="J426">
        <v>1003851.74</v>
      </c>
      <c r="K426">
        <v>115550</v>
      </c>
      <c r="L426">
        <v>1097950</v>
      </c>
      <c r="M426">
        <v>26300.61</v>
      </c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184</v>
      </c>
    </row>
    <row r="427" spans="1:20" ht="14.5" customHeight="1" x14ac:dyDescent="0.35">
      <c r="A427">
        <v>100</v>
      </c>
      <c r="B427" t="s">
        <v>154</v>
      </c>
      <c r="C427">
        <v>24823.91</v>
      </c>
      <c r="D427">
        <v>220032.99</v>
      </c>
      <c r="E427">
        <v>0</v>
      </c>
      <c r="F427">
        <v>1</v>
      </c>
      <c r="G427">
        <v>0</v>
      </c>
      <c r="H427">
        <v>192950.62</v>
      </c>
      <c r="I427">
        <v>1</v>
      </c>
      <c r="J427">
        <v>192950.62</v>
      </c>
      <c r="K427">
        <v>24300</v>
      </c>
      <c r="L427">
        <v>218700</v>
      </c>
      <c r="M427">
        <v>24823.91</v>
      </c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184</v>
      </c>
    </row>
    <row r="428" spans="1:20" ht="14.5" customHeight="1" x14ac:dyDescent="0.35">
      <c r="A428">
        <v>110</v>
      </c>
      <c r="B428" t="s">
        <v>155</v>
      </c>
      <c r="C428">
        <v>154611.41</v>
      </c>
      <c r="D428">
        <v>1382641.58</v>
      </c>
      <c r="E428">
        <v>103486.89</v>
      </c>
      <c r="F428">
        <v>1</v>
      </c>
      <c r="G428">
        <v>103486.89</v>
      </c>
      <c r="H428">
        <v>1196802.3600000001</v>
      </c>
      <c r="I428">
        <v>1</v>
      </c>
      <c r="J428">
        <v>1196802.3600000001</v>
      </c>
      <c r="K428">
        <v>139850</v>
      </c>
      <c r="L428">
        <v>1316650</v>
      </c>
      <c r="M428">
        <v>51124.52</v>
      </c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184</v>
      </c>
    </row>
    <row r="429" spans="1:20" ht="14.5" customHeight="1" x14ac:dyDescent="0.35">
      <c r="A429">
        <v>120</v>
      </c>
      <c r="B429" t="s">
        <v>156</v>
      </c>
      <c r="C429">
        <v>627846.38</v>
      </c>
      <c r="D429">
        <v>2190077.42</v>
      </c>
      <c r="E429">
        <v>420377.78</v>
      </c>
      <c r="F429">
        <v>1</v>
      </c>
      <c r="G429">
        <v>420377.78</v>
      </c>
      <c r="H429">
        <v>2015200.12</v>
      </c>
      <c r="I429">
        <v>1</v>
      </c>
      <c r="J429">
        <v>2015200.12</v>
      </c>
      <c r="K429">
        <v>276762</v>
      </c>
      <c r="L429">
        <v>2872974</v>
      </c>
      <c r="M429">
        <v>207468.6</v>
      </c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184</v>
      </c>
    </row>
    <row r="430" spans="1:20" ht="14.5" customHeight="1" x14ac:dyDescent="0.35">
      <c r="A430">
        <v>130</v>
      </c>
      <c r="B430" t="s">
        <v>157</v>
      </c>
      <c r="C430">
        <v>0</v>
      </c>
      <c r="D430">
        <v>-88796.45</v>
      </c>
      <c r="E430">
        <v>-92364.24</v>
      </c>
      <c r="F430">
        <v>1</v>
      </c>
      <c r="G430">
        <v>-92364.24</v>
      </c>
      <c r="H430">
        <v>-313011.90000000002</v>
      </c>
      <c r="I430">
        <v>1</v>
      </c>
      <c r="J430">
        <v>-313011.90000000002</v>
      </c>
      <c r="K430">
        <v>-52638</v>
      </c>
      <c r="L430">
        <v>-9885</v>
      </c>
      <c r="M430">
        <v>92364.24</v>
      </c>
      <c r="N430">
        <v>224215.45</v>
      </c>
      <c r="O430">
        <v>52638</v>
      </c>
      <c r="P430">
        <v>-78911.45</v>
      </c>
      <c r="Q430">
        <v>22050</v>
      </c>
      <c r="R430">
        <v>345435.97</v>
      </c>
      <c r="S430">
        <v>0</v>
      </c>
      <c r="T430" t="s">
        <v>184</v>
      </c>
    </row>
    <row r="431" spans="1:20" ht="14.5" customHeight="1" x14ac:dyDescent="0.35">
      <c r="A431">
        <v>135</v>
      </c>
      <c r="B431" t="s">
        <v>158</v>
      </c>
      <c r="C431">
        <v>0</v>
      </c>
      <c r="D431">
        <v>0</v>
      </c>
      <c r="E431">
        <v>0</v>
      </c>
      <c r="F431">
        <v>1</v>
      </c>
      <c r="G431">
        <v>0</v>
      </c>
      <c r="H431">
        <v>0</v>
      </c>
      <c r="I431">
        <v>1</v>
      </c>
      <c r="J431">
        <v>0</v>
      </c>
      <c r="K431">
        <v>-28208</v>
      </c>
      <c r="L431">
        <v>113610</v>
      </c>
      <c r="M431">
        <v>0</v>
      </c>
      <c r="N431">
        <v>0</v>
      </c>
      <c r="O431">
        <v>28208</v>
      </c>
      <c r="P431">
        <v>-113610</v>
      </c>
      <c r="Q431">
        <v>44958</v>
      </c>
      <c r="R431">
        <v>0</v>
      </c>
      <c r="S431">
        <v>0</v>
      </c>
      <c r="T431" t="s">
        <v>184</v>
      </c>
    </row>
    <row r="432" spans="1:20" ht="14.5" customHeight="1" x14ac:dyDescent="0.35">
      <c r="A432">
        <v>140</v>
      </c>
      <c r="B432" t="s">
        <v>159</v>
      </c>
      <c r="C432">
        <v>1732.98</v>
      </c>
      <c r="D432">
        <v>140204.57999999999</v>
      </c>
      <c r="E432">
        <v>34564.080000000002</v>
      </c>
      <c r="F432">
        <v>1</v>
      </c>
      <c r="G432">
        <v>34564.080000000002</v>
      </c>
      <c r="H432">
        <v>323734.07</v>
      </c>
      <c r="I432">
        <v>1</v>
      </c>
      <c r="J432">
        <v>323734.07</v>
      </c>
      <c r="K432">
        <v>-28208</v>
      </c>
      <c r="L432">
        <v>113610</v>
      </c>
      <c r="M432">
        <v>-32831.1</v>
      </c>
      <c r="N432">
        <v>-183529.49</v>
      </c>
      <c r="O432">
        <v>29940.98</v>
      </c>
      <c r="P432">
        <v>26594.58</v>
      </c>
      <c r="Q432">
        <v>44958</v>
      </c>
      <c r="R432">
        <v>33051.370000000003</v>
      </c>
      <c r="S432">
        <v>0</v>
      </c>
      <c r="T432" t="s">
        <v>184</v>
      </c>
    </row>
    <row r="433" spans="1:20" ht="14.5" customHeight="1" x14ac:dyDescent="0.35">
      <c r="A433">
        <v>150</v>
      </c>
      <c r="B433" t="s">
        <v>160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15794</v>
      </c>
      <c r="L433">
        <v>70913</v>
      </c>
      <c r="M433">
        <v>0</v>
      </c>
      <c r="N433">
        <v>0</v>
      </c>
      <c r="O433">
        <v>-15794</v>
      </c>
      <c r="P433">
        <v>-70913</v>
      </c>
      <c r="Q433">
        <v>20308</v>
      </c>
      <c r="R433">
        <v>0</v>
      </c>
      <c r="S433">
        <v>0</v>
      </c>
      <c r="T433" t="s">
        <v>184</v>
      </c>
    </row>
    <row r="434" spans="1:20" ht="14.5" customHeight="1" x14ac:dyDescent="0.35">
      <c r="A434">
        <v>155</v>
      </c>
      <c r="B434" t="s">
        <v>161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184</v>
      </c>
    </row>
    <row r="435" spans="1:20" ht="14.5" customHeight="1" x14ac:dyDescent="0.35">
      <c r="A435">
        <v>160</v>
      </c>
      <c r="B435" t="s">
        <v>162</v>
      </c>
      <c r="C435">
        <v>1732.98</v>
      </c>
      <c r="D435">
        <v>51408.13</v>
      </c>
      <c r="E435">
        <v>-57800.160000000003</v>
      </c>
      <c r="F435">
        <v>1</v>
      </c>
      <c r="G435">
        <v>-57800.160000000003</v>
      </c>
      <c r="H435">
        <v>10722.17</v>
      </c>
      <c r="I435">
        <v>1</v>
      </c>
      <c r="J435">
        <v>10722.17</v>
      </c>
      <c r="K435">
        <v>-124848</v>
      </c>
      <c r="L435">
        <v>146422</v>
      </c>
      <c r="M435">
        <v>59533.14</v>
      </c>
      <c r="N435">
        <v>40685.96</v>
      </c>
      <c r="O435">
        <v>126580.98</v>
      </c>
      <c r="P435">
        <v>-95013.87</v>
      </c>
      <c r="Q435">
        <v>91658</v>
      </c>
      <c r="R435">
        <v>378487.34</v>
      </c>
      <c r="S435">
        <v>0</v>
      </c>
      <c r="T435" t="s">
        <v>184</v>
      </c>
    </row>
    <row r="436" spans="1:20" ht="14.5" customHeight="1" x14ac:dyDescent="0.35">
      <c r="A436">
        <v>170</v>
      </c>
      <c r="B436" t="s">
        <v>163</v>
      </c>
      <c r="C436">
        <v>626113.4</v>
      </c>
      <c r="D436">
        <v>2138669.29</v>
      </c>
      <c r="E436">
        <v>478177.94</v>
      </c>
      <c r="F436">
        <v>1</v>
      </c>
      <c r="G436">
        <v>478177.94</v>
      </c>
      <c r="H436">
        <v>2004477.95</v>
      </c>
      <c r="I436">
        <v>1</v>
      </c>
      <c r="J436">
        <v>2004477.95</v>
      </c>
      <c r="K436">
        <v>401610</v>
      </c>
      <c r="L436">
        <v>2726552</v>
      </c>
      <c r="M436">
        <v>147935.46</v>
      </c>
      <c r="N436">
        <v>134191.34</v>
      </c>
      <c r="O436">
        <v>224503.4</v>
      </c>
      <c r="P436">
        <v>-587882.71</v>
      </c>
      <c r="Q436">
        <v>71074</v>
      </c>
      <c r="R436">
        <v>-94495.47</v>
      </c>
      <c r="S436">
        <v>0</v>
      </c>
      <c r="T436" t="s">
        <v>184</v>
      </c>
    </row>
    <row r="437" spans="1:20" x14ac:dyDescent="0.35">
      <c r="A437">
        <v>180</v>
      </c>
      <c r="B437" t="s">
        <v>164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2392</v>
      </c>
      <c r="L437">
        <v>33454</v>
      </c>
      <c r="M437">
        <v>0</v>
      </c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184</v>
      </c>
    </row>
    <row r="438" spans="1:20" x14ac:dyDescent="0.35">
      <c r="A438">
        <v>190</v>
      </c>
      <c r="B438" t="s">
        <v>165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184</v>
      </c>
    </row>
    <row r="439" spans="1:20" ht="14.5" customHeight="1" x14ac:dyDescent="0.35">
      <c r="A439">
        <v>200</v>
      </c>
      <c r="B439" t="s">
        <v>166</v>
      </c>
      <c r="C439">
        <v>626113.4</v>
      </c>
      <c r="D439">
        <v>2138669.29</v>
      </c>
      <c r="E439">
        <v>478177.94</v>
      </c>
      <c r="F439">
        <v>1</v>
      </c>
      <c r="G439">
        <v>478177.94</v>
      </c>
      <c r="H439">
        <v>2004477.95</v>
      </c>
      <c r="I439">
        <v>1</v>
      </c>
      <c r="J439">
        <v>2004477.95</v>
      </c>
      <c r="K439">
        <v>399218</v>
      </c>
      <c r="L439">
        <v>2693098</v>
      </c>
      <c r="M439">
        <v>147935.46</v>
      </c>
      <c r="N439">
        <v>134191.34</v>
      </c>
      <c r="O439">
        <v>226895.4</v>
      </c>
      <c r="P439">
        <v>-554428.71</v>
      </c>
      <c r="Q439">
        <v>69291</v>
      </c>
      <c r="R439">
        <v>-94495.47</v>
      </c>
      <c r="S439">
        <v>0</v>
      </c>
      <c r="T439" t="s">
        <v>184</v>
      </c>
    </row>
    <row r="440" spans="1:20" ht="14.5" customHeight="1" x14ac:dyDescent="0.35">
      <c r="A440">
        <v>210</v>
      </c>
      <c r="B440" t="s">
        <v>167</v>
      </c>
      <c r="C440">
        <v>652670.29</v>
      </c>
      <c r="D440">
        <v>2410110.41</v>
      </c>
      <c r="E440">
        <v>420377.78</v>
      </c>
      <c r="F440">
        <v>1</v>
      </c>
      <c r="G440">
        <v>420377.78</v>
      </c>
      <c r="H440">
        <v>2208150.7400000002</v>
      </c>
      <c r="I440">
        <v>1</v>
      </c>
      <c r="J440">
        <v>2208150.7400000002</v>
      </c>
      <c r="K440">
        <v>301062</v>
      </c>
      <c r="L440">
        <v>3091674</v>
      </c>
      <c r="M440">
        <v>232292.51</v>
      </c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184</v>
      </c>
    </row>
    <row r="441" spans="1:20" s="184" customFormat="1" x14ac:dyDescent="0.35">
      <c r="A441" t="s">
        <v>251</v>
      </c>
      <c r="B441" t="s">
        <v>172</v>
      </c>
      <c r="C441" t="s">
        <v>205</v>
      </c>
      <c r="D441" t="s">
        <v>206</v>
      </c>
      <c r="E441" t="s">
        <v>175</v>
      </c>
      <c r="F441" t="s">
        <v>207</v>
      </c>
      <c r="G441" t="s">
        <v>208</v>
      </c>
      <c r="H441" t="s">
        <v>209</v>
      </c>
      <c r="I441" t="s">
        <v>210</v>
      </c>
      <c r="J441" t="s">
        <v>211</v>
      </c>
      <c r="K441" t="s">
        <v>212</v>
      </c>
      <c r="L441" t="s">
        <v>213</v>
      </c>
      <c r="M441" t="s">
        <v>231</v>
      </c>
      <c r="N441" t="s">
        <v>235</v>
      </c>
      <c r="O441" t="s">
        <v>236</v>
      </c>
      <c r="P441" t="s">
        <v>237</v>
      </c>
      <c r="Q441" t="s">
        <v>225</v>
      </c>
      <c r="R441" t="s">
        <v>226</v>
      </c>
      <c r="S441" t="s">
        <v>250</v>
      </c>
      <c r="T441" t="s">
        <v>183</v>
      </c>
    </row>
    <row r="442" spans="1:20" ht="14.5" customHeight="1" x14ac:dyDescent="0.35">
      <c r="A442">
        <v>30</v>
      </c>
      <c r="B442" t="s">
        <v>147</v>
      </c>
      <c r="C442">
        <v>5470369.7000000002</v>
      </c>
      <c r="D442">
        <v>32521509.210000001</v>
      </c>
      <c r="E442">
        <v>2630914.9300000002</v>
      </c>
      <c r="F442">
        <v>1</v>
      </c>
      <c r="G442">
        <v>2630914.9300000002</v>
      </c>
      <c r="H442">
        <v>12382138.6</v>
      </c>
      <c r="I442">
        <v>1</v>
      </c>
      <c r="J442">
        <v>12382138.6</v>
      </c>
      <c r="K442">
        <v>1869980</v>
      </c>
      <c r="L442">
        <v>21172667</v>
      </c>
      <c r="M442">
        <v>2839454.77</v>
      </c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184</v>
      </c>
    </row>
    <row r="443" spans="1:20" ht="14.5" customHeight="1" x14ac:dyDescent="0.35">
      <c r="A443">
        <v>40</v>
      </c>
      <c r="B443" t="s">
        <v>148</v>
      </c>
      <c r="C443">
        <v>-437500</v>
      </c>
      <c r="D443">
        <v>-4147994.43</v>
      </c>
      <c r="E443">
        <v>0</v>
      </c>
      <c r="F443">
        <v>1</v>
      </c>
      <c r="G443">
        <v>0</v>
      </c>
      <c r="H443">
        <v>-1384757.37</v>
      </c>
      <c r="I443">
        <v>1</v>
      </c>
      <c r="J443">
        <v>-1384757.37</v>
      </c>
      <c r="K443">
        <v>0</v>
      </c>
      <c r="L443">
        <v>0</v>
      </c>
      <c r="M443">
        <v>-437500</v>
      </c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184</v>
      </c>
    </row>
    <row r="444" spans="1:20" x14ac:dyDescent="0.35">
      <c r="A444">
        <v>50</v>
      </c>
      <c r="B444" t="s">
        <v>149</v>
      </c>
      <c r="C444">
        <v>5032869.7</v>
      </c>
      <c r="D444">
        <v>28373514.780000001</v>
      </c>
      <c r="E444">
        <v>2630914.9300000002</v>
      </c>
      <c r="F444">
        <v>1</v>
      </c>
      <c r="G444">
        <v>2630914.9300000002</v>
      </c>
      <c r="H444">
        <v>10997381.23</v>
      </c>
      <c r="I444">
        <v>1</v>
      </c>
      <c r="J444">
        <v>10997381.23</v>
      </c>
      <c r="K444">
        <v>1869980</v>
      </c>
      <c r="L444">
        <v>21172667</v>
      </c>
      <c r="M444">
        <v>2401954.77</v>
      </c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184</v>
      </c>
    </row>
    <row r="445" spans="1:20" x14ac:dyDescent="0.35">
      <c r="A445">
        <v>60</v>
      </c>
      <c r="B445" t="s">
        <v>150</v>
      </c>
      <c r="C445">
        <v>2331681.37</v>
      </c>
      <c r="D445">
        <v>14133457.77</v>
      </c>
      <c r="E445">
        <v>1082709.06</v>
      </c>
      <c r="F445">
        <v>1</v>
      </c>
      <c r="G445">
        <v>1082709.06</v>
      </c>
      <c r="H445">
        <v>4828552.24</v>
      </c>
      <c r="I445">
        <v>1</v>
      </c>
      <c r="J445">
        <v>4828552.24</v>
      </c>
      <c r="K445">
        <v>818061</v>
      </c>
      <c r="L445">
        <v>10130323</v>
      </c>
      <c r="M445">
        <v>1248972.31</v>
      </c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184</v>
      </c>
    </row>
    <row r="446" spans="1:20" x14ac:dyDescent="0.35">
      <c r="A446">
        <v>70</v>
      </c>
      <c r="B446" t="s">
        <v>151</v>
      </c>
      <c r="C446">
        <v>2701188.33</v>
      </c>
      <c r="D446">
        <v>14240057.01</v>
      </c>
      <c r="E446">
        <v>1548205.87</v>
      </c>
      <c r="F446">
        <v>1</v>
      </c>
      <c r="G446">
        <v>1548205.87</v>
      </c>
      <c r="H446">
        <v>6168828.9900000002</v>
      </c>
      <c r="I446">
        <v>1</v>
      </c>
      <c r="J446">
        <v>6168828.9900000002</v>
      </c>
      <c r="K446">
        <v>1051919</v>
      </c>
      <c r="L446">
        <v>11042344</v>
      </c>
      <c r="M446">
        <v>1152982.46</v>
      </c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184</v>
      </c>
    </row>
    <row r="447" spans="1:20" ht="14.5" customHeight="1" x14ac:dyDescent="0.35">
      <c r="A447">
        <v>80</v>
      </c>
      <c r="B447" t="s">
        <v>152</v>
      </c>
      <c r="C447">
        <v>251893.67</v>
      </c>
      <c r="D447">
        <v>1440607.62</v>
      </c>
      <c r="E447">
        <v>143743.97</v>
      </c>
      <c r="F447">
        <v>1</v>
      </c>
      <c r="G447">
        <v>143743.97</v>
      </c>
      <c r="H447">
        <v>740475.16</v>
      </c>
      <c r="I447">
        <v>1</v>
      </c>
      <c r="J447">
        <v>740475.16</v>
      </c>
      <c r="K447">
        <v>99845</v>
      </c>
      <c r="L447">
        <v>1062766</v>
      </c>
      <c r="M447">
        <v>108149.7</v>
      </c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184</v>
      </c>
    </row>
    <row r="448" spans="1:20" ht="14.5" customHeight="1" x14ac:dyDescent="0.35">
      <c r="A448">
        <v>90</v>
      </c>
      <c r="B448" t="s">
        <v>153</v>
      </c>
      <c r="C448">
        <v>160675.1</v>
      </c>
      <c r="D448">
        <v>1471788.74</v>
      </c>
      <c r="E448">
        <v>342656.71</v>
      </c>
      <c r="F448">
        <v>1</v>
      </c>
      <c r="G448">
        <v>342656.71</v>
      </c>
      <c r="H448">
        <v>2542280.85</v>
      </c>
      <c r="I448">
        <v>1</v>
      </c>
      <c r="J448">
        <v>2542280.85</v>
      </c>
      <c r="K448">
        <v>167000</v>
      </c>
      <c r="L448">
        <v>1407000</v>
      </c>
      <c r="M448">
        <v>-181981.61</v>
      </c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184</v>
      </c>
    </row>
    <row r="449" spans="1:20" ht="14.5" customHeight="1" x14ac:dyDescent="0.35">
      <c r="A449">
        <v>100</v>
      </c>
      <c r="B449" t="s">
        <v>154</v>
      </c>
      <c r="C449">
        <v>0</v>
      </c>
      <c r="D449">
        <v>26814.12</v>
      </c>
      <c r="E449">
        <v>0</v>
      </c>
      <c r="F449">
        <v>1</v>
      </c>
      <c r="G449">
        <v>0</v>
      </c>
      <c r="H449">
        <v>9223.92</v>
      </c>
      <c r="I449">
        <v>1</v>
      </c>
      <c r="J449">
        <v>9223.92</v>
      </c>
      <c r="K449">
        <v>3625</v>
      </c>
      <c r="L449">
        <v>32625</v>
      </c>
      <c r="M449">
        <v>0</v>
      </c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184</v>
      </c>
    </row>
    <row r="450" spans="1:20" ht="14.5" customHeight="1" x14ac:dyDescent="0.35">
      <c r="A450">
        <v>110</v>
      </c>
      <c r="B450" t="s">
        <v>155</v>
      </c>
      <c r="C450">
        <v>412568.77</v>
      </c>
      <c r="D450">
        <v>2939210.48</v>
      </c>
      <c r="E450">
        <v>486400.68</v>
      </c>
      <c r="F450">
        <v>1</v>
      </c>
      <c r="G450">
        <v>486400.68</v>
      </c>
      <c r="H450">
        <v>3291979.93</v>
      </c>
      <c r="I450">
        <v>1</v>
      </c>
      <c r="J450">
        <v>3291979.93</v>
      </c>
      <c r="K450">
        <v>270470</v>
      </c>
      <c r="L450">
        <v>2502391</v>
      </c>
      <c r="M450">
        <v>-73831.91</v>
      </c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184</v>
      </c>
    </row>
    <row r="451" spans="1:20" ht="14.5" customHeight="1" x14ac:dyDescent="0.35">
      <c r="A451">
        <v>120</v>
      </c>
      <c r="B451" t="s">
        <v>156</v>
      </c>
      <c r="C451">
        <v>2288619.56</v>
      </c>
      <c r="D451">
        <v>11300846.529999999</v>
      </c>
      <c r="E451">
        <v>1061805.19</v>
      </c>
      <c r="F451">
        <v>1</v>
      </c>
      <c r="G451">
        <v>1061805.19</v>
      </c>
      <c r="H451">
        <v>2876849.06</v>
      </c>
      <c r="I451">
        <v>1</v>
      </c>
      <c r="J451">
        <v>2876849.06</v>
      </c>
      <c r="K451">
        <v>781449</v>
      </c>
      <c r="L451">
        <v>8539953</v>
      </c>
      <c r="M451">
        <v>1226814.3700000001</v>
      </c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184</v>
      </c>
    </row>
    <row r="452" spans="1:20" ht="14.5" customHeight="1" x14ac:dyDescent="0.35">
      <c r="A452">
        <v>130</v>
      </c>
      <c r="B452" t="s">
        <v>157</v>
      </c>
      <c r="C452">
        <v>54610.25</v>
      </c>
      <c r="D452">
        <v>-269631.32</v>
      </c>
      <c r="E452">
        <v>-20314.759999999998</v>
      </c>
      <c r="F452">
        <v>1</v>
      </c>
      <c r="G452">
        <v>-20314.759999999998</v>
      </c>
      <c r="H452">
        <v>-572687.18999999994</v>
      </c>
      <c r="I452">
        <v>1</v>
      </c>
      <c r="J452">
        <v>-572687.18999999994</v>
      </c>
      <c r="K452">
        <v>-93000</v>
      </c>
      <c r="L452">
        <v>-837000</v>
      </c>
      <c r="M452">
        <v>74925.009999999995</v>
      </c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184</v>
      </c>
    </row>
    <row r="453" spans="1:20" ht="14.5" customHeight="1" x14ac:dyDescent="0.35">
      <c r="A453">
        <v>135</v>
      </c>
      <c r="B453" t="s">
        <v>158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184</v>
      </c>
    </row>
    <row r="454" spans="1:20" ht="14.5" customHeight="1" x14ac:dyDescent="0.35">
      <c r="A454">
        <v>140</v>
      </c>
      <c r="B454" t="s">
        <v>159</v>
      </c>
      <c r="C454">
        <v>2715.54</v>
      </c>
      <c r="D454">
        <v>16502.900000000001</v>
      </c>
      <c r="E454">
        <v>2221.1999999999998</v>
      </c>
      <c r="F454">
        <v>1</v>
      </c>
      <c r="G454">
        <v>2221.1999999999998</v>
      </c>
      <c r="H454">
        <v>16310.28</v>
      </c>
      <c r="I454">
        <v>1</v>
      </c>
      <c r="J454">
        <v>16310.28</v>
      </c>
      <c r="K454">
        <v>3000</v>
      </c>
      <c r="L454">
        <v>27000</v>
      </c>
      <c r="M454">
        <v>494.34</v>
      </c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184</v>
      </c>
    </row>
    <row r="455" spans="1:20" ht="14.5" customHeight="1" x14ac:dyDescent="0.35">
      <c r="A455">
        <v>150</v>
      </c>
      <c r="B455" t="s">
        <v>160</v>
      </c>
      <c r="C455">
        <v>509583.39</v>
      </c>
      <c r="D455">
        <v>3758746.6</v>
      </c>
      <c r="E455">
        <v>242837.91</v>
      </c>
      <c r="F455">
        <v>1</v>
      </c>
      <c r="G455">
        <v>242837.91</v>
      </c>
      <c r="H455">
        <v>2766521.75</v>
      </c>
      <c r="I455">
        <v>1</v>
      </c>
      <c r="J455">
        <v>2766521.75</v>
      </c>
      <c r="K455">
        <v>250000</v>
      </c>
      <c r="L455">
        <v>2250000</v>
      </c>
      <c r="M455">
        <v>266745.48</v>
      </c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184</v>
      </c>
    </row>
    <row r="456" spans="1:20" ht="14.5" customHeight="1" x14ac:dyDescent="0.35">
      <c r="A456">
        <v>155</v>
      </c>
      <c r="B456" t="s">
        <v>161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184</v>
      </c>
    </row>
    <row r="457" spans="1:20" ht="14.5" customHeight="1" x14ac:dyDescent="0.35">
      <c r="A457">
        <v>160</v>
      </c>
      <c r="B457" t="s">
        <v>162</v>
      </c>
      <c r="C457">
        <v>-452257.6</v>
      </c>
      <c r="D457">
        <v>-4011875.02</v>
      </c>
      <c r="E457">
        <v>-260931.47</v>
      </c>
      <c r="F457">
        <v>1</v>
      </c>
      <c r="G457">
        <v>-260931.47</v>
      </c>
      <c r="H457">
        <v>-3322898.66</v>
      </c>
      <c r="I457">
        <v>1</v>
      </c>
      <c r="J457">
        <v>-3322898.66</v>
      </c>
      <c r="K457">
        <v>-340000</v>
      </c>
      <c r="L457">
        <v>-3060000</v>
      </c>
      <c r="M457">
        <v>-191326.13</v>
      </c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184</v>
      </c>
    </row>
    <row r="458" spans="1:20" ht="14.5" customHeight="1" x14ac:dyDescent="0.35">
      <c r="A458">
        <v>170</v>
      </c>
      <c r="B458" t="s">
        <v>163</v>
      </c>
      <c r="C458">
        <v>2740877.16</v>
      </c>
      <c r="D458">
        <v>15312721.550000001</v>
      </c>
      <c r="E458">
        <v>1322736.6599999999</v>
      </c>
      <c r="F458">
        <v>1</v>
      </c>
      <c r="G458">
        <v>1322736.6599999999</v>
      </c>
      <c r="H458">
        <v>6199747.7199999997</v>
      </c>
      <c r="I458">
        <v>1</v>
      </c>
      <c r="J458">
        <v>6199747.7199999997</v>
      </c>
      <c r="K458">
        <v>1121449</v>
      </c>
      <c r="L458">
        <v>11599953</v>
      </c>
      <c r="M458">
        <v>1418140.5</v>
      </c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184</v>
      </c>
    </row>
    <row r="459" spans="1:20" x14ac:dyDescent="0.35">
      <c r="A459">
        <v>180</v>
      </c>
      <c r="B459" t="s">
        <v>164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56099</v>
      </c>
      <c r="L459">
        <v>635180</v>
      </c>
      <c r="M459">
        <v>0</v>
      </c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184</v>
      </c>
    </row>
    <row r="460" spans="1:20" x14ac:dyDescent="0.35">
      <c r="A460">
        <v>190</v>
      </c>
      <c r="B460" t="s">
        <v>165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184</v>
      </c>
    </row>
    <row r="461" spans="1:20" ht="14.5" customHeight="1" x14ac:dyDescent="0.35">
      <c r="A461">
        <v>200</v>
      </c>
      <c r="B461" t="s">
        <v>166</v>
      </c>
      <c r="C461">
        <v>2740877.16</v>
      </c>
      <c r="D461">
        <v>15312721.550000001</v>
      </c>
      <c r="E461">
        <v>1322736.6599999999</v>
      </c>
      <c r="F461">
        <v>1</v>
      </c>
      <c r="G461">
        <v>1322736.6599999999</v>
      </c>
      <c r="H461">
        <v>6199747.7199999997</v>
      </c>
      <c r="I461">
        <v>1</v>
      </c>
      <c r="J461">
        <v>6199747.7199999997</v>
      </c>
      <c r="K461">
        <v>1065350</v>
      </c>
      <c r="L461">
        <v>10964773</v>
      </c>
      <c r="M461">
        <v>1418140.5</v>
      </c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184</v>
      </c>
    </row>
    <row r="462" spans="1:20" ht="14.5" customHeight="1" x14ac:dyDescent="0.35">
      <c r="A462">
        <v>210</v>
      </c>
      <c r="B462" t="s">
        <v>167</v>
      </c>
      <c r="C462">
        <v>2288619.56</v>
      </c>
      <c r="D462">
        <v>11327660.65</v>
      </c>
      <c r="E462">
        <v>1061805.19</v>
      </c>
      <c r="F462">
        <v>1</v>
      </c>
      <c r="G462">
        <v>1061805.19</v>
      </c>
      <c r="H462">
        <v>2886072.98</v>
      </c>
      <c r="I462">
        <v>1</v>
      </c>
      <c r="J462">
        <v>2886072.98</v>
      </c>
      <c r="K462">
        <v>785074</v>
      </c>
      <c r="L462">
        <v>8572578</v>
      </c>
      <c r="M462">
        <v>1226814.3700000001</v>
      </c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184</v>
      </c>
    </row>
    <row r="463" spans="1:20" s="185" customFormat="1" x14ac:dyDescent="0.35">
      <c r="A463" t="s">
        <v>252</v>
      </c>
      <c r="B463" t="s">
        <v>172</v>
      </c>
      <c r="C463" t="s">
        <v>205</v>
      </c>
      <c r="D463" t="s">
        <v>206</v>
      </c>
      <c r="E463" t="s">
        <v>175</v>
      </c>
      <c r="F463" t="s">
        <v>207</v>
      </c>
      <c r="G463" t="s">
        <v>208</v>
      </c>
      <c r="H463" t="s">
        <v>209</v>
      </c>
      <c r="I463" t="s">
        <v>210</v>
      </c>
      <c r="J463" t="s">
        <v>211</v>
      </c>
      <c r="K463" t="s">
        <v>212</v>
      </c>
      <c r="L463" t="s">
        <v>213</v>
      </c>
      <c r="M463" t="s">
        <v>231</v>
      </c>
      <c r="N463" t="s">
        <v>235</v>
      </c>
      <c r="O463" t="s">
        <v>236</v>
      </c>
      <c r="P463" t="s">
        <v>237</v>
      </c>
      <c r="Q463" t="s">
        <v>183</v>
      </c>
      <c r="R463"/>
      <c r="S463"/>
      <c r="T463"/>
    </row>
    <row r="464" spans="1:20" ht="14.5" customHeight="1" x14ac:dyDescent="0.35">
      <c r="A464">
        <v>30</v>
      </c>
      <c r="B464" t="s">
        <v>253</v>
      </c>
      <c r="C464">
        <v>261352.04</v>
      </c>
      <c r="D464">
        <v>2633691.2000000002</v>
      </c>
      <c r="E464">
        <v>287910.38</v>
      </c>
      <c r="F464">
        <v>1</v>
      </c>
      <c r="G464">
        <v>287910.38</v>
      </c>
      <c r="H464">
        <v>2723599.25</v>
      </c>
      <c r="I464">
        <v>1</v>
      </c>
      <c r="J464">
        <v>2723599.25</v>
      </c>
      <c r="K464">
        <v>292819</v>
      </c>
      <c r="L464">
        <v>2753617</v>
      </c>
      <c r="M464">
        <v>-26558.34</v>
      </c>
      <c r="N464">
        <v>-89908.05</v>
      </c>
      <c r="O464">
        <v>-31466.959999999999</v>
      </c>
      <c r="P464">
        <v>-119925.8</v>
      </c>
      <c r="Q464" t="s">
        <v>184</v>
      </c>
      <c r="R464"/>
      <c r="S464"/>
      <c r="T464"/>
    </row>
    <row r="465" spans="1:20" ht="14.5" customHeight="1" x14ac:dyDescent="0.35">
      <c r="A465">
        <v>40</v>
      </c>
      <c r="B465" t="s">
        <v>254</v>
      </c>
      <c r="C465">
        <v>684.79</v>
      </c>
      <c r="D465">
        <v>29421.24</v>
      </c>
      <c r="E465">
        <v>5595.86</v>
      </c>
      <c r="F465">
        <v>1</v>
      </c>
      <c r="G465">
        <v>5595.86</v>
      </c>
      <c r="H465">
        <v>63512.08</v>
      </c>
      <c r="I465">
        <v>1</v>
      </c>
      <c r="J465">
        <v>63512.08</v>
      </c>
      <c r="K465">
        <v>0</v>
      </c>
      <c r="L465">
        <v>0</v>
      </c>
      <c r="M465">
        <v>-4911.07</v>
      </c>
      <c r="N465">
        <v>-34090.839999999997</v>
      </c>
      <c r="O465">
        <v>684.79</v>
      </c>
      <c r="P465">
        <v>29421.24</v>
      </c>
      <c r="Q465" t="s">
        <v>184</v>
      </c>
      <c r="R465"/>
      <c r="S465"/>
      <c r="T465"/>
    </row>
    <row r="466" spans="1:20" x14ac:dyDescent="0.35">
      <c r="A466">
        <v>50</v>
      </c>
      <c r="B466" t="s">
        <v>255</v>
      </c>
      <c r="C466">
        <v>260667.25</v>
      </c>
      <c r="D466">
        <v>2604269.96</v>
      </c>
      <c r="E466">
        <v>282314.52</v>
      </c>
      <c r="F466">
        <v>1</v>
      </c>
      <c r="G466">
        <v>282314.52</v>
      </c>
      <c r="H466">
        <v>2660087.17</v>
      </c>
      <c r="I466">
        <v>1</v>
      </c>
      <c r="J466">
        <v>2660087.17</v>
      </c>
      <c r="K466">
        <v>292819</v>
      </c>
      <c r="L466">
        <v>2753617</v>
      </c>
      <c r="M466">
        <v>-21647.27</v>
      </c>
      <c r="N466">
        <v>-55817.21</v>
      </c>
      <c r="O466">
        <v>-32151.75</v>
      </c>
      <c r="P466">
        <v>-149347.04</v>
      </c>
      <c r="Q466" t="s">
        <v>184</v>
      </c>
      <c r="R466"/>
      <c r="S466"/>
      <c r="T466"/>
    </row>
    <row r="467" spans="1:20" x14ac:dyDescent="0.35">
      <c r="A467">
        <v>60</v>
      </c>
      <c r="B467" t="s">
        <v>256</v>
      </c>
      <c r="C467">
        <v>85984.03</v>
      </c>
      <c r="D467">
        <v>869743.21</v>
      </c>
      <c r="E467">
        <v>98590.31</v>
      </c>
      <c r="F467">
        <v>1</v>
      </c>
      <c r="G467">
        <v>98590.31</v>
      </c>
      <c r="H467">
        <v>946249.33</v>
      </c>
      <c r="I467">
        <v>1</v>
      </c>
      <c r="J467">
        <v>946249.33</v>
      </c>
      <c r="K467">
        <v>104097</v>
      </c>
      <c r="L467">
        <v>978910</v>
      </c>
      <c r="M467">
        <v>-12606.28</v>
      </c>
      <c r="N467">
        <v>-76506.12</v>
      </c>
      <c r="O467">
        <v>-18112.97</v>
      </c>
      <c r="P467">
        <v>-109166.79</v>
      </c>
      <c r="Q467" t="s">
        <v>184</v>
      </c>
      <c r="R467"/>
      <c r="S467"/>
      <c r="T467"/>
    </row>
    <row r="468" spans="1:20" x14ac:dyDescent="0.35">
      <c r="A468">
        <v>65</v>
      </c>
      <c r="B468" t="s">
        <v>257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184</v>
      </c>
      <c r="R468"/>
      <c r="S468"/>
      <c r="T468"/>
    </row>
    <row r="469" spans="1:20" x14ac:dyDescent="0.35">
      <c r="A469">
        <v>70</v>
      </c>
      <c r="B469" t="s">
        <v>258</v>
      </c>
      <c r="C469">
        <v>174683.22</v>
      </c>
      <c r="D469">
        <v>1734526.75</v>
      </c>
      <c r="E469">
        <v>183724.21</v>
      </c>
      <c r="F469">
        <v>1</v>
      </c>
      <c r="G469">
        <v>183724.21</v>
      </c>
      <c r="H469">
        <v>1713837.84</v>
      </c>
      <c r="I469">
        <v>1</v>
      </c>
      <c r="J469">
        <v>1713837.84</v>
      </c>
      <c r="K469">
        <v>188722</v>
      </c>
      <c r="L469">
        <v>1774707</v>
      </c>
      <c r="M469">
        <v>-9040.99</v>
      </c>
      <c r="N469">
        <v>20688.91</v>
      </c>
      <c r="O469">
        <v>-14038.78</v>
      </c>
      <c r="P469">
        <v>-40180.25</v>
      </c>
      <c r="Q469" t="s">
        <v>184</v>
      </c>
      <c r="R469"/>
      <c r="S469"/>
      <c r="T469"/>
    </row>
    <row r="470" spans="1:20" ht="14.5" customHeight="1" x14ac:dyDescent="0.35">
      <c r="A470">
        <v>80</v>
      </c>
      <c r="B470" t="s">
        <v>259</v>
      </c>
      <c r="C470">
        <v>184638.92</v>
      </c>
      <c r="D470">
        <v>1702639.09</v>
      </c>
      <c r="E470">
        <v>189038.89</v>
      </c>
      <c r="F470">
        <v>1</v>
      </c>
      <c r="G470">
        <v>189038.89</v>
      </c>
      <c r="H470">
        <v>1795509.65</v>
      </c>
      <c r="I470">
        <v>1</v>
      </c>
      <c r="J470">
        <v>1795509.65</v>
      </c>
      <c r="K470">
        <v>199881</v>
      </c>
      <c r="L470">
        <v>1831691</v>
      </c>
      <c r="M470">
        <v>-4399.97</v>
      </c>
      <c r="N470">
        <v>-92870.56</v>
      </c>
      <c r="O470">
        <v>-15242.08</v>
      </c>
      <c r="P470">
        <v>-129051.91</v>
      </c>
      <c r="Q470" t="s">
        <v>184</v>
      </c>
      <c r="R470"/>
      <c r="S470"/>
      <c r="T470"/>
    </row>
    <row r="471" spans="1:20" ht="14.5" customHeight="1" x14ac:dyDescent="0.35">
      <c r="A471">
        <v>90</v>
      </c>
      <c r="B471" t="s">
        <v>260</v>
      </c>
      <c r="C471">
        <v>11426.98</v>
      </c>
      <c r="D471">
        <v>99874.17</v>
      </c>
      <c r="E471">
        <v>14392.81</v>
      </c>
      <c r="F471">
        <v>1</v>
      </c>
      <c r="G471">
        <v>14392.81</v>
      </c>
      <c r="H471">
        <v>129284.23</v>
      </c>
      <c r="I471">
        <v>1</v>
      </c>
      <c r="J471">
        <v>129284.23</v>
      </c>
      <c r="K471">
        <v>12559</v>
      </c>
      <c r="L471">
        <v>120117</v>
      </c>
      <c r="M471">
        <v>-2965.83</v>
      </c>
      <c r="N471">
        <v>-29410.06</v>
      </c>
      <c r="O471">
        <v>-1132.02</v>
      </c>
      <c r="P471">
        <v>-20242.830000000002</v>
      </c>
      <c r="Q471" t="s">
        <v>184</v>
      </c>
      <c r="R471"/>
      <c r="S471"/>
      <c r="T471"/>
    </row>
    <row r="472" spans="1:20" ht="14.5" customHeight="1" x14ac:dyDescent="0.35">
      <c r="A472">
        <v>100</v>
      </c>
      <c r="B472" t="s">
        <v>261</v>
      </c>
      <c r="C472">
        <v>1960.67</v>
      </c>
      <c r="D472">
        <v>16305.65</v>
      </c>
      <c r="E472">
        <v>1863.32</v>
      </c>
      <c r="F472">
        <v>1</v>
      </c>
      <c r="G472">
        <v>1863.32</v>
      </c>
      <c r="H472">
        <v>16769.88</v>
      </c>
      <c r="I472">
        <v>1</v>
      </c>
      <c r="J472">
        <v>16769.88</v>
      </c>
      <c r="K472">
        <v>0</v>
      </c>
      <c r="L472">
        <v>0</v>
      </c>
      <c r="M472">
        <v>97.35</v>
      </c>
      <c r="N472">
        <v>-464.23</v>
      </c>
      <c r="O472">
        <v>1960.67</v>
      </c>
      <c r="P472">
        <v>16305.65</v>
      </c>
      <c r="Q472" t="s">
        <v>184</v>
      </c>
      <c r="R472"/>
      <c r="S472"/>
      <c r="T472"/>
    </row>
    <row r="473" spans="1:20" ht="14.5" customHeight="1" x14ac:dyDescent="0.35">
      <c r="A473">
        <v>110</v>
      </c>
      <c r="B473" t="s">
        <v>262</v>
      </c>
      <c r="C473">
        <v>198026.57</v>
      </c>
      <c r="D473">
        <v>1818818.91</v>
      </c>
      <c r="E473">
        <v>205295.02</v>
      </c>
      <c r="F473">
        <v>1</v>
      </c>
      <c r="G473">
        <v>205295.02</v>
      </c>
      <c r="H473">
        <v>1941563.76</v>
      </c>
      <c r="I473">
        <v>1</v>
      </c>
      <c r="J473">
        <v>1941563.76</v>
      </c>
      <c r="K473">
        <v>212440</v>
      </c>
      <c r="L473">
        <v>1951808</v>
      </c>
      <c r="M473">
        <v>-7268.45</v>
      </c>
      <c r="N473">
        <v>-122744.85</v>
      </c>
      <c r="O473">
        <v>-14413.43</v>
      </c>
      <c r="P473">
        <v>-132989.09</v>
      </c>
      <c r="Q473" t="s">
        <v>184</v>
      </c>
      <c r="R473"/>
      <c r="S473"/>
      <c r="T473"/>
    </row>
    <row r="474" spans="1:20" ht="14.5" customHeight="1" x14ac:dyDescent="0.35">
      <c r="A474">
        <v>120</v>
      </c>
      <c r="B474" t="s">
        <v>263</v>
      </c>
      <c r="C474">
        <v>-23343.35</v>
      </c>
      <c r="D474">
        <v>-84292.160000000003</v>
      </c>
      <c r="E474">
        <v>-21570.81</v>
      </c>
      <c r="F474">
        <v>1</v>
      </c>
      <c r="G474">
        <v>-21570.81</v>
      </c>
      <c r="H474">
        <v>-227725.92</v>
      </c>
      <c r="I474">
        <v>1</v>
      </c>
      <c r="J474">
        <v>-227725.92</v>
      </c>
      <c r="K474">
        <v>-23718</v>
      </c>
      <c r="L474">
        <v>-177101</v>
      </c>
      <c r="M474">
        <v>-1772.54</v>
      </c>
      <c r="N474">
        <v>143433.76</v>
      </c>
      <c r="O474">
        <v>374.65</v>
      </c>
      <c r="P474">
        <v>92808.84</v>
      </c>
      <c r="Q474" t="s">
        <v>184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184</v>
      </c>
      <c r="R475"/>
      <c r="S475"/>
      <c r="T475"/>
    </row>
    <row r="476" spans="1:20" ht="14.5" customHeight="1" x14ac:dyDescent="0.35">
      <c r="A476">
        <v>135</v>
      </c>
      <c r="B476" t="s">
        <v>264</v>
      </c>
      <c r="C476">
        <v>-3147.22</v>
      </c>
      <c r="D476">
        <v>-18564.97</v>
      </c>
      <c r="E476">
        <v>-5449.24</v>
      </c>
      <c r="F476">
        <v>1</v>
      </c>
      <c r="G476">
        <v>-5449.24</v>
      </c>
      <c r="H476">
        <v>-15400.39</v>
      </c>
      <c r="I476">
        <v>1</v>
      </c>
      <c r="J476">
        <v>-15400.39</v>
      </c>
      <c r="K476">
        <v>-1550</v>
      </c>
      <c r="L476">
        <v>-13950</v>
      </c>
      <c r="M476">
        <v>2302.02</v>
      </c>
      <c r="N476">
        <v>-3164.58</v>
      </c>
      <c r="O476">
        <v>-1597.22</v>
      </c>
      <c r="P476">
        <v>-4614.97</v>
      </c>
      <c r="Q476" t="s">
        <v>184</v>
      </c>
      <c r="R476"/>
      <c r="S476"/>
      <c r="T476"/>
    </row>
    <row r="477" spans="1:20" ht="14.5" customHeight="1" x14ac:dyDescent="0.35">
      <c r="A477">
        <v>140</v>
      </c>
      <c r="B477" t="s">
        <v>265</v>
      </c>
      <c r="C477">
        <v>0</v>
      </c>
      <c r="D477">
        <v>4088.67</v>
      </c>
      <c r="E477">
        <v>5918.1</v>
      </c>
      <c r="F477">
        <v>1</v>
      </c>
      <c r="G477">
        <v>5918.1</v>
      </c>
      <c r="H477">
        <v>14118.23</v>
      </c>
      <c r="I477">
        <v>1</v>
      </c>
      <c r="J477">
        <v>14118.23</v>
      </c>
      <c r="K477">
        <v>0</v>
      </c>
      <c r="L477">
        <v>4404</v>
      </c>
      <c r="M477">
        <v>-5918.1</v>
      </c>
      <c r="N477">
        <v>-10029.56</v>
      </c>
      <c r="O477">
        <v>0</v>
      </c>
      <c r="P477">
        <v>-315.33</v>
      </c>
      <c r="Q477" t="s">
        <v>184</v>
      </c>
      <c r="R477"/>
      <c r="S477"/>
      <c r="T477"/>
    </row>
    <row r="478" spans="1:20" ht="14.5" customHeight="1" x14ac:dyDescent="0.35">
      <c r="A478">
        <v>150</v>
      </c>
      <c r="B478" t="s">
        <v>266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184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184</v>
      </c>
      <c r="R479"/>
      <c r="S479"/>
      <c r="T479"/>
    </row>
    <row r="480" spans="1:20" ht="14.5" customHeight="1" x14ac:dyDescent="0.35">
      <c r="A480">
        <v>160</v>
      </c>
      <c r="B480" t="s">
        <v>267</v>
      </c>
      <c r="C480">
        <v>-3147.22</v>
      </c>
      <c r="D480">
        <v>-14476.3</v>
      </c>
      <c r="E480">
        <v>468.86</v>
      </c>
      <c r="F480">
        <v>1</v>
      </c>
      <c r="G480">
        <v>468.86</v>
      </c>
      <c r="H480">
        <v>-1282.1600000000001</v>
      </c>
      <c r="I480">
        <v>1</v>
      </c>
      <c r="J480">
        <v>-1282.1600000000001</v>
      </c>
      <c r="K480">
        <v>-1550</v>
      </c>
      <c r="L480">
        <v>-9546</v>
      </c>
      <c r="M480">
        <v>-3616.08</v>
      </c>
      <c r="N480">
        <v>-13194.14</v>
      </c>
      <c r="O480">
        <v>-1597.22</v>
      </c>
      <c r="P480">
        <v>-4930.3</v>
      </c>
      <c r="Q480" t="s">
        <v>184</v>
      </c>
      <c r="R480"/>
      <c r="S480"/>
      <c r="T480"/>
    </row>
    <row r="481" spans="1:20" ht="14.5" customHeight="1" x14ac:dyDescent="0.35">
      <c r="A481">
        <v>170</v>
      </c>
      <c r="B481" t="s">
        <v>268</v>
      </c>
      <c r="C481">
        <v>-20196.13</v>
      </c>
      <c r="D481">
        <v>-69815.86</v>
      </c>
      <c r="E481">
        <v>-22039.67</v>
      </c>
      <c r="F481">
        <v>1</v>
      </c>
      <c r="G481">
        <v>-22039.67</v>
      </c>
      <c r="H481">
        <v>-226443.76</v>
      </c>
      <c r="I481">
        <v>1</v>
      </c>
      <c r="J481">
        <v>-226443.76</v>
      </c>
      <c r="K481">
        <v>-22168</v>
      </c>
      <c r="L481">
        <v>-167555</v>
      </c>
      <c r="M481">
        <v>1843.54</v>
      </c>
      <c r="N481">
        <v>156627.9</v>
      </c>
      <c r="O481">
        <v>1971.87</v>
      </c>
      <c r="P481">
        <v>97739.14</v>
      </c>
      <c r="Q481" t="s">
        <v>184</v>
      </c>
      <c r="R481"/>
      <c r="S481"/>
      <c r="T481"/>
    </row>
    <row r="482" spans="1:20" x14ac:dyDescent="0.35">
      <c r="A482">
        <v>180</v>
      </c>
      <c r="B482" t="s">
        <v>269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184</v>
      </c>
      <c r="R482"/>
      <c r="S482"/>
      <c r="T482"/>
    </row>
    <row r="483" spans="1:20" x14ac:dyDescent="0.35">
      <c r="A483">
        <v>190</v>
      </c>
      <c r="B483" t="s">
        <v>270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184</v>
      </c>
      <c r="R483"/>
      <c r="S483"/>
      <c r="T483"/>
    </row>
    <row r="484" spans="1:20" ht="14.5" customHeight="1" x14ac:dyDescent="0.35">
      <c r="A484">
        <v>200</v>
      </c>
      <c r="B484" t="s">
        <v>271</v>
      </c>
      <c r="C484">
        <v>-20196.13</v>
      </c>
      <c r="D484">
        <v>-69815.86</v>
      </c>
      <c r="E484">
        <v>-22039.67</v>
      </c>
      <c r="F484">
        <v>1</v>
      </c>
      <c r="G484">
        <v>-22039.67</v>
      </c>
      <c r="H484">
        <v>-226443.76</v>
      </c>
      <c r="I484">
        <v>1</v>
      </c>
      <c r="J484">
        <v>-226443.76</v>
      </c>
      <c r="K484">
        <v>-22168</v>
      </c>
      <c r="L484">
        <v>-167555</v>
      </c>
      <c r="M484">
        <v>1843.54</v>
      </c>
      <c r="N484">
        <v>156627.9</v>
      </c>
      <c r="O484">
        <v>1971.87</v>
      </c>
      <c r="P484">
        <v>97739.14</v>
      </c>
      <c r="Q484" t="s">
        <v>184</v>
      </c>
      <c r="R484"/>
      <c r="S484"/>
      <c r="T484"/>
    </row>
    <row r="485" spans="1:20" ht="14.5" customHeight="1" x14ac:dyDescent="0.35">
      <c r="A485">
        <v>210</v>
      </c>
      <c r="B485" t="s">
        <v>272</v>
      </c>
      <c r="C485">
        <v>-21382.68</v>
      </c>
      <c r="D485">
        <v>-67986.509999999995</v>
      </c>
      <c r="E485">
        <v>-19707.490000000002</v>
      </c>
      <c r="F485">
        <v>1</v>
      </c>
      <c r="G485">
        <v>-19707.490000000002</v>
      </c>
      <c r="H485">
        <v>-210956.04</v>
      </c>
      <c r="I485">
        <v>1</v>
      </c>
      <c r="J485">
        <v>-210956.04</v>
      </c>
      <c r="K485">
        <v>-23718</v>
      </c>
      <c r="L485">
        <v>-177101</v>
      </c>
      <c r="M485">
        <v>-1675.19</v>
      </c>
      <c r="N485">
        <v>142969.53</v>
      </c>
      <c r="O485">
        <v>2335.3200000000002</v>
      </c>
      <c r="P485">
        <v>109114.49</v>
      </c>
      <c r="Q485" t="s">
        <v>184</v>
      </c>
      <c r="R485"/>
      <c r="S485"/>
      <c r="T485"/>
    </row>
    <row r="486" spans="1:20" s="185" customFormat="1" x14ac:dyDescent="0.35">
      <c r="A486" t="s">
        <v>273</v>
      </c>
      <c r="B486" t="s">
        <v>172</v>
      </c>
      <c r="C486" t="s">
        <v>205</v>
      </c>
      <c r="D486" t="s">
        <v>206</v>
      </c>
      <c r="E486" t="s">
        <v>175</v>
      </c>
      <c r="F486" t="s">
        <v>207</v>
      </c>
      <c r="G486" t="s">
        <v>208</v>
      </c>
      <c r="H486" t="s">
        <v>209</v>
      </c>
      <c r="I486" t="s">
        <v>210</v>
      </c>
      <c r="J486" t="s">
        <v>211</v>
      </c>
      <c r="K486" t="s">
        <v>212</v>
      </c>
      <c r="L486" t="s">
        <v>213</v>
      </c>
      <c r="M486" t="s">
        <v>231</v>
      </c>
      <c r="N486" t="s">
        <v>235</v>
      </c>
      <c r="O486" t="s">
        <v>236</v>
      </c>
      <c r="P486" t="s">
        <v>237</v>
      </c>
      <c r="Q486" t="s">
        <v>183</v>
      </c>
      <c r="R486"/>
      <c r="S486"/>
      <c r="T486"/>
    </row>
    <row r="487" spans="1:20" ht="14.5" customHeight="1" x14ac:dyDescent="0.35">
      <c r="A487">
        <v>30</v>
      </c>
      <c r="B487" t="s">
        <v>253</v>
      </c>
      <c r="C487">
        <v>627587.32999999996</v>
      </c>
      <c r="D487">
        <v>5587199.1200000001</v>
      </c>
      <c r="E487">
        <v>626310.91</v>
      </c>
      <c r="F487">
        <v>1</v>
      </c>
      <c r="G487">
        <v>626310.91</v>
      </c>
      <c r="H487">
        <v>5831543.75</v>
      </c>
      <c r="I487">
        <v>1</v>
      </c>
      <c r="J487">
        <v>5831543.75</v>
      </c>
      <c r="K487">
        <v>646863</v>
      </c>
      <c r="L487">
        <v>6049130</v>
      </c>
      <c r="M487">
        <v>1276.42</v>
      </c>
      <c r="N487">
        <v>-244344.63</v>
      </c>
      <c r="O487">
        <v>-19275.669999999998</v>
      </c>
      <c r="P487">
        <v>-461930.88</v>
      </c>
      <c r="Q487" t="s">
        <v>184</v>
      </c>
      <c r="R487"/>
      <c r="S487"/>
      <c r="T487"/>
    </row>
    <row r="488" spans="1:20" ht="14.5" customHeight="1" x14ac:dyDescent="0.35">
      <c r="A488">
        <v>40</v>
      </c>
      <c r="B488" t="s">
        <v>254</v>
      </c>
      <c r="C488">
        <v>699.98</v>
      </c>
      <c r="D488">
        <v>10299.17</v>
      </c>
      <c r="E488">
        <v>9109.7000000000007</v>
      </c>
      <c r="F488">
        <v>1</v>
      </c>
      <c r="G488">
        <v>9109.7000000000007</v>
      </c>
      <c r="H488">
        <v>92511.2</v>
      </c>
      <c r="I488">
        <v>1</v>
      </c>
      <c r="J488">
        <v>92511.2</v>
      </c>
      <c r="K488">
        <v>0</v>
      </c>
      <c r="L488">
        <v>0</v>
      </c>
      <c r="M488">
        <v>-8409.7199999999993</v>
      </c>
      <c r="N488">
        <v>-82212.03</v>
      </c>
      <c r="O488">
        <v>699.98</v>
      </c>
      <c r="P488">
        <v>10299.17</v>
      </c>
      <c r="Q488" t="s">
        <v>184</v>
      </c>
      <c r="R488"/>
      <c r="S488"/>
      <c r="T488"/>
    </row>
    <row r="489" spans="1:20" x14ac:dyDescent="0.35">
      <c r="A489">
        <v>50</v>
      </c>
      <c r="B489" t="s">
        <v>255</v>
      </c>
      <c r="C489">
        <v>626887.35</v>
      </c>
      <c r="D489">
        <v>5576899.9500000002</v>
      </c>
      <c r="E489">
        <v>617201.21</v>
      </c>
      <c r="F489">
        <v>1</v>
      </c>
      <c r="G489">
        <v>617201.21</v>
      </c>
      <c r="H489">
        <v>5739032.5499999998</v>
      </c>
      <c r="I489">
        <v>1</v>
      </c>
      <c r="J489">
        <v>5739032.5499999998</v>
      </c>
      <c r="K489">
        <v>646863</v>
      </c>
      <c r="L489">
        <v>6049130</v>
      </c>
      <c r="M489">
        <v>9686.14</v>
      </c>
      <c r="N489">
        <v>-162132.6</v>
      </c>
      <c r="O489">
        <v>-19975.650000000001</v>
      </c>
      <c r="P489">
        <v>-472230.05</v>
      </c>
      <c r="Q489" t="s">
        <v>184</v>
      </c>
      <c r="R489"/>
      <c r="S489"/>
      <c r="T489"/>
    </row>
    <row r="490" spans="1:20" x14ac:dyDescent="0.35">
      <c r="A490">
        <v>60</v>
      </c>
      <c r="B490" t="s">
        <v>256</v>
      </c>
      <c r="C490">
        <v>193941.74</v>
      </c>
      <c r="D490">
        <v>1854845.33</v>
      </c>
      <c r="E490">
        <v>214798.53</v>
      </c>
      <c r="F490">
        <v>1</v>
      </c>
      <c r="G490">
        <v>214798.53</v>
      </c>
      <c r="H490">
        <v>2027212.4</v>
      </c>
      <c r="I490">
        <v>1</v>
      </c>
      <c r="J490">
        <v>2027212.4</v>
      </c>
      <c r="K490">
        <v>228989</v>
      </c>
      <c r="L490">
        <v>2141392</v>
      </c>
      <c r="M490">
        <v>-20856.79</v>
      </c>
      <c r="N490">
        <v>-172367.07</v>
      </c>
      <c r="O490">
        <v>-35047.26</v>
      </c>
      <c r="P490">
        <v>-286546.67</v>
      </c>
      <c r="Q490" t="s">
        <v>184</v>
      </c>
      <c r="R490"/>
      <c r="S490"/>
      <c r="T490"/>
    </row>
    <row r="491" spans="1:20" x14ac:dyDescent="0.35">
      <c r="A491">
        <v>65</v>
      </c>
      <c r="B491" t="s">
        <v>257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184</v>
      </c>
      <c r="R491"/>
      <c r="S491"/>
      <c r="T491"/>
    </row>
    <row r="492" spans="1:20" x14ac:dyDescent="0.35">
      <c r="A492">
        <v>70</v>
      </c>
      <c r="B492" t="s">
        <v>258</v>
      </c>
      <c r="C492">
        <v>432945.61</v>
      </c>
      <c r="D492">
        <v>3722054.62</v>
      </c>
      <c r="E492">
        <v>402402.68</v>
      </c>
      <c r="F492">
        <v>1</v>
      </c>
      <c r="G492">
        <v>402402.68</v>
      </c>
      <c r="H492">
        <v>3711820.15</v>
      </c>
      <c r="I492">
        <v>1</v>
      </c>
      <c r="J492">
        <v>3711820.15</v>
      </c>
      <c r="K492">
        <v>417874</v>
      </c>
      <c r="L492">
        <v>3907738</v>
      </c>
      <c r="M492">
        <v>30542.93</v>
      </c>
      <c r="N492">
        <v>10234.469999999999</v>
      </c>
      <c r="O492">
        <v>15071.61</v>
      </c>
      <c r="P492">
        <v>-185683.38</v>
      </c>
      <c r="Q492" t="s">
        <v>184</v>
      </c>
      <c r="R492"/>
      <c r="S492"/>
      <c r="T492"/>
    </row>
    <row r="493" spans="1:20" ht="14.5" customHeight="1" x14ac:dyDescent="0.35">
      <c r="A493">
        <v>80</v>
      </c>
      <c r="B493" t="s">
        <v>259</v>
      </c>
      <c r="C493">
        <v>409880.42</v>
      </c>
      <c r="D493">
        <v>3514804.64</v>
      </c>
      <c r="E493">
        <v>380498.81</v>
      </c>
      <c r="F493">
        <v>1</v>
      </c>
      <c r="G493">
        <v>380498.81</v>
      </c>
      <c r="H493">
        <v>3483943.33</v>
      </c>
      <c r="I493">
        <v>1</v>
      </c>
      <c r="J493">
        <v>3483943.33</v>
      </c>
      <c r="K493">
        <v>397180</v>
      </c>
      <c r="L493">
        <v>3617739</v>
      </c>
      <c r="M493">
        <v>29381.61</v>
      </c>
      <c r="N493">
        <v>30861.31</v>
      </c>
      <c r="O493">
        <v>12700.42</v>
      </c>
      <c r="P493">
        <v>-102934.36</v>
      </c>
      <c r="Q493" t="s">
        <v>184</v>
      </c>
      <c r="R493"/>
      <c r="S493"/>
      <c r="T493"/>
    </row>
    <row r="494" spans="1:20" ht="14.5" customHeight="1" x14ac:dyDescent="0.35">
      <c r="A494">
        <v>90</v>
      </c>
      <c r="B494" t="s">
        <v>260</v>
      </c>
      <c r="C494">
        <v>16334.28</v>
      </c>
      <c r="D494">
        <v>134167.85</v>
      </c>
      <c r="E494">
        <v>17489.47</v>
      </c>
      <c r="F494">
        <v>1</v>
      </c>
      <c r="G494">
        <v>17489.47</v>
      </c>
      <c r="H494">
        <v>194828.16</v>
      </c>
      <c r="I494">
        <v>1</v>
      </c>
      <c r="J494">
        <v>194828.16</v>
      </c>
      <c r="K494">
        <v>17489</v>
      </c>
      <c r="L494">
        <v>194867</v>
      </c>
      <c r="M494">
        <v>-1155.19</v>
      </c>
      <c r="N494">
        <v>-60660.31</v>
      </c>
      <c r="O494">
        <v>-1154.72</v>
      </c>
      <c r="P494">
        <v>-60699.15</v>
      </c>
      <c r="Q494" t="s">
        <v>184</v>
      </c>
      <c r="R494"/>
      <c r="S494"/>
      <c r="T494"/>
    </row>
    <row r="495" spans="1:20" ht="14.5" customHeight="1" x14ac:dyDescent="0.35">
      <c r="A495">
        <v>100</v>
      </c>
      <c r="B495" t="s">
        <v>261</v>
      </c>
      <c r="C495">
        <v>4079.95</v>
      </c>
      <c r="D495">
        <v>29520.21</v>
      </c>
      <c r="E495">
        <v>2838.21</v>
      </c>
      <c r="F495">
        <v>1</v>
      </c>
      <c r="G495">
        <v>2838.21</v>
      </c>
      <c r="H495">
        <v>25543.89</v>
      </c>
      <c r="I495">
        <v>1</v>
      </c>
      <c r="J495">
        <v>25543.89</v>
      </c>
      <c r="K495">
        <v>2838</v>
      </c>
      <c r="L495">
        <v>25542</v>
      </c>
      <c r="M495">
        <v>1241.74</v>
      </c>
      <c r="N495">
        <v>3976.32</v>
      </c>
      <c r="O495">
        <v>1241.95</v>
      </c>
      <c r="P495">
        <v>3978.21</v>
      </c>
      <c r="Q495" t="s">
        <v>184</v>
      </c>
      <c r="R495"/>
      <c r="S495"/>
      <c r="T495"/>
    </row>
    <row r="496" spans="1:20" ht="14.5" customHeight="1" x14ac:dyDescent="0.35">
      <c r="A496">
        <v>110</v>
      </c>
      <c r="B496" t="s">
        <v>262</v>
      </c>
      <c r="C496">
        <v>430294.65</v>
      </c>
      <c r="D496">
        <v>3678492.7</v>
      </c>
      <c r="E496">
        <v>400826.49</v>
      </c>
      <c r="F496">
        <v>1</v>
      </c>
      <c r="G496">
        <v>400826.49</v>
      </c>
      <c r="H496">
        <v>3704315.38</v>
      </c>
      <c r="I496">
        <v>1</v>
      </c>
      <c r="J496">
        <v>3704315.38</v>
      </c>
      <c r="K496">
        <v>417507</v>
      </c>
      <c r="L496">
        <v>3838148</v>
      </c>
      <c r="M496">
        <v>29468.16</v>
      </c>
      <c r="N496">
        <v>-25822.68</v>
      </c>
      <c r="O496">
        <v>12787.65</v>
      </c>
      <c r="P496">
        <v>-159655.29999999999</v>
      </c>
      <c r="Q496" t="s">
        <v>184</v>
      </c>
      <c r="R496"/>
      <c r="S496"/>
      <c r="T496"/>
    </row>
    <row r="497" spans="1:20" ht="14.5" customHeight="1" x14ac:dyDescent="0.35">
      <c r="A497">
        <v>120</v>
      </c>
      <c r="B497" t="s">
        <v>263</v>
      </c>
      <c r="C497">
        <v>2650.96</v>
      </c>
      <c r="D497">
        <v>43561.919999999998</v>
      </c>
      <c r="E497">
        <v>1576.19</v>
      </c>
      <c r="F497">
        <v>1</v>
      </c>
      <c r="G497">
        <v>1576.19</v>
      </c>
      <c r="H497">
        <v>7504.77</v>
      </c>
      <c r="I497">
        <v>1</v>
      </c>
      <c r="J497">
        <v>7504.77</v>
      </c>
      <c r="K497">
        <v>367</v>
      </c>
      <c r="L497">
        <v>69590</v>
      </c>
      <c r="M497">
        <v>1074.77</v>
      </c>
      <c r="N497">
        <v>36057.15</v>
      </c>
      <c r="O497">
        <v>2283.96</v>
      </c>
      <c r="P497">
        <v>-26028.080000000002</v>
      </c>
      <c r="Q497" t="s">
        <v>184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184</v>
      </c>
      <c r="R498"/>
      <c r="S498"/>
      <c r="T498"/>
    </row>
    <row r="499" spans="1:20" ht="14.5" customHeight="1" x14ac:dyDescent="0.35">
      <c r="A499">
        <v>135</v>
      </c>
      <c r="B499" t="s">
        <v>264</v>
      </c>
      <c r="C499">
        <v>-105120.27</v>
      </c>
      <c r="D499">
        <v>-133116.35</v>
      </c>
      <c r="E499">
        <v>-1264.67</v>
      </c>
      <c r="F499">
        <v>1</v>
      </c>
      <c r="G499">
        <v>-1264.67</v>
      </c>
      <c r="H499">
        <v>-13801.4</v>
      </c>
      <c r="I499">
        <v>1</v>
      </c>
      <c r="J499">
        <v>-13801.4</v>
      </c>
      <c r="K499">
        <v>-31515</v>
      </c>
      <c r="L499">
        <v>-133635</v>
      </c>
      <c r="M499">
        <v>-103855.6</v>
      </c>
      <c r="N499">
        <v>-119314.95</v>
      </c>
      <c r="O499">
        <v>-73605.27</v>
      </c>
      <c r="P499">
        <v>518.65</v>
      </c>
      <c r="Q499" t="s">
        <v>184</v>
      </c>
      <c r="R499"/>
      <c r="S499"/>
      <c r="T499"/>
    </row>
    <row r="500" spans="1:20" ht="14.5" customHeight="1" x14ac:dyDescent="0.35">
      <c r="A500">
        <v>140</v>
      </c>
      <c r="B500" t="s">
        <v>265</v>
      </c>
      <c r="C500">
        <v>4468</v>
      </c>
      <c r="D500">
        <v>156076.81</v>
      </c>
      <c r="E500">
        <v>19248.900000000001</v>
      </c>
      <c r="F500">
        <v>1</v>
      </c>
      <c r="G500">
        <v>19248.900000000001</v>
      </c>
      <c r="H500">
        <v>163370.28</v>
      </c>
      <c r="I500">
        <v>1</v>
      </c>
      <c r="J500">
        <v>163370.28</v>
      </c>
      <c r="K500">
        <v>16590</v>
      </c>
      <c r="L500">
        <v>167041</v>
      </c>
      <c r="M500">
        <v>-14780.9</v>
      </c>
      <c r="N500">
        <v>-7293.47</v>
      </c>
      <c r="O500">
        <v>-12122</v>
      </c>
      <c r="P500">
        <v>-10964.19</v>
      </c>
      <c r="Q500" t="s">
        <v>184</v>
      </c>
      <c r="R500"/>
      <c r="S500"/>
      <c r="T500"/>
    </row>
    <row r="501" spans="1:20" ht="14.5" customHeight="1" x14ac:dyDescent="0.35">
      <c r="A501">
        <v>150</v>
      </c>
      <c r="B501" t="s">
        <v>266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184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184</v>
      </c>
      <c r="R502"/>
      <c r="S502"/>
      <c r="T502"/>
    </row>
    <row r="503" spans="1:20" ht="14.5" customHeight="1" x14ac:dyDescent="0.35">
      <c r="A503">
        <v>160</v>
      </c>
      <c r="B503" t="s">
        <v>267</v>
      </c>
      <c r="C503">
        <v>-100652.27</v>
      </c>
      <c r="D503">
        <v>22960.46</v>
      </c>
      <c r="E503">
        <v>17984.23</v>
      </c>
      <c r="F503">
        <v>1</v>
      </c>
      <c r="G503">
        <v>17984.23</v>
      </c>
      <c r="H503">
        <v>149568.88</v>
      </c>
      <c r="I503">
        <v>1</v>
      </c>
      <c r="J503">
        <v>149568.88</v>
      </c>
      <c r="K503">
        <v>-14925</v>
      </c>
      <c r="L503">
        <v>33406</v>
      </c>
      <c r="M503">
        <v>-118636.5</v>
      </c>
      <c r="N503">
        <v>-126608.42</v>
      </c>
      <c r="O503">
        <v>-85727.27</v>
      </c>
      <c r="P503">
        <v>-10445.540000000001</v>
      </c>
      <c r="Q503" t="s">
        <v>184</v>
      </c>
      <c r="R503"/>
      <c r="S503"/>
      <c r="T503"/>
    </row>
    <row r="504" spans="1:20" ht="14.5" customHeight="1" x14ac:dyDescent="0.35">
      <c r="A504">
        <v>170</v>
      </c>
      <c r="B504" t="s">
        <v>274</v>
      </c>
      <c r="C504">
        <v>103303.23</v>
      </c>
      <c r="D504">
        <v>20601.46</v>
      </c>
      <c r="E504">
        <v>-16408.04</v>
      </c>
      <c r="F504">
        <v>1</v>
      </c>
      <c r="G504">
        <v>-16408.04</v>
      </c>
      <c r="H504">
        <v>-142064.10999999999</v>
      </c>
      <c r="I504">
        <v>1</v>
      </c>
      <c r="J504">
        <v>-142064.10999999999</v>
      </c>
      <c r="K504">
        <v>15292</v>
      </c>
      <c r="L504">
        <v>36184</v>
      </c>
      <c r="M504">
        <v>119711.27</v>
      </c>
      <c r="N504">
        <v>162665.57</v>
      </c>
      <c r="O504">
        <v>88011.23</v>
      </c>
      <c r="P504">
        <v>-15582.54</v>
      </c>
      <c r="Q504" t="s">
        <v>184</v>
      </c>
      <c r="R504"/>
      <c r="S504"/>
      <c r="T504"/>
    </row>
    <row r="505" spans="1:20" x14ac:dyDescent="0.35">
      <c r="A505">
        <v>180</v>
      </c>
      <c r="B505" t="s">
        <v>269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184</v>
      </c>
      <c r="R505"/>
      <c r="S505"/>
      <c r="T505"/>
    </row>
    <row r="506" spans="1:20" x14ac:dyDescent="0.35">
      <c r="A506">
        <v>190</v>
      </c>
      <c r="B506" t="s">
        <v>270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184</v>
      </c>
      <c r="R506"/>
      <c r="S506"/>
      <c r="T506"/>
    </row>
    <row r="507" spans="1:20" ht="14.5" customHeight="1" x14ac:dyDescent="0.35">
      <c r="A507">
        <v>200</v>
      </c>
      <c r="B507" t="s">
        <v>271</v>
      </c>
      <c r="C507">
        <v>103303.23</v>
      </c>
      <c r="D507">
        <v>20601.46</v>
      </c>
      <c r="E507">
        <v>-16408.04</v>
      </c>
      <c r="F507">
        <v>1</v>
      </c>
      <c r="G507">
        <v>-16408.04</v>
      </c>
      <c r="H507">
        <v>-142064.10999999999</v>
      </c>
      <c r="I507">
        <v>1</v>
      </c>
      <c r="J507">
        <v>-142064.10999999999</v>
      </c>
      <c r="K507">
        <v>15292</v>
      </c>
      <c r="L507">
        <v>36184</v>
      </c>
      <c r="M507">
        <v>119711.27</v>
      </c>
      <c r="N507">
        <v>162665.57</v>
      </c>
      <c r="O507">
        <v>88011.23</v>
      </c>
      <c r="P507">
        <v>-15582.54</v>
      </c>
      <c r="Q507" t="s">
        <v>184</v>
      </c>
      <c r="R507"/>
      <c r="S507"/>
      <c r="T507"/>
    </row>
    <row r="508" spans="1:20" ht="14.5" customHeight="1" x14ac:dyDescent="0.35">
      <c r="A508">
        <v>210</v>
      </c>
      <c r="B508" t="s">
        <v>272</v>
      </c>
      <c r="C508">
        <v>6730.91</v>
      </c>
      <c r="D508">
        <v>73082.13</v>
      </c>
      <c r="E508">
        <v>4414.3999999999996</v>
      </c>
      <c r="F508">
        <v>1</v>
      </c>
      <c r="G508">
        <v>4414.3999999999996</v>
      </c>
      <c r="H508">
        <v>33048.660000000003</v>
      </c>
      <c r="I508">
        <v>1</v>
      </c>
      <c r="J508">
        <v>33048.660000000003</v>
      </c>
      <c r="K508">
        <v>3205</v>
      </c>
      <c r="L508">
        <v>95132</v>
      </c>
      <c r="M508">
        <v>2316.5100000000002</v>
      </c>
      <c r="N508">
        <v>40033.47</v>
      </c>
      <c r="O508">
        <v>3525.91</v>
      </c>
      <c r="P508">
        <v>-22049.87</v>
      </c>
      <c r="Q508" t="s">
        <v>184</v>
      </c>
      <c r="R508"/>
      <c r="S508"/>
      <c r="T508"/>
    </row>
    <row r="509" spans="1:20" s="223" customFormat="1" x14ac:dyDescent="0.35">
      <c r="A509" t="s">
        <v>461</v>
      </c>
      <c r="B509" t="s">
        <v>172</v>
      </c>
      <c r="C509" t="s">
        <v>205</v>
      </c>
      <c r="D509" t="s">
        <v>206</v>
      </c>
      <c r="E509" t="s">
        <v>175</v>
      </c>
      <c r="F509" t="s">
        <v>207</v>
      </c>
      <c r="G509" t="s">
        <v>208</v>
      </c>
      <c r="H509" t="s">
        <v>209</v>
      </c>
      <c r="I509" t="s">
        <v>210</v>
      </c>
      <c r="J509" t="s">
        <v>211</v>
      </c>
      <c r="K509" t="s">
        <v>212</v>
      </c>
      <c r="L509" t="s">
        <v>213</v>
      </c>
      <c r="M509" t="s">
        <v>231</v>
      </c>
      <c r="N509" t="s">
        <v>235</v>
      </c>
      <c r="O509" t="s">
        <v>236</v>
      </c>
      <c r="P509" t="s">
        <v>237</v>
      </c>
      <c r="Q509" t="s">
        <v>183</v>
      </c>
      <c r="R509"/>
      <c r="S509"/>
      <c r="T509"/>
    </row>
    <row r="510" spans="1:20" ht="14.5" customHeight="1" x14ac:dyDescent="0.35">
      <c r="A510">
        <v>30</v>
      </c>
      <c r="B510" t="s">
        <v>253</v>
      </c>
      <c r="C510">
        <v>130233.75</v>
      </c>
      <c r="D510">
        <v>1113697.1100000001</v>
      </c>
      <c r="E510">
        <v>115994.03</v>
      </c>
      <c r="F510">
        <v>1</v>
      </c>
      <c r="G510">
        <v>115994.03</v>
      </c>
      <c r="H510">
        <v>1075871.99</v>
      </c>
      <c r="I510">
        <v>1</v>
      </c>
      <c r="J510">
        <v>1075871.99</v>
      </c>
      <c r="K510">
        <v>116300</v>
      </c>
      <c r="L510">
        <v>1046500</v>
      </c>
      <c r="M510">
        <v>14239.72</v>
      </c>
      <c r="N510">
        <v>37825.120000000003</v>
      </c>
      <c r="O510">
        <v>13933.75</v>
      </c>
      <c r="P510">
        <v>67197.11</v>
      </c>
      <c r="Q510" t="s">
        <v>184</v>
      </c>
      <c r="R510"/>
      <c r="S510"/>
      <c r="T510"/>
    </row>
    <row r="511" spans="1:20" ht="14.5" customHeight="1" x14ac:dyDescent="0.35">
      <c r="A511">
        <v>40</v>
      </c>
      <c r="B511" t="s">
        <v>254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184</v>
      </c>
      <c r="R511"/>
      <c r="S511"/>
      <c r="T511"/>
    </row>
    <row r="512" spans="1:20" x14ac:dyDescent="0.35">
      <c r="A512">
        <v>50</v>
      </c>
      <c r="B512" t="s">
        <v>255</v>
      </c>
      <c r="C512">
        <v>130233.75</v>
      </c>
      <c r="D512">
        <v>1113697.1100000001</v>
      </c>
      <c r="E512">
        <v>115994.03</v>
      </c>
      <c r="F512">
        <v>1</v>
      </c>
      <c r="G512">
        <v>115994.03</v>
      </c>
      <c r="H512">
        <v>1075871.99</v>
      </c>
      <c r="I512">
        <v>1</v>
      </c>
      <c r="J512">
        <v>1075871.99</v>
      </c>
      <c r="K512">
        <v>116300</v>
      </c>
      <c r="L512">
        <v>1046500</v>
      </c>
      <c r="M512">
        <v>14239.72</v>
      </c>
      <c r="N512">
        <v>37825.120000000003</v>
      </c>
      <c r="O512">
        <v>13933.75</v>
      </c>
      <c r="P512">
        <v>67197.11</v>
      </c>
      <c r="Q512" t="s">
        <v>184</v>
      </c>
      <c r="R512"/>
      <c r="S512"/>
      <c r="T512"/>
    </row>
    <row r="513" spans="1:20" x14ac:dyDescent="0.35">
      <c r="A513">
        <v>60</v>
      </c>
      <c r="B513" t="s">
        <v>256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184</v>
      </c>
      <c r="R513"/>
      <c r="S513"/>
      <c r="T513"/>
    </row>
    <row r="514" spans="1:20" x14ac:dyDescent="0.35">
      <c r="A514">
        <v>70</v>
      </c>
      <c r="B514" t="s">
        <v>258</v>
      </c>
      <c r="C514">
        <v>130233.75</v>
      </c>
      <c r="D514">
        <v>1113697.1100000001</v>
      </c>
      <c r="E514">
        <v>115994.03</v>
      </c>
      <c r="F514">
        <v>1</v>
      </c>
      <c r="G514">
        <v>115994.03</v>
      </c>
      <c r="H514">
        <v>1075871.99</v>
      </c>
      <c r="I514">
        <v>1</v>
      </c>
      <c r="J514">
        <v>1075871.99</v>
      </c>
      <c r="K514">
        <v>116300</v>
      </c>
      <c r="L514">
        <v>1046500</v>
      </c>
      <c r="M514">
        <v>14239.72</v>
      </c>
      <c r="N514">
        <v>37825.120000000003</v>
      </c>
      <c r="O514">
        <v>13933.75</v>
      </c>
      <c r="P514">
        <v>67197.11</v>
      </c>
      <c r="Q514" t="s">
        <v>184</v>
      </c>
      <c r="R514"/>
      <c r="S514"/>
      <c r="T514"/>
    </row>
    <row r="515" spans="1:20" ht="14.5" customHeight="1" x14ac:dyDescent="0.35">
      <c r="A515">
        <v>80</v>
      </c>
      <c r="B515" t="s">
        <v>259</v>
      </c>
      <c r="C515">
        <v>23029.17</v>
      </c>
      <c r="D515">
        <v>120950.06</v>
      </c>
      <c r="E515">
        <v>10562.9</v>
      </c>
      <c r="F515">
        <v>1</v>
      </c>
      <c r="G515">
        <v>10562.9</v>
      </c>
      <c r="H515">
        <v>77370.41</v>
      </c>
      <c r="I515">
        <v>1</v>
      </c>
      <c r="J515">
        <v>77370.41</v>
      </c>
      <c r="K515">
        <v>6200</v>
      </c>
      <c r="L515">
        <v>55800</v>
      </c>
      <c r="M515">
        <v>12466.27</v>
      </c>
      <c r="N515">
        <v>43579.65</v>
      </c>
      <c r="O515">
        <v>16829.169999999998</v>
      </c>
      <c r="P515">
        <v>65150.06</v>
      </c>
      <c r="Q515" t="s">
        <v>184</v>
      </c>
      <c r="R515"/>
      <c r="S515"/>
      <c r="T515"/>
    </row>
    <row r="516" spans="1:20" ht="14.5" customHeight="1" x14ac:dyDescent="0.35">
      <c r="A516">
        <v>90</v>
      </c>
      <c r="B516" t="s">
        <v>260</v>
      </c>
      <c r="C516">
        <v>1671.42</v>
      </c>
      <c r="D516">
        <v>1823.68</v>
      </c>
      <c r="E516">
        <v>19.850000000000001</v>
      </c>
      <c r="F516">
        <v>1</v>
      </c>
      <c r="G516">
        <v>19.850000000000001</v>
      </c>
      <c r="H516">
        <v>2180.41</v>
      </c>
      <c r="I516">
        <v>1</v>
      </c>
      <c r="J516">
        <v>2180.41</v>
      </c>
      <c r="K516">
        <v>4250</v>
      </c>
      <c r="L516">
        <v>38250</v>
      </c>
      <c r="M516">
        <v>1651.57</v>
      </c>
      <c r="N516">
        <v>-356.73</v>
      </c>
      <c r="O516">
        <v>-2578.58</v>
      </c>
      <c r="P516">
        <v>-36426.32</v>
      </c>
      <c r="Q516" t="s">
        <v>184</v>
      </c>
      <c r="R516"/>
      <c r="S516"/>
      <c r="T516"/>
    </row>
    <row r="517" spans="1:20" ht="14.5" customHeight="1" x14ac:dyDescent="0.35">
      <c r="A517">
        <v>100</v>
      </c>
      <c r="B517" t="s">
        <v>261</v>
      </c>
      <c r="C517">
        <v>21002.41</v>
      </c>
      <c r="D517">
        <v>189021.69</v>
      </c>
      <c r="E517">
        <v>41507.33</v>
      </c>
      <c r="F517">
        <v>1</v>
      </c>
      <c r="G517">
        <v>41507.33</v>
      </c>
      <c r="H517">
        <v>373565.97</v>
      </c>
      <c r="I517">
        <v>1</v>
      </c>
      <c r="J517">
        <v>373565.97</v>
      </c>
      <c r="K517">
        <v>21100</v>
      </c>
      <c r="L517">
        <v>189900</v>
      </c>
      <c r="M517">
        <v>-20504.919999999998</v>
      </c>
      <c r="N517">
        <v>-184544.28</v>
      </c>
      <c r="O517">
        <v>-97.59</v>
      </c>
      <c r="P517">
        <v>-878.31</v>
      </c>
      <c r="Q517" t="s">
        <v>184</v>
      </c>
      <c r="R517"/>
      <c r="S517"/>
      <c r="T517"/>
    </row>
    <row r="518" spans="1:20" ht="14.5" customHeight="1" x14ac:dyDescent="0.35">
      <c r="A518">
        <v>110</v>
      </c>
      <c r="B518" t="s">
        <v>262</v>
      </c>
      <c r="C518">
        <v>45703</v>
      </c>
      <c r="D518">
        <v>311795.43</v>
      </c>
      <c r="E518">
        <v>52090.080000000002</v>
      </c>
      <c r="F518">
        <v>1</v>
      </c>
      <c r="G518">
        <v>52090.080000000002</v>
      </c>
      <c r="H518">
        <v>453116.79</v>
      </c>
      <c r="I518">
        <v>1</v>
      </c>
      <c r="J518">
        <v>453116.79</v>
      </c>
      <c r="K518">
        <v>31550</v>
      </c>
      <c r="L518">
        <v>283950</v>
      </c>
      <c r="M518">
        <v>-6387.08</v>
      </c>
      <c r="N518">
        <v>-141321.35999999999</v>
      </c>
      <c r="O518">
        <v>14153</v>
      </c>
      <c r="P518">
        <v>27845.43</v>
      </c>
      <c r="Q518" t="s">
        <v>184</v>
      </c>
      <c r="R518"/>
      <c r="S518"/>
      <c r="T518"/>
    </row>
    <row r="519" spans="1:20" ht="14.5" customHeight="1" x14ac:dyDescent="0.35">
      <c r="A519">
        <v>120</v>
      </c>
      <c r="B519" t="s">
        <v>263</v>
      </c>
      <c r="C519">
        <v>84530.75</v>
      </c>
      <c r="D519">
        <v>801901.68</v>
      </c>
      <c r="E519">
        <v>63903.95</v>
      </c>
      <c r="F519">
        <v>1</v>
      </c>
      <c r="G519">
        <v>63903.95</v>
      </c>
      <c r="H519">
        <v>622755.19999999995</v>
      </c>
      <c r="I519">
        <v>1</v>
      </c>
      <c r="J519">
        <v>622755.19999999995</v>
      </c>
      <c r="K519">
        <v>84750</v>
      </c>
      <c r="L519">
        <v>762550</v>
      </c>
      <c r="M519">
        <v>20626.8</v>
      </c>
      <c r="N519">
        <v>179146.48</v>
      </c>
      <c r="O519">
        <v>-219.25</v>
      </c>
      <c r="P519">
        <v>39351.68</v>
      </c>
      <c r="Q519" t="s">
        <v>184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184</v>
      </c>
      <c r="R520"/>
      <c r="S520"/>
      <c r="T520"/>
    </row>
    <row r="521" spans="1:20" ht="14.5" customHeight="1" x14ac:dyDescent="0.35">
      <c r="A521">
        <v>135</v>
      </c>
      <c r="B521" t="s">
        <v>264</v>
      </c>
      <c r="C521">
        <v>480.16</v>
      </c>
      <c r="D521">
        <v>4584.18</v>
      </c>
      <c r="E521">
        <v>1300.5</v>
      </c>
      <c r="F521">
        <v>1</v>
      </c>
      <c r="G521">
        <v>1300.5</v>
      </c>
      <c r="H521">
        <v>1323.99</v>
      </c>
      <c r="I521">
        <v>1</v>
      </c>
      <c r="J521">
        <v>1323.99</v>
      </c>
      <c r="K521">
        <v>0</v>
      </c>
      <c r="L521">
        <v>0</v>
      </c>
      <c r="M521">
        <v>-820.34</v>
      </c>
      <c r="N521">
        <v>3260.19</v>
      </c>
      <c r="O521">
        <v>480.16</v>
      </c>
      <c r="P521">
        <v>4584.18</v>
      </c>
      <c r="Q521" t="s">
        <v>184</v>
      </c>
      <c r="R521"/>
      <c r="S521"/>
      <c r="T521"/>
    </row>
    <row r="522" spans="1:20" ht="14.5" customHeight="1" x14ac:dyDescent="0.35">
      <c r="A522">
        <v>140</v>
      </c>
      <c r="B522" t="s">
        <v>265</v>
      </c>
      <c r="C522">
        <v>31317.360000000001</v>
      </c>
      <c r="D522">
        <v>273841.15999999997</v>
      </c>
      <c r="E522">
        <v>27406.81</v>
      </c>
      <c r="F522">
        <v>1</v>
      </c>
      <c r="G522">
        <v>27406.81</v>
      </c>
      <c r="H522">
        <v>239930.44</v>
      </c>
      <c r="I522">
        <v>1</v>
      </c>
      <c r="J522">
        <v>239930.44</v>
      </c>
      <c r="K522">
        <v>25500</v>
      </c>
      <c r="L522">
        <v>236728</v>
      </c>
      <c r="M522">
        <v>3910.55</v>
      </c>
      <c r="N522">
        <v>33910.720000000001</v>
      </c>
      <c r="O522">
        <v>5817.36</v>
      </c>
      <c r="P522">
        <v>37113.160000000003</v>
      </c>
      <c r="Q522" t="s">
        <v>184</v>
      </c>
      <c r="R522"/>
      <c r="S522"/>
      <c r="T522"/>
    </row>
    <row r="523" spans="1:20" ht="14.5" customHeight="1" x14ac:dyDescent="0.35">
      <c r="A523">
        <v>150</v>
      </c>
      <c r="B523" t="s">
        <v>266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184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184</v>
      </c>
      <c r="R524"/>
      <c r="S524"/>
      <c r="T524"/>
    </row>
    <row r="525" spans="1:20" ht="14.5" customHeight="1" x14ac:dyDescent="0.35">
      <c r="A525">
        <v>160</v>
      </c>
      <c r="B525" t="s">
        <v>267</v>
      </c>
      <c r="C525">
        <v>31797.52</v>
      </c>
      <c r="D525">
        <v>278425.34000000003</v>
      </c>
      <c r="E525">
        <v>28707.31</v>
      </c>
      <c r="F525">
        <v>1</v>
      </c>
      <c r="G525">
        <v>28707.31</v>
      </c>
      <c r="H525">
        <v>241254.43</v>
      </c>
      <c r="I525">
        <v>1</v>
      </c>
      <c r="J525">
        <v>241254.43</v>
      </c>
      <c r="K525">
        <v>25500</v>
      </c>
      <c r="L525">
        <v>236728</v>
      </c>
      <c r="M525">
        <v>3090.21</v>
      </c>
      <c r="N525">
        <v>37170.910000000003</v>
      </c>
      <c r="O525">
        <v>6297.52</v>
      </c>
      <c r="P525">
        <v>41697.339999999997</v>
      </c>
      <c r="Q525" t="s">
        <v>184</v>
      </c>
      <c r="R525"/>
      <c r="S525"/>
      <c r="T525"/>
    </row>
    <row r="526" spans="1:20" ht="14.5" customHeight="1" x14ac:dyDescent="0.35">
      <c r="A526">
        <v>170</v>
      </c>
      <c r="B526" t="s">
        <v>275</v>
      </c>
      <c r="C526">
        <v>52733.23</v>
      </c>
      <c r="D526">
        <v>523476.34</v>
      </c>
      <c r="E526">
        <v>35196.639999999999</v>
      </c>
      <c r="F526">
        <v>1</v>
      </c>
      <c r="G526">
        <v>35196.639999999999</v>
      </c>
      <c r="H526">
        <v>381500.77</v>
      </c>
      <c r="I526">
        <v>1</v>
      </c>
      <c r="J526">
        <v>381500.77</v>
      </c>
      <c r="K526">
        <v>59250</v>
      </c>
      <c r="L526">
        <v>525822</v>
      </c>
      <c r="M526">
        <v>17536.59</v>
      </c>
      <c r="N526">
        <v>141975.57</v>
      </c>
      <c r="O526">
        <v>-6516.77</v>
      </c>
      <c r="P526">
        <v>-2345.66</v>
      </c>
      <c r="Q526" t="s">
        <v>184</v>
      </c>
      <c r="R526"/>
      <c r="S526"/>
      <c r="T526"/>
    </row>
    <row r="527" spans="1:20" x14ac:dyDescent="0.35">
      <c r="A527">
        <v>180</v>
      </c>
      <c r="B527" t="s">
        <v>269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184</v>
      </c>
      <c r="R527"/>
      <c r="S527"/>
      <c r="T527"/>
    </row>
    <row r="528" spans="1:20" x14ac:dyDescent="0.35">
      <c r="A528">
        <v>190</v>
      </c>
      <c r="B528" t="s">
        <v>270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184</v>
      </c>
      <c r="R528"/>
      <c r="S528"/>
      <c r="T528"/>
    </row>
    <row r="529" spans="1:20" ht="14.5" customHeight="1" x14ac:dyDescent="0.35">
      <c r="A529">
        <v>200</v>
      </c>
      <c r="B529" t="s">
        <v>271</v>
      </c>
      <c r="C529">
        <v>52733.23</v>
      </c>
      <c r="D529">
        <v>523476.34</v>
      </c>
      <c r="E529">
        <v>35196.639999999999</v>
      </c>
      <c r="F529">
        <v>1</v>
      </c>
      <c r="G529">
        <v>35196.639999999999</v>
      </c>
      <c r="H529">
        <v>381500.77</v>
      </c>
      <c r="I529">
        <v>1</v>
      </c>
      <c r="J529">
        <v>381500.77</v>
      </c>
      <c r="K529">
        <v>59250</v>
      </c>
      <c r="L529">
        <v>525822</v>
      </c>
      <c r="M529">
        <v>17536.59</v>
      </c>
      <c r="N529">
        <v>141975.57</v>
      </c>
      <c r="O529">
        <v>-6516.77</v>
      </c>
      <c r="P529">
        <v>-2345.66</v>
      </c>
      <c r="Q529" t="s">
        <v>184</v>
      </c>
      <c r="R529"/>
      <c r="S529"/>
      <c r="T529"/>
    </row>
    <row r="530" spans="1:20" ht="14.5" customHeight="1" x14ac:dyDescent="0.35">
      <c r="A530">
        <v>210</v>
      </c>
      <c r="B530" t="s">
        <v>272</v>
      </c>
      <c r="C530">
        <v>105533.16</v>
      </c>
      <c r="D530">
        <v>990923.37</v>
      </c>
      <c r="E530">
        <v>105411.28</v>
      </c>
      <c r="F530">
        <v>1</v>
      </c>
      <c r="G530">
        <v>105411.28</v>
      </c>
      <c r="H530">
        <v>996321.17</v>
      </c>
      <c r="I530">
        <v>1</v>
      </c>
      <c r="J530">
        <v>996321.17</v>
      </c>
      <c r="K530">
        <v>105850</v>
      </c>
      <c r="L530">
        <v>952450</v>
      </c>
      <c r="M530">
        <v>121.88</v>
      </c>
      <c r="N530">
        <v>-5397.8</v>
      </c>
      <c r="O530">
        <v>-316.83999999999997</v>
      </c>
      <c r="P530">
        <v>38473.370000000003</v>
      </c>
      <c r="Q530" t="s">
        <v>184</v>
      </c>
      <c r="R530"/>
      <c r="S530"/>
      <c r="T530"/>
    </row>
    <row r="531" spans="1:20" s="223" customFormat="1" x14ac:dyDescent="0.35">
      <c r="A531" t="s">
        <v>462</v>
      </c>
      <c r="B531" t="s">
        <v>172</v>
      </c>
      <c r="C531" t="s">
        <v>205</v>
      </c>
      <c r="D531" t="s">
        <v>206</v>
      </c>
      <c r="E531" t="s">
        <v>175</v>
      </c>
      <c r="F531" t="s">
        <v>207</v>
      </c>
      <c r="G531" t="s">
        <v>208</v>
      </c>
      <c r="H531" t="s">
        <v>209</v>
      </c>
      <c r="I531" t="s">
        <v>210</v>
      </c>
      <c r="J531" t="s">
        <v>211</v>
      </c>
      <c r="K531" t="s">
        <v>212</v>
      </c>
      <c r="L531" t="s">
        <v>213</v>
      </c>
      <c r="M531" t="s">
        <v>231</v>
      </c>
      <c r="N531" t="s">
        <v>235</v>
      </c>
      <c r="O531" t="s">
        <v>236</v>
      </c>
      <c r="P531" t="s">
        <v>237</v>
      </c>
      <c r="Q531" t="s">
        <v>183</v>
      </c>
      <c r="R531"/>
      <c r="S531"/>
      <c r="T531"/>
    </row>
    <row r="532" spans="1:20" ht="14.5" customHeight="1" x14ac:dyDescent="0.35">
      <c r="A532">
        <v>30</v>
      </c>
      <c r="B532" t="s">
        <v>253</v>
      </c>
      <c r="C532">
        <v>6300</v>
      </c>
      <c r="D532">
        <v>56700</v>
      </c>
      <c r="E532">
        <v>6300</v>
      </c>
      <c r="F532">
        <v>1</v>
      </c>
      <c r="G532">
        <v>6300</v>
      </c>
      <c r="H532">
        <v>56700</v>
      </c>
      <c r="I532">
        <v>1</v>
      </c>
      <c r="J532">
        <v>56700</v>
      </c>
      <c r="K532">
        <v>0</v>
      </c>
      <c r="L532">
        <v>0</v>
      </c>
      <c r="M532">
        <v>0</v>
      </c>
      <c r="N532">
        <v>0</v>
      </c>
      <c r="O532">
        <v>6300</v>
      </c>
      <c r="P532">
        <v>56700</v>
      </c>
      <c r="Q532" t="s">
        <v>184</v>
      </c>
      <c r="R532"/>
      <c r="S532"/>
      <c r="T532"/>
    </row>
    <row r="533" spans="1:20" ht="14.5" customHeight="1" x14ac:dyDescent="0.35">
      <c r="A533">
        <v>40</v>
      </c>
      <c r="B533" t="s">
        <v>254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184</v>
      </c>
      <c r="R533"/>
      <c r="S533"/>
      <c r="T533"/>
    </row>
    <row r="534" spans="1:20" x14ac:dyDescent="0.35">
      <c r="A534">
        <v>50</v>
      </c>
      <c r="B534" t="s">
        <v>255</v>
      </c>
      <c r="C534">
        <v>6300</v>
      </c>
      <c r="D534">
        <v>56700</v>
      </c>
      <c r="E534">
        <v>6300</v>
      </c>
      <c r="F534">
        <v>1</v>
      </c>
      <c r="G534">
        <v>6300</v>
      </c>
      <c r="H534">
        <v>56700</v>
      </c>
      <c r="I534">
        <v>1</v>
      </c>
      <c r="J534">
        <v>56700</v>
      </c>
      <c r="K534">
        <v>0</v>
      </c>
      <c r="L534">
        <v>0</v>
      </c>
      <c r="M534">
        <v>0</v>
      </c>
      <c r="N534">
        <v>0</v>
      </c>
      <c r="O534">
        <v>6300</v>
      </c>
      <c r="P534">
        <v>56700</v>
      </c>
      <c r="Q534" t="s">
        <v>184</v>
      </c>
      <c r="R534"/>
      <c r="S534"/>
      <c r="T534"/>
    </row>
    <row r="535" spans="1:20" x14ac:dyDescent="0.35">
      <c r="A535">
        <v>60</v>
      </c>
      <c r="B535" t="s">
        <v>256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184</v>
      </c>
      <c r="R535"/>
      <c r="S535"/>
      <c r="T535"/>
    </row>
    <row r="536" spans="1:20" x14ac:dyDescent="0.35">
      <c r="A536">
        <v>70</v>
      </c>
      <c r="B536" t="s">
        <v>258</v>
      </c>
      <c r="C536">
        <v>6300</v>
      </c>
      <c r="D536">
        <v>56700</v>
      </c>
      <c r="E536">
        <v>6300</v>
      </c>
      <c r="F536">
        <v>1</v>
      </c>
      <c r="G536">
        <v>6300</v>
      </c>
      <c r="H536">
        <v>56700</v>
      </c>
      <c r="I536">
        <v>1</v>
      </c>
      <c r="J536">
        <v>56700</v>
      </c>
      <c r="K536">
        <v>0</v>
      </c>
      <c r="L536">
        <v>0</v>
      </c>
      <c r="M536">
        <v>0</v>
      </c>
      <c r="N536">
        <v>0</v>
      </c>
      <c r="O536">
        <v>6300</v>
      </c>
      <c r="P536">
        <v>56700</v>
      </c>
      <c r="Q536" t="s">
        <v>184</v>
      </c>
      <c r="R536"/>
      <c r="S536"/>
      <c r="T536"/>
    </row>
    <row r="537" spans="1:20" ht="14.5" customHeight="1" x14ac:dyDescent="0.35">
      <c r="A537">
        <v>80</v>
      </c>
      <c r="B537" t="s">
        <v>259</v>
      </c>
      <c r="C537">
        <v>1512.93</v>
      </c>
      <c r="D537">
        <v>2428.67</v>
      </c>
      <c r="E537">
        <v>1583.34</v>
      </c>
      <c r="F537">
        <v>1</v>
      </c>
      <c r="G537">
        <v>1583.34</v>
      </c>
      <c r="H537">
        <v>3383.07</v>
      </c>
      <c r="I537">
        <v>1</v>
      </c>
      <c r="J537">
        <v>3383.07</v>
      </c>
      <c r="K537">
        <v>0</v>
      </c>
      <c r="L537">
        <v>0</v>
      </c>
      <c r="M537">
        <v>-70.41</v>
      </c>
      <c r="N537">
        <v>-954.4</v>
      </c>
      <c r="O537">
        <v>1512.93</v>
      </c>
      <c r="P537">
        <v>2428.67</v>
      </c>
      <c r="Q537" t="s">
        <v>184</v>
      </c>
      <c r="R537"/>
      <c r="S537"/>
      <c r="T537"/>
    </row>
    <row r="538" spans="1:20" ht="14.5" customHeight="1" x14ac:dyDescent="0.35">
      <c r="A538">
        <v>90</v>
      </c>
      <c r="B538" t="s">
        <v>260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184</v>
      </c>
      <c r="R538"/>
      <c r="S538"/>
      <c r="T538"/>
    </row>
    <row r="539" spans="1:20" ht="14.5" customHeight="1" x14ac:dyDescent="0.35">
      <c r="A539">
        <v>100</v>
      </c>
      <c r="B539" t="s">
        <v>261</v>
      </c>
      <c r="C539">
        <v>3786.04</v>
      </c>
      <c r="D539">
        <v>34074.36</v>
      </c>
      <c r="E539">
        <v>3786.04</v>
      </c>
      <c r="F539">
        <v>1</v>
      </c>
      <c r="G539">
        <v>3786.04</v>
      </c>
      <c r="H539">
        <v>34074.36</v>
      </c>
      <c r="I539">
        <v>1</v>
      </c>
      <c r="J539">
        <v>34074.36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34074.36</v>
      </c>
      <c r="Q539" t="s">
        <v>184</v>
      </c>
      <c r="R539"/>
      <c r="S539"/>
      <c r="T539"/>
    </row>
    <row r="540" spans="1:20" ht="14.5" customHeight="1" x14ac:dyDescent="0.35">
      <c r="A540">
        <v>110</v>
      </c>
      <c r="B540" t="s">
        <v>262</v>
      </c>
      <c r="C540">
        <v>5298.97</v>
      </c>
      <c r="D540">
        <v>36503.03</v>
      </c>
      <c r="E540">
        <v>5369.38</v>
      </c>
      <c r="F540">
        <v>1</v>
      </c>
      <c r="G540">
        <v>5369.38</v>
      </c>
      <c r="H540">
        <v>37457.43</v>
      </c>
      <c r="I540">
        <v>1</v>
      </c>
      <c r="J540">
        <v>37457.43</v>
      </c>
      <c r="K540">
        <v>0</v>
      </c>
      <c r="L540">
        <v>0</v>
      </c>
      <c r="M540">
        <v>-70.41</v>
      </c>
      <c r="N540">
        <v>-954.4</v>
      </c>
      <c r="O540">
        <v>5298.97</v>
      </c>
      <c r="P540">
        <v>36503.03</v>
      </c>
      <c r="Q540" t="s">
        <v>184</v>
      </c>
      <c r="R540"/>
      <c r="S540"/>
      <c r="T540"/>
    </row>
    <row r="541" spans="1:20" ht="14.5" customHeight="1" x14ac:dyDescent="0.35">
      <c r="A541">
        <v>120</v>
      </c>
      <c r="B541" t="s">
        <v>262</v>
      </c>
      <c r="C541">
        <v>1001.03</v>
      </c>
      <c r="D541">
        <v>20196.97</v>
      </c>
      <c r="E541">
        <v>930.62</v>
      </c>
      <c r="F541">
        <v>1</v>
      </c>
      <c r="G541">
        <v>930.62</v>
      </c>
      <c r="H541">
        <v>19242.57</v>
      </c>
      <c r="I541">
        <v>1</v>
      </c>
      <c r="J541">
        <v>19242.57</v>
      </c>
      <c r="K541">
        <v>0</v>
      </c>
      <c r="L541">
        <v>0</v>
      </c>
      <c r="M541">
        <v>70.41</v>
      </c>
      <c r="N541">
        <v>954.4</v>
      </c>
      <c r="O541">
        <v>1001.03</v>
      </c>
      <c r="P541">
        <v>20196.97</v>
      </c>
      <c r="Q541" t="s">
        <v>184</v>
      </c>
      <c r="R541"/>
      <c r="S541"/>
      <c r="T541"/>
    </row>
    <row r="542" spans="1:20" ht="14.5" customHeight="1" x14ac:dyDescent="0.35">
      <c r="A542">
        <v>130</v>
      </c>
      <c r="B542" t="s">
        <v>157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184</v>
      </c>
      <c r="R542"/>
      <c r="S542"/>
      <c r="T542"/>
    </row>
    <row r="543" spans="1:20" ht="14.5" customHeight="1" x14ac:dyDescent="0.35">
      <c r="A543">
        <v>135</v>
      </c>
      <c r="B543" t="s">
        <v>264</v>
      </c>
      <c r="C543">
        <v>0</v>
      </c>
      <c r="D543">
        <v>1439.13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1439.13</v>
      </c>
      <c r="O543">
        <v>0</v>
      </c>
      <c r="P543">
        <v>1439.13</v>
      </c>
      <c r="Q543" t="s">
        <v>184</v>
      </c>
      <c r="R543"/>
      <c r="S543"/>
      <c r="T543"/>
    </row>
    <row r="544" spans="1:20" ht="14.5" customHeight="1" x14ac:dyDescent="0.35">
      <c r="A544">
        <v>140</v>
      </c>
      <c r="B544" t="s">
        <v>265</v>
      </c>
      <c r="C544">
        <v>2028.74</v>
      </c>
      <c r="D544">
        <v>29116.1</v>
      </c>
      <c r="E544">
        <v>3214.02</v>
      </c>
      <c r="F544">
        <v>1</v>
      </c>
      <c r="G544">
        <v>3214.02</v>
      </c>
      <c r="H544">
        <v>29797.17</v>
      </c>
      <c r="I544">
        <v>1</v>
      </c>
      <c r="J544">
        <v>29797.17</v>
      </c>
      <c r="K544">
        <v>0</v>
      </c>
      <c r="L544">
        <v>0</v>
      </c>
      <c r="M544">
        <v>-1185.28</v>
      </c>
      <c r="N544">
        <v>-681.07</v>
      </c>
      <c r="O544">
        <v>2028.74</v>
      </c>
      <c r="P544">
        <v>29116.1</v>
      </c>
      <c r="Q544" t="s">
        <v>184</v>
      </c>
      <c r="R544"/>
      <c r="S544"/>
      <c r="T544"/>
    </row>
    <row r="545" spans="1:20" ht="14.5" customHeight="1" x14ac:dyDescent="0.35">
      <c r="A545">
        <v>150</v>
      </c>
      <c r="B545" t="s">
        <v>266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184</v>
      </c>
      <c r="R545"/>
      <c r="S545"/>
      <c r="T545"/>
    </row>
    <row r="546" spans="1:20" ht="14.5" customHeight="1" x14ac:dyDescent="0.35">
      <c r="A546">
        <v>155</v>
      </c>
      <c r="B546" t="s">
        <v>161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184</v>
      </c>
      <c r="R546"/>
      <c r="S546"/>
      <c r="T546"/>
    </row>
    <row r="547" spans="1:20" ht="14.5" customHeight="1" x14ac:dyDescent="0.35">
      <c r="A547">
        <v>160</v>
      </c>
      <c r="B547" t="s">
        <v>267</v>
      </c>
      <c r="C547">
        <v>2028.74</v>
      </c>
      <c r="D547">
        <v>30555.23</v>
      </c>
      <c r="E547">
        <v>3214.02</v>
      </c>
      <c r="F547">
        <v>1</v>
      </c>
      <c r="G547">
        <v>3214.02</v>
      </c>
      <c r="H547">
        <v>29797.17</v>
      </c>
      <c r="I547">
        <v>1</v>
      </c>
      <c r="J547">
        <v>29797.17</v>
      </c>
      <c r="K547">
        <v>0</v>
      </c>
      <c r="L547">
        <v>0</v>
      </c>
      <c r="M547">
        <v>-1185.28</v>
      </c>
      <c r="N547">
        <v>758.06</v>
      </c>
      <c r="O547">
        <v>2028.74</v>
      </c>
      <c r="P547">
        <v>30555.23</v>
      </c>
      <c r="Q547" t="s">
        <v>184</v>
      </c>
      <c r="R547"/>
      <c r="S547"/>
      <c r="T547"/>
    </row>
    <row r="548" spans="1:20" ht="14.5" customHeight="1" x14ac:dyDescent="0.35">
      <c r="A548">
        <v>170</v>
      </c>
      <c r="B548" t="s">
        <v>276</v>
      </c>
      <c r="C548">
        <v>-1027.71</v>
      </c>
      <c r="D548">
        <v>-10358.26</v>
      </c>
      <c r="E548">
        <v>-2283.4</v>
      </c>
      <c r="F548">
        <v>1</v>
      </c>
      <c r="G548">
        <v>-2283.4</v>
      </c>
      <c r="H548">
        <v>-10554.6</v>
      </c>
      <c r="I548">
        <v>1</v>
      </c>
      <c r="J548">
        <v>-10554.6</v>
      </c>
      <c r="K548">
        <v>0</v>
      </c>
      <c r="L548">
        <v>0</v>
      </c>
      <c r="M548">
        <v>1255.69</v>
      </c>
      <c r="N548">
        <v>196.34</v>
      </c>
      <c r="O548">
        <v>-1027.71</v>
      </c>
      <c r="P548">
        <v>-10358.26</v>
      </c>
      <c r="Q548" t="s">
        <v>184</v>
      </c>
      <c r="R548"/>
      <c r="S548"/>
      <c r="T548"/>
    </row>
    <row r="549" spans="1:20" x14ac:dyDescent="0.35">
      <c r="A549">
        <v>180</v>
      </c>
      <c r="B549" t="s">
        <v>277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184</v>
      </c>
      <c r="R549"/>
      <c r="S549"/>
      <c r="T549"/>
    </row>
    <row r="550" spans="1:20" x14ac:dyDescent="0.35">
      <c r="A550">
        <v>190</v>
      </c>
      <c r="B550" t="s">
        <v>269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184</v>
      </c>
      <c r="R550"/>
      <c r="S550"/>
      <c r="T550"/>
    </row>
    <row r="551" spans="1:20" ht="14.5" customHeight="1" x14ac:dyDescent="0.35">
      <c r="A551">
        <v>200</v>
      </c>
      <c r="B551" t="s">
        <v>271</v>
      </c>
      <c r="C551">
        <v>-1027.71</v>
      </c>
      <c r="D551">
        <v>-10358.26</v>
      </c>
      <c r="E551">
        <v>-2283.4</v>
      </c>
      <c r="F551">
        <v>1</v>
      </c>
      <c r="G551">
        <v>-2283.4</v>
      </c>
      <c r="H551">
        <v>-10554.6</v>
      </c>
      <c r="I551">
        <v>1</v>
      </c>
      <c r="J551">
        <v>-10554.6</v>
      </c>
      <c r="K551">
        <v>0</v>
      </c>
      <c r="L551">
        <v>0</v>
      </c>
      <c r="M551">
        <v>1255.69</v>
      </c>
      <c r="N551">
        <v>196.34</v>
      </c>
      <c r="O551">
        <v>-1027.71</v>
      </c>
      <c r="P551">
        <v>-10358.26</v>
      </c>
      <c r="Q551" t="s">
        <v>184</v>
      </c>
      <c r="R551"/>
      <c r="S551"/>
      <c r="T551"/>
    </row>
    <row r="552" spans="1:20" ht="14.5" customHeight="1" x14ac:dyDescent="0.35">
      <c r="A552">
        <v>210</v>
      </c>
      <c r="B552" t="s">
        <v>272</v>
      </c>
      <c r="C552">
        <v>4787.07</v>
      </c>
      <c r="D552">
        <v>54271.33</v>
      </c>
      <c r="E552">
        <v>4716.66</v>
      </c>
      <c r="F552">
        <v>1</v>
      </c>
      <c r="G552">
        <v>4716.66</v>
      </c>
      <c r="H552">
        <v>53316.93</v>
      </c>
      <c r="I552">
        <v>1</v>
      </c>
      <c r="J552">
        <v>53316.93</v>
      </c>
      <c r="K552">
        <v>0</v>
      </c>
      <c r="L552">
        <v>0</v>
      </c>
      <c r="M552">
        <v>70.41</v>
      </c>
      <c r="N552">
        <v>954.4</v>
      </c>
      <c r="O552">
        <v>4787.07</v>
      </c>
      <c r="P552">
        <v>54271.33</v>
      </c>
      <c r="Q552" t="s">
        <v>184</v>
      </c>
      <c r="R552"/>
      <c r="S552"/>
      <c r="T552"/>
    </row>
    <row r="553" spans="1:20" s="185" customFormat="1" x14ac:dyDescent="0.35">
      <c r="A553" t="s">
        <v>278</v>
      </c>
      <c r="B553" t="s">
        <v>172</v>
      </c>
      <c r="C553" t="s">
        <v>205</v>
      </c>
      <c r="D553" t="s">
        <v>206</v>
      </c>
      <c r="E553" t="s">
        <v>175</v>
      </c>
      <c r="F553" t="s">
        <v>207</v>
      </c>
      <c r="G553" t="s">
        <v>208</v>
      </c>
      <c r="H553" t="s">
        <v>209</v>
      </c>
      <c r="I553" t="s">
        <v>210</v>
      </c>
      <c r="J553" t="s">
        <v>211</v>
      </c>
      <c r="K553" t="s">
        <v>212</v>
      </c>
      <c r="L553" t="s">
        <v>213</v>
      </c>
      <c r="M553" t="s">
        <v>231</v>
      </c>
      <c r="N553" t="s">
        <v>235</v>
      </c>
      <c r="O553" t="s">
        <v>236</v>
      </c>
      <c r="P553" t="s">
        <v>237</v>
      </c>
      <c r="Q553" t="s">
        <v>183</v>
      </c>
      <c r="R553"/>
      <c r="S553"/>
      <c r="T553"/>
    </row>
    <row r="554" spans="1:20" ht="14.5" customHeight="1" x14ac:dyDescent="0.35">
      <c r="A554">
        <v>30</v>
      </c>
      <c r="B554" t="s">
        <v>253</v>
      </c>
      <c r="C554">
        <v>335277.92</v>
      </c>
      <c r="D554">
        <v>3092688.86</v>
      </c>
      <c r="E554">
        <v>374523.97</v>
      </c>
      <c r="F554">
        <v>1</v>
      </c>
      <c r="G554">
        <v>374523.97</v>
      </c>
      <c r="H554">
        <v>3343979.23</v>
      </c>
      <c r="I554">
        <v>1</v>
      </c>
      <c r="J554">
        <v>3343979.23</v>
      </c>
      <c r="K554">
        <v>244561</v>
      </c>
      <c r="L554">
        <v>2238195</v>
      </c>
      <c r="M554">
        <v>-39246.050000000003</v>
      </c>
      <c r="N554">
        <v>-251290.37</v>
      </c>
      <c r="O554">
        <v>90716.92</v>
      </c>
      <c r="P554">
        <v>854493.86</v>
      </c>
      <c r="Q554" t="s">
        <v>184</v>
      </c>
      <c r="R554"/>
      <c r="S554"/>
      <c r="T554"/>
    </row>
    <row r="555" spans="1:20" ht="14.5" customHeight="1" x14ac:dyDescent="0.35">
      <c r="A555">
        <v>40</v>
      </c>
      <c r="B555" t="s">
        <v>254</v>
      </c>
      <c r="C555">
        <v>101815.39</v>
      </c>
      <c r="D555">
        <v>1005826.32</v>
      </c>
      <c r="E555">
        <v>130643.39</v>
      </c>
      <c r="F555">
        <v>1</v>
      </c>
      <c r="G555">
        <v>130643.39</v>
      </c>
      <c r="H555">
        <v>1154502.78</v>
      </c>
      <c r="I555">
        <v>1</v>
      </c>
      <c r="J555">
        <v>1154502.78</v>
      </c>
      <c r="K555">
        <v>0</v>
      </c>
      <c r="L555">
        <v>0</v>
      </c>
      <c r="M555">
        <v>-28828</v>
      </c>
      <c r="N555">
        <v>-148676.46</v>
      </c>
      <c r="O555">
        <v>101815.39</v>
      </c>
      <c r="P555">
        <v>1005826.32</v>
      </c>
      <c r="Q555" t="s">
        <v>184</v>
      </c>
      <c r="R555"/>
      <c r="S555"/>
      <c r="T555"/>
    </row>
    <row r="556" spans="1:20" x14ac:dyDescent="0.35">
      <c r="A556">
        <v>50</v>
      </c>
      <c r="B556" t="s">
        <v>255</v>
      </c>
      <c r="C556">
        <v>233462.53</v>
      </c>
      <c r="D556">
        <v>2086862.54</v>
      </c>
      <c r="E556">
        <v>243880.58</v>
      </c>
      <c r="F556">
        <v>1</v>
      </c>
      <c r="G556">
        <v>243880.58</v>
      </c>
      <c r="H556">
        <v>2189476.4500000002</v>
      </c>
      <c r="I556">
        <v>1</v>
      </c>
      <c r="J556">
        <v>2189476.4500000002</v>
      </c>
      <c r="K556">
        <v>244561</v>
      </c>
      <c r="L556">
        <v>2238195</v>
      </c>
      <c r="M556">
        <v>-10418.049999999999</v>
      </c>
      <c r="N556">
        <v>-102613.91</v>
      </c>
      <c r="O556">
        <v>-11098.47</v>
      </c>
      <c r="P556">
        <v>-151332.46</v>
      </c>
      <c r="Q556" t="s">
        <v>184</v>
      </c>
      <c r="R556"/>
      <c r="S556"/>
      <c r="T556"/>
    </row>
    <row r="557" spans="1:20" x14ac:dyDescent="0.35">
      <c r="A557">
        <v>60</v>
      </c>
      <c r="B557" t="s">
        <v>256</v>
      </c>
      <c r="C557">
        <v>81151.3</v>
      </c>
      <c r="D557">
        <v>727407.24</v>
      </c>
      <c r="E557">
        <v>86939.73</v>
      </c>
      <c r="F557">
        <v>1</v>
      </c>
      <c r="G557">
        <v>86939.73</v>
      </c>
      <c r="H557">
        <v>771147.18</v>
      </c>
      <c r="I557">
        <v>1</v>
      </c>
      <c r="J557">
        <v>771147.18</v>
      </c>
      <c r="K557">
        <v>86575</v>
      </c>
      <c r="L557">
        <v>792322</v>
      </c>
      <c r="M557">
        <v>-5788.43</v>
      </c>
      <c r="N557">
        <v>-43739.94</v>
      </c>
      <c r="O557">
        <v>-5423.7</v>
      </c>
      <c r="P557">
        <v>-64914.76</v>
      </c>
      <c r="Q557" t="s">
        <v>184</v>
      </c>
      <c r="R557"/>
      <c r="S557"/>
      <c r="T557"/>
    </row>
    <row r="558" spans="1:20" x14ac:dyDescent="0.35">
      <c r="A558">
        <v>65</v>
      </c>
      <c r="B558" t="s">
        <v>257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184</v>
      </c>
      <c r="R558"/>
      <c r="S558"/>
      <c r="T558"/>
    </row>
    <row r="559" spans="1:20" x14ac:dyDescent="0.35">
      <c r="A559">
        <v>70</v>
      </c>
      <c r="B559" t="s">
        <v>258</v>
      </c>
      <c r="C559">
        <v>152311.23000000001</v>
      </c>
      <c r="D559">
        <v>1359455.3</v>
      </c>
      <c r="E559">
        <v>156940.85</v>
      </c>
      <c r="F559">
        <v>1</v>
      </c>
      <c r="G559">
        <v>156940.85</v>
      </c>
      <c r="H559">
        <v>1418329.27</v>
      </c>
      <c r="I559">
        <v>1</v>
      </c>
      <c r="J559">
        <v>1418329.27</v>
      </c>
      <c r="K559">
        <v>157986</v>
      </c>
      <c r="L559">
        <v>1445873</v>
      </c>
      <c r="M559">
        <v>-4629.62</v>
      </c>
      <c r="N559">
        <v>-58873.97</v>
      </c>
      <c r="O559">
        <v>-5674.77</v>
      </c>
      <c r="P559">
        <v>-86417.7</v>
      </c>
      <c r="Q559" t="s">
        <v>184</v>
      </c>
      <c r="R559"/>
      <c r="S559"/>
      <c r="T559"/>
    </row>
    <row r="560" spans="1:20" ht="14.5" customHeight="1" x14ac:dyDescent="0.35">
      <c r="A560">
        <v>80</v>
      </c>
      <c r="B560" t="s">
        <v>259</v>
      </c>
      <c r="C560">
        <v>157342.19</v>
      </c>
      <c r="D560">
        <v>1396427.92</v>
      </c>
      <c r="E560">
        <v>157079.72</v>
      </c>
      <c r="F560">
        <v>1</v>
      </c>
      <c r="G560">
        <v>157079.72</v>
      </c>
      <c r="H560">
        <v>1494998.78</v>
      </c>
      <c r="I560">
        <v>1</v>
      </c>
      <c r="J560">
        <v>1494998.78</v>
      </c>
      <c r="K560">
        <v>167041</v>
      </c>
      <c r="L560">
        <v>1518349</v>
      </c>
      <c r="M560">
        <v>262.47000000000003</v>
      </c>
      <c r="N560">
        <v>-98570.86</v>
      </c>
      <c r="O560">
        <v>-9698.81</v>
      </c>
      <c r="P560">
        <v>-121921.08</v>
      </c>
      <c r="Q560" t="s">
        <v>184</v>
      </c>
      <c r="R560"/>
      <c r="S560"/>
      <c r="T560"/>
    </row>
    <row r="561" spans="1:20" ht="14.5" customHeight="1" x14ac:dyDescent="0.35">
      <c r="A561">
        <v>90</v>
      </c>
      <c r="B561" t="s">
        <v>260</v>
      </c>
      <c r="C561">
        <v>7273.68</v>
      </c>
      <c r="D561">
        <v>115755.08</v>
      </c>
      <c r="E561">
        <v>13777.47</v>
      </c>
      <c r="F561">
        <v>1</v>
      </c>
      <c r="G561">
        <v>13777.47</v>
      </c>
      <c r="H561">
        <v>151339.93</v>
      </c>
      <c r="I561">
        <v>1</v>
      </c>
      <c r="J561">
        <v>151339.93</v>
      </c>
      <c r="K561">
        <v>12171</v>
      </c>
      <c r="L561">
        <v>143362</v>
      </c>
      <c r="M561">
        <v>-6503.79</v>
      </c>
      <c r="N561">
        <v>-35584.85</v>
      </c>
      <c r="O561">
        <v>-4897.32</v>
      </c>
      <c r="P561">
        <v>-27606.92</v>
      </c>
      <c r="Q561" t="s">
        <v>184</v>
      </c>
      <c r="R561"/>
      <c r="S561"/>
      <c r="T561"/>
    </row>
    <row r="562" spans="1:20" ht="14.5" customHeight="1" x14ac:dyDescent="0.35">
      <c r="A562">
        <v>100</v>
      </c>
      <c r="B562" t="s">
        <v>261</v>
      </c>
      <c r="C562">
        <v>9241.76</v>
      </c>
      <c r="D562">
        <v>83175.839999999997</v>
      </c>
      <c r="E562">
        <v>12408.68</v>
      </c>
      <c r="F562">
        <v>1</v>
      </c>
      <c r="G562">
        <v>12408.68</v>
      </c>
      <c r="H562">
        <v>111678.12</v>
      </c>
      <c r="I562">
        <v>1</v>
      </c>
      <c r="J562">
        <v>111678.12</v>
      </c>
      <c r="K562">
        <v>9242</v>
      </c>
      <c r="L562">
        <v>83178</v>
      </c>
      <c r="M562">
        <v>-3166.92</v>
      </c>
      <c r="N562">
        <v>-28502.28</v>
      </c>
      <c r="O562">
        <v>-0.24</v>
      </c>
      <c r="P562">
        <v>-2.16</v>
      </c>
      <c r="Q562" t="s">
        <v>184</v>
      </c>
      <c r="R562"/>
      <c r="S562"/>
      <c r="T562"/>
    </row>
    <row r="563" spans="1:20" ht="14.5" customHeight="1" x14ac:dyDescent="0.35">
      <c r="A563">
        <v>110</v>
      </c>
      <c r="B563" t="s">
        <v>262</v>
      </c>
      <c r="C563">
        <v>173857.63</v>
      </c>
      <c r="D563">
        <v>1595358.84</v>
      </c>
      <c r="E563">
        <v>183265.87</v>
      </c>
      <c r="F563">
        <v>1</v>
      </c>
      <c r="G563">
        <v>183265.87</v>
      </c>
      <c r="H563">
        <v>1758016.83</v>
      </c>
      <c r="I563">
        <v>1</v>
      </c>
      <c r="J563">
        <v>1758016.83</v>
      </c>
      <c r="K563">
        <v>188454</v>
      </c>
      <c r="L563">
        <v>1744889</v>
      </c>
      <c r="M563">
        <v>-9408.24</v>
      </c>
      <c r="N563">
        <v>-162657.99</v>
      </c>
      <c r="O563">
        <v>-14596.37</v>
      </c>
      <c r="P563">
        <v>-149530.16</v>
      </c>
      <c r="Q563" t="s">
        <v>184</v>
      </c>
      <c r="R563"/>
      <c r="S563"/>
      <c r="T563"/>
    </row>
    <row r="564" spans="1:20" ht="14.5" customHeight="1" x14ac:dyDescent="0.35">
      <c r="A564">
        <v>120</v>
      </c>
      <c r="B564" t="s">
        <v>263</v>
      </c>
      <c r="C564">
        <v>-21546.400000000001</v>
      </c>
      <c r="D564">
        <v>-235903.54</v>
      </c>
      <c r="E564">
        <v>-26325.02</v>
      </c>
      <c r="F564">
        <v>1</v>
      </c>
      <c r="G564">
        <v>-26325.02</v>
      </c>
      <c r="H564">
        <v>-339687.56</v>
      </c>
      <c r="I564">
        <v>1</v>
      </c>
      <c r="J564">
        <v>-339687.56</v>
      </c>
      <c r="K564">
        <v>-30468</v>
      </c>
      <c r="L564">
        <v>-299016</v>
      </c>
      <c r="M564">
        <v>4778.62</v>
      </c>
      <c r="N564">
        <v>103784.02</v>
      </c>
      <c r="O564">
        <v>8921.6</v>
      </c>
      <c r="P564">
        <v>63112.46</v>
      </c>
      <c r="Q564" t="s">
        <v>184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184</v>
      </c>
      <c r="R565"/>
      <c r="S565"/>
      <c r="T565"/>
    </row>
    <row r="566" spans="1:20" ht="14.5" customHeight="1" x14ac:dyDescent="0.35">
      <c r="A566">
        <v>135</v>
      </c>
      <c r="B566" t="s">
        <v>264</v>
      </c>
      <c r="C566">
        <v>-1851.14</v>
      </c>
      <c r="D566">
        <v>-20036.080000000002</v>
      </c>
      <c r="E566">
        <v>-2379.25</v>
      </c>
      <c r="F566">
        <v>1</v>
      </c>
      <c r="G566">
        <v>-2379.25</v>
      </c>
      <c r="H566">
        <v>-15357.84</v>
      </c>
      <c r="I566">
        <v>1</v>
      </c>
      <c r="J566">
        <v>-15357.84</v>
      </c>
      <c r="K566">
        <v>-2211</v>
      </c>
      <c r="L566">
        <v>-19899</v>
      </c>
      <c r="M566">
        <v>528.11</v>
      </c>
      <c r="N566">
        <v>-4678.24</v>
      </c>
      <c r="O566">
        <v>359.86</v>
      </c>
      <c r="P566">
        <v>-137.08000000000001</v>
      </c>
      <c r="Q566" t="s">
        <v>184</v>
      </c>
      <c r="R566"/>
      <c r="S566"/>
      <c r="T566"/>
    </row>
    <row r="567" spans="1:20" ht="14.5" customHeight="1" x14ac:dyDescent="0.35">
      <c r="A567">
        <v>140</v>
      </c>
      <c r="B567" t="s">
        <v>265</v>
      </c>
      <c r="C567">
        <v>0</v>
      </c>
      <c r="D567">
        <v>0</v>
      </c>
      <c r="E567">
        <v>1141.9100000000001</v>
      </c>
      <c r="F567">
        <v>1</v>
      </c>
      <c r="G567">
        <v>1141.9100000000001</v>
      </c>
      <c r="H567">
        <v>7824.43</v>
      </c>
      <c r="I567">
        <v>1</v>
      </c>
      <c r="J567">
        <v>7824.43</v>
      </c>
      <c r="K567">
        <v>0</v>
      </c>
      <c r="L567">
        <v>0</v>
      </c>
      <c r="M567">
        <v>-1141.9100000000001</v>
      </c>
      <c r="N567">
        <v>-7824.43</v>
      </c>
      <c r="O567">
        <v>0</v>
      </c>
      <c r="P567">
        <v>0</v>
      </c>
      <c r="Q567" t="s">
        <v>184</v>
      </c>
      <c r="R567"/>
      <c r="S567"/>
      <c r="T567"/>
    </row>
    <row r="568" spans="1:20" ht="14.5" customHeight="1" x14ac:dyDescent="0.35">
      <c r="A568">
        <v>150</v>
      </c>
      <c r="B568" t="s">
        <v>266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184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184</v>
      </c>
      <c r="R569"/>
      <c r="S569"/>
      <c r="T569"/>
    </row>
    <row r="570" spans="1:20" ht="14.5" customHeight="1" x14ac:dyDescent="0.35">
      <c r="A570">
        <v>160</v>
      </c>
      <c r="B570" t="s">
        <v>267</v>
      </c>
      <c r="C570">
        <v>-1851.14</v>
      </c>
      <c r="D570">
        <v>-20036.080000000002</v>
      </c>
      <c r="E570">
        <v>-1237.3399999999999</v>
      </c>
      <c r="F570">
        <v>1</v>
      </c>
      <c r="G570">
        <v>-1237.3399999999999</v>
      </c>
      <c r="H570">
        <v>-7533.41</v>
      </c>
      <c r="I570">
        <v>1</v>
      </c>
      <c r="J570">
        <v>-7533.41</v>
      </c>
      <c r="K570">
        <v>-2211</v>
      </c>
      <c r="L570">
        <v>-19899</v>
      </c>
      <c r="M570">
        <v>-613.79999999999995</v>
      </c>
      <c r="N570">
        <v>-12502.67</v>
      </c>
      <c r="O570">
        <v>359.86</v>
      </c>
      <c r="P570">
        <v>-137.08000000000001</v>
      </c>
      <c r="Q570" t="s">
        <v>184</v>
      </c>
      <c r="R570"/>
      <c r="S570"/>
      <c r="T570"/>
    </row>
    <row r="571" spans="1:20" ht="14.5" customHeight="1" x14ac:dyDescent="0.35">
      <c r="A571">
        <v>170</v>
      </c>
      <c r="B571" t="s">
        <v>274</v>
      </c>
      <c r="C571">
        <v>-19695.259999999998</v>
      </c>
      <c r="D571">
        <v>-215867.46</v>
      </c>
      <c r="E571">
        <v>-25087.68</v>
      </c>
      <c r="F571">
        <v>1</v>
      </c>
      <c r="G571">
        <v>-25087.68</v>
      </c>
      <c r="H571">
        <v>-332154.15000000002</v>
      </c>
      <c r="I571">
        <v>1</v>
      </c>
      <c r="J571">
        <v>-332154.15000000002</v>
      </c>
      <c r="K571">
        <v>-28257</v>
      </c>
      <c r="L571">
        <v>-279117</v>
      </c>
      <c r="M571">
        <v>5392.42</v>
      </c>
      <c r="N571">
        <v>116286.69</v>
      </c>
      <c r="O571">
        <v>8561.74</v>
      </c>
      <c r="P571">
        <v>63249.54</v>
      </c>
      <c r="Q571" t="s">
        <v>184</v>
      </c>
      <c r="R571"/>
      <c r="S571"/>
      <c r="T571"/>
    </row>
    <row r="572" spans="1:20" x14ac:dyDescent="0.35">
      <c r="A572">
        <v>180</v>
      </c>
      <c r="B572" t="s">
        <v>269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184</v>
      </c>
      <c r="R572"/>
      <c r="S572"/>
      <c r="T572"/>
    </row>
    <row r="573" spans="1:20" x14ac:dyDescent="0.35">
      <c r="A573">
        <v>190</v>
      </c>
      <c r="B573" t="s">
        <v>270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184</v>
      </c>
      <c r="R573"/>
      <c r="S573"/>
      <c r="T573"/>
    </row>
    <row r="574" spans="1:20" ht="14.5" customHeight="1" x14ac:dyDescent="0.35">
      <c r="A574">
        <v>200</v>
      </c>
      <c r="B574" t="s">
        <v>271</v>
      </c>
      <c r="C574">
        <v>-19695.259999999998</v>
      </c>
      <c r="D574">
        <v>-215867.46</v>
      </c>
      <c r="E574">
        <v>-25087.68</v>
      </c>
      <c r="F574">
        <v>1</v>
      </c>
      <c r="G574">
        <v>-25087.68</v>
      </c>
      <c r="H574">
        <v>-332154.15000000002</v>
      </c>
      <c r="I574">
        <v>1</v>
      </c>
      <c r="J574">
        <v>-332154.15000000002</v>
      </c>
      <c r="K574">
        <v>-28257</v>
      </c>
      <c r="L574">
        <v>-279117</v>
      </c>
      <c r="M574">
        <v>5392.42</v>
      </c>
      <c r="N574">
        <v>116286.69</v>
      </c>
      <c r="O574">
        <v>8561.74</v>
      </c>
      <c r="P574">
        <v>63249.54</v>
      </c>
      <c r="Q574" t="s">
        <v>184</v>
      </c>
      <c r="R574"/>
      <c r="S574"/>
      <c r="T574"/>
    </row>
    <row r="575" spans="1:20" ht="14.5" customHeight="1" x14ac:dyDescent="0.35">
      <c r="A575">
        <v>210</v>
      </c>
      <c r="B575" t="s">
        <v>272</v>
      </c>
      <c r="C575">
        <v>-12304.64</v>
      </c>
      <c r="D575">
        <v>-152727.70000000001</v>
      </c>
      <c r="E575">
        <v>-13916.34</v>
      </c>
      <c r="F575">
        <v>1</v>
      </c>
      <c r="G575">
        <v>-13916.34</v>
      </c>
      <c r="H575">
        <v>-228009.44</v>
      </c>
      <c r="I575">
        <v>1</v>
      </c>
      <c r="J575">
        <v>-228009.44</v>
      </c>
      <c r="K575">
        <v>-21226</v>
      </c>
      <c r="L575">
        <v>-215838</v>
      </c>
      <c r="M575">
        <v>1611.7</v>
      </c>
      <c r="N575">
        <v>75281.740000000005</v>
      </c>
      <c r="O575">
        <v>8921.36</v>
      </c>
      <c r="P575">
        <v>63110.3</v>
      </c>
      <c r="Q575" t="s">
        <v>184</v>
      </c>
      <c r="R575"/>
      <c r="S575"/>
      <c r="T575"/>
    </row>
    <row r="576" spans="1:20" s="223" customFormat="1" x14ac:dyDescent="0.35">
      <c r="A576" t="s">
        <v>463</v>
      </c>
      <c r="B576" t="s">
        <v>172</v>
      </c>
      <c r="C576" t="s">
        <v>205</v>
      </c>
      <c r="D576" t="s">
        <v>206</v>
      </c>
      <c r="E576" t="s">
        <v>175</v>
      </c>
      <c r="F576" t="s">
        <v>207</v>
      </c>
      <c r="G576" t="s">
        <v>208</v>
      </c>
      <c r="H576" t="s">
        <v>209</v>
      </c>
      <c r="I576" t="s">
        <v>210</v>
      </c>
      <c r="J576" t="s">
        <v>211</v>
      </c>
      <c r="K576" t="s">
        <v>212</v>
      </c>
      <c r="L576" t="s">
        <v>213</v>
      </c>
      <c r="M576" t="s">
        <v>231</v>
      </c>
      <c r="N576" t="s">
        <v>235</v>
      </c>
      <c r="O576" t="s">
        <v>236</v>
      </c>
      <c r="P576" t="s">
        <v>237</v>
      </c>
      <c r="Q576" t="s">
        <v>183</v>
      </c>
      <c r="R576"/>
      <c r="S576"/>
      <c r="T576"/>
    </row>
    <row r="577" spans="1:20" ht="14.5" customHeight="1" x14ac:dyDescent="0.35">
      <c r="A577">
        <v>30</v>
      </c>
      <c r="B577" t="s">
        <v>253</v>
      </c>
      <c r="C577">
        <v>36184.15</v>
      </c>
      <c r="D577">
        <v>297109.46000000002</v>
      </c>
      <c r="E577">
        <v>29022</v>
      </c>
      <c r="F577">
        <v>1</v>
      </c>
      <c r="G577">
        <v>29022</v>
      </c>
      <c r="H577">
        <v>260233.71</v>
      </c>
      <c r="I577">
        <v>1</v>
      </c>
      <c r="J577">
        <v>260233.71</v>
      </c>
      <c r="K577">
        <v>0</v>
      </c>
      <c r="L577">
        <v>0</v>
      </c>
      <c r="M577">
        <v>7162.15</v>
      </c>
      <c r="N577">
        <v>36875.75</v>
      </c>
      <c r="O577">
        <v>36184.15</v>
      </c>
      <c r="P577">
        <v>297109.46000000002</v>
      </c>
      <c r="Q577" t="s">
        <v>184</v>
      </c>
      <c r="R577"/>
      <c r="S577"/>
      <c r="T577"/>
    </row>
    <row r="578" spans="1:20" ht="14.5" customHeight="1" x14ac:dyDescent="0.35">
      <c r="A578">
        <v>40</v>
      </c>
      <c r="B578" t="s">
        <v>254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184</v>
      </c>
      <c r="R578"/>
      <c r="S578"/>
      <c r="T578"/>
    </row>
    <row r="579" spans="1:20" x14ac:dyDescent="0.35">
      <c r="A579">
        <v>50</v>
      </c>
      <c r="B579" t="s">
        <v>255</v>
      </c>
      <c r="C579">
        <v>36184.15</v>
      </c>
      <c r="D579">
        <v>297109.46000000002</v>
      </c>
      <c r="E579">
        <v>29022</v>
      </c>
      <c r="F579">
        <v>1</v>
      </c>
      <c r="G579">
        <v>29022</v>
      </c>
      <c r="H579">
        <v>260233.71</v>
      </c>
      <c r="I579">
        <v>1</v>
      </c>
      <c r="J579">
        <v>260233.71</v>
      </c>
      <c r="K579">
        <v>0</v>
      </c>
      <c r="L579">
        <v>0</v>
      </c>
      <c r="M579">
        <v>7162.15</v>
      </c>
      <c r="N579">
        <v>36875.75</v>
      </c>
      <c r="O579">
        <v>36184.15</v>
      </c>
      <c r="P579">
        <v>297109.46000000002</v>
      </c>
      <c r="Q579" t="s">
        <v>184</v>
      </c>
      <c r="R579"/>
      <c r="S579"/>
      <c r="T579"/>
    </row>
    <row r="580" spans="1:20" x14ac:dyDescent="0.35">
      <c r="A580">
        <v>60</v>
      </c>
      <c r="B580" t="s">
        <v>256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184</v>
      </c>
      <c r="R580"/>
      <c r="S580"/>
      <c r="T580"/>
    </row>
    <row r="581" spans="1:20" x14ac:dyDescent="0.35">
      <c r="A581">
        <v>70</v>
      </c>
      <c r="B581" t="s">
        <v>258</v>
      </c>
      <c r="C581">
        <v>36184.15</v>
      </c>
      <c r="D581">
        <v>297109.46000000002</v>
      </c>
      <c r="E581">
        <v>29022</v>
      </c>
      <c r="F581">
        <v>1</v>
      </c>
      <c r="G581">
        <v>29022</v>
      </c>
      <c r="H581">
        <v>260233.71</v>
      </c>
      <c r="I581">
        <v>1</v>
      </c>
      <c r="J581">
        <v>260233.71</v>
      </c>
      <c r="K581">
        <v>0</v>
      </c>
      <c r="L581">
        <v>0</v>
      </c>
      <c r="M581">
        <v>7162.15</v>
      </c>
      <c r="N581">
        <v>36875.75</v>
      </c>
      <c r="O581">
        <v>36184.15</v>
      </c>
      <c r="P581">
        <v>297109.46000000002</v>
      </c>
      <c r="Q581" t="s">
        <v>184</v>
      </c>
      <c r="R581"/>
      <c r="S581"/>
      <c r="T581"/>
    </row>
    <row r="582" spans="1:20" ht="14.5" customHeight="1" x14ac:dyDescent="0.35">
      <c r="A582">
        <v>80</v>
      </c>
      <c r="B582" t="s">
        <v>259</v>
      </c>
      <c r="C582">
        <v>10357.08</v>
      </c>
      <c r="D582">
        <v>24931.66</v>
      </c>
      <c r="E582">
        <v>3.7</v>
      </c>
      <c r="F582">
        <v>1</v>
      </c>
      <c r="G582">
        <v>3.7</v>
      </c>
      <c r="H582">
        <v>164.19</v>
      </c>
      <c r="I582">
        <v>1</v>
      </c>
      <c r="J582">
        <v>164.19</v>
      </c>
      <c r="K582">
        <v>0</v>
      </c>
      <c r="L582">
        <v>0</v>
      </c>
      <c r="M582">
        <v>10353.379999999999</v>
      </c>
      <c r="N582">
        <v>24767.47</v>
      </c>
      <c r="O582">
        <v>10357.08</v>
      </c>
      <c r="P582">
        <v>24931.66</v>
      </c>
      <c r="Q582" t="s">
        <v>184</v>
      </c>
      <c r="R582"/>
      <c r="S582"/>
      <c r="T582"/>
    </row>
    <row r="583" spans="1:20" ht="14.5" customHeight="1" x14ac:dyDescent="0.35">
      <c r="A583">
        <v>90</v>
      </c>
      <c r="B583" t="s">
        <v>260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184</v>
      </c>
      <c r="R583"/>
      <c r="S583"/>
      <c r="T583"/>
    </row>
    <row r="584" spans="1:20" ht="14.5" customHeight="1" x14ac:dyDescent="0.35">
      <c r="A584">
        <v>100</v>
      </c>
      <c r="B584" t="s">
        <v>261</v>
      </c>
      <c r="C584">
        <v>2513.17</v>
      </c>
      <c r="D584">
        <v>22618.53</v>
      </c>
      <c r="E584">
        <v>2513.17</v>
      </c>
      <c r="F584">
        <v>1</v>
      </c>
      <c r="G584">
        <v>2513.17</v>
      </c>
      <c r="H584">
        <v>22618.53</v>
      </c>
      <c r="I584">
        <v>1</v>
      </c>
      <c r="J584">
        <v>22618.53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22618.53</v>
      </c>
      <c r="Q584" t="s">
        <v>184</v>
      </c>
      <c r="R584"/>
      <c r="S584"/>
      <c r="T584"/>
    </row>
    <row r="585" spans="1:20" ht="14.5" customHeight="1" x14ac:dyDescent="0.35">
      <c r="A585">
        <v>110</v>
      </c>
      <c r="B585" t="s">
        <v>262</v>
      </c>
      <c r="C585">
        <v>12870.25</v>
      </c>
      <c r="D585">
        <v>47550.19</v>
      </c>
      <c r="E585">
        <v>2516.87</v>
      </c>
      <c r="F585">
        <v>1</v>
      </c>
      <c r="G585">
        <v>2516.87</v>
      </c>
      <c r="H585">
        <v>22782.720000000001</v>
      </c>
      <c r="I585">
        <v>1</v>
      </c>
      <c r="J585">
        <v>22782.720000000001</v>
      </c>
      <c r="K585">
        <v>0</v>
      </c>
      <c r="L585">
        <v>0</v>
      </c>
      <c r="M585">
        <v>10353.379999999999</v>
      </c>
      <c r="N585">
        <v>24767.47</v>
      </c>
      <c r="O585">
        <v>12870.25</v>
      </c>
      <c r="P585">
        <v>47550.19</v>
      </c>
      <c r="Q585" t="s">
        <v>184</v>
      </c>
      <c r="R585"/>
      <c r="S585"/>
      <c r="T585"/>
    </row>
    <row r="586" spans="1:20" ht="14.5" customHeight="1" x14ac:dyDescent="0.35">
      <c r="A586">
        <v>120</v>
      </c>
      <c r="B586" t="s">
        <v>263</v>
      </c>
      <c r="C586">
        <v>23313.9</v>
      </c>
      <c r="D586">
        <v>249559.27</v>
      </c>
      <c r="E586">
        <v>26505.13</v>
      </c>
      <c r="F586">
        <v>1</v>
      </c>
      <c r="G586">
        <v>26505.13</v>
      </c>
      <c r="H586">
        <v>237450.99</v>
      </c>
      <c r="I586">
        <v>1</v>
      </c>
      <c r="J586">
        <v>237450.99</v>
      </c>
      <c r="K586">
        <v>0</v>
      </c>
      <c r="L586">
        <v>0</v>
      </c>
      <c r="M586">
        <v>-3191.23</v>
      </c>
      <c r="N586">
        <v>12108.28</v>
      </c>
      <c r="O586">
        <v>23313.9</v>
      </c>
      <c r="P586">
        <v>249559.27</v>
      </c>
      <c r="Q586" t="s">
        <v>184</v>
      </c>
      <c r="R586"/>
      <c r="S586"/>
      <c r="T586"/>
    </row>
    <row r="587" spans="1:20" ht="14.5" customHeight="1" x14ac:dyDescent="0.35">
      <c r="A587">
        <v>130</v>
      </c>
      <c r="B587" t="s">
        <v>157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184</v>
      </c>
      <c r="R587"/>
      <c r="S587"/>
      <c r="T587"/>
    </row>
    <row r="588" spans="1:20" ht="14.5" customHeight="1" x14ac:dyDescent="0.35">
      <c r="A588">
        <v>135</v>
      </c>
      <c r="B588" t="s">
        <v>264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537.16</v>
      </c>
      <c r="I588">
        <v>1</v>
      </c>
      <c r="J588">
        <v>537.16</v>
      </c>
      <c r="K588">
        <v>0</v>
      </c>
      <c r="L588">
        <v>0</v>
      </c>
      <c r="M588">
        <v>0</v>
      </c>
      <c r="N588">
        <v>-537.16</v>
      </c>
      <c r="O588">
        <v>0</v>
      </c>
      <c r="P588">
        <v>0</v>
      </c>
      <c r="Q588" t="s">
        <v>184</v>
      </c>
      <c r="R588"/>
      <c r="S588"/>
      <c r="T588"/>
    </row>
    <row r="589" spans="1:20" ht="14.5" customHeight="1" x14ac:dyDescent="0.35">
      <c r="A589">
        <v>140</v>
      </c>
      <c r="B589" t="s">
        <v>265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t="s">
        <v>184</v>
      </c>
      <c r="R589"/>
      <c r="S589"/>
      <c r="T589"/>
    </row>
    <row r="590" spans="1:20" ht="14.5" customHeight="1" x14ac:dyDescent="0.35">
      <c r="A590">
        <v>150</v>
      </c>
      <c r="B590" t="s">
        <v>266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184</v>
      </c>
      <c r="R590"/>
      <c r="S590"/>
      <c r="T590"/>
    </row>
    <row r="591" spans="1:20" ht="14.5" customHeight="1" x14ac:dyDescent="0.35">
      <c r="A591">
        <v>155</v>
      </c>
      <c r="B591" t="s">
        <v>161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184</v>
      </c>
      <c r="R591"/>
      <c r="S591"/>
      <c r="T591"/>
    </row>
    <row r="592" spans="1:20" ht="14.5" customHeight="1" x14ac:dyDescent="0.35">
      <c r="A592">
        <v>160</v>
      </c>
      <c r="B592" t="s">
        <v>267</v>
      </c>
      <c r="C592">
        <v>0</v>
      </c>
      <c r="D592">
        <v>0</v>
      </c>
      <c r="E592">
        <v>0</v>
      </c>
      <c r="F592">
        <v>1</v>
      </c>
      <c r="G592">
        <v>0</v>
      </c>
      <c r="H592">
        <v>537.16</v>
      </c>
      <c r="I592">
        <v>1</v>
      </c>
      <c r="J592">
        <v>537.16</v>
      </c>
      <c r="K592">
        <v>0</v>
      </c>
      <c r="L592">
        <v>0</v>
      </c>
      <c r="M592">
        <v>0</v>
      </c>
      <c r="N592">
        <v>-537.16</v>
      </c>
      <c r="O592">
        <v>0</v>
      </c>
      <c r="P592">
        <v>0</v>
      </c>
      <c r="Q592" t="s">
        <v>184</v>
      </c>
      <c r="R592"/>
      <c r="S592"/>
      <c r="T592"/>
    </row>
    <row r="593" spans="1:20" ht="14.5" customHeight="1" x14ac:dyDescent="0.35">
      <c r="A593">
        <v>170</v>
      </c>
      <c r="B593" t="s">
        <v>276</v>
      </c>
      <c r="C593">
        <v>23313.9</v>
      </c>
      <c r="D593">
        <v>249559.27</v>
      </c>
      <c r="E593">
        <v>26505.13</v>
      </c>
      <c r="F593">
        <v>1</v>
      </c>
      <c r="G593">
        <v>26505.13</v>
      </c>
      <c r="H593">
        <v>236913.83</v>
      </c>
      <c r="I593">
        <v>1</v>
      </c>
      <c r="J593">
        <v>236913.83</v>
      </c>
      <c r="K593">
        <v>0</v>
      </c>
      <c r="L593">
        <v>0</v>
      </c>
      <c r="M593">
        <v>-3191.23</v>
      </c>
      <c r="N593">
        <v>12645.44</v>
      </c>
      <c r="O593">
        <v>23313.9</v>
      </c>
      <c r="P593">
        <v>249559.27</v>
      </c>
      <c r="Q593" t="s">
        <v>184</v>
      </c>
      <c r="R593"/>
      <c r="S593"/>
      <c r="T593"/>
    </row>
    <row r="594" spans="1:20" x14ac:dyDescent="0.35">
      <c r="A594">
        <v>180</v>
      </c>
      <c r="B594" t="s">
        <v>277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184</v>
      </c>
      <c r="R594"/>
      <c r="S594"/>
      <c r="T594"/>
    </row>
    <row r="595" spans="1:20" x14ac:dyDescent="0.35">
      <c r="A595">
        <v>190</v>
      </c>
      <c r="B595" t="s">
        <v>269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184</v>
      </c>
      <c r="R595"/>
      <c r="S595"/>
      <c r="T595"/>
    </row>
    <row r="596" spans="1:20" ht="14.5" customHeight="1" x14ac:dyDescent="0.35">
      <c r="A596">
        <v>200</v>
      </c>
      <c r="B596" t="s">
        <v>271</v>
      </c>
      <c r="C596">
        <v>23313.9</v>
      </c>
      <c r="D596">
        <v>249559.27</v>
      </c>
      <c r="E596">
        <v>26505.13</v>
      </c>
      <c r="F596">
        <v>1</v>
      </c>
      <c r="G596">
        <v>26505.13</v>
      </c>
      <c r="H596">
        <v>236913.83</v>
      </c>
      <c r="I596">
        <v>1</v>
      </c>
      <c r="J596">
        <v>236913.83</v>
      </c>
      <c r="K596">
        <v>0</v>
      </c>
      <c r="L596">
        <v>0</v>
      </c>
      <c r="M596">
        <v>-3191.23</v>
      </c>
      <c r="N596">
        <v>12645.44</v>
      </c>
      <c r="O596">
        <v>23313.9</v>
      </c>
      <c r="P596">
        <v>249559.27</v>
      </c>
      <c r="Q596" t="s">
        <v>184</v>
      </c>
      <c r="R596"/>
      <c r="S596"/>
      <c r="T596"/>
    </row>
    <row r="597" spans="1:20" ht="14.5" customHeight="1" x14ac:dyDescent="0.35">
      <c r="A597">
        <v>210</v>
      </c>
      <c r="B597" t="s">
        <v>272</v>
      </c>
      <c r="C597">
        <v>25827.07</v>
      </c>
      <c r="D597">
        <v>272177.8</v>
      </c>
      <c r="E597">
        <v>29018.3</v>
      </c>
      <c r="F597">
        <v>1</v>
      </c>
      <c r="G597">
        <v>29018.3</v>
      </c>
      <c r="H597">
        <v>260069.52</v>
      </c>
      <c r="I597">
        <v>1</v>
      </c>
      <c r="J597">
        <v>260069.52</v>
      </c>
      <c r="K597">
        <v>0</v>
      </c>
      <c r="L597">
        <v>0</v>
      </c>
      <c r="M597">
        <v>-3191.23</v>
      </c>
      <c r="N597">
        <v>12108.28</v>
      </c>
      <c r="O597">
        <v>25827.07</v>
      </c>
      <c r="P597">
        <v>272177.8</v>
      </c>
      <c r="Q597" t="s">
        <v>184</v>
      </c>
      <c r="R597"/>
      <c r="S597"/>
      <c r="T597"/>
    </row>
    <row r="598" spans="1:20" s="185" customFormat="1" x14ac:dyDescent="0.35">
      <c r="A598" t="s">
        <v>279</v>
      </c>
      <c r="B598" t="s">
        <v>172</v>
      </c>
      <c r="C598" t="s">
        <v>205</v>
      </c>
      <c r="D598" t="s">
        <v>206</v>
      </c>
      <c r="E598" t="s">
        <v>175</v>
      </c>
      <c r="F598" t="s">
        <v>207</v>
      </c>
      <c r="G598" t="s">
        <v>208</v>
      </c>
      <c r="H598" t="s">
        <v>209</v>
      </c>
      <c r="I598" t="s">
        <v>210</v>
      </c>
      <c r="J598" t="s">
        <v>211</v>
      </c>
      <c r="K598" t="s">
        <v>212</v>
      </c>
      <c r="L598" t="s">
        <v>213</v>
      </c>
      <c r="M598" t="s">
        <v>231</v>
      </c>
      <c r="N598" t="s">
        <v>235</v>
      </c>
      <c r="O598" t="s">
        <v>236</v>
      </c>
      <c r="P598" t="s">
        <v>237</v>
      </c>
      <c r="Q598" t="s">
        <v>183</v>
      </c>
      <c r="R598"/>
      <c r="S598"/>
      <c r="T598"/>
    </row>
    <row r="599" spans="1:20" ht="14.5" customHeight="1" x14ac:dyDescent="0.35">
      <c r="A599">
        <v>30</v>
      </c>
      <c r="B599" t="s">
        <v>253</v>
      </c>
      <c r="C599">
        <v>401794.6</v>
      </c>
      <c r="D599">
        <v>3695139.08</v>
      </c>
      <c r="E599">
        <v>445069.63</v>
      </c>
      <c r="F599">
        <v>1</v>
      </c>
      <c r="G599">
        <v>445069.63</v>
      </c>
      <c r="H599">
        <v>4091288.97</v>
      </c>
      <c r="I599">
        <v>1</v>
      </c>
      <c r="J599">
        <v>4091288.97</v>
      </c>
      <c r="K599">
        <v>321637</v>
      </c>
      <c r="L599">
        <v>2998283</v>
      </c>
      <c r="M599">
        <v>-43275.03</v>
      </c>
      <c r="N599">
        <v>-396149.89</v>
      </c>
      <c r="O599">
        <v>80157.600000000006</v>
      </c>
      <c r="P599">
        <v>696856.08</v>
      </c>
      <c r="Q599" t="s">
        <v>184</v>
      </c>
      <c r="R599"/>
      <c r="S599"/>
      <c r="T599"/>
    </row>
    <row r="600" spans="1:20" ht="14.5" customHeight="1" x14ac:dyDescent="0.35">
      <c r="A600">
        <v>40</v>
      </c>
      <c r="B600" t="s">
        <v>254</v>
      </c>
      <c r="C600">
        <v>100080.6</v>
      </c>
      <c r="D600">
        <v>948904.43</v>
      </c>
      <c r="E600">
        <v>124524.64</v>
      </c>
      <c r="F600">
        <v>1</v>
      </c>
      <c r="G600">
        <v>124524.64</v>
      </c>
      <c r="H600">
        <v>1160628.8999999999</v>
      </c>
      <c r="I600">
        <v>1</v>
      </c>
      <c r="J600">
        <v>1160628.8999999999</v>
      </c>
      <c r="K600">
        <v>0</v>
      </c>
      <c r="L600">
        <v>0</v>
      </c>
      <c r="M600">
        <v>-24444.04</v>
      </c>
      <c r="N600">
        <v>-211724.47</v>
      </c>
      <c r="O600">
        <v>100080.6</v>
      </c>
      <c r="P600">
        <v>948904.43</v>
      </c>
      <c r="Q600" t="s">
        <v>184</v>
      </c>
      <c r="R600"/>
      <c r="S600"/>
      <c r="T600"/>
    </row>
    <row r="601" spans="1:20" x14ac:dyDescent="0.35">
      <c r="A601">
        <v>50</v>
      </c>
      <c r="B601" t="s">
        <v>255</v>
      </c>
      <c r="C601">
        <v>301714</v>
      </c>
      <c r="D601">
        <v>2746234.65</v>
      </c>
      <c r="E601">
        <v>320544.99</v>
      </c>
      <c r="F601">
        <v>1</v>
      </c>
      <c r="G601">
        <v>320544.99</v>
      </c>
      <c r="H601">
        <v>2930660.07</v>
      </c>
      <c r="I601">
        <v>1</v>
      </c>
      <c r="J601">
        <v>2930660.07</v>
      </c>
      <c r="K601">
        <v>321637</v>
      </c>
      <c r="L601">
        <v>2998283</v>
      </c>
      <c r="M601">
        <v>-18830.990000000002</v>
      </c>
      <c r="N601">
        <v>-184425.42</v>
      </c>
      <c r="O601">
        <v>-19923</v>
      </c>
      <c r="P601">
        <v>-252048.35</v>
      </c>
      <c r="Q601" t="s">
        <v>184</v>
      </c>
      <c r="R601"/>
      <c r="S601"/>
      <c r="T601"/>
    </row>
    <row r="602" spans="1:20" x14ac:dyDescent="0.35">
      <c r="A602">
        <v>60</v>
      </c>
      <c r="B602" t="s">
        <v>256</v>
      </c>
      <c r="C602">
        <v>100001.2</v>
      </c>
      <c r="D602">
        <v>897255.21</v>
      </c>
      <c r="E602">
        <v>105634.8</v>
      </c>
      <c r="F602">
        <v>1</v>
      </c>
      <c r="G602">
        <v>105634.8</v>
      </c>
      <c r="H602">
        <v>1001833.08</v>
      </c>
      <c r="I602">
        <v>1</v>
      </c>
      <c r="J602">
        <v>1001833.08</v>
      </c>
      <c r="K602">
        <v>109678</v>
      </c>
      <c r="L602">
        <v>1022414</v>
      </c>
      <c r="M602">
        <v>-5633.6</v>
      </c>
      <c r="N602">
        <v>-104577.87</v>
      </c>
      <c r="O602">
        <v>-9676.7999999999993</v>
      </c>
      <c r="P602">
        <v>-125158.79</v>
      </c>
      <c r="Q602" t="s">
        <v>184</v>
      </c>
      <c r="R602"/>
      <c r="S602"/>
      <c r="T602"/>
    </row>
    <row r="603" spans="1:20" x14ac:dyDescent="0.35">
      <c r="A603">
        <v>65</v>
      </c>
      <c r="B603" t="s">
        <v>257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184</v>
      </c>
      <c r="R603"/>
      <c r="S603"/>
      <c r="T603"/>
    </row>
    <row r="604" spans="1:20" x14ac:dyDescent="0.35">
      <c r="A604">
        <v>70</v>
      </c>
      <c r="B604" t="s">
        <v>258</v>
      </c>
      <c r="C604">
        <v>201712.8</v>
      </c>
      <c r="D604">
        <v>1848979.44</v>
      </c>
      <c r="E604">
        <v>214910.19</v>
      </c>
      <c r="F604">
        <v>1</v>
      </c>
      <c r="G604">
        <v>214910.19</v>
      </c>
      <c r="H604">
        <v>1928826.99</v>
      </c>
      <c r="I604">
        <v>1</v>
      </c>
      <c r="J604">
        <v>1928826.99</v>
      </c>
      <c r="K604">
        <v>211959</v>
      </c>
      <c r="L604">
        <v>1975869</v>
      </c>
      <c r="M604">
        <v>-13197.39</v>
      </c>
      <c r="N604">
        <v>-79847.55</v>
      </c>
      <c r="O604">
        <v>-10246.200000000001</v>
      </c>
      <c r="P604">
        <v>-126889.56</v>
      </c>
      <c r="Q604" t="s">
        <v>184</v>
      </c>
      <c r="R604"/>
      <c r="S604"/>
      <c r="T604"/>
    </row>
    <row r="605" spans="1:20" ht="14.5" customHeight="1" x14ac:dyDescent="0.35">
      <c r="A605">
        <v>80</v>
      </c>
      <c r="B605" t="s">
        <v>259</v>
      </c>
      <c r="C605">
        <v>188537.25</v>
      </c>
      <c r="D605">
        <v>1740388.78</v>
      </c>
      <c r="E605">
        <v>195845.79</v>
      </c>
      <c r="F605">
        <v>1</v>
      </c>
      <c r="G605">
        <v>195845.79</v>
      </c>
      <c r="H605">
        <v>1872499.05</v>
      </c>
      <c r="I605">
        <v>1</v>
      </c>
      <c r="J605">
        <v>1872499.05</v>
      </c>
      <c r="K605">
        <v>200836</v>
      </c>
      <c r="L605">
        <v>1860325</v>
      </c>
      <c r="M605">
        <v>-7308.54</v>
      </c>
      <c r="N605">
        <v>-132110.26999999999</v>
      </c>
      <c r="O605">
        <v>-12298.75</v>
      </c>
      <c r="P605">
        <v>-119936.22</v>
      </c>
      <c r="Q605" t="s">
        <v>184</v>
      </c>
      <c r="R605"/>
      <c r="S605"/>
      <c r="T605"/>
    </row>
    <row r="606" spans="1:20" ht="14.5" customHeight="1" x14ac:dyDescent="0.35">
      <c r="A606">
        <v>90</v>
      </c>
      <c r="B606" t="s">
        <v>260</v>
      </c>
      <c r="C606">
        <v>15536.02</v>
      </c>
      <c r="D606">
        <v>150053.67000000001</v>
      </c>
      <c r="E606">
        <v>19031.87</v>
      </c>
      <c r="F606">
        <v>1</v>
      </c>
      <c r="G606">
        <v>19031.87</v>
      </c>
      <c r="H606">
        <v>161760.93</v>
      </c>
      <c r="I606">
        <v>1</v>
      </c>
      <c r="J606">
        <v>161760.93</v>
      </c>
      <c r="K606">
        <v>17072</v>
      </c>
      <c r="L606">
        <v>151554</v>
      </c>
      <c r="M606">
        <v>-3495.85</v>
      </c>
      <c r="N606">
        <v>-11707.26</v>
      </c>
      <c r="O606">
        <v>-1535.98</v>
      </c>
      <c r="P606">
        <v>-1500.33</v>
      </c>
      <c r="Q606" t="s">
        <v>184</v>
      </c>
      <c r="R606"/>
      <c r="S606"/>
      <c r="T606"/>
    </row>
    <row r="607" spans="1:20" ht="14.5" customHeight="1" x14ac:dyDescent="0.35">
      <c r="A607">
        <v>100</v>
      </c>
      <c r="B607" t="s">
        <v>261</v>
      </c>
      <c r="C607">
        <v>5119.0200000000004</v>
      </c>
      <c r="D607">
        <v>84490.62</v>
      </c>
      <c r="E607">
        <v>14723.88</v>
      </c>
      <c r="F607">
        <v>1</v>
      </c>
      <c r="G607">
        <v>14723.88</v>
      </c>
      <c r="H607">
        <v>132514.92000000001</v>
      </c>
      <c r="I607">
        <v>1</v>
      </c>
      <c r="J607">
        <v>132514.92000000001</v>
      </c>
      <c r="K607">
        <v>14724</v>
      </c>
      <c r="L607">
        <v>132516</v>
      </c>
      <c r="M607">
        <v>-9604.86</v>
      </c>
      <c r="N607">
        <v>-48024.3</v>
      </c>
      <c r="O607">
        <v>-9604.98</v>
      </c>
      <c r="P607">
        <v>-48025.38</v>
      </c>
      <c r="Q607" t="s">
        <v>184</v>
      </c>
      <c r="R607"/>
      <c r="S607"/>
      <c r="T607"/>
    </row>
    <row r="608" spans="1:20" ht="14.5" customHeight="1" x14ac:dyDescent="0.35">
      <c r="A608">
        <v>110</v>
      </c>
      <c r="B608" t="s">
        <v>262</v>
      </c>
      <c r="C608">
        <v>209192.29</v>
      </c>
      <c r="D608">
        <v>1974933.07</v>
      </c>
      <c r="E608">
        <v>229601.54</v>
      </c>
      <c r="F608">
        <v>1</v>
      </c>
      <c r="G608">
        <v>229601.54</v>
      </c>
      <c r="H608">
        <v>2166774.9</v>
      </c>
      <c r="I608">
        <v>1</v>
      </c>
      <c r="J608">
        <v>2166774.9</v>
      </c>
      <c r="K608">
        <v>232632</v>
      </c>
      <c r="L608">
        <v>2144395</v>
      </c>
      <c r="M608">
        <v>-20409.25</v>
      </c>
      <c r="N608">
        <v>-191841.83</v>
      </c>
      <c r="O608">
        <v>-23439.71</v>
      </c>
      <c r="P608">
        <v>-169461.93</v>
      </c>
      <c r="Q608" t="s">
        <v>184</v>
      </c>
      <c r="R608"/>
      <c r="S608"/>
      <c r="T608"/>
    </row>
    <row r="609" spans="1:20" ht="14.5" customHeight="1" x14ac:dyDescent="0.35">
      <c r="A609">
        <v>120</v>
      </c>
      <c r="B609" t="s">
        <v>263</v>
      </c>
      <c r="C609">
        <v>-7479.49</v>
      </c>
      <c r="D609">
        <v>-125953.63</v>
      </c>
      <c r="E609">
        <v>-14691.35</v>
      </c>
      <c r="F609">
        <v>1</v>
      </c>
      <c r="G609">
        <v>-14691.35</v>
      </c>
      <c r="H609">
        <v>-237947.91</v>
      </c>
      <c r="I609">
        <v>1</v>
      </c>
      <c r="J609">
        <v>-237947.91</v>
      </c>
      <c r="K609">
        <v>-20673</v>
      </c>
      <c r="L609">
        <v>-168526</v>
      </c>
      <c r="M609">
        <v>7211.86</v>
      </c>
      <c r="N609">
        <v>111994.28</v>
      </c>
      <c r="O609">
        <v>13193.51</v>
      </c>
      <c r="P609">
        <v>42572.37</v>
      </c>
      <c r="Q609" t="s">
        <v>184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184</v>
      </c>
      <c r="R610"/>
      <c r="S610"/>
      <c r="T610"/>
    </row>
    <row r="611" spans="1:20" ht="14.5" customHeight="1" x14ac:dyDescent="0.35">
      <c r="A611">
        <v>135</v>
      </c>
      <c r="B611" t="s">
        <v>264</v>
      </c>
      <c r="C611">
        <v>-2571.36</v>
      </c>
      <c r="D611">
        <v>-22568.3</v>
      </c>
      <c r="E611">
        <v>-2802.66</v>
      </c>
      <c r="F611">
        <v>1</v>
      </c>
      <c r="G611">
        <v>-2802.66</v>
      </c>
      <c r="H611">
        <v>-18336.52</v>
      </c>
      <c r="I611">
        <v>1</v>
      </c>
      <c r="J611">
        <v>-18336.52</v>
      </c>
      <c r="K611">
        <v>-2168</v>
      </c>
      <c r="L611">
        <v>-19512</v>
      </c>
      <c r="M611">
        <v>231.3</v>
      </c>
      <c r="N611">
        <v>-4231.78</v>
      </c>
      <c r="O611">
        <v>-403.36</v>
      </c>
      <c r="P611">
        <v>-3056.3</v>
      </c>
      <c r="Q611" t="s">
        <v>184</v>
      </c>
      <c r="R611"/>
      <c r="S611"/>
      <c r="T611"/>
    </row>
    <row r="612" spans="1:20" ht="14.5" customHeight="1" x14ac:dyDescent="0.35">
      <c r="A612">
        <v>140</v>
      </c>
      <c r="B612" t="s">
        <v>265</v>
      </c>
      <c r="C612">
        <v>0</v>
      </c>
      <c r="D612">
        <v>0</v>
      </c>
      <c r="E612">
        <v>545.55999999999995</v>
      </c>
      <c r="F612">
        <v>1</v>
      </c>
      <c r="G612">
        <v>545.55999999999995</v>
      </c>
      <c r="H612">
        <v>20065.05</v>
      </c>
      <c r="I612">
        <v>1</v>
      </c>
      <c r="J612">
        <v>20065.05</v>
      </c>
      <c r="K612">
        <v>0</v>
      </c>
      <c r="L612">
        <v>0</v>
      </c>
      <c r="M612">
        <v>-545.55999999999995</v>
      </c>
      <c r="N612">
        <v>-20065.05</v>
      </c>
      <c r="O612">
        <v>0</v>
      </c>
      <c r="P612">
        <v>0</v>
      </c>
      <c r="Q612" t="s">
        <v>184</v>
      </c>
      <c r="R612"/>
      <c r="S612"/>
      <c r="T612"/>
    </row>
    <row r="613" spans="1:20" ht="14.5" customHeight="1" x14ac:dyDescent="0.35">
      <c r="A613">
        <v>150</v>
      </c>
      <c r="B613" t="s">
        <v>266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184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184</v>
      </c>
      <c r="R614"/>
      <c r="S614"/>
      <c r="T614"/>
    </row>
    <row r="615" spans="1:20" ht="14.5" customHeight="1" x14ac:dyDescent="0.35">
      <c r="A615">
        <v>160</v>
      </c>
      <c r="B615" t="s">
        <v>267</v>
      </c>
      <c r="C615">
        <v>-2571.36</v>
      </c>
      <c r="D615">
        <v>-22568.3</v>
      </c>
      <c r="E615">
        <v>-2257.1</v>
      </c>
      <c r="F615">
        <v>1</v>
      </c>
      <c r="G615">
        <v>-2257.1</v>
      </c>
      <c r="H615">
        <v>1728.53</v>
      </c>
      <c r="I615">
        <v>1</v>
      </c>
      <c r="J615">
        <v>1728.53</v>
      </c>
      <c r="K615">
        <v>-2168</v>
      </c>
      <c r="L615">
        <v>-19512</v>
      </c>
      <c r="M615">
        <v>-314.26</v>
      </c>
      <c r="N615">
        <v>-24296.83</v>
      </c>
      <c r="O615">
        <v>-403.36</v>
      </c>
      <c r="P615">
        <v>-3056.3</v>
      </c>
      <c r="Q615" t="s">
        <v>184</v>
      </c>
      <c r="R615"/>
      <c r="S615"/>
      <c r="T615"/>
    </row>
    <row r="616" spans="1:20" ht="14.5" customHeight="1" x14ac:dyDescent="0.35">
      <c r="A616">
        <v>170</v>
      </c>
      <c r="B616" t="s">
        <v>274</v>
      </c>
      <c r="C616">
        <v>-4908.13</v>
      </c>
      <c r="D616">
        <v>-103385.33</v>
      </c>
      <c r="E616">
        <v>-12434.25</v>
      </c>
      <c r="F616">
        <v>1</v>
      </c>
      <c r="G616">
        <v>-12434.25</v>
      </c>
      <c r="H616">
        <v>-239676.44</v>
      </c>
      <c r="I616">
        <v>1</v>
      </c>
      <c r="J616">
        <v>-239676.44</v>
      </c>
      <c r="K616">
        <v>-18505</v>
      </c>
      <c r="L616">
        <v>-149014</v>
      </c>
      <c r="M616">
        <v>7526.12</v>
      </c>
      <c r="N616">
        <v>136291.10999999999</v>
      </c>
      <c r="O616">
        <v>13596.87</v>
      </c>
      <c r="P616">
        <v>45628.67</v>
      </c>
      <c r="Q616" t="s">
        <v>184</v>
      </c>
      <c r="R616"/>
      <c r="S616"/>
      <c r="T616"/>
    </row>
    <row r="617" spans="1:20" x14ac:dyDescent="0.35">
      <c r="A617">
        <v>180</v>
      </c>
      <c r="B617" t="s">
        <v>269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184</v>
      </c>
      <c r="R617"/>
      <c r="S617"/>
      <c r="T617"/>
    </row>
    <row r="618" spans="1:20" x14ac:dyDescent="0.35">
      <c r="A618">
        <v>190</v>
      </c>
      <c r="B618" t="s">
        <v>270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184</v>
      </c>
      <c r="R618"/>
      <c r="S618"/>
      <c r="T618"/>
    </row>
    <row r="619" spans="1:20" ht="14.5" customHeight="1" x14ac:dyDescent="0.35">
      <c r="A619">
        <v>200</v>
      </c>
      <c r="B619" t="s">
        <v>271</v>
      </c>
      <c r="C619">
        <v>-4908.13</v>
      </c>
      <c r="D619">
        <v>-103385.33</v>
      </c>
      <c r="E619">
        <v>-12434.25</v>
      </c>
      <c r="F619">
        <v>1</v>
      </c>
      <c r="G619">
        <v>-12434.25</v>
      </c>
      <c r="H619">
        <v>-239676.44</v>
      </c>
      <c r="I619">
        <v>1</v>
      </c>
      <c r="J619">
        <v>-239676.44</v>
      </c>
      <c r="K619">
        <v>-18505</v>
      </c>
      <c r="L619">
        <v>-149014</v>
      </c>
      <c r="M619">
        <v>7526.12</v>
      </c>
      <c r="N619">
        <v>136291.10999999999</v>
      </c>
      <c r="O619">
        <v>13596.87</v>
      </c>
      <c r="P619">
        <v>45628.67</v>
      </c>
      <c r="Q619" t="s">
        <v>184</v>
      </c>
      <c r="R619"/>
      <c r="S619"/>
      <c r="T619"/>
    </row>
    <row r="620" spans="1:20" ht="14.5" customHeight="1" x14ac:dyDescent="0.35">
      <c r="A620">
        <v>210</v>
      </c>
      <c r="B620" t="s">
        <v>272</v>
      </c>
      <c r="C620">
        <v>-2360.4699999999998</v>
      </c>
      <c r="D620">
        <v>-41463.01</v>
      </c>
      <c r="E620">
        <v>32.53</v>
      </c>
      <c r="F620">
        <v>1</v>
      </c>
      <c r="G620">
        <v>32.53</v>
      </c>
      <c r="H620">
        <v>-105432.99</v>
      </c>
      <c r="I620">
        <v>1</v>
      </c>
      <c r="J620">
        <v>-105432.99</v>
      </c>
      <c r="K620">
        <v>-5949</v>
      </c>
      <c r="L620">
        <v>-36010</v>
      </c>
      <c r="M620">
        <v>-2393</v>
      </c>
      <c r="N620">
        <v>63969.98</v>
      </c>
      <c r="O620">
        <v>3588.53</v>
      </c>
      <c r="P620">
        <v>-5453.01</v>
      </c>
      <c r="Q620" t="s">
        <v>184</v>
      </c>
      <c r="R620"/>
      <c r="S620"/>
      <c r="T620"/>
    </row>
    <row r="621" spans="1:20" s="223" customFormat="1" x14ac:dyDescent="0.35">
      <c r="A621" t="s">
        <v>464</v>
      </c>
      <c r="B621" t="s">
        <v>172</v>
      </c>
      <c r="C621" t="s">
        <v>205</v>
      </c>
      <c r="D621" t="s">
        <v>206</v>
      </c>
      <c r="E621" t="s">
        <v>175</v>
      </c>
      <c r="F621" t="s">
        <v>207</v>
      </c>
      <c r="G621" t="s">
        <v>208</v>
      </c>
      <c r="H621" t="s">
        <v>209</v>
      </c>
      <c r="I621" t="s">
        <v>210</v>
      </c>
      <c r="J621" t="s">
        <v>211</v>
      </c>
      <c r="K621" t="s">
        <v>212</v>
      </c>
      <c r="L621" t="s">
        <v>213</v>
      </c>
      <c r="M621" t="s">
        <v>231</v>
      </c>
      <c r="N621" t="s">
        <v>235</v>
      </c>
      <c r="O621" t="s">
        <v>236</v>
      </c>
      <c r="P621" t="s">
        <v>237</v>
      </c>
      <c r="Q621" t="s">
        <v>183</v>
      </c>
      <c r="R621"/>
      <c r="S621"/>
      <c r="T621"/>
    </row>
    <row r="622" spans="1:20" ht="14.5" customHeight="1" x14ac:dyDescent="0.35">
      <c r="A622">
        <v>30</v>
      </c>
      <c r="B622" t="s">
        <v>253</v>
      </c>
      <c r="C622">
        <v>28363.49</v>
      </c>
      <c r="D622">
        <v>228407.1</v>
      </c>
      <c r="E622">
        <v>22672.03</v>
      </c>
      <c r="F622">
        <v>1</v>
      </c>
      <c r="G622">
        <v>22672.03</v>
      </c>
      <c r="H622">
        <v>220138.28</v>
      </c>
      <c r="I622">
        <v>1</v>
      </c>
      <c r="J622">
        <v>220138.28</v>
      </c>
      <c r="K622">
        <v>0</v>
      </c>
      <c r="L622">
        <v>0</v>
      </c>
      <c r="M622">
        <v>5691.46</v>
      </c>
      <c r="N622">
        <v>8268.82</v>
      </c>
      <c r="O622">
        <v>28363.49</v>
      </c>
      <c r="P622">
        <v>228407.1</v>
      </c>
      <c r="Q622" t="s">
        <v>184</v>
      </c>
      <c r="R622"/>
      <c r="S622"/>
      <c r="T622"/>
    </row>
    <row r="623" spans="1:20" ht="14.5" customHeight="1" x14ac:dyDescent="0.35">
      <c r="A623">
        <v>40</v>
      </c>
      <c r="B623" t="s">
        <v>254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184</v>
      </c>
      <c r="R623"/>
      <c r="S623"/>
      <c r="T623"/>
    </row>
    <row r="624" spans="1:20" x14ac:dyDescent="0.35">
      <c r="A624">
        <v>50</v>
      </c>
      <c r="B624" t="s">
        <v>255</v>
      </c>
      <c r="C624">
        <v>28363.49</v>
      </c>
      <c r="D624">
        <v>228407.1</v>
      </c>
      <c r="E624">
        <v>22672.03</v>
      </c>
      <c r="F624">
        <v>1</v>
      </c>
      <c r="G624">
        <v>22672.03</v>
      </c>
      <c r="H624">
        <v>220138.28</v>
      </c>
      <c r="I624">
        <v>1</v>
      </c>
      <c r="J624">
        <v>220138.28</v>
      </c>
      <c r="K624">
        <v>0</v>
      </c>
      <c r="L624">
        <v>0</v>
      </c>
      <c r="M624">
        <v>5691.46</v>
      </c>
      <c r="N624">
        <v>8268.82</v>
      </c>
      <c r="O624">
        <v>28363.49</v>
      </c>
      <c r="P624">
        <v>228407.1</v>
      </c>
      <c r="Q624" t="s">
        <v>184</v>
      </c>
      <c r="R624"/>
      <c r="S624"/>
      <c r="T624"/>
    </row>
    <row r="625" spans="1:20" x14ac:dyDescent="0.35">
      <c r="A625">
        <v>60</v>
      </c>
      <c r="B625" t="s">
        <v>256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184</v>
      </c>
      <c r="R625"/>
      <c r="S625"/>
      <c r="T625"/>
    </row>
    <row r="626" spans="1:20" x14ac:dyDescent="0.35">
      <c r="A626">
        <v>70</v>
      </c>
      <c r="B626" t="s">
        <v>258</v>
      </c>
      <c r="C626">
        <v>28363.49</v>
      </c>
      <c r="D626">
        <v>228407.1</v>
      </c>
      <c r="E626">
        <v>22672.03</v>
      </c>
      <c r="F626">
        <v>1</v>
      </c>
      <c r="G626">
        <v>22672.03</v>
      </c>
      <c r="H626">
        <v>220138.28</v>
      </c>
      <c r="I626">
        <v>1</v>
      </c>
      <c r="J626">
        <v>220138.28</v>
      </c>
      <c r="K626">
        <v>0</v>
      </c>
      <c r="L626">
        <v>0</v>
      </c>
      <c r="M626">
        <v>5691.46</v>
      </c>
      <c r="N626">
        <v>8268.82</v>
      </c>
      <c r="O626">
        <v>28363.49</v>
      </c>
      <c r="P626">
        <v>228407.1</v>
      </c>
      <c r="Q626" t="s">
        <v>184</v>
      </c>
      <c r="R626"/>
      <c r="S626"/>
      <c r="T626"/>
    </row>
    <row r="627" spans="1:20" ht="14.5" customHeight="1" x14ac:dyDescent="0.35">
      <c r="A627">
        <v>80</v>
      </c>
      <c r="B627" t="s">
        <v>259</v>
      </c>
      <c r="C627">
        <v>771.83</v>
      </c>
      <c r="D627">
        <v>16708.25</v>
      </c>
      <c r="E627">
        <v>0</v>
      </c>
      <c r="F627">
        <v>1</v>
      </c>
      <c r="G627">
        <v>0</v>
      </c>
      <c r="H627">
        <v>4525</v>
      </c>
      <c r="I627">
        <v>1</v>
      </c>
      <c r="J627">
        <v>4525</v>
      </c>
      <c r="K627">
        <v>0</v>
      </c>
      <c r="L627">
        <v>0</v>
      </c>
      <c r="M627">
        <v>771.83</v>
      </c>
      <c r="N627">
        <v>12183.25</v>
      </c>
      <c r="O627">
        <v>771.83</v>
      </c>
      <c r="P627">
        <v>16708.25</v>
      </c>
      <c r="Q627" t="s">
        <v>184</v>
      </c>
      <c r="R627"/>
      <c r="S627"/>
      <c r="T627"/>
    </row>
    <row r="628" spans="1:20" ht="14.5" customHeight="1" x14ac:dyDescent="0.35">
      <c r="A628">
        <v>90</v>
      </c>
      <c r="B628" t="s">
        <v>260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184</v>
      </c>
      <c r="R628"/>
      <c r="S628"/>
      <c r="T628"/>
    </row>
    <row r="629" spans="1:20" ht="14.5" customHeight="1" x14ac:dyDescent="0.35">
      <c r="A629">
        <v>100</v>
      </c>
      <c r="B629" t="s">
        <v>261</v>
      </c>
      <c r="C629">
        <v>2809.12</v>
      </c>
      <c r="D629">
        <v>25282.080000000002</v>
      </c>
      <c r="E629">
        <v>2809.12</v>
      </c>
      <c r="F629">
        <v>1</v>
      </c>
      <c r="G629">
        <v>2809.12</v>
      </c>
      <c r="H629">
        <v>25282.080000000002</v>
      </c>
      <c r="I629">
        <v>1</v>
      </c>
      <c r="J629">
        <v>25282.080000000002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25282.080000000002</v>
      </c>
      <c r="Q629" t="s">
        <v>184</v>
      </c>
      <c r="R629"/>
      <c r="S629"/>
      <c r="T629"/>
    </row>
    <row r="630" spans="1:20" ht="14.5" customHeight="1" x14ac:dyDescent="0.35">
      <c r="A630">
        <v>110</v>
      </c>
      <c r="B630" t="s">
        <v>262</v>
      </c>
      <c r="C630">
        <v>3580.95</v>
      </c>
      <c r="D630">
        <v>41990.33</v>
      </c>
      <c r="E630">
        <v>2809.12</v>
      </c>
      <c r="F630">
        <v>1</v>
      </c>
      <c r="G630">
        <v>2809.12</v>
      </c>
      <c r="H630">
        <v>29807.08</v>
      </c>
      <c r="I630">
        <v>1</v>
      </c>
      <c r="J630">
        <v>29807.08</v>
      </c>
      <c r="K630">
        <v>0</v>
      </c>
      <c r="L630">
        <v>0</v>
      </c>
      <c r="M630">
        <v>771.83</v>
      </c>
      <c r="N630">
        <v>12183.25</v>
      </c>
      <c r="O630">
        <v>3580.95</v>
      </c>
      <c r="P630">
        <v>41990.33</v>
      </c>
      <c r="Q630" t="s">
        <v>184</v>
      </c>
      <c r="R630"/>
      <c r="S630"/>
      <c r="T630"/>
    </row>
    <row r="631" spans="1:20" ht="14.5" customHeight="1" x14ac:dyDescent="0.35">
      <c r="A631">
        <v>120</v>
      </c>
      <c r="B631" t="s">
        <v>263</v>
      </c>
      <c r="C631">
        <v>24782.54</v>
      </c>
      <c r="D631">
        <v>186416.77</v>
      </c>
      <c r="E631">
        <v>19862.91</v>
      </c>
      <c r="F631">
        <v>1</v>
      </c>
      <c r="G631">
        <v>19862.91</v>
      </c>
      <c r="H631">
        <v>190331.2</v>
      </c>
      <c r="I631">
        <v>1</v>
      </c>
      <c r="J631">
        <v>190331.2</v>
      </c>
      <c r="K631">
        <v>0</v>
      </c>
      <c r="L631">
        <v>0</v>
      </c>
      <c r="M631">
        <v>4919.63</v>
      </c>
      <c r="N631">
        <v>-3914.43</v>
      </c>
      <c r="O631">
        <v>24782.54</v>
      </c>
      <c r="P631">
        <v>186416.77</v>
      </c>
      <c r="Q631" t="s">
        <v>184</v>
      </c>
      <c r="R631"/>
      <c r="S631"/>
      <c r="T631"/>
    </row>
    <row r="632" spans="1:20" ht="14.5" customHeight="1" x14ac:dyDescent="0.35">
      <c r="A632">
        <v>130</v>
      </c>
      <c r="B632" t="s">
        <v>157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184</v>
      </c>
      <c r="R632"/>
      <c r="S632"/>
      <c r="T632"/>
    </row>
    <row r="633" spans="1:20" ht="14.5" customHeight="1" x14ac:dyDescent="0.35">
      <c r="A633">
        <v>135</v>
      </c>
      <c r="B633" t="s">
        <v>264</v>
      </c>
      <c r="C633">
        <v>158.29</v>
      </c>
      <c r="D633">
        <v>158.29</v>
      </c>
      <c r="E633">
        <v>0</v>
      </c>
      <c r="F633">
        <v>1</v>
      </c>
      <c r="G633">
        <v>0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158.29</v>
      </c>
      <c r="N633">
        <v>158.29</v>
      </c>
      <c r="O633">
        <v>158.29</v>
      </c>
      <c r="P633">
        <v>158.29</v>
      </c>
      <c r="Q633" t="s">
        <v>184</v>
      </c>
      <c r="R633"/>
      <c r="S633"/>
      <c r="T633"/>
    </row>
    <row r="634" spans="1:20" ht="14.5" customHeight="1" x14ac:dyDescent="0.35">
      <c r="A634">
        <v>140</v>
      </c>
      <c r="B634" t="s">
        <v>265</v>
      </c>
      <c r="C634">
        <v>2097.44</v>
      </c>
      <c r="D634">
        <v>3753.75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2097.44</v>
      </c>
      <c r="N634">
        <v>3753.75</v>
      </c>
      <c r="O634">
        <v>2097.44</v>
      </c>
      <c r="P634">
        <v>3753.75</v>
      </c>
      <c r="Q634" t="s">
        <v>184</v>
      </c>
      <c r="R634"/>
      <c r="S634"/>
      <c r="T634"/>
    </row>
    <row r="635" spans="1:20" ht="14.5" customHeight="1" x14ac:dyDescent="0.35">
      <c r="A635">
        <v>150</v>
      </c>
      <c r="B635" t="s">
        <v>266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184</v>
      </c>
      <c r="R635"/>
      <c r="S635"/>
      <c r="T635"/>
    </row>
    <row r="636" spans="1:20" ht="14.5" customHeight="1" x14ac:dyDescent="0.35">
      <c r="A636">
        <v>155</v>
      </c>
      <c r="B636" t="s">
        <v>161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184</v>
      </c>
      <c r="R636"/>
      <c r="S636"/>
      <c r="T636"/>
    </row>
    <row r="637" spans="1:20" ht="14.5" customHeight="1" x14ac:dyDescent="0.35">
      <c r="A637">
        <v>160</v>
      </c>
      <c r="B637" t="s">
        <v>267</v>
      </c>
      <c r="C637">
        <v>2255.73</v>
      </c>
      <c r="D637">
        <v>3912.04</v>
      </c>
      <c r="E637">
        <v>0</v>
      </c>
      <c r="F637">
        <v>1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2255.73</v>
      </c>
      <c r="N637">
        <v>3912.04</v>
      </c>
      <c r="O637">
        <v>2255.73</v>
      </c>
      <c r="P637">
        <v>3912.04</v>
      </c>
      <c r="Q637" t="s">
        <v>184</v>
      </c>
      <c r="R637"/>
      <c r="S637"/>
      <c r="T637"/>
    </row>
    <row r="638" spans="1:20" ht="14.5" customHeight="1" x14ac:dyDescent="0.35">
      <c r="A638">
        <v>170</v>
      </c>
      <c r="B638" t="s">
        <v>276</v>
      </c>
      <c r="C638">
        <v>22526.81</v>
      </c>
      <c r="D638">
        <v>182504.73</v>
      </c>
      <c r="E638">
        <v>19862.91</v>
      </c>
      <c r="F638">
        <v>1</v>
      </c>
      <c r="G638">
        <v>19862.91</v>
      </c>
      <c r="H638">
        <v>190331.2</v>
      </c>
      <c r="I638">
        <v>1</v>
      </c>
      <c r="J638">
        <v>190331.2</v>
      </c>
      <c r="K638">
        <v>0</v>
      </c>
      <c r="L638">
        <v>0</v>
      </c>
      <c r="M638">
        <v>2663.9</v>
      </c>
      <c r="N638">
        <v>-7826.47</v>
      </c>
      <c r="O638">
        <v>22526.81</v>
      </c>
      <c r="P638">
        <v>182504.73</v>
      </c>
      <c r="Q638" t="s">
        <v>184</v>
      </c>
      <c r="R638"/>
      <c r="S638"/>
      <c r="T638"/>
    </row>
    <row r="639" spans="1:20" x14ac:dyDescent="0.35">
      <c r="A639">
        <v>180</v>
      </c>
      <c r="B639" t="s">
        <v>277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184</v>
      </c>
      <c r="R639"/>
      <c r="S639"/>
      <c r="T639"/>
    </row>
    <row r="640" spans="1:20" x14ac:dyDescent="0.35">
      <c r="A640">
        <v>190</v>
      </c>
      <c r="B640" t="s">
        <v>269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184</v>
      </c>
      <c r="R640"/>
      <c r="S640"/>
      <c r="T640"/>
    </row>
    <row r="641" spans="1:20" ht="14.5" customHeight="1" x14ac:dyDescent="0.35">
      <c r="A641">
        <v>200</v>
      </c>
      <c r="B641" t="s">
        <v>271</v>
      </c>
      <c r="C641">
        <v>22526.81</v>
      </c>
      <c r="D641">
        <v>182504.73</v>
      </c>
      <c r="E641">
        <v>19862.91</v>
      </c>
      <c r="F641">
        <v>1</v>
      </c>
      <c r="G641">
        <v>19862.91</v>
      </c>
      <c r="H641">
        <v>190331.2</v>
      </c>
      <c r="I641">
        <v>1</v>
      </c>
      <c r="J641">
        <v>190331.2</v>
      </c>
      <c r="K641">
        <v>0</v>
      </c>
      <c r="L641">
        <v>0</v>
      </c>
      <c r="M641">
        <v>2663.9</v>
      </c>
      <c r="N641">
        <v>-7826.47</v>
      </c>
      <c r="O641">
        <v>22526.81</v>
      </c>
      <c r="P641">
        <v>182504.73</v>
      </c>
      <c r="Q641" t="s">
        <v>184</v>
      </c>
      <c r="R641"/>
      <c r="S641"/>
      <c r="T641"/>
    </row>
    <row r="642" spans="1:20" ht="14.5" customHeight="1" x14ac:dyDescent="0.35">
      <c r="A642">
        <v>210</v>
      </c>
      <c r="B642" t="s">
        <v>272</v>
      </c>
      <c r="C642">
        <v>27591.66</v>
      </c>
      <c r="D642">
        <v>211698.85</v>
      </c>
      <c r="E642">
        <v>22672.03</v>
      </c>
      <c r="F642">
        <v>1</v>
      </c>
      <c r="G642">
        <v>22672.03</v>
      </c>
      <c r="H642">
        <v>215613.28</v>
      </c>
      <c r="I642">
        <v>1</v>
      </c>
      <c r="J642">
        <v>215613.28</v>
      </c>
      <c r="K642">
        <v>0</v>
      </c>
      <c r="L642">
        <v>0</v>
      </c>
      <c r="M642">
        <v>4919.63</v>
      </c>
      <c r="N642">
        <v>-3914.43</v>
      </c>
      <c r="O642">
        <v>27591.66</v>
      </c>
      <c r="P642">
        <v>211698.85</v>
      </c>
      <c r="Q642" t="s">
        <v>184</v>
      </c>
      <c r="R642"/>
      <c r="S642"/>
      <c r="T642"/>
    </row>
    <row r="643" spans="1:20" s="223" customFormat="1" x14ac:dyDescent="0.35">
      <c r="A643" t="s">
        <v>465</v>
      </c>
      <c r="B643" t="s">
        <v>172</v>
      </c>
      <c r="C643" t="s">
        <v>205</v>
      </c>
      <c r="D643" t="s">
        <v>206</v>
      </c>
      <c r="E643" t="s">
        <v>175</v>
      </c>
      <c r="F643" t="s">
        <v>207</v>
      </c>
      <c r="G643" t="s">
        <v>208</v>
      </c>
      <c r="H643" t="s">
        <v>209</v>
      </c>
      <c r="I643" t="s">
        <v>210</v>
      </c>
      <c r="J643" t="s">
        <v>211</v>
      </c>
      <c r="K643" t="s">
        <v>212</v>
      </c>
      <c r="L643" t="s">
        <v>213</v>
      </c>
      <c r="M643" t="s">
        <v>231</v>
      </c>
      <c r="N643" t="s">
        <v>235</v>
      </c>
      <c r="O643" t="s">
        <v>236</v>
      </c>
      <c r="P643" t="s">
        <v>237</v>
      </c>
      <c r="Q643" t="s">
        <v>183</v>
      </c>
      <c r="R643"/>
      <c r="S643"/>
      <c r="T643"/>
    </row>
    <row r="644" spans="1:20" ht="14.5" customHeight="1" x14ac:dyDescent="0.35">
      <c r="A644">
        <v>30</v>
      </c>
      <c r="B644" t="s">
        <v>253</v>
      </c>
      <c r="C644">
        <v>2500</v>
      </c>
      <c r="D644">
        <v>22500</v>
      </c>
      <c r="E644">
        <v>2500</v>
      </c>
      <c r="F644">
        <v>1</v>
      </c>
      <c r="G644">
        <v>2500</v>
      </c>
      <c r="H644">
        <v>22500</v>
      </c>
      <c r="I644">
        <v>1</v>
      </c>
      <c r="J644">
        <v>22500</v>
      </c>
      <c r="K644">
        <v>0</v>
      </c>
      <c r="L644">
        <v>0</v>
      </c>
      <c r="M644">
        <v>0</v>
      </c>
      <c r="N644">
        <v>0</v>
      </c>
      <c r="O644">
        <v>2500</v>
      </c>
      <c r="P644">
        <v>22500</v>
      </c>
      <c r="Q644" t="s">
        <v>184</v>
      </c>
      <c r="R644"/>
      <c r="S644"/>
      <c r="T644"/>
    </row>
    <row r="645" spans="1:20" ht="14.5" customHeight="1" x14ac:dyDescent="0.35">
      <c r="A645">
        <v>40</v>
      </c>
      <c r="B645" t="s">
        <v>254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184</v>
      </c>
      <c r="R645"/>
      <c r="S645"/>
      <c r="T645"/>
    </row>
    <row r="646" spans="1:20" x14ac:dyDescent="0.35">
      <c r="A646">
        <v>50</v>
      </c>
      <c r="B646" t="s">
        <v>255</v>
      </c>
      <c r="C646">
        <v>2500</v>
      </c>
      <c r="D646">
        <v>22500</v>
      </c>
      <c r="E646">
        <v>2500</v>
      </c>
      <c r="F646">
        <v>1</v>
      </c>
      <c r="G646">
        <v>2500</v>
      </c>
      <c r="H646">
        <v>22500</v>
      </c>
      <c r="I646">
        <v>1</v>
      </c>
      <c r="J646">
        <v>22500</v>
      </c>
      <c r="K646">
        <v>0</v>
      </c>
      <c r="L646">
        <v>0</v>
      </c>
      <c r="M646">
        <v>0</v>
      </c>
      <c r="N646">
        <v>0</v>
      </c>
      <c r="O646">
        <v>2500</v>
      </c>
      <c r="P646">
        <v>22500</v>
      </c>
      <c r="Q646" t="s">
        <v>184</v>
      </c>
      <c r="R646"/>
      <c r="S646"/>
      <c r="T646"/>
    </row>
    <row r="647" spans="1:20" x14ac:dyDescent="0.35">
      <c r="A647">
        <v>60</v>
      </c>
      <c r="B647" t="s">
        <v>256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184</v>
      </c>
      <c r="R647"/>
      <c r="S647"/>
      <c r="T647"/>
    </row>
    <row r="648" spans="1:20" x14ac:dyDescent="0.35">
      <c r="A648">
        <v>70</v>
      </c>
      <c r="B648" t="s">
        <v>258</v>
      </c>
      <c r="C648">
        <v>2500</v>
      </c>
      <c r="D648">
        <v>22500</v>
      </c>
      <c r="E648">
        <v>2500</v>
      </c>
      <c r="F648">
        <v>1</v>
      </c>
      <c r="G648">
        <v>2500</v>
      </c>
      <c r="H648">
        <v>22500</v>
      </c>
      <c r="I648">
        <v>1</v>
      </c>
      <c r="J648">
        <v>22500</v>
      </c>
      <c r="K648">
        <v>0</v>
      </c>
      <c r="L648">
        <v>0</v>
      </c>
      <c r="M648">
        <v>0</v>
      </c>
      <c r="N648">
        <v>0</v>
      </c>
      <c r="O648">
        <v>2500</v>
      </c>
      <c r="P648">
        <v>22500</v>
      </c>
      <c r="Q648" t="s">
        <v>184</v>
      </c>
      <c r="R648"/>
      <c r="S648"/>
      <c r="T648"/>
    </row>
    <row r="649" spans="1:20" ht="14.5" customHeight="1" x14ac:dyDescent="0.35">
      <c r="A649">
        <v>80</v>
      </c>
      <c r="B649" t="s">
        <v>259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184</v>
      </c>
      <c r="R649"/>
      <c r="S649"/>
      <c r="T649"/>
    </row>
    <row r="650" spans="1:20" ht="14.5" customHeight="1" x14ac:dyDescent="0.35">
      <c r="A650">
        <v>90</v>
      </c>
      <c r="B650" t="s">
        <v>260</v>
      </c>
      <c r="C650">
        <v>1671.42</v>
      </c>
      <c r="D650">
        <v>1823.68</v>
      </c>
      <c r="E650">
        <v>19.850000000000001</v>
      </c>
      <c r="F650">
        <v>1</v>
      </c>
      <c r="G650">
        <v>19.850000000000001</v>
      </c>
      <c r="H650">
        <v>2180.41</v>
      </c>
      <c r="I650">
        <v>1</v>
      </c>
      <c r="J650">
        <v>2180.41</v>
      </c>
      <c r="K650">
        <v>0</v>
      </c>
      <c r="L650">
        <v>0</v>
      </c>
      <c r="M650">
        <v>1651.57</v>
      </c>
      <c r="N650">
        <v>-356.73</v>
      </c>
      <c r="O650">
        <v>1671.42</v>
      </c>
      <c r="P650">
        <v>1823.68</v>
      </c>
      <c r="Q650" t="s">
        <v>184</v>
      </c>
      <c r="R650"/>
      <c r="S650"/>
      <c r="T650"/>
    </row>
    <row r="651" spans="1:20" ht="14.5" customHeight="1" x14ac:dyDescent="0.35">
      <c r="A651">
        <v>100</v>
      </c>
      <c r="B651" t="s">
        <v>261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184</v>
      </c>
      <c r="R651"/>
      <c r="S651"/>
      <c r="T651"/>
    </row>
    <row r="652" spans="1:20" ht="14.5" customHeight="1" x14ac:dyDescent="0.35">
      <c r="A652">
        <v>110</v>
      </c>
      <c r="B652" t="s">
        <v>262</v>
      </c>
      <c r="C652">
        <v>1671.42</v>
      </c>
      <c r="D652">
        <v>1823.68</v>
      </c>
      <c r="E652">
        <v>19.850000000000001</v>
      </c>
      <c r="F652">
        <v>1</v>
      </c>
      <c r="G652">
        <v>19.850000000000001</v>
      </c>
      <c r="H652">
        <v>2180.41</v>
      </c>
      <c r="I652">
        <v>1</v>
      </c>
      <c r="J652">
        <v>2180.41</v>
      </c>
      <c r="K652">
        <v>0</v>
      </c>
      <c r="L652">
        <v>0</v>
      </c>
      <c r="M652">
        <v>1651.57</v>
      </c>
      <c r="N652">
        <v>-356.73</v>
      </c>
      <c r="O652">
        <v>1671.42</v>
      </c>
      <c r="P652">
        <v>1823.68</v>
      </c>
      <c r="Q652" t="s">
        <v>184</v>
      </c>
      <c r="R652"/>
      <c r="S652"/>
      <c r="T652"/>
    </row>
    <row r="653" spans="1:20" ht="14.5" customHeight="1" x14ac:dyDescent="0.35">
      <c r="A653">
        <v>120</v>
      </c>
      <c r="B653" t="s">
        <v>263</v>
      </c>
      <c r="C653">
        <v>828.58</v>
      </c>
      <c r="D653">
        <v>20676.32</v>
      </c>
      <c r="E653">
        <v>2480.15</v>
      </c>
      <c r="F653">
        <v>1</v>
      </c>
      <c r="G653">
        <v>2480.15</v>
      </c>
      <c r="H653">
        <v>20319.59</v>
      </c>
      <c r="I653">
        <v>1</v>
      </c>
      <c r="J653">
        <v>20319.59</v>
      </c>
      <c r="K653">
        <v>0</v>
      </c>
      <c r="L653">
        <v>0</v>
      </c>
      <c r="M653">
        <v>-1651.57</v>
      </c>
      <c r="N653">
        <v>356.73</v>
      </c>
      <c r="O653">
        <v>828.58</v>
      </c>
      <c r="P653">
        <v>20676.32</v>
      </c>
      <c r="Q653" t="s">
        <v>184</v>
      </c>
      <c r="R653"/>
      <c r="S653"/>
      <c r="T653"/>
    </row>
    <row r="654" spans="1:20" ht="14.5" customHeight="1" x14ac:dyDescent="0.35">
      <c r="A654">
        <v>130</v>
      </c>
      <c r="B654" t="s">
        <v>157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184</v>
      </c>
      <c r="R654"/>
      <c r="S654"/>
      <c r="T654"/>
    </row>
    <row r="655" spans="1:20" ht="14.5" customHeight="1" x14ac:dyDescent="0.35">
      <c r="A655">
        <v>135</v>
      </c>
      <c r="B655" t="s">
        <v>264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184</v>
      </c>
      <c r="R655"/>
      <c r="S655"/>
      <c r="T655"/>
    </row>
    <row r="656" spans="1:20" ht="14.5" customHeight="1" x14ac:dyDescent="0.35">
      <c r="A656">
        <v>140</v>
      </c>
      <c r="B656" t="s">
        <v>265</v>
      </c>
      <c r="C656">
        <v>4464.99</v>
      </c>
      <c r="D656">
        <v>4464.99</v>
      </c>
      <c r="E656">
        <v>0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0</v>
      </c>
      <c r="L656">
        <v>0</v>
      </c>
      <c r="M656">
        <v>4464.99</v>
      </c>
      <c r="N656">
        <v>4464.99</v>
      </c>
      <c r="O656">
        <v>4464.99</v>
      </c>
      <c r="P656">
        <v>4464.99</v>
      </c>
      <c r="Q656" t="s">
        <v>184</v>
      </c>
      <c r="R656"/>
      <c r="S656"/>
      <c r="T656"/>
    </row>
    <row r="657" spans="1:20" ht="14.5" customHeight="1" x14ac:dyDescent="0.35">
      <c r="A657">
        <v>150</v>
      </c>
      <c r="B657" t="s">
        <v>266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184</v>
      </c>
      <c r="R657"/>
      <c r="S657"/>
      <c r="T657"/>
    </row>
    <row r="658" spans="1:20" ht="14.5" customHeight="1" x14ac:dyDescent="0.35">
      <c r="A658">
        <v>155</v>
      </c>
      <c r="B658" t="s">
        <v>161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184</v>
      </c>
      <c r="R658"/>
      <c r="S658"/>
      <c r="T658"/>
    </row>
    <row r="659" spans="1:20" ht="14.5" customHeight="1" x14ac:dyDescent="0.35">
      <c r="A659">
        <v>160</v>
      </c>
      <c r="B659" t="s">
        <v>267</v>
      </c>
      <c r="C659">
        <v>4464.99</v>
      </c>
      <c r="D659">
        <v>4464.99</v>
      </c>
      <c r="E659">
        <v>0</v>
      </c>
      <c r="F659">
        <v>1</v>
      </c>
      <c r="G659">
        <v>0</v>
      </c>
      <c r="H659">
        <v>0</v>
      </c>
      <c r="I659">
        <v>1</v>
      </c>
      <c r="J659">
        <v>0</v>
      </c>
      <c r="K659">
        <v>0</v>
      </c>
      <c r="L659">
        <v>0</v>
      </c>
      <c r="M659">
        <v>4464.99</v>
      </c>
      <c r="N659">
        <v>4464.99</v>
      </c>
      <c r="O659">
        <v>4464.99</v>
      </c>
      <c r="P659">
        <v>4464.99</v>
      </c>
      <c r="Q659" t="s">
        <v>184</v>
      </c>
      <c r="R659"/>
      <c r="S659"/>
      <c r="T659"/>
    </row>
    <row r="660" spans="1:20" ht="14.5" customHeight="1" x14ac:dyDescent="0.35">
      <c r="A660">
        <v>170</v>
      </c>
      <c r="B660" t="s">
        <v>276</v>
      </c>
      <c r="C660">
        <v>-3636.41</v>
      </c>
      <c r="D660">
        <v>16211.33</v>
      </c>
      <c r="E660">
        <v>2480.15</v>
      </c>
      <c r="F660">
        <v>1</v>
      </c>
      <c r="G660">
        <v>2480.15</v>
      </c>
      <c r="H660">
        <v>20319.59</v>
      </c>
      <c r="I660">
        <v>1</v>
      </c>
      <c r="J660">
        <v>20319.59</v>
      </c>
      <c r="K660">
        <v>0</v>
      </c>
      <c r="L660">
        <v>0</v>
      </c>
      <c r="M660">
        <v>-6116.56</v>
      </c>
      <c r="N660">
        <v>-4108.26</v>
      </c>
      <c r="O660">
        <v>-3636.41</v>
      </c>
      <c r="P660">
        <v>16211.33</v>
      </c>
      <c r="Q660" t="s">
        <v>184</v>
      </c>
      <c r="R660"/>
      <c r="S660"/>
      <c r="T660"/>
    </row>
    <row r="661" spans="1:20" x14ac:dyDescent="0.35">
      <c r="A661">
        <v>180</v>
      </c>
      <c r="B661" t="s">
        <v>277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184</v>
      </c>
      <c r="R661"/>
      <c r="S661"/>
      <c r="T661"/>
    </row>
    <row r="662" spans="1:20" x14ac:dyDescent="0.35">
      <c r="A662">
        <v>190</v>
      </c>
      <c r="B662" t="s">
        <v>269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184</v>
      </c>
      <c r="R662"/>
      <c r="S662"/>
      <c r="T662"/>
    </row>
    <row r="663" spans="1:20" ht="14.5" customHeight="1" x14ac:dyDescent="0.35">
      <c r="A663">
        <v>200</v>
      </c>
      <c r="B663" t="s">
        <v>271</v>
      </c>
      <c r="C663">
        <v>-3636.41</v>
      </c>
      <c r="D663">
        <v>16211.33</v>
      </c>
      <c r="E663">
        <v>2480.15</v>
      </c>
      <c r="F663">
        <v>1</v>
      </c>
      <c r="G663">
        <v>2480.15</v>
      </c>
      <c r="H663">
        <v>20319.59</v>
      </c>
      <c r="I663">
        <v>1</v>
      </c>
      <c r="J663">
        <v>20319.59</v>
      </c>
      <c r="K663">
        <v>0</v>
      </c>
      <c r="L663">
        <v>0</v>
      </c>
      <c r="M663">
        <v>-6116.56</v>
      </c>
      <c r="N663">
        <v>-4108.26</v>
      </c>
      <c r="O663">
        <v>-3636.41</v>
      </c>
      <c r="P663">
        <v>16211.33</v>
      </c>
      <c r="Q663" t="s">
        <v>184</v>
      </c>
      <c r="R663"/>
      <c r="S663"/>
      <c r="T663"/>
    </row>
    <row r="664" spans="1:20" ht="14.5" customHeight="1" x14ac:dyDescent="0.35">
      <c r="A664">
        <v>210</v>
      </c>
      <c r="B664" t="s">
        <v>272</v>
      </c>
      <c r="C664">
        <v>828.58</v>
      </c>
      <c r="D664">
        <v>20676.32</v>
      </c>
      <c r="E664">
        <v>2480.15</v>
      </c>
      <c r="F664">
        <v>1</v>
      </c>
      <c r="G664">
        <v>2480.15</v>
      </c>
      <c r="H664">
        <v>20319.59</v>
      </c>
      <c r="I664">
        <v>1</v>
      </c>
      <c r="J664">
        <v>20319.59</v>
      </c>
      <c r="K664">
        <v>0</v>
      </c>
      <c r="L664">
        <v>0</v>
      </c>
      <c r="M664">
        <v>-1651.57</v>
      </c>
      <c r="N664">
        <v>356.73</v>
      </c>
      <c r="O664">
        <v>828.58</v>
      </c>
      <c r="P664">
        <v>20676.32</v>
      </c>
      <c r="Q664" t="s">
        <v>184</v>
      </c>
      <c r="R664"/>
      <c r="S664"/>
      <c r="T664"/>
    </row>
    <row r="665" spans="1:20" x14ac:dyDescent="0.35">
      <c r="A665" s="294" t="s">
        <v>638</v>
      </c>
      <c r="B665" s="294" t="s">
        <v>172</v>
      </c>
      <c r="C665" s="294" t="s">
        <v>205</v>
      </c>
      <c r="D665" s="294" t="s">
        <v>206</v>
      </c>
      <c r="E665" s="294" t="s">
        <v>175</v>
      </c>
      <c r="F665" s="294" t="s">
        <v>207</v>
      </c>
      <c r="G665" s="294" t="s">
        <v>208</v>
      </c>
      <c r="H665" s="294" t="s">
        <v>209</v>
      </c>
      <c r="I665" s="294" t="s">
        <v>210</v>
      </c>
      <c r="J665" s="294" t="s">
        <v>211</v>
      </c>
      <c r="K665" s="294" t="s">
        <v>212</v>
      </c>
      <c r="L665" s="294" t="s">
        <v>213</v>
      </c>
      <c r="M665" s="294" t="s">
        <v>231</v>
      </c>
      <c r="N665" s="294" t="s">
        <v>235</v>
      </c>
      <c r="O665" s="294" t="s">
        <v>236</v>
      </c>
      <c r="P665" s="294" t="s">
        <v>237</v>
      </c>
      <c r="Q665" s="294" t="s">
        <v>183</v>
      </c>
      <c r="R665"/>
      <c r="S665"/>
      <c r="T665"/>
    </row>
    <row r="666" spans="1:20" x14ac:dyDescent="0.35">
      <c r="A666" s="294">
        <v>30</v>
      </c>
      <c r="B666" s="294" t="s">
        <v>253</v>
      </c>
      <c r="C666" s="294">
        <v>0</v>
      </c>
      <c r="D666" s="294">
        <v>6634686.0099999998</v>
      </c>
      <c r="E666" s="294">
        <v>1766927.7</v>
      </c>
      <c r="F666" s="294">
        <v>1</v>
      </c>
      <c r="G666" s="294">
        <v>1766927.7</v>
      </c>
      <c r="H666" s="294">
        <v>16970200.43</v>
      </c>
      <c r="I666" s="294">
        <v>1</v>
      </c>
      <c r="J666" s="294">
        <v>16970200.43</v>
      </c>
      <c r="K666" s="294">
        <v>1721684</v>
      </c>
      <c r="L666" s="294">
        <v>16541330</v>
      </c>
      <c r="M666" s="294">
        <v>-1766927.7</v>
      </c>
      <c r="N666" s="294">
        <v>-10335514.42</v>
      </c>
      <c r="O666" s="294">
        <v>-1721684</v>
      </c>
      <c r="P666" s="294">
        <v>-9906643.9900000002</v>
      </c>
      <c r="Q666" s="294" t="s">
        <v>184</v>
      </c>
      <c r="R666"/>
      <c r="S666"/>
      <c r="T666"/>
    </row>
    <row r="667" spans="1:20" x14ac:dyDescent="0.35">
      <c r="A667" s="294">
        <v>40</v>
      </c>
      <c r="B667" s="294" t="s">
        <v>254</v>
      </c>
      <c r="C667" s="294">
        <v>0</v>
      </c>
      <c r="D667" s="294">
        <v>439666.46</v>
      </c>
      <c r="E667" s="294">
        <v>106542.88</v>
      </c>
      <c r="F667" s="294">
        <v>1</v>
      </c>
      <c r="G667" s="294">
        <v>106542.88</v>
      </c>
      <c r="H667" s="294">
        <v>860590.26</v>
      </c>
      <c r="I667" s="294">
        <v>1</v>
      </c>
      <c r="J667" s="294">
        <v>860590.26</v>
      </c>
      <c r="K667" s="294">
        <v>0</v>
      </c>
      <c r="L667" s="294">
        <v>0</v>
      </c>
      <c r="M667" s="294">
        <v>-106542.88</v>
      </c>
      <c r="N667" s="294">
        <v>-420923.8</v>
      </c>
      <c r="O667" s="294">
        <v>0</v>
      </c>
      <c r="P667" s="294">
        <v>439666.46</v>
      </c>
      <c r="Q667" s="294" t="s">
        <v>184</v>
      </c>
    </row>
    <row r="668" spans="1:20" x14ac:dyDescent="0.35">
      <c r="A668" s="294">
        <v>50</v>
      </c>
      <c r="B668" s="294" t="s">
        <v>255</v>
      </c>
      <c r="C668" s="294">
        <v>0</v>
      </c>
      <c r="D668" s="294">
        <v>6195019.5499999998</v>
      </c>
      <c r="E668" s="294">
        <v>1660384.82</v>
      </c>
      <c r="F668" s="294">
        <v>1</v>
      </c>
      <c r="G668" s="294">
        <v>1660384.82</v>
      </c>
      <c r="H668" s="294">
        <v>16109610.17</v>
      </c>
      <c r="I668" s="294">
        <v>1</v>
      </c>
      <c r="J668" s="294">
        <v>16109610.17</v>
      </c>
      <c r="K668" s="294">
        <v>1721684</v>
      </c>
      <c r="L668" s="294">
        <v>16541330</v>
      </c>
      <c r="M668" s="294">
        <v>-1660384.82</v>
      </c>
      <c r="N668" s="294">
        <v>-9914590.6199999992</v>
      </c>
      <c r="O668" s="294">
        <v>-1721684</v>
      </c>
      <c r="P668" s="294">
        <v>-10346310.449999999</v>
      </c>
      <c r="Q668" s="294" t="s">
        <v>184</v>
      </c>
    </row>
    <row r="669" spans="1:20" x14ac:dyDescent="0.35">
      <c r="A669" s="294">
        <v>60</v>
      </c>
      <c r="B669" s="294" t="s">
        <v>256</v>
      </c>
      <c r="C669" s="294">
        <v>0</v>
      </c>
      <c r="D669" s="294">
        <v>2292957.94</v>
      </c>
      <c r="E669" s="294">
        <v>630945.65</v>
      </c>
      <c r="F669" s="294">
        <v>1</v>
      </c>
      <c r="G669" s="294">
        <v>630945.65</v>
      </c>
      <c r="H669" s="294">
        <v>6088715.8899999997</v>
      </c>
      <c r="I669" s="294">
        <v>1</v>
      </c>
      <c r="J669" s="294">
        <v>6088715.8899999997</v>
      </c>
      <c r="K669" s="294">
        <v>650797</v>
      </c>
      <c r="L669" s="294">
        <v>6252623</v>
      </c>
      <c r="M669" s="294">
        <v>-630945.65</v>
      </c>
      <c r="N669" s="294">
        <v>-3795757.95</v>
      </c>
      <c r="O669" s="294">
        <v>-650797</v>
      </c>
      <c r="P669" s="294">
        <v>-3959665.06</v>
      </c>
      <c r="Q669" s="294" t="s">
        <v>184</v>
      </c>
    </row>
    <row r="670" spans="1:20" x14ac:dyDescent="0.35">
      <c r="A670" s="294">
        <v>65</v>
      </c>
      <c r="B670" s="294" t="s">
        <v>257</v>
      </c>
      <c r="C670" s="294">
        <v>0</v>
      </c>
      <c r="D670" s="294">
        <v>0</v>
      </c>
      <c r="E670" s="294">
        <v>0</v>
      </c>
      <c r="F670" s="294">
        <v>1</v>
      </c>
      <c r="G670" s="294">
        <v>0</v>
      </c>
      <c r="H670" s="294">
        <v>0</v>
      </c>
      <c r="I670" s="294">
        <v>1</v>
      </c>
      <c r="J670" s="294">
        <v>0</v>
      </c>
      <c r="K670" s="294">
        <v>0</v>
      </c>
      <c r="L670" s="294">
        <v>0</v>
      </c>
      <c r="M670" s="294">
        <v>0</v>
      </c>
      <c r="N670" s="294">
        <v>0</v>
      </c>
      <c r="O670" s="294">
        <v>0</v>
      </c>
      <c r="P670" s="294">
        <v>0</v>
      </c>
      <c r="Q670" s="294" t="s">
        <v>184</v>
      </c>
    </row>
    <row r="671" spans="1:20" x14ac:dyDescent="0.35">
      <c r="A671" s="294">
        <v>70</v>
      </c>
      <c r="B671" s="294" t="s">
        <v>258</v>
      </c>
      <c r="C671" s="294">
        <v>0</v>
      </c>
      <c r="D671" s="294">
        <v>3902061.61</v>
      </c>
      <c r="E671" s="294">
        <v>1029439.17</v>
      </c>
      <c r="F671" s="294">
        <v>1</v>
      </c>
      <c r="G671" s="294">
        <v>1029439.17</v>
      </c>
      <c r="H671" s="294">
        <v>10020894.279999999</v>
      </c>
      <c r="I671" s="294">
        <v>1</v>
      </c>
      <c r="J671" s="294">
        <v>10020894.279999999</v>
      </c>
      <c r="K671" s="294">
        <v>1070887</v>
      </c>
      <c r="L671" s="294">
        <v>10288707</v>
      </c>
      <c r="M671" s="294">
        <v>-1029439.17</v>
      </c>
      <c r="N671" s="294">
        <v>-6118832.6699999999</v>
      </c>
      <c r="O671" s="294">
        <v>-1070887</v>
      </c>
      <c r="P671" s="294">
        <v>-6386645.3899999997</v>
      </c>
      <c r="Q671" s="294" t="s">
        <v>184</v>
      </c>
    </row>
    <row r="672" spans="1:20" x14ac:dyDescent="0.35">
      <c r="A672" s="294">
        <v>80</v>
      </c>
      <c r="B672" s="294" t="s">
        <v>259</v>
      </c>
      <c r="C672" s="294">
        <v>0</v>
      </c>
      <c r="D672" s="294">
        <v>3280582.34</v>
      </c>
      <c r="E672" s="294">
        <v>932505.67</v>
      </c>
      <c r="F672" s="294">
        <v>1</v>
      </c>
      <c r="G672" s="294">
        <v>932505.67</v>
      </c>
      <c r="H672" s="294">
        <v>8783375.6899999995</v>
      </c>
      <c r="I672" s="294">
        <v>1</v>
      </c>
      <c r="J672" s="294">
        <v>8783375.6899999995</v>
      </c>
      <c r="K672" s="294">
        <v>977070</v>
      </c>
      <c r="L672" s="294">
        <v>8999863</v>
      </c>
      <c r="M672" s="294">
        <v>-932505.67</v>
      </c>
      <c r="N672" s="294">
        <v>-5502793.3499999996</v>
      </c>
      <c r="O672" s="294">
        <v>-977070</v>
      </c>
      <c r="P672" s="294">
        <v>-5719280.6600000001</v>
      </c>
      <c r="Q672" s="294" t="s">
        <v>184</v>
      </c>
    </row>
    <row r="673" spans="1:17" x14ac:dyDescent="0.35">
      <c r="A673" s="294">
        <v>90</v>
      </c>
      <c r="B673" s="294" t="s">
        <v>260</v>
      </c>
      <c r="C673" s="294">
        <v>-1402.72</v>
      </c>
      <c r="D673" s="294">
        <v>434717.39</v>
      </c>
      <c r="E673" s="294">
        <v>97942.78</v>
      </c>
      <c r="F673" s="294">
        <v>1</v>
      </c>
      <c r="G673" s="294">
        <v>97942.78</v>
      </c>
      <c r="H673" s="294">
        <v>975564.15</v>
      </c>
      <c r="I673" s="294">
        <v>1</v>
      </c>
      <c r="J673" s="294">
        <v>975564.15</v>
      </c>
      <c r="K673" s="294">
        <v>97980</v>
      </c>
      <c r="L673" s="294">
        <v>975563</v>
      </c>
      <c r="M673" s="294">
        <v>-99345.5</v>
      </c>
      <c r="N673" s="294">
        <v>-540846.76</v>
      </c>
      <c r="O673" s="294">
        <v>-99382.720000000001</v>
      </c>
      <c r="P673" s="294">
        <v>-540845.61</v>
      </c>
      <c r="Q673" s="294" t="s">
        <v>184</v>
      </c>
    </row>
    <row r="674" spans="1:17" x14ac:dyDescent="0.35">
      <c r="A674" s="294">
        <v>100</v>
      </c>
      <c r="B674" s="294" t="s">
        <v>261</v>
      </c>
      <c r="C674" s="294">
        <v>0</v>
      </c>
      <c r="D674" s="294">
        <v>61529.2</v>
      </c>
      <c r="E674" s="294">
        <v>15382.3</v>
      </c>
      <c r="F674" s="294">
        <v>1</v>
      </c>
      <c r="G674" s="294">
        <v>15382.3</v>
      </c>
      <c r="H674" s="294">
        <v>138440.70000000001</v>
      </c>
      <c r="I674" s="294">
        <v>1</v>
      </c>
      <c r="J674" s="294">
        <v>138440.70000000001</v>
      </c>
      <c r="K674" s="294">
        <v>14307</v>
      </c>
      <c r="L674" s="294">
        <v>128763</v>
      </c>
      <c r="M674" s="294">
        <v>-15382.3</v>
      </c>
      <c r="N674" s="294">
        <v>-76911.5</v>
      </c>
      <c r="O674" s="294">
        <v>-14307</v>
      </c>
      <c r="P674" s="294">
        <v>-67233.8</v>
      </c>
      <c r="Q674" s="294" t="s">
        <v>184</v>
      </c>
    </row>
    <row r="675" spans="1:17" x14ac:dyDescent="0.35">
      <c r="A675" s="294">
        <v>110</v>
      </c>
      <c r="B675" s="294" t="s">
        <v>262</v>
      </c>
      <c r="C675" s="294">
        <v>-1402.72</v>
      </c>
      <c r="D675" s="294">
        <v>3776828.93</v>
      </c>
      <c r="E675" s="294">
        <v>1045830.75</v>
      </c>
      <c r="F675" s="294">
        <v>1</v>
      </c>
      <c r="G675" s="294">
        <v>1045830.75</v>
      </c>
      <c r="H675" s="294">
        <v>9897380.5399999991</v>
      </c>
      <c r="I675" s="294">
        <v>1</v>
      </c>
      <c r="J675" s="294">
        <v>9897380.5399999991</v>
      </c>
      <c r="K675" s="294">
        <v>1089357</v>
      </c>
      <c r="L675" s="294">
        <v>10104189</v>
      </c>
      <c r="M675" s="294">
        <v>-1047233.47</v>
      </c>
      <c r="N675" s="294">
        <v>-6120551.6100000003</v>
      </c>
      <c r="O675" s="294">
        <v>-1090759.72</v>
      </c>
      <c r="P675" s="294">
        <v>-6327360.0700000003</v>
      </c>
      <c r="Q675" s="294" t="s">
        <v>184</v>
      </c>
    </row>
    <row r="676" spans="1:17" x14ac:dyDescent="0.35">
      <c r="A676" s="294">
        <v>120</v>
      </c>
      <c r="B676" s="294" t="s">
        <v>263</v>
      </c>
      <c r="C676" s="294">
        <v>1402.72</v>
      </c>
      <c r="D676" s="294">
        <v>125232.68</v>
      </c>
      <c r="E676" s="294">
        <v>-16391.580000000002</v>
      </c>
      <c r="F676" s="294">
        <v>1</v>
      </c>
      <c r="G676" s="294">
        <v>-16391.580000000002</v>
      </c>
      <c r="H676" s="294">
        <v>123513.74</v>
      </c>
      <c r="I676" s="294">
        <v>1</v>
      </c>
      <c r="J676" s="294">
        <v>123513.74</v>
      </c>
      <c r="K676" s="294">
        <v>-18470</v>
      </c>
      <c r="L676" s="294">
        <v>184518</v>
      </c>
      <c r="M676" s="294">
        <v>17794.3</v>
      </c>
      <c r="N676" s="294">
        <v>1718.94</v>
      </c>
      <c r="O676" s="294">
        <v>19872.72</v>
      </c>
      <c r="P676" s="294">
        <v>-59285.32</v>
      </c>
      <c r="Q676" s="294" t="s">
        <v>184</v>
      </c>
    </row>
    <row r="677" spans="1:17" x14ac:dyDescent="0.35">
      <c r="A677" s="294">
        <v>130</v>
      </c>
      <c r="B677" s="294"/>
      <c r="C677" s="294">
        <v>0</v>
      </c>
      <c r="D677" s="294">
        <v>0</v>
      </c>
      <c r="E677" s="294">
        <v>0</v>
      </c>
      <c r="F677" s="294">
        <v>1</v>
      </c>
      <c r="G677" s="294">
        <v>0</v>
      </c>
      <c r="H677" s="294">
        <v>0</v>
      </c>
      <c r="I677" s="294">
        <v>1</v>
      </c>
      <c r="J677" s="294">
        <v>0</v>
      </c>
      <c r="K677" s="294">
        <v>0</v>
      </c>
      <c r="L677" s="294">
        <v>0</v>
      </c>
      <c r="M677" s="294">
        <v>0</v>
      </c>
      <c r="N677" s="294">
        <v>0</v>
      </c>
      <c r="O677" s="294">
        <v>0</v>
      </c>
      <c r="P677" s="294">
        <v>0</v>
      </c>
      <c r="Q677" s="294" t="s">
        <v>184</v>
      </c>
    </row>
    <row r="678" spans="1:17" x14ac:dyDescent="0.35">
      <c r="A678" s="294">
        <v>135</v>
      </c>
      <c r="B678" s="294" t="s">
        <v>264</v>
      </c>
      <c r="C678" s="294">
        <v>-10375</v>
      </c>
      <c r="D678" s="294">
        <v>-166054.6</v>
      </c>
      <c r="E678" s="294">
        <v>-57846.9</v>
      </c>
      <c r="F678" s="294">
        <v>1</v>
      </c>
      <c r="G678" s="294">
        <v>-57846.9</v>
      </c>
      <c r="H678" s="294">
        <v>-475712.26</v>
      </c>
      <c r="I678" s="294">
        <v>1</v>
      </c>
      <c r="J678" s="294">
        <v>-475712.26</v>
      </c>
      <c r="K678" s="294">
        <v>-51380</v>
      </c>
      <c r="L678" s="294">
        <v>-462420</v>
      </c>
      <c r="M678" s="294">
        <v>47471.9</v>
      </c>
      <c r="N678" s="294">
        <v>309657.65999999997</v>
      </c>
      <c r="O678" s="294">
        <v>41005</v>
      </c>
      <c r="P678" s="294">
        <v>296365.40000000002</v>
      </c>
      <c r="Q678" s="294" t="s">
        <v>184</v>
      </c>
    </row>
    <row r="679" spans="1:17" x14ac:dyDescent="0.35">
      <c r="A679" s="294">
        <v>140</v>
      </c>
      <c r="B679" s="294" t="s">
        <v>265</v>
      </c>
      <c r="C679" s="294">
        <v>0</v>
      </c>
      <c r="D679" s="294">
        <v>118642.76</v>
      </c>
      <c r="E679" s="294">
        <v>38322.800000000003</v>
      </c>
      <c r="F679" s="294">
        <v>1</v>
      </c>
      <c r="G679" s="294">
        <v>38322.800000000003</v>
      </c>
      <c r="H679" s="294">
        <v>280891.02</v>
      </c>
      <c r="I679" s="294">
        <v>1</v>
      </c>
      <c r="J679" s="294">
        <v>280891.02</v>
      </c>
      <c r="K679" s="294">
        <v>30427</v>
      </c>
      <c r="L679" s="294">
        <v>278978</v>
      </c>
      <c r="M679" s="294">
        <v>-38322.800000000003</v>
      </c>
      <c r="N679" s="294">
        <v>-162248.26</v>
      </c>
      <c r="O679" s="294">
        <v>-30427</v>
      </c>
      <c r="P679" s="294">
        <v>-160335.24</v>
      </c>
      <c r="Q679" s="294" t="s">
        <v>184</v>
      </c>
    </row>
    <row r="680" spans="1:17" x14ac:dyDescent="0.35">
      <c r="A680" s="294">
        <v>150</v>
      </c>
      <c r="B680" s="294" t="s">
        <v>266</v>
      </c>
      <c r="C680" s="294">
        <v>0</v>
      </c>
      <c r="D680" s="294">
        <v>0</v>
      </c>
      <c r="E680" s="294">
        <v>0</v>
      </c>
      <c r="F680" s="294">
        <v>1</v>
      </c>
      <c r="G680" s="294">
        <v>0</v>
      </c>
      <c r="H680" s="294">
        <v>0</v>
      </c>
      <c r="I680" s="294">
        <v>1</v>
      </c>
      <c r="J680" s="294">
        <v>0</v>
      </c>
      <c r="K680" s="294">
        <v>0</v>
      </c>
      <c r="L680" s="294">
        <v>0</v>
      </c>
      <c r="M680" s="294">
        <v>0</v>
      </c>
      <c r="N680" s="294">
        <v>0</v>
      </c>
      <c r="O680" s="294">
        <v>0</v>
      </c>
      <c r="P680" s="294">
        <v>0</v>
      </c>
      <c r="Q680" s="294" t="s">
        <v>184</v>
      </c>
    </row>
    <row r="681" spans="1:17" x14ac:dyDescent="0.35">
      <c r="A681" s="294">
        <v>155</v>
      </c>
      <c r="B681" s="294"/>
      <c r="C681" s="294">
        <v>0</v>
      </c>
      <c r="D681" s="294">
        <v>0</v>
      </c>
      <c r="E681" s="294">
        <v>0</v>
      </c>
      <c r="F681" s="294">
        <v>1</v>
      </c>
      <c r="G681" s="294">
        <v>0</v>
      </c>
      <c r="H681" s="294">
        <v>0</v>
      </c>
      <c r="I681" s="294">
        <v>1</v>
      </c>
      <c r="J681" s="294">
        <v>0</v>
      </c>
      <c r="K681" s="294">
        <v>0</v>
      </c>
      <c r="L681" s="294">
        <v>0</v>
      </c>
      <c r="M681" s="294">
        <v>0</v>
      </c>
      <c r="N681" s="294">
        <v>0</v>
      </c>
      <c r="O681" s="294">
        <v>0</v>
      </c>
      <c r="P681" s="294">
        <v>0</v>
      </c>
      <c r="Q681" s="294" t="s">
        <v>184</v>
      </c>
    </row>
    <row r="682" spans="1:17" x14ac:dyDescent="0.35">
      <c r="A682" s="294">
        <v>160</v>
      </c>
      <c r="B682" s="294" t="s">
        <v>267</v>
      </c>
      <c r="C682" s="294">
        <v>-10375</v>
      </c>
      <c r="D682" s="294">
        <v>-47411.839999999997</v>
      </c>
      <c r="E682" s="294">
        <v>-19524.099999999999</v>
      </c>
      <c r="F682" s="294">
        <v>1</v>
      </c>
      <c r="G682" s="294">
        <v>-19524.099999999999</v>
      </c>
      <c r="H682" s="294">
        <v>-194821.24</v>
      </c>
      <c r="I682" s="294">
        <v>1</v>
      </c>
      <c r="J682" s="294">
        <v>-194821.24</v>
      </c>
      <c r="K682" s="294">
        <v>-20953</v>
      </c>
      <c r="L682" s="294">
        <v>-183442</v>
      </c>
      <c r="M682" s="294">
        <v>9149.1</v>
      </c>
      <c r="N682" s="294">
        <v>147409.4</v>
      </c>
      <c r="O682" s="294">
        <v>10578</v>
      </c>
      <c r="P682" s="294">
        <v>136030.16</v>
      </c>
      <c r="Q682" s="294" t="s">
        <v>184</v>
      </c>
    </row>
    <row r="683" spans="1:17" x14ac:dyDescent="0.35">
      <c r="A683" s="294">
        <v>170</v>
      </c>
      <c r="B683" s="294" t="s">
        <v>276</v>
      </c>
      <c r="C683" s="294">
        <v>11777.72</v>
      </c>
      <c r="D683" s="294">
        <v>172644.52</v>
      </c>
      <c r="E683" s="294">
        <v>3132.52</v>
      </c>
      <c r="F683" s="294">
        <v>1</v>
      </c>
      <c r="G683" s="294">
        <v>3132.52</v>
      </c>
      <c r="H683" s="294">
        <v>318334.98</v>
      </c>
      <c r="I683" s="294">
        <v>1</v>
      </c>
      <c r="J683" s="294">
        <v>318334.98</v>
      </c>
      <c r="K683" s="294">
        <v>2483</v>
      </c>
      <c r="L683" s="294">
        <v>367960</v>
      </c>
      <c r="M683" s="294">
        <v>8645.2000000000007</v>
      </c>
      <c r="N683" s="294">
        <v>-145690.46</v>
      </c>
      <c r="O683" s="294">
        <v>9294.7199999999993</v>
      </c>
      <c r="P683" s="294">
        <v>-195315.48</v>
      </c>
      <c r="Q683" s="294" t="s">
        <v>184</v>
      </c>
    </row>
    <row r="684" spans="1:17" x14ac:dyDescent="0.35">
      <c r="A684" s="294">
        <v>180</v>
      </c>
      <c r="B684" s="294" t="s">
        <v>277</v>
      </c>
      <c r="C684" s="294">
        <v>0</v>
      </c>
      <c r="D684" s="294">
        <v>12436.39</v>
      </c>
      <c r="E684" s="294">
        <v>4167</v>
      </c>
      <c r="F684" s="294">
        <v>1</v>
      </c>
      <c r="G684" s="294">
        <v>4167</v>
      </c>
      <c r="H684" s="294">
        <v>37125.72</v>
      </c>
      <c r="I684" s="294">
        <v>1</v>
      </c>
      <c r="J684" s="294">
        <v>37125.72</v>
      </c>
      <c r="K684" s="294">
        <v>0</v>
      </c>
      <c r="L684" s="294">
        <v>0</v>
      </c>
      <c r="M684" s="294">
        <v>-4167</v>
      </c>
      <c r="N684" s="294">
        <v>-24689.33</v>
      </c>
      <c r="O684" s="294">
        <v>0</v>
      </c>
      <c r="P684" s="294">
        <v>12436.39</v>
      </c>
      <c r="Q684" s="294" t="s">
        <v>184</v>
      </c>
    </row>
    <row r="685" spans="1:17" x14ac:dyDescent="0.35">
      <c r="A685" s="294">
        <v>190</v>
      </c>
      <c r="B685" s="294" t="s">
        <v>269</v>
      </c>
      <c r="C685" s="294">
        <v>0</v>
      </c>
      <c r="D685" s="294">
        <v>0</v>
      </c>
      <c r="E685" s="294">
        <v>0</v>
      </c>
      <c r="F685" s="294">
        <v>1</v>
      </c>
      <c r="G685" s="294">
        <v>0</v>
      </c>
      <c r="H685" s="294">
        <v>0</v>
      </c>
      <c r="I685" s="294">
        <v>1</v>
      </c>
      <c r="J685" s="294">
        <v>0</v>
      </c>
      <c r="K685" s="294">
        <v>0</v>
      </c>
      <c r="L685" s="294">
        <v>0</v>
      </c>
      <c r="M685" s="294">
        <v>0</v>
      </c>
      <c r="N685" s="294">
        <v>0</v>
      </c>
      <c r="O685" s="294">
        <v>0</v>
      </c>
      <c r="P685" s="294">
        <v>0</v>
      </c>
      <c r="Q685" s="294" t="s">
        <v>184</v>
      </c>
    </row>
    <row r="686" spans="1:17" x14ac:dyDescent="0.35">
      <c r="A686" s="294">
        <v>200</v>
      </c>
      <c r="B686" s="294" t="s">
        <v>271</v>
      </c>
      <c r="C686" s="294">
        <v>11777.72</v>
      </c>
      <c r="D686" s="294">
        <v>160208.13</v>
      </c>
      <c r="E686" s="294">
        <v>-1034.48</v>
      </c>
      <c r="F686" s="294">
        <v>1</v>
      </c>
      <c r="G686" s="294">
        <v>-1034.48</v>
      </c>
      <c r="H686" s="294">
        <v>281209.26</v>
      </c>
      <c r="I686" s="294">
        <v>1</v>
      </c>
      <c r="J686" s="294">
        <v>281209.26</v>
      </c>
      <c r="K686" s="294">
        <v>2483</v>
      </c>
      <c r="L686" s="294">
        <v>367960</v>
      </c>
      <c r="M686" s="294">
        <v>12812.2</v>
      </c>
      <c r="N686" s="294">
        <v>-121001.13</v>
      </c>
      <c r="O686" s="294">
        <v>9294.7199999999993</v>
      </c>
      <c r="P686" s="294">
        <v>-207751.87</v>
      </c>
      <c r="Q686" s="294" t="s">
        <v>184</v>
      </c>
    </row>
    <row r="687" spans="1:17" x14ac:dyDescent="0.35">
      <c r="A687" s="294">
        <v>210</v>
      </c>
      <c r="B687" s="294" t="s">
        <v>272</v>
      </c>
      <c r="C687" s="294">
        <v>1402.72</v>
      </c>
      <c r="D687" s="294">
        <v>186761.88</v>
      </c>
      <c r="E687" s="294">
        <v>-1009.28</v>
      </c>
      <c r="F687" s="294">
        <v>1</v>
      </c>
      <c r="G687" s="294">
        <v>-1009.28</v>
      </c>
      <c r="H687" s="294">
        <v>261954.44</v>
      </c>
      <c r="I687" s="294">
        <v>1</v>
      </c>
      <c r="J687" s="294">
        <v>261954.44</v>
      </c>
      <c r="K687" s="294">
        <v>-4163</v>
      </c>
      <c r="L687" s="294">
        <v>313281</v>
      </c>
      <c r="M687" s="294">
        <v>2412</v>
      </c>
      <c r="N687" s="294">
        <v>-75192.56</v>
      </c>
      <c r="O687" s="294">
        <v>5565.72</v>
      </c>
      <c r="P687" s="294">
        <v>-126519.12</v>
      </c>
      <c r="Q687" s="294" t="s">
        <v>184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A23" zoomScale="90" zoomScaleNormal="90" workbookViewId="0">
      <selection activeCell="C35" sqref="C35"/>
    </sheetView>
  </sheetViews>
  <sheetFormatPr baseColWidth="10" defaultRowHeight="14.5" x14ac:dyDescent="0.35"/>
  <cols>
    <col min="2" max="2" width="30.90625" customWidth="1"/>
    <col min="3" max="3" width="13.81640625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4.36328125" customWidth="1"/>
  </cols>
  <sheetData>
    <row r="2" spans="2:9" x14ac:dyDescent="0.35">
      <c r="C2" s="239" t="s">
        <v>25</v>
      </c>
      <c r="D2" s="239" t="s">
        <v>26</v>
      </c>
      <c r="E2" s="239" t="s">
        <v>27</v>
      </c>
      <c r="F2" s="239" t="s">
        <v>28</v>
      </c>
      <c r="G2" s="239" t="s">
        <v>29</v>
      </c>
      <c r="H2" s="239" t="s">
        <v>30</v>
      </c>
      <c r="I2" s="239" t="s">
        <v>31</v>
      </c>
    </row>
    <row r="3" spans="2:9" x14ac:dyDescent="0.35">
      <c r="B3" s="227" t="s">
        <v>338</v>
      </c>
      <c r="C3" s="228">
        <f>('610'!C326+'610'!C380+'610'!C434+'610'!C488)/1000</f>
        <v>0</v>
      </c>
      <c r="D3" s="228">
        <f>('610'!C2+'610'!C56+'610'!C110+'610'!C164+'610'!C218+'610'!C272)/1000</f>
        <v>0</v>
      </c>
      <c r="E3" s="228">
        <f>('610'!C1137+'610'!C1191+'610'!C1353+'610'!C1461)/1000</f>
        <v>0</v>
      </c>
      <c r="F3" s="228">
        <f>('610'!C1245+'610'!C1299+'610'!C1407+'610'!C1515+'610'!C1569)/1000</f>
        <v>0</v>
      </c>
      <c r="G3" s="228">
        <f>('610'!C704+'610'!C758+'610'!C813+'610'!C867+'610'!C921+'610'!C975)/1000</f>
        <v>0</v>
      </c>
      <c r="H3" s="228">
        <f>('610'!C1029+'610'!C1083)/1000</f>
        <v>0</v>
      </c>
      <c r="I3" s="228"/>
    </row>
    <row r="4" spans="2:9" x14ac:dyDescent="0.35">
      <c r="B4" s="229" t="s">
        <v>339</v>
      </c>
      <c r="C4" s="230">
        <f>('610'!C327+'610'!C381+'610'!C435+'610'!C489)/1000</f>
        <v>3203.5273299999999</v>
      </c>
      <c r="D4" s="230">
        <f>('610'!C3+'610'!C57+'610'!C111+'610'!C165+'610'!C219+'610'!C273)/1000</f>
        <v>6057.80285</v>
      </c>
      <c r="E4" s="230">
        <f>('610'!C1138+'610'!C1192+'610'!C1354+'610'!C1462)*TC_MES/1000+'610'!C1624*TC_MES/1000</f>
        <v>2478.9636236849997</v>
      </c>
      <c r="F4" s="230">
        <f>('610'!C1246+'610'!C1300+'610'!C1408+'610'!C1516+'610'!C1570)*TC_MES/1000</f>
        <v>964.29831950999994</v>
      </c>
      <c r="G4" s="230">
        <f>('610'!C705+'610'!C759+'610'!C814+'610'!C868+'610'!C922)/1000</f>
        <v>24740.229210000001</v>
      </c>
      <c r="H4" s="230">
        <f>('610'!C1030+'610'!C1084)/1000</f>
        <v>6830.30735</v>
      </c>
      <c r="I4" s="230">
        <f>SUM(C4,D4,E4,F4,G4,H4)</f>
        <v>44275.128683195006</v>
      </c>
    </row>
    <row r="5" spans="2:9" x14ac:dyDescent="0.35">
      <c r="B5" s="229" t="s">
        <v>340</v>
      </c>
      <c r="C5" s="230">
        <f>('610'!C328+'610'!C382+'610'!C436+'610'!C490)/1000</f>
        <v>31309.410380000001</v>
      </c>
      <c r="D5" s="230">
        <f>('610'!C4+'610'!C58+'610'!C112+'610'!C166+'610'!C220+'610'!C274)/1000</f>
        <v>9161.6273399999973</v>
      </c>
      <c r="E5" s="230">
        <f>('610'!C1139+'610'!C1193+'610'!C1355+'610'!C1463)*TC_MES/1000+'610'!C1625*TC_MES/1000</f>
        <v>0</v>
      </c>
      <c r="F5" s="230">
        <f>('610'!C1247+'610'!C1301+'610'!C1409+'610'!C1517+'610'!C1571)*TC_MES/1000</f>
        <v>0</v>
      </c>
      <c r="G5" s="230">
        <f>('610'!C706+'610'!C760+'610'!C815+'610'!C869+'610'!C923)/1000</f>
        <v>264.03220999999996</v>
      </c>
      <c r="H5" s="230">
        <f>('610'!C1031+'610'!C1085)/1000</f>
        <v>0</v>
      </c>
      <c r="I5" s="230">
        <f t="shared" ref="I5:I28" si="0">SUM(C5,D5,E5,F5,G5,H5)</f>
        <v>40735.069929999998</v>
      </c>
    </row>
    <row r="6" spans="2:9" x14ac:dyDescent="0.35">
      <c r="B6" s="229" t="s">
        <v>341</v>
      </c>
      <c r="C6" s="230">
        <f>('610'!C329+'610'!C383+'610'!C437+'610'!C491)/1000</f>
        <v>21803.294009999998</v>
      </c>
      <c r="D6" s="230">
        <f>('610'!C5+'610'!C59+'610'!C113+'610'!C167+'610'!C221+'610'!C275)/1000</f>
        <v>39465.858289999989</v>
      </c>
      <c r="E6" s="230">
        <f>('610'!C1140+'610'!C1194+'610'!C1356+'610'!C1464)*TC_MES/1000+'610'!C1626*TC_MES/1000</f>
        <v>6637.6805245700007</v>
      </c>
      <c r="F6" s="230">
        <f>('610'!C1248+'610'!C1302+'610'!C1410+'610'!C1518+'610'!C1572)*TC_MES/1000</f>
        <v>2934.7901179599999</v>
      </c>
      <c r="G6" s="230">
        <f>('610'!C707+'610'!C761+'610'!C816+'610'!C870+'610'!C924)/1000</f>
        <v>87546.964670000016</v>
      </c>
      <c r="H6" s="230">
        <f>('610'!C1032+'610'!C1086)/1000</f>
        <v>141276.57984999998</v>
      </c>
      <c r="I6" s="230">
        <f t="shared" si="0"/>
        <v>299665.16746252996</v>
      </c>
    </row>
    <row r="7" spans="2:9" x14ac:dyDescent="0.35">
      <c r="B7" s="229" t="s">
        <v>342</v>
      </c>
      <c r="C7" s="230">
        <f>('610'!C330+'610'!C384+'610'!C438+'610'!C492)/1000</f>
        <v>5751.1427899999999</v>
      </c>
      <c r="D7" s="230">
        <f>('610'!C6+'610'!C60+'610'!C114+'610'!C168+'610'!C222+'610'!C276)/1000</f>
        <v>54028.256369999996</v>
      </c>
      <c r="E7" s="230">
        <f>('610'!C1141+'610'!C1195+'610'!C1357+'610'!C1465)*TC_MES/1000+'610'!C1627*TC_MES/1000</f>
        <v>0</v>
      </c>
      <c r="F7" s="230">
        <f>('610'!C1249+'610'!C1303+'610'!C1411+'610'!C1519+'610'!C1573)*TC_MES/1000</f>
        <v>134137.05617145001</v>
      </c>
      <c r="G7" s="230">
        <f>('610'!C708+'610'!C762+'610'!C817+'610'!C871+'610'!C925)/1000</f>
        <v>122148.39715999999</v>
      </c>
      <c r="H7" s="230">
        <f>('610'!C1033+'610'!C1087)/1000</f>
        <v>34775.005349999999</v>
      </c>
      <c r="I7" s="230">
        <f t="shared" si="0"/>
        <v>350839.85784145002</v>
      </c>
    </row>
    <row r="8" spans="2:9" x14ac:dyDescent="0.35">
      <c r="B8" s="229" t="s">
        <v>343</v>
      </c>
      <c r="C8" s="230">
        <f>('610'!C331+'610'!C385+'610'!C439+'610'!C493)/1000</f>
        <v>56456.913470000007</v>
      </c>
      <c r="D8" s="230">
        <f>('610'!C7+'610'!C61+'610'!C115+'610'!C169+'610'!C223+'610'!C277)/1000</f>
        <v>16065.86607</v>
      </c>
      <c r="E8" s="230">
        <f>('610'!C1142+'610'!C1196+'610'!C1358+'610'!C1466)*TC_MES/1000+'610'!C1628*TC_MES/1000</f>
        <v>2412.0480784300003</v>
      </c>
      <c r="F8" s="230">
        <f>('610'!C1250+'610'!C1304+'610'!C1412+'610'!C1520+'610'!C1574)*TC_MES/1000</f>
        <v>0</v>
      </c>
      <c r="G8" s="230">
        <f>('610'!C709+'610'!C763+'610'!C818+'610'!C872+'610'!C926)/1000</f>
        <v>27456.783170000002</v>
      </c>
      <c r="H8" s="230">
        <f>('610'!C1034+'610'!C1088)/1000</f>
        <v>156839.04519</v>
      </c>
      <c r="I8" s="230">
        <f t="shared" si="0"/>
        <v>259230.65597843</v>
      </c>
    </row>
    <row r="9" spans="2:9" x14ac:dyDescent="0.35">
      <c r="B9" s="229" t="s">
        <v>344</v>
      </c>
      <c r="C9" s="230">
        <f>('610'!C332+'610'!C386+'610'!C440+'610'!C494)/1000</f>
        <v>7020.4959200000012</v>
      </c>
      <c r="D9" s="230">
        <f>('610'!C8+'610'!C62+'610'!C116+'610'!C170+'610'!C224+'610'!C278)/1000</f>
        <v>56567.807009999997</v>
      </c>
      <c r="E9" s="230">
        <f>('610'!C1143+'610'!C1197+'610'!C1359+'610'!C1467)*TC_MES/1000+'610'!C1629*TC_MES/1000</f>
        <v>18859.396292174999</v>
      </c>
      <c r="F9" s="230">
        <f>('610'!C1251+'610'!C1305+'610'!C1413+'610'!C1521+'610'!C1575)*TC_MES/1000</f>
        <v>3135.0621390000001</v>
      </c>
      <c r="G9" s="230">
        <f>('610'!C710+'610'!C764+'610'!C819+'610'!C873+'610'!C927)/1000</f>
        <v>6559.0294199999998</v>
      </c>
      <c r="H9" s="230">
        <f>('610'!C1035+'610'!C1089)/1000</f>
        <v>3099.4067500000001</v>
      </c>
      <c r="I9" s="230">
        <f t="shared" si="0"/>
        <v>95241.197531174999</v>
      </c>
    </row>
    <row r="10" spans="2:9" x14ac:dyDescent="0.35">
      <c r="B10" s="229" t="s">
        <v>345</v>
      </c>
      <c r="C10" s="230">
        <f>('610'!C333+'610'!C387+'610'!C441+'610'!C495)/1000</f>
        <v>3131.4466399999997</v>
      </c>
      <c r="D10" s="230">
        <f>('610'!C9+'610'!C63+'610'!C117+'610'!C171+'610'!C225+'610'!C279)/1000</f>
        <v>45813.802860000003</v>
      </c>
      <c r="E10" s="230">
        <f>('610'!C1144+'610'!C1198+'610'!C1360+'610'!C1468)*TC_MES/1000+'610'!C1630*TC_MES/1000</f>
        <v>425.74855079000002</v>
      </c>
      <c r="F10" s="230">
        <f>('610'!C1252+'610'!C1306+'610'!C1414+'610'!C1522+'610'!C1576)*TC_MES/1000</f>
        <v>7152.4095677200003</v>
      </c>
      <c r="G10" s="230">
        <f>('610'!C711+'610'!C765+'610'!C820+'610'!C874+'610'!C928)/1000</f>
        <v>26173.705939999996</v>
      </c>
      <c r="H10" s="230">
        <f>('610'!C1036+'610'!C1090)/1000</f>
        <v>543.50184999999999</v>
      </c>
      <c r="I10" s="230">
        <f t="shared" si="0"/>
        <v>83240.615408509999</v>
      </c>
    </row>
    <row r="11" spans="2:9" x14ac:dyDescent="0.35">
      <c r="B11" s="231" t="s">
        <v>346</v>
      </c>
      <c r="C11" s="232">
        <f t="shared" ref="C11:D11" si="1">SUM(C4,C5,C6,C7,C8,C9,C10)</f>
        <v>128676.23053999999</v>
      </c>
      <c r="D11" s="232">
        <f t="shared" si="1"/>
        <v>227161.02078999998</v>
      </c>
      <c r="E11" s="232">
        <f>SUM(E4,E5,E6,E7,E8,E9,E10)</f>
        <v>30813.837069649999</v>
      </c>
      <c r="F11" s="232">
        <f t="shared" ref="F11:H11" si="2">SUM(F4,F5,F6,F7,F8,F9,F10)</f>
        <v>148323.61631563999</v>
      </c>
      <c r="G11" s="232">
        <f t="shared" si="2"/>
        <v>294889.14178000001</v>
      </c>
      <c r="H11" s="232">
        <f t="shared" si="2"/>
        <v>343363.84633999999</v>
      </c>
      <c r="I11" s="232">
        <f>SUM(I4,I5,I6,I7,I8,I9,I10)</f>
        <v>1173227.69283529</v>
      </c>
    </row>
    <row r="12" spans="2:9" x14ac:dyDescent="0.35">
      <c r="B12" s="231" t="s">
        <v>347</v>
      </c>
      <c r="C12" s="230"/>
      <c r="D12" s="230"/>
      <c r="E12" s="230"/>
      <c r="F12" s="230"/>
      <c r="G12" s="230"/>
      <c r="H12" s="230"/>
      <c r="I12" s="230"/>
    </row>
    <row r="13" spans="2:9" x14ac:dyDescent="0.35">
      <c r="B13" s="229" t="s">
        <v>348</v>
      </c>
      <c r="C13" s="230">
        <f>('610'!C336+'610'!C390+'610'!C444+'610'!C498)/1000</f>
        <v>0.01</v>
      </c>
      <c r="D13" s="230">
        <f>('610'!C12+'610'!C66+'610'!C120+'610'!C174+'610'!C228+'610'!C282)/1000</f>
        <v>36825.534530000004</v>
      </c>
      <c r="E13" s="230">
        <f>('610'!C1147+'610'!C1201+'610'!C1363+'610'!C1471)*TC_MES/1000+'610'!C1633*TC_MES/1000</f>
        <v>6956.4179597300008</v>
      </c>
      <c r="F13" s="230">
        <f>('610'!C1255+'610'!C1309+'610'!C1417+'610'!C1525+'610'!C1579)*TC_MES/1000</f>
        <v>192924.699933475</v>
      </c>
      <c r="G13" s="230">
        <f>('610'!C714+'610'!C768+'610'!C823+'610'!C877+'610'!C931)/1000</f>
        <v>8736.1996500000005</v>
      </c>
      <c r="H13" s="230">
        <f>('610'!C1039+'610'!C1093)/1000</f>
        <v>9566.747949999999</v>
      </c>
      <c r="I13" s="230">
        <f t="shared" si="0"/>
        <v>255009.61002320499</v>
      </c>
    </row>
    <row r="14" spans="2:9" x14ac:dyDescent="0.35">
      <c r="B14" s="229" t="s">
        <v>349</v>
      </c>
      <c r="C14" s="230">
        <f>('610'!C337+'610'!C391+'610'!C445+'610'!C499)/1000</f>
        <v>32037.987590000001</v>
      </c>
      <c r="D14" s="230">
        <f>('610'!C13+'610'!C67+'610'!C121+'610'!C175+'610'!C229+'610'!C283)/1000</f>
        <v>57166.355669999997</v>
      </c>
      <c r="E14" s="230">
        <f>('610'!C1148+'610'!C1202+'610'!C1364+'610'!C1472)*TC_MES/1000+'610'!C1634*TC_MES/1000</f>
        <v>101632.15558796001</v>
      </c>
      <c r="F14" s="230">
        <f>('610'!C1256+'610'!C1310+'610'!C1418+'610'!C1526+'610'!C1580)*TC_MES/1000</f>
        <v>296942.51975743502</v>
      </c>
      <c r="G14" s="230">
        <f>('610'!C715+'610'!C769+'610'!C824+'610'!C878+'610'!C932)/1000</f>
        <v>85528.45534</v>
      </c>
      <c r="H14" s="230">
        <f>('610'!C1040+'610'!C1094)/1000</f>
        <v>5283.6811100000004</v>
      </c>
      <c r="I14" s="230">
        <f t="shared" si="0"/>
        <v>578591.15505539498</v>
      </c>
    </row>
    <row r="15" spans="2:9" x14ac:dyDescent="0.35">
      <c r="B15" s="229" t="s">
        <v>350</v>
      </c>
      <c r="C15" s="230">
        <f>('610'!C338+'610'!C392+'610'!C446+'610'!C500)/1000</f>
        <v>6194.9299099999998</v>
      </c>
      <c r="D15" s="230">
        <f>('610'!C14+'610'!C68+'610'!C122+'610'!C176+'610'!C230+'610'!C284)/1000</f>
        <v>7489.0670899999996</v>
      </c>
      <c r="E15" s="230">
        <f>('610'!C1149+'610'!C1203+'610'!C1365+'610'!C1473)*TC_MES/1000+'610'!C1635*TC_MES/1000</f>
        <v>4590.2656185699998</v>
      </c>
      <c r="F15" s="230">
        <f>('610'!C1257+'610'!C1311+'610'!C1419+'610'!C1527+'610'!C1581)*TC_MES/1000</f>
        <v>0</v>
      </c>
      <c r="G15" s="230">
        <f>('610'!C716+'610'!C770+'610'!C825+'610'!C879+'610'!C933)/1000</f>
        <v>6641.3359400000008</v>
      </c>
      <c r="H15" s="230">
        <f>('610'!C1041+'610'!C1095)/1000</f>
        <v>239.19353999999998</v>
      </c>
      <c r="I15" s="230">
        <f t="shared" si="0"/>
        <v>25154.79209857</v>
      </c>
    </row>
    <row r="16" spans="2:9" x14ac:dyDescent="0.35">
      <c r="B16" s="229" t="s">
        <v>351</v>
      </c>
      <c r="C16" s="230">
        <f>('610'!C339+'610'!C393+'610'!C447+'610'!C501)/1000</f>
        <v>7125.0570900000002</v>
      </c>
      <c r="D16" s="230">
        <f>('610'!C15+'610'!C69+'610'!C123+'610'!C177+'610'!C231+'610'!C285)/1000</f>
        <v>28292.928640000002</v>
      </c>
      <c r="E16" s="230">
        <f>('610'!C1150+'610'!C1204+'610'!C1366+'610'!C1474)*TC_MES/1000+'610'!C1636*TC_MES/1000</f>
        <v>0</v>
      </c>
      <c r="F16" s="230">
        <f>('610'!C1258+'610'!C1312+'610'!C1420+'610'!C1528+'610'!C1582)*TC_MES/1000</f>
        <v>0</v>
      </c>
      <c r="G16" s="230">
        <f>('610'!C717+'610'!C771+'610'!C826+'610'!C880+'610'!C934)/1000</f>
        <v>20115.301950000001</v>
      </c>
      <c r="H16" s="230">
        <f>('610'!C1042+'610'!C1096)/1000</f>
        <v>329.91926000000001</v>
      </c>
      <c r="I16" s="230">
        <f t="shared" si="0"/>
        <v>55863.206940000004</v>
      </c>
    </row>
    <row r="17" spans="2:12" x14ac:dyDescent="0.35">
      <c r="B17" s="229" t="s">
        <v>352</v>
      </c>
      <c r="C17" s="230">
        <f>('610'!C340+'610'!C394+'610'!C448+'610'!C502)/1000</f>
        <v>8148.8271099999993</v>
      </c>
      <c r="D17" s="230">
        <f>('610'!C16+'610'!C70+'610'!C124+'610'!C178+'610'!C232+'610'!C286)/1000</f>
        <v>38842.226219999997</v>
      </c>
      <c r="E17" s="230">
        <f>('610'!C1151+'610'!C1205+'610'!C1367+'610'!C1475)*TC_MES/1000+'610'!C1637*TC_MES/1000</f>
        <v>1127.65814237</v>
      </c>
      <c r="F17" s="230">
        <f>('610'!C1259+'610'!C1313+'610'!C1421+'610'!C1529+'610'!C1583)*TC_MES/1000</f>
        <v>0</v>
      </c>
      <c r="G17" s="230">
        <f>('610'!C718+'610'!C772+'610'!C827+'610'!C881+'610'!C935)/1000</f>
        <v>167443.49132</v>
      </c>
      <c r="H17" s="230">
        <f>('610'!C1043+'610'!C1097)/1000</f>
        <v>1624.1301899999999</v>
      </c>
      <c r="I17" s="230">
        <f t="shared" si="0"/>
        <v>217186.33298236999</v>
      </c>
    </row>
    <row r="18" spans="2:12" x14ac:dyDescent="0.35">
      <c r="B18" s="229" t="s">
        <v>353</v>
      </c>
      <c r="C18" s="230">
        <f>('610'!C341+'610'!C395+'610'!C449+'610'!C503)/1000</f>
        <v>9524.7842700000019</v>
      </c>
      <c r="D18" s="230">
        <f>('610'!C17+'610'!C71+'610'!C125+'610'!C179+'610'!C233+'610'!C287)/1000</f>
        <v>134193.70186999999</v>
      </c>
      <c r="E18" s="230">
        <f>('610'!C1152+'610'!C1206+'610'!C1368+'610'!C1476)*TC_MES/1000+'610'!C1638*TC_MES/1000</f>
        <v>108687.46135108502</v>
      </c>
      <c r="F18" s="230">
        <f>('610'!C1260+'610'!C1314+'610'!C1422+'610'!C1530+'610'!C1584)*TC_MES/1000</f>
        <v>41366.727934119997</v>
      </c>
      <c r="G18" s="230">
        <f>('610'!C719+'610'!C773+'610'!C828+'610'!C882+'610'!C936)/1000</f>
        <v>136288.10335999998</v>
      </c>
      <c r="H18" s="230">
        <f>('610'!C1044+'610'!C1098)/1000</f>
        <v>2174.8956400000002</v>
      </c>
      <c r="I18" s="230">
        <f t="shared" si="0"/>
        <v>432235.67442520498</v>
      </c>
      <c r="K18" t="s">
        <v>467</v>
      </c>
    </row>
    <row r="19" spans="2:12" x14ac:dyDescent="0.35">
      <c r="B19" s="229" t="s">
        <v>354</v>
      </c>
      <c r="C19" s="230">
        <f>('610'!C342+'610'!C396+'610'!C450+'610'!C504)/1000</f>
        <v>2881.6155100000001</v>
      </c>
      <c r="D19" s="230">
        <f>('610'!C18+'610'!C72+'610'!C126+'610'!C180+'610'!C234+'610'!C288)/1000</f>
        <v>0</v>
      </c>
      <c r="E19" s="230">
        <f>('610'!C1153+'610'!C1207+'610'!C1369+'610'!C1477)*TC_MES/1000+'610'!C1639*TC_MES/1000</f>
        <v>26188.846032845002</v>
      </c>
      <c r="F19" s="230">
        <f>('610'!C1261+'610'!C1315+'610'!C1423+'610'!C1531+'610'!C1585)*TC_MES/1000</f>
        <v>-93490.993695055004</v>
      </c>
      <c r="G19" s="230">
        <f>('610'!C720+'610'!C775+'610'!C829+'610'!C883+'610'!C937)/1000</f>
        <v>8177.8720800000001</v>
      </c>
      <c r="H19" s="230">
        <f>('610'!C1045+'610'!C1099)/1000</f>
        <v>0</v>
      </c>
      <c r="I19" s="230">
        <f t="shared" si="0"/>
        <v>-56242.660072209997</v>
      </c>
      <c r="K19" t="str">
        <f>'610'!B774</f>
        <v xml:space="preserve">Tanques Estacionarios                   </v>
      </c>
      <c r="L19">
        <f>'610'!A774</f>
        <v>175</v>
      </c>
    </row>
    <row r="20" spans="2:12" x14ac:dyDescent="0.35">
      <c r="B20" s="229" t="s">
        <v>355</v>
      </c>
      <c r="C20" s="230">
        <f>('610'!C343+'610'!C397+'610'!C451+'610'!C505)/1000</f>
        <v>-44936.8753</v>
      </c>
      <c r="D20" s="230">
        <f>('610'!C19+'610'!C73+'610'!C127+'610'!C181+'610'!C235+'610'!C289)/1000</f>
        <v>-161255.80025999999</v>
      </c>
      <c r="E20" s="230">
        <f>('610'!C1154+'610'!C1208+'610'!C1370+'610'!C1478)*TC_MES/1000+'610'!C1640*TC_MES/1000</f>
        <v>-155600.07024063001</v>
      </c>
      <c r="F20" s="230">
        <f>('610'!C1262+'610'!C1316+'610'!C1424+'610'!C1532+'610'!C1586)*TC_MES/1000</f>
        <v>-97068.570224010007</v>
      </c>
      <c r="G20" s="230">
        <f>('610'!C721+'610'!C776+'610'!C830+'610'!C884+'610'!C938)/1000</f>
        <v>-210243.39928000001</v>
      </c>
      <c r="H20" s="230">
        <f>('610'!C1046+'610'!C1100)/1000</f>
        <v>-2793.7259800000002</v>
      </c>
      <c r="I20" s="230">
        <f t="shared" si="0"/>
        <v>-671898.44128463999</v>
      </c>
    </row>
    <row r="21" spans="2:12" hidden="1" x14ac:dyDescent="0.35">
      <c r="B21" s="231" t="s">
        <v>356</v>
      </c>
      <c r="C21" s="232">
        <f>('610'!C344+'610'!C398+'610'!C452+'610'!C506)/1000</f>
        <v>20976.336180000002</v>
      </c>
      <c r="D21" s="232">
        <f>('610'!C20+'610'!C74+'610'!C128+'610'!C182+'610'!C236+'610'!C290)/1000</f>
        <v>141554.01376000003</v>
      </c>
      <c r="E21" s="232">
        <f>('610'!C1155+'610'!C1209+'610'!C1371+'610'!C1479)*TC_MES/1000+'610'!C1641*TC_MES/1000</f>
        <v>93582.734451929995</v>
      </c>
      <c r="F21" s="232">
        <f>('610'!C1263+'610'!C1317+'610'!C1425+'610'!C1533+'610'!C1587)*TC_MES/1000</f>
        <v>340674.38370596501</v>
      </c>
      <c r="G21" s="232">
        <f>('610'!C722+'610'!C777+'610'!C831+'610'!C885+'610'!C939+'610'!C993)/1000</f>
        <v>231582.27573999998</v>
      </c>
      <c r="H21" s="232">
        <f>('610'!C1047+'610'!C1101)/1000</f>
        <v>16424.841710000001</v>
      </c>
      <c r="I21" s="232">
        <f t="shared" si="0"/>
        <v>844794.58554789494</v>
      </c>
    </row>
    <row r="22" spans="2:12" hidden="1" x14ac:dyDescent="0.35">
      <c r="B22" s="231" t="s">
        <v>357</v>
      </c>
      <c r="C22" s="230">
        <f>('610'!C345+'610'!C399+'610'!C453+'610'!C507)/1000</f>
        <v>0</v>
      </c>
      <c r="D22" s="230">
        <f>('610'!C21+'610'!C75+'610'!C129+'610'!C183+'610'!C237+'610'!C291)/1000</f>
        <v>0</v>
      </c>
      <c r="E22" s="230">
        <f>('610'!C1156+'610'!C1210+'610'!C1372+'610'!C1480)*TC_MES/1000</f>
        <v>0</v>
      </c>
      <c r="F22" s="230">
        <f>('610'!C1264+'610'!C1318+'610'!C1426+'610'!C1534+'610'!C1588)*TC_MES/1000</f>
        <v>0</v>
      </c>
      <c r="G22" s="230">
        <f>('610'!C723+'610'!C778+'610'!C832+'610'!C886+'610'!C940+'610'!C994)/1000</f>
        <v>0</v>
      </c>
      <c r="H22" s="230">
        <f>('610'!C1048+'610'!C1102)/1000</f>
        <v>0</v>
      </c>
      <c r="I22" s="230">
        <f t="shared" si="0"/>
        <v>0</v>
      </c>
    </row>
    <row r="23" spans="2:12" x14ac:dyDescent="0.35">
      <c r="B23" s="229" t="s">
        <v>358</v>
      </c>
      <c r="C23" s="230">
        <f>('610'!C346+'610'!C400+'610'!C454+'610'!C508)/1000</f>
        <v>10991.3</v>
      </c>
      <c r="D23" s="230">
        <f>('610'!C22+'610'!C76+'610'!C130+'610'!C184+'610'!C238+'610'!C292)/1000</f>
        <v>23707.768599999999</v>
      </c>
      <c r="E23" s="230">
        <f>('610'!C1157+'610'!C1211+'610'!C1373+'610'!C1481)*TC_MES/1000+'610'!C1643*TC_MES/1000+('610'!C1158+'610'!C1212+'610'!C1374+'610'!C1482)*TC_MES/1000+'610'!C1644*TC_MES/1000</f>
        <v>46246.285732435004</v>
      </c>
      <c r="F23" s="230">
        <f>('610'!C1265+'610'!C1319+'610'!C1427+'610'!C1535+'610'!C1589)*TC_MES/1000+('610'!C1266+'610'!C1320+'610'!C1428+'610'!C1536+'610'!C1590)*TC_MES/1000</f>
        <v>-95051.120577499998</v>
      </c>
      <c r="G23" s="230">
        <f>('610'!C724+'610'!C779+'610'!C833+'610'!C887+'610'!C941)/1000</f>
        <v>798.20985000000007</v>
      </c>
      <c r="H23" s="230">
        <f>('610'!C1049+'610'!C1103)/1000</f>
        <v>25.658660000000001</v>
      </c>
      <c r="I23" s="230">
        <f t="shared" si="0"/>
        <v>-13281.897735064997</v>
      </c>
    </row>
    <row r="24" spans="2:12" x14ac:dyDescent="0.35">
      <c r="B24" s="229" t="s">
        <v>359</v>
      </c>
      <c r="C24" s="230">
        <f>('610'!C347+'610'!C401+'610'!C455+'610'!C509)/1000</f>
        <v>0</v>
      </c>
      <c r="D24" s="230">
        <f>('610'!C23+'610'!C77+'610'!C131+'610'!C185+'610'!C239+'610'!C293)/1000</f>
        <v>62886.10385</v>
      </c>
      <c r="E24" s="230">
        <v>0</v>
      </c>
      <c r="F24" s="230">
        <v>0</v>
      </c>
      <c r="G24" s="230">
        <f>('610'!C725+'610'!C780+'610'!C834+'610'!C888+'610'!C942+'610'!C996)/1000</f>
        <v>9827.3822</v>
      </c>
      <c r="H24" s="230">
        <f>('610'!C1050+'610'!C1104)/1000</f>
        <v>35621.11924</v>
      </c>
      <c r="I24" s="230">
        <f t="shared" si="0"/>
        <v>108334.60529000001</v>
      </c>
    </row>
    <row r="25" spans="2:12" x14ac:dyDescent="0.35">
      <c r="B25" s="229" t="s">
        <v>360</v>
      </c>
      <c r="C25" s="230">
        <f>('610'!C348+'610'!C402+'610'!C456+'610'!C510)/1000</f>
        <v>-4938.75</v>
      </c>
      <c r="D25" s="230">
        <f>('610'!C24+'610'!C78+'610'!C132+'610'!C186+'610'!C240+'610'!C294)/1000</f>
        <v>-24465.73747</v>
      </c>
      <c r="E25" s="230">
        <f>('610'!C1159+'610'!C1213+'610'!C1375+'610'!C1483)*TC_MES/1000+'610'!C1645*TC_MES/1000</f>
        <v>-57904.205188125001</v>
      </c>
      <c r="F25" s="230">
        <f>('610'!C1267+'610'!C1321+'610'!C1429+'610'!C1537+'610'!C1591)*TC_MES/1000</f>
        <v>-1399.2470942000002</v>
      </c>
      <c r="G25" s="230">
        <f>('610'!C726+'610'!C781+'610'!C835+'610'!C889+'610'!C943)/1000</f>
        <v>0</v>
      </c>
      <c r="H25" s="230">
        <f>('610'!C1051+'610'!C1105)/1000</f>
        <v>0</v>
      </c>
      <c r="I25" s="230">
        <f t="shared" si="0"/>
        <v>-88707.939752325008</v>
      </c>
    </row>
    <row r="26" spans="2:12" x14ac:dyDescent="0.35">
      <c r="B26" s="231" t="s">
        <v>361</v>
      </c>
      <c r="C26" s="233">
        <f>('610'!C349+'610'!C403+'610'!C457+'610'!C511)/1000</f>
        <v>6052.55</v>
      </c>
      <c r="D26" s="233">
        <f>('610'!C25+'610'!C79+'610'!C133+'610'!C187+'610'!C241+'610'!C295)/1000</f>
        <v>62128.134979999995</v>
      </c>
      <c r="E26" s="233">
        <f>('610'!C1160+'610'!C1214+'610'!C1376+'610'!C1484)*TC_MES/1000+'610'!C1646*TC_MES/1000</f>
        <v>-11657.919455689997</v>
      </c>
      <c r="F26" s="233">
        <f>('610'!C1268+'610'!C1322+'610'!C1430+'610'!C1538+'610'!C1592)*TC_MES/1000</f>
        <v>-96450.367671700005</v>
      </c>
      <c r="G26" s="233">
        <f>('610'!C727+'610'!C782+'610'!C836+'610'!C890+'610'!C944)/1000</f>
        <v>10625.592050000001</v>
      </c>
      <c r="H26" s="233">
        <f>('610'!C1052+'610'!C1106)/1000</f>
        <v>35646.777900000001</v>
      </c>
      <c r="I26" s="233">
        <f t="shared" si="0"/>
        <v>6344.7678026099893</v>
      </c>
    </row>
    <row r="27" spans="2:12" x14ac:dyDescent="0.35">
      <c r="B27" s="231" t="s">
        <v>362</v>
      </c>
      <c r="C27" s="230"/>
      <c r="D27" s="230"/>
      <c r="E27" s="230"/>
      <c r="F27" s="230"/>
      <c r="G27" s="230"/>
      <c r="H27" s="230"/>
      <c r="I27" s="230"/>
    </row>
    <row r="28" spans="2:12" x14ac:dyDescent="0.35">
      <c r="B28" s="229" t="s">
        <v>363</v>
      </c>
      <c r="C28" s="234">
        <f>('610'!C351+'610'!C405+'610'!C459+'610'!C513)/1000</f>
        <v>0</v>
      </c>
      <c r="D28" s="234">
        <f>('610'!C27+'610'!C81+'610'!C135+'610'!C189+'610'!C243+'610'!C297)/1000</f>
        <v>0</v>
      </c>
      <c r="E28" s="234">
        <f>('610'!C1162+'610'!C1216+'610'!C1378+'610'!C1486)*TC_MES/1000+'610'!C1648*TC_MES/1000</f>
        <v>3466.0951543850001</v>
      </c>
      <c r="F28" s="234">
        <f>('610'!C1270+'610'!C1324+'610'!C1432+'610'!C1540+'610'!C1594)*TC_MES/1000</f>
        <v>197.345</v>
      </c>
      <c r="G28" s="234">
        <f>('610'!C729+'610'!C784+'610'!C838+'610'!C892+'610'!C946)/1000</f>
        <v>1182.1371900000001</v>
      </c>
      <c r="H28" s="234">
        <f>('610'!C1054+'610'!C1108)/1000</f>
        <v>0</v>
      </c>
      <c r="I28" s="234">
        <f t="shared" si="0"/>
        <v>4845.5773443850003</v>
      </c>
    </row>
    <row r="29" spans="2:12" x14ac:dyDescent="0.35">
      <c r="B29" s="235" t="s">
        <v>364</v>
      </c>
      <c r="C29" s="232">
        <f>SUM(C13,C14,C15,C16,C17,C18,C19,C20,C23,C24,C25,C28)</f>
        <v>27028.886179999998</v>
      </c>
      <c r="D29" s="232">
        <f t="shared" ref="D29:H29" si="3">SUM(D13,D14,D15,D16,D17,D18,D19,D20,D23,D24,D25,D28)</f>
        <v>203682.14874000003</v>
      </c>
      <c r="E29" s="232">
        <f t="shared" si="3"/>
        <v>85390.910150625015</v>
      </c>
      <c r="F29" s="232">
        <f t="shared" si="3"/>
        <v>244421.36103426502</v>
      </c>
      <c r="G29" s="232">
        <f t="shared" si="3"/>
        <v>234495.08959999995</v>
      </c>
      <c r="H29" s="232">
        <f t="shared" si="3"/>
        <v>52071.619610000002</v>
      </c>
      <c r="I29" s="232">
        <f>SUM(I13,I14,I15,I16,I17,I18,I19,I20,I23,I24,I25,I28)</f>
        <v>847090.01531489007</v>
      </c>
    </row>
    <row r="30" spans="2:12" x14ac:dyDescent="0.35">
      <c r="B30" s="236" t="s">
        <v>365</v>
      </c>
      <c r="C30" s="237">
        <f>C11+C29</f>
        <v>155705.11671999999</v>
      </c>
      <c r="D30" s="237">
        <f t="shared" ref="D30:I30" si="4">D11+D29</f>
        <v>430843.16953000001</v>
      </c>
      <c r="E30" s="237">
        <f t="shared" si="4"/>
        <v>116204.74722027502</v>
      </c>
      <c r="F30" s="237">
        <f t="shared" si="4"/>
        <v>392744.97734990501</v>
      </c>
      <c r="G30" s="237">
        <f t="shared" si="4"/>
        <v>529384.23138000001</v>
      </c>
      <c r="H30" s="237">
        <f t="shared" si="4"/>
        <v>395435.46594999998</v>
      </c>
      <c r="I30" s="237">
        <f t="shared" si="4"/>
        <v>2020317.7081501801</v>
      </c>
    </row>
    <row r="31" spans="2:12" ht="9.5" customHeight="1" x14ac:dyDescent="0.35">
      <c r="B31" s="26"/>
      <c r="C31" s="238"/>
      <c r="D31" s="238"/>
      <c r="E31" s="238"/>
      <c r="F31" s="238"/>
      <c r="G31" s="238"/>
      <c r="H31" s="238"/>
      <c r="I31" s="238"/>
    </row>
    <row r="32" spans="2:12" x14ac:dyDescent="0.35">
      <c r="B32" s="26"/>
      <c r="C32" s="239" t="s">
        <v>25</v>
      </c>
      <c r="D32" s="239" t="s">
        <v>26</v>
      </c>
      <c r="E32" s="239" t="s">
        <v>27</v>
      </c>
      <c r="F32" s="239" t="s">
        <v>28</v>
      </c>
      <c r="G32" s="239" t="s">
        <v>29</v>
      </c>
      <c r="H32" s="239" t="s">
        <v>30</v>
      </c>
      <c r="I32" s="239" t="s">
        <v>31</v>
      </c>
    </row>
    <row r="33" spans="2:9" x14ac:dyDescent="0.35">
      <c r="B33" s="227" t="s">
        <v>366</v>
      </c>
      <c r="C33" s="228"/>
      <c r="D33" s="228"/>
      <c r="E33" s="228"/>
      <c r="F33" s="228"/>
      <c r="G33" s="228"/>
      <c r="H33" s="228"/>
      <c r="I33" s="228"/>
    </row>
    <row r="34" spans="2:9" x14ac:dyDescent="0.35">
      <c r="B34" s="229" t="s">
        <v>367</v>
      </c>
      <c r="C34" s="304">
        <f>('610'!C355+'610'!C409+'610'!C463+'610'!C517)/1000</f>
        <v>48050.826439999997</v>
      </c>
      <c r="D34" s="230">
        <f>('610'!C31+'610'!C85+'610'!C139+'610'!C193+'610'!C247+'610'!C301)/1000</f>
        <v>11827.278830000001</v>
      </c>
      <c r="E34" s="230">
        <f>('610'!C1166+'610'!C1220+'610'!C1382+'610'!C1490)*TC_MES/1000+'610'!C1652*TC_MES/1000</f>
        <v>1856.1945080750002</v>
      </c>
      <c r="F34" s="230">
        <f>('610'!C1274+'610'!C1328+'610'!C1436+'610'!C1544+'610'!C1598)*TC_MES/1000</f>
        <v>1479.3087766300002</v>
      </c>
      <c r="G34" s="230">
        <f>('610'!C733+'610'!C788+'610'!C842+'610'!C896+'610'!C950)/1000</f>
        <v>68050.889939999994</v>
      </c>
      <c r="H34" s="230">
        <f>('610'!C1058+'610'!C1112)/1000</f>
        <v>397.23840999999999</v>
      </c>
      <c r="I34" s="230">
        <f t="shared" ref="I34:I57" si="5">SUM(C34,D34,E34,F34,G34,H34)</f>
        <v>131661.736904705</v>
      </c>
    </row>
    <row r="35" spans="2:9" x14ac:dyDescent="0.35">
      <c r="B35" s="229" t="s">
        <v>368</v>
      </c>
      <c r="C35" s="304">
        <f>('610'!C356+'610'!C410+'610'!C464+'610'!C518)/1000</f>
        <v>42858.473769999997</v>
      </c>
      <c r="D35" s="230">
        <f>('610'!C32+'610'!C86+'610'!C140+'610'!C194+'610'!C248+'610'!C302)/1000</f>
        <v>88571.216059999992</v>
      </c>
      <c r="E35" s="230">
        <f>('610'!C1167+'610'!C1221+'610'!C1383+'610'!C1491)*TC_MES/1000+'610'!C1653*TC_MES/1000</f>
        <v>4529.4798063600001</v>
      </c>
      <c r="F35" s="230">
        <f>('610'!C1275+'610'!C1329+'610'!C1437+'610'!C1545+'610'!C1599)*TC_MES/1000</f>
        <v>524.56688874500003</v>
      </c>
      <c r="G35" s="230">
        <f>('610'!C734+'610'!C789+'610'!C843+'610'!C897+'610'!C951)/1000</f>
        <v>50708.368109999989</v>
      </c>
      <c r="H35" s="230">
        <f>('610'!C1059+'610'!C1113)/1000</f>
        <v>9833.2670600000001</v>
      </c>
      <c r="I35" s="230">
        <f t="shared" si="5"/>
        <v>197025.37169510499</v>
      </c>
    </row>
    <row r="36" spans="2:9" x14ac:dyDescent="0.35">
      <c r="B36" s="229" t="s">
        <v>369</v>
      </c>
      <c r="C36" s="230">
        <f>('610'!C357+'610'!C411+'610'!C465+'610'!C519)/1000</f>
        <v>0.40531</v>
      </c>
      <c r="D36" s="230">
        <f>('610'!C33+'610'!C87+'610'!C141+'610'!C195+'610'!C249+'610'!C303)/1000</f>
        <v>0</v>
      </c>
      <c r="E36" s="230">
        <f>('610'!C1168+'610'!C1222+'610'!C1384+'610'!C1492)*TC_MES/1000+'610'!C1654*TC_MES/1000</f>
        <v>0</v>
      </c>
      <c r="F36" s="230">
        <f>('610'!C1276+'610'!C1330+'610'!C1438+'610'!C1546+'610'!C1600)*TC_MES/1000</f>
        <v>0</v>
      </c>
      <c r="G36" s="230">
        <f>('610'!C735+'610'!C790+'610'!C844+'610'!C898+'610'!C952)/1000</f>
        <v>2724.5632300000002</v>
      </c>
      <c r="H36" s="230">
        <f>('610'!C1060+'610'!C1114)/1000</f>
        <v>0</v>
      </c>
      <c r="I36" s="230">
        <f t="shared" si="5"/>
        <v>2724.9685400000003</v>
      </c>
    </row>
    <row r="37" spans="2:9" x14ac:dyDescent="0.35">
      <c r="B37" s="229" t="s">
        <v>370</v>
      </c>
      <c r="C37" s="230">
        <f>('610'!C358+'610'!C412+'610'!C466+'610'!C520)/1000</f>
        <v>7969.0567599999995</v>
      </c>
      <c r="D37" s="230">
        <f>('610'!C34+'610'!C88+'610'!C142+'610'!C196+'610'!C250+'610'!C304)/1000</f>
        <v>77202.6777</v>
      </c>
      <c r="E37" s="230">
        <f>('610'!C1169+'610'!C1223+'610'!C1385+'610'!C1493)*TC_MES/1000+'610'!C1655*TC_MES/1000</f>
        <v>2400.860393035</v>
      </c>
      <c r="F37" s="230">
        <f>('610'!C1277+'610'!C1331+'610'!C1439+'610'!C1547+'610'!C1601)*TC_MES/1000</f>
        <v>215.77011592500006</v>
      </c>
      <c r="G37" s="230">
        <f>('610'!C736+'610'!C791+'610'!C845+'610'!C899+'610'!C953)/1000</f>
        <v>26277.542380000003</v>
      </c>
      <c r="H37" s="230">
        <f>('610'!C1061+'610'!C1115)/1000</f>
        <v>3574.2506600000002</v>
      </c>
      <c r="I37" s="230">
        <f t="shared" si="5"/>
        <v>117640.15800896</v>
      </c>
    </row>
    <row r="38" spans="2:9" x14ac:dyDescent="0.35">
      <c r="B38" s="229" t="s">
        <v>371</v>
      </c>
      <c r="C38" s="230">
        <f>('610'!C359+'610'!C413+'610'!C467+'610'!C521)/1000</f>
        <v>910.06756000000007</v>
      </c>
      <c r="D38" s="230">
        <f>('610'!C35+'610'!C89+'610'!C143+'610'!C197+'610'!C251+'610'!C305)/1000</f>
        <v>0</v>
      </c>
      <c r="E38" s="230">
        <f>('610'!C1170+'610'!C1224+'610'!C1386+'610'!C1494)*TC_MES/1000+'610'!C1656*TC_MES/1000</f>
        <v>0</v>
      </c>
      <c r="F38" s="230">
        <f>('610'!C1278+'610'!C1332+'610'!C1440+'610'!C1548+'610'!C1602)*TC_MES/1000</f>
        <v>15865.554629865002</v>
      </c>
      <c r="G38" s="230">
        <f>('610'!C737+'610'!C792+'610'!C846+'610'!C900+'610'!C954)/1000</f>
        <v>0</v>
      </c>
      <c r="H38" s="230">
        <f>('610'!C1062+'610'!C1116)/1000</f>
        <v>0</v>
      </c>
      <c r="I38" s="230">
        <f t="shared" si="5"/>
        <v>16775.622189865004</v>
      </c>
    </row>
    <row r="39" spans="2:9" x14ac:dyDescent="0.35">
      <c r="B39" s="231" t="s">
        <v>372</v>
      </c>
      <c r="C39" s="232">
        <f>SUM(C34,C35,C36,C37,C38)</f>
        <v>99788.829839999991</v>
      </c>
      <c r="D39" s="232">
        <f t="shared" ref="D39:I39" si="6">SUM(D34,D35,D36,D37,D38)</f>
        <v>177601.17258999997</v>
      </c>
      <c r="E39" s="232">
        <f t="shared" si="6"/>
        <v>8786.5347074700003</v>
      </c>
      <c r="F39" s="232">
        <f t="shared" si="6"/>
        <v>18085.200411165002</v>
      </c>
      <c r="G39" s="232">
        <f t="shared" si="6"/>
        <v>147761.36365999997</v>
      </c>
      <c r="H39" s="232">
        <f t="shared" si="6"/>
        <v>13804.75613</v>
      </c>
      <c r="I39" s="232">
        <f t="shared" si="6"/>
        <v>465827.85733863496</v>
      </c>
    </row>
    <row r="40" spans="2:9" x14ac:dyDescent="0.35">
      <c r="B40" s="231" t="s">
        <v>373</v>
      </c>
      <c r="C40" s="230">
        <f>('610'!C361+'610'!C415+'610'!C469+'610'!C523)/1000</f>
        <v>0</v>
      </c>
      <c r="D40" s="230">
        <f>('610'!C37+'610'!C91+'610'!C145+'610'!C199+'610'!C253+'610'!C307)/1000</f>
        <v>0</v>
      </c>
      <c r="E40" s="230">
        <f>('610'!C1172+'610'!C1226+'610'!C1388+'610'!C1496)*TC_MES/1000</f>
        <v>0</v>
      </c>
      <c r="F40" s="230">
        <f>('610'!C1280+'610'!C1334+'610'!C1442+'610'!C1550+'610'!C1604)*TC_MES/1000</f>
        <v>0</v>
      </c>
      <c r="G40" s="230">
        <f>('610'!C739+'610'!C794+'610'!C848+'610'!C902+'610'!C956)/1000</f>
        <v>0</v>
      </c>
      <c r="H40" s="230">
        <f>('610'!C1064+'610'!C1118)/1000</f>
        <v>0</v>
      </c>
      <c r="I40" s="230">
        <f t="shared" si="5"/>
        <v>0</v>
      </c>
    </row>
    <row r="41" spans="2:9" x14ac:dyDescent="0.35">
      <c r="B41" s="229" t="s">
        <v>374</v>
      </c>
      <c r="C41" s="230">
        <f>('610'!C362+'610'!C416+'610'!C470+'610'!C524)/1000</f>
        <v>11423.599679999999</v>
      </c>
      <c r="D41" s="230">
        <f>('610'!C38+'610'!C92+'610'!C146+'610'!C200+'610'!C254+'610'!C308)/1000</f>
        <v>0</v>
      </c>
      <c r="E41" s="230"/>
      <c r="F41" s="230">
        <f>('610'!C1281+'610'!C1335+'610'!C1443+'610'!C1551+'610'!C1605)*TC_MES/1000</f>
        <v>15865.554629865002</v>
      </c>
      <c r="G41" s="230">
        <f>('610'!C740+'610'!C795+'610'!C849+'610'!C903+'610'!C957)/1000</f>
        <v>574.07482000000005</v>
      </c>
      <c r="H41" s="230">
        <f>('610'!C1065+'610'!C1119)/1000</f>
        <v>0</v>
      </c>
      <c r="I41" s="230">
        <f t="shared" si="5"/>
        <v>27863.229129865002</v>
      </c>
    </row>
    <row r="42" spans="2:9" x14ac:dyDescent="0.35">
      <c r="B42" s="229" t="s">
        <v>375</v>
      </c>
      <c r="C42" s="230">
        <f>('610'!C363+'610'!C417+'610'!C471+'610'!C525)/1000</f>
        <v>0</v>
      </c>
      <c r="D42" s="230">
        <f>('610'!C39+'610'!C93+'610'!C147+'610'!C201+'610'!C255+'610'!C309)/1000</f>
        <v>11687.98432</v>
      </c>
      <c r="E42" s="230">
        <f>('610'!C1174+'610'!C1228+'610'!C1390+'610'!C1498)*TC_MES/1000+'610'!C1660*TC_MES/1000</f>
        <v>34001.587560820008</v>
      </c>
      <c r="F42" s="230">
        <f>('610'!C1282+'610'!C1336+'610'!C1444+'610'!C1552+'610'!C1606)*TC_MES/1000</f>
        <v>179198.35523635999</v>
      </c>
      <c r="G42" s="230">
        <f>('610'!C741+'610'!C796+'610'!C850+'610'!C904+'610'!C958)/1000</f>
        <v>85398.17134999999</v>
      </c>
      <c r="H42" s="230">
        <f>('610'!C1066+'610'!C1120)/1000</f>
        <v>-2.0000000000000002E-5</v>
      </c>
      <c r="I42" s="230">
        <f t="shared" si="5"/>
        <v>310286.09844718</v>
      </c>
    </row>
    <row r="43" spans="2:9" x14ac:dyDescent="0.35">
      <c r="B43" s="229" t="s">
        <v>376</v>
      </c>
      <c r="C43" s="230">
        <f>('610'!C364+'610'!C418+'610'!C472+'610'!C526)/1000</f>
        <v>0</v>
      </c>
      <c r="D43" s="230">
        <f>('610'!C40+'610'!C94+'610'!C148+'610'!C202+'610'!C256+'610'!C310)/1000</f>
        <v>-477.59335999999996</v>
      </c>
      <c r="E43" s="230">
        <f>('610'!C1175+ '610'!C1173+'610'!C1229+ '610'!C1227+'610'!C1391+ '610'!C1389+'610'!C1499+ '610'!C1497)*TC_MES/1000+('610'!C1659+'610'!C1661)*TC_MES/1000</f>
        <v>277797.83087663003</v>
      </c>
      <c r="F43" s="230">
        <f>('610'!C1283+'610'!C1281+'610'!C1337+'610'!C1335+'610'!C1445+'610'!C1443+'610'!C1553+'610'!C1551+'610'!C1607+'610'!C1605)*TC_MES/1000</f>
        <v>15865.554629865002</v>
      </c>
      <c r="G43" s="230">
        <f>('610'!C742+'610'!C797+'610'!C851+'610'!C905+'610'!C959)/1000</f>
        <v>1002.7011</v>
      </c>
      <c r="H43" s="230">
        <f>('610'!C1067+'610'!C1121)/1000</f>
        <v>0</v>
      </c>
      <c r="I43" s="230">
        <f t="shared" si="5"/>
        <v>294188.49324649503</v>
      </c>
    </row>
    <row r="44" spans="2:9" hidden="1" x14ac:dyDescent="0.35">
      <c r="B44" s="231" t="s">
        <v>377</v>
      </c>
      <c r="C44" s="232">
        <f>('610'!C365+'610'!C419+'610'!C473+'610'!C527)/1000</f>
        <v>11423.599679999999</v>
      </c>
      <c r="D44" s="232">
        <f>('610'!C41+'610'!C95+'610'!C149+'610'!C203+'610'!C257+'610'!C311)/1000</f>
        <v>11210.390960000001</v>
      </c>
      <c r="E44" s="232">
        <f>('610'!C1176+'610'!C1230+'610'!C1392+'610'!C1500)*TC_MES/1000+'610'!C1662*TC_MES/1000</f>
        <v>311799.41843744996</v>
      </c>
      <c r="F44" s="232">
        <f>('610'!C1284+'610'!C1338+'610'!C1446+'610'!C1554+'610'!C1608)*TC_MES/1000</f>
        <v>195063.90986622503</v>
      </c>
      <c r="G44" s="232">
        <f>'610'!C743+'610'!C798+'610'!C852+'610'!C906+'610'!C960+'610'!C1014</f>
        <v>86974947.269999996</v>
      </c>
      <c r="H44" s="232">
        <f>('610'!C1068+'610'!C1122)/1000</f>
        <v>-2.0000000000000002E-5</v>
      </c>
      <c r="I44" s="232">
        <f t="shared" si="5"/>
        <v>87504444.588923678</v>
      </c>
    </row>
    <row r="45" spans="2:9" hidden="1" x14ac:dyDescent="0.35">
      <c r="B45" s="231" t="s">
        <v>378</v>
      </c>
      <c r="C45" s="230">
        <f>('610'!C366+'610'!C420+'610'!C474+'610'!C528)/1000</f>
        <v>0</v>
      </c>
      <c r="D45" s="230">
        <f>('610'!C42+'610'!C96+'610'!C150+'610'!C204+'610'!C258+'610'!C312)/1000</f>
        <v>0</v>
      </c>
      <c r="E45" s="230">
        <f>('610'!C1177+'610'!C1231+'610'!C1393+'610'!C1501)*TC_MES/1000+'610'!C1663*TC_MES/1000</f>
        <v>0</v>
      </c>
      <c r="F45" s="230">
        <f>('610'!C1285+'610'!C1339+'610'!C1447+'610'!C1555+'610'!C1609)*TC_MES/1000</f>
        <v>0</v>
      </c>
      <c r="G45" s="230">
        <f>'610'!C744+'610'!C799+'610'!C853+'610'!C907+'610'!C961+'610'!C1015</f>
        <v>0</v>
      </c>
      <c r="H45" s="230">
        <f>('610'!C1069+'610'!C1123)/1000</f>
        <v>0</v>
      </c>
      <c r="I45" s="230">
        <f t="shared" si="5"/>
        <v>0</v>
      </c>
    </row>
    <row r="46" spans="2:9" x14ac:dyDescent="0.35">
      <c r="B46" s="229" t="s">
        <v>379</v>
      </c>
      <c r="C46" s="230">
        <f>('610'!C367+'610'!C421+'610'!C475+'610'!C529)/1000</f>
        <v>0</v>
      </c>
      <c r="D46" s="230">
        <f>('610'!C43+'610'!C97+'610'!C151+'610'!C205+'610'!C259+'610'!C313)/1000</f>
        <v>0</v>
      </c>
      <c r="E46" s="230">
        <f>('610'!C1178+'610'!C1232+'610'!C1394+'610'!C1502)*TC_MES/1000+'610'!C1664*TC_MES/1000</f>
        <v>0</v>
      </c>
      <c r="F46" s="230">
        <f>('610'!C1286+'610'!C1340+'610'!C1448+'610'!C1556+'610'!C1610)*TC_MES/1000</f>
        <v>0</v>
      </c>
      <c r="G46" s="230">
        <f>('610'!C745+'610'!C800+'610'!C854+'610'!C908+'610'!C962)/1000</f>
        <v>0</v>
      </c>
      <c r="H46" s="230">
        <f>('610'!C1070+'610'!C1124)/1000</f>
        <v>56449.354350000001</v>
      </c>
      <c r="I46" s="230">
        <f t="shared" si="5"/>
        <v>56449.354350000001</v>
      </c>
    </row>
    <row r="47" spans="2:9" x14ac:dyDescent="0.35">
      <c r="B47" s="231" t="s">
        <v>380</v>
      </c>
      <c r="C47" s="232">
        <f>SUM(C41,C42,C43,C46)</f>
        <v>11423.599679999999</v>
      </c>
      <c r="D47" s="232">
        <f t="shared" ref="D47:I47" si="7">SUM(D41,D42,D43,D46)</f>
        <v>11210.390959999999</v>
      </c>
      <c r="E47" s="232">
        <f t="shared" si="7"/>
        <v>311799.41843745002</v>
      </c>
      <c r="F47" s="232">
        <f t="shared" si="7"/>
        <v>210929.46449609002</v>
      </c>
      <c r="G47" s="232">
        <f t="shared" si="7"/>
        <v>86974.94726999999</v>
      </c>
      <c r="H47" s="232">
        <f t="shared" si="7"/>
        <v>56449.354330000002</v>
      </c>
      <c r="I47" s="232">
        <f t="shared" si="7"/>
        <v>688787.17517354002</v>
      </c>
    </row>
    <row r="48" spans="2:9" x14ac:dyDescent="0.35">
      <c r="B48" s="231" t="s">
        <v>381</v>
      </c>
      <c r="C48" s="230"/>
      <c r="D48" s="230"/>
      <c r="E48" s="230"/>
      <c r="F48" s="230"/>
      <c r="G48" s="230"/>
      <c r="H48" s="230"/>
      <c r="I48" s="230"/>
    </row>
    <row r="49" spans="2:9" x14ac:dyDescent="0.35">
      <c r="B49" s="229" t="s">
        <v>382</v>
      </c>
      <c r="C49" s="230">
        <f>('610'!C370+'610'!C424+'610'!C478+'610'!C532)/1000</f>
        <v>203062.56483000002</v>
      </c>
      <c r="D49" s="230">
        <f>('610'!C46+'610'!C100+'610'!C154+'610'!C208+'610'!C262+'610'!C316)/1000</f>
        <v>93696.804669999998</v>
      </c>
      <c r="E49" s="230">
        <f>('610'!C1181+'610'!C1235+'610'!C1397+'610'!C1505)*TC_MES/1000+'610'!C1667*TC_MES/1000</f>
        <v>118.40700000000001</v>
      </c>
      <c r="F49" s="230">
        <f>('610'!C1289+'610'!C1343+'610'!C1451+'610'!C1559+'610'!C1613)*TC_MES/1000</f>
        <v>54552.917460940007</v>
      </c>
      <c r="G49" s="230">
        <f>('610'!C748+'610'!C803+'610'!C857+'610'!C911+'610'!C965)/1000</f>
        <v>139723.71555000002</v>
      </c>
      <c r="H49" s="230">
        <f>('610'!C1073+'610'!C1127)/1000</f>
        <v>52378.383580000002</v>
      </c>
      <c r="I49" s="230">
        <f t="shared" si="5"/>
        <v>543532.7930909401</v>
      </c>
    </row>
    <row r="50" spans="2:9" x14ac:dyDescent="0.35">
      <c r="B50" s="229" t="s">
        <v>383</v>
      </c>
      <c r="C50" s="230">
        <f>('610'!C371+'610'!C425+'610'!C479+'610'!C533)/1000</f>
        <v>93.953630000000004</v>
      </c>
      <c r="D50" s="230">
        <f>('610'!C47+'610'!C101+'610'!C155+'610'!C209+'610'!C263+'610'!C317)/1000</f>
        <v>1680.18767</v>
      </c>
      <c r="E50" s="230">
        <f>('610'!C1182+'610'!C1236+'610'!C1398+'610'!C1506)*TC_MES/1000+'610'!C1668*TC_MES/1000</f>
        <v>0</v>
      </c>
      <c r="F50" s="230">
        <f>('610'!C1290+'610'!C1344+'610'!C1452+'610'!C1560+'610'!C1614)*TC_MES/1000</f>
        <v>986.72500000000002</v>
      </c>
      <c r="G50" s="230">
        <f>('610'!C749+'610'!C804+'610'!C858+'610'!C912+'610'!C966)/1000</f>
        <v>9050.2777099999985</v>
      </c>
      <c r="H50" s="230">
        <f>('610'!C1074+'610'!C1128)/1000</f>
        <v>1426.49575</v>
      </c>
      <c r="I50" s="230">
        <f t="shared" si="5"/>
        <v>13237.639759999998</v>
      </c>
    </row>
    <row r="51" spans="2:9" x14ac:dyDescent="0.35">
      <c r="B51" s="229" t="s">
        <v>384</v>
      </c>
      <c r="C51" s="230">
        <f>('610'!C372+'610'!C426+'610'!C480+'610'!C534)/1000</f>
        <v>-146611.44168000005</v>
      </c>
      <c r="D51" s="230">
        <f>('610'!C48+'610'!C102+'610'!C156+'610'!C210+'610'!C264+'610'!C318)/1000</f>
        <v>129356.21640999999</v>
      </c>
      <c r="E51" s="230">
        <f>('610'!C1183+'610'!C1237+'610'!C1399+'610'!C1507)*TC_MES/1000+'610'!C1669*TC_MES/1000</f>
        <v>-279293.14038586</v>
      </c>
      <c r="F51" s="230">
        <f>('610'!C1291+'610'!C1345+'610'!C1453+'610'!C1561+'610'!C1615)*TC_MES/1000</f>
        <v>95083.27715586999</v>
      </c>
      <c r="G51" s="230">
        <f>('610'!C750+'610'!C805+'610'!C859+'610'!C913+'610'!C967)/1000</f>
        <v>68659.95812000001</v>
      </c>
      <c r="H51" s="230">
        <f>('610'!C1075+'610'!C1129)/1000</f>
        <v>253966.17745999998</v>
      </c>
      <c r="I51" s="230">
        <f t="shared" si="5"/>
        <v>121161.04708000994</v>
      </c>
    </row>
    <row r="52" spans="2:9" x14ac:dyDescent="0.35">
      <c r="B52" s="229" t="s">
        <v>385</v>
      </c>
      <c r="C52" s="230">
        <f>('610'!C373+'610'!C427+'610'!C481+'610'!C535)/1000</f>
        <v>-12052.389580000001</v>
      </c>
      <c r="D52" s="230">
        <f>('610'!C49+'610'!C103+'610'!C157+'610'!C211+'610'!C265+'610'!C319)/1000</f>
        <v>32018.144680000005</v>
      </c>
      <c r="E52" s="230">
        <f>('610'!C1184+'610'!C1238+'610'!C1400+'610'!C1508)*TC_MES/1000+'610'!C1670*TC_MES/1000</f>
        <v>-4109.8884195700002</v>
      </c>
      <c r="F52" s="230">
        <f>('610'!C1292+'610'!C1346+'610'!C1454+'610'!C1562+'610'!C1616)*TC_MES/1000</f>
        <v>16609.372405644997</v>
      </c>
      <c r="G52" s="230">
        <f>('610'!C751+'610'!C806+'610'!C860+'610'!C914+'610'!C968)/1000</f>
        <v>69772.488900000011</v>
      </c>
      <c r="H52" s="230">
        <f>('610'!C1076+'610'!C1130)/1000</f>
        <v>17451.39084</v>
      </c>
      <c r="I52" s="230">
        <f t="shared" si="5"/>
        <v>119689.11882607502</v>
      </c>
    </row>
    <row r="53" spans="2:9" x14ac:dyDescent="0.35">
      <c r="B53" s="229" t="s">
        <v>386</v>
      </c>
      <c r="C53" s="230">
        <f>('610'!C374+'610'!C428+'610'!C482+'610'!C536)/1000</f>
        <v>0</v>
      </c>
      <c r="D53" s="230">
        <f>('610'!C50+'610'!C104+'610'!C158+'610'!C212+'610'!C266+'610'!C320)/1000</f>
        <v>-14540.877369999997</v>
      </c>
      <c r="E53" s="230">
        <f>('610'!C1185+'610'!C1239+'610'!C1401+'610'!C1509)*TC_MES/1000+'610'!C1671*TC_MES/1000</f>
        <v>78903.415880785004</v>
      </c>
      <c r="F53" s="230">
        <f>('610'!C1293+'610'!C1347+'610'!C1455+'610'!C1563+'610'!C1617)*TC_MES/1000</f>
        <v>12363.575050060001</v>
      </c>
      <c r="G53" s="230">
        <f>('610'!C752+'610'!C807+'610'!C861+'610'!C915+'610'!C969)/1000</f>
        <v>13367.60901</v>
      </c>
      <c r="H53" s="230">
        <f>('610'!C1077+'610'!C1131)/1000</f>
        <v>-41.092140000000001</v>
      </c>
      <c r="I53" s="230">
        <f t="shared" si="5"/>
        <v>90052.63043084502</v>
      </c>
    </row>
    <row r="54" spans="2:9" x14ac:dyDescent="0.35">
      <c r="B54" s="229" t="s">
        <v>387</v>
      </c>
      <c r="C54" s="230">
        <f>('610'!C375+'610'!C429+'610'!C483+'610'!C537)/1000</f>
        <v>0</v>
      </c>
      <c r="D54" s="230">
        <f>('610'!C51+'610'!C105+'610'!C159+'610'!C213+'610'!C267+'610'!C321)/1000</f>
        <v>-178.87007999999997</v>
      </c>
      <c r="E54" s="230">
        <f>('610'!C1186+'610'!C1240+'610'!C1402+'610'!C1510)*TC_MES/1000+'610'!C1672*TC_MES/1000</f>
        <v>0</v>
      </c>
      <c r="F54" s="230">
        <f>('610'!C1294+'610'!C1348+'610'!C1456+'610'!C1564+'610'!C1618)*TC_MES/1000</f>
        <v>0</v>
      </c>
      <c r="G54" s="230">
        <f>('610'!C753+'610'!C808+'610'!C862+'610'!C916+'610'!C970)/1000</f>
        <v>0</v>
      </c>
      <c r="H54" s="230">
        <f>('610'!C1078+'610'!C1132)/1000</f>
        <v>0</v>
      </c>
      <c r="I54" s="230">
        <f t="shared" si="5"/>
        <v>-178.87007999999997</v>
      </c>
    </row>
    <row r="55" spans="2:9" x14ac:dyDescent="0.35">
      <c r="B55" s="235" t="s">
        <v>388</v>
      </c>
      <c r="C55" s="237">
        <f>SUM(C49,C50,C51,C52,C53,C54)</f>
        <v>44492.687199999971</v>
      </c>
      <c r="D55" s="237">
        <f t="shared" ref="D55:I55" si="8">SUM(D49,D50,D51,D52,D53,D54)</f>
        <v>242031.60597999999</v>
      </c>
      <c r="E55" s="237">
        <f t="shared" si="8"/>
        <v>-204381.20592464498</v>
      </c>
      <c r="F55" s="237">
        <f t="shared" si="8"/>
        <v>179595.86707251499</v>
      </c>
      <c r="G55" s="237">
        <f t="shared" si="8"/>
        <v>300574.04929000005</v>
      </c>
      <c r="H55" s="237">
        <f t="shared" si="8"/>
        <v>325181.35548999999</v>
      </c>
      <c r="I55" s="237">
        <f t="shared" si="8"/>
        <v>887494.35910787014</v>
      </c>
    </row>
    <row r="56" spans="2:9" x14ac:dyDescent="0.35">
      <c r="B56" s="26" t="s">
        <v>389</v>
      </c>
      <c r="C56" s="238">
        <f>C39+C47+C55</f>
        <v>155705.11671999996</v>
      </c>
      <c r="D56" s="238">
        <f t="shared" ref="D56:I56" si="9">D39+D47+D55</f>
        <v>430843.16952999996</v>
      </c>
      <c r="E56" s="238">
        <f t="shared" si="9"/>
        <v>116204.74722027502</v>
      </c>
      <c r="F56" s="238">
        <f t="shared" si="9"/>
        <v>408610.53197977005</v>
      </c>
      <c r="G56" s="238">
        <f t="shared" si="9"/>
        <v>535310.36022000003</v>
      </c>
      <c r="H56" s="238">
        <f t="shared" si="9"/>
        <v>395435.46594999998</v>
      </c>
      <c r="I56" s="238">
        <f t="shared" si="9"/>
        <v>2042109.3916200451</v>
      </c>
    </row>
    <row r="57" spans="2:9" x14ac:dyDescent="0.35">
      <c r="B57" s="1" t="s">
        <v>466</v>
      </c>
      <c r="C57">
        <f>('610'!C378+'610'!C432+'610'!C486+'610'!C540)/1000</f>
        <v>0</v>
      </c>
      <c r="D57">
        <f>('610'!C54+'610'!C108+'610'!C162+'610'!C216+'610'!C270+'610'!C324)/1000</f>
        <v>0</v>
      </c>
      <c r="E57">
        <f>('610'!C1189+'610'!C1243+'610'!C1405+'610'!C1513)*TC_MES/1000</f>
        <v>0</v>
      </c>
      <c r="F57">
        <f>('610'!C1297+'610'!C1351+'610'!C1459+'610'!C1567+'610'!C1621)*TC_MES/1000</f>
        <v>0</v>
      </c>
      <c r="G57">
        <f>'610'!C756+'610'!C811+'610'!C865+'610'!C919+'610'!C973+'610'!C1027</f>
        <v>-1351368</v>
      </c>
      <c r="H57">
        <f>('610'!C1081+'610'!C1135)/1000</f>
        <v>0</v>
      </c>
      <c r="I57">
        <f t="shared" si="5"/>
        <v>-1351368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0"/>
  <dimension ref="A1:J1675"/>
  <sheetViews>
    <sheetView topLeftCell="A1622" zoomScale="70" zoomScaleNormal="70" workbookViewId="0">
      <selection activeCell="C1281" sqref="C1281"/>
    </sheetView>
  </sheetViews>
  <sheetFormatPr baseColWidth="10" defaultColWidth="8.7265625" defaultRowHeight="14.5" x14ac:dyDescent="0.35"/>
  <cols>
    <col min="1" max="1" width="17" style="181" bestFit="1" customWidth="1"/>
    <col min="2" max="2" width="33.81640625" style="181" bestFit="1" customWidth="1"/>
    <col min="3" max="3" width="10.81640625" style="181" bestFit="1" customWidth="1"/>
    <col min="4" max="16384" width="8.7265625" style="181"/>
  </cols>
  <sheetData>
    <row r="1" spans="1:10" x14ac:dyDescent="0.35">
      <c r="A1" t="s">
        <v>171</v>
      </c>
      <c r="B1" t="s">
        <v>172</v>
      </c>
      <c r="C1" t="s">
        <v>390</v>
      </c>
      <c r="D1" t="s">
        <v>391</v>
      </c>
      <c r="E1" t="s">
        <v>392</v>
      </c>
      <c r="F1" t="s">
        <v>393</v>
      </c>
      <c r="G1" t="s">
        <v>394</v>
      </c>
      <c r="H1" t="s">
        <v>395</v>
      </c>
      <c r="I1" t="s">
        <v>396</v>
      </c>
      <c r="J1" t="s">
        <v>183</v>
      </c>
    </row>
    <row r="2" spans="1:10" x14ac:dyDescent="0.35">
      <c r="A2">
        <v>10</v>
      </c>
      <c r="B2" t="s">
        <v>397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184</v>
      </c>
    </row>
    <row r="3" spans="1:10" x14ac:dyDescent="0.35">
      <c r="A3">
        <v>20</v>
      </c>
      <c r="B3" t="s">
        <v>339</v>
      </c>
      <c r="C3">
        <v>3889594.85</v>
      </c>
      <c r="D3">
        <v>0</v>
      </c>
      <c r="E3">
        <v>3889594.85</v>
      </c>
      <c r="F3">
        <v>3124761.69</v>
      </c>
      <c r="G3">
        <v>-540491.42000000004</v>
      </c>
      <c r="H3">
        <v>764833.16</v>
      </c>
      <c r="I3">
        <v>4430086.2699999996</v>
      </c>
      <c r="J3" t="s">
        <v>184</v>
      </c>
    </row>
    <row r="4" spans="1:10" x14ac:dyDescent="0.35">
      <c r="A4">
        <v>30</v>
      </c>
      <c r="B4" t="s">
        <v>340</v>
      </c>
      <c r="C4">
        <v>6450573.1299999999</v>
      </c>
      <c r="D4">
        <v>0</v>
      </c>
      <c r="E4">
        <v>6450573.1299999999</v>
      </c>
      <c r="F4">
        <v>-3170217.29</v>
      </c>
      <c r="G4">
        <v>3961330.05</v>
      </c>
      <c r="H4">
        <v>9620790.4199999999</v>
      </c>
      <c r="I4">
        <v>2489243.08</v>
      </c>
      <c r="J4" t="s">
        <v>184</v>
      </c>
    </row>
    <row r="5" spans="1:10" x14ac:dyDescent="0.35">
      <c r="A5">
        <v>40</v>
      </c>
      <c r="B5" t="s">
        <v>341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184</v>
      </c>
    </row>
    <row r="6" spans="1:10" x14ac:dyDescent="0.35">
      <c r="A6">
        <v>50</v>
      </c>
      <c r="B6" t="s">
        <v>342</v>
      </c>
      <c r="C6">
        <v>35889559.789999999</v>
      </c>
      <c r="D6">
        <v>0</v>
      </c>
      <c r="E6">
        <v>35889559.789999999</v>
      </c>
      <c r="F6">
        <v>-1082514.3999999999</v>
      </c>
      <c r="G6">
        <v>23585406.949999999</v>
      </c>
      <c r="H6">
        <v>36972074.189999998</v>
      </c>
      <c r="I6">
        <v>12304152.84</v>
      </c>
      <c r="J6" t="s">
        <v>184</v>
      </c>
    </row>
    <row r="7" spans="1:10" x14ac:dyDescent="0.35">
      <c r="A7">
        <v>60</v>
      </c>
      <c r="B7" t="s">
        <v>343</v>
      </c>
      <c r="C7">
        <v>7086613.25</v>
      </c>
      <c r="D7">
        <v>0</v>
      </c>
      <c r="E7">
        <v>7086613.25</v>
      </c>
      <c r="F7">
        <v>860211.56</v>
      </c>
      <c r="G7">
        <v>417523.74</v>
      </c>
      <c r="H7">
        <v>6226401.6900000004</v>
      </c>
      <c r="I7">
        <v>6669089.5099999998</v>
      </c>
      <c r="J7" t="s">
        <v>184</v>
      </c>
    </row>
    <row r="8" spans="1:10" x14ac:dyDescent="0.35">
      <c r="A8">
        <v>70</v>
      </c>
      <c r="B8" t="s">
        <v>344</v>
      </c>
      <c r="C8">
        <v>17602283.140000001</v>
      </c>
      <c r="D8">
        <v>0</v>
      </c>
      <c r="E8">
        <v>17602283.140000001</v>
      </c>
      <c r="F8">
        <v>-1435014.93</v>
      </c>
      <c r="G8">
        <v>1501481.79</v>
      </c>
      <c r="H8">
        <v>19037298.07</v>
      </c>
      <c r="I8">
        <v>16100801.35</v>
      </c>
      <c r="J8" t="s">
        <v>184</v>
      </c>
    </row>
    <row r="9" spans="1:10" x14ac:dyDescent="0.35">
      <c r="A9">
        <v>80</v>
      </c>
      <c r="B9" t="s">
        <v>398</v>
      </c>
      <c r="C9">
        <v>16484437.960000001</v>
      </c>
      <c r="D9">
        <v>0</v>
      </c>
      <c r="E9">
        <v>16484437.960000001</v>
      </c>
      <c r="F9">
        <v>1094764.56</v>
      </c>
      <c r="G9">
        <v>1333222.6599999999</v>
      </c>
      <c r="H9">
        <v>15389673.4</v>
      </c>
      <c r="I9">
        <v>15151215.300000001</v>
      </c>
      <c r="J9" t="s">
        <v>184</v>
      </c>
    </row>
    <row r="10" spans="1:10" x14ac:dyDescent="0.35">
      <c r="A10">
        <v>100</v>
      </c>
      <c r="B10" t="s">
        <v>399</v>
      </c>
      <c r="C10">
        <v>87403062.120000005</v>
      </c>
      <c r="D10">
        <v>0</v>
      </c>
      <c r="E10">
        <v>87403062.120000005</v>
      </c>
      <c r="F10">
        <v>-608008.81000000006</v>
      </c>
      <c r="G10">
        <v>30258473.77</v>
      </c>
      <c r="H10">
        <v>88011070.930000007</v>
      </c>
      <c r="I10">
        <v>57144588.350000001</v>
      </c>
      <c r="J10" t="s">
        <v>184</v>
      </c>
    </row>
    <row r="11" spans="1:10" x14ac:dyDescent="0.35">
      <c r="A11">
        <v>110</v>
      </c>
      <c r="B11" t="s">
        <v>400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184</v>
      </c>
    </row>
    <row r="12" spans="1:10" x14ac:dyDescent="0.35">
      <c r="A12">
        <v>120</v>
      </c>
      <c r="B12" t="s">
        <v>348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184</v>
      </c>
    </row>
    <row r="13" spans="1:10" x14ac:dyDescent="0.35">
      <c r="A13">
        <v>130</v>
      </c>
      <c r="B13" t="s">
        <v>349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184</v>
      </c>
    </row>
    <row r="14" spans="1:10" x14ac:dyDescent="0.35">
      <c r="A14">
        <v>140</v>
      </c>
      <c r="B14" t="s">
        <v>350</v>
      </c>
      <c r="C14">
        <v>5588952.8799999999</v>
      </c>
      <c r="D14">
        <v>0</v>
      </c>
      <c r="E14">
        <v>5588952.8799999999</v>
      </c>
      <c r="F14">
        <v>0</v>
      </c>
      <c r="G14">
        <v>10856.72</v>
      </c>
      <c r="H14">
        <v>5588952.8799999999</v>
      </c>
      <c r="I14">
        <v>5578096.1600000001</v>
      </c>
      <c r="J14" t="s">
        <v>184</v>
      </c>
    </row>
    <row r="15" spans="1:10" x14ac:dyDescent="0.35">
      <c r="A15">
        <v>150</v>
      </c>
      <c r="B15" t="s">
        <v>351</v>
      </c>
      <c r="C15">
        <v>24851687.870000001</v>
      </c>
      <c r="D15">
        <v>0</v>
      </c>
      <c r="E15">
        <v>24851687.870000001</v>
      </c>
      <c r="F15">
        <v>71628.56</v>
      </c>
      <c r="G15">
        <v>144356.32</v>
      </c>
      <c r="H15">
        <v>24780059.309999999</v>
      </c>
      <c r="I15">
        <v>24707331.550000001</v>
      </c>
      <c r="J15" t="s">
        <v>184</v>
      </c>
    </row>
    <row r="16" spans="1:10" x14ac:dyDescent="0.35">
      <c r="A16">
        <v>160</v>
      </c>
      <c r="B16" t="s">
        <v>352</v>
      </c>
      <c r="C16">
        <v>19295312.859999999</v>
      </c>
      <c r="D16">
        <v>0</v>
      </c>
      <c r="E16">
        <v>19295312.859999999</v>
      </c>
      <c r="F16">
        <v>35999.32</v>
      </c>
      <c r="G16">
        <v>208074.29</v>
      </c>
      <c r="H16">
        <v>19259313.539999999</v>
      </c>
      <c r="I16">
        <v>19087238.57</v>
      </c>
      <c r="J16" t="s">
        <v>184</v>
      </c>
    </row>
    <row r="17" spans="1:10" x14ac:dyDescent="0.35">
      <c r="A17">
        <v>170</v>
      </c>
      <c r="B17" t="s">
        <v>353</v>
      </c>
      <c r="C17">
        <v>129187810.73999999</v>
      </c>
      <c r="D17">
        <v>0</v>
      </c>
      <c r="E17">
        <v>129187810.73999999</v>
      </c>
      <c r="F17">
        <v>510339.18</v>
      </c>
      <c r="G17">
        <v>4653134.2699999996</v>
      </c>
      <c r="H17">
        <v>128677471.56</v>
      </c>
      <c r="I17">
        <v>124534676.47</v>
      </c>
      <c r="J17" t="s">
        <v>184</v>
      </c>
    </row>
    <row r="18" spans="1:10" x14ac:dyDescent="0.35">
      <c r="A18">
        <v>180</v>
      </c>
      <c r="B18" t="s">
        <v>354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184</v>
      </c>
    </row>
    <row r="19" spans="1:10" x14ac:dyDescent="0.35">
      <c r="A19">
        <v>190</v>
      </c>
      <c r="B19" t="s">
        <v>355</v>
      </c>
      <c r="C19">
        <v>-128237888.38</v>
      </c>
      <c r="D19">
        <v>0</v>
      </c>
      <c r="E19">
        <v>-128237888.38</v>
      </c>
      <c r="F19">
        <v>-595018.57999999996</v>
      </c>
      <c r="G19">
        <v>-5341798.53</v>
      </c>
      <c r="H19">
        <v>-127642869.8</v>
      </c>
      <c r="I19">
        <v>-122896089.84999999</v>
      </c>
      <c r="J19" t="s">
        <v>184</v>
      </c>
    </row>
    <row r="20" spans="1:10" x14ac:dyDescent="0.35">
      <c r="A20">
        <v>200</v>
      </c>
      <c r="B20" t="s">
        <v>356</v>
      </c>
      <c r="C20">
        <v>85461256.400000006</v>
      </c>
      <c r="D20">
        <v>0</v>
      </c>
      <c r="E20">
        <v>85461256.400000006</v>
      </c>
      <c r="F20">
        <v>22948.48</v>
      </c>
      <c r="G20">
        <v>-325376.93</v>
      </c>
      <c r="H20">
        <v>85438307.920000002</v>
      </c>
      <c r="I20">
        <v>85786633.329999998</v>
      </c>
      <c r="J20" t="s">
        <v>184</v>
      </c>
    </row>
    <row r="21" spans="1:10" x14ac:dyDescent="0.35">
      <c r="A21">
        <v>210</v>
      </c>
      <c r="B21" t="s">
        <v>401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184</v>
      </c>
    </row>
    <row r="22" spans="1:10" x14ac:dyDescent="0.35">
      <c r="A22">
        <v>220</v>
      </c>
      <c r="B22" t="s">
        <v>358</v>
      </c>
      <c r="C22">
        <v>6080122.2400000002</v>
      </c>
      <c r="D22">
        <v>0</v>
      </c>
      <c r="E22">
        <v>6080122.2400000002</v>
      </c>
      <c r="F22">
        <v>0</v>
      </c>
      <c r="G22">
        <v>61211.83</v>
      </c>
      <c r="H22">
        <v>6080122.2400000002</v>
      </c>
      <c r="I22">
        <v>6018910.4100000001</v>
      </c>
      <c r="J22" t="s">
        <v>184</v>
      </c>
    </row>
    <row r="23" spans="1:10" x14ac:dyDescent="0.35">
      <c r="A23">
        <v>230</v>
      </c>
      <c r="B23" t="s">
        <v>359</v>
      </c>
      <c r="C23">
        <v>60681528.210000001</v>
      </c>
      <c r="D23">
        <v>0</v>
      </c>
      <c r="E23">
        <v>60681528.210000001</v>
      </c>
      <c r="F23">
        <v>0</v>
      </c>
      <c r="G23">
        <v>1372151.08</v>
      </c>
      <c r="H23">
        <v>60681528.210000001</v>
      </c>
      <c r="I23">
        <v>59309377.130000003</v>
      </c>
      <c r="J23" t="s">
        <v>184</v>
      </c>
    </row>
    <row r="24" spans="1:10" x14ac:dyDescent="0.35">
      <c r="A24">
        <v>240</v>
      </c>
      <c r="B24" t="s">
        <v>360</v>
      </c>
      <c r="C24">
        <v>-16144131.869999999</v>
      </c>
      <c r="D24">
        <v>0</v>
      </c>
      <c r="E24">
        <v>-16144131.869999999</v>
      </c>
      <c r="F24">
        <v>0</v>
      </c>
      <c r="G24">
        <v>0</v>
      </c>
      <c r="H24">
        <v>-16144131.869999999</v>
      </c>
      <c r="I24">
        <v>-16144131.869999999</v>
      </c>
      <c r="J24" t="s">
        <v>184</v>
      </c>
    </row>
    <row r="25" spans="1:10" x14ac:dyDescent="0.35">
      <c r="A25">
        <v>250</v>
      </c>
      <c r="B25" t="s">
        <v>361</v>
      </c>
      <c r="C25">
        <v>50617518.579999998</v>
      </c>
      <c r="D25">
        <v>0</v>
      </c>
      <c r="E25">
        <v>50617518.579999998</v>
      </c>
      <c r="F25">
        <v>0</v>
      </c>
      <c r="G25">
        <v>1433362.91</v>
      </c>
      <c r="H25">
        <v>50617518.579999998</v>
      </c>
      <c r="I25">
        <v>49184155.670000002</v>
      </c>
      <c r="J25" t="s">
        <v>184</v>
      </c>
    </row>
    <row r="26" spans="1:10" x14ac:dyDescent="0.35">
      <c r="A26">
        <v>260</v>
      </c>
      <c r="B26" t="s">
        <v>362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184</v>
      </c>
    </row>
    <row r="27" spans="1:10" x14ac:dyDescent="0.35">
      <c r="A27">
        <v>270</v>
      </c>
      <c r="B27" t="s">
        <v>363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184</v>
      </c>
    </row>
    <row r="28" spans="1:10" x14ac:dyDescent="0.35">
      <c r="A28">
        <v>280</v>
      </c>
      <c r="B28" t="s">
        <v>402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184</v>
      </c>
    </row>
    <row r="29" spans="1:10" x14ac:dyDescent="0.35">
      <c r="A29">
        <v>400</v>
      </c>
      <c r="B29" t="s">
        <v>365</v>
      </c>
      <c r="C29">
        <v>223481837.09999999</v>
      </c>
      <c r="D29">
        <v>0</v>
      </c>
      <c r="E29">
        <v>223481837.09999999</v>
      </c>
      <c r="F29">
        <v>-585060.32999999996</v>
      </c>
      <c r="G29">
        <v>31366459.75</v>
      </c>
      <c r="H29">
        <v>224066897.43000001</v>
      </c>
      <c r="I29">
        <v>192115377.34999999</v>
      </c>
      <c r="J29" t="s">
        <v>184</v>
      </c>
    </row>
    <row r="30" spans="1:10" x14ac:dyDescent="0.35">
      <c r="A30">
        <v>410</v>
      </c>
      <c r="B30" t="s">
        <v>403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184</v>
      </c>
    </row>
    <row r="31" spans="1:10" x14ac:dyDescent="0.35">
      <c r="A31">
        <v>420</v>
      </c>
      <c r="B31" t="s">
        <v>367</v>
      </c>
      <c r="C31">
        <v>2153492.7000000002</v>
      </c>
      <c r="D31">
        <v>0</v>
      </c>
      <c r="E31">
        <v>2153492.7000000002</v>
      </c>
      <c r="F31">
        <v>-396030.82</v>
      </c>
      <c r="G31">
        <v>-886111.52</v>
      </c>
      <c r="H31">
        <v>2549523.52</v>
      </c>
      <c r="I31">
        <v>3039604.22</v>
      </c>
      <c r="J31" t="s">
        <v>184</v>
      </c>
    </row>
    <row r="32" spans="1:10" x14ac:dyDescent="0.35">
      <c r="A32">
        <v>430</v>
      </c>
      <c r="B32" t="s">
        <v>368</v>
      </c>
      <c r="C32">
        <v>49278408.350000001</v>
      </c>
      <c r="D32">
        <v>0</v>
      </c>
      <c r="E32">
        <v>49278408.350000001</v>
      </c>
      <c r="F32">
        <v>-907522</v>
      </c>
      <c r="G32">
        <v>15843784.18</v>
      </c>
      <c r="H32">
        <v>50185930.350000001</v>
      </c>
      <c r="I32">
        <v>33434624.170000002</v>
      </c>
      <c r="J32" t="s">
        <v>184</v>
      </c>
    </row>
    <row r="33" spans="1:10" x14ac:dyDescent="0.35">
      <c r="A33">
        <v>440</v>
      </c>
      <c r="B33" t="s">
        <v>369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184</v>
      </c>
    </row>
    <row r="34" spans="1:10" x14ac:dyDescent="0.35">
      <c r="A34">
        <v>450</v>
      </c>
      <c r="B34" t="s">
        <v>404</v>
      </c>
      <c r="C34">
        <v>32034373.670000002</v>
      </c>
      <c r="D34">
        <v>0</v>
      </c>
      <c r="E34">
        <v>32034373.670000002</v>
      </c>
      <c r="F34">
        <v>1766398.73</v>
      </c>
      <c r="G34">
        <v>6721746.7400000002</v>
      </c>
      <c r="H34">
        <v>30267974.940000001</v>
      </c>
      <c r="I34">
        <v>25312626.93</v>
      </c>
      <c r="J34" t="s">
        <v>184</v>
      </c>
    </row>
    <row r="35" spans="1:10" x14ac:dyDescent="0.35">
      <c r="A35">
        <v>460</v>
      </c>
      <c r="B35" t="s">
        <v>405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184</v>
      </c>
    </row>
    <row r="36" spans="1:10" x14ac:dyDescent="0.35">
      <c r="A36">
        <v>500</v>
      </c>
      <c r="B36" t="s">
        <v>372</v>
      </c>
      <c r="C36">
        <v>83466274.719999999</v>
      </c>
      <c r="D36">
        <v>0</v>
      </c>
      <c r="E36">
        <v>83466274.719999999</v>
      </c>
      <c r="F36">
        <v>462845.91</v>
      </c>
      <c r="G36">
        <v>21679419.399999999</v>
      </c>
      <c r="H36">
        <v>83003428.810000002</v>
      </c>
      <c r="I36">
        <v>61786855.32</v>
      </c>
      <c r="J36" t="s">
        <v>184</v>
      </c>
    </row>
    <row r="37" spans="1:10" x14ac:dyDescent="0.35">
      <c r="A37">
        <v>510</v>
      </c>
      <c r="B37" t="s">
        <v>406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184</v>
      </c>
    </row>
    <row r="38" spans="1:10" x14ac:dyDescent="0.35">
      <c r="A38">
        <v>520</v>
      </c>
      <c r="B38" t="s">
        <v>407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184</v>
      </c>
    </row>
    <row r="39" spans="1:10" x14ac:dyDescent="0.35">
      <c r="A39">
        <v>530</v>
      </c>
      <c r="B39" t="s">
        <v>407</v>
      </c>
      <c r="C39">
        <v>9262960.3800000008</v>
      </c>
      <c r="D39">
        <v>0</v>
      </c>
      <c r="E39">
        <v>9262960.3800000008</v>
      </c>
      <c r="F39">
        <v>-277718.44</v>
      </c>
      <c r="G39">
        <v>-8077286.4199999999</v>
      </c>
      <c r="H39">
        <v>9540678.8200000003</v>
      </c>
      <c r="I39">
        <v>17340246.800000001</v>
      </c>
      <c r="J39" t="s">
        <v>184</v>
      </c>
    </row>
    <row r="40" spans="1:10" x14ac:dyDescent="0.35">
      <c r="A40">
        <v>540</v>
      </c>
      <c r="B40" t="s">
        <v>376</v>
      </c>
      <c r="C40">
        <v>-326415.38</v>
      </c>
      <c r="D40">
        <v>0</v>
      </c>
      <c r="E40">
        <v>-326415.38</v>
      </c>
      <c r="F40">
        <v>-10747.17</v>
      </c>
      <c r="G40">
        <v>-247177.92</v>
      </c>
      <c r="H40">
        <v>-315668.21000000002</v>
      </c>
      <c r="I40">
        <v>-79237.460000000006</v>
      </c>
      <c r="J40" t="s">
        <v>184</v>
      </c>
    </row>
    <row r="41" spans="1:10" x14ac:dyDescent="0.35">
      <c r="A41">
        <v>600</v>
      </c>
      <c r="B41" t="s">
        <v>377</v>
      </c>
      <c r="C41">
        <v>8936545</v>
      </c>
      <c r="D41">
        <v>0</v>
      </c>
      <c r="E41">
        <v>8936545</v>
      </c>
      <c r="F41">
        <v>-288465.61</v>
      </c>
      <c r="G41">
        <v>-8324464.3399999999</v>
      </c>
      <c r="H41">
        <v>9225010.6099999994</v>
      </c>
      <c r="I41">
        <v>17261009.34</v>
      </c>
      <c r="J41" t="s">
        <v>184</v>
      </c>
    </row>
    <row r="42" spans="1:10" x14ac:dyDescent="0.35">
      <c r="A42">
        <v>610</v>
      </c>
      <c r="B42" t="s">
        <v>408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184</v>
      </c>
    </row>
    <row r="43" spans="1:10" x14ac:dyDescent="0.35">
      <c r="A43">
        <v>620</v>
      </c>
      <c r="B43" t="s">
        <v>379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184</v>
      </c>
    </row>
    <row r="44" spans="1:10" x14ac:dyDescent="0.35">
      <c r="A44">
        <v>700</v>
      </c>
      <c r="B44" t="s">
        <v>409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184</v>
      </c>
    </row>
    <row r="45" spans="1:10" x14ac:dyDescent="0.35">
      <c r="A45">
        <v>710</v>
      </c>
      <c r="B45" t="s">
        <v>410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184</v>
      </c>
    </row>
    <row r="46" spans="1:10" x14ac:dyDescent="0.35">
      <c r="A46">
        <v>720</v>
      </c>
      <c r="B46" t="s">
        <v>382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184</v>
      </c>
    </row>
    <row r="47" spans="1:10" x14ac:dyDescent="0.35">
      <c r="A47">
        <v>730</v>
      </c>
      <c r="B47" t="s">
        <v>383</v>
      </c>
      <c r="C47">
        <v>1370756.45</v>
      </c>
      <c r="D47">
        <v>0</v>
      </c>
      <c r="E47">
        <v>1370756.45</v>
      </c>
      <c r="F47">
        <v>0</v>
      </c>
      <c r="G47">
        <v>0</v>
      </c>
      <c r="H47">
        <v>1370756.45</v>
      </c>
      <c r="I47">
        <v>1370756.45</v>
      </c>
      <c r="J47" t="s">
        <v>184</v>
      </c>
    </row>
    <row r="48" spans="1:10" x14ac:dyDescent="0.35">
      <c r="A48">
        <v>740</v>
      </c>
      <c r="B48" t="s">
        <v>384</v>
      </c>
      <c r="C48">
        <v>75051123.430000007</v>
      </c>
      <c r="D48">
        <v>0</v>
      </c>
      <c r="E48">
        <v>75051123.430000007</v>
      </c>
      <c r="F48">
        <v>0</v>
      </c>
      <c r="G48">
        <v>0</v>
      </c>
      <c r="H48">
        <v>75051123.430000007</v>
      </c>
      <c r="I48">
        <v>75051123.430000007</v>
      </c>
      <c r="J48" t="s">
        <v>184</v>
      </c>
    </row>
    <row r="49" spans="1:10" x14ac:dyDescent="0.35">
      <c r="A49">
        <v>750</v>
      </c>
      <c r="B49" t="s">
        <v>385</v>
      </c>
      <c r="C49">
        <v>18011504.690000001</v>
      </c>
      <c r="D49">
        <v>0</v>
      </c>
      <c r="E49">
        <v>18011504.690000001</v>
      </c>
      <c r="F49">
        <v>-759440.63</v>
      </c>
      <c r="G49">
        <v>18011504.690000001</v>
      </c>
      <c r="H49">
        <v>18770945.32</v>
      </c>
      <c r="I49">
        <v>0</v>
      </c>
      <c r="J49" t="s">
        <v>184</v>
      </c>
    </row>
    <row r="50" spans="1:10" x14ac:dyDescent="0.35">
      <c r="A50">
        <v>760</v>
      </c>
      <c r="B50" t="s">
        <v>386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184</v>
      </c>
    </row>
    <row r="51" spans="1:10" x14ac:dyDescent="0.35">
      <c r="A51">
        <v>770</v>
      </c>
      <c r="B51" t="s">
        <v>387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184</v>
      </c>
    </row>
    <row r="52" spans="1:10" x14ac:dyDescent="0.35">
      <c r="A52">
        <v>800</v>
      </c>
      <c r="B52" t="s">
        <v>388</v>
      </c>
      <c r="C52">
        <v>131079017.38</v>
      </c>
      <c r="D52">
        <v>0</v>
      </c>
      <c r="E52">
        <v>131079017.38</v>
      </c>
      <c r="F52">
        <v>-759440.63</v>
      </c>
      <c r="G52">
        <v>18011504.690000001</v>
      </c>
      <c r="H52">
        <v>131838458.01000001</v>
      </c>
      <c r="I52">
        <v>113067512.69</v>
      </c>
      <c r="J52" t="s">
        <v>184</v>
      </c>
    </row>
    <row r="53" spans="1:10" x14ac:dyDescent="0.35">
      <c r="A53">
        <v>900</v>
      </c>
      <c r="B53" t="s">
        <v>389</v>
      </c>
      <c r="C53">
        <v>223481837.09999999</v>
      </c>
      <c r="D53">
        <v>0</v>
      </c>
      <c r="E53">
        <v>223481837.09999999</v>
      </c>
      <c r="F53">
        <v>-585060.32999999996</v>
      </c>
      <c r="G53">
        <v>31366459.75</v>
      </c>
      <c r="H53">
        <v>224066897.43000001</v>
      </c>
      <c r="I53">
        <v>192115377.34999999</v>
      </c>
      <c r="J53" t="s">
        <v>184</v>
      </c>
    </row>
    <row r="54" spans="1:10" x14ac:dyDescent="0.35">
      <c r="A54">
        <v>1000</v>
      </c>
      <c r="B54" t="s">
        <v>411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184</v>
      </c>
    </row>
    <row r="55" spans="1:10" x14ac:dyDescent="0.35">
      <c r="A55" t="s">
        <v>185</v>
      </c>
      <c r="B55" t="s">
        <v>172</v>
      </c>
      <c r="C55" t="s">
        <v>390</v>
      </c>
      <c r="D55" t="s">
        <v>391</v>
      </c>
      <c r="E55" t="s">
        <v>392</v>
      </c>
      <c r="F55" t="s">
        <v>393</v>
      </c>
      <c r="G55" t="s">
        <v>394</v>
      </c>
      <c r="H55" t="s">
        <v>395</v>
      </c>
      <c r="I55" t="s">
        <v>396</v>
      </c>
      <c r="J55" t="s">
        <v>183</v>
      </c>
    </row>
    <row r="56" spans="1:10" x14ac:dyDescent="0.35">
      <c r="A56">
        <v>10</v>
      </c>
      <c r="B56" t="s">
        <v>397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184</v>
      </c>
    </row>
    <row r="57" spans="1:10" x14ac:dyDescent="0.35">
      <c r="A57">
        <v>20</v>
      </c>
      <c r="B57" t="s">
        <v>339</v>
      </c>
      <c r="C57">
        <v>267541.44</v>
      </c>
      <c r="D57">
        <v>0</v>
      </c>
      <c r="E57">
        <v>267541.44</v>
      </c>
      <c r="F57">
        <v>-1001967.58</v>
      </c>
      <c r="G57">
        <v>-99769.52</v>
      </c>
      <c r="H57">
        <v>1269509.02</v>
      </c>
      <c r="I57">
        <v>367310.96</v>
      </c>
      <c r="J57" t="s">
        <v>184</v>
      </c>
    </row>
    <row r="58" spans="1:10" x14ac:dyDescent="0.35">
      <c r="A58">
        <v>30</v>
      </c>
      <c r="B58" t="s">
        <v>340</v>
      </c>
      <c r="C58">
        <v>1219787.8400000001</v>
      </c>
      <c r="D58">
        <v>0</v>
      </c>
      <c r="E58">
        <v>1219787.8400000001</v>
      </c>
      <c r="F58">
        <v>-592186.16</v>
      </c>
      <c r="G58">
        <v>559636.12</v>
      </c>
      <c r="H58">
        <v>1811974</v>
      </c>
      <c r="I58">
        <v>660151.72</v>
      </c>
      <c r="J58" t="s">
        <v>184</v>
      </c>
    </row>
    <row r="59" spans="1:10" x14ac:dyDescent="0.35">
      <c r="A59">
        <v>40</v>
      </c>
      <c r="B59" t="s">
        <v>341</v>
      </c>
      <c r="C59">
        <v>7789933.2199999997</v>
      </c>
      <c r="D59">
        <v>0</v>
      </c>
      <c r="E59">
        <v>7789933.2199999997</v>
      </c>
      <c r="F59">
        <v>554767.87</v>
      </c>
      <c r="G59">
        <v>960103.24</v>
      </c>
      <c r="H59">
        <v>7235165.3499999996</v>
      </c>
      <c r="I59">
        <v>6829829.9800000004</v>
      </c>
      <c r="J59" t="s">
        <v>184</v>
      </c>
    </row>
    <row r="60" spans="1:10" x14ac:dyDescent="0.35">
      <c r="A60">
        <v>50</v>
      </c>
      <c r="B60" t="s">
        <v>342</v>
      </c>
      <c r="C60">
        <v>3238450.36</v>
      </c>
      <c r="D60">
        <v>0</v>
      </c>
      <c r="E60">
        <v>3238450.36</v>
      </c>
      <c r="F60">
        <v>130000</v>
      </c>
      <c r="G60">
        <v>910000</v>
      </c>
      <c r="H60">
        <v>3108450.36</v>
      </c>
      <c r="I60">
        <v>2328450.36</v>
      </c>
      <c r="J60" t="s">
        <v>184</v>
      </c>
    </row>
    <row r="61" spans="1:10" x14ac:dyDescent="0.35">
      <c r="A61">
        <v>60</v>
      </c>
      <c r="B61" t="s">
        <v>343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184</v>
      </c>
    </row>
    <row r="62" spans="1:10" x14ac:dyDescent="0.35">
      <c r="A62">
        <v>70</v>
      </c>
      <c r="B62" t="s">
        <v>344</v>
      </c>
      <c r="C62">
        <v>26428359.670000002</v>
      </c>
      <c r="D62">
        <v>0</v>
      </c>
      <c r="E62">
        <v>26428359.670000002</v>
      </c>
      <c r="F62">
        <v>823446.46</v>
      </c>
      <c r="G62">
        <v>9514776.3699999992</v>
      </c>
      <c r="H62">
        <v>25604913.210000001</v>
      </c>
      <c r="I62">
        <v>16913583.300000001</v>
      </c>
      <c r="J62" t="s">
        <v>184</v>
      </c>
    </row>
    <row r="63" spans="1:10" x14ac:dyDescent="0.35">
      <c r="A63">
        <v>80</v>
      </c>
      <c r="B63" t="s">
        <v>398</v>
      </c>
      <c r="C63">
        <v>3421673.98</v>
      </c>
      <c r="D63">
        <v>0</v>
      </c>
      <c r="E63">
        <v>3421673.98</v>
      </c>
      <c r="F63">
        <v>103533.65</v>
      </c>
      <c r="G63">
        <v>1551976.96</v>
      </c>
      <c r="H63">
        <v>3318140.33</v>
      </c>
      <c r="I63">
        <v>1869697.02</v>
      </c>
      <c r="J63" t="s">
        <v>184</v>
      </c>
    </row>
    <row r="64" spans="1:10" x14ac:dyDescent="0.35">
      <c r="A64">
        <v>100</v>
      </c>
      <c r="B64" t="s">
        <v>399</v>
      </c>
      <c r="C64">
        <v>42365746.509999998</v>
      </c>
      <c r="D64">
        <v>0</v>
      </c>
      <c r="E64">
        <v>42365746.509999998</v>
      </c>
      <c r="F64">
        <v>17594.240000000002</v>
      </c>
      <c r="G64">
        <v>13396723.17</v>
      </c>
      <c r="H64">
        <v>42348152.270000003</v>
      </c>
      <c r="I64">
        <v>28969023.34</v>
      </c>
      <c r="J64" t="s">
        <v>184</v>
      </c>
    </row>
    <row r="65" spans="1:10" x14ac:dyDescent="0.35">
      <c r="A65">
        <v>110</v>
      </c>
      <c r="B65" t="s">
        <v>400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184</v>
      </c>
    </row>
    <row r="66" spans="1:10" x14ac:dyDescent="0.35">
      <c r="A66">
        <v>120</v>
      </c>
      <c r="B66" t="s">
        <v>348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184</v>
      </c>
    </row>
    <row r="67" spans="1:10" x14ac:dyDescent="0.35">
      <c r="A67">
        <v>130</v>
      </c>
      <c r="B67" t="s">
        <v>349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184</v>
      </c>
    </row>
    <row r="68" spans="1:10" x14ac:dyDescent="0.35">
      <c r="A68">
        <v>140</v>
      </c>
      <c r="B68" t="s">
        <v>350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184</v>
      </c>
    </row>
    <row r="69" spans="1:10" x14ac:dyDescent="0.35">
      <c r="A69">
        <v>150</v>
      </c>
      <c r="B69" t="s">
        <v>351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184</v>
      </c>
    </row>
    <row r="70" spans="1:10" x14ac:dyDescent="0.35">
      <c r="A70">
        <v>160</v>
      </c>
      <c r="B70" t="s">
        <v>352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184</v>
      </c>
    </row>
    <row r="71" spans="1:10" x14ac:dyDescent="0.35">
      <c r="A71">
        <v>170</v>
      </c>
      <c r="B71" t="s">
        <v>353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184</v>
      </c>
    </row>
    <row r="72" spans="1:10" x14ac:dyDescent="0.35">
      <c r="A72">
        <v>180</v>
      </c>
      <c r="B72" t="s">
        <v>354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184</v>
      </c>
    </row>
    <row r="73" spans="1:10" x14ac:dyDescent="0.35">
      <c r="A73">
        <v>190</v>
      </c>
      <c r="B73" t="s">
        <v>355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184</v>
      </c>
    </row>
    <row r="74" spans="1:10" x14ac:dyDescent="0.35">
      <c r="A74">
        <v>200</v>
      </c>
      <c r="B74" t="s">
        <v>356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184</v>
      </c>
    </row>
    <row r="75" spans="1:10" x14ac:dyDescent="0.35">
      <c r="A75">
        <v>210</v>
      </c>
      <c r="B75" t="s">
        <v>401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184</v>
      </c>
    </row>
    <row r="76" spans="1:10" x14ac:dyDescent="0.35">
      <c r="A76">
        <v>220</v>
      </c>
      <c r="B76" t="s">
        <v>358</v>
      </c>
      <c r="C76">
        <v>2056065.09</v>
      </c>
      <c r="D76">
        <v>0</v>
      </c>
      <c r="E76">
        <v>2056065.09</v>
      </c>
      <c r="F76">
        <v>0</v>
      </c>
      <c r="G76">
        <v>0</v>
      </c>
      <c r="H76">
        <v>2056065.09</v>
      </c>
      <c r="I76">
        <v>2056065.09</v>
      </c>
      <c r="J76" t="s">
        <v>184</v>
      </c>
    </row>
    <row r="77" spans="1:10" x14ac:dyDescent="0.35">
      <c r="A77">
        <v>230</v>
      </c>
      <c r="B77" t="s">
        <v>359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184</v>
      </c>
    </row>
    <row r="78" spans="1:10" x14ac:dyDescent="0.35">
      <c r="A78">
        <v>240</v>
      </c>
      <c r="B78" t="s">
        <v>360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184</v>
      </c>
    </row>
    <row r="79" spans="1:10" x14ac:dyDescent="0.35">
      <c r="A79">
        <v>250</v>
      </c>
      <c r="B79" t="s">
        <v>361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184</v>
      </c>
    </row>
    <row r="80" spans="1:10" x14ac:dyDescent="0.35">
      <c r="A80">
        <v>260</v>
      </c>
      <c r="B80" t="s">
        <v>362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184</v>
      </c>
    </row>
    <row r="81" spans="1:10" x14ac:dyDescent="0.35">
      <c r="A81">
        <v>270</v>
      </c>
      <c r="B81" t="s">
        <v>363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184</v>
      </c>
    </row>
    <row r="82" spans="1:10" x14ac:dyDescent="0.35">
      <c r="A82">
        <v>280</v>
      </c>
      <c r="B82" t="s">
        <v>402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184</v>
      </c>
    </row>
    <row r="83" spans="1:10" x14ac:dyDescent="0.35">
      <c r="A83">
        <v>400</v>
      </c>
      <c r="B83" t="s">
        <v>365</v>
      </c>
      <c r="C83">
        <v>42365746.509999998</v>
      </c>
      <c r="D83">
        <v>0</v>
      </c>
      <c r="E83">
        <v>42365746.509999998</v>
      </c>
      <c r="F83">
        <v>17594.240000000002</v>
      </c>
      <c r="G83">
        <v>13396723.17</v>
      </c>
      <c r="H83">
        <v>42348152.270000003</v>
      </c>
      <c r="I83">
        <v>28969023.34</v>
      </c>
      <c r="J83" t="s">
        <v>184</v>
      </c>
    </row>
    <row r="84" spans="1:10" x14ac:dyDescent="0.35">
      <c r="A84">
        <v>410</v>
      </c>
      <c r="B84" t="s">
        <v>403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184</v>
      </c>
    </row>
    <row r="85" spans="1:10" x14ac:dyDescent="0.35">
      <c r="A85">
        <v>420</v>
      </c>
      <c r="B85" t="s">
        <v>367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184</v>
      </c>
    </row>
    <row r="86" spans="1:10" x14ac:dyDescent="0.35">
      <c r="A86">
        <v>430</v>
      </c>
      <c r="B86" t="s">
        <v>368</v>
      </c>
      <c r="C86">
        <v>19282113.870000001</v>
      </c>
      <c r="D86">
        <v>0</v>
      </c>
      <c r="E86">
        <v>19282113.870000001</v>
      </c>
      <c r="F86">
        <v>-1131882.97</v>
      </c>
      <c r="G86">
        <v>1136628.23</v>
      </c>
      <c r="H86">
        <v>20413996.84</v>
      </c>
      <c r="I86">
        <v>18145485.640000001</v>
      </c>
      <c r="J86" t="s">
        <v>184</v>
      </c>
    </row>
    <row r="87" spans="1:10" x14ac:dyDescent="0.35">
      <c r="A87">
        <v>440</v>
      </c>
      <c r="B87" t="s">
        <v>369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184</v>
      </c>
    </row>
    <row r="88" spans="1:10" x14ac:dyDescent="0.35">
      <c r="A88">
        <v>450</v>
      </c>
      <c r="B88" t="s">
        <v>404</v>
      </c>
      <c r="C88">
        <v>15007608.32</v>
      </c>
      <c r="D88">
        <v>0</v>
      </c>
      <c r="E88">
        <v>15007608.32</v>
      </c>
      <c r="F88">
        <v>990930.56</v>
      </c>
      <c r="G88">
        <v>10818974.859999999</v>
      </c>
      <c r="H88">
        <v>14016677.76</v>
      </c>
      <c r="I88">
        <v>4188633.46</v>
      </c>
      <c r="J88" t="s">
        <v>184</v>
      </c>
    </row>
    <row r="89" spans="1:10" x14ac:dyDescent="0.35">
      <c r="A89">
        <v>460</v>
      </c>
      <c r="B89" t="s">
        <v>405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184</v>
      </c>
    </row>
    <row r="90" spans="1:10" x14ac:dyDescent="0.35">
      <c r="A90">
        <v>500</v>
      </c>
      <c r="B90" t="s">
        <v>372</v>
      </c>
      <c r="C90">
        <v>34289722.189999998</v>
      </c>
      <c r="D90">
        <v>0</v>
      </c>
      <c r="E90">
        <v>34289722.189999998</v>
      </c>
      <c r="F90">
        <v>-140952.41</v>
      </c>
      <c r="G90">
        <v>11955603.09</v>
      </c>
      <c r="H90">
        <v>34430674.600000001</v>
      </c>
      <c r="I90">
        <v>22334119.100000001</v>
      </c>
      <c r="J90" t="s">
        <v>184</v>
      </c>
    </row>
    <row r="91" spans="1:10" x14ac:dyDescent="0.35">
      <c r="A91">
        <v>510</v>
      </c>
      <c r="B91" t="s">
        <v>406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184</v>
      </c>
    </row>
    <row r="92" spans="1:10" x14ac:dyDescent="0.35">
      <c r="A92">
        <v>520</v>
      </c>
      <c r="B92" t="s">
        <v>407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184</v>
      </c>
    </row>
    <row r="93" spans="1:10" x14ac:dyDescent="0.35">
      <c r="A93">
        <v>530</v>
      </c>
      <c r="B93" t="s">
        <v>407</v>
      </c>
      <c r="C93">
        <v>0</v>
      </c>
      <c r="D93">
        <v>0</v>
      </c>
      <c r="E93">
        <v>0</v>
      </c>
      <c r="F93">
        <v>0</v>
      </c>
      <c r="G93">
        <v>-1880000</v>
      </c>
      <c r="H93">
        <v>0</v>
      </c>
      <c r="I93">
        <v>1880000</v>
      </c>
      <c r="J93" t="s">
        <v>184</v>
      </c>
    </row>
    <row r="94" spans="1:10" x14ac:dyDescent="0.35">
      <c r="A94">
        <v>540</v>
      </c>
      <c r="B94" t="s">
        <v>376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184</v>
      </c>
    </row>
    <row r="95" spans="1:10" x14ac:dyDescent="0.35">
      <c r="A95">
        <v>600</v>
      </c>
      <c r="B95" t="s">
        <v>377</v>
      </c>
      <c r="C95">
        <v>0</v>
      </c>
      <c r="D95">
        <v>0</v>
      </c>
      <c r="E95">
        <v>0</v>
      </c>
      <c r="F95">
        <v>0</v>
      </c>
      <c r="G95">
        <v>-1880000</v>
      </c>
      <c r="H95">
        <v>0</v>
      </c>
      <c r="I95">
        <v>1880000</v>
      </c>
      <c r="J95" t="s">
        <v>184</v>
      </c>
    </row>
    <row r="96" spans="1:10" x14ac:dyDescent="0.35">
      <c r="A96">
        <v>610</v>
      </c>
      <c r="B96" t="s">
        <v>408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184</v>
      </c>
    </row>
    <row r="97" spans="1:10" x14ac:dyDescent="0.35">
      <c r="A97">
        <v>620</v>
      </c>
      <c r="B97" t="s">
        <v>379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184</v>
      </c>
    </row>
    <row r="98" spans="1:10" x14ac:dyDescent="0.35">
      <c r="A98">
        <v>700</v>
      </c>
      <c r="B98" t="s">
        <v>409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184</v>
      </c>
    </row>
    <row r="99" spans="1:10" x14ac:dyDescent="0.35">
      <c r="A99">
        <v>710</v>
      </c>
      <c r="B99" t="s">
        <v>410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184</v>
      </c>
    </row>
    <row r="100" spans="1:10" x14ac:dyDescent="0.35">
      <c r="A100">
        <v>720</v>
      </c>
      <c r="B100" t="s">
        <v>382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184</v>
      </c>
    </row>
    <row r="101" spans="1:10" x14ac:dyDescent="0.35">
      <c r="A101">
        <v>730</v>
      </c>
      <c r="B101" t="s">
        <v>383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184</v>
      </c>
    </row>
    <row r="102" spans="1:10" x14ac:dyDescent="0.35">
      <c r="A102">
        <v>740</v>
      </c>
      <c r="B102" t="s">
        <v>384</v>
      </c>
      <c r="C102">
        <v>6347055.5899999999</v>
      </c>
      <c r="D102">
        <v>0</v>
      </c>
      <c r="E102">
        <v>6347055.5899999999</v>
      </c>
      <c r="F102">
        <v>0</v>
      </c>
      <c r="G102">
        <v>0</v>
      </c>
      <c r="H102">
        <v>6347055.5899999999</v>
      </c>
      <c r="I102">
        <v>6347055.5899999999</v>
      </c>
      <c r="J102" t="s">
        <v>184</v>
      </c>
    </row>
    <row r="103" spans="1:10" x14ac:dyDescent="0.35">
      <c r="A103">
        <v>750</v>
      </c>
      <c r="B103" t="s">
        <v>385</v>
      </c>
      <c r="C103">
        <v>3321120.08</v>
      </c>
      <c r="D103">
        <v>0</v>
      </c>
      <c r="E103">
        <v>3321120.08</v>
      </c>
      <c r="F103">
        <v>158546.65</v>
      </c>
      <c r="G103">
        <v>3321120.08</v>
      </c>
      <c r="H103">
        <v>3162573.43</v>
      </c>
      <c r="I103">
        <v>0</v>
      </c>
      <c r="J103" t="s">
        <v>184</v>
      </c>
    </row>
    <row r="104" spans="1:10" x14ac:dyDescent="0.35">
      <c r="A104">
        <v>760</v>
      </c>
      <c r="B104" t="s">
        <v>386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184</v>
      </c>
    </row>
    <row r="105" spans="1:10" x14ac:dyDescent="0.35">
      <c r="A105">
        <v>770</v>
      </c>
      <c r="B105" t="s">
        <v>387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184</v>
      </c>
    </row>
    <row r="106" spans="1:10" x14ac:dyDescent="0.35">
      <c r="A106">
        <v>800</v>
      </c>
      <c r="B106" t="s">
        <v>388</v>
      </c>
      <c r="C106">
        <v>8076024.3200000003</v>
      </c>
      <c r="D106">
        <v>0</v>
      </c>
      <c r="E106">
        <v>8076024.3200000003</v>
      </c>
      <c r="F106">
        <v>158546.65</v>
      </c>
      <c r="G106">
        <v>3321120.08</v>
      </c>
      <c r="H106">
        <v>7917477.6699999999</v>
      </c>
      <c r="I106">
        <v>4754904.24</v>
      </c>
      <c r="J106" t="s">
        <v>184</v>
      </c>
    </row>
    <row r="107" spans="1:10" x14ac:dyDescent="0.35">
      <c r="A107">
        <v>900</v>
      </c>
      <c r="B107" t="s">
        <v>389</v>
      </c>
      <c r="C107">
        <v>42365746.509999998</v>
      </c>
      <c r="D107">
        <v>0</v>
      </c>
      <c r="E107">
        <v>42365746.509999998</v>
      </c>
      <c r="F107">
        <v>17594.240000000002</v>
      </c>
      <c r="G107">
        <v>13396723.17</v>
      </c>
      <c r="H107">
        <v>42348152.270000003</v>
      </c>
      <c r="I107">
        <v>28969023.34</v>
      </c>
      <c r="J107" t="s">
        <v>184</v>
      </c>
    </row>
    <row r="108" spans="1:10" x14ac:dyDescent="0.35">
      <c r="A108">
        <v>1000</v>
      </c>
      <c r="B108" t="s">
        <v>411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184</v>
      </c>
    </row>
    <row r="109" spans="1:10" x14ac:dyDescent="0.35">
      <c r="A109" t="s">
        <v>192</v>
      </c>
      <c r="B109" t="s">
        <v>172</v>
      </c>
      <c r="C109" t="s">
        <v>390</v>
      </c>
      <c r="D109" t="s">
        <v>391</v>
      </c>
      <c r="E109" t="s">
        <v>392</v>
      </c>
      <c r="F109" t="s">
        <v>393</v>
      </c>
      <c r="G109" t="s">
        <v>394</v>
      </c>
      <c r="H109" t="s">
        <v>395</v>
      </c>
      <c r="I109" t="s">
        <v>396</v>
      </c>
      <c r="J109" t="s">
        <v>183</v>
      </c>
    </row>
    <row r="110" spans="1:10" x14ac:dyDescent="0.35">
      <c r="A110">
        <v>10</v>
      </c>
      <c r="B110" t="s">
        <v>397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184</v>
      </c>
    </row>
    <row r="111" spans="1:10" x14ac:dyDescent="0.35">
      <c r="A111">
        <v>20</v>
      </c>
      <c r="B111" t="s">
        <v>339</v>
      </c>
      <c r="C111">
        <v>1550762.8</v>
      </c>
      <c r="D111">
        <v>0</v>
      </c>
      <c r="E111">
        <v>1550762.8</v>
      </c>
      <c r="F111">
        <v>-831954.75</v>
      </c>
      <c r="G111">
        <v>-664158.62</v>
      </c>
      <c r="H111">
        <v>2382717.5499999998</v>
      </c>
      <c r="I111">
        <v>2214921.42</v>
      </c>
      <c r="J111" t="s">
        <v>184</v>
      </c>
    </row>
    <row r="112" spans="1:10" x14ac:dyDescent="0.35">
      <c r="A112">
        <v>30</v>
      </c>
      <c r="B112" t="s">
        <v>340</v>
      </c>
      <c r="C112">
        <v>1464537.66</v>
      </c>
      <c r="D112">
        <v>0</v>
      </c>
      <c r="E112">
        <v>1464537.66</v>
      </c>
      <c r="F112">
        <v>19043.509999999998</v>
      </c>
      <c r="G112">
        <v>-269288.05</v>
      </c>
      <c r="H112">
        <v>1445494.15</v>
      </c>
      <c r="I112">
        <v>1733825.71</v>
      </c>
      <c r="J112" t="s">
        <v>184</v>
      </c>
    </row>
    <row r="113" spans="1:10" x14ac:dyDescent="0.35">
      <c r="A113">
        <v>40</v>
      </c>
      <c r="B113" t="s">
        <v>341</v>
      </c>
      <c r="C113">
        <v>25889916.25</v>
      </c>
      <c r="D113">
        <v>0</v>
      </c>
      <c r="E113">
        <v>25889916.25</v>
      </c>
      <c r="F113">
        <v>2136922.4500000002</v>
      </c>
      <c r="G113">
        <v>-1726899.52</v>
      </c>
      <c r="H113">
        <v>23752993.800000001</v>
      </c>
      <c r="I113">
        <v>27616815.77</v>
      </c>
      <c r="J113" t="s">
        <v>184</v>
      </c>
    </row>
    <row r="114" spans="1:10" x14ac:dyDescent="0.35">
      <c r="A114">
        <v>50</v>
      </c>
      <c r="B114" t="s">
        <v>342</v>
      </c>
      <c r="C114">
        <v>12790724.15</v>
      </c>
      <c r="D114">
        <v>0</v>
      </c>
      <c r="E114">
        <v>12790724.15</v>
      </c>
      <c r="F114">
        <v>45643.54</v>
      </c>
      <c r="G114">
        <v>6885425.2199999997</v>
      </c>
      <c r="H114">
        <v>12745080.609999999</v>
      </c>
      <c r="I114">
        <v>5905298.9299999997</v>
      </c>
      <c r="J114" t="s">
        <v>184</v>
      </c>
    </row>
    <row r="115" spans="1:10" x14ac:dyDescent="0.35">
      <c r="A115">
        <v>60</v>
      </c>
      <c r="B115" t="s">
        <v>343</v>
      </c>
      <c r="C115">
        <v>8979252.8200000003</v>
      </c>
      <c r="D115">
        <v>0</v>
      </c>
      <c r="E115">
        <v>8979252.8200000003</v>
      </c>
      <c r="F115">
        <v>-1629276.82</v>
      </c>
      <c r="G115">
        <v>-2402031.89</v>
      </c>
      <c r="H115">
        <v>10608529.640000001</v>
      </c>
      <c r="I115">
        <v>11381284.710000001</v>
      </c>
      <c r="J115" t="s">
        <v>184</v>
      </c>
    </row>
    <row r="116" spans="1:10" x14ac:dyDescent="0.35">
      <c r="A116">
        <v>70</v>
      </c>
      <c r="B116" t="s">
        <v>344</v>
      </c>
      <c r="C116">
        <v>5442251.2699999996</v>
      </c>
      <c r="D116">
        <v>0</v>
      </c>
      <c r="E116">
        <v>5442251.2699999996</v>
      </c>
      <c r="F116">
        <v>177510.06</v>
      </c>
      <c r="G116">
        <v>3186880.39</v>
      </c>
      <c r="H116">
        <v>5264741.21</v>
      </c>
      <c r="I116">
        <v>2255370.88</v>
      </c>
      <c r="J116" t="s">
        <v>184</v>
      </c>
    </row>
    <row r="117" spans="1:10" x14ac:dyDescent="0.35">
      <c r="A117">
        <v>80</v>
      </c>
      <c r="B117" t="s">
        <v>398</v>
      </c>
      <c r="C117">
        <v>21616888.93</v>
      </c>
      <c r="D117">
        <v>0</v>
      </c>
      <c r="E117">
        <v>21616888.93</v>
      </c>
      <c r="F117">
        <v>1044952.45</v>
      </c>
      <c r="G117">
        <v>8337097.0899999999</v>
      </c>
      <c r="H117">
        <v>20571936.48</v>
      </c>
      <c r="I117">
        <v>13279791.84</v>
      </c>
      <c r="J117" t="s">
        <v>184</v>
      </c>
    </row>
    <row r="118" spans="1:10" x14ac:dyDescent="0.35">
      <c r="A118">
        <v>100</v>
      </c>
      <c r="B118" t="s">
        <v>399</v>
      </c>
      <c r="C118">
        <v>77734333.879999995</v>
      </c>
      <c r="D118">
        <v>0</v>
      </c>
      <c r="E118">
        <v>77734333.879999995</v>
      </c>
      <c r="F118">
        <v>962840.44</v>
      </c>
      <c r="G118">
        <v>13347024.619999999</v>
      </c>
      <c r="H118">
        <v>76771493.439999998</v>
      </c>
      <c r="I118">
        <v>64387309.259999998</v>
      </c>
      <c r="J118" t="s">
        <v>184</v>
      </c>
    </row>
    <row r="119" spans="1:10" x14ac:dyDescent="0.35">
      <c r="A119">
        <v>110</v>
      </c>
      <c r="B119" t="s">
        <v>400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184</v>
      </c>
    </row>
    <row r="120" spans="1:10" x14ac:dyDescent="0.35">
      <c r="A120">
        <v>120</v>
      </c>
      <c r="B120" t="s">
        <v>348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184</v>
      </c>
    </row>
    <row r="121" spans="1:10" x14ac:dyDescent="0.35">
      <c r="A121">
        <v>130</v>
      </c>
      <c r="B121" t="s">
        <v>349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184</v>
      </c>
    </row>
    <row r="122" spans="1:10" x14ac:dyDescent="0.35">
      <c r="A122">
        <v>140</v>
      </c>
      <c r="B122" t="s">
        <v>350</v>
      </c>
      <c r="C122">
        <v>1085627.74</v>
      </c>
      <c r="D122">
        <v>0</v>
      </c>
      <c r="E122">
        <v>1085627.74</v>
      </c>
      <c r="F122">
        <v>0</v>
      </c>
      <c r="G122">
        <v>11253</v>
      </c>
      <c r="H122">
        <v>1085627.74</v>
      </c>
      <c r="I122">
        <v>1074374.74</v>
      </c>
      <c r="J122" t="s">
        <v>184</v>
      </c>
    </row>
    <row r="123" spans="1:10" x14ac:dyDescent="0.35">
      <c r="A123">
        <v>150</v>
      </c>
      <c r="B123" t="s">
        <v>351</v>
      </c>
      <c r="C123">
        <v>1049330.6200000001</v>
      </c>
      <c r="D123">
        <v>0</v>
      </c>
      <c r="E123">
        <v>1049330.6200000001</v>
      </c>
      <c r="F123">
        <v>9258.33</v>
      </c>
      <c r="G123">
        <v>15291.95</v>
      </c>
      <c r="H123">
        <v>1040072.29</v>
      </c>
      <c r="I123">
        <v>1034038.67</v>
      </c>
      <c r="J123" t="s">
        <v>184</v>
      </c>
    </row>
    <row r="124" spans="1:10" x14ac:dyDescent="0.35">
      <c r="A124">
        <v>160</v>
      </c>
      <c r="B124" t="s">
        <v>352</v>
      </c>
      <c r="C124">
        <v>16265836.710000001</v>
      </c>
      <c r="D124">
        <v>0</v>
      </c>
      <c r="E124">
        <v>16265836.710000001</v>
      </c>
      <c r="F124">
        <v>0</v>
      </c>
      <c r="G124">
        <v>1968455.39</v>
      </c>
      <c r="H124">
        <v>16265836.710000001</v>
      </c>
      <c r="I124">
        <v>14297381.32</v>
      </c>
      <c r="J124" t="s">
        <v>184</v>
      </c>
    </row>
    <row r="125" spans="1:10" x14ac:dyDescent="0.35">
      <c r="A125">
        <v>170</v>
      </c>
      <c r="B125" t="s">
        <v>353</v>
      </c>
      <c r="C125">
        <v>4996436.99</v>
      </c>
      <c r="D125">
        <v>0</v>
      </c>
      <c r="E125">
        <v>4996436.99</v>
      </c>
      <c r="F125">
        <v>11194.41</v>
      </c>
      <c r="G125">
        <v>294652.81</v>
      </c>
      <c r="H125">
        <v>4985242.58</v>
      </c>
      <c r="I125">
        <v>4701784.18</v>
      </c>
      <c r="J125" t="s">
        <v>184</v>
      </c>
    </row>
    <row r="126" spans="1:10" x14ac:dyDescent="0.35">
      <c r="A126">
        <v>180</v>
      </c>
      <c r="B126" t="s">
        <v>354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184</v>
      </c>
    </row>
    <row r="127" spans="1:10" x14ac:dyDescent="0.35">
      <c r="A127">
        <v>190</v>
      </c>
      <c r="B127" t="s">
        <v>355</v>
      </c>
      <c r="C127">
        <v>-15920445.279999999</v>
      </c>
      <c r="D127">
        <v>0</v>
      </c>
      <c r="E127">
        <v>-15920445.279999999</v>
      </c>
      <c r="F127">
        <v>-76904.41</v>
      </c>
      <c r="G127">
        <v>-648437.5</v>
      </c>
      <c r="H127">
        <v>-15843540.869999999</v>
      </c>
      <c r="I127">
        <v>-15272007.779999999</v>
      </c>
      <c r="J127" t="s">
        <v>184</v>
      </c>
    </row>
    <row r="128" spans="1:10" x14ac:dyDescent="0.35">
      <c r="A128">
        <v>200</v>
      </c>
      <c r="B128" t="s">
        <v>356</v>
      </c>
      <c r="C128">
        <v>11811850.369999999</v>
      </c>
      <c r="D128">
        <v>0</v>
      </c>
      <c r="E128">
        <v>11811850.369999999</v>
      </c>
      <c r="F128">
        <v>-56451.67</v>
      </c>
      <c r="G128">
        <v>1641215.65</v>
      </c>
      <c r="H128">
        <v>11868302.039999999</v>
      </c>
      <c r="I128">
        <v>10170634.720000001</v>
      </c>
      <c r="J128" t="s">
        <v>184</v>
      </c>
    </row>
    <row r="129" spans="1:10" x14ac:dyDescent="0.35">
      <c r="A129">
        <v>210</v>
      </c>
      <c r="B129" t="s">
        <v>401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184</v>
      </c>
    </row>
    <row r="130" spans="1:10" x14ac:dyDescent="0.35">
      <c r="A130">
        <v>220</v>
      </c>
      <c r="B130" t="s">
        <v>358</v>
      </c>
      <c r="C130">
        <v>15271094.939999999</v>
      </c>
      <c r="D130">
        <v>0</v>
      </c>
      <c r="E130">
        <v>15271094.939999999</v>
      </c>
      <c r="F130">
        <v>3686.51</v>
      </c>
      <c r="G130">
        <v>18661.22</v>
      </c>
      <c r="H130">
        <v>15267408.43</v>
      </c>
      <c r="I130">
        <v>15252433.720000001</v>
      </c>
      <c r="J130" t="s">
        <v>184</v>
      </c>
    </row>
    <row r="131" spans="1:10" x14ac:dyDescent="0.35">
      <c r="A131">
        <v>230</v>
      </c>
      <c r="B131" t="s">
        <v>359</v>
      </c>
      <c r="C131">
        <v>2150717.4700000002</v>
      </c>
      <c r="D131">
        <v>0</v>
      </c>
      <c r="E131">
        <v>2150717.4700000002</v>
      </c>
      <c r="F131">
        <v>0</v>
      </c>
      <c r="G131">
        <v>0</v>
      </c>
      <c r="H131">
        <v>2150717.4700000002</v>
      </c>
      <c r="I131">
        <v>2150717.4700000002</v>
      </c>
      <c r="J131" t="s">
        <v>184</v>
      </c>
    </row>
    <row r="132" spans="1:10" x14ac:dyDescent="0.35">
      <c r="A132">
        <v>240</v>
      </c>
      <c r="B132" t="s">
        <v>360</v>
      </c>
      <c r="C132">
        <v>-6158150.5199999996</v>
      </c>
      <c r="D132">
        <v>0</v>
      </c>
      <c r="E132">
        <v>-6158150.5199999996</v>
      </c>
      <c r="F132">
        <v>-33124.67</v>
      </c>
      <c r="G132">
        <v>-298045.38</v>
      </c>
      <c r="H132">
        <v>-6125025.8499999996</v>
      </c>
      <c r="I132">
        <v>-5860105.1399999997</v>
      </c>
      <c r="J132" t="s">
        <v>184</v>
      </c>
    </row>
    <row r="133" spans="1:10" x14ac:dyDescent="0.35">
      <c r="A133">
        <v>250</v>
      </c>
      <c r="B133" t="s">
        <v>361</v>
      </c>
      <c r="C133">
        <v>11263661.890000001</v>
      </c>
      <c r="D133">
        <v>0</v>
      </c>
      <c r="E133">
        <v>11263661.890000001</v>
      </c>
      <c r="F133">
        <v>-29438.16</v>
      </c>
      <c r="G133">
        <v>-279384.15999999997</v>
      </c>
      <c r="H133">
        <v>11293100.050000001</v>
      </c>
      <c r="I133">
        <v>11543046.050000001</v>
      </c>
      <c r="J133" t="s">
        <v>184</v>
      </c>
    </row>
    <row r="134" spans="1:10" x14ac:dyDescent="0.35">
      <c r="A134">
        <v>260</v>
      </c>
      <c r="B134" t="s">
        <v>362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184</v>
      </c>
    </row>
    <row r="135" spans="1:10" x14ac:dyDescent="0.35">
      <c r="A135">
        <v>270</v>
      </c>
      <c r="B135" t="s">
        <v>363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184</v>
      </c>
    </row>
    <row r="136" spans="1:10" x14ac:dyDescent="0.35">
      <c r="A136">
        <v>280</v>
      </c>
      <c r="B136" t="s">
        <v>402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184</v>
      </c>
    </row>
    <row r="137" spans="1:10" x14ac:dyDescent="0.35">
      <c r="A137">
        <v>400</v>
      </c>
      <c r="B137" t="s">
        <v>365</v>
      </c>
      <c r="C137">
        <v>100809846.14</v>
      </c>
      <c r="D137">
        <v>0</v>
      </c>
      <c r="E137">
        <v>100809846.14</v>
      </c>
      <c r="F137">
        <v>876950.61</v>
      </c>
      <c r="G137">
        <v>14708856.109999999</v>
      </c>
      <c r="H137">
        <v>99932895.530000001</v>
      </c>
      <c r="I137">
        <v>86100990.030000001</v>
      </c>
      <c r="J137" t="s">
        <v>184</v>
      </c>
    </row>
    <row r="138" spans="1:10" x14ac:dyDescent="0.35">
      <c r="A138">
        <v>410</v>
      </c>
      <c r="B138" t="s">
        <v>403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184</v>
      </c>
    </row>
    <row r="139" spans="1:10" x14ac:dyDescent="0.35">
      <c r="A139">
        <v>420</v>
      </c>
      <c r="B139" t="s">
        <v>367</v>
      </c>
      <c r="C139">
        <v>9673786.1300000008</v>
      </c>
      <c r="D139">
        <v>0</v>
      </c>
      <c r="E139">
        <v>9673786.1300000008</v>
      </c>
      <c r="F139">
        <v>-1083352.8500000001</v>
      </c>
      <c r="G139">
        <v>-3036133.1</v>
      </c>
      <c r="H139">
        <v>10757138.98</v>
      </c>
      <c r="I139">
        <v>12709919.23</v>
      </c>
      <c r="J139" t="s">
        <v>184</v>
      </c>
    </row>
    <row r="140" spans="1:10" x14ac:dyDescent="0.35">
      <c r="A140">
        <v>430</v>
      </c>
      <c r="B140" t="s">
        <v>368</v>
      </c>
      <c r="C140">
        <v>11294607.49</v>
      </c>
      <c r="D140">
        <v>0</v>
      </c>
      <c r="E140">
        <v>11294607.49</v>
      </c>
      <c r="F140">
        <v>365871.33</v>
      </c>
      <c r="G140">
        <v>4272161.3099999996</v>
      </c>
      <c r="H140">
        <v>10928736.16</v>
      </c>
      <c r="I140">
        <v>7022446.1799999997</v>
      </c>
      <c r="J140" t="s">
        <v>184</v>
      </c>
    </row>
    <row r="141" spans="1:10" x14ac:dyDescent="0.35">
      <c r="A141">
        <v>440</v>
      </c>
      <c r="B141" t="s">
        <v>369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184</v>
      </c>
    </row>
    <row r="142" spans="1:10" x14ac:dyDescent="0.35">
      <c r="A142">
        <v>450</v>
      </c>
      <c r="B142" t="s">
        <v>404</v>
      </c>
      <c r="C142">
        <v>13257762.109999999</v>
      </c>
      <c r="D142">
        <v>0</v>
      </c>
      <c r="E142">
        <v>13257762.109999999</v>
      </c>
      <c r="F142">
        <v>570112.79</v>
      </c>
      <c r="G142">
        <v>3879337.99</v>
      </c>
      <c r="H142">
        <v>12687649.32</v>
      </c>
      <c r="I142">
        <v>9378424.1199999992</v>
      </c>
      <c r="J142" t="s">
        <v>184</v>
      </c>
    </row>
    <row r="143" spans="1:10" x14ac:dyDescent="0.35">
      <c r="A143">
        <v>460</v>
      </c>
      <c r="B143" t="s">
        <v>405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184</v>
      </c>
    </row>
    <row r="144" spans="1:10" x14ac:dyDescent="0.35">
      <c r="A144">
        <v>500</v>
      </c>
      <c r="B144" t="s">
        <v>372</v>
      </c>
      <c r="C144">
        <v>34226155.729999997</v>
      </c>
      <c r="D144">
        <v>0</v>
      </c>
      <c r="E144">
        <v>34226155.729999997</v>
      </c>
      <c r="F144">
        <v>-147368.73000000001</v>
      </c>
      <c r="G144">
        <v>5115366.2</v>
      </c>
      <c r="H144">
        <v>34373524.460000001</v>
      </c>
      <c r="I144">
        <v>29110789.530000001</v>
      </c>
      <c r="J144" t="s">
        <v>184</v>
      </c>
    </row>
    <row r="145" spans="1:10" x14ac:dyDescent="0.35">
      <c r="A145">
        <v>510</v>
      </c>
      <c r="B145" t="s">
        <v>406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184</v>
      </c>
    </row>
    <row r="146" spans="1:10" x14ac:dyDescent="0.35">
      <c r="A146">
        <v>520</v>
      </c>
      <c r="B146" t="s">
        <v>407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184</v>
      </c>
    </row>
    <row r="147" spans="1:10" x14ac:dyDescent="0.35">
      <c r="A147">
        <v>530</v>
      </c>
      <c r="B147" t="s">
        <v>407</v>
      </c>
      <c r="C147">
        <v>2425023.94</v>
      </c>
      <c r="D147">
        <v>0</v>
      </c>
      <c r="E147">
        <v>2425023.94</v>
      </c>
      <c r="F147">
        <v>-54629.54</v>
      </c>
      <c r="G147">
        <v>-2000.31</v>
      </c>
      <c r="H147">
        <v>2479653.48</v>
      </c>
      <c r="I147">
        <v>2427024.25</v>
      </c>
      <c r="J147" t="s">
        <v>184</v>
      </c>
    </row>
    <row r="148" spans="1:10" x14ac:dyDescent="0.35">
      <c r="A148">
        <v>540</v>
      </c>
      <c r="B148" t="s">
        <v>376</v>
      </c>
      <c r="C148">
        <v>653876.64</v>
      </c>
      <c r="D148">
        <v>0</v>
      </c>
      <c r="E148">
        <v>653876.64</v>
      </c>
      <c r="F148">
        <v>-50248.160000000003</v>
      </c>
      <c r="G148">
        <v>-452233.44</v>
      </c>
      <c r="H148">
        <v>704124.8</v>
      </c>
      <c r="I148">
        <v>1106110.08</v>
      </c>
      <c r="J148" t="s">
        <v>184</v>
      </c>
    </row>
    <row r="149" spans="1:10" x14ac:dyDescent="0.35">
      <c r="A149">
        <v>600</v>
      </c>
      <c r="B149" t="s">
        <v>377</v>
      </c>
      <c r="C149">
        <v>3078900.58</v>
      </c>
      <c r="D149">
        <v>0</v>
      </c>
      <c r="E149">
        <v>3078900.58</v>
      </c>
      <c r="F149">
        <v>-104877.7</v>
      </c>
      <c r="G149">
        <v>-454233.75</v>
      </c>
      <c r="H149">
        <v>3183778.28</v>
      </c>
      <c r="I149">
        <v>3533134.33</v>
      </c>
      <c r="J149" t="s">
        <v>184</v>
      </c>
    </row>
    <row r="150" spans="1:10" x14ac:dyDescent="0.35">
      <c r="A150">
        <v>610</v>
      </c>
      <c r="B150" t="s">
        <v>408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184</v>
      </c>
    </row>
    <row r="151" spans="1:10" x14ac:dyDescent="0.35">
      <c r="A151">
        <v>620</v>
      </c>
      <c r="B151" t="s">
        <v>379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184</v>
      </c>
    </row>
    <row r="152" spans="1:10" x14ac:dyDescent="0.35">
      <c r="A152">
        <v>700</v>
      </c>
      <c r="B152" t="s">
        <v>409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184</v>
      </c>
    </row>
    <row r="153" spans="1:10" x14ac:dyDescent="0.35">
      <c r="A153">
        <v>710</v>
      </c>
      <c r="B153" t="s">
        <v>410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184</v>
      </c>
    </row>
    <row r="154" spans="1:10" x14ac:dyDescent="0.35">
      <c r="A154">
        <v>720</v>
      </c>
      <c r="B154" t="s">
        <v>382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184</v>
      </c>
    </row>
    <row r="155" spans="1:10" x14ac:dyDescent="0.35">
      <c r="A155">
        <v>730</v>
      </c>
      <c r="B155" t="s">
        <v>383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184</v>
      </c>
    </row>
    <row r="156" spans="1:10" x14ac:dyDescent="0.35">
      <c r="A156">
        <v>740</v>
      </c>
      <c r="B156" t="s">
        <v>384</v>
      </c>
      <c r="C156">
        <v>34341821.579999998</v>
      </c>
      <c r="D156">
        <v>0</v>
      </c>
      <c r="E156">
        <v>34341821.579999998</v>
      </c>
      <c r="F156">
        <v>0</v>
      </c>
      <c r="G156">
        <v>0</v>
      </c>
      <c r="H156">
        <v>34341821.579999998</v>
      </c>
      <c r="I156">
        <v>34341821.579999998</v>
      </c>
      <c r="J156" t="s">
        <v>184</v>
      </c>
    </row>
    <row r="157" spans="1:10" x14ac:dyDescent="0.35">
      <c r="A157">
        <v>750</v>
      </c>
      <c r="B157" t="s">
        <v>385</v>
      </c>
      <c r="C157">
        <v>10047723.66</v>
      </c>
      <c r="D157">
        <v>0</v>
      </c>
      <c r="E157">
        <v>10047723.66</v>
      </c>
      <c r="F157">
        <v>1129197.04</v>
      </c>
      <c r="G157">
        <v>10047723.66</v>
      </c>
      <c r="H157">
        <v>8918526.6199999992</v>
      </c>
      <c r="I157">
        <v>0</v>
      </c>
      <c r="J157" t="s">
        <v>184</v>
      </c>
    </row>
    <row r="158" spans="1:10" x14ac:dyDescent="0.35">
      <c r="A158">
        <v>760</v>
      </c>
      <c r="B158" t="s">
        <v>386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184</v>
      </c>
    </row>
    <row r="159" spans="1:10" x14ac:dyDescent="0.35">
      <c r="A159">
        <v>770</v>
      </c>
      <c r="B159" t="s">
        <v>387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184</v>
      </c>
    </row>
    <row r="160" spans="1:10" x14ac:dyDescent="0.35">
      <c r="A160">
        <v>800</v>
      </c>
      <c r="B160" t="s">
        <v>388</v>
      </c>
      <c r="C160">
        <v>63504789.829999998</v>
      </c>
      <c r="D160">
        <v>0</v>
      </c>
      <c r="E160">
        <v>63504789.829999998</v>
      </c>
      <c r="F160">
        <v>1129197.04</v>
      </c>
      <c r="G160">
        <v>10047723.66</v>
      </c>
      <c r="H160">
        <v>62375592.789999999</v>
      </c>
      <c r="I160">
        <v>53457066.170000002</v>
      </c>
      <c r="J160" t="s">
        <v>184</v>
      </c>
    </row>
    <row r="161" spans="1:10" x14ac:dyDescent="0.35">
      <c r="A161">
        <v>900</v>
      </c>
      <c r="B161" t="s">
        <v>389</v>
      </c>
      <c r="C161">
        <v>100809846.14</v>
      </c>
      <c r="D161">
        <v>0</v>
      </c>
      <c r="E161">
        <v>100809846.14</v>
      </c>
      <c r="F161">
        <v>876950.61</v>
      </c>
      <c r="G161">
        <v>14708856.109999999</v>
      </c>
      <c r="H161">
        <v>99932895.530000001</v>
      </c>
      <c r="I161">
        <v>86100990.030000001</v>
      </c>
      <c r="J161" t="s">
        <v>184</v>
      </c>
    </row>
    <row r="162" spans="1:10" x14ac:dyDescent="0.35">
      <c r="A162">
        <v>1000</v>
      </c>
      <c r="B162" t="s">
        <v>411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184</v>
      </c>
    </row>
    <row r="163" spans="1:10" x14ac:dyDescent="0.35">
      <c r="A163" t="s">
        <v>199</v>
      </c>
      <c r="B163" t="s">
        <v>172</v>
      </c>
      <c r="C163" t="s">
        <v>390</v>
      </c>
      <c r="D163" t="s">
        <v>391</v>
      </c>
      <c r="E163" t="s">
        <v>392</v>
      </c>
      <c r="F163" t="s">
        <v>393</v>
      </c>
      <c r="G163" t="s">
        <v>394</v>
      </c>
      <c r="H163" t="s">
        <v>395</v>
      </c>
      <c r="I163" t="s">
        <v>396</v>
      </c>
      <c r="J163" t="s">
        <v>183</v>
      </c>
    </row>
    <row r="164" spans="1:10" x14ac:dyDescent="0.35">
      <c r="A164">
        <v>10</v>
      </c>
      <c r="B164" t="s">
        <v>397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184</v>
      </c>
    </row>
    <row r="165" spans="1:10" x14ac:dyDescent="0.35">
      <c r="A165">
        <v>20</v>
      </c>
      <c r="B165" t="s">
        <v>339</v>
      </c>
      <c r="C165">
        <v>165801.5</v>
      </c>
      <c r="D165">
        <v>0</v>
      </c>
      <c r="E165">
        <v>165801.5</v>
      </c>
      <c r="F165">
        <v>-110303.44</v>
      </c>
      <c r="G165">
        <v>73625.89</v>
      </c>
      <c r="H165">
        <v>276104.94</v>
      </c>
      <c r="I165">
        <v>92175.61</v>
      </c>
      <c r="J165" t="s">
        <v>184</v>
      </c>
    </row>
    <row r="166" spans="1:10" x14ac:dyDescent="0.35">
      <c r="A166">
        <v>30</v>
      </c>
      <c r="B166" t="s">
        <v>340</v>
      </c>
      <c r="C166">
        <v>-367.47</v>
      </c>
      <c r="D166">
        <v>0</v>
      </c>
      <c r="E166">
        <v>-367.47</v>
      </c>
      <c r="F166">
        <v>0</v>
      </c>
      <c r="G166">
        <v>0</v>
      </c>
      <c r="H166">
        <v>-367.47</v>
      </c>
      <c r="I166">
        <v>-367.47</v>
      </c>
      <c r="J166" t="s">
        <v>184</v>
      </c>
    </row>
    <row r="167" spans="1:10" x14ac:dyDescent="0.35">
      <c r="A167">
        <v>40</v>
      </c>
      <c r="B167" t="s">
        <v>341</v>
      </c>
      <c r="C167">
        <v>4001070.05</v>
      </c>
      <c r="D167">
        <v>0</v>
      </c>
      <c r="E167">
        <v>4001070.05</v>
      </c>
      <c r="F167">
        <v>224838.11</v>
      </c>
      <c r="G167">
        <v>1428221.6</v>
      </c>
      <c r="H167">
        <v>3776231.94</v>
      </c>
      <c r="I167">
        <v>2572848.4500000002</v>
      </c>
      <c r="J167" t="s">
        <v>184</v>
      </c>
    </row>
    <row r="168" spans="1:10" x14ac:dyDescent="0.35">
      <c r="A168">
        <v>50</v>
      </c>
      <c r="B168" t="s">
        <v>342</v>
      </c>
      <c r="C168">
        <v>381040.22</v>
      </c>
      <c r="D168">
        <v>0</v>
      </c>
      <c r="E168">
        <v>381040.22</v>
      </c>
      <c r="F168">
        <v>14891.35</v>
      </c>
      <c r="G168">
        <v>-833465.64</v>
      </c>
      <c r="H168">
        <v>366148.87</v>
      </c>
      <c r="I168">
        <v>1214505.8600000001</v>
      </c>
      <c r="J168" t="s">
        <v>184</v>
      </c>
    </row>
    <row r="169" spans="1:10" x14ac:dyDescent="0.35">
      <c r="A169">
        <v>60</v>
      </c>
      <c r="B169" t="s">
        <v>343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184</v>
      </c>
    </row>
    <row r="170" spans="1:10" x14ac:dyDescent="0.35">
      <c r="A170">
        <v>70</v>
      </c>
      <c r="B170" t="s">
        <v>344</v>
      </c>
      <c r="C170">
        <v>827981.78</v>
      </c>
      <c r="D170">
        <v>0</v>
      </c>
      <c r="E170">
        <v>827981.78</v>
      </c>
      <c r="F170">
        <v>243491.99</v>
      </c>
      <c r="G170">
        <v>355178.1</v>
      </c>
      <c r="H170">
        <v>584489.79</v>
      </c>
      <c r="I170">
        <v>472803.68</v>
      </c>
      <c r="J170" t="s">
        <v>184</v>
      </c>
    </row>
    <row r="171" spans="1:10" x14ac:dyDescent="0.35">
      <c r="A171">
        <v>80</v>
      </c>
      <c r="B171" t="s">
        <v>398</v>
      </c>
      <c r="C171">
        <v>2588458.67</v>
      </c>
      <c r="D171">
        <v>0</v>
      </c>
      <c r="E171">
        <v>2588458.67</v>
      </c>
      <c r="F171">
        <v>104159.27</v>
      </c>
      <c r="G171">
        <v>1153285.1100000001</v>
      </c>
      <c r="H171">
        <v>2484299.4</v>
      </c>
      <c r="I171">
        <v>1435173.56</v>
      </c>
      <c r="J171" t="s">
        <v>184</v>
      </c>
    </row>
    <row r="172" spans="1:10" x14ac:dyDescent="0.35">
      <c r="A172">
        <v>100</v>
      </c>
      <c r="B172" t="s">
        <v>399</v>
      </c>
      <c r="C172">
        <v>7963984.75</v>
      </c>
      <c r="D172">
        <v>0</v>
      </c>
      <c r="E172">
        <v>7963984.75</v>
      </c>
      <c r="F172">
        <v>477077.28</v>
      </c>
      <c r="G172">
        <v>2176845.06</v>
      </c>
      <c r="H172">
        <v>7486907.4699999997</v>
      </c>
      <c r="I172">
        <v>5787139.6900000004</v>
      </c>
      <c r="J172" t="s">
        <v>184</v>
      </c>
    </row>
    <row r="173" spans="1:10" x14ac:dyDescent="0.35">
      <c r="A173">
        <v>110</v>
      </c>
      <c r="B173" t="s">
        <v>400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184</v>
      </c>
    </row>
    <row r="174" spans="1:10" x14ac:dyDescent="0.35">
      <c r="A174">
        <v>120</v>
      </c>
      <c r="B174" t="s">
        <v>348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184</v>
      </c>
    </row>
    <row r="175" spans="1:10" x14ac:dyDescent="0.35">
      <c r="A175">
        <v>130</v>
      </c>
      <c r="B175" t="s">
        <v>349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184</v>
      </c>
    </row>
    <row r="176" spans="1:10" x14ac:dyDescent="0.35">
      <c r="A176">
        <v>140</v>
      </c>
      <c r="B176" t="s">
        <v>350</v>
      </c>
      <c r="C176">
        <v>713658.59</v>
      </c>
      <c r="D176">
        <v>0</v>
      </c>
      <c r="E176">
        <v>713658.59</v>
      </c>
      <c r="F176">
        <v>344.83</v>
      </c>
      <c r="G176">
        <v>38929.11</v>
      </c>
      <c r="H176">
        <v>713313.76</v>
      </c>
      <c r="I176">
        <v>674729.48</v>
      </c>
      <c r="J176" t="s">
        <v>184</v>
      </c>
    </row>
    <row r="177" spans="1:10" x14ac:dyDescent="0.35">
      <c r="A177">
        <v>150</v>
      </c>
      <c r="B177" t="s">
        <v>351</v>
      </c>
      <c r="C177">
        <v>2391910.15</v>
      </c>
      <c r="D177">
        <v>0</v>
      </c>
      <c r="E177">
        <v>2391910.15</v>
      </c>
      <c r="F177">
        <v>7476.08</v>
      </c>
      <c r="G177">
        <v>96512.95</v>
      </c>
      <c r="H177">
        <v>2384434.0699999998</v>
      </c>
      <c r="I177">
        <v>2295397.2000000002</v>
      </c>
      <c r="J177" t="s">
        <v>184</v>
      </c>
    </row>
    <row r="178" spans="1:10" x14ac:dyDescent="0.35">
      <c r="A178">
        <v>160</v>
      </c>
      <c r="B178" t="s">
        <v>352</v>
      </c>
      <c r="C178">
        <v>3281076.65</v>
      </c>
      <c r="D178">
        <v>0</v>
      </c>
      <c r="E178">
        <v>3281076.65</v>
      </c>
      <c r="F178">
        <v>0</v>
      </c>
      <c r="G178">
        <v>0</v>
      </c>
      <c r="H178">
        <v>3281076.65</v>
      </c>
      <c r="I178">
        <v>3281076.65</v>
      </c>
      <c r="J178" t="s">
        <v>184</v>
      </c>
    </row>
    <row r="179" spans="1:10" x14ac:dyDescent="0.35">
      <c r="A179">
        <v>170</v>
      </c>
      <c r="B179" t="s">
        <v>353</v>
      </c>
      <c r="C179">
        <v>9454.14</v>
      </c>
      <c r="D179">
        <v>0</v>
      </c>
      <c r="E179">
        <v>9454.14</v>
      </c>
      <c r="F179">
        <v>0</v>
      </c>
      <c r="G179">
        <v>0</v>
      </c>
      <c r="H179">
        <v>9454.14</v>
      </c>
      <c r="I179">
        <v>9454.14</v>
      </c>
      <c r="J179" t="s">
        <v>184</v>
      </c>
    </row>
    <row r="180" spans="1:10" x14ac:dyDescent="0.35">
      <c r="A180">
        <v>180</v>
      </c>
      <c r="B180" t="s">
        <v>354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184</v>
      </c>
    </row>
    <row r="181" spans="1:10" x14ac:dyDescent="0.35">
      <c r="A181">
        <v>190</v>
      </c>
      <c r="B181" t="s">
        <v>355</v>
      </c>
      <c r="C181">
        <v>-5209404.87</v>
      </c>
      <c r="D181">
        <v>0</v>
      </c>
      <c r="E181">
        <v>-5209404.87</v>
      </c>
      <c r="F181">
        <v>-41879.120000000003</v>
      </c>
      <c r="G181">
        <v>-376912.08</v>
      </c>
      <c r="H181">
        <v>-5167525.75</v>
      </c>
      <c r="I181">
        <v>-4832492.79</v>
      </c>
      <c r="J181" t="s">
        <v>184</v>
      </c>
    </row>
    <row r="182" spans="1:10" x14ac:dyDescent="0.35">
      <c r="A182">
        <v>200</v>
      </c>
      <c r="B182" t="s">
        <v>356</v>
      </c>
      <c r="C182">
        <v>1186694.6599999999</v>
      </c>
      <c r="D182">
        <v>0</v>
      </c>
      <c r="E182">
        <v>1186694.6599999999</v>
      </c>
      <c r="F182">
        <v>-34058.21</v>
      </c>
      <c r="G182">
        <v>-241470.02</v>
      </c>
      <c r="H182">
        <v>1220752.8700000001</v>
      </c>
      <c r="I182">
        <v>1428164.68</v>
      </c>
      <c r="J182" t="s">
        <v>184</v>
      </c>
    </row>
    <row r="183" spans="1:10" x14ac:dyDescent="0.35">
      <c r="A183">
        <v>210</v>
      </c>
      <c r="B183" t="s">
        <v>401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184</v>
      </c>
    </row>
    <row r="184" spans="1:10" x14ac:dyDescent="0.35">
      <c r="A184">
        <v>220</v>
      </c>
      <c r="B184" t="s">
        <v>358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184</v>
      </c>
    </row>
    <row r="185" spans="1:10" x14ac:dyDescent="0.35">
      <c r="A185">
        <v>230</v>
      </c>
      <c r="B185" t="s">
        <v>359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184</v>
      </c>
    </row>
    <row r="186" spans="1:10" x14ac:dyDescent="0.35">
      <c r="A186">
        <v>240</v>
      </c>
      <c r="B186" t="s">
        <v>360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184</v>
      </c>
    </row>
    <row r="187" spans="1:10" x14ac:dyDescent="0.35">
      <c r="A187">
        <v>250</v>
      </c>
      <c r="B187" t="s">
        <v>361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184</v>
      </c>
    </row>
    <row r="188" spans="1:10" x14ac:dyDescent="0.35">
      <c r="A188">
        <v>260</v>
      </c>
      <c r="B188" t="s">
        <v>362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184</v>
      </c>
    </row>
    <row r="189" spans="1:10" x14ac:dyDescent="0.35">
      <c r="A189">
        <v>270</v>
      </c>
      <c r="B189" t="s">
        <v>363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184</v>
      </c>
    </row>
    <row r="190" spans="1:10" x14ac:dyDescent="0.35">
      <c r="A190">
        <v>280</v>
      </c>
      <c r="B190" t="s">
        <v>402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184</v>
      </c>
    </row>
    <row r="191" spans="1:10" x14ac:dyDescent="0.35">
      <c r="A191">
        <v>400</v>
      </c>
      <c r="B191" t="s">
        <v>365</v>
      </c>
      <c r="C191">
        <v>9397633.9199999999</v>
      </c>
      <c r="D191">
        <v>0</v>
      </c>
      <c r="E191">
        <v>9397633.9199999999</v>
      </c>
      <c r="F191">
        <v>443019.07</v>
      </c>
      <c r="G191">
        <v>1935375.04</v>
      </c>
      <c r="H191">
        <v>8954614.8499999996</v>
      </c>
      <c r="I191">
        <v>7462258.8799999999</v>
      </c>
      <c r="J191" t="s">
        <v>184</v>
      </c>
    </row>
    <row r="192" spans="1:10" x14ac:dyDescent="0.35">
      <c r="A192">
        <v>410</v>
      </c>
      <c r="B192" t="s">
        <v>403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184</v>
      </c>
    </row>
    <row r="193" spans="1:10" x14ac:dyDescent="0.35">
      <c r="A193">
        <v>420</v>
      </c>
      <c r="B193" t="s">
        <v>367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184</v>
      </c>
    </row>
    <row r="194" spans="1:10" x14ac:dyDescent="0.35">
      <c r="A194">
        <v>430</v>
      </c>
      <c r="B194" t="s">
        <v>368</v>
      </c>
      <c r="C194">
        <v>371316.83</v>
      </c>
      <c r="D194">
        <v>0</v>
      </c>
      <c r="E194">
        <v>371316.83</v>
      </c>
      <c r="F194">
        <v>-100113.35</v>
      </c>
      <c r="G194">
        <v>-3895453.3</v>
      </c>
      <c r="H194">
        <v>471430.18</v>
      </c>
      <c r="I194">
        <v>4266770.13</v>
      </c>
      <c r="J194" t="s">
        <v>184</v>
      </c>
    </row>
    <row r="195" spans="1:10" x14ac:dyDescent="0.35">
      <c r="A195">
        <v>440</v>
      </c>
      <c r="B195" t="s">
        <v>369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184</v>
      </c>
    </row>
    <row r="196" spans="1:10" x14ac:dyDescent="0.35">
      <c r="A196">
        <v>450</v>
      </c>
      <c r="B196" t="s">
        <v>404</v>
      </c>
      <c r="C196">
        <v>10264928.82</v>
      </c>
      <c r="D196">
        <v>0</v>
      </c>
      <c r="E196">
        <v>10264928.82</v>
      </c>
      <c r="F196">
        <v>394154.7</v>
      </c>
      <c r="G196">
        <v>5154943.97</v>
      </c>
      <c r="H196">
        <v>9870774.1199999992</v>
      </c>
      <c r="I196">
        <v>5109984.8499999996</v>
      </c>
      <c r="J196" t="s">
        <v>184</v>
      </c>
    </row>
    <row r="197" spans="1:10" x14ac:dyDescent="0.35">
      <c r="A197">
        <v>460</v>
      </c>
      <c r="B197" t="s">
        <v>405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184</v>
      </c>
    </row>
    <row r="198" spans="1:10" x14ac:dyDescent="0.35">
      <c r="A198">
        <v>500</v>
      </c>
      <c r="B198" t="s">
        <v>372</v>
      </c>
      <c r="C198">
        <v>10636245.65</v>
      </c>
      <c r="D198">
        <v>0</v>
      </c>
      <c r="E198">
        <v>10636245.65</v>
      </c>
      <c r="F198">
        <v>294041.34999999998</v>
      </c>
      <c r="G198">
        <v>1259490.67</v>
      </c>
      <c r="H198">
        <v>10342204.300000001</v>
      </c>
      <c r="I198">
        <v>9376754.9800000004</v>
      </c>
      <c r="J198" t="s">
        <v>184</v>
      </c>
    </row>
    <row r="199" spans="1:10" x14ac:dyDescent="0.35">
      <c r="A199">
        <v>510</v>
      </c>
      <c r="B199" t="s">
        <v>406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184</v>
      </c>
    </row>
    <row r="200" spans="1:10" x14ac:dyDescent="0.35">
      <c r="A200">
        <v>520</v>
      </c>
      <c r="B200" t="s">
        <v>407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184</v>
      </c>
    </row>
    <row r="201" spans="1:10" x14ac:dyDescent="0.35">
      <c r="A201">
        <v>530</v>
      </c>
      <c r="B201" t="s">
        <v>407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184</v>
      </c>
    </row>
    <row r="202" spans="1:10" x14ac:dyDescent="0.35">
      <c r="A202">
        <v>540</v>
      </c>
      <c r="B202" t="s">
        <v>376</v>
      </c>
      <c r="C202">
        <v>-805054.62</v>
      </c>
      <c r="D202">
        <v>0</v>
      </c>
      <c r="E202">
        <v>-805054.62</v>
      </c>
      <c r="F202">
        <v>0</v>
      </c>
      <c r="G202">
        <v>-43129.19</v>
      </c>
      <c r="H202">
        <v>-805054.62</v>
      </c>
      <c r="I202">
        <v>-761925.43</v>
      </c>
      <c r="J202" t="s">
        <v>184</v>
      </c>
    </row>
    <row r="203" spans="1:10" x14ac:dyDescent="0.35">
      <c r="A203">
        <v>600</v>
      </c>
      <c r="B203" t="s">
        <v>377</v>
      </c>
      <c r="C203">
        <v>-805054.62</v>
      </c>
      <c r="D203">
        <v>0</v>
      </c>
      <c r="E203">
        <v>-805054.62</v>
      </c>
      <c r="F203">
        <v>0</v>
      </c>
      <c r="G203">
        <v>-43129.19</v>
      </c>
      <c r="H203">
        <v>-805054.62</v>
      </c>
      <c r="I203">
        <v>-761925.43</v>
      </c>
      <c r="J203" t="s">
        <v>184</v>
      </c>
    </row>
    <row r="204" spans="1:10" x14ac:dyDescent="0.35">
      <c r="A204">
        <v>610</v>
      </c>
      <c r="B204" t="s">
        <v>408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184</v>
      </c>
    </row>
    <row r="205" spans="1:10" x14ac:dyDescent="0.35">
      <c r="A205">
        <v>620</v>
      </c>
      <c r="B205" t="s">
        <v>379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184</v>
      </c>
    </row>
    <row r="206" spans="1:10" x14ac:dyDescent="0.35">
      <c r="A206">
        <v>700</v>
      </c>
      <c r="B206" t="s">
        <v>409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184</v>
      </c>
    </row>
    <row r="207" spans="1:10" x14ac:dyDescent="0.35">
      <c r="A207">
        <v>710</v>
      </c>
      <c r="B207" t="s">
        <v>410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184</v>
      </c>
    </row>
    <row r="208" spans="1:10" x14ac:dyDescent="0.35">
      <c r="A208">
        <v>720</v>
      </c>
      <c r="B208" t="s">
        <v>382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184</v>
      </c>
    </row>
    <row r="209" spans="1:10" x14ac:dyDescent="0.35">
      <c r="A209">
        <v>730</v>
      </c>
      <c r="B209" t="s">
        <v>383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184</v>
      </c>
    </row>
    <row r="210" spans="1:10" x14ac:dyDescent="0.35">
      <c r="A210">
        <v>740</v>
      </c>
      <c r="B210" t="s">
        <v>384</v>
      </c>
      <c r="C210">
        <v>-8517993.1999999993</v>
      </c>
      <c r="D210">
        <v>0</v>
      </c>
      <c r="E210">
        <v>-8517993.1999999993</v>
      </c>
      <c r="F210">
        <v>0</v>
      </c>
      <c r="G210">
        <v>0</v>
      </c>
      <c r="H210">
        <v>-8517993.1999999993</v>
      </c>
      <c r="I210">
        <v>-8517993.1999999993</v>
      </c>
      <c r="J210" t="s">
        <v>184</v>
      </c>
    </row>
    <row r="211" spans="1:10" x14ac:dyDescent="0.35">
      <c r="A211">
        <v>750</v>
      </c>
      <c r="B211" t="s">
        <v>385</v>
      </c>
      <c r="C211">
        <v>719013.56</v>
      </c>
      <c r="D211">
        <v>0</v>
      </c>
      <c r="E211">
        <v>719013.56</v>
      </c>
      <c r="F211">
        <v>148977.72</v>
      </c>
      <c r="G211">
        <v>719013.56</v>
      </c>
      <c r="H211">
        <v>570035.84</v>
      </c>
      <c r="I211">
        <v>0</v>
      </c>
      <c r="J211" t="s">
        <v>184</v>
      </c>
    </row>
    <row r="212" spans="1:10" x14ac:dyDescent="0.35">
      <c r="A212">
        <v>760</v>
      </c>
      <c r="B212" t="s">
        <v>386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184</v>
      </c>
    </row>
    <row r="213" spans="1:10" x14ac:dyDescent="0.35">
      <c r="A213">
        <v>770</v>
      </c>
      <c r="B213" t="s">
        <v>387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184</v>
      </c>
    </row>
    <row r="214" spans="1:10" x14ac:dyDescent="0.35">
      <c r="A214">
        <v>800</v>
      </c>
      <c r="B214" t="s">
        <v>388</v>
      </c>
      <c r="C214">
        <v>-433557.11</v>
      </c>
      <c r="D214">
        <v>0</v>
      </c>
      <c r="E214">
        <v>-433557.11</v>
      </c>
      <c r="F214">
        <v>148977.72</v>
      </c>
      <c r="G214">
        <v>719013.56</v>
      </c>
      <c r="H214">
        <v>-582534.82999999996</v>
      </c>
      <c r="I214">
        <v>-1152570.67</v>
      </c>
      <c r="J214" t="s">
        <v>184</v>
      </c>
    </row>
    <row r="215" spans="1:10" x14ac:dyDescent="0.35">
      <c r="A215">
        <v>900</v>
      </c>
      <c r="B215" t="s">
        <v>389</v>
      </c>
      <c r="C215">
        <v>9397633.9199999999</v>
      </c>
      <c r="D215">
        <v>0</v>
      </c>
      <c r="E215">
        <v>9397633.9199999999</v>
      </c>
      <c r="F215">
        <v>443019.07</v>
      </c>
      <c r="G215">
        <v>1935375.04</v>
      </c>
      <c r="H215">
        <v>8954614.8499999996</v>
      </c>
      <c r="I215">
        <v>7462258.8799999999</v>
      </c>
      <c r="J215" t="s">
        <v>184</v>
      </c>
    </row>
    <row r="216" spans="1:10" x14ac:dyDescent="0.35">
      <c r="A216">
        <v>1000</v>
      </c>
      <c r="B216" t="s">
        <v>411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184</v>
      </c>
    </row>
    <row r="217" spans="1:10" x14ac:dyDescent="0.35">
      <c r="A217" t="s">
        <v>203</v>
      </c>
      <c r="B217" t="s">
        <v>172</v>
      </c>
      <c r="C217" t="s">
        <v>390</v>
      </c>
      <c r="D217" t="s">
        <v>391</v>
      </c>
      <c r="E217" t="s">
        <v>392</v>
      </c>
      <c r="F217" t="s">
        <v>393</v>
      </c>
      <c r="G217" t="s">
        <v>394</v>
      </c>
      <c r="H217" t="s">
        <v>395</v>
      </c>
      <c r="I217" t="s">
        <v>396</v>
      </c>
      <c r="J217" t="s">
        <v>183</v>
      </c>
    </row>
    <row r="218" spans="1:10" x14ac:dyDescent="0.35">
      <c r="A218">
        <v>10</v>
      </c>
      <c r="B218" t="s">
        <v>397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184</v>
      </c>
    </row>
    <row r="219" spans="1:10" x14ac:dyDescent="0.35">
      <c r="A219">
        <v>20</v>
      </c>
      <c r="B219" t="s">
        <v>339</v>
      </c>
      <c r="C219">
        <v>21308.62</v>
      </c>
      <c r="D219">
        <v>0</v>
      </c>
      <c r="E219">
        <v>21308.62</v>
      </c>
      <c r="F219">
        <v>-3139.86</v>
      </c>
      <c r="G219">
        <v>-363615.61</v>
      </c>
      <c r="H219">
        <v>24448.48</v>
      </c>
      <c r="I219">
        <v>384924.23</v>
      </c>
      <c r="J219" t="s">
        <v>184</v>
      </c>
    </row>
    <row r="220" spans="1:10" x14ac:dyDescent="0.35">
      <c r="A220">
        <v>30</v>
      </c>
      <c r="B220" t="s">
        <v>340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184</v>
      </c>
    </row>
    <row r="221" spans="1:10" x14ac:dyDescent="0.35">
      <c r="A221">
        <v>40</v>
      </c>
      <c r="B221" t="s">
        <v>341</v>
      </c>
      <c r="C221">
        <v>1973634.86</v>
      </c>
      <c r="D221">
        <v>0</v>
      </c>
      <c r="E221">
        <v>1973634.86</v>
      </c>
      <c r="F221">
        <v>686568.04</v>
      </c>
      <c r="G221">
        <v>592076.48</v>
      </c>
      <c r="H221">
        <v>1287066.82</v>
      </c>
      <c r="I221">
        <v>1381558.38</v>
      </c>
      <c r="J221" t="s">
        <v>184</v>
      </c>
    </row>
    <row r="222" spans="1:10" x14ac:dyDescent="0.35">
      <c r="A222">
        <v>50</v>
      </c>
      <c r="B222" t="s">
        <v>342</v>
      </c>
      <c r="C222">
        <v>496481.85</v>
      </c>
      <c r="D222">
        <v>0</v>
      </c>
      <c r="E222">
        <v>496481.85</v>
      </c>
      <c r="F222">
        <v>0.28999999999999998</v>
      </c>
      <c r="G222">
        <v>-29188.49</v>
      </c>
      <c r="H222">
        <v>496481.56</v>
      </c>
      <c r="I222">
        <v>525670.34</v>
      </c>
      <c r="J222" t="s">
        <v>184</v>
      </c>
    </row>
    <row r="223" spans="1:10" x14ac:dyDescent="0.35">
      <c r="A223">
        <v>60</v>
      </c>
      <c r="B223" t="s">
        <v>343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184</v>
      </c>
    </row>
    <row r="224" spans="1:10" x14ac:dyDescent="0.35">
      <c r="A224">
        <v>70</v>
      </c>
      <c r="B224" t="s">
        <v>344</v>
      </c>
      <c r="C224">
        <v>3694402.51</v>
      </c>
      <c r="D224">
        <v>0</v>
      </c>
      <c r="E224">
        <v>3694402.51</v>
      </c>
      <c r="F224">
        <v>63464.67</v>
      </c>
      <c r="G224">
        <v>423950.22</v>
      </c>
      <c r="H224">
        <v>3630937.84</v>
      </c>
      <c r="I224">
        <v>3270452.29</v>
      </c>
      <c r="J224" t="s">
        <v>184</v>
      </c>
    </row>
    <row r="225" spans="1:10" x14ac:dyDescent="0.35">
      <c r="A225">
        <v>80</v>
      </c>
      <c r="B225" t="s">
        <v>398</v>
      </c>
      <c r="C225">
        <v>999448.94</v>
      </c>
      <c r="D225">
        <v>0</v>
      </c>
      <c r="E225">
        <v>999448.94</v>
      </c>
      <c r="F225">
        <v>72462.850000000006</v>
      </c>
      <c r="G225">
        <v>569652.1</v>
      </c>
      <c r="H225">
        <v>926986.09</v>
      </c>
      <c r="I225">
        <v>429796.84</v>
      </c>
      <c r="J225" t="s">
        <v>184</v>
      </c>
    </row>
    <row r="226" spans="1:10" x14ac:dyDescent="0.35">
      <c r="A226">
        <v>100</v>
      </c>
      <c r="B226" t="s">
        <v>399</v>
      </c>
      <c r="C226">
        <v>7185276.7800000003</v>
      </c>
      <c r="D226">
        <v>0</v>
      </c>
      <c r="E226">
        <v>7185276.7800000003</v>
      </c>
      <c r="F226">
        <v>819355.99</v>
      </c>
      <c r="G226">
        <v>1192874.7</v>
      </c>
      <c r="H226">
        <v>6365920.79</v>
      </c>
      <c r="I226">
        <v>5992402.0800000001</v>
      </c>
      <c r="J226" t="s">
        <v>184</v>
      </c>
    </row>
    <row r="227" spans="1:10" x14ac:dyDescent="0.35">
      <c r="A227">
        <v>110</v>
      </c>
      <c r="B227" t="s">
        <v>400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184</v>
      </c>
    </row>
    <row r="228" spans="1:10" x14ac:dyDescent="0.35">
      <c r="A228">
        <v>120</v>
      </c>
      <c r="B228" t="s">
        <v>348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184</v>
      </c>
    </row>
    <row r="229" spans="1:10" x14ac:dyDescent="0.35">
      <c r="A229">
        <v>130</v>
      </c>
      <c r="B229" t="s">
        <v>349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184</v>
      </c>
    </row>
    <row r="230" spans="1:10" x14ac:dyDescent="0.35">
      <c r="A230">
        <v>140</v>
      </c>
      <c r="B230" t="s">
        <v>350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184</v>
      </c>
    </row>
    <row r="231" spans="1:10" x14ac:dyDescent="0.35">
      <c r="A231">
        <v>150</v>
      </c>
      <c r="B231" t="s">
        <v>351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184</v>
      </c>
    </row>
    <row r="232" spans="1:10" x14ac:dyDescent="0.35">
      <c r="A232">
        <v>160</v>
      </c>
      <c r="B232" t="s">
        <v>352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184</v>
      </c>
    </row>
    <row r="233" spans="1:10" x14ac:dyDescent="0.35">
      <c r="A233">
        <v>170</v>
      </c>
      <c r="B233" t="s">
        <v>353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184</v>
      </c>
    </row>
    <row r="234" spans="1:10" x14ac:dyDescent="0.35">
      <c r="A234">
        <v>180</v>
      </c>
      <c r="B234" t="s">
        <v>354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184</v>
      </c>
    </row>
    <row r="235" spans="1:10" x14ac:dyDescent="0.35">
      <c r="A235">
        <v>190</v>
      </c>
      <c r="B235" t="s">
        <v>355</v>
      </c>
      <c r="C235">
        <v>-5999.46</v>
      </c>
      <c r="D235">
        <v>0</v>
      </c>
      <c r="E235">
        <v>-5999.46</v>
      </c>
      <c r="F235">
        <v>0</v>
      </c>
      <c r="G235">
        <v>0</v>
      </c>
      <c r="H235">
        <v>-5999.46</v>
      </c>
      <c r="I235">
        <v>-5999.46</v>
      </c>
      <c r="J235" t="s">
        <v>184</v>
      </c>
    </row>
    <row r="236" spans="1:10" x14ac:dyDescent="0.35">
      <c r="A236">
        <v>200</v>
      </c>
      <c r="B236" t="s">
        <v>356</v>
      </c>
      <c r="C236">
        <v>46937.84</v>
      </c>
      <c r="D236">
        <v>0</v>
      </c>
      <c r="E236">
        <v>46937.84</v>
      </c>
      <c r="F236">
        <v>0</v>
      </c>
      <c r="G236">
        <v>0</v>
      </c>
      <c r="H236">
        <v>46937.84</v>
      </c>
      <c r="I236">
        <v>46937.84</v>
      </c>
      <c r="J236" t="s">
        <v>184</v>
      </c>
    </row>
    <row r="237" spans="1:10" x14ac:dyDescent="0.35">
      <c r="A237">
        <v>210</v>
      </c>
      <c r="B237" t="s">
        <v>401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184</v>
      </c>
    </row>
    <row r="238" spans="1:10" x14ac:dyDescent="0.35">
      <c r="A238">
        <v>220</v>
      </c>
      <c r="B238" t="s">
        <v>358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184</v>
      </c>
    </row>
    <row r="239" spans="1:10" x14ac:dyDescent="0.35">
      <c r="A239">
        <v>230</v>
      </c>
      <c r="B239" t="s">
        <v>359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184</v>
      </c>
    </row>
    <row r="240" spans="1:10" x14ac:dyDescent="0.35">
      <c r="A240">
        <v>240</v>
      </c>
      <c r="B240" t="s">
        <v>360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184</v>
      </c>
    </row>
    <row r="241" spans="1:10" x14ac:dyDescent="0.35">
      <c r="A241">
        <v>250</v>
      </c>
      <c r="B241" t="s">
        <v>361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184</v>
      </c>
    </row>
    <row r="242" spans="1:10" x14ac:dyDescent="0.35">
      <c r="A242">
        <v>260</v>
      </c>
      <c r="B242" t="s">
        <v>362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184</v>
      </c>
    </row>
    <row r="243" spans="1:10" x14ac:dyDescent="0.35">
      <c r="A243">
        <v>270</v>
      </c>
      <c r="B243" t="s">
        <v>363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184</v>
      </c>
    </row>
    <row r="244" spans="1:10" x14ac:dyDescent="0.35">
      <c r="A244">
        <v>280</v>
      </c>
      <c r="B244" t="s">
        <v>402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184</v>
      </c>
    </row>
    <row r="245" spans="1:10" x14ac:dyDescent="0.35">
      <c r="A245">
        <v>400</v>
      </c>
      <c r="B245" t="s">
        <v>365</v>
      </c>
      <c r="C245">
        <v>7232214.6200000001</v>
      </c>
      <c r="D245">
        <v>0</v>
      </c>
      <c r="E245">
        <v>7232214.6200000001</v>
      </c>
      <c r="F245">
        <v>819355.99</v>
      </c>
      <c r="G245">
        <v>1192874.7</v>
      </c>
      <c r="H245">
        <v>6412858.6299999999</v>
      </c>
      <c r="I245">
        <v>6039339.9199999999</v>
      </c>
      <c r="J245" t="s">
        <v>184</v>
      </c>
    </row>
    <row r="246" spans="1:10" x14ac:dyDescent="0.35">
      <c r="A246">
        <v>410</v>
      </c>
      <c r="B246" t="s">
        <v>403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184</v>
      </c>
    </row>
    <row r="247" spans="1:10" x14ac:dyDescent="0.35">
      <c r="A247">
        <v>420</v>
      </c>
      <c r="B247" t="s">
        <v>367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184</v>
      </c>
    </row>
    <row r="248" spans="1:10" x14ac:dyDescent="0.35">
      <c r="A248">
        <v>430</v>
      </c>
      <c r="B248" t="s">
        <v>368</v>
      </c>
      <c r="C248">
        <v>4593020.08</v>
      </c>
      <c r="D248">
        <v>0</v>
      </c>
      <c r="E248">
        <v>4593020.08</v>
      </c>
      <c r="F248">
        <v>573235.49</v>
      </c>
      <c r="G248">
        <v>70728.17</v>
      </c>
      <c r="H248">
        <v>4019784.59</v>
      </c>
      <c r="I248">
        <v>4522291.91</v>
      </c>
      <c r="J248" t="s">
        <v>184</v>
      </c>
    </row>
    <row r="249" spans="1:10" x14ac:dyDescent="0.35">
      <c r="A249">
        <v>440</v>
      </c>
      <c r="B249" t="s">
        <v>369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184</v>
      </c>
    </row>
    <row r="250" spans="1:10" x14ac:dyDescent="0.35">
      <c r="A250">
        <v>450</v>
      </c>
      <c r="B250" t="s">
        <v>404</v>
      </c>
      <c r="C250">
        <v>5288655.97</v>
      </c>
      <c r="D250">
        <v>0</v>
      </c>
      <c r="E250">
        <v>5288655.97</v>
      </c>
      <c r="F250">
        <v>195175.67999999999</v>
      </c>
      <c r="G250">
        <v>1326091.05</v>
      </c>
      <c r="H250">
        <v>5093480.29</v>
      </c>
      <c r="I250">
        <v>3962564.92</v>
      </c>
      <c r="J250" t="s">
        <v>184</v>
      </c>
    </row>
    <row r="251" spans="1:10" x14ac:dyDescent="0.35">
      <c r="A251">
        <v>460</v>
      </c>
      <c r="B251" t="s">
        <v>405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184</v>
      </c>
    </row>
    <row r="252" spans="1:10" x14ac:dyDescent="0.35">
      <c r="A252">
        <v>500</v>
      </c>
      <c r="B252" t="s">
        <v>372</v>
      </c>
      <c r="C252">
        <v>9881676.0500000007</v>
      </c>
      <c r="D252">
        <v>0</v>
      </c>
      <c r="E252">
        <v>9881676.0500000007</v>
      </c>
      <c r="F252">
        <v>768411.17</v>
      </c>
      <c r="G252">
        <v>1396819.22</v>
      </c>
      <c r="H252">
        <v>9113264.8800000008</v>
      </c>
      <c r="I252">
        <v>8484856.8300000001</v>
      </c>
      <c r="J252" t="s">
        <v>184</v>
      </c>
    </row>
    <row r="253" spans="1:10" x14ac:dyDescent="0.35">
      <c r="A253">
        <v>510</v>
      </c>
      <c r="B253" t="s">
        <v>406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184</v>
      </c>
    </row>
    <row r="254" spans="1:10" x14ac:dyDescent="0.35">
      <c r="A254">
        <v>520</v>
      </c>
      <c r="B254" t="s">
        <v>407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184</v>
      </c>
    </row>
    <row r="255" spans="1:10" x14ac:dyDescent="0.35">
      <c r="A255">
        <v>530</v>
      </c>
      <c r="B255" t="s">
        <v>407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184</v>
      </c>
    </row>
    <row r="256" spans="1:10" x14ac:dyDescent="0.35">
      <c r="A256">
        <v>540</v>
      </c>
      <c r="B256" t="s">
        <v>376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184</v>
      </c>
    </row>
    <row r="257" spans="1:10" x14ac:dyDescent="0.35">
      <c r="A257">
        <v>600</v>
      </c>
      <c r="B257" t="s">
        <v>377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184</v>
      </c>
    </row>
    <row r="258" spans="1:10" x14ac:dyDescent="0.35">
      <c r="A258">
        <v>610</v>
      </c>
      <c r="B258" t="s">
        <v>408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184</v>
      </c>
    </row>
    <row r="259" spans="1:10" x14ac:dyDescent="0.35">
      <c r="A259">
        <v>620</v>
      </c>
      <c r="B259" t="s">
        <v>379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184</v>
      </c>
    </row>
    <row r="260" spans="1:10" x14ac:dyDescent="0.35">
      <c r="A260">
        <v>700</v>
      </c>
      <c r="B260" t="s">
        <v>409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184</v>
      </c>
    </row>
    <row r="261" spans="1:10" x14ac:dyDescent="0.35">
      <c r="A261">
        <v>710</v>
      </c>
      <c r="B261" t="s">
        <v>410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184</v>
      </c>
    </row>
    <row r="262" spans="1:10" x14ac:dyDescent="0.35">
      <c r="A262">
        <v>720</v>
      </c>
      <c r="B262" t="s">
        <v>382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184</v>
      </c>
    </row>
    <row r="263" spans="1:10" x14ac:dyDescent="0.35">
      <c r="A263">
        <v>730</v>
      </c>
      <c r="B263" t="s">
        <v>383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184</v>
      </c>
    </row>
    <row r="264" spans="1:10" x14ac:dyDescent="0.35">
      <c r="A264">
        <v>740</v>
      </c>
      <c r="B264" t="s">
        <v>384</v>
      </c>
      <c r="C264">
        <v>1074498.3600000001</v>
      </c>
      <c r="D264">
        <v>0</v>
      </c>
      <c r="E264">
        <v>1074498.3600000001</v>
      </c>
      <c r="F264">
        <v>0</v>
      </c>
      <c r="G264">
        <v>0</v>
      </c>
      <c r="H264">
        <v>1074498.3600000001</v>
      </c>
      <c r="I264">
        <v>1074498.3600000001</v>
      </c>
      <c r="J264" t="s">
        <v>184</v>
      </c>
    </row>
    <row r="265" spans="1:10" x14ac:dyDescent="0.35">
      <c r="A265">
        <v>750</v>
      </c>
      <c r="B265" t="s">
        <v>385</v>
      </c>
      <c r="C265">
        <v>-203944.52</v>
      </c>
      <c r="D265">
        <v>0</v>
      </c>
      <c r="E265">
        <v>-203944.52</v>
      </c>
      <c r="F265">
        <v>50944.82</v>
      </c>
      <c r="G265">
        <v>-203944.52</v>
      </c>
      <c r="H265">
        <v>-254889.34</v>
      </c>
      <c r="I265">
        <v>0</v>
      </c>
      <c r="J265" t="s">
        <v>184</v>
      </c>
    </row>
    <row r="266" spans="1:10" x14ac:dyDescent="0.35">
      <c r="A266">
        <v>760</v>
      </c>
      <c r="B266" t="s">
        <v>386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184</v>
      </c>
    </row>
    <row r="267" spans="1:10" x14ac:dyDescent="0.35">
      <c r="A267">
        <v>770</v>
      </c>
      <c r="B267" t="s">
        <v>387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184</v>
      </c>
    </row>
    <row r="268" spans="1:10" x14ac:dyDescent="0.35">
      <c r="A268">
        <v>800</v>
      </c>
      <c r="B268" t="s">
        <v>388</v>
      </c>
      <c r="C268">
        <v>-2649461.4300000002</v>
      </c>
      <c r="D268">
        <v>0</v>
      </c>
      <c r="E268">
        <v>-2649461.4300000002</v>
      </c>
      <c r="F268">
        <v>50944.82</v>
      </c>
      <c r="G268">
        <v>-203944.52</v>
      </c>
      <c r="H268">
        <v>-2700406.25</v>
      </c>
      <c r="I268">
        <v>-2445516.91</v>
      </c>
      <c r="J268" t="s">
        <v>184</v>
      </c>
    </row>
    <row r="269" spans="1:10" x14ac:dyDescent="0.35">
      <c r="A269">
        <v>900</v>
      </c>
      <c r="B269" t="s">
        <v>389</v>
      </c>
      <c r="C269">
        <v>7232214.6200000001</v>
      </c>
      <c r="D269">
        <v>0</v>
      </c>
      <c r="E269">
        <v>7232214.6200000001</v>
      </c>
      <c r="F269">
        <v>819355.99</v>
      </c>
      <c r="G269">
        <v>1192874.7</v>
      </c>
      <c r="H269">
        <v>6412858.6299999999</v>
      </c>
      <c r="I269">
        <v>6039339.9199999999</v>
      </c>
      <c r="J269" t="s">
        <v>184</v>
      </c>
    </row>
    <row r="270" spans="1:10" x14ac:dyDescent="0.35">
      <c r="A270">
        <v>1000</v>
      </c>
      <c r="B270" t="s">
        <v>411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184</v>
      </c>
    </row>
    <row r="271" spans="1:10" x14ac:dyDescent="0.35">
      <c r="A271" t="s">
        <v>204</v>
      </c>
      <c r="B271" t="s">
        <v>172</v>
      </c>
      <c r="C271" t="s">
        <v>390</v>
      </c>
      <c r="D271" t="s">
        <v>391</v>
      </c>
      <c r="E271" t="s">
        <v>392</v>
      </c>
      <c r="F271" t="s">
        <v>393</v>
      </c>
      <c r="G271" t="s">
        <v>394</v>
      </c>
      <c r="H271" t="s">
        <v>395</v>
      </c>
      <c r="I271" t="s">
        <v>396</v>
      </c>
      <c r="J271" t="s">
        <v>183</v>
      </c>
    </row>
    <row r="272" spans="1:10" x14ac:dyDescent="0.35">
      <c r="A272">
        <v>10</v>
      </c>
      <c r="B272" t="s">
        <v>397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184</v>
      </c>
    </row>
    <row r="273" spans="1:10" x14ac:dyDescent="0.35">
      <c r="A273">
        <v>20</v>
      </c>
      <c r="B273" t="s">
        <v>339</v>
      </c>
      <c r="C273">
        <v>162793.64000000001</v>
      </c>
      <c r="D273">
        <v>0</v>
      </c>
      <c r="E273">
        <v>162793.64000000001</v>
      </c>
      <c r="F273">
        <v>2313.23</v>
      </c>
      <c r="G273">
        <v>48287.28</v>
      </c>
      <c r="H273">
        <v>160480.41</v>
      </c>
      <c r="I273">
        <v>114506.36</v>
      </c>
      <c r="J273" t="s">
        <v>184</v>
      </c>
    </row>
    <row r="274" spans="1:10" x14ac:dyDescent="0.35">
      <c r="A274">
        <v>30</v>
      </c>
      <c r="B274" t="s">
        <v>340</v>
      </c>
      <c r="C274">
        <v>27096.18</v>
      </c>
      <c r="D274">
        <v>0</v>
      </c>
      <c r="E274">
        <v>27096.18</v>
      </c>
      <c r="F274">
        <v>0</v>
      </c>
      <c r="G274">
        <v>0</v>
      </c>
      <c r="H274">
        <v>27096.18</v>
      </c>
      <c r="I274">
        <v>27096.18</v>
      </c>
      <c r="J274" t="s">
        <v>184</v>
      </c>
    </row>
    <row r="275" spans="1:10" x14ac:dyDescent="0.35">
      <c r="A275">
        <v>40</v>
      </c>
      <c r="B275" t="s">
        <v>341</v>
      </c>
      <c r="C275">
        <v>-188696.09</v>
      </c>
      <c r="D275">
        <v>0</v>
      </c>
      <c r="E275">
        <v>-188696.09</v>
      </c>
      <c r="F275">
        <v>-65941.740000000005</v>
      </c>
      <c r="G275">
        <v>280928.92</v>
      </c>
      <c r="H275">
        <v>-122754.35</v>
      </c>
      <c r="I275">
        <v>-469625.01</v>
      </c>
      <c r="J275" t="s">
        <v>184</v>
      </c>
    </row>
    <row r="276" spans="1:10" x14ac:dyDescent="0.35">
      <c r="A276">
        <v>50</v>
      </c>
      <c r="B276" t="s">
        <v>342</v>
      </c>
      <c r="C276">
        <v>1232000</v>
      </c>
      <c r="D276">
        <v>0</v>
      </c>
      <c r="E276">
        <v>1232000</v>
      </c>
      <c r="F276">
        <v>0</v>
      </c>
      <c r="G276">
        <v>0</v>
      </c>
      <c r="H276">
        <v>1232000</v>
      </c>
      <c r="I276">
        <v>1232000</v>
      </c>
      <c r="J276" t="s">
        <v>184</v>
      </c>
    </row>
    <row r="277" spans="1:10" x14ac:dyDescent="0.35">
      <c r="A277">
        <v>60</v>
      </c>
      <c r="B277" t="s">
        <v>343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184</v>
      </c>
    </row>
    <row r="278" spans="1:10" x14ac:dyDescent="0.35">
      <c r="A278">
        <v>70</v>
      </c>
      <c r="B278" t="s">
        <v>344</v>
      </c>
      <c r="C278">
        <v>2572528.6400000001</v>
      </c>
      <c r="D278">
        <v>0</v>
      </c>
      <c r="E278">
        <v>2572528.6400000001</v>
      </c>
      <c r="F278">
        <v>14344.87</v>
      </c>
      <c r="G278">
        <v>393565.47</v>
      </c>
      <c r="H278">
        <v>2558183.77</v>
      </c>
      <c r="I278">
        <v>2178963.17</v>
      </c>
      <c r="J278" t="s">
        <v>184</v>
      </c>
    </row>
    <row r="279" spans="1:10" x14ac:dyDescent="0.35">
      <c r="A279">
        <v>80</v>
      </c>
      <c r="B279" t="s">
        <v>398</v>
      </c>
      <c r="C279">
        <v>702894.38</v>
      </c>
      <c r="D279">
        <v>0</v>
      </c>
      <c r="E279">
        <v>702894.38</v>
      </c>
      <c r="F279">
        <v>12008.28</v>
      </c>
      <c r="G279">
        <v>112908.69</v>
      </c>
      <c r="H279">
        <v>690886.1</v>
      </c>
      <c r="I279">
        <v>589985.68999999994</v>
      </c>
      <c r="J279" t="s">
        <v>184</v>
      </c>
    </row>
    <row r="280" spans="1:10" x14ac:dyDescent="0.35">
      <c r="A280">
        <v>100</v>
      </c>
      <c r="B280" t="s">
        <v>399</v>
      </c>
      <c r="C280">
        <v>4508616.75</v>
      </c>
      <c r="D280">
        <v>0</v>
      </c>
      <c r="E280">
        <v>4508616.75</v>
      </c>
      <c r="F280">
        <v>-37275.360000000001</v>
      </c>
      <c r="G280">
        <v>835690.36</v>
      </c>
      <c r="H280">
        <v>4545892.1100000003</v>
      </c>
      <c r="I280">
        <v>3672926.39</v>
      </c>
      <c r="J280" t="s">
        <v>184</v>
      </c>
    </row>
    <row r="281" spans="1:10" x14ac:dyDescent="0.35">
      <c r="A281">
        <v>110</v>
      </c>
      <c r="B281" t="s">
        <v>400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184</v>
      </c>
    </row>
    <row r="282" spans="1:10" x14ac:dyDescent="0.35">
      <c r="A282">
        <v>120</v>
      </c>
      <c r="B282" t="s">
        <v>348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184</v>
      </c>
    </row>
    <row r="283" spans="1:10" x14ac:dyDescent="0.35">
      <c r="A283">
        <v>130</v>
      </c>
      <c r="B283" t="s">
        <v>349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184</v>
      </c>
    </row>
    <row r="284" spans="1:10" x14ac:dyDescent="0.35">
      <c r="A284">
        <v>140</v>
      </c>
      <c r="B284" t="s">
        <v>350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184</v>
      </c>
    </row>
    <row r="285" spans="1:10" x14ac:dyDescent="0.35">
      <c r="A285">
        <v>150</v>
      </c>
      <c r="B285" t="s">
        <v>351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184</v>
      </c>
    </row>
    <row r="286" spans="1:10" x14ac:dyDescent="0.35">
      <c r="A286">
        <v>160</v>
      </c>
      <c r="B286" t="s">
        <v>352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184</v>
      </c>
    </row>
    <row r="287" spans="1:10" x14ac:dyDescent="0.35">
      <c r="A287">
        <v>170</v>
      </c>
      <c r="B287" t="s">
        <v>353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184</v>
      </c>
    </row>
    <row r="288" spans="1:10" x14ac:dyDescent="0.35">
      <c r="A288">
        <v>180</v>
      </c>
      <c r="B288" t="s">
        <v>354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184</v>
      </c>
    </row>
    <row r="289" spans="1:10" x14ac:dyDescent="0.35">
      <c r="A289">
        <v>190</v>
      </c>
      <c r="B289" t="s">
        <v>355</v>
      </c>
      <c r="C289">
        <v>-11834171.689999999</v>
      </c>
      <c r="D289">
        <v>0</v>
      </c>
      <c r="E289">
        <v>-11834171.689999999</v>
      </c>
      <c r="F289">
        <v>-33786.870000000003</v>
      </c>
      <c r="G289">
        <v>-304081.83</v>
      </c>
      <c r="H289">
        <v>-11800384.82</v>
      </c>
      <c r="I289">
        <v>-11530089.859999999</v>
      </c>
      <c r="J289" t="s">
        <v>184</v>
      </c>
    </row>
    <row r="290" spans="1:10" x14ac:dyDescent="0.35">
      <c r="A290">
        <v>200</v>
      </c>
      <c r="B290" t="s">
        <v>356</v>
      </c>
      <c r="C290">
        <v>43047274.490000002</v>
      </c>
      <c r="D290">
        <v>0</v>
      </c>
      <c r="E290">
        <v>43047274.490000002</v>
      </c>
      <c r="F290">
        <v>-33786.870000000003</v>
      </c>
      <c r="G290">
        <v>-304081.83</v>
      </c>
      <c r="H290">
        <v>43081061.359999999</v>
      </c>
      <c r="I290">
        <v>43351356.32</v>
      </c>
      <c r="J290" t="s">
        <v>184</v>
      </c>
    </row>
    <row r="291" spans="1:10" x14ac:dyDescent="0.35">
      <c r="A291">
        <v>210</v>
      </c>
      <c r="B291" t="s">
        <v>401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184</v>
      </c>
    </row>
    <row r="292" spans="1:10" x14ac:dyDescent="0.35">
      <c r="A292">
        <v>220</v>
      </c>
      <c r="B292" t="s">
        <v>358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184</v>
      </c>
    </row>
    <row r="293" spans="1:10" x14ac:dyDescent="0.35">
      <c r="A293">
        <v>230</v>
      </c>
      <c r="B293" t="s">
        <v>359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184</v>
      </c>
    </row>
    <row r="294" spans="1:10" x14ac:dyDescent="0.35">
      <c r="A294">
        <v>240</v>
      </c>
      <c r="B294" t="s">
        <v>360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184</v>
      </c>
    </row>
    <row r="295" spans="1:10" x14ac:dyDescent="0.35">
      <c r="A295">
        <v>250</v>
      </c>
      <c r="B295" t="s">
        <v>361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184</v>
      </c>
    </row>
    <row r="296" spans="1:10" x14ac:dyDescent="0.35">
      <c r="A296">
        <v>260</v>
      </c>
      <c r="B296" t="s">
        <v>362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184</v>
      </c>
    </row>
    <row r="297" spans="1:10" x14ac:dyDescent="0.35">
      <c r="A297">
        <v>270</v>
      </c>
      <c r="B297" t="s">
        <v>363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184</v>
      </c>
    </row>
    <row r="298" spans="1:10" x14ac:dyDescent="0.35">
      <c r="A298">
        <v>280</v>
      </c>
      <c r="B298" t="s">
        <v>402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184</v>
      </c>
    </row>
    <row r="299" spans="1:10" x14ac:dyDescent="0.35">
      <c r="A299">
        <v>400</v>
      </c>
      <c r="B299" t="s">
        <v>365</v>
      </c>
      <c r="C299">
        <v>47555891.240000002</v>
      </c>
      <c r="D299">
        <v>0</v>
      </c>
      <c r="E299">
        <v>47555891.240000002</v>
      </c>
      <c r="F299">
        <v>-71062.23</v>
      </c>
      <c r="G299">
        <v>531608.53</v>
      </c>
      <c r="H299">
        <v>47626953.469999999</v>
      </c>
      <c r="I299">
        <v>47024282.710000001</v>
      </c>
      <c r="J299" t="s">
        <v>184</v>
      </c>
    </row>
    <row r="300" spans="1:10" x14ac:dyDescent="0.35">
      <c r="A300">
        <v>410</v>
      </c>
      <c r="B300" t="s">
        <v>403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184</v>
      </c>
    </row>
    <row r="301" spans="1:10" x14ac:dyDescent="0.35">
      <c r="A301">
        <v>420</v>
      </c>
      <c r="B301" t="s">
        <v>367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184</v>
      </c>
    </row>
    <row r="302" spans="1:10" x14ac:dyDescent="0.35">
      <c r="A302">
        <v>430</v>
      </c>
      <c r="B302" t="s">
        <v>368</v>
      </c>
      <c r="C302">
        <v>3751749.44</v>
      </c>
      <c r="D302">
        <v>0</v>
      </c>
      <c r="E302">
        <v>3751749.44</v>
      </c>
      <c r="F302">
        <v>-141861.49</v>
      </c>
      <c r="G302">
        <v>-39098.160000000003</v>
      </c>
      <c r="H302">
        <v>3893610.93</v>
      </c>
      <c r="I302">
        <v>3790847.6</v>
      </c>
      <c r="J302" t="s">
        <v>184</v>
      </c>
    </row>
    <row r="303" spans="1:10" x14ac:dyDescent="0.35">
      <c r="A303">
        <v>440</v>
      </c>
      <c r="B303" t="s">
        <v>369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184</v>
      </c>
    </row>
    <row r="304" spans="1:10" x14ac:dyDescent="0.35">
      <c r="A304">
        <v>450</v>
      </c>
      <c r="B304" t="s">
        <v>404</v>
      </c>
      <c r="C304">
        <v>1349348.81</v>
      </c>
      <c r="D304">
        <v>0</v>
      </c>
      <c r="E304">
        <v>1349348.81</v>
      </c>
      <c r="F304">
        <v>49008.72</v>
      </c>
      <c r="G304">
        <v>447979.48</v>
      </c>
      <c r="H304">
        <v>1300340.0900000001</v>
      </c>
      <c r="I304">
        <v>901369.33</v>
      </c>
      <c r="J304" t="s">
        <v>184</v>
      </c>
    </row>
    <row r="305" spans="1:10" x14ac:dyDescent="0.35">
      <c r="A305">
        <v>460</v>
      </c>
      <c r="B305" t="s">
        <v>405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184</v>
      </c>
    </row>
    <row r="306" spans="1:10" x14ac:dyDescent="0.35">
      <c r="A306">
        <v>500</v>
      </c>
      <c r="B306" t="s">
        <v>372</v>
      </c>
      <c r="C306">
        <v>5101098.25</v>
      </c>
      <c r="D306">
        <v>0</v>
      </c>
      <c r="E306">
        <v>5101098.25</v>
      </c>
      <c r="F306">
        <v>-92852.77</v>
      </c>
      <c r="G306">
        <v>408881.32</v>
      </c>
      <c r="H306">
        <v>5193951.0199999996</v>
      </c>
      <c r="I306">
        <v>4692216.93</v>
      </c>
      <c r="J306" t="s">
        <v>184</v>
      </c>
    </row>
    <row r="307" spans="1:10" x14ac:dyDescent="0.35">
      <c r="A307">
        <v>510</v>
      </c>
      <c r="B307" t="s">
        <v>406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184</v>
      </c>
    </row>
    <row r="308" spans="1:10" x14ac:dyDescent="0.35">
      <c r="A308">
        <v>520</v>
      </c>
      <c r="B308" t="s">
        <v>407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184</v>
      </c>
    </row>
    <row r="309" spans="1:10" x14ac:dyDescent="0.35">
      <c r="A309">
        <v>530</v>
      </c>
      <c r="B309" t="s">
        <v>407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184</v>
      </c>
    </row>
    <row r="310" spans="1:10" x14ac:dyDescent="0.35">
      <c r="A310">
        <v>540</v>
      </c>
      <c r="B310" t="s">
        <v>376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184</v>
      </c>
    </row>
    <row r="311" spans="1:10" x14ac:dyDescent="0.35">
      <c r="A311">
        <v>600</v>
      </c>
      <c r="B311" t="s">
        <v>377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184</v>
      </c>
    </row>
    <row r="312" spans="1:10" x14ac:dyDescent="0.35">
      <c r="A312">
        <v>610</v>
      </c>
      <c r="B312" t="s">
        <v>408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184</v>
      </c>
    </row>
    <row r="313" spans="1:10" x14ac:dyDescent="0.35">
      <c r="A313">
        <v>620</v>
      </c>
      <c r="B313" t="s">
        <v>379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184</v>
      </c>
    </row>
    <row r="314" spans="1:10" x14ac:dyDescent="0.35">
      <c r="A314">
        <v>700</v>
      </c>
      <c r="B314" t="s">
        <v>409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184</v>
      </c>
    </row>
    <row r="315" spans="1:10" x14ac:dyDescent="0.35">
      <c r="A315">
        <v>710</v>
      </c>
      <c r="B315" t="s">
        <v>410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184</v>
      </c>
    </row>
    <row r="316" spans="1:10" x14ac:dyDescent="0.35">
      <c r="A316">
        <v>720</v>
      </c>
      <c r="B316" t="s">
        <v>382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184</v>
      </c>
    </row>
    <row r="317" spans="1:10" x14ac:dyDescent="0.35">
      <c r="A317">
        <v>730</v>
      </c>
      <c r="B317" t="s">
        <v>383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184</v>
      </c>
    </row>
    <row r="318" spans="1:10" x14ac:dyDescent="0.35">
      <c r="A318">
        <v>740</v>
      </c>
      <c r="B318" t="s">
        <v>384</v>
      </c>
      <c r="C318">
        <v>21059710.649999999</v>
      </c>
      <c r="D318">
        <v>0</v>
      </c>
      <c r="E318">
        <v>21059710.649999999</v>
      </c>
      <c r="F318">
        <v>0</v>
      </c>
      <c r="G318">
        <v>0</v>
      </c>
      <c r="H318">
        <v>21059710.649999999</v>
      </c>
      <c r="I318">
        <v>21059710.649999999</v>
      </c>
      <c r="J318" t="s">
        <v>184</v>
      </c>
    </row>
    <row r="319" spans="1:10" x14ac:dyDescent="0.35">
      <c r="A319">
        <v>750</v>
      </c>
      <c r="B319" t="s">
        <v>385</v>
      </c>
      <c r="C319">
        <v>122727.21</v>
      </c>
      <c r="D319">
        <v>0</v>
      </c>
      <c r="E319">
        <v>122727.21</v>
      </c>
      <c r="F319">
        <v>21790.54</v>
      </c>
      <c r="G319">
        <v>122727.21</v>
      </c>
      <c r="H319">
        <v>100936.67</v>
      </c>
      <c r="I319">
        <v>0</v>
      </c>
      <c r="J319" t="s">
        <v>184</v>
      </c>
    </row>
    <row r="320" spans="1:10" x14ac:dyDescent="0.35">
      <c r="A320">
        <v>760</v>
      </c>
      <c r="B320" t="s">
        <v>386</v>
      </c>
      <c r="C320">
        <v>7737527.6900000004</v>
      </c>
      <c r="D320">
        <v>0</v>
      </c>
      <c r="E320">
        <v>7737527.6900000004</v>
      </c>
      <c r="F320">
        <v>0</v>
      </c>
      <c r="G320">
        <v>0</v>
      </c>
      <c r="H320">
        <v>7737527.6900000004</v>
      </c>
      <c r="I320">
        <v>7737527.6900000004</v>
      </c>
      <c r="J320" t="s">
        <v>184</v>
      </c>
    </row>
    <row r="321" spans="1:10" x14ac:dyDescent="0.35">
      <c r="A321">
        <v>770</v>
      </c>
      <c r="B321" t="s">
        <v>387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184</v>
      </c>
    </row>
    <row r="322" spans="1:10" x14ac:dyDescent="0.35">
      <c r="A322">
        <v>800</v>
      </c>
      <c r="B322" t="s">
        <v>388</v>
      </c>
      <c r="C322">
        <v>42454792.990000002</v>
      </c>
      <c r="D322">
        <v>0</v>
      </c>
      <c r="E322">
        <v>42454792.990000002</v>
      </c>
      <c r="F322">
        <v>21790.54</v>
      </c>
      <c r="G322">
        <v>122727.21</v>
      </c>
      <c r="H322">
        <v>42433002.450000003</v>
      </c>
      <c r="I322">
        <v>42332065.780000001</v>
      </c>
      <c r="J322" t="s">
        <v>184</v>
      </c>
    </row>
    <row r="323" spans="1:10" x14ac:dyDescent="0.35">
      <c r="A323">
        <v>900</v>
      </c>
      <c r="B323" t="s">
        <v>389</v>
      </c>
      <c r="C323">
        <v>47555891.240000002</v>
      </c>
      <c r="D323">
        <v>0</v>
      </c>
      <c r="E323">
        <v>47555891.240000002</v>
      </c>
      <c r="F323">
        <v>-71062.23</v>
      </c>
      <c r="G323">
        <v>531608.53</v>
      </c>
      <c r="H323">
        <v>47626953.469999999</v>
      </c>
      <c r="I323">
        <v>47024282.710000001</v>
      </c>
      <c r="J323" t="s">
        <v>184</v>
      </c>
    </row>
    <row r="324" spans="1:10" x14ac:dyDescent="0.35">
      <c r="A324">
        <v>1000</v>
      </c>
      <c r="B324" t="s">
        <v>411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184</v>
      </c>
    </row>
    <row r="325" spans="1:10" x14ac:dyDescent="0.35">
      <c r="A325" t="s">
        <v>214</v>
      </c>
      <c r="B325" t="s">
        <v>172</v>
      </c>
      <c r="C325" t="s">
        <v>390</v>
      </c>
      <c r="D325" t="s">
        <v>391</v>
      </c>
      <c r="E325" t="s">
        <v>392</v>
      </c>
      <c r="F325" t="s">
        <v>393</v>
      </c>
      <c r="G325" t="s">
        <v>394</v>
      </c>
      <c r="H325" t="s">
        <v>395</v>
      </c>
      <c r="I325" t="s">
        <v>396</v>
      </c>
      <c r="J325" t="s">
        <v>183</v>
      </c>
    </row>
    <row r="326" spans="1:10" x14ac:dyDescent="0.35">
      <c r="A326">
        <v>10</v>
      </c>
      <c r="B326" t="s">
        <v>397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184</v>
      </c>
    </row>
    <row r="327" spans="1:10" x14ac:dyDescent="0.35">
      <c r="A327">
        <v>20</v>
      </c>
      <c r="B327" t="s">
        <v>339</v>
      </c>
      <c r="C327">
        <v>14800.33</v>
      </c>
      <c r="D327">
        <v>0</v>
      </c>
      <c r="E327">
        <v>14800.33</v>
      </c>
      <c r="F327">
        <v>-262952.40999999997</v>
      </c>
      <c r="G327">
        <v>-206109.37</v>
      </c>
      <c r="H327">
        <v>277752.74</v>
      </c>
      <c r="I327">
        <v>220909.7</v>
      </c>
      <c r="J327" t="s">
        <v>184</v>
      </c>
    </row>
    <row r="328" spans="1:10" x14ac:dyDescent="0.35">
      <c r="A328">
        <v>30</v>
      </c>
      <c r="B328" t="s">
        <v>340</v>
      </c>
      <c r="C328">
        <v>15563244.9</v>
      </c>
      <c r="D328">
        <v>0</v>
      </c>
      <c r="E328">
        <v>15563244.9</v>
      </c>
      <c r="F328">
        <v>0</v>
      </c>
      <c r="G328">
        <v>-912099.79</v>
      </c>
      <c r="H328">
        <v>15563244.9</v>
      </c>
      <c r="I328">
        <v>16475344.689999999</v>
      </c>
      <c r="J328" t="s">
        <v>184</v>
      </c>
    </row>
    <row r="329" spans="1:10" x14ac:dyDescent="0.35">
      <c r="A329">
        <v>40</v>
      </c>
      <c r="B329" t="s">
        <v>341</v>
      </c>
      <c r="C329">
        <v>2009617.07</v>
      </c>
      <c r="D329">
        <v>0</v>
      </c>
      <c r="E329">
        <v>2009617.07</v>
      </c>
      <c r="F329">
        <v>117820.7</v>
      </c>
      <c r="G329">
        <v>1342778.95</v>
      </c>
      <c r="H329">
        <v>1891796.37</v>
      </c>
      <c r="I329">
        <v>666838.12</v>
      </c>
      <c r="J329" t="s">
        <v>184</v>
      </c>
    </row>
    <row r="330" spans="1:10" x14ac:dyDescent="0.35">
      <c r="A330">
        <v>50</v>
      </c>
      <c r="B330" t="s">
        <v>342</v>
      </c>
      <c r="C330">
        <v>4168.16</v>
      </c>
      <c r="D330">
        <v>0</v>
      </c>
      <c r="E330">
        <v>4168.16</v>
      </c>
      <c r="F330">
        <v>-8000.67</v>
      </c>
      <c r="G330">
        <v>4168.16</v>
      </c>
      <c r="H330">
        <v>12168.83</v>
      </c>
      <c r="I330">
        <v>0</v>
      </c>
      <c r="J330" t="s">
        <v>184</v>
      </c>
    </row>
    <row r="331" spans="1:10" x14ac:dyDescent="0.35">
      <c r="A331">
        <v>60</v>
      </c>
      <c r="B331" t="s">
        <v>343</v>
      </c>
      <c r="C331">
        <v>749754.02</v>
      </c>
      <c r="D331">
        <v>0</v>
      </c>
      <c r="E331">
        <v>749754.02</v>
      </c>
      <c r="F331">
        <v>154618.59</v>
      </c>
      <c r="G331">
        <v>-2604063.5</v>
      </c>
      <c r="H331">
        <v>595135.43000000005</v>
      </c>
      <c r="I331">
        <v>3353817.52</v>
      </c>
      <c r="J331" t="s">
        <v>184</v>
      </c>
    </row>
    <row r="332" spans="1:10" x14ac:dyDescent="0.35">
      <c r="A332">
        <v>70</v>
      </c>
      <c r="B332" t="s">
        <v>344</v>
      </c>
      <c r="C332">
        <v>3310589.93</v>
      </c>
      <c r="D332">
        <v>0</v>
      </c>
      <c r="E332">
        <v>3310589.93</v>
      </c>
      <c r="F332">
        <v>-8221.1299999999992</v>
      </c>
      <c r="G332">
        <v>22148.98</v>
      </c>
      <c r="H332">
        <v>3318811.06</v>
      </c>
      <c r="I332">
        <v>3288440.95</v>
      </c>
      <c r="J332" t="s">
        <v>184</v>
      </c>
    </row>
    <row r="333" spans="1:10" x14ac:dyDescent="0.35">
      <c r="A333">
        <v>80</v>
      </c>
      <c r="B333" t="s">
        <v>412</v>
      </c>
      <c r="C333">
        <v>1126872.93</v>
      </c>
      <c r="D333">
        <v>0</v>
      </c>
      <c r="E333">
        <v>1126872.93</v>
      </c>
      <c r="F333">
        <v>65478.42</v>
      </c>
      <c r="G333">
        <v>91815.86</v>
      </c>
      <c r="H333">
        <v>1061394.51</v>
      </c>
      <c r="I333">
        <v>1035057.07</v>
      </c>
      <c r="J333" t="s">
        <v>184</v>
      </c>
    </row>
    <row r="334" spans="1:10" x14ac:dyDescent="0.35">
      <c r="A334">
        <v>100</v>
      </c>
      <c r="B334" t="s">
        <v>399</v>
      </c>
      <c r="C334">
        <v>22779047.34</v>
      </c>
      <c r="D334">
        <v>0</v>
      </c>
      <c r="E334">
        <v>22779047.34</v>
      </c>
      <c r="F334">
        <v>58743.5</v>
      </c>
      <c r="G334">
        <v>-2261360.71</v>
      </c>
      <c r="H334">
        <v>22720303.84</v>
      </c>
      <c r="I334">
        <v>25040408.050000001</v>
      </c>
      <c r="J334" t="s">
        <v>184</v>
      </c>
    </row>
    <row r="335" spans="1:10" x14ac:dyDescent="0.35">
      <c r="A335">
        <v>110</v>
      </c>
      <c r="B335" t="s">
        <v>400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184</v>
      </c>
    </row>
    <row r="336" spans="1:10" x14ac:dyDescent="0.35">
      <c r="A336">
        <v>120</v>
      </c>
      <c r="B336" t="s">
        <v>348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184</v>
      </c>
    </row>
    <row r="337" spans="1:10" x14ac:dyDescent="0.35">
      <c r="A337">
        <v>130</v>
      </c>
      <c r="B337" t="s">
        <v>349</v>
      </c>
      <c r="C337">
        <v>4818468.5999999996</v>
      </c>
      <c r="D337">
        <v>0</v>
      </c>
      <c r="E337">
        <v>4818468.5999999996</v>
      </c>
      <c r="F337">
        <v>0</v>
      </c>
      <c r="G337">
        <v>0</v>
      </c>
      <c r="H337">
        <v>4818468.5999999996</v>
      </c>
      <c r="I337">
        <v>4818468.5999999996</v>
      </c>
      <c r="J337" t="s">
        <v>184</v>
      </c>
    </row>
    <row r="338" spans="1:10" x14ac:dyDescent="0.35">
      <c r="A338">
        <v>140</v>
      </c>
      <c r="B338" t="s">
        <v>350</v>
      </c>
      <c r="C338">
        <v>1155939.8400000001</v>
      </c>
      <c r="D338">
        <v>0</v>
      </c>
      <c r="E338">
        <v>1155939.8400000001</v>
      </c>
      <c r="F338">
        <v>8274.14</v>
      </c>
      <c r="G338">
        <v>9997.42</v>
      </c>
      <c r="H338">
        <v>1147665.7</v>
      </c>
      <c r="I338">
        <v>1145942.42</v>
      </c>
      <c r="J338" t="s">
        <v>184</v>
      </c>
    </row>
    <row r="339" spans="1:10" x14ac:dyDescent="0.35">
      <c r="A339">
        <v>150</v>
      </c>
      <c r="B339" t="s">
        <v>351</v>
      </c>
      <c r="C339">
        <v>1895082.11</v>
      </c>
      <c r="D339">
        <v>0</v>
      </c>
      <c r="E339">
        <v>1895082.11</v>
      </c>
      <c r="F339">
        <v>0</v>
      </c>
      <c r="G339">
        <v>26085.35</v>
      </c>
      <c r="H339">
        <v>1895082.11</v>
      </c>
      <c r="I339">
        <v>1868996.76</v>
      </c>
      <c r="J339" t="s">
        <v>184</v>
      </c>
    </row>
    <row r="340" spans="1:10" x14ac:dyDescent="0.35">
      <c r="A340">
        <v>160</v>
      </c>
      <c r="B340" t="s">
        <v>352</v>
      </c>
      <c r="C340">
        <v>2026540.63</v>
      </c>
      <c r="D340">
        <v>0</v>
      </c>
      <c r="E340">
        <v>2026540.63</v>
      </c>
      <c r="F340">
        <v>0</v>
      </c>
      <c r="G340">
        <v>-238401.14</v>
      </c>
      <c r="H340">
        <v>2026540.63</v>
      </c>
      <c r="I340">
        <v>2264941.77</v>
      </c>
      <c r="J340" t="s">
        <v>184</v>
      </c>
    </row>
    <row r="341" spans="1:10" x14ac:dyDescent="0.35">
      <c r="A341">
        <v>170</v>
      </c>
      <c r="B341" t="s">
        <v>353</v>
      </c>
      <c r="C341">
        <v>3303751.59</v>
      </c>
      <c r="D341">
        <v>0</v>
      </c>
      <c r="E341">
        <v>3303751.59</v>
      </c>
      <c r="F341">
        <v>0</v>
      </c>
      <c r="G341">
        <v>0</v>
      </c>
      <c r="H341">
        <v>3303751.59</v>
      </c>
      <c r="I341">
        <v>3303751.59</v>
      </c>
      <c r="J341" t="s">
        <v>184</v>
      </c>
    </row>
    <row r="342" spans="1:10" x14ac:dyDescent="0.35">
      <c r="A342">
        <v>180</v>
      </c>
      <c r="B342" t="s">
        <v>354</v>
      </c>
      <c r="C342">
        <v>278968.08</v>
      </c>
      <c r="D342">
        <v>0</v>
      </c>
      <c r="E342">
        <v>278968.08</v>
      </c>
      <c r="F342">
        <v>0</v>
      </c>
      <c r="G342">
        <v>0</v>
      </c>
      <c r="H342">
        <v>278968.08</v>
      </c>
      <c r="I342">
        <v>278968.08</v>
      </c>
      <c r="J342" t="s">
        <v>184</v>
      </c>
    </row>
    <row r="343" spans="1:10" x14ac:dyDescent="0.35">
      <c r="A343">
        <v>190</v>
      </c>
      <c r="B343" t="s">
        <v>355</v>
      </c>
      <c r="C343">
        <v>-12535905.68</v>
      </c>
      <c r="D343">
        <v>0</v>
      </c>
      <c r="E343">
        <v>-12535905.68</v>
      </c>
      <c r="F343">
        <v>-32252</v>
      </c>
      <c r="G343">
        <v>-51866.46</v>
      </c>
      <c r="H343">
        <v>-12503653.68</v>
      </c>
      <c r="I343">
        <v>-12484039.220000001</v>
      </c>
      <c r="J343" t="s">
        <v>184</v>
      </c>
    </row>
    <row r="344" spans="1:10" x14ac:dyDescent="0.35">
      <c r="A344">
        <v>200</v>
      </c>
      <c r="B344" t="s">
        <v>356</v>
      </c>
      <c r="C344">
        <v>942845.17</v>
      </c>
      <c r="D344">
        <v>0</v>
      </c>
      <c r="E344">
        <v>942845.17</v>
      </c>
      <c r="F344">
        <v>-23977.86</v>
      </c>
      <c r="G344">
        <v>-254184.83</v>
      </c>
      <c r="H344">
        <v>966823.03</v>
      </c>
      <c r="I344">
        <v>1197030</v>
      </c>
      <c r="J344" t="s">
        <v>184</v>
      </c>
    </row>
    <row r="345" spans="1:10" x14ac:dyDescent="0.35">
      <c r="A345">
        <v>210</v>
      </c>
      <c r="B345" t="s">
        <v>401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184</v>
      </c>
    </row>
    <row r="346" spans="1:10" x14ac:dyDescent="0.35">
      <c r="A346">
        <v>220</v>
      </c>
      <c r="B346" t="s">
        <v>358</v>
      </c>
      <c r="C346">
        <v>16300</v>
      </c>
      <c r="D346">
        <v>0</v>
      </c>
      <c r="E346">
        <v>16300</v>
      </c>
      <c r="F346">
        <v>0</v>
      </c>
      <c r="G346">
        <v>0</v>
      </c>
      <c r="H346">
        <v>16300</v>
      </c>
      <c r="I346">
        <v>16300</v>
      </c>
      <c r="J346" t="s">
        <v>184</v>
      </c>
    </row>
    <row r="347" spans="1:10" x14ac:dyDescent="0.35">
      <c r="A347">
        <v>230</v>
      </c>
      <c r="B347" t="s">
        <v>359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184</v>
      </c>
    </row>
    <row r="348" spans="1:10" x14ac:dyDescent="0.35">
      <c r="A348">
        <v>240</v>
      </c>
      <c r="B348" t="s">
        <v>360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184</v>
      </c>
    </row>
    <row r="349" spans="1:10" x14ac:dyDescent="0.35">
      <c r="A349">
        <v>250</v>
      </c>
      <c r="B349" t="s">
        <v>361</v>
      </c>
      <c r="C349">
        <v>16300</v>
      </c>
      <c r="D349">
        <v>0</v>
      </c>
      <c r="E349">
        <v>16300</v>
      </c>
      <c r="F349">
        <v>0</v>
      </c>
      <c r="G349">
        <v>0</v>
      </c>
      <c r="H349">
        <v>16300</v>
      </c>
      <c r="I349">
        <v>16300</v>
      </c>
      <c r="J349" t="s">
        <v>184</v>
      </c>
    </row>
    <row r="350" spans="1:10" x14ac:dyDescent="0.35">
      <c r="A350">
        <v>260</v>
      </c>
      <c r="B350" t="s">
        <v>362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184</v>
      </c>
    </row>
    <row r="351" spans="1:10" x14ac:dyDescent="0.35">
      <c r="A351">
        <v>270</v>
      </c>
      <c r="B351" t="s">
        <v>363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184</v>
      </c>
    </row>
    <row r="352" spans="1:10" x14ac:dyDescent="0.35">
      <c r="A352">
        <v>280</v>
      </c>
      <c r="B352" t="s">
        <v>402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184</v>
      </c>
    </row>
    <row r="353" spans="1:10" x14ac:dyDescent="0.35">
      <c r="A353">
        <v>400</v>
      </c>
      <c r="B353" t="s">
        <v>365</v>
      </c>
      <c r="C353">
        <v>23738192.510000002</v>
      </c>
      <c r="D353">
        <v>0</v>
      </c>
      <c r="E353">
        <v>23738192.510000002</v>
      </c>
      <c r="F353">
        <v>34765.64</v>
      </c>
      <c r="G353">
        <v>-2515545.54</v>
      </c>
      <c r="H353">
        <v>23703426.870000001</v>
      </c>
      <c r="I353">
        <v>26253738.050000001</v>
      </c>
      <c r="J353" t="s">
        <v>184</v>
      </c>
    </row>
    <row r="354" spans="1:10" x14ac:dyDescent="0.35">
      <c r="A354">
        <v>410</v>
      </c>
      <c r="B354" t="s">
        <v>403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184</v>
      </c>
    </row>
    <row r="355" spans="1:10" x14ac:dyDescent="0.35">
      <c r="A355">
        <v>420</v>
      </c>
      <c r="B355" t="s">
        <v>367</v>
      </c>
      <c r="C355">
        <v>9832429.8699999992</v>
      </c>
      <c r="D355">
        <v>0</v>
      </c>
      <c r="E355">
        <v>9832429.8699999992</v>
      </c>
      <c r="F355">
        <v>330902.64</v>
      </c>
      <c r="G355">
        <v>606653.32999999996</v>
      </c>
      <c r="H355">
        <v>9501527.2300000004</v>
      </c>
      <c r="I355">
        <v>9225776.5399999991</v>
      </c>
      <c r="J355" t="s">
        <v>184</v>
      </c>
    </row>
    <row r="356" spans="1:10" x14ac:dyDescent="0.35">
      <c r="A356">
        <v>430</v>
      </c>
      <c r="B356" t="s">
        <v>368</v>
      </c>
      <c r="C356">
        <v>348159.58</v>
      </c>
      <c r="D356">
        <v>0</v>
      </c>
      <c r="E356">
        <v>348159.58</v>
      </c>
      <c r="F356">
        <v>-13247.8</v>
      </c>
      <c r="G356">
        <v>-282712.43</v>
      </c>
      <c r="H356">
        <v>361407.38</v>
      </c>
      <c r="I356">
        <v>630872.01</v>
      </c>
      <c r="J356" t="s">
        <v>184</v>
      </c>
    </row>
    <row r="357" spans="1:10" x14ac:dyDescent="0.35">
      <c r="A357">
        <v>440</v>
      </c>
      <c r="B357" t="s">
        <v>369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184</v>
      </c>
    </row>
    <row r="358" spans="1:10" x14ac:dyDescent="0.35">
      <c r="A358">
        <v>450</v>
      </c>
      <c r="B358" t="s">
        <v>370</v>
      </c>
      <c r="C358">
        <v>1045100.5</v>
      </c>
      <c r="D358">
        <v>0</v>
      </c>
      <c r="E358">
        <v>1045100.5</v>
      </c>
      <c r="F358">
        <v>-10035.24</v>
      </c>
      <c r="G358">
        <v>-2303949.0699999998</v>
      </c>
      <c r="H358">
        <v>1055135.74</v>
      </c>
      <c r="I358">
        <v>3349049.57</v>
      </c>
      <c r="J358" t="s">
        <v>184</v>
      </c>
    </row>
    <row r="359" spans="1:10" x14ac:dyDescent="0.35">
      <c r="A359">
        <v>460</v>
      </c>
      <c r="B359" t="s">
        <v>405</v>
      </c>
      <c r="C359">
        <v>391538.18</v>
      </c>
      <c r="D359">
        <v>0</v>
      </c>
      <c r="E359">
        <v>391538.18</v>
      </c>
      <c r="F359">
        <v>0</v>
      </c>
      <c r="G359">
        <v>0</v>
      </c>
      <c r="H359">
        <v>391538.18</v>
      </c>
      <c r="I359">
        <v>391538.18</v>
      </c>
      <c r="J359" t="s">
        <v>184</v>
      </c>
    </row>
    <row r="360" spans="1:10" x14ac:dyDescent="0.35">
      <c r="A360">
        <v>500</v>
      </c>
      <c r="B360" t="s">
        <v>372</v>
      </c>
      <c r="C360">
        <v>11617228.130000001</v>
      </c>
      <c r="D360">
        <v>0</v>
      </c>
      <c r="E360">
        <v>11617228.130000001</v>
      </c>
      <c r="F360">
        <v>307619.59999999998</v>
      </c>
      <c r="G360">
        <v>-1980008.17</v>
      </c>
      <c r="H360">
        <v>11309608.529999999</v>
      </c>
      <c r="I360">
        <v>13597236.300000001</v>
      </c>
      <c r="J360" t="s">
        <v>184</v>
      </c>
    </row>
    <row r="361" spans="1:10" x14ac:dyDescent="0.35">
      <c r="A361">
        <v>510</v>
      </c>
      <c r="B361" t="s">
        <v>406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184</v>
      </c>
    </row>
    <row r="362" spans="1:10" x14ac:dyDescent="0.35">
      <c r="A362">
        <v>520</v>
      </c>
      <c r="B362" t="s">
        <v>374</v>
      </c>
      <c r="C362">
        <v>7042599.6799999997</v>
      </c>
      <c r="D362">
        <v>0</v>
      </c>
      <c r="E362">
        <v>7042599.6799999997</v>
      </c>
      <c r="F362">
        <v>0</v>
      </c>
      <c r="G362">
        <v>1700000</v>
      </c>
      <c r="H362">
        <v>7042599.6799999997</v>
      </c>
      <c r="I362">
        <v>5342599.68</v>
      </c>
      <c r="J362" t="s">
        <v>184</v>
      </c>
    </row>
    <row r="363" spans="1:10" x14ac:dyDescent="0.35">
      <c r="A363">
        <v>530</v>
      </c>
      <c r="B363" t="s">
        <v>375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184</v>
      </c>
    </row>
    <row r="364" spans="1:10" x14ac:dyDescent="0.35">
      <c r="A364">
        <v>540</v>
      </c>
      <c r="B364" t="s">
        <v>376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184</v>
      </c>
    </row>
    <row r="365" spans="1:10" x14ac:dyDescent="0.35">
      <c r="A365">
        <v>600</v>
      </c>
      <c r="B365" t="s">
        <v>377</v>
      </c>
      <c r="C365">
        <v>7042599.6799999997</v>
      </c>
      <c r="D365">
        <v>0</v>
      </c>
      <c r="E365">
        <v>7042599.6799999997</v>
      </c>
      <c r="F365">
        <v>0</v>
      </c>
      <c r="G365">
        <v>1700000</v>
      </c>
      <c r="H365">
        <v>7042599.6799999997</v>
      </c>
      <c r="I365">
        <v>5342599.68</v>
      </c>
      <c r="J365" t="s">
        <v>184</v>
      </c>
    </row>
    <row r="366" spans="1:10" x14ac:dyDescent="0.35">
      <c r="A366">
        <v>610</v>
      </c>
      <c r="B366" t="s">
        <v>408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184</v>
      </c>
    </row>
    <row r="367" spans="1:10" x14ac:dyDescent="0.35">
      <c r="A367">
        <v>620</v>
      </c>
      <c r="B367" t="s">
        <v>379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184</v>
      </c>
    </row>
    <row r="368" spans="1:10" x14ac:dyDescent="0.35">
      <c r="A368">
        <v>700</v>
      </c>
      <c r="B368" t="s">
        <v>409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184</v>
      </c>
    </row>
    <row r="369" spans="1:10" x14ac:dyDescent="0.35">
      <c r="A369">
        <v>710</v>
      </c>
      <c r="B369" t="s">
        <v>410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184</v>
      </c>
    </row>
    <row r="370" spans="1:10" x14ac:dyDescent="0.35">
      <c r="A370">
        <v>720</v>
      </c>
      <c r="B370" t="s">
        <v>382</v>
      </c>
      <c r="C370">
        <v>44717710.020000003</v>
      </c>
      <c r="D370">
        <v>0</v>
      </c>
      <c r="E370">
        <v>44717710.020000003</v>
      </c>
      <c r="F370">
        <v>0</v>
      </c>
      <c r="G370">
        <v>0</v>
      </c>
      <c r="H370">
        <v>44717710.020000003</v>
      </c>
      <c r="I370">
        <v>44717710.020000003</v>
      </c>
      <c r="J370" t="s">
        <v>184</v>
      </c>
    </row>
    <row r="371" spans="1:10" x14ac:dyDescent="0.35">
      <c r="A371">
        <v>730</v>
      </c>
      <c r="B371" t="s">
        <v>383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184</v>
      </c>
    </row>
    <row r="372" spans="1:10" x14ac:dyDescent="0.35">
      <c r="A372">
        <v>740</v>
      </c>
      <c r="B372" t="s">
        <v>384</v>
      </c>
      <c r="C372">
        <v>-37440565.590000004</v>
      </c>
      <c r="D372">
        <v>0</v>
      </c>
      <c r="E372">
        <v>-37440565.590000004</v>
      </c>
      <c r="F372">
        <v>0</v>
      </c>
      <c r="G372">
        <v>0</v>
      </c>
      <c r="H372">
        <v>-37440565.590000004</v>
      </c>
      <c r="I372">
        <v>-37440565.590000004</v>
      </c>
      <c r="J372" t="s">
        <v>184</v>
      </c>
    </row>
    <row r="373" spans="1:10" x14ac:dyDescent="0.35">
      <c r="A373">
        <v>750</v>
      </c>
      <c r="B373" t="s">
        <v>385</v>
      </c>
      <c r="C373">
        <v>-2235537.37</v>
      </c>
      <c r="D373">
        <v>0</v>
      </c>
      <c r="E373">
        <v>-2235537.37</v>
      </c>
      <c r="F373">
        <v>-272853.96000000002</v>
      </c>
      <c r="G373">
        <v>-2235537.37</v>
      </c>
      <c r="H373">
        <v>-1962683.41</v>
      </c>
      <c r="I373">
        <v>0</v>
      </c>
      <c r="J373" t="s">
        <v>184</v>
      </c>
    </row>
    <row r="374" spans="1:10" x14ac:dyDescent="0.35">
      <c r="A374">
        <v>760</v>
      </c>
      <c r="B374" t="s">
        <v>386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184</v>
      </c>
    </row>
    <row r="375" spans="1:10" x14ac:dyDescent="0.35">
      <c r="A375">
        <v>770</v>
      </c>
      <c r="B375" t="s">
        <v>387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184</v>
      </c>
    </row>
    <row r="376" spans="1:10" x14ac:dyDescent="0.35">
      <c r="A376">
        <v>800</v>
      </c>
      <c r="B376" t="s">
        <v>388</v>
      </c>
      <c r="C376">
        <v>5078364.7</v>
      </c>
      <c r="D376">
        <v>0</v>
      </c>
      <c r="E376">
        <v>5078364.7</v>
      </c>
      <c r="F376">
        <v>-272853.96000000002</v>
      </c>
      <c r="G376">
        <v>-2235537.37</v>
      </c>
      <c r="H376">
        <v>5351218.66</v>
      </c>
      <c r="I376">
        <v>7313902.0700000003</v>
      </c>
      <c r="J376" t="s">
        <v>184</v>
      </c>
    </row>
    <row r="377" spans="1:10" x14ac:dyDescent="0.35">
      <c r="A377">
        <v>900</v>
      </c>
      <c r="B377" t="s">
        <v>389</v>
      </c>
      <c r="C377">
        <v>23738192.510000002</v>
      </c>
      <c r="D377">
        <v>0</v>
      </c>
      <c r="E377">
        <v>23738192.510000002</v>
      </c>
      <c r="F377">
        <v>34765.64</v>
      </c>
      <c r="G377">
        <v>-2515545.54</v>
      </c>
      <c r="H377">
        <v>23703426.870000001</v>
      </c>
      <c r="I377">
        <v>26253738.050000001</v>
      </c>
      <c r="J377" t="s">
        <v>184</v>
      </c>
    </row>
    <row r="378" spans="1:10" x14ac:dyDescent="0.35">
      <c r="A378">
        <v>1000</v>
      </c>
      <c r="B378" t="s">
        <v>411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184</v>
      </c>
    </row>
    <row r="379" spans="1:10" x14ac:dyDescent="0.35">
      <c r="A379" t="s">
        <v>228</v>
      </c>
      <c r="B379" t="s">
        <v>172</v>
      </c>
      <c r="C379" t="s">
        <v>390</v>
      </c>
      <c r="D379" t="s">
        <v>391</v>
      </c>
      <c r="E379" t="s">
        <v>392</v>
      </c>
      <c r="F379" t="s">
        <v>393</v>
      </c>
      <c r="G379" t="s">
        <v>394</v>
      </c>
      <c r="H379" t="s">
        <v>395</v>
      </c>
      <c r="I379" t="s">
        <v>396</v>
      </c>
      <c r="J379" t="s">
        <v>183</v>
      </c>
    </row>
    <row r="380" spans="1:10" x14ac:dyDescent="0.35">
      <c r="A380">
        <v>10</v>
      </c>
      <c r="B380" t="s">
        <v>397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184</v>
      </c>
    </row>
    <row r="381" spans="1:10" x14ac:dyDescent="0.35">
      <c r="A381">
        <v>20</v>
      </c>
      <c r="B381" t="s">
        <v>339</v>
      </c>
      <c r="C381">
        <v>2025959.25</v>
      </c>
      <c r="D381">
        <v>0</v>
      </c>
      <c r="E381">
        <v>2025959.25</v>
      </c>
      <c r="F381">
        <v>-2911328.87</v>
      </c>
      <c r="G381">
        <v>1314720.54</v>
      </c>
      <c r="H381">
        <v>4937288.12</v>
      </c>
      <c r="I381">
        <v>711238.71</v>
      </c>
      <c r="J381" t="s">
        <v>184</v>
      </c>
    </row>
    <row r="382" spans="1:10" x14ac:dyDescent="0.35">
      <c r="A382">
        <v>30</v>
      </c>
      <c r="B382" t="s">
        <v>340</v>
      </c>
      <c r="C382">
        <v>15741165.48</v>
      </c>
      <c r="D382">
        <v>0</v>
      </c>
      <c r="E382">
        <v>15741165.48</v>
      </c>
      <c r="F382">
        <v>0</v>
      </c>
      <c r="G382">
        <v>-834099.79</v>
      </c>
      <c r="H382">
        <v>15741165.48</v>
      </c>
      <c r="I382">
        <v>16575265.27</v>
      </c>
      <c r="J382" t="s">
        <v>184</v>
      </c>
    </row>
    <row r="383" spans="1:10" x14ac:dyDescent="0.35">
      <c r="A383">
        <v>40</v>
      </c>
      <c r="B383" t="s">
        <v>341</v>
      </c>
      <c r="C383">
        <v>13426205.67</v>
      </c>
      <c r="D383">
        <v>0</v>
      </c>
      <c r="E383">
        <v>13426205.67</v>
      </c>
      <c r="F383">
        <v>-1926402.58</v>
      </c>
      <c r="G383">
        <v>-2916399</v>
      </c>
      <c r="H383">
        <v>15352608.25</v>
      </c>
      <c r="I383">
        <v>16342604.67</v>
      </c>
      <c r="J383" t="s">
        <v>184</v>
      </c>
    </row>
    <row r="384" spans="1:10" x14ac:dyDescent="0.35">
      <c r="A384">
        <v>50</v>
      </c>
      <c r="B384" t="s">
        <v>342</v>
      </c>
      <c r="C384">
        <v>105221.47</v>
      </c>
      <c r="D384">
        <v>0</v>
      </c>
      <c r="E384">
        <v>105221.47</v>
      </c>
      <c r="F384">
        <v>11014.32</v>
      </c>
      <c r="G384">
        <v>94421.46</v>
      </c>
      <c r="H384">
        <v>94207.15</v>
      </c>
      <c r="I384">
        <v>10800.01</v>
      </c>
      <c r="J384" t="s">
        <v>184</v>
      </c>
    </row>
    <row r="385" spans="1:10" x14ac:dyDescent="0.35">
      <c r="A385">
        <v>60</v>
      </c>
      <c r="B385" t="s">
        <v>343</v>
      </c>
      <c r="C385">
        <v>33441784.789999999</v>
      </c>
      <c r="D385">
        <v>0</v>
      </c>
      <c r="E385">
        <v>33441784.789999999</v>
      </c>
      <c r="F385">
        <v>-10085490.869999999</v>
      </c>
      <c r="G385">
        <v>-43385555.850000001</v>
      </c>
      <c r="H385">
        <v>43527275.659999996</v>
      </c>
      <c r="I385">
        <v>76827340.640000001</v>
      </c>
      <c r="J385" t="s">
        <v>184</v>
      </c>
    </row>
    <row r="386" spans="1:10" x14ac:dyDescent="0.35">
      <c r="A386">
        <v>70</v>
      </c>
      <c r="B386" t="s">
        <v>344</v>
      </c>
      <c r="C386">
        <v>2995010.02</v>
      </c>
      <c r="D386">
        <v>0</v>
      </c>
      <c r="E386">
        <v>2995010.02</v>
      </c>
      <c r="F386">
        <v>891630.3</v>
      </c>
      <c r="G386">
        <v>1264416</v>
      </c>
      <c r="H386">
        <v>2103379.7200000002</v>
      </c>
      <c r="I386">
        <v>1730594.02</v>
      </c>
      <c r="J386" t="s">
        <v>184</v>
      </c>
    </row>
    <row r="387" spans="1:10" x14ac:dyDescent="0.35">
      <c r="A387">
        <v>80</v>
      </c>
      <c r="B387" t="s">
        <v>412</v>
      </c>
      <c r="C387">
        <v>1729254.46</v>
      </c>
      <c r="D387">
        <v>0</v>
      </c>
      <c r="E387">
        <v>1729254.46</v>
      </c>
      <c r="F387">
        <v>-645539.59</v>
      </c>
      <c r="G387">
        <v>-6138111.9500000002</v>
      </c>
      <c r="H387">
        <v>2374794.0499999998</v>
      </c>
      <c r="I387">
        <v>7867366.4100000001</v>
      </c>
      <c r="J387" t="s">
        <v>184</v>
      </c>
    </row>
    <row r="388" spans="1:10" x14ac:dyDescent="0.35">
      <c r="A388">
        <v>100</v>
      </c>
      <c r="B388" t="s">
        <v>399</v>
      </c>
      <c r="C388">
        <v>69464601.140000001</v>
      </c>
      <c r="D388">
        <v>0</v>
      </c>
      <c r="E388">
        <v>69464601.140000001</v>
      </c>
      <c r="F388">
        <v>-14666117.289999999</v>
      </c>
      <c r="G388">
        <v>-50600608.590000004</v>
      </c>
      <c r="H388">
        <v>84130718.430000007</v>
      </c>
      <c r="I388">
        <v>120065209.73</v>
      </c>
      <c r="J388" t="s">
        <v>184</v>
      </c>
    </row>
    <row r="389" spans="1:10" x14ac:dyDescent="0.35">
      <c r="A389">
        <v>110</v>
      </c>
      <c r="B389" t="s">
        <v>400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184</v>
      </c>
    </row>
    <row r="390" spans="1:10" x14ac:dyDescent="0.35">
      <c r="A390">
        <v>120</v>
      </c>
      <c r="B390" t="s">
        <v>348</v>
      </c>
      <c r="C390">
        <v>10</v>
      </c>
      <c r="D390">
        <v>0</v>
      </c>
      <c r="E390">
        <v>10</v>
      </c>
      <c r="F390">
        <v>0</v>
      </c>
      <c r="G390">
        <v>0</v>
      </c>
      <c r="H390">
        <v>10</v>
      </c>
      <c r="I390">
        <v>10</v>
      </c>
      <c r="J390" t="s">
        <v>184</v>
      </c>
    </row>
    <row r="391" spans="1:10" x14ac:dyDescent="0.35">
      <c r="A391">
        <v>130</v>
      </c>
      <c r="B391" t="s">
        <v>349</v>
      </c>
      <c r="C391">
        <v>26459216.719999999</v>
      </c>
      <c r="D391">
        <v>0</v>
      </c>
      <c r="E391">
        <v>26459216.719999999</v>
      </c>
      <c r="F391">
        <v>0</v>
      </c>
      <c r="G391">
        <v>0</v>
      </c>
      <c r="H391">
        <v>26459216.719999999</v>
      </c>
      <c r="I391">
        <v>26459216.719999999</v>
      </c>
      <c r="J391" t="s">
        <v>184</v>
      </c>
    </row>
    <row r="392" spans="1:10" x14ac:dyDescent="0.35">
      <c r="A392">
        <v>140</v>
      </c>
      <c r="B392" t="s">
        <v>350</v>
      </c>
      <c r="C392">
        <v>4389896.59</v>
      </c>
      <c r="D392">
        <v>0</v>
      </c>
      <c r="E392">
        <v>4389896.59</v>
      </c>
      <c r="F392">
        <v>0</v>
      </c>
      <c r="G392">
        <v>0</v>
      </c>
      <c r="H392">
        <v>4389896.59</v>
      </c>
      <c r="I392">
        <v>4389896.59</v>
      </c>
      <c r="J392" t="s">
        <v>184</v>
      </c>
    </row>
    <row r="393" spans="1:10" x14ac:dyDescent="0.35">
      <c r="A393">
        <v>150</v>
      </c>
      <c r="B393" t="s">
        <v>351</v>
      </c>
      <c r="C393">
        <v>4895723.47</v>
      </c>
      <c r="D393">
        <v>0</v>
      </c>
      <c r="E393">
        <v>4895723.47</v>
      </c>
      <c r="F393">
        <v>35840</v>
      </c>
      <c r="G393">
        <v>35840</v>
      </c>
      <c r="H393">
        <v>4859883.47</v>
      </c>
      <c r="I393">
        <v>4859883.47</v>
      </c>
      <c r="J393" t="s">
        <v>184</v>
      </c>
    </row>
    <row r="394" spans="1:10" x14ac:dyDescent="0.35">
      <c r="A394">
        <v>160</v>
      </c>
      <c r="B394" t="s">
        <v>352</v>
      </c>
      <c r="C394">
        <v>6030648.5499999998</v>
      </c>
      <c r="D394">
        <v>0</v>
      </c>
      <c r="E394">
        <v>6030648.5499999998</v>
      </c>
      <c r="F394">
        <v>0</v>
      </c>
      <c r="G394">
        <v>-244696.27</v>
      </c>
      <c r="H394">
        <v>6030648.5499999998</v>
      </c>
      <c r="I394">
        <v>6275344.8200000003</v>
      </c>
      <c r="J394" t="s">
        <v>184</v>
      </c>
    </row>
    <row r="395" spans="1:10" x14ac:dyDescent="0.35">
      <c r="A395">
        <v>170</v>
      </c>
      <c r="B395" t="s">
        <v>353</v>
      </c>
      <c r="C395">
        <v>6001664.5499999998</v>
      </c>
      <c r="D395">
        <v>0</v>
      </c>
      <c r="E395">
        <v>6001664.5499999998</v>
      </c>
      <c r="F395">
        <v>0</v>
      </c>
      <c r="G395">
        <v>0</v>
      </c>
      <c r="H395">
        <v>6001664.5499999998</v>
      </c>
      <c r="I395">
        <v>6001664.5499999998</v>
      </c>
      <c r="J395" t="s">
        <v>184</v>
      </c>
    </row>
    <row r="396" spans="1:10" x14ac:dyDescent="0.35">
      <c r="A396">
        <v>180</v>
      </c>
      <c r="B396" t="s">
        <v>354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184</v>
      </c>
    </row>
    <row r="397" spans="1:10" x14ac:dyDescent="0.35">
      <c r="A397">
        <v>190</v>
      </c>
      <c r="B397" t="s">
        <v>355</v>
      </c>
      <c r="C397">
        <v>-30973168.329999998</v>
      </c>
      <c r="D397">
        <v>0</v>
      </c>
      <c r="E397">
        <v>-30973168.329999998</v>
      </c>
      <c r="F397">
        <v>-79762.86</v>
      </c>
      <c r="G397">
        <v>-753169.13</v>
      </c>
      <c r="H397">
        <v>-30893405.469999999</v>
      </c>
      <c r="I397">
        <v>-30219999.199999999</v>
      </c>
      <c r="J397" t="s">
        <v>184</v>
      </c>
    </row>
    <row r="398" spans="1:10" x14ac:dyDescent="0.35">
      <c r="A398">
        <v>200</v>
      </c>
      <c r="B398" t="s">
        <v>356</v>
      </c>
      <c r="C398">
        <v>16803991.550000001</v>
      </c>
      <c r="D398">
        <v>0</v>
      </c>
      <c r="E398">
        <v>16803991.550000001</v>
      </c>
      <c r="F398">
        <v>-43922.86</v>
      </c>
      <c r="G398">
        <v>-962025.4</v>
      </c>
      <c r="H398">
        <v>16847914.41</v>
      </c>
      <c r="I398">
        <v>17766016.949999999</v>
      </c>
      <c r="J398" t="s">
        <v>184</v>
      </c>
    </row>
    <row r="399" spans="1:10" x14ac:dyDescent="0.35">
      <c r="A399">
        <v>210</v>
      </c>
      <c r="B399" t="s">
        <v>401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184</v>
      </c>
    </row>
    <row r="400" spans="1:10" x14ac:dyDescent="0.35">
      <c r="A400">
        <v>220</v>
      </c>
      <c r="B400" t="s">
        <v>358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184</v>
      </c>
    </row>
    <row r="401" spans="1:10" x14ac:dyDescent="0.35">
      <c r="A401">
        <v>230</v>
      </c>
      <c r="B401" t="s">
        <v>359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184</v>
      </c>
    </row>
    <row r="402" spans="1:10" x14ac:dyDescent="0.35">
      <c r="A402">
        <v>240</v>
      </c>
      <c r="B402" t="s">
        <v>360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184</v>
      </c>
    </row>
    <row r="403" spans="1:10" x14ac:dyDescent="0.35">
      <c r="A403">
        <v>250</v>
      </c>
      <c r="B403" t="s">
        <v>361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184</v>
      </c>
    </row>
    <row r="404" spans="1:10" x14ac:dyDescent="0.35">
      <c r="A404">
        <v>260</v>
      </c>
      <c r="B404" t="s">
        <v>362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184</v>
      </c>
    </row>
    <row r="405" spans="1:10" x14ac:dyDescent="0.35">
      <c r="A405">
        <v>270</v>
      </c>
      <c r="B405" t="s">
        <v>363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184</v>
      </c>
    </row>
    <row r="406" spans="1:10" x14ac:dyDescent="0.35">
      <c r="A406">
        <v>280</v>
      </c>
      <c r="B406" t="s">
        <v>402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184</v>
      </c>
    </row>
    <row r="407" spans="1:10" x14ac:dyDescent="0.35">
      <c r="A407">
        <v>400</v>
      </c>
      <c r="B407" t="s">
        <v>365</v>
      </c>
      <c r="C407">
        <v>86268592.689999998</v>
      </c>
      <c r="D407">
        <v>0</v>
      </c>
      <c r="E407">
        <v>86268592.689999998</v>
      </c>
      <c r="F407">
        <v>-14710040.15</v>
      </c>
      <c r="G407">
        <v>-51562633.990000002</v>
      </c>
      <c r="H407">
        <v>100978632.84</v>
      </c>
      <c r="I407">
        <v>137831226.68000001</v>
      </c>
      <c r="J407" t="s">
        <v>184</v>
      </c>
    </row>
    <row r="408" spans="1:10" x14ac:dyDescent="0.35">
      <c r="A408">
        <v>410</v>
      </c>
      <c r="B408" t="s">
        <v>403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184</v>
      </c>
    </row>
    <row r="409" spans="1:10" x14ac:dyDescent="0.35">
      <c r="A409">
        <v>420</v>
      </c>
      <c r="B409" t="s">
        <v>367</v>
      </c>
      <c r="C409">
        <v>11824801.25</v>
      </c>
      <c r="D409">
        <v>0</v>
      </c>
      <c r="E409">
        <v>11824801.25</v>
      </c>
      <c r="F409">
        <v>-7620651.8099999996</v>
      </c>
      <c r="G409">
        <v>-468308.59</v>
      </c>
      <c r="H409">
        <v>19445453.059999999</v>
      </c>
      <c r="I409">
        <v>12293109.84</v>
      </c>
      <c r="J409" t="s">
        <v>184</v>
      </c>
    </row>
    <row r="410" spans="1:10" x14ac:dyDescent="0.35">
      <c r="A410">
        <v>430</v>
      </c>
      <c r="B410" t="s">
        <v>368</v>
      </c>
      <c r="C410">
        <v>41302380.450000003</v>
      </c>
      <c r="D410">
        <v>0</v>
      </c>
      <c r="E410">
        <v>41302380.450000003</v>
      </c>
      <c r="F410">
        <v>-13474161.859999999</v>
      </c>
      <c r="G410">
        <v>-53432294.390000001</v>
      </c>
      <c r="H410">
        <v>54776542.310000002</v>
      </c>
      <c r="I410">
        <v>94734674.840000004</v>
      </c>
      <c r="J410" t="s">
        <v>184</v>
      </c>
    </row>
    <row r="411" spans="1:10" x14ac:dyDescent="0.35">
      <c r="A411">
        <v>440</v>
      </c>
      <c r="B411" t="s">
        <v>369</v>
      </c>
      <c r="C411">
        <v>405.31</v>
      </c>
      <c r="D411">
        <v>0</v>
      </c>
      <c r="E411">
        <v>405.31</v>
      </c>
      <c r="F411">
        <v>-2245.34</v>
      </c>
      <c r="G411">
        <v>-117379.25</v>
      </c>
      <c r="H411">
        <v>2650.65</v>
      </c>
      <c r="I411">
        <v>117784.56</v>
      </c>
      <c r="J411" t="s">
        <v>184</v>
      </c>
    </row>
    <row r="412" spans="1:10" x14ac:dyDescent="0.35">
      <c r="A412">
        <v>450</v>
      </c>
      <c r="B412" t="s">
        <v>370</v>
      </c>
      <c r="C412">
        <v>4807153.24</v>
      </c>
      <c r="D412">
        <v>0</v>
      </c>
      <c r="E412">
        <v>4807153.24</v>
      </c>
      <c r="F412">
        <v>442018.53</v>
      </c>
      <c r="G412">
        <v>670317.35</v>
      </c>
      <c r="H412">
        <v>4365134.71</v>
      </c>
      <c r="I412">
        <v>4136835.89</v>
      </c>
      <c r="J412" t="s">
        <v>184</v>
      </c>
    </row>
    <row r="413" spans="1:10" x14ac:dyDescent="0.35">
      <c r="A413">
        <v>460</v>
      </c>
      <c r="B413" t="s">
        <v>405</v>
      </c>
      <c r="C413">
        <v>-137531.32</v>
      </c>
      <c r="D413">
        <v>0</v>
      </c>
      <c r="E413">
        <v>-137531.32</v>
      </c>
      <c r="F413">
        <v>109042.44</v>
      </c>
      <c r="G413">
        <v>-9796.1</v>
      </c>
      <c r="H413">
        <v>-246573.76</v>
      </c>
      <c r="I413">
        <v>-127735.22</v>
      </c>
      <c r="J413" t="s">
        <v>184</v>
      </c>
    </row>
    <row r="414" spans="1:10" x14ac:dyDescent="0.35">
      <c r="A414">
        <v>500</v>
      </c>
      <c r="B414" t="s">
        <v>372</v>
      </c>
      <c r="C414">
        <v>57797208.93</v>
      </c>
      <c r="D414">
        <v>0</v>
      </c>
      <c r="E414">
        <v>57797208.93</v>
      </c>
      <c r="F414">
        <v>-20545998.039999999</v>
      </c>
      <c r="G414">
        <v>-53357460.979999997</v>
      </c>
      <c r="H414">
        <v>78343206.969999999</v>
      </c>
      <c r="I414">
        <v>111154669.91</v>
      </c>
      <c r="J414" t="s">
        <v>184</v>
      </c>
    </row>
    <row r="415" spans="1:10" x14ac:dyDescent="0.35">
      <c r="A415">
        <v>510</v>
      </c>
      <c r="B415" t="s">
        <v>406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184</v>
      </c>
    </row>
    <row r="416" spans="1:10" x14ac:dyDescent="0.35">
      <c r="A416">
        <v>520</v>
      </c>
      <c r="B416" t="s">
        <v>374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184</v>
      </c>
    </row>
    <row r="417" spans="1:10" x14ac:dyDescent="0.35">
      <c r="A417">
        <v>530</v>
      </c>
      <c r="B417" t="s">
        <v>375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184</v>
      </c>
    </row>
    <row r="418" spans="1:10" x14ac:dyDescent="0.35">
      <c r="A418">
        <v>540</v>
      </c>
      <c r="B418" t="s">
        <v>376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184</v>
      </c>
    </row>
    <row r="419" spans="1:10" x14ac:dyDescent="0.35">
      <c r="A419">
        <v>600</v>
      </c>
      <c r="B419" t="s">
        <v>377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184</v>
      </c>
    </row>
    <row r="420" spans="1:10" x14ac:dyDescent="0.35">
      <c r="A420">
        <v>610</v>
      </c>
      <c r="B420" t="s">
        <v>408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184</v>
      </c>
    </row>
    <row r="421" spans="1:10" x14ac:dyDescent="0.35">
      <c r="A421">
        <v>620</v>
      </c>
      <c r="B421" t="s">
        <v>379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184</v>
      </c>
    </row>
    <row r="422" spans="1:10" x14ac:dyDescent="0.35">
      <c r="A422">
        <v>700</v>
      </c>
      <c r="B422" t="s">
        <v>409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184</v>
      </c>
    </row>
    <row r="423" spans="1:10" x14ac:dyDescent="0.35">
      <c r="A423">
        <v>710</v>
      </c>
      <c r="B423" t="s">
        <v>410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184</v>
      </c>
    </row>
    <row r="424" spans="1:10" x14ac:dyDescent="0.35">
      <c r="A424">
        <v>720</v>
      </c>
      <c r="B424" t="s">
        <v>382</v>
      </c>
      <c r="C424">
        <v>138744854.81</v>
      </c>
      <c r="D424">
        <v>0</v>
      </c>
      <c r="E424">
        <v>138744854.81</v>
      </c>
      <c r="F424">
        <v>6000000</v>
      </c>
      <c r="G424">
        <v>6000000</v>
      </c>
      <c r="H424">
        <v>132744854.81</v>
      </c>
      <c r="I424">
        <v>132744854.81</v>
      </c>
      <c r="J424" t="s">
        <v>184</v>
      </c>
    </row>
    <row r="425" spans="1:10" x14ac:dyDescent="0.35">
      <c r="A425">
        <v>730</v>
      </c>
      <c r="B425" t="s">
        <v>383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184</v>
      </c>
    </row>
    <row r="426" spans="1:10" x14ac:dyDescent="0.35">
      <c r="A426">
        <v>740</v>
      </c>
      <c r="B426" t="s">
        <v>384</v>
      </c>
      <c r="C426">
        <v>-105621598.7</v>
      </c>
      <c r="D426">
        <v>0</v>
      </c>
      <c r="E426">
        <v>-105621598.7</v>
      </c>
      <c r="F426">
        <v>503895.33</v>
      </c>
      <c r="G426">
        <v>503895.33</v>
      </c>
      <c r="H426">
        <v>-106125494.03</v>
      </c>
      <c r="I426">
        <v>-106125494.03</v>
      </c>
      <c r="J426" t="s">
        <v>184</v>
      </c>
    </row>
    <row r="427" spans="1:10" x14ac:dyDescent="0.35">
      <c r="A427">
        <v>750</v>
      </c>
      <c r="B427" t="s">
        <v>385</v>
      </c>
      <c r="C427">
        <v>-4709068.34</v>
      </c>
      <c r="D427">
        <v>0</v>
      </c>
      <c r="E427">
        <v>-4709068.34</v>
      </c>
      <c r="F427">
        <v>-667937.43999999994</v>
      </c>
      <c r="G427">
        <v>-4709068.34</v>
      </c>
      <c r="H427">
        <v>-4041130.9</v>
      </c>
      <c r="I427">
        <v>0</v>
      </c>
      <c r="J427" t="s">
        <v>184</v>
      </c>
    </row>
    <row r="428" spans="1:10" x14ac:dyDescent="0.35">
      <c r="A428">
        <v>760</v>
      </c>
      <c r="B428" t="s">
        <v>386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184</v>
      </c>
    </row>
    <row r="429" spans="1:10" x14ac:dyDescent="0.35">
      <c r="A429">
        <v>770</v>
      </c>
      <c r="B429" t="s">
        <v>387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184</v>
      </c>
    </row>
    <row r="430" spans="1:10" x14ac:dyDescent="0.35">
      <c r="A430">
        <v>800</v>
      </c>
      <c r="B430" t="s">
        <v>388</v>
      </c>
      <c r="C430">
        <v>28471383.760000002</v>
      </c>
      <c r="D430">
        <v>0</v>
      </c>
      <c r="E430">
        <v>28471383.760000002</v>
      </c>
      <c r="F430">
        <v>5835957.8899999997</v>
      </c>
      <c r="G430">
        <v>1794826.99</v>
      </c>
      <c r="H430">
        <v>22635425.870000001</v>
      </c>
      <c r="I430">
        <v>26676556.77</v>
      </c>
      <c r="J430" t="s">
        <v>184</v>
      </c>
    </row>
    <row r="431" spans="1:10" x14ac:dyDescent="0.35">
      <c r="A431">
        <v>900</v>
      </c>
      <c r="B431" t="s">
        <v>389</v>
      </c>
      <c r="C431">
        <v>86268592.689999998</v>
      </c>
      <c r="D431">
        <v>0</v>
      </c>
      <c r="E431">
        <v>86268592.689999998</v>
      </c>
      <c r="F431">
        <v>-14710040.15</v>
      </c>
      <c r="G431">
        <v>-51562633.990000002</v>
      </c>
      <c r="H431">
        <v>100978632.84</v>
      </c>
      <c r="I431">
        <v>137831226.68000001</v>
      </c>
      <c r="J431" t="s">
        <v>184</v>
      </c>
    </row>
    <row r="432" spans="1:10" x14ac:dyDescent="0.35">
      <c r="A432">
        <v>1000</v>
      </c>
      <c r="B432" t="s">
        <v>411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184</v>
      </c>
    </row>
    <row r="433" spans="1:10" x14ac:dyDescent="0.35">
      <c r="A433" t="s">
        <v>229</v>
      </c>
      <c r="B433" t="s">
        <v>172</v>
      </c>
      <c r="C433" t="s">
        <v>390</v>
      </c>
      <c r="D433" t="s">
        <v>391</v>
      </c>
      <c r="E433" t="s">
        <v>392</v>
      </c>
      <c r="F433" t="s">
        <v>393</v>
      </c>
      <c r="G433" t="s">
        <v>394</v>
      </c>
      <c r="H433" t="s">
        <v>395</v>
      </c>
      <c r="I433" t="s">
        <v>396</v>
      </c>
      <c r="J433" t="s">
        <v>183</v>
      </c>
    </row>
    <row r="434" spans="1:10" x14ac:dyDescent="0.35">
      <c r="A434">
        <v>10</v>
      </c>
      <c r="B434" t="s">
        <v>397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184</v>
      </c>
    </row>
    <row r="435" spans="1:10" x14ac:dyDescent="0.35">
      <c r="A435">
        <v>20</v>
      </c>
      <c r="B435" t="s">
        <v>339</v>
      </c>
      <c r="C435">
        <v>645648.68000000005</v>
      </c>
      <c r="D435">
        <v>0</v>
      </c>
      <c r="E435">
        <v>645648.68000000005</v>
      </c>
      <c r="F435">
        <v>485947.78</v>
      </c>
      <c r="G435">
        <v>-762235.65</v>
      </c>
      <c r="H435">
        <v>159700.9</v>
      </c>
      <c r="I435">
        <v>1407884.33</v>
      </c>
      <c r="J435" t="s">
        <v>184</v>
      </c>
    </row>
    <row r="436" spans="1:10" x14ac:dyDescent="0.35">
      <c r="A436">
        <v>30</v>
      </c>
      <c r="B436" t="s">
        <v>340</v>
      </c>
      <c r="C436">
        <v>5000</v>
      </c>
      <c r="D436">
        <v>0</v>
      </c>
      <c r="E436">
        <v>5000</v>
      </c>
      <c r="F436">
        <v>0</v>
      </c>
      <c r="G436">
        <v>0</v>
      </c>
      <c r="H436">
        <v>5000</v>
      </c>
      <c r="I436">
        <v>5000</v>
      </c>
      <c r="J436" t="s">
        <v>184</v>
      </c>
    </row>
    <row r="437" spans="1:10" x14ac:dyDescent="0.35">
      <c r="A437">
        <v>40</v>
      </c>
      <c r="B437" t="s">
        <v>341</v>
      </c>
      <c r="C437">
        <v>964895.2</v>
      </c>
      <c r="D437">
        <v>0</v>
      </c>
      <c r="E437">
        <v>964895.2</v>
      </c>
      <c r="F437">
        <v>492142.75</v>
      </c>
      <c r="G437">
        <v>623224.15</v>
      </c>
      <c r="H437">
        <v>472752.45</v>
      </c>
      <c r="I437">
        <v>341671.05</v>
      </c>
      <c r="J437" t="s">
        <v>184</v>
      </c>
    </row>
    <row r="438" spans="1:10" x14ac:dyDescent="0.35">
      <c r="A438">
        <v>50</v>
      </c>
      <c r="B438" t="s">
        <v>342</v>
      </c>
      <c r="C438">
        <v>63673.27</v>
      </c>
      <c r="D438">
        <v>0</v>
      </c>
      <c r="E438">
        <v>63673.27</v>
      </c>
      <c r="F438">
        <v>13817.8</v>
      </c>
      <c r="G438">
        <v>37644.629999999997</v>
      </c>
      <c r="H438">
        <v>49855.47</v>
      </c>
      <c r="I438">
        <v>26028.639999999999</v>
      </c>
      <c r="J438" t="s">
        <v>184</v>
      </c>
    </row>
    <row r="439" spans="1:10" x14ac:dyDescent="0.35">
      <c r="A439">
        <v>60</v>
      </c>
      <c r="B439" t="s">
        <v>343</v>
      </c>
      <c r="C439">
        <v>3728605.99</v>
      </c>
      <c r="D439">
        <v>0</v>
      </c>
      <c r="E439">
        <v>3728605.99</v>
      </c>
      <c r="F439">
        <v>-834371.77</v>
      </c>
      <c r="G439">
        <v>379403.06</v>
      </c>
      <c r="H439">
        <v>4562977.76</v>
      </c>
      <c r="I439">
        <v>3349202.93</v>
      </c>
      <c r="J439" t="s">
        <v>184</v>
      </c>
    </row>
    <row r="440" spans="1:10" x14ac:dyDescent="0.35">
      <c r="A440">
        <v>70</v>
      </c>
      <c r="B440" t="s">
        <v>344</v>
      </c>
      <c r="C440">
        <v>162217.60999999999</v>
      </c>
      <c r="D440">
        <v>0</v>
      </c>
      <c r="E440">
        <v>162217.60999999999</v>
      </c>
      <c r="F440">
        <v>148560.10999999999</v>
      </c>
      <c r="G440">
        <v>151837.10999999999</v>
      </c>
      <c r="H440">
        <v>13657.5</v>
      </c>
      <c r="I440">
        <v>10380.5</v>
      </c>
      <c r="J440" t="s">
        <v>184</v>
      </c>
    </row>
    <row r="441" spans="1:10" x14ac:dyDescent="0.35">
      <c r="A441">
        <v>80</v>
      </c>
      <c r="B441" t="s">
        <v>398</v>
      </c>
      <c r="C441">
        <v>13315.49</v>
      </c>
      <c r="D441">
        <v>0</v>
      </c>
      <c r="E441">
        <v>13315.49</v>
      </c>
      <c r="F441">
        <v>-4970.18</v>
      </c>
      <c r="G441">
        <v>2506.7399999999998</v>
      </c>
      <c r="H441">
        <v>18285.669999999998</v>
      </c>
      <c r="I441">
        <v>10808.75</v>
      </c>
      <c r="J441" t="s">
        <v>184</v>
      </c>
    </row>
    <row r="442" spans="1:10" x14ac:dyDescent="0.35">
      <c r="A442">
        <v>100</v>
      </c>
      <c r="B442" t="s">
        <v>399</v>
      </c>
      <c r="C442">
        <v>5583356.2400000002</v>
      </c>
      <c r="D442">
        <v>0</v>
      </c>
      <c r="E442">
        <v>5583356.2400000002</v>
      </c>
      <c r="F442">
        <v>301126.49</v>
      </c>
      <c r="G442">
        <v>432380.04</v>
      </c>
      <c r="H442">
        <v>5282229.75</v>
      </c>
      <c r="I442">
        <v>5150976.2</v>
      </c>
      <c r="J442" t="s">
        <v>184</v>
      </c>
    </row>
    <row r="443" spans="1:10" x14ac:dyDescent="0.35">
      <c r="A443">
        <v>110</v>
      </c>
      <c r="B443" t="s">
        <v>400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184</v>
      </c>
    </row>
    <row r="444" spans="1:10" x14ac:dyDescent="0.35">
      <c r="A444">
        <v>120</v>
      </c>
      <c r="B444" t="s">
        <v>348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184</v>
      </c>
    </row>
    <row r="445" spans="1:10" x14ac:dyDescent="0.35">
      <c r="A445">
        <v>130</v>
      </c>
      <c r="B445" t="s">
        <v>349</v>
      </c>
      <c r="C445">
        <v>760302.27</v>
      </c>
      <c r="D445">
        <v>0</v>
      </c>
      <c r="E445">
        <v>760302.27</v>
      </c>
      <c r="F445">
        <v>0</v>
      </c>
      <c r="G445">
        <v>0</v>
      </c>
      <c r="H445">
        <v>760302.27</v>
      </c>
      <c r="I445">
        <v>760302.27</v>
      </c>
      <c r="J445" t="s">
        <v>184</v>
      </c>
    </row>
    <row r="446" spans="1:10" x14ac:dyDescent="0.35">
      <c r="A446">
        <v>140</v>
      </c>
      <c r="B446" t="s">
        <v>350</v>
      </c>
      <c r="C446">
        <v>270833.15000000002</v>
      </c>
      <c r="D446">
        <v>0</v>
      </c>
      <c r="E446">
        <v>270833.15000000002</v>
      </c>
      <c r="F446">
        <v>0</v>
      </c>
      <c r="G446">
        <v>10400</v>
      </c>
      <c r="H446">
        <v>270833.15000000002</v>
      </c>
      <c r="I446">
        <v>260433.15</v>
      </c>
      <c r="J446" t="s">
        <v>184</v>
      </c>
    </row>
    <row r="447" spans="1:10" x14ac:dyDescent="0.35">
      <c r="A447">
        <v>150</v>
      </c>
      <c r="B447" t="s">
        <v>351</v>
      </c>
      <c r="C447">
        <v>208942.66</v>
      </c>
      <c r="D447">
        <v>0</v>
      </c>
      <c r="E447">
        <v>208942.66</v>
      </c>
      <c r="F447">
        <v>15135</v>
      </c>
      <c r="G447">
        <v>15135</v>
      </c>
      <c r="H447">
        <v>193807.66</v>
      </c>
      <c r="I447">
        <v>193807.66</v>
      </c>
      <c r="J447" t="s">
        <v>184</v>
      </c>
    </row>
    <row r="448" spans="1:10" x14ac:dyDescent="0.35">
      <c r="A448">
        <v>160</v>
      </c>
      <c r="B448" t="s">
        <v>352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184</v>
      </c>
    </row>
    <row r="449" spans="1:10" x14ac:dyDescent="0.35">
      <c r="A449">
        <v>170</v>
      </c>
      <c r="B449" t="s">
        <v>353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184</v>
      </c>
    </row>
    <row r="450" spans="1:10" x14ac:dyDescent="0.35">
      <c r="A450">
        <v>180</v>
      </c>
      <c r="B450" t="s">
        <v>354</v>
      </c>
      <c r="C450">
        <v>1802000</v>
      </c>
      <c r="D450">
        <v>0</v>
      </c>
      <c r="E450">
        <v>1802000</v>
      </c>
      <c r="F450">
        <v>0</v>
      </c>
      <c r="G450">
        <v>350000</v>
      </c>
      <c r="H450">
        <v>1802000</v>
      </c>
      <c r="I450">
        <v>1452000</v>
      </c>
      <c r="J450" t="s">
        <v>184</v>
      </c>
    </row>
    <row r="451" spans="1:10" x14ac:dyDescent="0.35">
      <c r="A451">
        <v>190</v>
      </c>
      <c r="B451" t="s">
        <v>355</v>
      </c>
      <c r="C451">
        <v>-875331.15</v>
      </c>
      <c r="D451">
        <v>0</v>
      </c>
      <c r="E451">
        <v>-875331.15</v>
      </c>
      <c r="F451">
        <v>-8892.07</v>
      </c>
      <c r="G451">
        <v>-53370.07</v>
      </c>
      <c r="H451">
        <v>-866439.08</v>
      </c>
      <c r="I451">
        <v>-821961.08</v>
      </c>
      <c r="J451" t="s">
        <v>184</v>
      </c>
    </row>
    <row r="452" spans="1:10" x14ac:dyDescent="0.35">
      <c r="A452">
        <v>200</v>
      </c>
      <c r="B452" t="s">
        <v>356</v>
      </c>
      <c r="C452">
        <v>2166746.9300000002</v>
      </c>
      <c r="D452">
        <v>0</v>
      </c>
      <c r="E452">
        <v>2166746.9300000002</v>
      </c>
      <c r="F452">
        <v>6242.93</v>
      </c>
      <c r="G452">
        <v>322164.93</v>
      </c>
      <c r="H452">
        <v>2160504</v>
      </c>
      <c r="I452">
        <v>1844582</v>
      </c>
      <c r="J452" t="s">
        <v>184</v>
      </c>
    </row>
    <row r="453" spans="1:10" x14ac:dyDescent="0.35">
      <c r="A453">
        <v>210</v>
      </c>
      <c r="B453" t="s">
        <v>401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184</v>
      </c>
    </row>
    <row r="454" spans="1:10" x14ac:dyDescent="0.35">
      <c r="A454">
        <v>220</v>
      </c>
      <c r="B454" t="s">
        <v>358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184</v>
      </c>
    </row>
    <row r="455" spans="1:10" x14ac:dyDescent="0.35">
      <c r="A455">
        <v>230</v>
      </c>
      <c r="B455" t="s">
        <v>359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184</v>
      </c>
    </row>
    <row r="456" spans="1:10" x14ac:dyDescent="0.35">
      <c r="A456">
        <v>240</v>
      </c>
      <c r="B456" t="s">
        <v>360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184</v>
      </c>
    </row>
    <row r="457" spans="1:10" x14ac:dyDescent="0.35">
      <c r="A457">
        <v>250</v>
      </c>
      <c r="B457" t="s">
        <v>361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184</v>
      </c>
    </row>
    <row r="458" spans="1:10" x14ac:dyDescent="0.35">
      <c r="A458">
        <v>260</v>
      </c>
      <c r="B458" t="s">
        <v>362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184</v>
      </c>
    </row>
    <row r="459" spans="1:10" x14ac:dyDescent="0.35">
      <c r="A459">
        <v>270</v>
      </c>
      <c r="B459" t="s">
        <v>363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184</v>
      </c>
    </row>
    <row r="460" spans="1:10" x14ac:dyDescent="0.35">
      <c r="A460">
        <v>280</v>
      </c>
      <c r="B460" t="s">
        <v>402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184</v>
      </c>
    </row>
    <row r="461" spans="1:10" x14ac:dyDescent="0.35">
      <c r="A461">
        <v>400</v>
      </c>
      <c r="B461" t="s">
        <v>365</v>
      </c>
      <c r="C461">
        <v>7750103.1699999999</v>
      </c>
      <c r="D461">
        <v>0</v>
      </c>
      <c r="E461">
        <v>7750103.1699999999</v>
      </c>
      <c r="F461">
        <v>307369.42</v>
      </c>
      <c r="G461">
        <v>754544.97</v>
      </c>
      <c r="H461">
        <v>7442733.75</v>
      </c>
      <c r="I461">
        <v>6995558.2000000002</v>
      </c>
      <c r="J461" t="s">
        <v>184</v>
      </c>
    </row>
    <row r="462" spans="1:10" x14ac:dyDescent="0.35">
      <c r="A462">
        <v>410</v>
      </c>
      <c r="B462" t="s">
        <v>403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184</v>
      </c>
    </row>
    <row r="463" spans="1:10" x14ac:dyDescent="0.35">
      <c r="A463">
        <v>420</v>
      </c>
      <c r="B463" t="s">
        <v>367</v>
      </c>
      <c r="C463">
        <v>62612.83</v>
      </c>
      <c r="D463">
        <v>0</v>
      </c>
      <c r="E463">
        <v>62612.83</v>
      </c>
      <c r="F463">
        <v>-55530.02</v>
      </c>
      <c r="G463">
        <v>-635.47</v>
      </c>
      <c r="H463">
        <v>118142.85</v>
      </c>
      <c r="I463">
        <v>63248.3</v>
      </c>
      <c r="J463" t="s">
        <v>184</v>
      </c>
    </row>
    <row r="464" spans="1:10" x14ac:dyDescent="0.35">
      <c r="A464">
        <v>430</v>
      </c>
      <c r="B464" t="s">
        <v>368</v>
      </c>
      <c r="C464">
        <v>904309.05</v>
      </c>
      <c r="D464">
        <v>0</v>
      </c>
      <c r="E464">
        <v>904309.05</v>
      </c>
      <c r="F464">
        <v>0</v>
      </c>
      <c r="G464">
        <v>0</v>
      </c>
      <c r="H464">
        <v>904309.05</v>
      </c>
      <c r="I464">
        <v>904309.05</v>
      </c>
      <c r="J464" t="s">
        <v>184</v>
      </c>
    </row>
    <row r="465" spans="1:10" x14ac:dyDescent="0.35">
      <c r="A465">
        <v>440</v>
      </c>
      <c r="B465" t="s">
        <v>369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184</v>
      </c>
    </row>
    <row r="466" spans="1:10" x14ac:dyDescent="0.35">
      <c r="A466">
        <v>450</v>
      </c>
      <c r="B466" t="s">
        <v>404</v>
      </c>
      <c r="C466">
        <v>97755.09</v>
      </c>
      <c r="D466">
        <v>0</v>
      </c>
      <c r="E466">
        <v>97755.09</v>
      </c>
      <c r="F466">
        <v>97931.22</v>
      </c>
      <c r="G466">
        <v>73275.070000000007</v>
      </c>
      <c r="H466">
        <v>-176.13</v>
      </c>
      <c r="I466">
        <v>24480.02</v>
      </c>
      <c r="J466" t="s">
        <v>184</v>
      </c>
    </row>
    <row r="467" spans="1:10" x14ac:dyDescent="0.35">
      <c r="A467">
        <v>460</v>
      </c>
      <c r="B467" t="s">
        <v>405</v>
      </c>
      <c r="C467">
        <v>402362.42</v>
      </c>
      <c r="D467">
        <v>0</v>
      </c>
      <c r="E467">
        <v>402362.42</v>
      </c>
      <c r="F467">
        <v>-26509.21</v>
      </c>
      <c r="G467">
        <v>-2306.17</v>
      </c>
      <c r="H467">
        <v>428871.63</v>
      </c>
      <c r="I467">
        <v>404668.59</v>
      </c>
      <c r="J467" t="s">
        <v>184</v>
      </c>
    </row>
    <row r="468" spans="1:10" x14ac:dyDescent="0.35">
      <c r="A468">
        <v>500</v>
      </c>
      <c r="B468" t="s">
        <v>372</v>
      </c>
      <c r="C468">
        <v>1467039.39</v>
      </c>
      <c r="D468">
        <v>0</v>
      </c>
      <c r="E468">
        <v>1467039.39</v>
      </c>
      <c r="F468">
        <v>15891.99</v>
      </c>
      <c r="G468">
        <v>70333.429999999993</v>
      </c>
      <c r="H468">
        <v>1451147.4</v>
      </c>
      <c r="I468">
        <v>1396705.96</v>
      </c>
      <c r="J468" t="s">
        <v>184</v>
      </c>
    </row>
    <row r="469" spans="1:10" x14ac:dyDescent="0.35">
      <c r="A469">
        <v>510</v>
      </c>
      <c r="B469" t="s">
        <v>406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184</v>
      </c>
    </row>
    <row r="470" spans="1:10" x14ac:dyDescent="0.35">
      <c r="A470">
        <v>520</v>
      </c>
      <c r="B470" t="s">
        <v>407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184</v>
      </c>
    </row>
    <row r="471" spans="1:10" x14ac:dyDescent="0.35">
      <c r="A471">
        <v>530</v>
      </c>
      <c r="B471" t="s">
        <v>407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184</v>
      </c>
    </row>
    <row r="472" spans="1:10" x14ac:dyDescent="0.35">
      <c r="A472">
        <v>540</v>
      </c>
      <c r="B472" t="s">
        <v>376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184</v>
      </c>
    </row>
    <row r="473" spans="1:10" x14ac:dyDescent="0.35">
      <c r="A473">
        <v>600</v>
      </c>
      <c r="B473" t="s">
        <v>377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184</v>
      </c>
    </row>
    <row r="474" spans="1:10" x14ac:dyDescent="0.35">
      <c r="A474">
        <v>610</v>
      </c>
      <c r="B474" t="s">
        <v>408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184</v>
      </c>
    </row>
    <row r="475" spans="1:10" x14ac:dyDescent="0.35">
      <c r="A475">
        <v>620</v>
      </c>
      <c r="B475" t="s">
        <v>379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184</v>
      </c>
    </row>
    <row r="476" spans="1:10" x14ac:dyDescent="0.35">
      <c r="A476">
        <v>700</v>
      </c>
      <c r="B476" t="s">
        <v>409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184</v>
      </c>
    </row>
    <row r="477" spans="1:10" x14ac:dyDescent="0.35">
      <c r="A477">
        <v>710</v>
      </c>
      <c r="B477" t="s">
        <v>410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184</v>
      </c>
    </row>
    <row r="478" spans="1:10" x14ac:dyDescent="0.35">
      <c r="A478">
        <v>720</v>
      </c>
      <c r="B478" t="s">
        <v>382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184</v>
      </c>
    </row>
    <row r="479" spans="1:10" x14ac:dyDescent="0.35">
      <c r="A479">
        <v>730</v>
      </c>
      <c r="B479" t="s">
        <v>383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184</v>
      </c>
    </row>
    <row r="480" spans="1:10" x14ac:dyDescent="0.35">
      <c r="A480">
        <v>740</v>
      </c>
      <c r="B480" t="s">
        <v>384</v>
      </c>
      <c r="C480">
        <v>1249527.1599999999</v>
      </c>
      <c r="D480">
        <v>0</v>
      </c>
      <c r="E480">
        <v>1249527.1599999999</v>
      </c>
      <c r="F480">
        <v>200674.92</v>
      </c>
      <c r="G480">
        <v>200674.92</v>
      </c>
      <c r="H480">
        <v>1048852.24</v>
      </c>
      <c r="I480">
        <v>1048852.24</v>
      </c>
      <c r="J480" t="s">
        <v>184</v>
      </c>
    </row>
    <row r="481" spans="1:10" x14ac:dyDescent="0.35">
      <c r="A481">
        <v>750</v>
      </c>
      <c r="B481" t="s">
        <v>385</v>
      </c>
      <c r="C481">
        <v>483536.62</v>
      </c>
      <c r="D481">
        <v>0</v>
      </c>
      <c r="E481">
        <v>483536.62</v>
      </c>
      <c r="F481">
        <v>90802.51</v>
      </c>
      <c r="G481">
        <v>483536.62</v>
      </c>
      <c r="H481">
        <v>392734.11</v>
      </c>
      <c r="I481">
        <v>0</v>
      </c>
      <c r="J481" t="s">
        <v>184</v>
      </c>
    </row>
    <row r="482" spans="1:10" x14ac:dyDescent="0.35">
      <c r="A482">
        <v>760</v>
      </c>
      <c r="B482" t="s">
        <v>386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184</v>
      </c>
    </row>
    <row r="483" spans="1:10" x14ac:dyDescent="0.35">
      <c r="A483">
        <v>770</v>
      </c>
      <c r="B483" t="s">
        <v>387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184</v>
      </c>
    </row>
    <row r="484" spans="1:10" x14ac:dyDescent="0.35">
      <c r="A484">
        <v>800</v>
      </c>
      <c r="B484" t="s">
        <v>388</v>
      </c>
      <c r="C484">
        <v>6283063.7800000003</v>
      </c>
      <c r="D484">
        <v>0</v>
      </c>
      <c r="E484">
        <v>6283063.7800000003</v>
      </c>
      <c r="F484">
        <v>291477.43</v>
      </c>
      <c r="G484">
        <v>684211.54</v>
      </c>
      <c r="H484">
        <v>5991586.3499999996</v>
      </c>
      <c r="I484">
        <v>5598852.2400000002</v>
      </c>
      <c r="J484" t="s">
        <v>184</v>
      </c>
    </row>
    <row r="485" spans="1:10" x14ac:dyDescent="0.35">
      <c r="A485">
        <v>900</v>
      </c>
      <c r="B485" t="s">
        <v>389</v>
      </c>
      <c r="C485">
        <v>7750103.1699999999</v>
      </c>
      <c r="D485">
        <v>0</v>
      </c>
      <c r="E485">
        <v>7750103.1699999999</v>
      </c>
      <c r="F485">
        <v>307369.42</v>
      </c>
      <c r="G485">
        <v>754544.97</v>
      </c>
      <c r="H485">
        <v>7442733.75</v>
      </c>
      <c r="I485">
        <v>6995558.2000000002</v>
      </c>
      <c r="J485" t="s">
        <v>184</v>
      </c>
    </row>
    <row r="486" spans="1:10" x14ac:dyDescent="0.35">
      <c r="A486">
        <v>1000</v>
      </c>
      <c r="B486" t="s">
        <v>411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184</v>
      </c>
    </row>
    <row r="487" spans="1:10" x14ac:dyDescent="0.35">
      <c r="A487" t="s">
        <v>233</v>
      </c>
      <c r="B487" t="s">
        <v>172</v>
      </c>
      <c r="C487" t="s">
        <v>390</v>
      </c>
      <c r="D487" t="s">
        <v>391</v>
      </c>
      <c r="E487" t="s">
        <v>392</v>
      </c>
      <c r="F487" t="s">
        <v>393</v>
      </c>
      <c r="G487" t="s">
        <v>394</v>
      </c>
      <c r="H487" t="s">
        <v>395</v>
      </c>
      <c r="I487" t="s">
        <v>396</v>
      </c>
      <c r="J487" t="s">
        <v>183</v>
      </c>
    </row>
    <row r="488" spans="1:10" x14ac:dyDescent="0.35">
      <c r="A488">
        <v>10</v>
      </c>
      <c r="B488" t="s">
        <v>397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184</v>
      </c>
    </row>
    <row r="489" spans="1:10" x14ac:dyDescent="0.35">
      <c r="A489">
        <v>20</v>
      </c>
      <c r="B489" t="s">
        <v>339</v>
      </c>
      <c r="C489">
        <v>517119.07</v>
      </c>
      <c r="D489">
        <v>0</v>
      </c>
      <c r="E489">
        <v>517119.07</v>
      </c>
      <c r="F489">
        <v>-427512.74</v>
      </c>
      <c r="G489">
        <v>287755.71999999997</v>
      </c>
      <c r="H489">
        <v>944631.81</v>
      </c>
      <c r="I489">
        <v>229363.35</v>
      </c>
      <c r="J489" t="s">
        <v>184</v>
      </c>
    </row>
    <row r="490" spans="1:10" x14ac:dyDescent="0.35">
      <c r="A490">
        <v>30</v>
      </c>
      <c r="B490" t="s">
        <v>340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184</v>
      </c>
    </row>
    <row r="491" spans="1:10" x14ac:dyDescent="0.35">
      <c r="A491">
        <v>40</v>
      </c>
      <c r="B491" t="s">
        <v>341</v>
      </c>
      <c r="C491">
        <v>5402576.0700000003</v>
      </c>
      <c r="D491">
        <v>0</v>
      </c>
      <c r="E491">
        <v>5402576.0700000003</v>
      </c>
      <c r="F491">
        <v>831169.34</v>
      </c>
      <c r="G491">
        <v>1759244.12</v>
      </c>
      <c r="H491">
        <v>4571406.7300000004</v>
      </c>
      <c r="I491">
        <v>3643331.95</v>
      </c>
      <c r="J491" t="s">
        <v>184</v>
      </c>
    </row>
    <row r="492" spans="1:10" x14ac:dyDescent="0.35">
      <c r="A492">
        <v>50</v>
      </c>
      <c r="B492" t="s">
        <v>342</v>
      </c>
      <c r="C492">
        <v>5578079.8899999997</v>
      </c>
      <c r="D492">
        <v>0</v>
      </c>
      <c r="E492">
        <v>5578079.8899999997</v>
      </c>
      <c r="F492">
        <v>1936.14</v>
      </c>
      <c r="G492">
        <v>1004652.13</v>
      </c>
      <c r="H492">
        <v>5576143.75</v>
      </c>
      <c r="I492">
        <v>4573427.76</v>
      </c>
      <c r="J492" t="s">
        <v>184</v>
      </c>
    </row>
    <row r="493" spans="1:10" x14ac:dyDescent="0.35">
      <c r="A493">
        <v>60</v>
      </c>
      <c r="B493" t="s">
        <v>343</v>
      </c>
      <c r="C493">
        <v>18536768.670000002</v>
      </c>
      <c r="D493">
        <v>0</v>
      </c>
      <c r="E493">
        <v>18536768.670000002</v>
      </c>
      <c r="F493">
        <v>-8439946.2899999991</v>
      </c>
      <c r="G493">
        <v>-30453455.699999999</v>
      </c>
      <c r="H493">
        <v>26976714.960000001</v>
      </c>
      <c r="I493">
        <v>48990224.369999997</v>
      </c>
      <c r="J493" t="s">
        <v>184</v>
      </c>
    </row>
    <row r="494" spans="1:10" x14ac:dyDescent="0.35">
      <c r="A494">
        <v>70</v>
      </c>
      <c r="B494" t="s">
        <v>344</v>
      </c>
      <c r="C494">
        <v>552678.36</v>
      </c>
      <c r="D494">
        <v>0</v>
      </c>
      <c r="E494">
        <v>552678.36</v>
      </c>
      <c r="F494">
        <v>-15756.05</v>
      </c>
      <c r="G494">
        <v>-38889.279999999999</v>
      </c>
      <c r="H494">
        <v>568434.41</v>
      </c>
      <c r="I494">
        <v>591567.64</v>
      </c>
      <c r="J494" t="s">
        <v>184</v>
      </c>
    </row>
    <row r="495" spans="1:10" x14ac:dyDescent="0.35">
      <c r="A495">
        <v>80</v>
      </c>
      <c r="B495" t="s">
        <v>412</v>
      </c>
      <c r="C495">
        <v>262003.76</v>
      </c>
      <c r="D495">
        <v>0</v>
      </c>
      <c r="E495">
        <v>262003.76</v>
      </c>
      <c r="F495">
        <v>18788.48</v>
      </c>
      <c r="G495">
        <v>130077.38</v>
      </c>
      <c r="H495">
        <v>243215.28</v>
      </c>
      <c r="I495">
        <v>131926.38</v>
      </c>
      <c r="J495" t="s">
        <v>184</v>
      </c>
    </row>
    <row r="496" spans="1:10" x14ac:dyDescent="0.35">
      <c r="A496">
        <v>100</v>
      </c>
      <c r="B496" t="s">
        <v>399</v>
      </c>
      <c r="C496">
        <v>30849225.82</v>
      </c>
      <c r="D496">
        <v>0</v>
      </c>
      <c r="E496">
        <v>30849225.82</v>
      </c>
      <c r="F496">
        <v>-8031321.1200000001</v>
      </c>
      <c r="G496">
        <v>-27310615.629999999</v>
      </c>
      <c r="H496">
        <v>38880546.939999998</v>
      </c>
      <c r="I496">
        <v>58159841.450000003</v>
      </c>
      <c r="J496" t="s">
        <v>184</v>
      </c>
    </row>
    <row r="497" spans="1:10" x14ac:dyDescent="0.35">
      <c r="A497">
        <v>110</v>
      </c>
      <c r="B497" t="s">
        <v>400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184</v>
      </c>
    </row>
    <row r="498" spans="1:10" x14ac:dyDescent="0.35">
      <c r="A498">
        <v>120</v>
      </c>
      <c r="B498" t="s">
        <v>348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184</v>
      </c>
    </row>
    <row r="499" spans="1:10" x14ac:dyDescent="0.35">
      <c r="A499">
        <v>130</v>
      </c>
      <c r="B499" t="s">
        <v>349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184</v>
      </c>
    </row>
    <row r="500" spans="1:10" x14ac:dyDescent="0.35">
      <c r="A500">
        <v>140</v>
      </c>
      <c r="B500" t="s">
        <v>350</v>
      </c>
      <c r="C500">
        <v>378260.33</v>
      </c>
      <c r="D500">
        <v>0</v>
      </c>
      <c r="E500">
        <v>378260.33</v>
      </c>
      <c r="F500">
        <v>0</v>
      </c>
      <c r="G500">
        <v>3016.38</v>
      </c>
      <c r="H500">
        <v>378260.33</v>
      </c>
      <c r="I500">
        <v>375243.95</v>
      </c>
      <c r="J500" t="s">
        <v>184</v>
      </c>
    </row>
    <row r="501" spans="1:10" x14ac:dyDescent="0.35">
      <c r="A501">
        <v>150</v>
      </c>
      <c r="B501" t="s">
        <v>351</v>
      </c>
      <c r="C501">
        <v>125308.85</v>
      </c>
      <c r="D501">
        <v>0</v>
      </c>
      <c r="E501">
        <v>125308.85</v>
      </c>
      <c r="F501">
        <v>0</v>
      </c>
      <c r="G501">
        <v>9630.17</v>
      </c>
      <c r="H501">
        <v>125308.85</v>
      </c>
      <c r="I501">
        <v>115678.68</v>
      </c>
      <c r="J501" t="s">
        <v>184</v>
      </c>
    </row>
    <row r="502" spans="1:10" x14ac:dyDescent="0.35">
      <c r="A502">
        <v>160</v>
      </c>
      <c r="B502" t="s">
        <v>352</v>
      </c>
      <c r="C502">
        <v>91637.93</v>
      </c>
      <c r="D502">
        <v>0</v>
      </c>
      <c r="E502">
        <v>91637.93</v>
      </c>
      <c r="F502">
        <v>0</v>
      </c>
      <c r="G502">
        <v>91637.93</v>
      </c>
      <c r="H502">
        <v>91637.93</v>
      </c>
      <c r="I502">
        <v>0</v>
      </c>
      <c r="J502" t="s">
        <v>184</v>
      </c>
    </row>
    <row r="503" spans="1:10" x14ac:dyDescent="0.35">
      <c r="A503">
        <v>170</v>
      </c>
      <c r="B503" t="s">
        <v>353</v>
      </c>
      <c r="C503">
        <v>219368.13</v>
      </c>
      <c r="D503">
        <v>0</v>
      </c>
      <c r="E503">
        <v>219368.13</v>
      </c>
      <c r="F503">
        <v>9051.7199999999993</v>
      </c>
      <c r="G503">
        <v>25027.88</v>
      </c>
      <c r="H503">
        <v>210316.41</v>
      </c>
      <c r="I503">
        <v>194340.25</v>
      </c>
      <c r="J503" t="s">
        <v>184</v>
      </c>
    </row>
    <row r="504" spans="1:10" x14ac:dyDescent="0.35">
      <c r="A504">
        <v>180</v>
      </c>
      <c r="B504" t="s">
        <v>354</v>
      </c>
      <c r="C504">
        <v>800647.43</v>
      </c>
      <c r="D504">
        <v>0</v>
      </c>
      <c r="E504">
        <v>800647.43</v>
      </c>
      <c r="F504">
        <v>0</v>
      </c>
      <c r="G504">
        <v>4558.8500000000004</v>
      </c>
      <c r="H504">
        <v>800647.43</v>
      </c>
      <c r="I504">
        <v>796088.58</v>
      </c>
      <c r="J504" t="s">
        <v>184</v>
      </c>
    </row>
    <row r="505" spans="1:10" x14ac:dyDescent="0.35">
      <c r="A505">
        <v>190</v>
      </c>
      <c r="B505" t="s">
        <v>355</v>
      </c>
      <c r="C505">
        <v>-552470.14</v>
      </c>
      <c r="D505">
        <v>0</v>
      </c>
      <c r="E505">
        <v>-552470.14</v>
      </c>
      <c r="F505">
        <v>-19693.93</v>
      </c>
      <c r="G505">
        <v>-169941.26</v>
      </c>
      <c r="H505">
        <v>-532776.21</v>
      </c>
      <c r="I505">
        <v>-382528.88</v>
      </c>
      <c r="J505" t="s">
        <v>184</v>
      </c>
    </row>
    <row r="506" spans="1:10" x14ac:dyDescent="0.35">
      <c r="A506">
        <v>200</v>
      </c>
      <c r="B506" t="s">
        <v>356</v>
      </c>
      <c r="C506">
        <v>1062752.53</v>
      </c>
      <c r="D506">
        <v>0</v>
      </c>
      <c r="E506">
        <v>1062752.53</v>
      </c>
      <c r="F506">
        <v>-10642.21</v>
      </c>
      <c r="G506">
        <v>-36070.050000000003</v>
      </c>
      <c r="H506">
        <v>1073394.74</v>
      </c>
      <c r="I506">
        <v>1098822.58</v>
      </c>
      <c r="J506" t="s">
        <v>184</v>
      </c>
    </row>
    <row r="507" spans="1:10" x14ac:dyDescent="0.35">
      <c r="A507">
        <v>210</v>
      </c>
      <c r="B507" t="s">
        <v>401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184</v>
      </c>
    </row>
    <row r="508" spans="1:10" x14ac:dyDescent="0.35">
      <c r="A508">
        <v>220</v>
      </c>
      <c r="B508" t="s">
        <v>358</v>
      </c>
      <c r="C508">
        <v>10975000</v>
      </c>
      <c r="D508">
        <v>0</v>
      </c>
      <c r="E508">
        <v>10975000</v>
      </c>
      <c r="F508">
        <v>0</v>
      </c>
      <c r="G508">
        <v>0</v>
      </c>
      <c r="H508">
        <v>10975000</v>
      </c>
      <c r="I508">
        <v>10975000</v>
      </c>
      <c r="J508" t="s">
        <v>184</v>
      </c>
    </row>
    <row r="509" spans="1:10" x14ac:dyDescent="0.35">
      <c r="A509">
        <v>230</v>
      </c>
      <c r="B509" t="s">
        <v>359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184</v>
      </c>
    </row>
    <row r="510" spans="1:10" x14ac:dyDescent="0.35">
      <c r="A510">
        <v>240</v>
      </c>
      <c r="B510" t="s">
        <v>360</v>
      </c>
      <c r="C510">
        <v>-4938750</v>
      </c>
      <c r="D510">
        <v>0</v>
      </c>
      <c r="E510">
        <v>-4938750</v>
      </c>
      <c r="F510">
        <v>-398375</v>
      </c>
      <c r="G510">
        <v>-1495875</v>
      </c>
      <c r="H510">
        <v>-4540375</v>
      </c>
      <c r="I510">
        <v>-3442875</v>
      </c>
      <c r="J510" t="s">
        <v>184</v>
      </c>
    </row>
    <row r="511" spans="1:10" x14ac:dyDescent="0.35">
      <c r="A511">
        <v>250</v>
      </c>
      <c r="B511" t="s">
        <v>361</v>
      </c>
      <c r="C511">
        <v>6036250</v>
      </c>
      <c r="D511">
        <v>0</v>
      </c>
      <c r="E511">
        <v>6036250</v>
      </c>
      <c r="F511">
        <v>-398375</v>
      </c>
      <c r="G511">
        <v>-1495875</v>
      </c>
      <c r="H511">
        <v>6434625</v>
      </c>
      <c r="I511">
        <v>7532125</v>
      </c>
      <c r="J511" t="s">
        <v>184</v>
      </c>
    </row>
    <row r="512" spans="1:10" x14ac:dyDescent="0.35">
      <c r="A512">
        <v>260</v>
      </c>
      <c r="B512" t="s">
        <v>362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184</v>
      </c>
    </row>
    <row r="513" spans="1:10" x14ac:dyDescent="0.35">
      <c r="A513">
        <v>270</v>
      </c>
      <c r="B513" t="s">
        <v>363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184</v>
      </c>
    </row>
    <row r="514" spans="1:10" x14ac:dyDescent="0.35">
      <c r="A514">
        <v>280</v>
      </c>
      <c r="B514" t="s">
        <v>402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184</v>
      </c>
    </row>
    <row r="515" spans="1:10" x14ac:dyDescent="0.35">
      <c r="A515">
        <v>400</v>
      </c>
      <c r="B515" t="s">
        <v>365</v>
      </c>
      <c r="C515">
        <v>37948228.350000001</v>
      </c>
      <c r="D515">
        <v>0</v>
      </c>
      <c r="E515">
        <v>37948228.350000001</v>
      </c>
      <c r="F515">
        <v>-8440338.3300000001</v>
      </c>
      <c r="G515">
        <v>-28842560.68</v>
      </c>
      <c r="H515">
        <v>46388566.68</v>
      </c>
      <c r="I515">
        <v>66790789.030000001</v>
      </c>
      <c r="J515" t="s">
        <v>184</v>
      </c>
    </row>
    <row r="516" spans="1:10" x14ac:dyDescent="0.35">
      <c r="A516">
        <v>410</v>
      </c>
      <c r="B516" t="s">
        <v>403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184</v>
      </c>
    </row>
    <row r="517" spans="1:10" x14ac:dyDescent="0.35">
      <c r="A517">
        <v>420</v>
      </c>
      <c r="B517" t="s">
        <v>367</v>
      </c>
      <c r="C517">
        <v>26330982.489999998</v>
      </c>
      <c r="D517">
        <v>0</v>
      </c>
      <c r="E517">
        <v>26330982.489999998</v>
      </c>
      <c r="F517">
        <v>-9914014.8800000008</v>
      </c>
      <c r="G517">
        <v>-33543898.780000001</v>
      </c>
      <c r="H517">
        <v>36244997.369999997</v>
      </c>
      <c r="I517">
        <v>59874881.270000003</v>
      </c>
      <c r="J517" t="s">
        <v>184</v>
      </c>
    </row>
    <row r="518" spans="1:10" x14ac:dyDescent="0.35">
      <c r="A518">
        <v>430</v>
      </c>
      <c r="B518" t="s">
        <v>368</v>
      </c>
      <c r="C518">
        <v>303624.69</v>
      </c>
      <c r="D518">
        <v>0</v>
      </c>
      <c r="E518">
        <v>303624.69</v>
      </c>
      <c r="F518">
        <v>-78128.789999999994</v>
      </c>
      <c r="G518">
        <v>123017.18</v>
      </c>
      <c r="H518">
        <v>381753.48</v>
      </c>
      <c r="I518">
        <v>180607.51</v>
      </c>
      <c r="J518" t="s">
        <v>184</v>
      </c>
    </row>
    <row r="519" spans="1:10" x14ac:dyDescent="0.35">
      <c r="A519">
        <v>440</v>
      </c>
      <c r="B519" t="s">
        <v>369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184</v>
      </c>
    </row>
    <row r="520" spans="1:10" x14ac:dyDescent="0.35">
      <c r="A520">
        <v>450</v>
      </c>
      <c r="B520" t="s">
        <v>370</v>
      </c>
      <c r="C520">
        <v>2019047.93</v>
      </c>
      <c r="D520">
        <v>0</v>
      </c>
      <c r="E520">
        <v>2019047.93</v>
      </c>
      <c r="F520">
        <v>1977238.33</v>
      </c>
      <c r="G520">
        <v>6909200.79</v>
      </c>
      <c r="H520">
        <v>41809.599999999999</v>
      </c>
      <c r="I520">
        <v>-4890152.8600000003</v>
      </c>
      <c r="J520" t="s">
        <v>184</v>
      </c>
    </row>
    <row r="521" spans="1:10" x14ac:dyDescent="0.35">
      <c r="A521">
        <v>460</v>
      </c>
      <c r="B521" t="s">
        <v>405</v>
      </c>
      <c r="C521">
        <v>253698.28</v>
      </c>
      <c r="D521">
        <v>0</v>
      </c>
      <c r="E521">
        <v>253698.28</v>
      </c>
      <c r="F521">
        <v>78455</v>
      </c>
      <c r="G521">
        <v>17757.8</v>
      </c>
      <c r="H521">
        <v>175243.28</v>
      </c>
      <c r="I521">
        <v>235940.48000000001</v>
      </c>
      <c r="J521" t="s">
        <v>184</v>
      </c>
    </row>
    <row r="522" spans="1:10" x14ac:dyDescent="0.35">
      <c r="A522">
        <v>500</v>
      </c>
      <c r="B522" t="s">
        <v>372</v>
      </c>
      <c r="C522">
        <v>28907353.390000001</v>
      </c>
      <c r="D522">
        <v>0</v>
      </c>
      <c r="E522">
        <v>28907353.390000001</v>
      </c>
      <c r="F522">
        <v>-7936450.3399999999</v>
      </c>
      <c r="G522">
        <v>-26493923.010000002</v>
      </c>
      <c r="H522">
        <v>36843803.729999997</v>
      </c>
      <c r="I522">
        <v>55401276.399999999</v>
      </c>
      <c r="J522" t="s">
        <v>184</v>
      </c>
    </row>
    <row r="523" spans="1:10" x14ac:dyDescent="0.35">
      <c r="A523">
        <v>510</v>
      </c>
      <c r="B523" t="s">
        <v>406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184</v>
      </c>
    </row>
    <row r="524" spans="1:10" x14ac:dyDescent="0.35">
      <c r="A524">
        <v>520</v>
      </c>
      <c r="B524" t="s">
        <v>374</v>
      </c>
      <c r="C524">
        <v>4381000</v>
      </c>
      <c r="D524">
        <v>0</v>
      </c>
      <c r="E524">
        <v>4381000</v>
      </c>
      <c r="F524">
        <v>0</v>
      </c>
      <c r="G524">
        <v>3481000</v>
      </c>
      <c r="H524">
        <v>4381000</v>
      </c>
      <c r="I524">
        <v>900000</v>
      </c>
      <c r="J524" t="s">
        <v>184</v>
      </c>
    </row>
    <row r="525" spans="1:10" x14ac:dyDescent="0.35">
      <c r="A525">
        <v>530</v>
      </c>
      <c r="B525" t="s">
        <v>375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184</v>
      </c>
    </row>
    <row r="526" spans="1:10" x14ac:dyDescent="0.35">
      <c r="A526">
        <v>540</v>
      </c>
      <c r="B526" t="s">
        <v>376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184</v>
      </c>
    </row>
    <row r="527" spans="1:10" x14ac:dyDescent="0.35">
      <c r="A527">
        <v>600</v>
      </c>
      <c r="B527" t="s">
        <v>377</v>
      </c>
      <c r="C527">
        <v>4381000</v>
      </c>
      <c r="D527">
        <v>0</v>
      </c>
      <c r="E527">
        <v>4381000</v>
      </c>
      <c r="F527">
        <v>0</v>
      </c>
      <c r="G527">
        <v>3481000</v>
      </c>
      <c r="H527">
        <v>4381000</v>
      </c>
      <c r="I527">
        <v>900000</v>
      </c>
      <c r="J527" t="s">
        <v>184</v>
      </c>
    </row>
    <row r="528" spans="1:10" x14ac:dyDescent="0.35">
      <c r="A528">
        <v>610</v>
      </c>
      <c r="B528" t="s">
        <v>408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184</v>
      </c>
    </row>
    <row r="529" spans="1:10" x14ac:dyDescent="0.35">
      <c r="A529">
        <v>620</v>
      </c>
      <c r="B529" t="s">
        <v>379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184</v>
      </c>
    </row>
    <row r="530" spans="1:10" x14ac:dyDescent="0.35">
      <c r="A530">
        <v>700</v>
      </c>
      <c r="B530" t="s">
        <v>409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184</v>
      </c>
    </row>
    <row r="531" spans="1:10" x14ac:dyDescent="0.35">
      <c r="A531">
        <v>710</v>
      </c>
      <c r="B531" t="s">
        <v>410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184</v>
      </c>
    </row>
    <row r="532" spans="1:10" x14ac:dyDescent="0.35">
      <c r="A532">
        <v>720</v>
      </c>
      <c r="B532" t="s">
        <v>382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184</v>
      </c>
    </row>
    <row r="533" spans="1:10" x14ac:dyDescent="0.35">
      <c r="A533">
        <v>730</v>
      </c>
      <c r="B533" t="s">
        <v>383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184</v>
      </c>
    </row>
    <row r="534" spans="1:10" x14ac:dyDescent="0.35">
      <c r="A534">
        <v>740</v>
      </c>
      <c r="B534" t="s">
        <v>384</v>
      </c>
      <c r="C534">
        <v>-4798804.55</v>
      </c>
      <c r="D534">
        <v>0</v>
      </c>
      <c r="E534">
        <v>-4798804.55</v>
      </c>
      <c r="F534">
        <v>-238317.18</v>
      </c>
      <c r="G534">
        <v>-238317.18</v>
      </c>
      <c r="H534">
        <v>-4560487.37</v>
      </c>
      <c r="I534">
        <v>-4560487.37</v>
      </c>
      <c r="J534" t="s">
        <v>184</v>
      </c>
    </row>
    <row r="535" spans="1:10" x14ac:dyDescent="0.35">
      <c r="A535">
        <v>750</v>
      </c>
      <c r="B535" t="s">
        <v>385</v>
      </c>
      <c r="C535">
        <v>-5591320.4900000002</v>
      </c>
      <c r="D535">
        <v>0</v>
      </c>
      <c r="E535">
        <v>-5591320.4900000002</v>
      </c>
      <c r="F535">
        <v>-265570.81</v>
      </c>
      <c r="G535">
        <v>-5591320.4900000002</v>
      </c>
      <c r="H535">
        <v>-5325749.68</v>
      </c>
      <c r="I535">
        <v>0</v>
      </c>
      <c r="J535" t="s">
        <v>184</v>
      </c>
    </row>
    <row r="536" spans="1:10" x14ac:dyDescent="0.35">
      <c r="A536">
        <v>760</v>
      </c>
      <c r="B536" t="s">
        <v>386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184</v>
      </c>
    </row>
    <row r="537" spans="1:10" x14ac:dyDescent="0.35">
      <c r="A537">
        <v>770</v>
      </c>
      <c r="B537" t="s">
        <v>387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184</v>
      </c>
    </row>
    <row r="538" spans="1:10" x14ac:dyDescent="0.35">
      <c r="A538">
        <v>800</v>
      </c>
      <c r="B538" t="s">
        <v>388</v>
      </c>
      <c r="C538">
        <v>4659874.96</v>
      </c>
      <c r="D538">
        <v>0</v>
      </c>
      <c r="E538">
        <v>4659874.96</v>
      </c>
      <c r="F538">
        <v>-503887.99</v>
      </c>
      <c r="G538">
        <v>-5829637.6699999999</v>
      </c>
      <c r="H538">
        <v>5163762.95</v>
      </c>
      <c r="I538">
        <v>10489512.630000001</v>
      </c>
      <c r="J538" t="s">
        <v>184</v>
      </c>
    </row>
    <row r="539" spans="1:10" x14ac:dyDescent="0.35">
      <c r="A539">
        <v>900</v>
      </c>
      <c r="B539" t="s">
        <v>389</v>
      </c>
      <c r="C539">
        <v>37948228.350000001</v>
      </c>
      <c r="D539">
        <v>0</v>
      </c>
      <c r="E539">
        <v>37948228.350000001</v>
      </c>
      <c r="F539">
        <v>-8440338.3300000001</v>
      </c>
      <c r="G539">
        <v>-28842560.68</v>
      </c>
      <c r="H539">
        <v>46388566.68</v>
      </c>
      <c r="I539">
        <v>66790789.030000001</v>
      </c>
      <c r="J539" t="s">
        <v>184</v>
      </c>
    </row>
    <row r="540" spans="1:10" x14ac:dyDescent="0.35">
      <c r="A540">
        <v>1000</v>
      </c>
      <c r="B540" t="s">
        <v>411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184</v>
      </c>
    </row>
    <row r="541" spans="1:10" x14ac:dyDescent="0.35">
      <c r="A541" t="s">
        <v>234</v>
      </c>
      <c r="B541" t="s">
        <v>172</v>
      </c>
      <c r="C541" t="s">
        <v>390</v>
      </c>
      <c r="D541" t="s">
        <v>391</v>
      </c>
      <c r="E541" t="s">
        <v>392</v>
      </c>
      <c r="F541" t="s">
        <v>393</v>
      </c>
      <c r="G541" t="s">
        <v>394</v>
      </c>
      <c r="H541" t="s">
        <v>395</v>
      </c>
      <c r="I541" t="s">
        <v>396</v>
      </c>
      <c r="J541" t="s">
        <v>183</v>
      </c>
    </row>
    <row r="542" spans="1:10" x14ac:dyDescent="0.35">
      <c r="A542">
        <v>10</v>
      </c>
      <c r="B542" t="s">
        <v>397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184</v>
      </c>
    </row>
    <row r="543" spans="1:10" x14ac:dyDescent="0.35">
      <c r="A543">
        <v>20</v>
      </c>
      <c r="B543" t="s">
        <v>339</v>
      </c>
      <c r="C543">
        <v>1516978.55</v>
      </c>
      <c r="D543">
        <v>0</v>
      </c>
      <c r="E543">
        <v>1516978.55</v>
      </c>
      <c r="F543">
        <v>-1059454.8799999999</v>
      </c>
      <c r="G543">
        <v>315591.65999999997</v>
      </c>
      <c r="H543">
        <v>2576433.4300000002</v>
      </c>
      <c r="I543">
        <v>1201386.8899999999</v>
      </c>
      <c r="J543" t="s">
        <v>184</v>
      </c>
    </row>
    <row r="544" spans="1:10" x14ac:dyDescent="0.35">
      <c r="A544">
        <v>30</v>
      </c>
      <c r="B544" t="s">
        <v>340</v>
      </c>
      <c r="C544">
        <v>7584845.6200000001</v>
      </c>
      <c r="D544">
        <v>0</v>
      </c>
      <c r="E544">
        <v>7584845.6200000001</v>
      </c>
      <c r="F544">
        <v>2734689.42</v>
      </c>
      <c r="G544">
        <v>4347218.5599999996</v>
      </c>
      <c r="H544">
        <v>4850156.2</v>
      </c>
      <c r="I544">
        <v>3237627.06</v>
      </c>
      <c r="J544" t="s">
        <v>184</v>
      </c>
    </row>
    <row r="545" spans="1:10" x14ac:dyDescent="0.35">
      <c r="A545">
        <v>40</v>
      </c>
      <c r="B545" t="s">
        <v>341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184</v>
      </c>
    </row>
    <row r="546" spans="1:10" x14ac:dyDescent="0.35">
      <c r="A546">
        <v>50</v>
      </c>
      <c r="B546" t="s">
        <v>342</v>
      </c>
      <c r="C546">
        <v>287980437.80000001</v>
      </c>
      <c r="D546">
        <v>0</v>
      </c>
      <c r="E546">
        <v>287980437.80000001</v>
      </c>
      <c r="F546">
        <v>2723977.01</v>
      </c>
      <c r="G546">
        <v>60787166.170000002</v>
      </c>
      <c r="H546">
        <v>285256460.79000002</v>
      </c>
      <c r="I546">
        <v>227193271.63</v>
      </c>
      <c r="J546" t="s">
        <v>184</v>
      </c>
    </row>
    <row r="547" spans="1:10" x14ac:dyDescent="0.35">
      <c r="A547">
        <v>60</v>
      </c>
      <c r="B547" t="s">
        <v>343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184</v>
      </c>
    </row>
    <row r="548" spans="1:10" x14ac:dyDescent="0.35">
      <c r="A548">
        <v>70</v>
      </c>
      <c r="B548" t="s">
        <v>344</v>
      </c>
      <c r="C548">
        <v>1071996.56</v>
      </c>
      <c r="D548">
        <v>0</v>
      </c>
      <c r="E548">
        <v>1071996.56</v>
      </c>
      <c r="F548">
        <v>3.74</v>
      </c>
      <c r="G548">
        <v>61.01</v>
      </c>
      <c r="H548">
        <v>1071992.82</v>
      </c>
      <c r="I548">
        <v>1071935.55</v>
      </c>
      <c r="J548" t="s">
        <v>184</v>
      </c>
    </row>
    <row r="549" spans="1:10" x14ac:dyDescent="0.35">
      <c r="A549">
        <v>80</v>
      </c>
      <c r="B549" t="s">
        <v>412</v>
      </c>
      <c r="C549">
        <v>1520522.42</v>
      </c>
      <c r="D549">
        <v>0</v>
      </c>
      <c r="E549">
        <v>1520522.42</v>
      </c>
      <c r="F549">
        <v>5261.58</v>
      </c>
      <c r="G549">
        <v>321.17</v>
      </c>
      <c r="H549">
        <v>1515260.84</v>
      </c>
      <c r="I549">
        <v>1520201.25</v>
      </c>
      <c r="J549" t="s">
        <v>184</v>
      </c>
    </row>
    <row r="550" spans="1:10" x14ac:dyDescent="0.35">
      <c r="A550">
        <v>100</v>
      </c>
      <c r="B550" t="s">
        <v>399</v>
      </c>
      <c r="C550">
        <v>305319466.74000001</v>
      </c>
      <c r="D550">
        <v>0</v>
      </c>
      <c r="E550">
        <v>305319466.74000001</v>
      </c>
      <c r="F550">
        <v>4404476.87</v>
      </c>
      <c r="G550">
        <v>65450358.57</v>
      </c>
      <c r="H550">
        <v>300914989.87</v>
      </c>
      <c r="I550">
        <v>239869108.16999999</v>
      </c>
      <c r="J550" t="s">
        <v>184</v>
      </c>
    </row>
    <row r="551" spans="1:10" x14ac:dyDescent="0.35">
      <c r="A551">
        <v>110</v>
      </c>
      <c r="B551" t="s">
        <v>400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184</v>
      </c>
    </row>
    <row r="552" spans="1:10" x14ac:dyDescent="0.35">
      <c r="A552">
        <v>120</v>
      </c>
      <c r="B552" t="s">
        <v>348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184</v>
      </c>
    </row>
    <row r="553" spans="1:10" x14ac:dyDescent="0.35">
      <c r="A553">
        <v>130</v>
      </c>
      <c r="B553" t="s">
        <v>349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184</v>
      </c>
    </row>
    <row r="554" spans="1:10" x14ac:dyDescent="0.35">
      <c r="A554">
        <v>140</v>
      </c>
      <c r="B554" t="s">
        <v>350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184</v>
      </c>
    </row>
    <row r="555" spans="1:10" x14ac:dyDescent="0.35">
      <c r="A555">
        <v>150</v>
      </c>
      <c r="B555" t="s">
        <v>351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184</v>
      </c>
    </row>
    <row r="556" spans="1:10" x14ac:dyDescent="0.35">
      <c r="A556">
        <v>160</v>
      </c>
      <c r="B556" t="s">
        <v>352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184</v>
      </c>
    </row>
    <row r="557" spans="1:10" x14ac:dyDescent="0.35">
      <c r="A557">
        <v>170</v>
      </c>
      <c r="B557" t="s">
        <v>353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184</v>
      </c>
    </row>
    <row r="558" spans="1:10" x14ac:dyDescent="0.35">
      <c r="A558">
        <v>180</v>
      </c>
      <c r="B558" t="s">
        <v>354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184</v>
      </c>
    </row>
    <row r="559" spans="1:10" x14ac:dyDescent="0.35">
      <c r="A559">
        <v>190</v>
      </c>
      <c r="B559" t="s">
        <v>355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184</v>
      </c>
    </row>
    <row r="560" spans="1:10" x14ac:dyDescent="0.35">
      <c r="A560">
        <v>200</v>
      </c>
      <c r="B560" t="s">
        <v>356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184</v>
      </c>
    </row>
    <row r="561" spans="1:10" x14ac:dyDescent="0.35">
      <c r="A561">
        <v>210</v>
      </c>
      <c r="B561" t="s">
        <v>401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184</v>
      </c>
    </row>
    <row r="562" spans="1:10" x14ac:dyDescent="0.35">
      <c r="A562">
        <v>220</v>
      </c>
      <c r="B562" t="s">
        <v>358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184</v>
      </c>
    </row>
    <row r="563" spans="1:10" x14ac:dyDescent="0.35">
      <c r="A563">
        <v>230</v>
      </c>
      <c r="B563" t="s">
        <v>359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184</v>
      </c>
    </row>
    <row r="564" spans="1:10" x14ac:dyDescent="0.35">
      <c r="A564">
        <v>240</v>
      </c>
      <c r="B564" t="s">
        <v>360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184</v>
      </c>
    </row>
    <row r="565" spans="1:10" x14ac:dyDescent="0.35">
      <c r="A565">
        <v>250</v>
      </c>
      <c r="B565" t="s">
        <v>361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184</v>
      </c>
    </row>
    <row r="566" spans="1:10" x14ac:dyDescent="0.35">
      <c r="A566">
        <v>260</v>
      </c>
      <c r="B566" t="s">
        <v>362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184</v>
      </c>
    </row>
    <row r="567" spans="1:10" x14ac:dyDescent="0.35">
      <c r="A567">
        <v>270</v>
      </c>
      <c r="B567" t="s">
        <v>363</v>
      </c>
      <c r="C567">
        <v>769048170.17999995</v>
      </c>
      <c r="D567">
        <v>0</v>
      </c>
      <c r="E567">
        <v>769048170.17999995</v>
      </c>
      <c r="F567">
        <v>3000000</v>
      </c>
      <c r="G567">
        <v>64998267.609999999</v>
      </c>
      <c r="H567">
        <v>766048170.17999995</v>
      </c>
      <c r="I567">
        <v>704049902.57000005</v>
      </c>
      <c r="J567" t="s">
        <v>184</v>
      </c>
    </row>
    <row r="568" spans="1:10" x14ac:dyDescent="0.35">
      <c r="A568">
        <v>280</v>
      </c>
      <c r="B568" t="s">
        <v>402</v>
      </c>
      <c r="C568">
        <v>769048170.17999995</v>
      </c>
      <c r="D568">
        <v>0</v>
      </c>
      <c r="E568">
        <v>769048170.17999995</v>
      </c>
      <c r="F568">
        <v>3000000</v>
      </c>
      <c r="G568">
        <v>64998267.609999999</v>
      </c>
      <c r="H568">
        <v>766048170.17999995</v>
      </c>
      <c r="I568">
        <v>704049902.57000005</v>
      </c>
      <c r="J568" t="s">
        <v>184</v>
      </c>
    </row>
    <row r="569" spans="1:10" x14ac:dyDescent="0.35">
      <c r="A569">
        <v>400</v>
      </c>
      <c r="B569" t="s">
        <v>365</v>
      </c>
      <c r="C569">
        <v>1074367636.9200001</v>
      </c>
      <c r="D569">
        <v>0</v>
      </c>
      <c r="E569">
        <v>1074367636.9200001</v>
      </c>
      <c r="F569">
        <v>7404476.8700000001</v>
      </c>
      <c r="G569">
        <v>130448626.18000001</v>
      </c>
      <c r="H569">
        <v>1066963160.05</v>
      </c>
      <c r="I569">
        <v>943919010.74000001</v>
      </c>
      <c r="J569" t="s">
        <v>184</v>
      </c>
    </row>
    <row r="570" spans="1:10" x14ac:dyDescent="0.35">
      <c r="A570">
        <v>410</v>
      </c>
      <c r="B570" t="s">
        <v>403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184</v>
      </c>
    </row>
    <row r="571" spans="1:10" x14ac:dyDescent="0.35">
      <c r="A571">
        <v>420</v>
      </c>
      <c r="B571" t="s">
        <v>367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184</v>
      </c>
    </row>
    <row r="572" spans="1:10" x14ac:dyDescent="0.35">
      <c r="A572">
        <v>430</v>
      </c>
      <c r="B572" t="s">
        <v>368</v>
      </c>
      <c r="C572">
        <v>371104273.94</v>
      </c>
      <c r="D572">
        <v>0</v>
      </c>
      <c r="E572">
        <v>371104273.94</v>
      </c>
      <c r="F572">
        <v>20900201.559999999</v>
      </c>
      <c r="G572">
        <v>121028509.14</v>
      </c>
      <c r="H572">
        <v>350204072.38</v>
      </c>
      <c r="I572">
        <v>250075764.80000001</v>
      </c>
      <c r="J572" t="s">
        <v>184</v>
      </c>
    </row>
    <row r="573" spans="1:10" x14ac:dyDescent="0.35">
      <c r="A573">
        <v>440</v>
      </c>
      <c r="B573" t="s">
        <v>369</v>
      </c>
      <c r="C573">
        <v>45553266.200000003</v>
      </c>
      <c r="D573">
        <v>0</v>
      </c>
      <c r="E573">
        <v>45553266.200000003</v>
      </c>
      <c r="F573">
        <v>-1229739.71</v>
      </c>
      <c r="G573">
        <v>-2120069.2200000002</v>
      </c>
      <c r="H573">
        <v>46783005.909999996</v>
      </c>
      <c r="I573">
        <v>47673335.420000002</v>
      </c>
      <c r="J573" t="s">
        <v>184</v>
      </c>
    </row>
    <row r="574" spans="1:10" x14ac:dyDescent="0.35">
      <c r="A574">
        <v>450</v>
      </c>
      <c r="B574" t="s">
        <v>370</v>
      </c>
      <c r="C574">
        <v>34393.61</v>
      </c>
      <c r="D574">
        <v>0</v>
      </c>
      <c r="E574">
        <v>34393.61</v>
      </c>
      <c r="F574">
        <v>-1508.2</v>
      </c>
      <c r="G574">
        <v>-1551924.23</v>
      </c>
      <c r="H574">
        <v>35901.81</v>
      </c>
      <c r="I574">
        <v>1586317.84</v>
      </c>
      <c r="J574" t="s">
        <v>184</v>
      </c>
    </row>
    <row r="575" spans="1:10" x14ac:dyDescent="0.35">
      <c r="A575">
        <v>460</v>
      </c>
      <c r="B575" t="s">
        <v>405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184</v>
      </c>
    </row>
    <row r="576" spans="1:10" x14ac:dyDescent="0.35">
      <c r="A576">
        <v>500</v>
      </c>
      <c r="B576" t="s">
        <v>372</v>
      </c>
      <c r="C576">
        <v>416691933.75</v>
      </c>
      <c r="D576">
        <v>0</v>
      </c>
      <c r="E576">
        <v>416691933.75</v>
      </c>
      <c r="F576">
        <v>19668953.649999999</v>
      </c>
      <c r="G576">
        <v>117356515.69</v>
      </c>
      <c r="H576">
        <v>397022980.10000002</v>
      </c>
      <c r="I576">
        <v>299335418.06</v>
      </c>
      <c r="J576" t="s">
        <v>184</v>
      </c>
    </row>
    <row r="577" spans="1:10" x14ac:dyDescent="0.35">
      <c r="A577">
        <v>510</v>
      </c>
      <c r="B577" t="s">
        <v>406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184</v>
      </c>
    </row>
    <row r="578" spans="1:10" x14ac:dyDescent="0.35">
      <c r="A578">
        <v>520</v>
      </c>
      <c r="B578" t="s">
        <v>374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184</v>
      </c>
    </row>
    <row r="579" spans="1:10" x14ac:dyDescent="0.35">
      <c r="A579">
        <v>530</v>
      </c>
      <c r="B579" t="s">
        <v>375</v>
      </c>
      <c r="C579">
        <v>45096685.490000002</v>
      </c>
      <c r="D579">
        <v>0</v>
      </c>
      <c r="E579">
        <v>45096685.490000002</v>
      </c>
      <c r="F579">
        <v>-3161013.27</v>
      </c>
      <c r="G579">
        <v>-24543444.219999999</v>
      </c>
      <c r="H579">
        <v>48257698.759999998</v>
      </c>
      <c r="I579">
        <v>69640129.709999993</v>
      </c>
      <c r="J579" t="s">
        <v>184</v>
      </c>
    </row>
    <row r="580" spans="1:10" x14ac:dyDescent="0.35">
      <c r="A580">
        <v>540</v>
      </c>
      <c r="B580" t="s">
        <v>376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184</v>
      </c>
    </row>
    <row r="581" spans="1:10" x14ac:dyDescent="0.35">
      <c r="A581">
        <v>600</v>
      </c>
      <c r="B581" t="s">
        <v>377</v>
      </c>
      <c r="C581">
        <v>45096685.490000002</v>
      </c>
      <c r="D581">
        <v>0</v>
      </c>
      <c r="E581">
        <v>45096685.490000002</v>
      </c>
      <c r="F581">
        <v>-3161013.27</v>
      </c>
      <c r="G581">
        <v>-24543444.219999999</v>
      </c>
      <c r="H581">
        <v>48257698.759999998</v>
      </c>
      <c r="I581">
        <v>69640129.709999993</v>
      </c>
      <c r="J581" t="s">
        <v>184</v>
      </c>
    </row>
    <row r="582" spans="1:10" x14ac:dyDescent="0.35">
      <c r="A582">
        <v>610</v>
      </c>
      <c r="B582" t="s">
        <v>408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184</v>
      </c>
    </row>
    <row r="583" spans="1:10" x14ac:dyDescent="0.35">
      <c r="A583">
        <v>620</v>
      </c>
      <c r="B583" t="s">
        <v>379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184</v>
      </c>
    </row>
    <row r="584" spans="1:10" x14ac:dyDescent="0.35">
      <c r="A584">
        <v>700</v>
      </c>
      <c r="B584" t="s">
        <v>409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184</v>
      </c>
    </row>
    <row r="585" spans="1:10" x14ac:dyDescent="0.35">
      <c r="A585">
        <v>710</v>
      </c>
      <c r="B585" t="s">
        <v>410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184</v>
      </c>
    </row>
    <row r="586" spans="1:10" x14ac:dyDescent="0.35">
      <c r="A586">
        <v>720</v>
      </c>
      <c r="B586" t="s">
        <v>382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184</v>
      </c>
    </row>
    <row r="587" spans="1:10" x14ac:dyDescent="0.35">
      <c r="A587">
        <v>730</v>
      </c>
      <c r="B587" t="s">
        <v>383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184</v>
      </c>
    </row>
    <row r="588" spans="1:10" x14ac:dyDescent="0.35">
      <c r="A588">
        <v>740</v>
      </c>
      <c r="B588" t="s">
        <v>384</v>
      </c>
      <c r="C588">
        <v>475249591.56</v>
      </c>
      <c r="D588">
        <v>0</v>
      </c>
      <c r="E588">
        <v>475249591.56</v>
      </c>
      <c r="F588">
        <v>0</v>
      </c>
      <c r="G588">
        <v>60180357.170000002</v>
      </c>
      <c r="H588">
        <v>475249591.56</v>
      </c>
      <c r="I588">
        <v>415069234.38999999</v>
      </c>
      <c r="J588" t="s">
        <v>184</v>
      </c>
    </row>
    <row r="589" spans="1:10" x14ac:dyDescent="0.35">
      <c r="A589">
        <v>750</v>
      </c>
      <c r="B589" t="s">
        <v>385</v>
      </c>
      <c r="C589">
        <v>7278273.3499999996</v>
      </c>
      <c r="D589">
        <v>0</v>
      </c>
      <c r="E589">
        <v>7278273.3499999996</v>
      </c>
      <c r="F589">
        <v>1547977.75</v>
      </c>
      <c r="G589">
        <v>7278273.3499999996</v>
      </c>
      <c r="H589">
        <v>5730295.5999999996</v>
      </c>
      <c r="I589">
        <v>0</v>
      </c>
      <c r="J589" t="s">
        <v>184</v>
      </c>
    </row>
    <row r="590" spans="1:10" x14ac:dyDescent="0.35">
      <c r="A590">
        <v>760</v>
      </c>
      <c r="B590" t="s">
        <v>386</v>
      </c>
      <c r="C590">
        <v>83257521.829999998</v>
      </c>
      <c r="D590">
        <v>0</v>
      </c>
      <c r="E590">
        <v>83257521.829999998</v>
      </c>
      <c r="F590">
        <v>-10651441.26</v>
      </c>
      <c r="G590">
        <v>-29823075.809999999</v>
      </c>
      <c r="H590">
        <v>93908963.090000004</v>
      </c>
      <c r="I590">
        <v>113080597.64</v>
      </c>
      <c r="J590" t="s">
        <v>184</v>
      </c>
    </row>
    <row r="591" spans="1:10" x14ac:dyDescent="0.35">
      <c r="A591">
        <v>770</v>
      </c>
      <c r="B591" t="s">
        <v>387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184</v>
      </c>
    </row>
    <row r="592" spans="1:10" x14ac:dyDescent="0.35">
      <c r="A592">
        <v>800</v>
      </c>
      <c r="B592" t="s">
        <v>388</v>
      </c>
      <c r="C592">
        <v>612579017.67999995</v>
      </c>
      <c r="D592">
        <v>0</v>
      </c>
      <c r="E592">
        <v>612579017.67999995</v>
      </c>
      <c r="F592">
        <v>-9103463.5099999998</v>
      </c>
      <c r="G592">
        <v>37635554.710000001</v>
      </c>
      <c r="H592">
        <v>621682481.19000006</v>
      </c>
      <c r="I592">
        <v>574943462.97000003</v>
      </c>
      <c r="J592" t="s">
        <v>184</v>
      </c>
    </row>
    <row r="593" spans="1:10" x14ac:dyDescent="0.35">
      <c r="A593">
        <v>900</v>
      </c>
      <c r="B593" t="s">
        <v>389</v>
      </c>
      <c r="C593">
        <v>1074367636.9200001</v>
      </c>
      <c r="D593">
        <v>0</v>
      </c>
      <c r="E593">
        <v>1074367636.9200001</v>
      </c>
      <c r="F593">
        <v>7404476.8700000001</v>
      </c>
      <c r="G593">
        <v>130448626.18000001</v>
      </c>
      <c r="H593">
        <v>1066963160.05</v>
      </c>
      <c r="I593">
        <v>943919010.74000001</v>
      </c>
      <c r="J593" t="s">
        <v>184</v>
      </c>
    </row>
    <row r="594" spans="1:10" x14ac:dyDescent="0.35">
      <c r="A594">
        <v>1000</v>
      </c>
      <c r="B594" t="s">
        <v>411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184</v>
      </c>
    </row>
    <row r="595" spans="1:10" x14ac:dyDescent="0.35">
      <c r="A595" t="s">
        <v>238</v>
      </c>
      <c r="B595" t="s">
        <v>172</v>
      </c>
      <c r="C595" t="s">
        <v>390</v>
      </c>
      <c r="D595" t="s">
        <v>391</v>
      </c>
      <c r="E595" t="s">
        <v>392</v>
      </c>
      <c r="F595" t="s">
        <v>393</v>
      </c>
      <c r="G595" t="s">
        <v>394</v>
      </c>
      <c r="H595" t="s">
        <v>395</v>
      </c>
      <c r="I595" t="s">
        <v>396</v>
      </c>
      <c r="J595" t="s">
        <v>183</v>
      </c>
    </row>
    <row r="596" spans="1:10" x14ac:dyDescent="0.35">
      <c r="A596">
        <v>10</v>
      </c>
      <c r="B596" t="s">
        <v>397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184</v>
      </c>
    </row>
    <row r="597" spans="1:10" x14ac:dyDescent="0.35">
      <c r="A597">
        <v>20</v>
      </c>
      <c r="B597" t="s">
        <v>339</v>
      </c>
      <c r="C597">
        <v>3512547.93</v>
      </c>
      <c r="D597">
        <v>0</v>
      </c>
      <c r="E597">
        <v>3512547.93</v>
      </c>
      <c r="F597">
        <v>2856735.16</v>
      </c>
      <c r="G597">
        <v>2237072.85</v>
      </c>
      <c r="H597">
        <v>655812.77</v>
      </c>
      <c r="I597">
        <v>1275475.08</v>
      </c>
      <c r="J597" t="s">
        <v>184</v>
      </c>
    </row>
    <row r="598" spans="1:10" x14ac:dyDescent="0.35">
      <c r="A598">
        <v>30</v>
      </c>
      <c r="B598" t="s">
        <v>340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184</v>
      </c>
    </row>
    <row r="599" spans="1:10" x14ac:dyDescent="0.35">
      <c r="A599">
        <v>40</v>
      </c>
      <c r="B599" t="s">
        <v>341</v>
      </c>
      <c r="C599">
        <v>14043882.33</v>
      </c>
      <c r="D599">
        <v>0</v>
      </c>
      <c r="E599">
        <v>14043882.33</v>
      </c>
      <c r="F599">
        <v>-3742458.76</v>
      </c>
      <c r="G599">
        <v>-787959.34</v>
      </c>
      <c r="H599">
        <v>17786341.09</v>
      </c>
      <c r="I599">
        <v>14831841.67</v>
      </c>
      <c r="J599" t="s">
        <v>184</v>
      </c>
    </row>
    <row r="600" spans="1:10" x14ac:dyDescent="0.35">
      <c r="A600">
        <v>50</v>
      </c>
      <c r="B600" t="s">
        <v>342</v>
      </c>
      <c r="C600">
        <v>6476798.3099999996</v>
      </c>
      <c r="D600">
        <v>0</v>
      </c>
      <c r="E600">
        <v>6476798.3099999996</v>
      </c>
      <c r="F600">
        <v>200613</v>
      </c>
      <c r="G600">
        <v>2529914.5</v>
      </c>
      <c r="H600">
        <v>6276185.3099999996</v>
      </c>
      <c r="I600">
        <v>3946883.81</v>
      </c>
      <c r="J600" t="s">
        <v>184</v>
      </c>
    </row>
    <row r="601" spans="1:10" x14ac:dyDescent="0.35">
      <c r="A601">
        <v>60</v>
      </c>
      <c r="B601" t="s">
        <v>343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184</v>
      </c>
    </row>
    <row r="602" spans="1:10" x14ac:dyDescent="0.35">
      <c r="A602">
        <v>70</v>
      </c>
      <c r="B602" t="s">
        <v>344</v>
      </c>
      <c r="C602">
        <v>1357025.75</v>
      </c>
      <c r="D602">
        <v>0</v>
      </c>
      <c r="E602">
        <v>1357025.75</v>
      </c>
      <c r="F602">
        <v>259145.93</v>
      </c>
      <c r="G602">
        <v>965670.34</v>
      </c>
      <c r="H602">
        <v>1097879.82</v>
      </c>
      <c r="I602">
        <v>391355.41</v>
      </c>
      <c r="J602" t="s">
        <v>184</v>
      </c>
    </row>
    <row r="603" spans="1:10" x14ac:dyDescent="0.35">
      <c r="A603">
        <v>80</v>
      </c>
      <c r="B603" t="s">
        <v>412</v>
      </c>
      <c r="C603">
        <v>70721.62</v>
      </c>
      <c r="D603">
        <v>0</v>
      </c>
      <c r="E603">
        <v>70721.62</v>
      </c>
      <c r="F603">
        <v>37882.400000000001</v>
      </c>
      <c r="G603">
        <v>156.55000000000001</v>
      </c>
      <c r="H603">
        <v>32839.22</v>
      </c>
      <c r="I603">
        <v>70565.070000000007</v>
      </c>
      <c r="J603" t="s">
        <v>184</v>
      </c>
    </row>
    <row r="604" spans="1:10" x14ac:dyDescent="0.35">
      <c r="A604">
        <v>100</v>
      </c>
      <c r="B604" t="s">
        <v>399</v>
      </c>
      <c r="C604">
        <v>25460975.940000001</v>
      </c>
      <c r="D604">
        <v>0</v>
      </c>
      <c r="E604">
        <v>25460975.940000001</v>
      </c>
      <c r="F604">
        <v>-388082.27</v>
      </c>
      <c r="G604">
        <v>4944854.9000000004</v>
      </c>
      <c r="H604">
        <v>25849058.210000001</v>
      </c>
      <c r="I604">
        <v>20516121.039999999</v>
      </c>
      <c r="J604" t="s">
        <v>184</v>
      </c>
    </row>
    <row r="605" spans="1:10" x14ac:dyDescent="0.35">
      <c r="A605">
        <v>110</v>
      </c>
      <c r="B605" t="s">
        <v>400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184</v>
      </c>
    </row>
    <row r="606" spans="1:10" x14ac:dyDescent="0.35">
      <c r="A606">
        <v>120</v>
      </c>
      <c r="B606" t="s">
        <v>348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184</v>
      </c>
    </row>
    <row r="607" spans="1:10" x14ac:dyDescent="0.35">
      <c r="A607">
        <v>130</v>
      </c>
      <c r="B607" t="s">
        <v>349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184</v>
      </c>
    </row>
    <row r="608" spans="1:10" x14ac:dyDescent="0.35">
      <c r="A608">
        <v>140</v>
      </c>
      <c r="B608" t="s">
        <v>350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184</v>
      </c>
    </row>
    <row r="609" spans="1:10" x14ac:dyDescent="0.35">
      <c r="A609">
        <v>150</v>
      </c>
      <c r="B609" t="s">
        <v>351</v>
      </c>
      <c r="C609">
        <v>1215561.53</v>
      </c>
      <c r="D609">
        <v>0</v>
      </c>
      <c r="E609">
        <v>1215561.53</v>
      </c>
      <c r="F609">
        <v>0</v>
      </c>
      <c r="G609">
        <v>315080.06</v>
      </c>
      <c r="H609">
        <v>1215561.53</v>
      </c>
      <c r="I609">
        <v>900481.47</v>
      </c>
      <c r="J609" t="s">
        <v>184</v>
      </c>
    </row>
    <row r="610" spans="1:10" x14ac:dyDescent="0.35">
      <c r="A610">
        <v>160</v>
      </c>
      <c r="B610" t="s">
        <v>352</v>
      </c>
      <c r="C610">
        <v>1232002.67</v>
      </c>
      <c r="D610">
        <v>0</v>
      </c>
      <c r="E610">
        <v>1232002.67</v>
      </c>
      <c r="F610">
        <v>367146.56</v>
      </c>
      <c r="G610">
        <v>641284.49</v>
      </c>
      <c r="H610">
        <v>864856.11</v>
      </c>
      <c r="I610">
        <v>590718.18000000005</v>
      </c>
      <c r="J610" t="s">
        <v>184</v>
      </c>
    </row>
    <row r="611" spans="1:10" x14ac:dyDescent="0.35">
      <c r="A611">
        <v>170</v>
      </c>
      <c r="B611" t="s">
        <v>353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184</v>
      </c>
    </row>
    <row r="612" spans="1:10" x14ac:dyDescent="0.35">
      <c r="A612">
        <v>180</v>
      </c>
      <c r="B612" t="s">
        <v>354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184</v>
      </c>
    </row>
    <row r="613" spans="1:10" x14ac:dyDescent="0.35">
      <c r="A613">
        <v>190</v>
      </c>
      <c r="B613" t="s">
        <v>355</v>
      </c>
      <c r="C613">
        <v>-1440845.31</v>
      </c>
      <c r="D613">
        <v>0</v>
      </c>
      <c r="E613">
        <v>-1440845.31</v>
      </c>
      <c r="F613">
        <v>-19594.25</v>
      </c>
      <c r="G613">
        <v>-127726.7</v>
      </c>
      <c r="H613">
        <v>-1421251.06</v>
      </c>
      <c r="I613">
        <v>-1313118.6100000001</v>
      </c>
      <c r="J613" t="s">
        <v>184</v>
      </c>
    </row>
    <row r="614" spans="1:10" x14ac:dyDescent="0.35">
      <c r="A614">
        <v>200</v>
      </c>
      <c r="B614" t="s">
        <v>356</v>
      </c>
      <c r="C614">
        <v>1870956.6</v>
      </c>
      <c r="D614">
        <v>0</v>
      </c>
      <c r="E614">
        <v>1870956.6</v>
      </c>
      <c r="F614">
        <v>347552.31</v>
      </c>
      <c r="G614">
        <v>828637.85</v>
      </c>
      <c r="H614">
        <v>1523404.29</v>
      </c>
      <c r="I614">
        <v>1042318.75</v>
      </c>
      <c r="J614" t="s">
        <v>184</v>
      </c>
    </row>
    <row r="615" spans="1:10" x14ac:dyDescent="0.35">
      <c r="A615">
        <v>210</v>
      </c>
      <c r="B615" t="s">
        <v>401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184</v>
      </c>
    </row>
    <row r="616" spans="1:10" x14ac:dyDescent="0.35">
      <c r="A616">
        <v>220</v>
      </c>
      <c r="B616" t="s">
        <v>358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184</v>
      </c>
    </row>
    <row r="617" spans="1:10" x14ac:dyDescent="0.35">
      <c r="A617">
        <v>230</v>
      </c>
      <c r="B617" t="s">
        <v>359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184</v>
      </c>
    </row>
    <row r="618" spans="1:10" x14ac:dyDescent="0.35">
      <c r="A618">
        <v>240</v>
      </c>
      <c r="B618" t="s">
        <v>360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184</v>
      </c>
    </row>
    <row r="619" spans="1:10" x14ac:dyDescent="0.35">
      <c r="A619">
        <v>250</v>
      </c>
      <c r="B619" t="s">
        <v>361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184</v>
      </c>
    </row>
    <row r="620" spans="1:10" x14ac:dyDescent="0.35">
      <c r="A620">
        <v>260</v>
      </c>
      <c r="B620" t="s">
        <v>362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184</v>
      </c>
    </row>
    <row r="621" spans="1:10" x14ac:dyDescent="0.35">
      <c r="A621">
        <v>270</v>
      </c>
      <c r="B621" t="s">
        <v>363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184</v>
      </c>
    </row>
    <row r="622" spans="1:10" x14ac:dyDescent="0.35">
      <c r="A622">
        <v>280</v>
      </c>
      <c r="B622" t="s">
        <v>402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184</v>
      </c>
    </row>
    <row r="623" spans="1:10" x14ac:dyDescent="0.35">
      <c r="A623">
        <v>400</v>
      </c>
      <c r="B623" t="s">
        <v>365</v>
      </c>
      <c r="C623">
        <v>27331932.539999999</v>
      </c>
      <c r="D623">
        <v>0</v>
      </c>
      <c r="E623">
        <v>27331932.539999999</v>
      </c>
      <c r="F623">
        <v>-40529.96</v>
      </c>
      <c r="G623">
        <v>5773492.75</v>
      </c>
      <c r="H623">
        <v>27372462.5</v>
      </c>
      <c r="I623">
        <v>21558439.789999999</v>
      </c>
      <c r="J623" t="s">
        <v>184</v>
      </c>
    </row>
    <row r="624" spans="1:10" x14ac:dyDescent="0.35">
      <c r="A624">
        <v>410</v>
      </c>
      <c r="B624" t="s">
        <v>403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184</v>
      </c>
    </row>
    <row r="625" spans="1:10" x14ac:dyDescent="0.35">
      <c r="A625">
        <v>420</v>
      </c>
      <c r="B625" t="s">
        <v>367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184</v>
      </c>
    </row>
    <row r="626" spans="1:10" x14ac:dyDescent="0.35">
      <c r="A626">
        <v>430</v>
      </c>
      <c r="B626" t="s">
        <v>368</v>
      </c>
      <c r="C626">
        <v>13504697.83</v>
      </c>
      <c r="D626">
        <v>0</v>
      </c>
      <c r="E626">
        <v>13504697.83</v>
      </c>
      <c r="F626">
        <v>105067.73</v>
      </c>
      <c r="G626">
        <v>3427890.38</v>
      </c>
      <c r="H626">
        <v>13399630.1</v>
      </c>
      <c r="I626">
        <v>10076807.449999999</v>
      </c>
      <c r="J626" t="s">
        <v>184</v>
      </c>
    </row>
    <row r="627" spans="1:10" x14ac:dyDescent="0.35">
      <c r="A627">
        <v>440</v>
      </c>
      <c r="B627" t="s">
        <v>369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184</v>
      </c>
    </row>
    <row r="628" spans="1:10" x14ac:dyDescent="0.35">
      <c r="A628">
        <v>450</v>
      </c>
      <c r="B628" t="s">
        <v>370</v>
      </c>
      <c r="C628">
        <v>2488634.2599999998</v>
      </c>
      <c r="D628">
        <v>0</v>
      </c>
      <c r="E628">
        <v>2488634.2599999998</v>
      </c>
      <c r="F628">
        <v>-534070.09</v>
      </c>
      <c r="G628">
        <v>-1034267.59</v>
      </c>
      <c r="H628">
        <v>3022704.35</v>
      </c>
      <c r="I628">
        <v>3522901.85</v>
      </c>
      <c r="J628" t="s">
        <v>184</v>
      </c>
    </row>
    <row r="629" spans="1:10" x14ac:dyDescent="0.35">
      <c r="A629">
        <v>460</v>
      </c>
      <c r="B629" t="s">
        <v>405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184</v>
      </c>
    </row>
    <row r="630" spans="1:10" x14ac:dyDescent="0.35">
      <c r="A630">
        <v>500</v>
      </c>
      <c r="B630" t="s">
        <v>372</v>
      </c>
      <c r="C630">
        <v>16663336.880000001</v>
      </c>
      <c r="D630">
        <v>0</v>
      </c>
      <c r="E630">
        <v>16663336.880000001</v>
      </c>
      <c r="F630">
        <v>-429002.36</v>
      </c>
      <c r="G630">
        <v>2393622.79</v>
      </c>
      <c r="H630">
        <v>17092339.239999998</v>
      </c>
      <c r="I630">
        <v>14269714.09</v>
      </c>
      <c r="J630" t="s">
        <v>184</v>
      </c>
    </row>
    <row r="631" spans="1:10" x14ac:dyDescent="0.35">
      <c r="A631">
        <v>510</v>
      </c>
      <c r="B631" t="s">
        <v>406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184</v>
      </c>
    </row>
    <row r="632" spans="1:10" x14ac:dyDescent="0.35">
      <c r="A632">
        <v>520</v>
      </c>
      <c r="B632" t="s">
        <v>374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184</v>
      </c>
    </row>
    <row r="633" spans="1:10" x14ac:dyDescent="0.35">
      <c r="A633">
        <v>530</v>
      </c>
      <c r="B633" t="s">
        <v>375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184</v>
      </c>
    </row>
    <row r="634" spans="1:10" x14ac:dyDescent="0.35">
      <c r="A634">
        <v>540</v>
      </c>
      <c r="B634" t="s">
        <v>376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184</v>
      </c>
    </row>
    <row r="635" spans="1:10" x14ac:dyDescent="0.35">
      <c r="A635">
        <v>600</v>
      </c>
      <c r="B635" t="s">
        <v>377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184</v>
      </c>
    </row>
    <row r="636" spans="1:10" x14ac:dyDescent="0.35">
      <c r="A636">
        <v>610</v>
      </c>
      <c r="B636" t="s">
        <v>408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184</v>
      </c>
    </row>
    <row r="637" spans="1:10" x14ac:dyDescent="0.35">
      <c r="A637">
        <v>620</v>
      </c>
      <c r="B637" t="s">
        <v>379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184</v>
      </c>
    </row>
    <row r="638" spans="1:10" x14ac:dyDescent="0.35">
      <c r="A638">
        <v>700</v>
      </c>
      <c r="B638" t="s">
        <v>409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184</v>
      </c>
    </row>
    <row r="639" spans="1:10" x14ac:dyDescent="0.35">
      <c r="A639">
        <v>710</v>
      </c>
      <c r="B639" t="s">
        <v>410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184</v>
      </c>
    </row>
    <row r="640" spans="1:10" x14ac:dyDescent="0.35">
      <c r="A640">
        <v>720</v>
      </c>
      <c r="B640" t="s">
        <v>382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184</v>
      </c>
    </row>
    <row r="641" spans="1:10" x14ac:dyDescent="0.35">
      <c r="A641">
        <v>730</v>
      </c>
      <c r="B641" t="s">
        <v>383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184</v>
      </c>
    </row>
    <row r="642" spans="1:10" x14ac:dyDescent="0.35">
      <c r="A642">
        <v>740</v>
      </c>
      <c r="B642" t="s">
        <v>384</v>
      </c>
      <c r="C642">
        <v>3915007.83</v>
      </c>
      <c r="D642">
        <v>0</v>
      </c>
      <c r="E642">
        <v>3915007.83</v>
      </c>
      <c r="F642">
        <v>0</v>
      </c>
      <c r="G642">
        <v>-319735.53000000003</v>
      </c>
      <c r="H642">
        <v>3915007.83</v>
      </c>
      <c r="I642">
        <v>4234743.3600000003</v>
      </c>
      <c r="J642" t="s">
        <v>184</v>
      </c>
    </row>
    <row r="643" spans="1:10" x14ac:dyDescent="0.35">
      <c r="A643">
        <v>750</v>
      </c>
      <c r="B643" t="s">
        <v>385</v>
      </c>
      <c r="C643">
        <v>3699605.49</v>
      </c>
      <c r="D643">
        <v>0</v>
      </c>
      <c r="E643">
        <v>3699605.49</v>
      </c>
      <c r="F643">
        <v>388472.4</v>
      </c>
      <c r="G643">
        <v>3699605.49</v>
      </c>
      <c r="H643">
        <v>3311133.09</v>
      </c>
      <c r="I643">
        <v>0</v>
      </c>
      <c r="J643" t="s">
        <v>184</v>
      </c>
    </row>
    <row r="644" spans="1:10" x14ac:dyDescent="0.35">
      <c r="A644">
        <v>760</v>
      </c>
      <c r="B644" t="s">
        <v>386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184</v>
      </c>
    </row>
    <row r="645" spans="1:10" x14ac:dyDescent="0.35">
      <c r="A645">
        <v>770</v>
      </c>
      <c r="B645" t="s">
        <v>387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184</v>
      </c>
    </row>
    <row r="646" spans="1:10" x14ac:dyDescent="0.35">
      <c r="A646">
        <v>800</v>
      </c>
      <c r="B646" t="s">
        <v>388</v>
      </c>
      <c r="C646">
        <v>10668595.66</v>
      </c>
      <c r="D646">
        <v>0</v>
      </c>
      <c r="E646">
        <v>10668595.66</v>
      </c>
      <c r="F646">
        <v>388472.4</v>
      </c>
      <c r="G646">
        <v>3379869.96</v>
      </c>
      <c r="H646">
        <v>10280123.26</v>
      </c>
      <c r="I646">
        <v>7288725.7000000002</v>
      </c>
      <c r="J646" t="s">
        <v>184</v>
      </c>
    </row>
    <row r="647" spans="1:10" x14ac:dyDescent="0.35">
      <c r="A647">
        <v>900</v>
      </c>
      <c r="B647" t="s">
        <v>389</v>
      </c>
      <c r="C647">
        <v>27331932.539999999</v>
      </c>
      <c r="D647">
        <v>0</v>
      </c>
      <c r="E647">
        <v>27331932.539999999</v>
      </c>
      <c r="F647">
        <v>-40529.96</v>
      </c>
      <c r="G647">
        <v>5773492.75</v>
      </c>
      <c r="H647">
        <v>27372462.5</v>
      </c>
      <c r="I647">
        <v>21558439.789999999</v>
      </c>
      <c r="J647" t="s">
        <v>184</v>
      </c>
    </row>
    <row r="648" spans="1:10" x14ac:dyDescent="0.35">
      <c r="A648">
        <v>1000</v>
      </c>
      <c r="B648" t="s">
        <v>411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184</v>
      </c>
    </row>
    <row r="649" spans="1:10" x14ac:dyDescent="0.35">
      <c r="A649" t="s">
        <v>239</v>
      </c>
      <c r="B649" t="s">
        <v>172</v>
      </c>
      <c r="C649" t="s">
        <v>390</v>
      </c>
      <c r="D649" t="s">
        <v>391</v>
      </c>
      <c r="E649" t="s">
        <v>392</v>
      </c>
      <c r="F649" t="s">
        <v>393</v>
      </c>
      <c r="G649" t="s">
        <v>394</v>
      </c>
      <c r="H649" t="s">
        <v>395</v>
      </c>
      <c r="I649" t="s">
        <v>396</v>
      </c>
      <c r="J649" t="s">
        <v>183</v>
      </c>
    </row>
    <row r="650" spans="1:10" x14ac:dyDescent="0.35">
      <c r="A650">
        <v>10</v>
      </c>
      <c r="B650" t="s">
        <v>397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184</v>
      </c>
    </row>
    <row r="651" spans="1:10" x14ac:dyDescent="0.35">
      <c r="A651">
        <v>20</v>
      </c>
      <c r="B651" t="s">
        <v>339</v>
      </c>
      <c r="C651">
        <v>1062423.42</v>
      </c>
      <c r="D651">
        <v>0</v>
      </c>
      <c r="E651">
        <v>1062423.42</v>
      </c>
      <c r="F651">
        <v>-8645.07</v>
      </c>
      <c r="G651">
        <v>-69682.38</v>
      </c>
      <c r="H651">
        <v>1071068.49</v>
      </c>
      <c r="I651">
        <v>1132105.8</v>
      </c>
      <c r="J651" t="s">
        <v>184</v>
      </c>
    </row>
    <row r="652" spans="1:10" x14ac:dyDescent="0.35">
      <c r="A652">
        <v>30</v>
      </c>
      <c r="B652" t="s">
        <v>340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184</v>
      </c>
    </row>
    <row r="653" spans="1:10" x14ac:dyDescent="0.35">
      <c r="A653">
        <v>40</v>
      </c>
      <c r="B653" t="s">
        <v>341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184</v>
      </c>
    </row>
    <row r="654" spans="1:10" x14ac:dyDescent="0.35">
      <c r="A654">
        <v>50</v>
      </c>
      <c r="B654" t="s">
        <v>342</v>
      </c>
      <c r="C654">
        <v>492956111.93000001</v>
      </c>
      <c r="D654">
        <v>0</v>
      </c>
      <c r="E654">
        <v>492956111.93000001</v>
      </c>
      <c r="F654">
        <v>18630000</v>
      </c>
      <c r="G654">
        <v>90828367.510000005</v>
      </c>
      <c r="H654">
        <v>474326111.93000001</v>
      </c>
      <c r="I654">
        <v>402127744.42000002</v>
      </c>
      <c r="J654" t="s">
        <v>184</v>
      </c>
    </row>
    <row r="655" spans="1:10" x14ac:dyDescent="0.35">
      <c r="A655">
        <v>60</v>
      </c>
      <c r="B655" t="s">
        <v>343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184</v>
      </c>
    </row>
    <row r="656" spans="1:10" x14ac:dyDescent="0.35">
      <c r="A656">
        <v>70</v>
      </c>
      <c r="B656" t="s">
        <v>344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184</v>
      </c>
    </row>
    <row r="657" spans="1:10" x14ac:dyDescent="0.35">
      <c r="A657">
        <v>80</v>
      </c>
      <c r="B657" t="s">
        <v>412</v>
      </c>
      <c r="C657">
        <v>9351609.5899999999</v>
      </c>
      <c r="D657">
        <v>0</v>
      </c>
      <c r="E657">
        <v>9351609.5899999999</v>
      </c>
      <c r="F657">
        <v>342.16</v>
      </c>
      <c r="G657">
        <v>3666.96</v>
      </c>
      <c r="H657">
        <v>9351267.4299999997</v>
      </c>
      <c r="I657">
        <v>9347942.6300000008</v>
      </c>
      <c r="J657" t="s">
        <v>184</v>
      </c>
    </row>
    <row r="658" spans="1:10" x14ac:dyDescent="0.35">
      <c r="A658">
        <v>100</v>
      </c>
      <c r="B658" t="s">
        <v>399</v>
      </c>
      <c r="C658">
        <v>503394250.49000001</v>
      </c>
      <c r="D658">
        <v>0</v>
      </c>
      <c r="E658">
        <v>503394250.49000001</v>
      </c>
      <c r="F658">
        <v>18621697.09</v>
      </c>
      <c r="G658">
        <v>90762352.090000004</v>
      </c>
      <c r="H658">
        <v>484772553.39999998</v>
      </c>
      <c r="I658">
        <v>412631898.39999998</v>
      </c>
      <c r="J658" t="s">
        <v>184</v>
      </c>
    </row>
    <row r="659" spans="1:10" x14ac:dyDescent="0.35">
      <c r="A659">
        <v>110</v>
      </c>
      <c r="B659" t="s">
        <v>400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184</v>
      </c>
    </row>
    <row r="660" spans="1:10" x14ac:dyDescent="0.35">
      <c r="A660">
        <v>120</v>
      </c>
      <c r="B660" t="s">
        <v>348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184</v>
      </c>
    </row>
    <row r="661" spans="1:10" x14ac:dyDescent="0.35">
      <c r="A661">
        <v>130</v>
      </c>
      <c r="B661" t="s">
        <v>349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184</v>
      </c>
    </row>
    <row r="662" spans="1:10" x14ac:dyDescent="0.35">
      <c r="A662">
        <v>140</v>
      </c>
      <c r="B662" t="s">
        <v>350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184</v>
      </c>
    </row>
    <row r="663" spans="1:10" x14ac:dyDescent="0.35">
      <c r="A663">
        <v>150</v>
      </c>
      <c r="B663" t="s">
        <v>351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184</v>
      </c>
    </row>
    <row r="664" spans="1:10" x14ac:dyDescent="0.35">
      <c r="A664">
        <v>160</v>
      </c>
      <c r="B664" t="s">
        <v>352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184</v>
      </c>
    </row>
    <row r="665" spans="1:10" x14ac:dyDescent="0.35">
      <c r="A665">
        <v>170</v>
      </c>
      <c r="B665" t="s">
        <v>353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184</v>
      </c>
    </row>
    <row r="666" spans="1:10" x14ac:dyDescent="0.35">
      <c r="A666">
        <v>180</v>
      </c>
      <c r="B666" t="s">
        <v>354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184</v>
      </c>
    </row>
    <row r="667" spans="1:10" x14ac:dyDescent="0.35">
      <c r="A667">
        <v>190</v>
      </c>
      <c r="B667" t="s">
        <v>355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184</v>
      </c>
    </row>
    <row r="668" spans="1:10" x14ac:dyDescent="0.35">
      <c r="A668">
        <v>200</v>
      </c>
      <c r="B668" t="s">
        <v>356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184</v>
      </c>
    </row>
    <row r="669" spans="1:10" x14ac:dyDescent="0.35">
      <c r="A669">
        <v>210</v>
      </c>
      <c r="B669" t="s">
        <v>401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184</v>
      </c>
    </row>
    <row r="670" spans="1:10" x14ac:dyDescent="0.35">
      <c r="A670">
        <v>220</v>
      </c>
      <c r="B670" t="s">
        <v>358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184</v>
      </c>
    </row>
    <row r="671" spans="1:10" x14ac:dyDescent="0.35">
      <c r="A671">
        <v>230</v>
      </c>
      <c r="B671" t="s">
        <v>359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184</v>
      </c>
    </row>
    <row r="672" spans="1:10" x14ac:dyDescent="0.35">
      <c r="A672">
        <v>240</v>
      </c>
      <c r="B672" t="s">
        <v>360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184</v>
      </c>
    </row>
    <row r="673" spans="1:10" x14ac:dyDescent="0.35">
      <c r="A673">
        <v>250</v>
      </c>
      <c r="B673" t="s">
        <v>361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184</v>
      </c>
    </row>
    <row r="674" spans="1:10" x14ac:dyDescent="0.35">
      <c r="A674">
        <v>260</v>
      </c>
      <c r="B674" t="s">
        <v>362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184</v>
      </c>
    </row>
    <row r="675" spans="1:10" x14ac:dyDescent="0.35">
      <c r="A675">
        <v>270</v>
      </c>
      <c r="B675" t="s">
        <v>363</v>
      </c>
      <c r="C675">
        <v>223515801.38</v>
      </c>
      <c r="D675">
        <v>0</v>
      </c>
      <c r="E675">
        <v>223515801.38</v>
      </c>
      <c r="F675">
        <v>0</v>
      </c>
      <c r="G675">
        <v>42720405.890000001</v>
      </c>
      <c r="H675">
        <v>223515801.38</v>
      </c>
      <c r="I675">
        <v>180795395.49000001</v>
      </c>
      <c r="J675" t="s">
        <v>184</v>
      </c>
    </row>
    <row r="676" spans="1:10" x14ac:dyDescent="0.35">
      <c r="A676">
        <v>280</v>
      </c>
      <c r="B676" t="s">
        <v>402</v>
      </c>
      <c r="C676">
        <v>223515801.38</v>
      </c>
      <c r="D676">
        <v>0</v>
      </c>
      <c r="E676">
        <v>223515801.38</v>
      </c>
      <c r="F676">
        <v>0</v>
      </c>
      <c r="G676">
        <v>42720405.890000001</v>
      </c>
      <c r="H676">
        <v>223515801.38</v>
      </c>
      <c r="I676">
        <v>180795395.49000001</v>
      </c>
      <c r="J676" t="s">
        <v>184</v>
      </c>
    </row>
    <row r="677" spans="1:10" x14ac:dyDescent="0.35">
      <c r="A677">
        <v>400</v>
      </c>
      <c r="B677" t="s">
        <v>365</v>
      </c>
      <c r="C677">
        <v>726910051.87</v>
      </c>
      <c r="D677">
        <v>0</v>
      </c>
      <c r="E677">
        <v>726910051.87</v>
      </c>
      <c r="F677">
        <v>18621697.09</v>
      </c>
      <c r="G677">
        <v>133482757.98</v>
      </c>
      <c r="H677">
        <v>708288354.77999997</v>
      </c>
      <c r="I677">
        <v>593427293.88999999</v>
      </c>
      <c r="J677" t="s">
        <v>184</v>
      </c>
    </row>
    <row r="678" spans="1:10" x14ac:dyDescent="0.35">
      <c r="A678">
        <v>410</v>
      </c>
      <c r="B678" t="s">
        <v>403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184</v>
      </c>
    </row>
    <row r="679" spans="1:10" x14ac:dyDescent="0.35">
      <c r="A679">
        <v>420</v>
      </c>
      <c r="B679" t="s">
        <v>367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184</v>
      </c>
    </row>
    <row r="680" spans="1:10" x14ac:dyDescent="0.35">
      <c r="A680">
        <v>430</v>
      </c>
      <c r="B680" t="s">
        <v>368</v>
      </c>
      <c r="C680">
        <v>546636284.41999996</v>
      </c>
      <c r="D680">
        <v>0</v>
      </c>
      <c r="E680">
        <v>546636284.41999996</v>
      </c>
      <c r="F680">
        <v>19061000</v>
      </c>
      <c r="G680">
        <v>95430312.329999998</v>
      </c>
      <c r="H680">
        <v>527575284.42000002</v>
      </c>
      <c r="I680">
        <v>451205972.08999997</v>
      </c>
      <c r="J680" t="s">
        <v>184</v>
      </c>
    </row>
    <row r="681" spans="1:10" x14ac:dyDescent="0.35">
      <c r="A681">
        <v>440</v>
      </c>
      <c r="B681" t="s">
        <v>369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184</v>
      </c>
    </row>
    <row r="682" spans="1:10" x14ac:dyDescent="0.35">
      <c r="A682">
        <v>450</v>
      </c>
      <c r="B682" t="s">
        <v>370</v>
      </c>
      <c r="C682">
        <v>-10101.24</v>
      </c>
      <c r="D682">
        <v>0</v>
      </c>
      <c r="E682">
        <v>-10101.24</v>
      </c>
      <c r="F682">
        <v>-1403.77</v>
      </c>
      <c r="G682">
        <v>-369224.82</v>
      </c>
      <c r="H682">
        <v>-8697.4699999999993</v>
      </c>
      <c r="I682">
        <v>359123.58</v>
      </c>
      <c r="J682" t="s">
        <v>184</v>
      </c>
    </row>
    <row r="683" spans="1:10" x14ac:dyDescent="0.35">
      <c r="A683">
        <v>460</v>
      </c>
      <c r="B683" t="s">
        <v>405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184</v>
      </c>
    </row>
    <row r="684" spans="1:10" x14ac:dyDescent="0.35">
      <c r="A684">
        <v>500</v>
      </c>
      <c r="B684" t="s">
        <v>372</v>
      </c>
      <c r="C684">
        <v>546626183.17999995</v>
      </c>
      <c r="D684">
        <v>0</v>
      </c>
      <c r="E684">
        <v>546626183.17999995</v>
      </c>
      <c r="F684">
        <v>19059596.23</v>
      </c>
      <c r="G684">
        <v>95061087.510000005</v>
      </c>
      <c r="H684">
        <v>527566586.94999999</v>
      </c>
      <c r="I684">
        <v>451565095.67000002</v>
      </c>
      <c r="J684" t="s">
        <v>184</v>
      </c>
    </row>
    <row r="685" spans="1:10" x14ac:dyDescent="0.35">
      <c r="A685">
        <v>510</v>
      </c>
      <c r="B685" t="s">
        <v>406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184</v>
      </c>
    </row>
    <row r="686" spans="1:10" x14ac:dyDescent="0.35">
      <c r="A686">
        <v>520</v>
      </c>
      <c r="B686" t="s">
        <v>374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184</v>
      </c>
    </row>
    <row r="687" spans="1:10" x14ac:dyDescent="0.35">
      <c r="A687">
        <v>530</v>
      </c>
      <c r="B687" t="s">
        <v>375</v>
      </c>
      <c r="C687">
        <v>25034444.82</v>
      </c>
      <c r="D687">
        <v>0</v>
      </c>
      <c r="E687">
        <v>25034444.82</v>
      </c>
      <c r="F687">
        <v>-839491.51</v>
      </c>
      <c r="G687">
        <v>-2794836.27</v>
      </c>
      <c r="H687">
        <v>25873936.329999998</v>
      </c>
      <c r="I687">
        <v>27829281.09</v>
      </c>
      <c r="J687" t="s">
        <v>184</v>
      </c>
    </row>
    <row r="688" spans="1:10" x14ac:dyDescent="0.35">
      <c r="A688">
        <v>540</v>
      </c>
      <c r="B688" t="s">
        <v>376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184</v>
      </c>
    </row>
    <row r="689" spans="1:10" x14ac:dyDescent="0.35">
      <c r="A689">
        <v>600</v>
      </c>
      <c r="B689" t="s">
        <v>377</v>
      </c>
      <c r="C689">
        <v>25034444.82</v>
      </c>
      <c r="D689">
        <v>0</v>
      </c>
      <c r="E689">
        <v>25034444.82</v>
      </c>
      <c r="F689">
        <v>-839491.51</v>
      </c>
      <c r="G689">
        <v>-2794836.27</v>
      </c>
      <c r="H689">
        <v>25873936.329999998</v>
      </c>
      <c r="I689">
        <v>27829281.09</v>
      </c>
      <c r="J689" t="s">
        <v>184</v>
      </c>
    </row>
    <row r="690" spans="1:10" x14ac:dyDescent="0.35">
      <c r="A690">
        <v>610</v>
      </c>
      <c r="B690" t="s">
        <v>408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184</v>
      </c>
    </row>
    <row r="691" spans="1:10" x14ac:dyDescent="0.35">
      <c r="A691">
        <v>620</v>
      </c>
      <c r="B691" t="s">
        <v>379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184</v>
      </c>
    </row>
    <row r="692" spans="1:10" x14ac:dyDescent="0.35">
      <c r="A692">
        <v>700</v>
      </c>
      <c r="B692" t="s">
        <v>409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184</v>
      </c>
    </row>
    <row r="693" spans="1:10" x14ac:dyDescent="0.35">
      <c r="A693">
        <v>710</v>
      </c>
      <c r="B693" t="s">
        <v>410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184</v>
      </c>
    </row>
    <row r="694" spans="1:10" x14ac:dyDescent="0.35">
      <c r="A694">
        <v>720</v>
      </c>
      <c r="B694" t="s">
        <v>382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184</v>
      </c>
    </row>
    <row r="695" spans="1:10" x14ac:dyDescent="0.35">
      <c r="A695">
        <v>730</v>
      </c>
      <c r="B695" t="s">
        <v>383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184</v>
      </c>
    </row>
    <row r="696" spans="1:10" x14ac:dyDescent="0.35">
      <c r="A696">
        <v>740</v>
      </c>
      <c r="B696" t="s">
        <v>384</v>
      </c>
      <c r="C696">
        <v>149335877.69</v>
      </c>
      <c r="D696">
        <v>0</v>
      </c>
      <c r="E696">
        <v>149335877.69</v>
      </c>
      <c r="F696">
        <v>0</v>
      </c>
      <c r="G696">
        <v>42720405.890000001</v>
      </c>
      <c r="H696">
        <v>149335877.69</v>
      </c>
      <c r="I696">
        <v>106615471.8</v>
      </c>
      <c r="J696" t="s">
        <v>184</v>
      </c>
    </row>
    <row r="697" spans="1:10" x14ac:dyDescent="0.35">
      <c r="A697">
        <v>750</v>
      </c>
      <c r="B697" t="s">
        <v>385</v>
      </c>
      <c r="C697">
        <v>-1503899.15</v>
      </c>
      <c r="D697">
        <v>0</v>
      </c>
      <c r="E697">
        <v>-1503899.15</v>
      </c>
      <c r="F697">
        <v>401592.37</v>
      </c>
      <c r="G697">
        <v>-1503899.15</v>
      </c>
      <c r="H697">
        <v>-1905491.52</v>
      </c>
      <c r="I697">
        <v>0</v>
      </c>
      <c r="J697" t="s">
        <v>184</v>
      </c>
    </row>
    <row r="698" spans="1:10" x14ac:dyDescent="0.35">
      <c r="A698">
        <v>760</v>
      </c>
      <c r="B698" t="s">
        <v>386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184</v>
      </c>
    </row>
    <row r="699" spans="1:10" x14ac:dyDescent="0.35">
      <c r="A699">
        <v>770</v>
      </c>
      <c r="B699" t="s">
        <v>387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184</v>
      </c>
    </row>
    <row r="700" spans="1:10" x14ac:dyDescent="0.35">
      <c r="A700">
        <v>800</v>
      </c>
      <c r="B700" t="s">
        <v>388</v>
      </c>
      <c r="C700">
        <v>155249423.87</v>
      </c>
      <c r="D700">
        <v>0</v>
      </c>
      <c r="E700">
        <v>155249423.87</v>
      </c>
      <c r="F700">
        <v>401592.37</v>
      </c>
      <c r="G700">
        <v>41216506.740000002</v>
      </c>
      <c r="H700">
        <v>154847831.5</v>
      </c>
      <c r="I700">
        <v>114032917.13</v>
      </c>
      <c r="J700" t="s">
        <v>184</v>
      </c>
    </row>
    <row r="701" spans="1:10" x14ac:dyDescent="0.35">
      <c r="A701">
        <v>900</v>
      </c>
      <c r="B701" t="s">
        <v>389</v>
      </c>
      <c r="C701">
        <v>726910051.87</v>
      </c>
      <c r="D701">
        <v>0</v>
      </c>
      <c r="E701">
        <v>726910051.87</v>
      </c>
      <c r="F701">
        <v>18621697.09</v>
      </c>
      <c r="G701">
        <v>133482757.98</v>
      </c>
      <c r="H701">
        <v>708288354.77999997</v>
      </c>
      <c r="I701">
        <v>593427293.88999999</v>
      </c>
      <c r="J701" t="s">
        <v>184</v>
      </c>
    </row>
    <row r="702" spans="1:10" x14ac:dyDescent="0.35">
      <c r="A702">
        <v>1000</v>
      </c>
      <c r="B702" t="s">
        <v>411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184</v>
      </c>
    </row>
    <row r="703" spans="1:10" x14ac:dyDescent="0.35">
      <c r="A703" t="s">
        <v>240</v>
      </c>
      <c r="B703" t="s">
        <v>172</v>
      </c>
      <c r="C703" t="s">
        <v>390</v>
      </c>
      <c r="D703" t="s">
        <v>391</v>
      </c>
      <c r="E703" t="s">
        <v>392</v>
      </c>
      <c r="F703" t="s">
        <v>393</v>
      </c>
      <c r="G703" t="s">
        <v>394</v>
      </c>
      <c r="H703" t="s">
        <v>395</v>
      </c>
      <c r="I703" t="s">
        <v>396</v>
      </c>
      <c r="J703" t="s">
        <v>183</v>
      </c>
    </row>
    <row r="704" spans="1:10" x14ac:dyDescent="0.35">
      <c r="A704">
        <v>10</v>
      </c>
      <c r="B704" t="s">
        <v>397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184</v>
      </c>
    </row>
    <row r="705" spans="1:10" x14ac:dyDescent="0.35">
      <c r="A705">
        <v>20</v>
      </c>
      <c r="B705" t="s">
        <v>339</v>
      </c>
      <c r="C705">
        <v>2639490.4500000002</v>
      </c>
      <c r="D705">
        <v>0</v>
      </c>
      <c r="E705">
        <v>2639490.4500000002</v>
      </c>
      <c r="F705">
        <v>82443.360000000001</v>
      </c>
      <c r="G705">
        <v>517291.28</v>
      </c>
      <c r="H705">
        <v>2557047.09</v>
      </c>
      <c r="I705">
        <v>2122199.17</v>
      </c>
      <c r="J705" t="s">
        <v>184</v>
      </c>
    </row>
    <row r="706" spans="1:10" x14ac:dyDescent="0.35">
      <c r="A706">
        <v>30</v>
      </c>
      <c r="B706" t="s">
        <v>340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184</v>
      </c>
    </row>
    <row r="707" spans="1:10" x14ac:dyDescent="0.35">
      <c r="A707">
        <v>40</v>
      </c>
      <c r="B707" t="s">
        <v>341</v>
      </c>
      <c r="C707">
        <v>8165587.7000000002</v>
      </c>
      <c r="D707">
        <v>0</v>
      </c>
      <c r="E707">
        <v>8165587.7000000002</v>
      </c>
      <c r="F707">
        <v>-236955.46</v>
      </c>
      <c r="G707">
        <v>-427880.5</v>
      </c>
      <c r="H707">
        <v>8402543.1600000001</v>
      </c>
      <c r="I707">
        <v>8593468.1999999993</v>
      </c>
      <c r="J707" t="s">
        <v>184</v>
      </c>
    </row>
    <row r="708" spans="1:10" x14ac:dyDescent="0.35">
      <c r="A708">
        <v>50</v>
      </c>
      <c r="B708" t="s">
        <v>342</v>
      </c>
      <c r="C708">
        <v>26987698.370000001</v>
      </c>
      <c r="D708">
        <v>0</v>
      </c>
      <c r="E708">
        <v>26987698.370000001</v>
      </c>
      <c r="F708">
        <v>-5972421.5300000003</v>
      </c>
      <c r="G708">
        <v>16190056.18</v>
      </c>
      <c r="H708">
        <v>32960119.899999999</v>
      </c>
      <c r="I708">
        <v>10797642.189999999</v>
      </c>
      <c r="J708" t="s">
        <v>184</v>
      </c>
    </row>
    <row r="709" spans="1:10" x14ac:dyDescent="0.35">
      <c r="A709">
        <v>60</v>
      </c>
      <c r="B709" t="s">
        <v>343</v>
      </c>
      <c r="C709">
        <v>3633349.77</v>
      </c>
      <c r="D709">
        <v>0</v>
      </c>
      <c r="E709">
        <v>3633349.77</v>
      </c>
      <c r="F709">
        <v>231303.36</v>
      </c>
      <c r="G709">
        <v>102565.13</v>
      </c>
      <c r="H709">
        <v>3402046.41</v>
      </c>
      <c r="I709">
        <v>3530784.64</v>
      </c>
      <c r="J709" t="s">
        <v>184</v>
      </c>
    </row>
    <row r="710" spans="1:10" x14ac:dyDescent="0.35">
      <c r="A710">
        <v>70</v>
      </c>
      <c r="B710" t="s">
        <v>344</v>
      </c>
      <c r="C710">
        <v>1453037.97</v>
      </c>
      <c r="D710">
        <v>0</v>
      </c>
      <c r="E710">
        <v>1453037.97</v>
      </c>
      <c r="F710">
        <v>-240010.7</v>
      </c>
      <c r="G710">
        <v>-1777486.81</v>
      </c>
      <c r="H710">
        <v>1693048.67</v>
      </c>
      <c r="I710">
        <v>3230524.78</v>
      </c>
      <c r="J710" t="s">
        <v>184</v>
      </c>
    </row>
    <row r="711" spans="1:10" x14ac:dyDescent="0.35">
      <c r="A711">
        <v>80</v>
      </c>
      <c r="B711" t="s">
        <v>412</v>
      </c>
      <c r="C711">
        <v>5198846.5</v>
      </c>
      <c r="D711">
        <v>0</v>
      </c>
      <c r="E711">
        <v>5198846.5</v>
      </c>
      <c r="F711">
        <v>-590571.25</v>
      </c>
      <c r="G711">
        <v>2479613.7999999998</v>
      </c>
      <c r="H711">
        <v>5789417.75</v>
      </c>
      <c r="I711">
        <v>2719232.7</v>
      </c>
      <c r="J711" t="s">
        <v>184</v>
      </c>
    </row>
    <row r="712" spans="1:10" x14ac:dyDescent="0.35">
      <c r="A712">
        <v>100</v>
      </c>
      <c r="B712" t="s">
        <v>399</v>
      </c>
      <c r="C712">
        <v>48071524.75</v>
      </c>
      <c r="D712">
        <v>0</v>
      </c>
      <c r="E712">
        <v>48071524.75</v>
      </c>
      <c r="F712">
        <v>-6726212.2199999997</v>
      </c>
      <c r="G712">
        <v>17084159.079999998</v>
      </c>
      <c r="H712">
        <v>54797736.969999999</v>
      </c>
      <c r="I712">
        <v>30987365.670000002</v>
      </c>
      <c r="J712" t="s">
        <v>184</v>
      </c>
    </row>
    <row r="713" spans="1:10" x14ac:dyDescent="0.35">
      <c r="A713">
        <v>110</v>
      </c>
      <c r="B713" t="s">
        <v>400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184</v>
      </c>
    </row>
    <row r="714" spans="1:10" x14ac:dyDescent="0.35">
      <c r="A714">
        <v>120</v>
      </c>
      <c r="B714" t="s">
        <v>348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184</v>
      </c>
    </row>
    <row r="715" spans="1:10" x14ac:dyDescent="0.35">
      <c r="A715">
        <v>130</v>
      </c>
      <c r="B715" t="s">
        <v>349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184</v>
      </c>
    </row>
    <row r="716" spans="1:10" x14ac:dyDescent="0.35">
      <c r="A716">
        <v>140</v>
      </c>
      <c r="B716" t="s">
        <v>350</v>
      </c>
      <c r="C716">
        <v>1943771.29</v>
      </c>
      <c r="D716">
        <v>0</v>
      </c>
      <c r="E716">
        <v>1943771.29</v>
      </c>
      <c r="F716">
        <v>0</v>
      </c>
      <c r="G716">
        <v>0</v>
      </c>
      <c r="H716">
        <v>1943771.29</v>
      </c>
      <c r="I716">
        <v>1943771.29</v>
      </c>
      <c r="J716" t="s">
        <v>184</v>
      </c>
    </row>
    <row r="717" spans="1:10" x14ac:dyDescent="0.35">
      <c r="A717">
        <v>150</v>
      </c>
      <c r="B717" t="s">
        <v>351</v>
      </c>
      <c r="C717">
        <v>2961387.85</v>
      </c>
      <c r="D717">
        <v>0</v>
      </c>
      <c r="E717">
        <v>2961387.85</v>
      </c>
      <c r="F717">
        <v>62500</v>
      </c>
      <c r="G717">
        <v>160685.5</v>
      </c>
      <c r="H717">
        <v>2898887.85</v>
      </c>
      <c r="I717">
        <v>2800702.35</v>
      </c>
      <c r="J717" t="s">
        <v>184</v>
      </c>
    </row>
    <row r="718" spans="1:10" x14ac:dyDescent="0.35">
      <c r="A718">
        <v>160</v>
      </c>
      <c r="B718" t="s">
        <v>352</v>
      </c>
      <c r="C718">
        <v>31620891.07</v>
      </c>
      <c r="D718">
        <v>0</v>
      </c>
      <c r="E718">
        <v>31620891.07</v>
      </c>
      <c r="F718">
        <v>972222.22</v>
      </c>
      <c r="G718">
        <v>3209108.91</v>
      </c>
      <c r="H718">
        <v>30648668.850000001</v>
      </c>
      <c r="I718">
        <v>28411782.16</v>
      </c>
      <c r="J718" t="s">
        <v>184</v>
      </c>
    </row>
    <row r="719" spans="1:10" x14ac:dyDescent="0.35">
      <c r="A719">
        <v>170</v>
      </c>
      <c r="B719" t="s">
        <v>353</v>
      </c>
      <c r="C719">
        <v>45452706.549999997</v>
      </c>
      <c r="D719">
        <v>0</v>
      </c>
      <c r="E719">
        <v>45452706.549999997</v>
      </c>
      <c r="F719">
        <v>28607.58</v>
      </c>
      <c r="G719">
        <v>944799.8</v>
      </c>
      <c r="H719">
        <v>45424098.969999999</v>
      </c>
      <c r="I719">
        <v>44507906.75</v>
      </c>
      <c r="J719" t="s">
        <v>184</v>
      </c>
    </row>
    <row r="720" spans="1:10" x14ac:dyDescent="0.35">
      <c r="A720">
        <v>180</v>
      </c>
      <c r="B720" t="s">
        <v>354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184</v>
      </c>
    </row>
    <row r="721" spans="1:10" x14ac:dyDescent="0.35">
      <c r="A721">
        <v>190</v>
      </c>
      <c r="B721" t="s">
        <v>355</v>
      </c>
      <c r="C721">
        <v>-48026204.479999997</v>
      </c>
      <c r="D721">
        <v>0</v>
      </c>
      <c r="E721">
        <v>-48026204.479999997</v>
      </c>
      <c r="F721">
        <v>-348645.84</v>
      </c>
      <c r="G721">
        <v>-2229259.38</v>
      </c>
      <c r="H721">
        <v>-47677558.640000001</v>
      </c>
      <c r="I721">
        <v>-45796945.100000001</v>
      </c>
      <c r="J721" t="s">
        <v>184</v>
      </c>
    </row>
    <row r="722" spans="1:10" x14ac:dyDescent="0.35">
      <c r="A722">
        <v>200</v>
      </c>
      <c r="B722" t="s">
        <v>356</v>
      </c>
      <c r="C722">
        <v>37005741.810000002</v>
      </c>
      <c r="D722">
        <v>0</v>
      </c>
      <c r="E722">
        <v>37005741.810000002</v>
      </c>
      <c r="F722">
        <v>714683.96</v>
      </c>
      <c r="G722">
        <v>2085334.83</v>
      </c>
      <c r="H722">
        <v>36291057.850000001</v>
      </c>
      <c r="I722">
        <v>34920406.979999997</v>
      </c>
      <c r="J722" t="s">
        <v>184</v>
      </c>
    </row>
    <row r="723" spans="1:10" x14ac:dyDescent="0.35">
      <c r="A723">
        <v>210</v>
      </c>
      <c r="B723" t="s">
        <v>401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184</v>
      </c>
    </row>
    <row r="724" spans="1:10" x14ac:dyDescent="0.35">
      <c r="A724">
        <v>220</v>
      </c>
      <c r="B724" t="s">
        <v>358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184</v>
      </c>
    </row>
    <row r="725" spans="1:10" x14ac:dyDescent="0.35">
      <c r="A725">
        <v>230</v>
      </c>
      <c r="B725" t="s">
        <v>359</v>
      </c>
      <c r="C725">
        <v>562359.18000000005</v>
      </c>
      <c r="D725">
        <v>0</v>
      </c>
      <c r="E725">
        <v>562359.18000000005</v>
      </c>
      <c r="F725">
        <v>0</v>
      </c>
      <c r="G725">
        <v>0</v>
      </c>
      <c r="H725">
        <v>562359.18000000005</v>
      </c>
      <c r="I725">
        <v>562359.18000000005</v>
      </c>
      <c r="J725" t="s">
        <v>184</v>
      </c>
    </row>
    <row r="726" spans="1:10" x14ac:dyDescent="0.35">
      <c r="A726">
        <v>240</v>
      </c>
      <c r="B726" t="s">
        <v>360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184</v>
      </c>
    </row>
    <row r="727" spans="1:10" x14ac:dyDescent="0.35">
      <c r="A727">
        <v>250</v>
      </c>
      <c r="B727" t="s">
        <v>361</v>
      </c>
      <c r="C727">
        <v>604632.18000000005</v>
      </c>
      <c r="D727">
        <v>0</v>
      </c>
      <c r="E727">
        <v>604632.18000000005</v>
      </c>
      <c r="F727">
        <v>0</v>
      </c>
      <c r="G727">
        <v>0</v>
      </c>
      <c r="H727">
        <v>604632.18000000005</v>
      </c>
      <c r="I727">
        <v>604632.18000000005</v>
      </c>
      <c r="J727" t="s">
        <v>184</v>
      </c>
    </row>
    <row r="728" spans="1:10" x14ac:dyDescent="0.35">
      <c r="A728">
        <v>260</v>
      </c>
      <c r="B728" t="s">
        <v>362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184</v>
      </c>
    </row>
    <row r="729" spans="1:10" x14ac:dyDescent="0.35">
      <c r="A729">
        <v>270</v>
      </c>
      <c r="B729" t="s">
        <v>363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184</v>
      </c>
    </row>
    <row r="730" spans="1:10" x14ac:dyDescent="0.35">
      <c r="A730">
        <v>280</v>
      </c>
      <c r="B730" t="s">
        <v>402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184</v>
      </c>
    </row>
    <row r="731" spans="1:10" x14ac:dyDescent="0.35">
      <c r="A731">
        <v>400</v>
      </c>
      <c r="B731" t="s">
        <v>365</v>
      </c>
      <c r="C731">
        <v>85682651.829999998</v>
      </c>
      <c r="D731">
        <v>0</v>
      </c>
      <c r="E731">
        <v>85682651.829999998</v>
      </c>
      <c r="F731">
        <v>-6011528.2599999998</v>
      </c>
      <c r="G731">
        <v>19169493.91</v>
      </c>
      <c r="H731">
        <v>91694180.090000004</v>
      </c>
      <c r="I731">
        <v>66513157.920000002</v>
      </c>
      <c r="J731" t="s">
        <v>184</v>
      </c>
    </row>
    <row r="732" spans="1:10" x14ac:dyDescent="0.35">
      <c r="A732">
        <v>410</v>
      </c>
      <c r="B732" t="s">
        <v>403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184</v>
      </c>
    </row>
    <row r="733" spans="1:10" x14ac:dyDescent="0.35">
      <c r="A733">
        <v>420</v>
      </c>
      <c r="B733" t="s">
        <v>367</v>
      </c>
      <c r="C733">
        <v>12749907.33</v>
      </c>
      <c r="D733">
        <v>0</v>
      </c>
      <c r="E733">
        <v>12749907.33</v>
      </c>
      <c r="F733">
        <v>-4810668.8600000003</v>
      </c>
      <c r="G733">
        <v>2999979.16</v>
      </c>
      <c r="H733">
        <v>17560576.190000001</v>
      </c>
      <c r="I733">
        <v>9749928.1699999999</v>
      </c>
      <c r="J733" t="s">
        <v>184</v>
      </c>
    </row>
    <row r="734" spans="1:10" x14ac:dyDescent="0.35">
      <c r="A734">
        <v>430</v>
      </c>
      <c r="B734" t="s">
        <v>368</v>
      </c>
      <c r="C734">
        <v>21526715.82</v>
      </c>
      <c r="D734">
        <v>0</v>
      </c>
      <c r="E734">
        <v>21526715.82</v>
      </c>
      <c r="F734">
        <v>-2251446.83</v>
      </c>
      <c r="G734">
        <v>6864076.71</v>
      </c>
      <c r="H734">
        <v>23778162.649999999</v>
      </c>
      <c r="I734">
        <v>14662639.109999999</v>
      </c>
      <c r="J734" t="s">
        <v>184</v>
      </c>
    </row>
    <row r="735" spans="1:10" x14ac:dyDescent="0.35">
      <c r="A735">
        <v>440</v>
      </c>
      <c r="B735" t="s">
        <v>369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184</v>
      </c>
    </row>
    <row r="736" spans="1:10" x14ac:dyDescent="0.35">
      <c r="A736">
        <v>450</v>
      </c>
      <c r="B736" t="s">
        <v>370</v>
      </c>
      <c r="C736">
        <v>4194568.33</v>
      </c>
      <c r="D736">
        <v>0</v>
      </c>
      <c r="E736">
        <v>4194568.33</v>
      </c>
      <c r="F736">
        <v>-472026.45</v>
      </c>
      <c r="G736">
        <v>-1217949.1100000001</v>
      </c>
      <c r="H736">
        <v>4666594.78</v>
      </c>
      <c r="I736">
        <v>5412517.4400000004</v>
      </c>
      <c r="J736" t="s">
        <v>184</v>
      </c>
    </row>
    <row r="737" spans="1:10" x14ac:dyDescent="0.35">
      <c r="A737">
        <v>460</v>
      </c>
      <c r="B737" t="s">
        <v>413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184</v>
      </c>
    </row>
    <row r="738" spans="1:10" x14ac:dyDescent="0.35">
      <c r="A738">
        <v>500</v>
      </c>
      <c r="B738" t="s">
        <v>372</v>
      </c>
      <c r="C738">
        <v>38471191.479999997</v>
      </c>
      <c r="D738">
        <v>0</v>
      </c>
      <c r="E738">
        <v>38471191.479999997</v>
      </c>
      <c r="F738">
        <v>-7534142.1399999997</v>
      </c>
      <c r="G738">
        <v>8646106.7599999998</v>
      </c>
      <c r="H738">
        <v>46005333.619999997</v>
      </c>
      <c r="I738">
        <v>29825084.719999999</v>
      </c>
      <c r="J738" t="s">
        <v>184</v>
      </c>
    </row>
    <row r="739" spans="1:10" x14ac:dyDescent="0.35">
      <c r="A739">
        <v>510</v>
      </c>
      <c r="B739" t="s">
        <v>406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184</v>
      </c>
    </row>
    <row r="740" spans="1:10" x14ac:dyDescent="0.35">
      <c r="A740">
        <v>520</v>
      </c>
      <c r="B740" t="s">
        <v>374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184</v>
      </c>
    </row>
    <row r="741" spans="1:10" x14ac:dyDescent="0.35">
      <c r="A741">
        <v>530</v>
      </c>
      <c r="B741" t="s">
        <v>375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184</v>
      </c>
    </row>
    <row r="742" spans="1:10" x14ac:dyDescent="0.35">
      <c r="A742">
        <v>540</v>
      </c>
      <c r="B742" t="s">
        <v>376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184</v>
      </c>
    </row>
    <row r="743" spans="1:10" x14ac:dyDescent="0.35">
      <c r="A743">
        <v>600</v>
      </c>
      <c r="B743" t="s">
        <v>377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184</v>
      </c>
    </row>
    <row r="744" spans="1:10" x14ac:dyDescent="0.35">
      <c r="A744">
        <v>610</v>
      </c>
      <c r="B744" t="s">
        <v>408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184</v>
      </c>
    </row>
    <row r="745" spans="1:10" x14ac:dyDescent="0.35">
      <c r="A745">
        <v>620</v>
      </c>
      <c r="B745" t="s">
        <v>379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184</v>
      </c>
    </row>
    <row r="746" spans="1:10" x14ac:dyDescent="0.35">
      <c r="A746">
        <v>700</v>
      </c>
      <c r="B746" t="s">
        <v>409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184</v>
      </c>
    </row>
    <row r="747" spans="1:10" x14ac:dyDescent="0.35">
      <c r="A747">
        <v>710</v>
      </c>
      <c r="B747" t="s">
        <v>410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184</v>
      </c>
    </row>
    <row r="748" spans="1:10" x14ac:dyDescent="0.35">
      <c r="A748">
        <v>720</v>
      </c>
      <c r="B748" t="s">
        <v>382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184</v>
      </c>
    </row>
    <row r="749" spans="1:10" x14ac:dyDescent="0.35">
      <c r="A749">
        <v>730</v>
      </c>
      <c r="B749" t="s">
        <v>383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184</v>
      </c>
    </row>
    <row r="750" spans="1:10" x14ac:dyDescent="0.35">
      <c r="A750">
        <v>740</v>
      </c>
      <c r="B750" t="s">
        <v>384</v>
      </c>
      <c r="C750">
        <v>610761.86</v>
      </c>
      <c r="D750">
        <v>0</v>
      </c>
      <c r="E750">
        <v>610761.86</v>
      </c>
      <c r="F750">
        <v>0</v>
      </c>
      <c r="G750">
        <v>976233.41</v>
      </c>
      <c r="H750">
        <v>610761.86</v>
      </c>
      <c r="I750">
        <v>-365471.55</v>
      </c>
      <c r="J750" t="s">
        <v>184</v>
      </c>
    </row>
    <row r="751" spans="1:10" x14ac:dyDescent="0.35">
      <c r="A751">
        <v>750</v>
      </c>
      <c r="B751" t="s">
        <v>385</v>
      </c>
      <c r="C751">
        <v>9547153.7400000002</v>
      </c>
      <c r="D751">
        <v>0</v>
      </c>
      <c r="E751">
        <v>9547153.7400000002</v>
      </c>
      <c r="F751">
        <v>1522613.88</v>
      </c>
      <c r="G751">
        <v>9547153.7400000002</v>
      </c>
      <c r="H751">
        <v>8024539.8600000003</v>
      </c>
      <c r="I751">
        <v>0</v>
      </c>
      <c r="J751" t="s">
        <v>184</v>
      </c>
    </row>
    <row r="752" spans="1:10" x14ac:dyDescent="0.35">
      <c r="A752">
        <v>760</v>
      </c>
      <c r="B752" t="s">
        <v>386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184</v>
      </c>
    </row>
    <row r="753" spans="1:10" x14ac:dyDescent="0.35">
      <c r="A753">
        <v>770</v>
      </c>
      <c r="B753" t="s">
        <v>387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184</v>
      </c>
    </row>
    <row r="754" spans="1:10" x14ac:dyDescent="0.35">
      <c r="A754">
        <v>800</v>
      </c>
      <c r="B754" t="s">
        <v>388</v>
      </c>
      <c r="C754">
        <v>47211460.130000003</v>
      </c>
      <c r="D754">
        <v>0</v>
      </c>
      <c r="E754">
        <v>47211460.130000003</v>
      </c>
      <c r="F754">
        <v>1522613.88</v>
      </c>
      <c r="G754">
        <v>10523387.15</v>
      </c>
      <c r="H754">
        <v>45688846.25</v>
      </c>
      <c r="I754">
        <v>36688072.979999997</v>
      </c>
      <c r="J754" t="s">
        <v>184</v>
      </c>
    </row>
    <row r="755" spans="1:10" x14ac:dyDescent="0.35">
      <c r="A755">
        <v>900</v>
      </c>
      <c r="B755" t="s">
        <v>389</v>
      </c>
      <c r="C755">
        <v>85682651.829999998</v>
      </c>
      <c r="D755">
        <v>0</v>
      </c>
      <c r="E755">
        <v>85682651.829999998</v>
      </c>
      <c r="F755">
        <v>-6011528.2599999998</v>
      </c>
      <c r="G755">
        <v>19169493.91</v>
      </c>
      <c r="H755">
        <v>91694180.090000004</v>
      </c>
      <c r="I755">
        <v>66513157.920000002</v>
      </c>
      <c r="J755" t="s">
        <v>184</v>
      </c>
    </row>
    <row r="756" spans="1:10" x14ac:dyDescent="0.35">
      <c r="A756">
        <v>1000</v>
      </c>
      <c r="B756" t="s">
        <v>411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184</v>
      </c>
    </row>
    <row r="757" spans="1:10" x14ac:dyDescent="0.35">
      <c r="A757" t="s">
        <v>241</v>
      </c>
      <c r="B757" t="s">
        <v>172</v>
      </c>
      <c r="C757" t="s">
        <v>390</v>
      </c>
      <c r="D757" t="s">
        <v>391</v>
      </c>
      <c r="E757" t="s">
        <v>392</v>
      </c>
      <c r="F757" t="s">
        <v>393</v>
      </c>
      <c r="G757" t="s">
        <v>394</v>
      </c>
      <c r="H757" t="s">
        <v>395</v>
      </c>
      <c r="I757" t="s">
        <v>396</v>
      </c>
      <c r="J757" t="s">
        <v>183</v>
      </c>
    </row>
    <row r="758" spans="1:10" x14ac:dyDescent="0.35">
      <c r="A758">
        <v>10</v>
      </c>
      <c r="B758" t="s">
        <v>397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184</v>
      </c>
    </row>
    <row r="759" spans="1:10" x14ac:dyDescent="0.35">
      <c r="A759">
        <v>20</v>
      </c>
      <c r="B759" t="s">
        <v>339</v>
      </c>
      <c r="C759">
        <v>1411954.68</v>
      </c>
      <c r="D759">
        <v>0</v>
      </c>
      <c r="E759">
        <v>1411954.68</v>
      </c>
      <c r="F759">
        <v>1037518.35</v>
      </c>
      <c r="G759">
        <v>-1593829.85</v>
      </c>
      <c r="H759">
        <v>374436.33</v>
      </c>
      <c r="I759">
        <v>3005784.53</v>
      </c>
      <c r="J759" t="s">
        <v>184</v>
      </c>
    </row>
    <row r="760" spans="1:10" x14ac:dyDescent="0.35">
      <c r="A760">
        <v>30</v>
      </c>
      <c r="B760" t="s">
        <v>340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184</v>
      </c>
    </row>
    <row r="761" spans="1:10" x14ac:dyDescent="0.35">
      <c r="A761">
        <v>40</v>
      </c>
      <c r="B761" t="s">
        <v>341</v>
      </c>
      <c r="C761">
        <v>16733337.779999999</v>
      </c>
      <c r="D761">
        <v>0</v>
      </c>
      <c r="E761">
        <v>16733337.779999999</v>
      </c>
      <c r="F761">
        <v>-40306720.560000002</v>
      </c>
      <c r="G761">
        <v>-37336942.270000003</v>
      </c>
      <c r="H761">
        <v>57040058.340000004</v>
      </c>
      <c r="I761">
        <v>54070280.049999997</v>
      </c>
      <c r="J761" t="s">
        <v>184</v>
      </c>
    </row>
    <row r="762" spans="1:10" x14ac:dyDescent="0.35">
      <c r="A762">
        <v>50</v>
      </c>
      <c r="B762" t="s">
        <v>342</v>
      </c>
      <c r="C762">
        <v>30620377.379999999</v>
      </c>
      <c r="D762">
        <v>0</v>
      </c>
      <c r="E762">
        <v>30620377.379999999</v>
      </c>
      <c r="F762">
        <v>13393711.970000001</v>
      </c>
      <c r="G762">
        <v>-4420202.95</v>
      </c>
      <c r="H762">
        <v>17226665.41</v>
      </c>
      <c r="I762">
        <v>35040580.329999998</v>
      </c>
      <c r="J762" t="s">
        <v>184</v>
      </c>
    </row>
    <row r="763" spans="1:10" x14ac:dyDescent="0.35">
      <c r="A763">
        <v>60</v>
      </c>
      <c r="B763" t="s">
        <v>343</v>
      </c>
      <c r="C763">
        <v>5494543.6699999999</v>
      </c>
      <c r="D763">
        <v>0</v>
      </c>
      <c r="E763">
        <v>5494543.6699999999</v>
      </c>
      <c r="F763">
        <v>-99537.79</v>
      </c>
      <c r="G763">
        <v>-1348854.65</v>
      </c>
      <c r="H763">
        <v>5594081.46</v>
      </c>
      <c r="I763">
        <v>6843398.3200000003</v>
      </c>
      <c r="J763" t="s">
        <v>184</v>
      </c>
    </row>
    <row r="764" spans="1:10" x14ac:dyDescent="0.35">
      <c r="A764">
        <v>70</v>
      </c>
      <c r="B764" t="s">
        <v>344</v>
      </c>
      <c r="C764">
        <v>897666.54</v>
      </c>
      <c r="D764">
        <v>0</v>
      </c>
      <c r="E764">
        <v>897666.54</v>
      </c>
      <c r="F764">
        <v>-2268.15</v>
      </c>
      <c r="G764">
        <v>-47772.71</v>
      </c>
      <c r="H764">
        <v>899934.69</v>
      </c>
      <c r="I764">
        <v>945439.25</v>
      </c>
      <c r="J764" t="s">
        <v>184</v>
      </c>
    </row>
    <row r="765" spans="1:10" x14ac:dyDescent="0.35">
      <c r="A765">
        <v>80</v>
      </c>
      <c r="B765" t="s">
        <v>398</v>
      </c>
      <c r="C765">
        <v>1013520.51</v>
      </c>
      <c r="D765">
        <v>0</v>
      </c>
      <c r="E765">
        <v>1013520.51</v>
      </c>
      <c r="F765">
        <v>-2572088.5099999998</v>
      </c>
      <c r="G765">
        <v>-4911153.43</v>
      </c>
      <c r="H765">
        <v>3585609.02</v>
      </c>
      <c r="I765">
        <v>5924673.9400000004</v>
      </c>
      <c r="J765" t="s">
        <v>184</v>
      </c>
    </row>
    <row r="766" spans="1:10" x14ac:dyDescent="0.35">
      <c r="A766">
        <v>100</v>
      </c>
      <c r="B766" t="s">
        <v>399</v>
      </c>
      <c r="C766">
        <v>56171400.560000002</v>
      </c>
      <c r="D766">
        <v>0</v>
      </c>
      <c r="E766">
        <v>56171400.560000002</v>
      </c>
      <c r="F766">
        <v>-28549384.690000001</v>
      </c>
      <c r="G766">
        <v>-49658755.859999999</v>
      </c>
      <c r="H766">
        <v>84720785.25</v>
      </c>
      <c r="I766">
        <v>105830156.42</v>
      </c>
      <c r="J766" t="s">
        <v>184</v>
      </c>
    </row>
    <row r="767" spans="1:10" x14ac:dyDescent="0.35">
      <c r="A767">
        <v>110</v>
      </c>
      <c r="B767" t="s">
        <v>400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184</v>
      </c>
    </row>
    <row r="768" spans="1:10" x14ac:dyDescent="0.35">
      <c r="A768">
        <v>120</v>
      </c>
      <c r="B768" t="s">
        <v>348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184</v>
      </c>
    </row>
    <row r="769" spans="1:10" x14ac:dyDescent="0.35">
      <c r="A769">
        <v>130</v>
      </c>
      <c r="B769" t="s">
        <v>349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184</v>
      </c>
    </row>
    <row r="770" spans="1:10" x14ac:dyDescent="0.35">
      <c r="A770">
        <v>140</v>
      </c>
      <c r="B770" t="s">
        <v>350</v>
      </c>
      <c r="C770">
        <v>2329029.77</v>
      </c>
      <c r="D770">
        <v>0</v>
      </c>
      <c r="E770">
        <v>2329029.77</v>
      </c>
      <c r="F770">
        <v>9340</v>
      </c>
      <c r="G770">
        <v>158883.85999999999</v>
      </c>
      <c r="H770">
        <v>2319689.77</v>
      </c>
      <c r="I770">
        <v>2170145.91</v>
      </c>
      <c r="J770" t="s">
        <v>184</v>
      </c>
    </row>
    <row r="771" spans="1:10" x14ac:dyDescent="0.35">
      <c r="A771">
        <v>150</v>
      </c>
      <c r="B771" t="s">
        <v>351</v>
      </c>
      <c r="C771">
        <v>4634126.7300000004</v>
      </c>
      <c r="D771">
        <v>0</v>
      </c>
      <c r="E771">
        <v>4634126.7300000004</v>
      </c>
      <c r="F771">
        <v>17160</v>
      </c>
      <c r="G771">
        <v>153433.82</v>
      </c>
      <c r="H771">
        <v>4616966.7300000004</v>
      </c>
      <c r="I771">
        <v>4480692.91</v>
      </c>
      <c r="J771" t="s">
        <v>184</v>
      </c>
    </row>
    <row r="772" spans="1:10" x14ac:dyDescent="0.35">
      <c r="A772">
        <v>160</v>
      </c>
      <c r="B772" t="s">
        <v>352</v>
      </c>
      <c r="C772">
        <v>64768246.649999999</v>
      </c>
      <c r="D772">
        <v>0</v>
      </c>
      <c r="E772">
        <v>64768246.649999999</v>
      </c>
      <c r="F772">
        <v>3796652.07</v>
      </c>
      <c r="G772">
        <v>9564389.9600000009</v>
      </c>
      <c r="H772">
        <v>60971594.579999998</v>
      </c>
      <c r="I772">
        <v>55203856.689999998</v>
      </c>
      <c r="J772" t="s">
        <v>184</v>
      </c>
    </row>
    <row r="773" spans="1:10" x14ac:dyDescent="0.35">
      <c r="A773">
        <v>170</v>
      </c>
      <c r="B773" t="s">
        <v>353</v>
      </c>
      <c r="C773">
        <v>23083950.329999998</v>
      </c>
      <c r="D773">
        <v>0</v>
      </c>
      <c r="E773">
        <v>23083950.329999998</v>
      </c>
      <c r="F773">
        <v>22189.52</v>
      </c>
      <c r="G773">
        <v>1138574.1299999999</v>
      </c>
      <c r="H773">
        <v>23061760.809999999</v>
      </c>
      <c r="I773">
        <v>21945376.199999999</v>
      </c>
      <c r="J773" t="s">
        <v>184</v>
      </c>
    </row>
    <row r="774" spans="1:10" x14ac:dyDescent="0.35">
      <c r="A774">
        <v>175</v>
      </c>
      <c r="B774" t="s">
        <v>414</v>
      </c>
      <c r="C774">
        <v>4574760.84</v>
      </c>
      <c r="D774">
        <v>0</v>
      </c>
      <c r="E774">
        <v>4574760.84</v>
      </c>
      <c r="F774">
        <v>0</v>
      </c>
      <c r="G774">
        <v>1233771.0900000001</v>
      </c>
      <c r="H774">
        <v>4574760.84</v>
      </c>
      <c r="I774">
        <v>3340989.75</v>
      </c>
      <c r="J774" t="s">
        <v>184</v>
      </c>
    </row>
    <row r="775" spans="1:10" x14ac:dyDescent="0.35">
      <c r="A775">
        <v>180</v>
      </c>
      <c r="B775" t="s">
        <v>354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184</v>
      </c>
    </row>
    <row r="776" spans="1:10" x14ac:dyDescent="0.35">
      <c r="A776">
        <v>190</v>
      </c>
      <c r="B776" t="s">
        <v>355</v>
      </c>
      <c r="C776">
        <v>-68542031.280000001</v>
      </c>
      <c r="D776">
        <v>0</v>
      </c>
      <c r="E776">
        <v>-68542031.280000001</v>
      </c>
      <c r="F776">
        <v>-563630.87</v>
      </c>
      <c r="G776">
        <v>-1730122.94</v>
      </c>
      <c r="H776">
        <v>-67978400.409999996</v>
      </c>
      <c r="I776">
        <v>-66811908.340000004</v>
      </c>
      <c r="J776" t="s">
        <v>184</v>
      </c>
    </row>
    <row r="777" spans="1:10" x14ac:dyDescent="0.35">
      <c r="A777">
        <v>200</v>
      </c>
      <c r="B777" t="s">
        <v>356</v>
      </c>
      <c r="C777">
        <v>54200080.969999999</v>
      </c>
      <c r="D777">
        <v>0</v>
      </c>
      <c r="E777">
        <v>54200080.969999999</v>
      </c>
      <c r="F777">
        <v>3281710.72</v>
      </c>
      <c r="G777">
        <v>10518929.92</v>
      </c>
      <c r="H777">
        <v>50918370.25</v>
      </c>
      <c r="I777">
        <v>43681151.049999997</v>
      </c>
      <c r="J777" t="s">
        <v>184</v>
      </c>
    </row>
    <row r="778" spans="1:10" x14ac:dyDescent="0.35">
      <c r="A778">
        <v>210</v>
      </c>
      <c r="B778" t="s">
        <v>401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184</v>
      </c>
    </row>
    <row r="779" spans="1:10" x14ac:dyDescent="0.35">
      <c r="A779">
        <v>220</v>
      </c>
      <c r="B779" t="s">
        <v>358</v>
      </c>
      <c r="C779">
        <v>549511.27</v>
      </c>
      <c r="D779">
        <v>0</v>
      </c>
      <c r="E779">
        <v>549511.27</v>
      </c>
      <c r="F779">
        <v>0</v>
      </c>
      <c r="G779">
        <v>-0.03</v>
      </c>
      <c r="H779">
        <v>549511.27</v>
      </c>
      <c r="I779">
        <v>549511.30000000005</v>
      </c>
      <c r="J779" t="s">
        <v>184</v>
      </c>
    </row>
    <row r="780" spans="1:10" x14ac:dyDescent="0.35">
      <c r="A780">
        <v>230</v>
      </c>
      <c r="B780" t="s">
        <v>359</v>
      </c>
      <c r="C780">
        <v>5434458.9000000004</v>
      </c>
      <c r="D780">
        <v>0</v>
      </c>
      <c r="E780">
        <v>5434458.9000000004</v>
      </c>
      <c r="F780">
        <v>0</v>
      </c>
      <c r="G780">
        <v>0</v>
      </c>
      <c r="H780">
        <v>5434458.9000000004</v>
      </c>
      <c r="I780">
        <v>5434458.9000000004</v>
      </c>
      <c r="J780" t="s">
        <v>184</v>
      </c>
    </row>
    <row r="781" spans="1:10" x14ac:dyDescent="0.35">
      <c r="A781">
        <v>240</v>
      </c>
      <c r="B781" t="s">
        <v>360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184</v>
      </c>
    </row>
    <row r="782" spans="1:10" x14ac:dyDescent="0.35">
      <c r="A782">
        <v>250</v>
      </c>
      <c r="B782" t="s">
        <v>361</v>
      </c>
      <c r="C782">
        <v>5983970.1699999999</v>
      </c>
      <c r="D782">
        <v>0</v>
      </c>
      <c r="E782">
        <v>5983970.1699999999</v>
      </c>
      <c r="F782">
        <v>0</v>
      </c>
      <c r="G782">
        <v>-0.03</v>
      </c>
      <c r="H782">
        <v>5983970.1699999999</v>
      </c>
      <c r="I782">
        <v>5983970.2000000002</v>
      </c>
      <c r="J782" t="s">
        <v>184</v>
      </c>
    </row>
    <row r="783" spans="1:10" x14ac:dyDescent="0.35">
      <c r="A783">
        <v>260</v>
      </c>
      <c r="B783" t="s">
        <v>362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184</v>
      </c>
    </row>
    <row r="784" spans="1:10" x14ac:dyDescent="0.35">
      <c r="A784">
        <v>270</v>
      </c>
      <c r="B784" t="s">
        <v>363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184</v>
      </c>
    </row>
    <row r="785" spans="1:10" x14ac:dyDescent="0.35">
      <c r="A785">
        <v>280</v>
      </c>
      <c r="B785" t="s">
        <v>402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184</v>
      </c>
    </row>
    <row r="786" spans="1:10" x14ac:dyDescent="0.35">
      <c r="A786">
        <v>400</v>
      </c>
      <c r="B786" t="s">
        <v>365</v>
      </c>
      <c r="C786">
        <v>117536835.8</v>
      </c>
      <c r="D786">
        <v>0</v>
      </c>
      <c r="E786">
        <v>117536835.8</v>
      </c>
      <c r="F786">
        <v>-25267673.969999999</v>
      </c>
      <c r="G786">
        <v>-39139825.969999999</v>
      </c>
      <c r="H786">
        <v>142804509.77000001</v>
      </c>
      <c r="I786">
        <v>156676661.77000001</v>
      </c>
      <c r="J786" t="s">
        <v>184</v>
      </c>
    </row>
    <row r="787" spans="1:10" x14ac:dyDescent="0.35">
      <c r="A787">
        <v>410</v>
      </c>
      <c r="B787" t="s">
        <v>403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184</v>
      </c>
    </row>
    <row r="788" spans="1:10" x14ac:dyDescent="0.35">
      <c r="A788">
        <v>420</v>
      </c>
      <c r="B788" t="s">
        <v>367</v>
      </c>
      <c r="C788">
        <v>3398246.17</v>
      </c>
      <c r="D788">
        <v>0</v>
      </c>
      <c r="E788">
        <v>3398246.17</v>
      </c>
      <c r="F788">
        <v>-12677079.460000001</v>
      </c>
      <c r="G788">
        <v>-33975996.729999997</v>
      </c>
      <c r="H788">
        <v>16075325.630000001</v>
      </c>
      <c r="I788">
        <v>37374242.899999999</v>
      </c>
      <c r="J788" t="s">
        <v>184</v>
      </c>
    </row>
    <row r="789" spans="1:10" x14ac:dyDescent="0.35">
      <c r="A789">
        <v>430</v>
      </c>
      <c r="B789" t="s">
        <v>368</v>
      </c>
      <c r="C789">
        <v>14159867.449999999</v>
      </c>
      <c r="D789">
        <v>0</v>
      </c>
      <c r="E789">
        <v>14159867.449999999</v>
      </c>
      <c r="F789">
        <v>-4014841.22</v>
      </c>
      <c r="G789">
        <v>-774849.4</v>
      </c>
      <c r="H789">
        <v>18174708.670000002</v>
      </c>
      <c r="I789">
        <v>14934716.85</v>
      </c>
      <c r="J789" t="s">
        <v>184</v>
      </c>
    </row>
    <row r="790" spans="1:10" x14ac:dyDescent="0.35">
      <c r="A790">
        <v>440</v>
      </c>
      <c r="B790" t="s">
        <v>369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184</v>
      </c>
    </row>
    <row r="791" spans="1:10" x14ac:dyDescent="0.35">
      <c r="A791">
        <v>450</v>
      </c>
      <c r="B791" t="s">
        <v>404</v>
      </c>
      <c r="C791">
        <v>8335442.9400000004</v>
      </c>
      <c r="D791">
        <v>0</v>
      </c>
      <c r="E791">
        <v>8335442.9400000004</v>
      </c>
      <c r="F791">
        <v>-6986792.9000000004</v>
      </c>
      <c r="G791">
        <v>-7914672.2300000004</v>
      </c>
      <c r="H791">
        <v>15322235.84</v>
      </c>
      <c r="I791">
        <v>16250115.17</v>
      </c>
      <c r="J791" t="s">
        <v>184</v>
      </c>
    </row>
    <row r="792" spans="1:10" x14ac:dyDescent="0.35">
      <c r="A792">
        <v>460</v>
      </c>
      <c r="B792" t="s">
        <v>405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184</v>
      </c>
    </row>
    <row r="793" spans="1:10" x14ac:dyDescent="0.35">
      <c r="A793">
        <v>500</v>
      </c>
      <c r="B793" t="s">
        <v>372</v>
      </c>
      <c r="C793">
        <v>25893556.559999999</v>
      </c>
      <c r="D793">
        <v>0</v>
      </c>
      <c r="E793">
        <v>25893556.559999999</v>
      </c>
      <c r="F793">
        <v>-23678713.579999998</v>
      </c>
      <c r="G793">
        <v>-42665518.359999999</v>
      </c>
      <c r="H793">
        <v>49572270.140000001</v>
      </c>
      <c r="I793">
        <v>68559074.920000002</v>
      </c>
      <c r="J793" t="s">
        <v>184</v>
      </c>
    </row>
    <row r="794" spans="1:10" x14ac:dyDescent="0.35">
      <c r="A794">
        <v>510</v>
      </c>
      <c r="B794" t="s">
        <v>406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184</v>
      </c>
    </row>
    <row r="795" spans="1:10" x14ac:dyDescent="0.35">
      <c r="A795">
        <v>520</v>
      </c>
      <c r="B795" t="s">
        <v>407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184</v>
      </c>
    </row>
    <row r="796" spans="1:10" x14ac:dyDescent="0.35">
      <c r="A796">
        <v>530</v>
      </c>
      <c r="B796" t="s">
        <v>407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184</v>
      </c>
    </row>
    <row r="797" spans="1:10" x14ac:dyDescent="0.35">
      <c r="A797">
        <v>540</v>
      </c>
      <c r="B797" t="s">
        <v>376</v>
      </c>
      <c r="C797">
        <v>690522.83</v>
      </c>
      <c r="D797">
        <v>0</v>
      </c>
      <c r="E797">
        <v>690522.83</v>
      </c>
      <c r="F797">
        <v>0</v>
      </c>
      <c r="G797">
        <v>0</v>
      </c>
      <c r="H797">
        <v>690522.83</v>
      </c>
      <c r="I797">
        <v>690522.83</v>
      </c>
      <c r="J797" t="s">
        <v>184</v>
      </c>
    </row>
    <row r="798" spans="1:10" x14ac:dyDescent="0.35">
      <c r="A798">
        <v>600</v>
      </c>
      <c r="B798" t="s">
        <v>377</v>
      </c>
      <c r="C798">
        <v>736949.51</v>
      </c>
      <c r="D798">
        <v>0</v>
      </c>
      <c r="E798">
        <v>736949.51</v>
      </c>
      <c r="F798">
        <v>0</v>
      </c>
      <c r="G798">
        <v>0</v>
      </c>
      <c r="H798">
        <v>736949.51</v>
      </c>
      <c r="I798">
        <v>736949.51</v>
      </c>
      <c r="J798" t="s">
        <v>184</v>
      </c>
    </row>
    <row r="799" spans="1:10" x14ac:dyDescent="0.35">
      <c r="A799">
        <v>610</v>
      </c>
      <c r="B799" t="s">
        <v>408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184</v>
      </c>
    </row>
    <row r="800" spans="1:10" x14ac:dyDescent="0.35">
      <c r="A800">
        <v>620</v>
      </c>
      <c r="B800" t="s">
        <v>379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184</v>
      </c>
    </row>
    <row r="801" spans="1:10" x14ac:dyDescent="0.35">
      <c r="A801">
        <v>700</v>
      </c>
      <c r="B801" t="s">
        <v>409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184</v>
      </c>
    </row>
    <row r="802" spans="1:10" x14ac:dyDescent="0.35">
      <c r="A802">
        <v>710</v>
      </c>
      <c r="B802" t="s">
        <v>410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184</v>
      </c>
    </row>
    <row r="803" spans="1:10" x14ac:dyDescent="0.35">
      <c r="A803">
        <v>720</v>
      </c>
      <c r="B803" t="s">
        <v>382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184</v>
      </c>
    </row>
    <row r="804" spans="1:10" x14ac:dyDescent="0.35">
      <c r="A804">
        <v>730</v>
      </c>
      <c r="B804" t="s">
        <v>383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184</v>
      </c>
    </row>
    <row r="805" spans="1:10" x14ac:dyDescent="0.35">
      <c r="A805">
        <v>740</v>
      </c>
      <c r="B805" t="s">
        <v>384</v>
      </c>
      <c r="C805">
        <v>42987404.469999999</v>
      </c>
      <c r="D805">
        <v>0</v>
      </c>
      <c r="E805">
        <v>42987404.469999999</v>
      </c>
      <c r="F805">
        <v>0</v>
      </c>
      <c r="G805">
        <v>-1217745.57</v>
      </c>
      <c r="H805">
        <v>42987404.469999999</v>
      </c>
      <c r="I805">
        <v>44205150.039999999</v>
      </c>
      <c r="J805" t="s">
        <v>184</v>
      </c>
    </row>
    <row r="806" spans="1:10" x14ac:dyDescent="0.35">
      <c r="A806">
        <v>750</v>
      </c>
      <c r="B806" t="s">
        <v>385</v>
      </c>
      <c r="C806">
        <v>4743437.96</v>
      </c>
      <c r="D806">
        <v>0</v>
      </c>
      <c r="E806">
        <v>4743437.96</v>
      </c>
      <c r="F806">
        <v>-1588960.39</v>
      </c>
      <c r="G806">
        <v>4743437.96</v>
      </c>
      <c r="H806">
        <v>6332398.3499999996</v>
      </c>
      <c r="I806">
        <v>0</v>
      </c>
      <c r="J806" t="s">
        <v>184</v>
      </c>
    </row>
    <row r="807" spans="1:10" x14ac:dyDescent="0.35">
      <c r="A807">
        <v>760</v>
      </c>
      <c r="B807" t="s">
        <v>386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184</v>
      </c>
    </row>
    <row r="808" spans="1:10" x14ac:dyDescent="0.35">
      <c r="A808">
        <v>770</v>
      </c>
      <c r="B808" t="s">
        <v>387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184</v>
      </c>
    </row>
    <row r="809" spans="1:10" x14ac:dyDescent="0.35">
      <c r="A809">
        <v>800</v>
      </c>
      <c r="B809" t="s">
        <v>388</v>
      </c>
      <c r="C809">
        <v>90906329.730000004</v>
      </c>
      <c r="D809">
        <v>0</v>
      </c>
      <c r="E809">
        <v>90906329.730000004</v>
      </c>
      <c r="F809">
        <v>-1588960.39</v>
      </c>
      <c r="G809">
        <v>3525692.39</v>
      </c>
      <c r="H809">
        <v>92495290.120000005</v>
      </c>
      <c r="I809">
        <v>87380637.340000004</v>
      </c>
      <c r="J809" t="s">
        <v>184</v>
      </c>
    </row>
    <row r="810" spans="1:10" x14ac:dyDescent="0.35">
      <c r="A810">
        <v>900</v>
      </c>
      <c r="B810" t="s">
        <v>389</v>
      </c>
      <c r="C810">
        <v>117536835.8</v>
      </c>
      <c r="D810">
        <v>0</v>
      </c>
      <c r="E810">
        <v>117536835.8</v>
      </c>
      <c r="F810">
        <v>-25267673.969999999</v>
      </c>
      <c r="G810">
        <v>-39139825.969999999</v>
      </c>
      <c r="H810">
        <v>142804509.77000001</v>
      </c>
      <c r="I810">
        <v>156676661.77000001</v>
      </c>
      <c r="J810" t="s">
        <v>184</v>
      </c>
    </row>
    <row r="811" spans="1:10" x14ac:dyDescent="0.35">
      <c r="A811">
        <v>1000</v>
      </c>
      <c r="B811" t="s">
        <v>411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184</v>
      </c>
    </row>
    <row r="812" spans="1:10" x14ac:dyDescent="0.35">
      <c r="A812" t="s">
        <v>242</v>
      </c>
      <c r="B812" t="s">
        <v>172</v>
      </c>
      <c r="C812" t="s">
        <v>390</v>
      </c>
      <c r="D812" t="s">
        <v>391</v>
      </c>
      <c r="E812" t="s">
        <v>392</v>
      </c>
      <c r="F812" t="s">
        <v>393</v>
      </c>
      <c r="G812" t="s">
        <v>394</v>
      </c>
      <c r="H812" t="s">
        <v>395</v>
      </c>
      <c r="I812" t="s">
        <v>396</v>
      </c>
      <c r="J812" t="s">
        <v>183</v>
      </c>
    </row>
    <row r="813" spans="1:10" x14ac:dyDescent="0.35">
      <c r="A813">
        <v>10</v>
      </c>
      <c r="B813" t="s">
        <v>397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184</v>
      </c>
    </row>
    <row r="814" spans="1:10" x14ac:dyDescent="0.35">
      <c r="A814">
        <v>20</v>
      </c>
      <c r="B814" t="s">
        <v>339</v>
      </c>
      <c r="C814">
        <v>16138614.539999999</v>
      </c>
      <c r="D814">
        <v>0</v>
      </c>
      <c r="E814">
        <v>16138614.539999999</v>
      </c>
      <c r="F814">
        <v>816045.68</v>
      </c>
      <c r="G814">
        <v>13542757.880000001</v>
      </c>
      <c r="H814">
        <v>15322568.859999999</v>
      </c>
      <c r="I814">
        <v>2595856.66</v>
      </c>
      <c r="J814" t="s">
        <v>184</v>
      </c>
    </row>
    <row r="815" spans="1:10" x14ac:dyDescent="0.35">
      <c r="A815">
        <v>30</v>
      </c>
      <c r="B815" t="s">
        <v>340</v>
      </c>
      <c r="C815">
        <v>257656.59</v>
      </c>
      <c r="D815">
        <v>0</v>
      </c>
      <c r="E815">
        <v>257656.59</v>
      </c>
      <c r="F815">
        <v>0</v>
      </c>
      <c r="G815">
        <v>0</v>
      </c>
      <c r="H815">
        <v>257656.59</v>
      </c>
      <c r="I815">
        <v>257656.59</v>
      </c>
      <c r="J815" t="s">
        <v>184</v>
      </c>
    </row>
    <row r="816" spans="1:10" x14ac:dyDescent="0.35">
      <c r="A816">
        <v>40</v>
      </c>
      <c r="B816" t="s">
        <v>341</v>
      </c>
      <c r="C816">
        <v>10744727.08</v>
      </c>
      <c r="D816">
        <v>0</v>
      </c>
      <c r="E816">
        <v>10744727.08</v>
      </c>
      <c r="F816">
        <v>-645072.18999999994</v>
      </c>
      <c r="G816">
        <v>-4551731.33</v>
      </c>
      <c r="H816">
        <v>11389799.27</v>
      </c>
      <c r="I816">
        <v>15296458.41</v>
      </c>
      <c r="J816" t="s">
        <v>184</v>
      </c>
    </row>
    <row r="817" spans="1:10" x14ac:dyDescent="0.35">
      <c r="A817">
        <v>50</v>
      </c>
      <c r="B817" t="s">
        <v>342</v>
      </c>
      <c r="C817">
        <v>119149.4</v>
      </c>
      <c r="D817">
        <v>0</v>
      </c>
      <c r="E817">
        <v>119149.4</v>
      </c>
      <c r="F817">
        <v>4475.7700000000004</v>
      </c>
      <c r="G817">
        <v>-151278.97</v>
      </c>
      <c r="H817">
        <v>114673.63</v>
      </c>
      <c r="I817">
        <v>270428.37</v>
      </c>
      <c r="J817" t="s">
        <v>184</v>
      </c>
    </row>
    <row r="818" spans="1:10" x14ac:dyDescent="0.35">
      <c r="A818">
        <v>60</v>
      </c>
      <c r="B818" t="s">
        <v>343</v>
      </c>
      <c r="C818">
        <v>2334958.37</v>
      </c>
      <c r="D818">
        <v>0</v>
      </c>
      <c r="E818">
        <v>2334958.37</v>
      </c>
      <c r="F818">
        <v>257503.74</v>
      </c>
      <c r="G818">
        <v>664985.89</v>
      </c>
      <c r="H818">
        <v>2077454.63</v>
      </c>
      <c r="I818">
        <v>1669972.48</v>
      </c>
      <c r="J818" t="s">
        <v>184</v>
      </c>
    </row>
    <row r="819" spans="1:10" x14ac:dyDescent="0.35">
      <c r="A819">
        <v>70</v>
      </c>
      <c r="B819" t="s">
        <v>344</v>
      </c>
      <c r="C819">
        <v>1982625.79</v>
      </c>
      <c r="D819">
        <v>0</v>
      </c>
      <c r="E819">
        <v>1982625.79</v>
      </c>
      <c r="F819">
        <v>-20443.09</v>
      </c>
      <c r="G819">
        <v>-1567839.22</v>
      </c>
      <c r="H819">
        <v>2003068.88</v>
      </c>
      <c r="I819">
        <v>3550465.01</v>
      </c>
      <c r="J819" t="s">
        <v>184</v>
      </c>
    </row>
    <row r="820" spans="1:10" x14ac:dyDescent="0.35">
      <c r="A820">
        <v>80</v>
      </c>
      <c r="B820" t="s">
        <v>412</v>
      </c>
      <c r="C820">
        <v>1935471.14</v>
      </c>
      <c r="D820">
        <v>0</v>
      </c>
      <c r="E820">
        <v>1935471.14</v>
      </c>
      <c r="F820">
        <v>-36679.910000000003</v>
      </c>
      <c r="G820">
        <v>-761260.14</v>
      </c>
      <c r="H820">
        <v>1972151.05</v>
      </c>
      <c r="I820">
        <v>2696731.28</v>
      </c>
      <c r="J820" t="s">
        <v>184</v>
      </c>
    </row>
    <row r="821" spans="1:10" x14ac:dyDescent="0.35">
      <c r="A821">
        <v>100</v>
      </c>
      <c r="B821" t="s">
        <v>399</v>
      </c>
      <c r="C821">
        <v>33513202.91</v>
      </c>
      <c r="D821">
        <v>0</v>
      </c>
      <c r="E821">
        <v>33513202.91</v>
      </c>
      <c r="F821">
        <v>375830</v>
      </c>
      <c r="G821">
        <v>7175634.1100000003</v>
      </c>
      <c r="H821">
        <v>33137372.91</v>
      </c>
      <c r="I821">
        <v>26337568.800000001</v>
      </c>
      <c r="J821" t="s">
        <v>184</v>
      </c>
    </row>
    <row r="822" spans="1:10" x14ac:dyDescent="0.35">
      <c r="A822">
        <v>110</v>
      </c>
      <c r="B822" t="s">
        <v>400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184</v>
      </c>
    </row>
    <row r="823" spans="1:10" x14ac:dyDescent="0.35">
      <c r="A823">
        <v>120</v>
      </c>
      <c r="B823" t="s">
        <v>348</v>
      </c>
      <c r="C823">
        <v>2471792.75</v>
      </c>
      <c r="D823">
        <v>0</v>
      </c>
      <c r="E823">
        <v>2471792.75</v>
      </c>
      <c r="F823">
        <v>0</v>
      </c>
      <c r="G823">
        <v>0</v>
      </c>
      <c r="H823">
        <v>2471792.75</v>
      </c>
      <c r="I823">
        <v>2471792.75</v>
      </c>
      <c r="J823" t="s">
        <v>184</v>
      </c>
    </row>
    <row r="824" spans="1:10" x14ac:dyDescent="0.35">
      <c r="A824">
        <v>130</v>
      </c>
      <c r="B824" t="s">
        <v>349</v>
      </c>
      <c r="C824">
        <v>6569479.7400000002</v>
      </c>
      <c r="D824">
        <v>0</v>
      </c>
      <c r="E824">
        <v>6569479.7400000002</v>
      </c>
      <c r="F824">
        <v>0</v>
      </c>
      <c r="G824">
        <v>3913554.03</v>
      </c>
      <c r="H824">
        <v>6569479.7400000002</v>
      </c>
      <c r="I824">
        <v>2655925.71</v>
      </c>
      <c r="J824" t="s">
        <v>184</v>
      </c>
    </row>
    <row r="825" spans="1:10" x14ac:dyDescent="0.35">
      <c r="A825">
        <v>140</v>
      </c>
      <c r="B825" t="s">
        <v>350</v>
      </c>
      <c r="C825">
        <v>1350580.46</v>
      </c>
      <c r="D825">
        <v>0</v>
      </c>
      <c r="E825">
        <v>1350580.46</v>
      </c>
      <c r="F825">
        <v>0</v>
      </c>
      <c r="G825">
        <v>16370.69</v>
      </c>
      <c r="H825">
        <v>1350580.46</v>
      </c>
      <c r="I825">
        <v>1334209.77</v>
      </c>
      <c r="J825" t="s">
        <v>184</v>
      </c>
    </row>
    <row r="826" spans="1:10" x14ac:dyDescent="0.35">
      <c r="A826">
        <v>150</v>
      </c>
      <c r="B826" t="s">
        <v>351</v>
      </c>
      <c r="C826">
        <v>965415.69</v>
      </c>
      <c r="D826">
        <v>0</v>
      </c>
      <c r="E826">
        <v>965415.69</v>
      </c>
      <c r="F826">
        <v>0</v>
      </c>
      <c r="G826">
        <v>0</v>
      </c>
      <c r="H826">
        <v>965415.69</v>
      </c>
      <c r="I826">
        <v>965415.69</v>
      </c>
      <c r="J826" t="s">
        <v>184</v>
      </c>
    </row>
    <row r="827" spans="1:10" x14ac:dyDescent="0.35">
      <c r="A827">
        <v>160</v>
      </c>
      <c r="B827" t="s">
        <v>352</v>
      </c>
      <c r="C827">
        <v>36003610.229999997</v>
      </c>
      <c r="D827">
        <v>0</v>
      </c>
      <c r="E827">
        <v>36003610.229999997</v>
      </c>
      <c r="F827">
        <v>959672.41</v>
      </c>
      <c r="G827">
        <v>4118990.48</v>
      </c>
      <c r="H827">
        <v>35043937.82</v>
      </c>
      <c r="I827">
        <v>31884619.75</v>
      </c>
      <c r="J827" t="s">
        <v>184</v>
      </c>
    </row>
    <row r="828" spans="1:10" x14ac:dyDescent="0.35">
      <c r="A828">
        <v>170</v>
      </c>
      <c r="B828" t="s">
        <v>353</v>
      </c>
      <c r="C828">
        <v>29014166.489999998</v>
      </c>
      <c r="D828">
        <v>0</v>
      </c>
      <c r="E828">
        <v>29014166.489999998</v>
      </c>
      <c r="F828">
        <v>18608</v>
      </c>
      <c r="G828">
        <v>1300251.74</v>
      </c>
      <c r="H828">
        <v>28995558.489999998</v>
      </c>
      <c r="I828">
        <v>27713914.75</v>
      </c>
      <c r="J828" t="s">
        <v>184</v>
      </c>
    </row>
    <row r="829" spans="1:10" x14ac:dyDescent="0.35">
      <c r="A829">
        <v>180</v>
      </c>
      <c r="B829" t="s">
        <v>354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184</v>
      </c>
    </row>
    <row r="830" spans="1:10" x14ac:dyDescent="0.35">
      <c r="A830">
        <v>190</v>
      </c>
      <c r="B830" t="s">
        <v>355</v>
      </c>
      <c r="C830">
        <v>-54065063.119999997</v>
      </c>
      <c r="D830">
        <v>0</v>
      </c>
      <c r="E830">
        <v>-54065063.119999997</v>
      </c>
      <c r="F830">
        <v>-355089</v>
      </c>
      <c r="G830">
        <v>-2593918.19</v>
      </c>
      <c r="H830">
        <v>-53709974.119999997</v>
      </c>
      <c r="I830">
        <v>-51471144.93</v>
      </c>
      <c r="J830" t="s">
        <v>184</v>
      </c>
    </row>
    <row r="831" spans="1:10" x14ac:dyDescent="0.35">
      <c r="A831">
        <v>200</v>
      </c>
      <c r="B831" t="s">
        <v>356</v>
      </c>
      <c r="C831">
        <v>22309982.239999998</v>
      </c>
      <c r="D831">
        <v>0</v>
      </c>
      <c r="E831">
        <v>22309982.239999998</v>
      </c>
      <c r="F831">
        <v>623191.41</v>
      </c>
      <c r="G831">
        <v>6755248.75</v>
      </c>
      <c r="H831">
        <v>21686790.829999998</v>
      </c>
      <c r="I831">
        <v>15554733.49</v>
      </c>
      <c r="J831" t="s">
        <v>184</v>
      </c>
    </row>
    <row r="832" spans="1:10" x14ac:dyDescent="0.35">
      <c r="A832">
        <v>210</v>
      </c>
      <c r="B832" t="s">
        <v>401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184</v>
      </c>
    </row>
    <row r="833" spans="1:10" x14ac:dyDescent="0.35">
      <c r="A833">
        <v>220</v>
      </c>
      <c r="B833" t="s">
        <v>358</v>
      </c>
      <c r="C833">
        <v>163750.17000000001</v>
      </c>
      <c r="D833">
        <v>0</v>
      </c>
      <c r="E833">
        <v>163750.17000000001</v>
      </c>
      <c r="F833">
        <v>0</v>
      </c>
      <c r="G833">
        <v>0</v>
      </c>
      <c r="H833">
        <v>163750.17000000001</v>
      </c>
      <c r="I833">
        <v>163750.17000000001</v>
      </c>
      <c r="J833" t="s">
        <v>184</v>
      </c>
    </row>
    <row r="834" spans="1:10" x14ac:dyDescent="0.35">
      <c r="A834">
        <v>230</v>
      </c>
      <c r="B834" t="s">
        <v>359</v>
      </c>
      <c r="C834">
        <v>1241498.1100000001</v>
      </c>
      <c r="D834">
        <v>0</v>
      </c>
      <c r="E834">
        <v>1241498.1100000001</v>
      </c>
      <c r="F834">
        <v>0</v>
      </c>
      <c r="G834">
        <v>-4811110.09</v>
      </c>
      <c r="H834">
        <v>1241498.1100000001</v>
      </c>
      <c r="I834">
        <v>6052608.2000000002</v>
      </c>
      <c r="J834" t="s">
        <v>184</v>
      </c>
    </row>
    <row r="835" spans="1:10" x14ac:dyDescent="0.35">
      <c r="A835">
        <v>240</v>
      </c>
      <c r="B835" t="s">
        <v>360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184</v>
      </c>
    </row>
    <row r="836" spans="1:10" x14ac:dyDescent="0.35">
      <c r="A836">
        <v>250</v>
      </c>
      <c r="B836" t="s">
        <v>361</v>
      </c>
      <c r="C836">
        <v>1405248.28</v>
      </c>
      <c r="D836">
        <v>0</v>
      </c>
      <c r="E836">
        <v>1405248.28</v>
      </c>
      <c r="F836">
        <v>0</v>
      </c>
      <c r="G836">
        <v>-4811110.09</v>
      </c>
      <c r="H836">
        <v>1405248.28</v>
      </c>
      <c r="I836">
        <v>6216358.3700000001</v>
      </c>
      <c r="J836" t="s">
        <v>184</v>
      </c>
    </row>
    <row r="837" spans="1:10" x14ac:dyDescent="0.35">
      <c r="A837">
        <v>260</v>
      </c>
      <c r="B837" t="s">
        <v>362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184</v>
      </c>
    </row>
    <row r="838" spans="1:10" x14ac:dyDescent="0.35">
      <c r="A838">
        <v>270</v>
      </c>
      <c r="B838" t="s">
        <v>363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184</v>
      </c>
    </row>
    <row r="839" spans="1:10" x14ac:dyDescent="0.35">
      <c r="A839">
        <v>280</v>
      </c>
      <c r="B839" t="s">
        <v>402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184</v>
      </c>
    </row>
    <row r="840" spans="1:10" x14ac:dyDescent="0.35">
      <c r="A840">
        <v>400</v>
      </c>
      <c r="B840" t="s">
        <v>365</v>
      </c>
      <c r="C840">
        <v>57228433.43</v>
      </c>
      <c r="D840">
        <v>0</v>
      </c>
      <c r="E840">
        <v>57228433.43</v>
      </c>
      <c r="F840">
        <v>999021.41</v>
      </c>
      <c r="G840">
        <v>9119772.7699999996</v>
      </c>
      <c r="H840">
        <v>56229412.020000003</v>
      </c>
      <c r="I840">
        <v>48108660.659999996</v>
      </c>
      <c r="J840" t="s">
        <v>184</v>
      </c>
    </row>
    <row r="841" spans="1:10" x14ac:dyDescent="0.35">
      <c r="A841">
        <v>410</v>
      </c>
      <c r="B841" t="s">
        <v>403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184</v>
      </c>
    </row>
    <row r="842" spans="1:10" x14ac:dyDescent="0.35">
      <c r="A842">
        <v>420</v>
      </c>
      <c r="B842" t="s">
        <v>367</v>
      </c>
      <c r="C842">
        <v>143633.65</v>
      </c>
      <c r="D842">
        <v>0</v>
      </c>
      <c r="E842">
        <v>143633.65</v>
      </c>
      <c r="F842">
        <v>-628050.5</v>
      </c>
      <c r="G842">
        <v>-7699215.6200000001</v>
      </c>
      <c r="H842">
        <v>771684.15</v>
      </c>
      <c r="I842">
        <v>7842849.2699999996</v>
      </c>
      <c r="J842" t="s">
        <v>184</v>
      </c>
    </row>
    <row r="843" spans="1:10" x14ac:dyDescent="0.35">
      <c r="A843">
        <v>430</v>
      </c>
      <c r="B843" t="s">
        <v>368</v>
      </c>
      <c r="C843">
        <v>302381.94</v>
      </c>
      <c r="D843">
        <v>0</v>
      </c>
      <c r="E843">
        <v>302381.94</v>
      </c>
      <c r="F843">
        <v>8100</v>
      </c>
      <c r="G843">
        <v>-308668.76</v>
      </c>
      <c r="H843">
        <v>294281.94</v>
      </c>
      <c r="I843">
        <v>611050.69999999995</v>
      </c>
      <c r="J843" t="s">
        <v>184</v>
      </c>
    </row>
    <row r="844" spans="1:10" x14ac:dyDescent="0.35">
      <c r="A844">
        <v>440</v>
      </c>
      <c r="B844" t="s">
        <v>369</v>
      </c>
      <c r="C844">
        <v>1908722.94</v>
      </c>
      <c r="D844">
        <v>0</v>
      </c>
      <c r="E844">
        <v>1908722.94</v>
      </c>
      <c r="F844">
        <v>0</v>
      </c>
      <c r="G844">
        <v>-239804.06</v>
      </c>
      <c r="H844">
        <v>1908722.94</v>
      </c>
      <c r="I844">
        <v>2148527</v>
      </c>
      <c r="J844" t="s">
        <v>184</v>
      </c>
    </row>
    <row r="845" spans="1:10" x14ac:dyDescent="0.35">
      <c r="A845">
        <v>450</v>
      </c>
      <c r="B845" t="s">
        <v>370</v>
      </c>
      <c r="C845">
        <v>1218631.3899999999</v>
      </c>
      <c r="D845">
        <v>0</v>
      </c>
      <c r="E845">
        <v>1218631.3899999999</v>
      </c>
      <c r="F845">
        <v>-234672.72</v>
      </c>
      <c r="G845">
        <v>-2039191.89</v>
      </c>
      <c r="H845">
        <v>1453304.11</v>
      </c>
      <c r="I845">
        <v>3257823.28</v>
      </c>
      <c r="J845" t="s">
        <v>184</v>
      </c>
    </row>
    <row r="846" spans="1:10" x14ac:dyDescent="0.35">
      <c r="A846">
        <v>460</v>
      </c>
      <c r="B846" t="s">
        <v>413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184</v>
      </c>
    </row>
    <row r="847" spans="1:10" x14ac:dyDescent="0.35">
      <c r="A847">
        <v>500</v>
      </c>
      <c r="B847" t="s">
        <v>372</v>
      </c>
      <c r="C847">
        <v>3573369.92</v>
      </c>
      <c r="D847">
        <v>0</v>
      </c>
      <c r="E847">
        <v>3573369.92</v>
      </c>
      <c r="F847">
        <v>-854623.22</v>
      </c>
      <c r="G847">
        <v>-10286880.33</v>
      </c>
      <c r="H847">
        <v>4427993.1399999997</v>
      </c>
      <c r="I847">
        <v>13860250.25</v>
      </c>
      <c r="J847" t="s">
        <v>184</v>
      </c>
    </row>
    <row r="848" spans="1:10" x14ac:dyDescent="0.35">
      <c r="A848">
        <v>510</v>
      </c>
      <c r="B848" t="s">
        <v>406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184</v>
      </c>
    </row>
    <row r="849" spans="1:10" x14ac:dyDescent="0.35">
      <c r="A849">
        <v>520</v>
      </c>
      <c r="B849" t="s">
        <v>374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184</v>
      </c>
    </row>
    <row r="850" spans="1:10" x14ac:dyDescent="0.35">
      <c r="A850">
        <v>530</v>
      </c>
      <c r="B850" t="s">
        <v>375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184</v>
      </c>
    </row>
    <row r="851" spans="1:10" x14ac:dyDescent="0.35">
      <c r="A851">
        <v>540</v>
      </c>
      <c r="B851" t="s">
        <v>376</v>
      </c>
      <c r="C851">
        <v>312178.27</v>
      </c>
      <c r="D851">
        <v>0</v>
      </c>
      <c r="E851">
        <v>312178.27</v>
      </c>
      <c r="F851">
        <v>28424.23</v>
      </c>
      <c r="G851">
        <v>312178.27</v>
      </c>
      <c r="H851">
        <v>283754.03999999998</v>
      </c>
      <c r="I851">
        <v>0</v>
      </c>
      <c r="J851" t="s">
        <v>184</v>
      </c>
    </row>
    <row r="852" spans="1:10" x14ac:dyDescent="0.35">
      <c r="A852">
        <v>600</v>
      </c>
      <c r="B852" t="s">
        <v>377</v>
      </c>
      <c r="C852">
        <v>312178.27</v>
      </c>
      <c r="D852">
        <v>0</v>
      </c>
      <c r="E852">
        <v>312178.27</v>
      </c>
      <c r="F852">
        <v>28424.23</v>
      </c>
      <c r="G852">
        <v>312178.27</v>
      </c>
      <c r="H852">
        <v>283754.03999999998</v>
      </c>
      <c r="I852">
        <v>0</v>
      </c>
      <c r="J852" t="s">
        <v>184</v>
      </c>
    </row>
    <row r="853" spans="1:10" x14ac:dyDescent="0.35">
      <c r="A853">
        <v>610</v>
      </c>
      <c r="B853" t="s">
        <v>408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184</v>
      </c>
    </row>
    <row r="854" spans="1:10" x14ac:dyDescent="0.35">
      <c r="A854">
        <v>620</v>
      </c>
      <c r="B854" t="s">
        <v>379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184</v>
      </c>
    </row>
    <row r="855" spans="1:10" x14ac:dyDescent="0.35">
      <c r="A855">
        <v>700</v>
      </c>
      <c r="B855" t="s">
        <v>409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184</v>
      </c>
    </row>
    <row r="856" spans="1:10" x14ac:dyDescent="0.35">
      <c r="A856">
        <v>710</v>
      </c>
      <c r="B856" t="s">
        <v>410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184</v>
      </c>
    </row>
    <row r="857" spans="1:10" x14ac:dyDescent="0.35">
      <c r="A857">
        <v>720</v>
      </c>
      <c r="B857" t="s">
        <v>382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184</v>
      </c>
    </row>
    <row r="858" spans="1:10" x14ac:dyDescent="0.35">
      <c r="A858">
        <v>730</v>
      </c>
      <c r="B858" t="s">
        <v>383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184</v>
      </c>
    </row>
    <row r="859" spans="1:10" x14ac:dyDescent="0.35">
      <c r="A859">
        <v>740</v>
      </c>
      <c r="B859" t="s">
        <v>384</v>
      </c>
      <c r="C859">
        <v>-11811613.689999999</v>
      </c>
      <c r="D859">
        <v>0</v>
      </c>
      <c r="E859">
        <v>-11811613.689999999</v>
      </c>
      <c r="F859">
        <v>0</v>
      </c>
      <c r="G859">
        <v>-413788.2</v>
      </c>
      <c r="H859">
        <v>-11811613.689999999</v>
      </c>
      <c r="I859">
        <v>-11397825.49</v>
      </c>
      <c r="J859" t="s">
        <v>184</v>
      </c>
    </row>
    <row r="860" spans="1:10" x14ac:dyDescent="0.35">
      <c r="A860">
        <v>750</v>
      </c>
      <c r="B860" t="s">
        <v>385</v>
      </c>
      <c r="C860">
        <v>20859631.030000001</v>
      </c>
      <c r="D860">
        <v>0</v>
      </c>
      <c r="E860">
        <v>20859631.030000001</v>
      </c>
      <c r="F860">
        <v>1825220.4</v>
      </c>
      <c r="G860">
        <v>20859631.030000001</v>
      </c>
      <c r="H860">
        <v>19034410.629999999</v>
      </c>
      <c r="I860">
        <v>0</v>
      </c>
      <c r="J860" t="s">
        <v>184</v>
      </c>
    </row>
    <row r="861" spans="1:10" x14ac:dyDescent="0.35">
      <c r="A861">
        <v>760</v>
      </c>
      <c r="B861" t="s">
        <v>386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184</v>
      </c>
    </row>
    <row r="862" spans="1:10" x14ac:dyDescent="0.35">
      <c r="A862">
        <v>770</v>
      </c>
      <c r="B862" t="s">
        <v>387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184</v>
      </c>
    </row>
    <row r="863" spans="1:10" x14ac:dyDescent="0.35">
      <c r="A863">
        <v>800</v>
      </c>
      <c r="B863" t="s">
        <v>388</v>
      </c>
      <c r="C863">
        <v>54694253.240000002</v>
      </c>
      <c r="D863">
        <v>0</v>
      </c>
      <c r="E863">
        <v>54694253.240000002</v>
      </c>
      <c r="F863">
        <v>1825220.4</v>
      </c>
      <c r="G863">
        <v>20445842.829999998</v>
      </c>
      <c r="H863">
        <v>52869032.840000004</v>
      </c>
      <c r="I863">
        <v>34248410.409999996</v>
      </c>
      <c r="J863" t="s">
        <v>184</v>
      </c>
    </row>
    <row r="864" spans="1:10" x14ac:dyDescent="0.35">
      <c r="A864">
        <v>900</v>
      </c>
      <c r="B864" t="s">
        <v>389</v>
      </c>
      <c r="C864">
        <v>58579801.43</v>
      </c>
      <c r="D864">
        <v>0</v>
      </c>
      <c r="E864">
        <v>58579801.43</v>
      </c>
      <c r="F864">
        <v>999021.41</v>
      </c>
      <c r="G864">
        <v>10471140.77</v>
      </c>
      <c r="H864">
        <v>57580780.020000003</v>
      </c>
      <c r="I864">
        <v>48108660.659999996</v>
      </c>
      <c r="J864" t="s">
        <v>184</v>
      </c>
    </row>
    <row r="865" spans="1:10" x14ac:dyDescent="0.35">
      <c r="A865">
        <v>1000</v>
      </c>
      <c r="B865" t="s">
        <v>411</v>
      </c>
      <c r="C865">
        <v>-1351368</v>
      </c>
      <c r="D865">
        <v>0</v>
      </c>
      <c r="E865">
        <v>-1351368</v>
      </c>
      <c r="F865">
        <v>0</v>
      </c>
      <c r="G865">
        <v>-1351368</v>
      </c>
      <c r="H865">
        <v>-1351368</v>
      </c>
      <c r="I865">
        <v>0</v>
      </c>
      <c r="J865" t="s">
        <v>184</v>
      </c>
    </row>
    <row r="866" spans="1:10" x14ac:dyDescent="0.35">
      <c r="A866" t="s">
        <v>246</v>
      </c>
      <c r="B866" t="s">
        <v>172</v>
      </c>
      <c r="C866" t="s">
        <v>390</v>
      </c>
      <c r="D866" t="s">
        <v>391</v>
      </c>
      <c r="E866" t="s">
        <v>392</v>
      </c>
      <c r="F866" t="s">
        <v>393</v>
      </c>
      <c r="G866" t="s">
        <v>394</v>
      </c>
      <c r="H866" t="s">
        <v>395</v>
      </c>
      <c r="I866" t="s">
        <v>396</v>
      </c>
      <c r="J866" t="s">
        <v>183</v>
      </c>
    </row>
    <row r="867" spans="1:10" x14ac:dyDescent="0.35">
      <c r="A867">
        <v>10</v>
      </c>
      <c r="B867" t="s">
        <v>397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184</v>
      </c>
    </row>
    <row r="868" spans="1:10" x14ac:dyDescent="0.35">
      <c r="A868">
        <v>20</v>
      </c>
      <c r="B868" t="s">
        <v>339</v>
      </c>
      <c r="C868">
        <v>389715.3</v>
      </c>
      <c r="D868">
        <v>0</v>
      </c>
      <c r="E868">
        <v>389715.3</v>
      </c>
      <c r="F868">
        <v>-594746.88</v>
      </c>
      <c r="G868">
        <v>-25931.55</v>
      </c>
      <c r="H868">
        <v>984462.18</v>
      </c>
      <c r="I868">
        <v>415646.85</v>
      </c>
      <c r="J868" t="s">
        <v>184</v>
      </c>
    </row>
    <row r="869" spans="1:10" x14ac:dyDescent="0.35">
      <c r="A869">
        <v>30</v>
      </c>
      <c r="B869" t="s">
        <v>340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184</v>
      </c>
    </row>
    <row r="870" spans="1:10" x14ac:dyDescent="0.35">
      <c r="A870">
        <v>40</v>
      </c>
      <c r="B870" t="s">
        <v>341</v>
      </c>
      <c r="C870">
        <v>20870476.510000002</v>
      </c>
      <c r="D870">
        <v>0</v>
      </c>
      <c r="E870">
        <v>20870476.510000002</v>
      </c>
      <c r="F870">
        <v>5927734.6799999997</v>
      </c>
      <c r="G870">
        <v>7192192.5</v>
      </c>
      <c r="H870">
        <v>14942741.83</v>
      </c>
      <c r="I870">
        <v>13678284.01</v>
      </c>
      <c r="J870" t="s">
        <v>184</v>
      </c>
    </row>
    <row r="871" spans="1:10" x14ac:dyDescent="0.35">
      <c r="A871">
        <v>50</v>
      </c>
      <c r="B871" t="s">
        <v>342</v>
      </c>
      <c r="C871">
        <v>10359886.880000001</v>
      </c>
      <c r="D871">
        <v>0</v>
      </c>
      <c r="E871">
        <v>10359886.880000001</v>
      </c>
      <c r="F871">
        <v>-5826089.1799999997</v>
      </c>
      <c r="G871">
        <v>-14993686.4</v>
      </c>
      <c r="H871">
        <v>16185976.060000001</v>
      </c>
      <c r="I871">
        <v>25353573.280000001</v>
      </c>
      <c r="J871" t="s">
        <v>184</v>
      </c>
    </row>
    <row r="872" spans="1:10" x14ac:dyDescent="0.35">
      <c r="A872">
        <v>60</v>
      </c>
      <c r="B872" t="s">
        <v>343</v>
      </c>
      <c r="C872">
        <v>2954439.98</v>
      </c>
      <c r="D872">
        <v>0</v>
      </c>
      <c r="E872">
        <v>2954439.98</v>
      </c>
      <c r="F872">
        <v>1614006.27</v>
      </c>
      <c r="G872">
        <v>-826545.37</v>
      </c>
      <c r="H872">
        <v>1340433.71</v>
      </c>
      <c r="I872">
        <v>3780985.35</v>
      </c>
      <c r="J872" t="s">
        <v>184</v>
      </c>
    </row>
    <row r="873" spans="1:10" x14ac:dyDescent="0.35">
      <c r="A873">
        <v>70</v>
      </c>
      <c r="B873" t="s">
        <v>344</v>
      </c>
      <c r="C873">
        <v>440120</v>
      </c>
      <c r="D873">
        <v>0</v>
      </c>
      <c r="E873">
        <v>440120</v>
      </c>
      <c r="F873">
        <v>0</v>
      </c>
      <c r="G873">
        <v>0</v>
      </c>
      <c r="H873">
        <v>440120</v>
      </c>
      <c r="I873">
        <v>440120</v>
      </c>
      <c r="J873" t="s">
        <v>184</v>
      </c>
    </row>
    <row r="874" spans="1:10" x14ac:dyDescent="0.35">
      <c r="A874">
        <v>80</v>
      </c>
      <c r="B874" t="s">
        <v>398</v>
      </c>
      <c r="C874">
        <v>48856.54</v>
      </c>
      <c r="D874">
        <v>0</v>
      </c>
      <c r="E874">
        <v>48856.54</v>
      </c>
      <c r="F874">
        <v>337948.56</v>
      </c>
      <c r="G874">
        <v>-1724358.94</v>
      </c>
      <c r="H874">
        <v>-289092.02</v>
      </c>
      <c r="I874">
        <v>1773215.48</v>
      </c>
      <c r="J874" t="s">
        <v>184</v>
      </c>
    </row>
    <row r="875" spans="1:10" x14ac:dyDescent="0.35">
      <c r="A875">
        <v>100</v>
      </c>
      <c r="B875" t="s">
        <v>399</v>
      </c>
      <c r="C875">
        <v>35076356.840000004</v>
      </c>
      <c r="D875">
        <v>0</v>
      </c>
      <c r="E875">
        <v>35076356.840000004</v>
      </c>
      <c r="F875">
        <v>1458853.45</v>
      </c>
      <c r="G875">
        <v>-10378329.76</v>
      </c>
      <c r="H875">
        <v>33617503.390000001</v>
      </c>
      <c r="I875">
        <v>45454686.600000001</v>
      </c>
      <c r="J875" t="s">
        <v>184</v>
      </c>
    </row>
    <row r="876" spans="1:10" x14ac:dyDescent="0.35">
      <c r="A876">
        <v>110</v>
      </c>
      <c r="B876" t="s">
        <v>400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184</v>
      </c>
    </row>
    <row r="877" spans="1:10" x14ac:dyDescent="0.35">
      <c r="A877">
        <v>120</v>
      </c>
      <c r="B877" t="s">
        <v>348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184</v>
      </c>
    </row>
    <row r="878" spans="1:10" x14ac:dyDescent="0.35">
      <c r="A878">
        <v>130</v>
      </c>
      <c r="B878" t="s">
        <v>349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184</v>
      </c>
    </row>
    <row r="879" spans="1:10" x14ac:dyDescent="0.35">
      <c r="A879">
        <v>140</v>
      </c>
      <c r="B879" t="s">
        <v>350</v>
      </c>
      <c r="C879">
        <v>492704.54</v>
      </c>
      <c r="D879">
        <v>0</v>
      </c>
      <c r="E879">
        <v>492704.54</v>
      </c>
      <c r="F879">
        <v>0</v>
      </c>
      <c r="G879">
        <v>34645.86</v>
      </c>
      <c r="H879">
        <v>492704.54</v>
      </c>
      <c r="I879">
        <v>458058.68</v>
      </c>
      <c r="J879" t="s">
        <v>184</v>
      </c>
    </row>
    <row r="880" spans="1:10" x14ac:dyDescent="0.35">
      <c r="A880">
        <v>150</v>
      </c>
      <c r="B880" t="s">
        <v>351</v>
      </c>
      <c r="C880">
        <v>6010461.4299999997</v>
      </c>
      <c r="D880">
        <v>0</v>
      </c>
      <c r="E880">
        <v>6010461.4299999997</v>
      </c>
      <c r="F880">
        <v>0</v>
      </c>
      <c r="G880">
        <v>16292.41</v>
      </c>
      <c r="H880">
        <v>6010461.4299999997</v>
      </c>
      <c r="I880">
        <v>5994169.0199999996</v>
      </c>
      <c r="J880" t="s">
        <v>184</v>
      </c>
    </row>
    <row r="881" spans="1:10" x14ac:dyDescent="0.35">
      <c r="A881">
        <v>160</v>
      </c>
      <c r="B881" t="s">
        <v>352</v>
      </c>
      <c r="C881">
        <v>34139969.649999999</v>
      </c>
      <c r="D881">
        <v>0</v>
      </c>
      <c r="E881">
        <v>34139969.649999999</v>
      </c>
      <c r="F881">
        <v>752836.21</v>
      </c>
      <c r="G881">
        <v>3443043.11</v>
      </c>
      <c r="H881">
        <v>33387133.440000001</v>
      </c>
      <c r="I881">
        <v>30696926.539999999</v>
      </c>
      <c r="J881" t="s">
        <v>184</v>
      </c>
    </row>
    <row r="882" spans="1:10" x14ac:dyDescent="0.35">
      <c r="A882">
        <v>170</v>
      </c>
      <c r="B882" t="s">
        <v>353</v>
      </c>
      <c r="C882">
        <v>10098420.91</v>
      </c>
      <c r="D882">
        <v>0</v>
      </c>
      <c r="E882">
        <v>10098420.91</v>
      </c>
      <c r="F882">
        <v>0</v>
      </c>
      <c r="G882">
        <v>771494.92</v>
      </c>
      <c r="H882">
        <v>10098420.91</v>
      </c>
      <c r="I882">
        <v>9326925.9900000002</v>
      </c>
      <c r="J882" t="s">
        <v>184</v>
      </c>
    </row>
    <row r="883" spans="1:10" x14ac:dyDescent="0.35">
      <c r="A883">
        <v>180</v>
      </c>
      <c r="B883" t="s">
        <v>354</v>
      </c>
      <c r="C883">
        <v>8177872.0800000001</v>
      </c>
      <c r="D883">
        <v>0</v>
      </c>
      <c r="E883">
        <v>8177872.0800000001</v>
      </c>
      <c r="F883">
        <v>19007.93</v>
      </c>
      <c r="G883">
        <v>363287.91</v>
      </c>
      <c r="H883">
        <v>8158864.1500000004</v>
      </c>
      <c r="I883">
        <v>7814584.1699999999</v>
      </c>
      <c r="J883" t="s">
        <v>184</v>
      </c>
    </row>
    <row r="884" spans="1:10" x14ac:dyDescent="0.35">
      <c r="A884">
        <v>190</v>
      </c>
      <c r="B884" t="s">
        <v>355</v>
      </c>
      <c r="C884">
        <v>-26496099.440000001</v>
      </c>
      <c r="D884">
        <v>0</v>
      </c>
      <c r="E884">
        <v>-26496099.440000001</v>
      </c>
      <c r="F884">
        <v>-351605.84</v>
      </c>
      <c r="G884">
        <v>-3635367.16</v>
      </c>
      <c r="H884">
        <v>-26144493.600000001</v>
      </c>
      <c r="I884">
        <v>-22860732.280000001</v>
      </c>
      <c r="J884" t="s">
        <v>184</v>
      </c>
    </row>
    <row r="885" spans="1:10" x14ac:dyDescent="0.35">
      <c r="A885">
        <v>200</v>
      </c>
      <c r="B885" t="s">
        <v>356</v>
      </c>
      <c r="C885">
        <v>36183587.659999996</v>
      </c>
      <c r="D885">
        <v>0</v>
      </c>
      <c r="E885">
        <v>36183587.659999996</v>
      </c>
      <c r="F885">
        <v>420238.3</v>
      </c>
      <c r="G885">
        <v>993397.05</v>
      </c>
      <c r="H885">
        <v>35763349.359999999</v>
      </c>
      <c r="I885">
        <v>35190190.609999999</v>
      </c>
      <c r="J885" t="s">
        <v>184</v>
      </c>
    </row>
    <row r="886" spans="1:10" x14ac:dyDescent="0.35">
      <c r="A886">
        <v>210</v>
      </c>
      <c r="B886" t="s">
        <v>401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184</v>
      </c>
    </row>
    <row r="887" spans="1:10" x14ac:dyDescent="0.35">
      <c r="A887">
        <v>220</v>
      </c>
      <c r="B887" t="s">
        <v>358</v>
      </c>
      <c r="C887">
        <v>42675.41</v>
      </c>
      <c r="D887">
        <v>0</v>
      </c>
      <c r="E887">
        <v>42675.41</v>
      </c>
      <c r="F887">
        <v>0</v>
      </c>
      <c r="G887">
        <v>0</v>
      </c>
      <c r="H887">
        <v>42675.41</v>
      </c>
      <c r="I887">
        <v>42675.41</v>
      </c>
      <c r="J887" t="s">
        <v>184</v>
      </c>
    </row>
    <row r="888" spans="1:10" x14ac:dyDescent="0.35">
      <c r="A888">
        <v>230</v>
      </c>
      <c r="B888" t="s">
        <v>359</v>
      </c>
      <c r="C888">
        <v>2589066.0099999998</v>
      </c>
      <c r="D888">
        <v>0</v>
      </c>
      <c r="E888">
        <v>2589066.0099999998</v>
      </c>
      <c r="F888">
        <v>0</v>
      </c>
      <c r="G888">
        <v>8286.66</v>
      </c>
      <c r="H888">
        <v>2589066.0099999998</v>
      </c>
      <c r="I888">
        <v>2580779.35</v>
      </c>
      <c r="J888" t="s">
        <v>184</v>
      </c>
    </row>
    <row r="889" spans="1:10" x14ac:dyDescent="0.35">
      <c r="A889">
        <v>240</v>
      </c>
      <c r="B889" t="s">
        <v>360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184</v>
      </c>
    </row>
    <row r="890" spans="1:10" x14ac:dyDescent="0.35">
      <c r="A890">
        <v>250</v>
      </c>
      <c r="B890" t="s">
        <v>361</v>
      </c>
      <c r="C890">
        <v>2631741.42</v>
      </c>
      <c r="D890">
        <v>0</v>
      </c>
      <c r="E890">
        <v>2631741.42</v>
      </c>
      <c r="F890">
        <v>0</v>
      </c>
      <c r="G890">
        <v>8286.66</v>
      </c>
      <c r="H890">
        <v>2631741.42</v>
      </c>
      <c r="I890">
        <v>2623454.7599999998</v>
      </c>
      <c r="J890" t="s">
        <v>184</v>
      </c>
    </row>
    <row r="891" spans="1:10" x14ac:dyDescent="0.35">
      <c r="A891">
        <v>260</v>
      </c>
      <c r="B891" t="s">
        <v>362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184</v>
      </c>
    </row>
    <row r="892" spans="1:10" x14ac:dyDescent="0.35">
      <c r="A892">
        <v>270</v>
      </c>
      <c r="B892" t="s">
        <v>363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184</v>
      </c>
    </row>
    <row r="893" spans="1:10" x14ac:dyDescent="0.35">
      <c r="A893">
        <v>280</v>
      </c>
      <c r="B893" t="s">
        <v>402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184</v>
      </c>
    </row>
    <row r="894" spans="1:10" x14ac:dyDescent="0.35">
      <c r="A894">
        <v>400</v>
      </c>
      <c r="B894" t="s">
        <v>365</v>
      </c>
      <c r="C894">
        <v>73891685.920000002</v>
      </c>
      <c r="D894">
        <v>0</v>
      </c>
      <c r="E894">
        <v>73891685.920000002</v>
      </c>
      <c r="F894">
        <v>1879091.75</v>
      </c>
      <c r="G894">
        <v>-9376646.0500000007</v>
      </c>
      <c r="H894">
        <v>72012594.170000002</v>
      </c>
      <c r="I894">
        <v>83268331.969999999</v>
      </c>
      <c r="J894" t="s">
        <v>184</v>
      </c>
    </row>
    <row r="895" spans="1:10" x14ac:dyDescent="0.35">
      <c r="A895">
        <v>410</v>
      </c>
      <c r="B895" t="s">
        <v>403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184</v>
      </c>
    </row>
    <row r="896" spans="1:10" x14ac:dyDescent="0.35">
      <c r="A896">
        <v>420</v>
      </c>
      <c r="B896" t="s">
        <v>367</v>
      </c>
      <c r="C896">
        <v>3946877.2</v>
      </c>
      <c r="D896">
        <v>0</v>
      </c>
      <c r="E896">
        <v>3946877.2</v>
      </c>
      <c r="F896">
        <v>2825820.92</v>
      </c>
      <c r="G896">
        <v>-12903258.310000001</v>
      </c>
      <c r="H896">
        <v>1121056.28</v>
      </c>
      <c r="I896">
        <v>16850135.510000002</v>
      </c>
      <c r="J896" t="s">
        <v>184</v>
      </c>
    </row>
    <row r="897" spans="1:10" x14ac:dyDescent="0.35">
      <c r="A897">
        <v>430</v>
      </c>
      <c r="B897" t="s">
        <v>368</v>
      </c>
      <c r="C897">
        <v>3749397.89</v>
      </c>
      <c r="D897">
        <v>0</v>
      </c>
      <c r="E897">
        <v>3749397.89</v>
      </c>
      <c r="F897">
        <v>-1334911.29</v>
      </c>
      <c r="G897">
        <v>8593910.4000000004</v>
      </c>
      <c r="H897">
        <v>5084309.18</v>
      </c>
      <c r="I897">
        <v>-4844512.51</v>
      </c>
      <c r="J897" t="s">
        <v>184</v>
      </c>
    </row>
    <row r="898" spans="1:10" x14ac:dyDescent="0.35">
      <c r="A898">
        <v>440</v>
      </c>
      <c r="B898" t="s">
        <v>369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184</v>
      </c>
    </row>
    <row r="899" spans="1:10" x14ac:dyDescent="0.35">
      <c r="A899">
        <v>450</v>
      </c>
      <c r="B899" t="s">
        <v>404</v>
      </c>
      <c r="C899">
        <v>4350822.58</v>
      </c>
      <c r="D899">
        <v>0</v>
      </c>
      <c r="E899">
        <v>4350822.58</v>
      </c>
      <c r="F899">
        <v>-403860.76</v>
      </c>
      <c r="G899">
        <v>-5084765.92</v>
      </c>
      <c r="H899">
        <v>4754683.34</v>
      </c>
      <c r="I899">
        <v>9435588.5</v>
      </c>
      <c r="J899" t="s">
        <v>184</v>
      </c>
    </row>
    <row r="900" spans="1:10" x14ac:dyDescent="0.35">
      <c r="A900">
        <v>460</v>
      </c>
      <c r="B900" t="s">
        <v>405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184</v>
      </c>
    </row>
    <row r="901" spans="1:10" x14ac:dyDescent="0.35">
      <c r="A901">
        <v>500</v>
      </c>
      <c r="B901" t="s">
        <v>372</v>
      </c>
      <c r="C901">
        <v>12047097.67</v>
      </c>
      <c r="D901">
        <v>0</v>
      </c>
      <c r="E901">
        <v>12047097.67</v>
      </c>
      <c r="F901">
        <v>1087048.8700000001</v>
      </c>
      <c r="G901">
        <v>-9394113.8300000001</v>
      </c>
      <c r="H901">
        <v>10960048.800000001</v>
      </c>
      <c r="I901">
        <v>21441211.5</v>
      </c>
      <c r="J901" t="s">
        <v>184</v>
      </c>
    </row>
    <row r="902" spans="1:10" x14ac:dyDescent="0.35">
      <c r="A902">
        <v>510</v>
      </c>
      <c r="B902" t="s">
        <v>406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184</v>
      </c>
    </row>
    <row r="903" spans="1:10" x14ac:dyDescent="0.35">
      <c r="A903">
        <v>520</v>
      </c>
      <c r="B903" t="s">
        <v>407</v>
      </c>
      <c r="C903">
        <v>527648.14</v>
      </c>
      <c r="D903">
        <v>0</v>
      </c>
      <c r="E903">
        <v>527648.14</v>
      </c>
      <c r="F903">
        <v>0</v>
      </c>
      <c r="G903">
        <v>0</v>
      </c>
      <c r="H903">
        <v>527648.14</v>
      </c>
      <c r="I903">
        <v>527648.14</v>
      </c>
      <c r="J903" t="s">
        <v>184</v>
      </c>
    </row>
    <row r="904" spans="1:10" x14ac:dyDescent="0.35">
      <c r="A904">
        <v>530</v>
      </c>
      <c r="B904" t="s">
        <v>407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184</v>
      </c>
    </row>
    <row r="905" spans="1:10" x14ac:dyDescent="0.35">
      <c r="A905">
        <v>540</v>
      </c>
      <c r="B905" t="s">
        <v>376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184</v>
      </c>
    </row>
    <row r="906" spans="1:10" x14ac:dyDescent="0.35">
      <c r="A906">
        <v>600</v>
      </c>
      <c r="B906" t="s">
        <v>377</v>
      </c>
      <c r="C906">
        <v>527648.14</v>
      </c>
      <c r="D906">
        <v>0</v>
      </c>
      <c r="E906">
        <v>527648.14</v>
      </c>
      <c r="F906">
        <v>0</v>
      </c>
      <c r="G906">
        <v>0</v>
      </c>
      <c r="H906">
        <v>527648.14</v>
      </c>
      <c r="I906">
        <v>527648.14</v>
      </c>
      <c r="J906" t="s">
        <v>184</v>
      </c>
    </row>
    <row r="907" spans="1:10" x14ac:dyDescent="0.35">
      <c r="A907">
        <v>610</v>
      </c>
      <c r="B907" t="s">
        <v>408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184</v>
      </c>
    </row>
    <row r="908" spans="1:10" x14ac:dyDescent="0.35">
      <c r="A908">
        <v>620</v>
      </c>
      <c r="B908" t="s">
        <v>379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184</v>
      </c>
    </row>
    <row r="909" spans="1:10" x14ac:dyDescent="0.35">
      <c r="A909">
        <v>700</v>
      </c>
      <c r="B909" t="s">
        <v>409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184</v>
      </c>
    </row>
    <row r="910" spans="1:10" x14ac:dyDescent="0.35">
      <c r="A910">
        <v>710</v>
      </c>
      <c r="B910" t="s">
        <v>410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184</v>
      </c>
    </row>
    <row r="911" spans="1:10" x14ac:dyDescent="0.35">
      <c r="A911">
        <v>720</v>
      </c>
      <c r="B911" t="s">
        <v>382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184</v>
      </c>
    </row>
    <row r="912" spans="1:10" x14ac:dyDescent="0.35">
      <c r="A912">
        <v>730</v>
      </c>
      <c r="B912" t="s">
        <v>383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184</v>
      </c>
    </row>
    <row r="913" spans="1:10" x14ac:dyDescent="0.35">
      <c r="A913">
        <v>740</v>
      </c>
      <c r="B913" t="s">
        <v>384</v>
      </c>
      <c r="C913">
        <v>18245194.949999999</v>
      </c>
      <c r="D913">
        <v>0</v>
      </c>
      <c r="E913">
        <v>18245194.949999999</v>
      </c>
      <c r="F913">
        <v>0</v>
      </c>
      <c r="G913">
        <v>-5444295.04</v>
      </c>
      <c r="H913">
        <v>18245194.949999999</v>
      </c>
      <c r="I913">
        <v>23689489.989999998</v>
      </c>
      <c r="J913" t="s">
        <v>184</v>
      </c>
    </row>
    <row r="914" spans="1:10" x14ac:dyDescent="0.35">
      <c r="A914">
        <v>750</v>
      </c>
      <c r="B914" t="s">
        <v>385</v>
      </c>
      <c r="C914">
        <v>5461762.8200000003</v>
      </c>
      <c r="D914">
        <v>0</v>
      </c>
      <c r="E914">
        <v>5461762.8200000003</v>
      </c>
      <c r="F914">
        <v>792042.88</v>
      </c>
      <c r="G914">
        <v>5461762.8200000003</v>
      </c>
      <c r="H914">
        <v>4669719.9400000004</v>
      </c>
      <c r="I914">
        <v>0</v>
      </c>
      <c r="J914" t="s">
        <v>184</v>
      </c>
    </row>
    <row r="915" spans="1:10" x14ac:dyDescent="0.35">
      <c r="A915">
        <v>760</v>
      </c>
      <c r="B915" t="s">
        <v>386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184</v>
      </c>
    </row>
    <row r="916" spans="1:10" x14ac:dyDescent="0.35">
      <c r="A916">
        <v>770</v>
      </c>
      <c r="B916" t="s">
        <v>387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184</v>
      </c>
    </row>
    <row r="917" spans="1:10" x14ac:dyDescent="0.35">
      <c r="A917">
        <v>800</v>
      </c>
      <c r="B917" t="s">
        <v>388</v>
      </c>
      <c r="C917">
        <v>61316940.109999999</v>
      </c>
      <c r="D917">
        <v>0</v>
      </c>
      <c r="E917">
        <v>61316940.109999999</v>
      </c>
      <c r="F917">
        <v>792042.88</v>
      </c>
      <c r="G917">
        <v>17467.78</v>
      </c>
      <c r="H917">
        <v>60524897.229999997</v>
      </c>
      <c r="I917">
        <v>61299472.329999998</v>
      </c>
      <c r="J917" t="s">
        <v>184</v>
      </c>
    </row>
    <row r="918" spans="1:10" x14ac:dyDescent="0.35">
      <c r="A918">
        <v>900</v>
      </c>
      <c r="B918" t="s">
        <v>389</v>
      </c>
      <c r="C918">
        <v>73891685.920000002</v>
      </c>
      <c r="D918">
        <v>0</v>
      </c>
      <c r="E918">
        <v>73891685.920000002</v>
      </c>
      <c r="F918">
        <v>1879091.75</v>
      </c>
      <c r="G918">
        <v>-9376646.0500000007</v>
      </c>
      <c r="H918">
        <v>72012594.170000002</v>
      </c>
      <c r="I918">
        <v>83268331.969999999</v>
      </c>
      <c r="J918" t="s">
        <v>184</v>
      </c>
    </row>
    <row r="919" spans="1:10" x14ac:dyDescent="0.35">
      <c r="A919">
        <v>1000</v>
      </c>
      <c r="B919" t="s">
        <v>411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184</v>
      </c>
    </row>
    <row r="920" spans="1:10" x14ac:dyDescent="0.35">
      <c r="A920" t="s">
        <v>247</v>
      </c>
      <c r="B920" t="s">
        <v>172</v>
      </c>
      <c r="C920" t="s">
        <v>390</v>
      </c>
      <c r="D920" t="s">
        <v>391</v>
      </c>
      <c r="E920" t="s">
        <v>392</v>
      </c>
      <c r="F920" t="s">
        <v>393</v>
      </c>
      <c r="G920" t="s">
        <v>394</v>
      </c>
      <c r="H920" t="s">
        <v>395</v>
      </c>
      <c r="I920" t="s">
        <v>396</v>
      </c>
      <c r="J920" t="s">
        <v>183</v>
      </c>
    </row>
    <row r="921" spans="1:10" x14ac:dyDescent="0.35">
      <c r="A921">
        <v>10</v>
      </c>
      <c r="B921" t="s">
        <v>397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184</v>
      </c>
    </row>
    <row r="922" spans="1:10" x14ac:dyDescent="0.35">
      <c r="A922">
        <v>20</v>
      </c>
      <c r="B922" t="s">
        <v>339</v>
      </c>
      <c r="C922">
        <v>4160454.24</v>
      </c>
      <c r="D922">
        <v>0</v>
      </c>
      <c r="E922">
        <v>4160454.24</v>
      </c>
      <c r="F922">
        <v>-2071731.01</v>
      </c>
      <c r="G922">
        <v>1258648.9099999999</v>
      </c>
      <c r="H922">
        <v>6232185.25</v>
      </c>
      <c r="I922">
        <v>2901805.33</v>
      </c>
      <c r="J922" t="s">
        <v>184</v>
      </c>
    </row>
    <row r="923" spans="1:10" x14ac:dyDescent="0.35">
      <c r="A923">
        <v>30</v>
      </c>
      <c r="B923" t="s">
        <v>340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184</v>
      </c>
    </row>
    <row r="924" spans="1:10" x14ac:dyDescent="0.35">
      <c r="A924">
        <v>40</v>
      </c>
      <c r="B924" t="s">
        <v>341</v>
      </c>
      <c r="C924">
        <v>31032835.600000001</v>
      </c>
      <c r="D924">
        <v>0</v>
      </c>
      <c r="E924">
        <v>31032835.600000001</v>
      </c>
      <c r="F924">
        <v>381065.13</v>
      </c>
      <c r="G924">
        <v>8137617.2699999996</v>
      </c>
      <c r="H924">
        <v>30651770.469999999</v>
      </c>
      <c r="I924">
        <v>22895218.329999998</v>
      </c>
      <c r="J924" t="s">
        <v>184</v>
      </c>
    </row>
    <row r="925" spans="1:10" x14ac:dyDescent="0.35">
      <c r="A925">
        <v>50</v>
      </c>
      <c r="B925" t="s">
        <v>342</v>
      </c>
      <c r="C925">
        <v>54061285.130000003</v>
      </c>
      <c r="D925">
        <v>0</v>
      </c>
      <c r="E925">
        <v>54061285.130000003</v>
      </c>
      <c r="F925">
        <v>1262714.8400000001</v>
      </c>
      <c r="G925">
        <v>36936161.229999997</v>
      </c>
      <c r="H925">
        <v>52798570.289999999</v>
      </c>
      <c r="I925">
        <v>17125123.899999999</v>
      </c>
      <c r="J925" t="s">
        <v>184</v>
      </c>
    </row>
    <row r="926" spans="1:10" x14ac:dyDescent="0.35">
      <c r="A926">
        <v>60</v>
      </c>
      <c r="B926" t="s">
        <v>343</v>
      </c>
      <c r="C926">
        <v>13039491.380000001</v>
      </c>
      <c r="D926">
        <v>0</v>
      </c>
      <c r="E926">
        <v>13039491.380000001</v>
      </c>
      <c r="F926">
        <v>-1246353.42</v>
      </c>
      <c r="G926">
        <v>3182676.42</v>
      </c>
      <c r="H926">
        <v>14285844.800000001</v>
      </c>
      <c r="I926">
        <v>9856814.9600000009</v>
      </c>
      <c r="J926" t="s">
        <v>184</v>
      </c>
    </row>
    <row r="927" spans="1:10" x14ac:dyDescent="0.35">
      <c r="A927">
        <v>70</v>
      </c>
      <c r="B927" t="s">
        <v>344</v>
      </c>
      <c r="C927">
        <v>1785579.12</v>
      </c>
      <c r="D927">
        <v>0</v>
      </c>
      <c r="E927">
        <v>1785579.12</v>
      </c>
      <c r="F927">
        <v>0</v>
      </c>
      <c r="G927">
        <v>1098897</v>
      </c>
      <c r="H927">
        <v>1785579.12</v>
      </c>
      <c r="I927">
        <v>686682.12</v>
      </c>
      <c r="J927" t="s">
        <v>184</v>
      </c>
    </row>
    <row r="928" spans="1:10" x14ac:dyDescent="0.35">
      <c r="A928">
        <v>80</v>
      </c>
      <c r="B928" t="s">
        <v>412</v>
      </c>
      <c r="C928">
        <v>17977011.25</v>
      </c>
      <c r="D928">
        <v>0</v>
      </c>
      <c r="E928">
        <v>17977011.25</v>
      </c>
      <c r="F928">
        <v>518614.57</v>
      </c>
      <c r="G928">
        <v>5189171.3</v>
      </c>
      <c r="H928">
        <v>17458396.68</v>
      </c>
      <c r="I928">
        <v>12787839.949999999</v>
      </c>
      <c r="J928" t="s">
        <v>184</v>
      </c>
    </row>
    <row r="929" spans="1:10" x14ac:dyDescent="0.35">
      <c r="A929">
        <v>100</v>
      </c>
      <c r="B929" t="s">
        <v>399</v>
      </c>
      <c r="C929">
        <v>122056656.72</v>
      </c>
      <c r="D929">
        <v>0</v>
      </c>
      <c r="E929">
        <v>122056656.72</v>
      </c>
      <c r="F929">
        <v>-1155689.8899999999</v>
      </c>
      <c r="G929">
        <v>55803172.130000003</v>
      </c>
      <c r="H929">
        <v>123212346.61</v>
      </c>
      <c r="I929">
        <v>66253484.590000004</v>
      </c>
      <c r="J929" t="s">
        <v>184</v>
      </c>
    </row>
    <row r="930" spans="1:10" x14ac:dyDescent="0.35">
      <c r="A930">
        <v>110</v>
      </c>
      <c r="B930" t="s">
        <v>400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184</v>
      </c>
    </row>
    <row r="931" spans="1:10" x14ac:dyDescent="0.35">
      <c r="A931">
        <v>120</v>
      </c>
      <c r="B931" t="s">
        <v>348</v>
      </c>
      <c r="C931">
        <v>6105529</v>
      </c>
      <c r="D931">
        <v>0</v>
      </c>
      <c r="E931">
        <v>6105529</v>
      </c>
      <c r="F931">
        <v>0</v>
      </c>
      <c r="G931">
        <v>0</v>
      </c>
      <c r="H931">
        <v>6105529</v>
      </c>
      <c r="I931">
        <v>6105529</v>
      </c>
      <c r="J931" t="s">
        <v>184</v>
      </c>
    </row>
    <row r="932" spans="1:10" x14ac:dyDescent="0.35">
      <c r="A932">
        <v>130</v>
      </c>
      <c r="B932" t="s">
        <v>349</v>
      </c>
      <c r="C932">
        <v>48952407.549999997</v>
      </c>
      <c r="D932">
        <v>0</v>
      </c>
      <c r="E932">
        <v>48952407.549999997</v>
      </c>
      <c r="F932">
        <v>0</v>
      </c>
      <c r="G932">
        <v>6531653.1600000001</v>
      </c>
      <c r="H932">
        <v>48952407.549999997</v>
      </c>
      <c r="I932">
        <v>42420754.390000001</v>
      </c>
      <c r="J932" t="s">
        <v>184</v>
      </c>
    </row>
    <row r="933" spans="1:10" x14ac:dyDescent="0.35">
      <c r="A933">
        <v>140</v>
      </c>
      <c r="B933" t="s">
        <v>350</v>
      </c>
      <c r="C933">
        <v>525249.88</v>
      </c>
      <c r="D933">
        <v>0</v>
      </c>
      <c r="E933">
        <v>525249.88</v>
      </c>
      <c r="F933">
        <v>14060</v>
      </c>
      <c r="G933">
        <v>21172.06</v>
      </c>
      <c r="H933">
        <v>511189.88</v>
      </c>
      <c r="I933">
        <v>504077.82</v>
      </c>
      <c r="J933" t="s">
        <v>184</v>
      </c>
    </row>
    <row r="934" spans="1:10" x14ac:dyDescent="0.35">
      <c r="A934">
        <v>150</v>
      </c>
      <c r="B934" t="s">
        <v>351</v>
      </c>
      <c r="C934">
        <v>5543910.25</v>
      </c>
      <c r="D934">
        <v>0</v>
      </c>
      <c r="E934">
        <v>5543910.25</v>
      </c>
      <c r="F934">
        <v>43984</v>
      </c>
      <c r="G934">
        <v>504991.22</v>
      </c>
      <c r="H934">
        <v>5499926.25</v>
      </c>
      <c r="I934">
        <v>5038919.03</v>
      </c>
      <c r="J934" t="s">
        <v>184</v>
      </c>
    </row>
    <row r="935" spans="1:10" x14ac:dyDescent="0.35">
      <c r="A935">
        <v>160</v>
      </c>
      <c r="B935" t="s">
        <v>352</v>
      </c>
      <c r="C935">
        <v>910773.72</v>
      </c>
      <c r="D935">
        <v>0</v>
      </c>
      <c r="E935">
        <v>910773.72</v>
      </c>
      <c r="F935">
        <v>0</v>
      </c>
      <c r="G935">
        <v>259900</v>
      </c>
      <c r="H935">
        <v>910773.72</v>
      </c>
      <c r="I935">
        <v>650873.72</v>
      </c>
      <c r="J935" t="s">
        <v>184</v>
      </c>
    </row>
    <row r="936" spans="1:10" x14ac:dyDescent="0.35">
      <c r="A936">
        <v>170</v>
      </c>
      <c r="B936" t="s">
        <v>353</v>
      </c>
      <c r="C936">
        <v>28638859.079999998</v>
      </c>
      <c r="D936">
        <v>0</v>
      </c>
      <c r="E936">
        <v>28638859.079999998</v>
      </c>
      <c r="F936">
        <v>11224.45</v>
      </c>
      <c r="G936">
        <v>2229780.9</v>
      </c>
      <c r="H936">
        <v>28627634.629999999</v>
      </c>
      <c r="I936">
        <v>26409078.18</v>
      </c>
      <c r="J936" t="s">
        <v>184</v>
      </c>
    </row>
    <row r="937" spans="1:10" x14ac:dyDescent="0.35">
      <c r="A937">
        <v>180</v>
      </c>
      <c r="B937" t="s">
        <v>354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184</v>
      </c>
    </row>
    <row r="938" spans="1:10" x14ac:dyDescent="0.35">
      <c r="A938">
        <v>190</v>
      </c>
      <c r="B938" t="s">
        <v>355</v>
      </c>
      <c r="C938">
        <v>-13114000.960000001</v>
      </c>
      <c r="D938">
        <v>0</v>
      </c>
      <c r="E938">
        <v>-13114000.960000001</v>
      </c>
      <c r="F938">
        <v>-471234.78</v>
      </c>
      <c r="G938">
        <v>-3823498.04</v>
      </c>
      <c r="H938">
        <v>-12642766.18</v>
      </c>
      <c r="I938">
        <v>-9290502.9199999999</v>
      </c>
      <c r="J938" t="s">
        <v>184</v>
      </c>
    </row>
    <row r="939" spans="1:10" x14ac:dyDescent="0.35">
      <c r="A939">
        <v>200</v>
      </c>
      <c r="B939" t="s">
        <v>356</v>
      </c>
      <c r="C939">
        <v>77562728.519999996</v>
      </c>
      <c r="D939">
        <v>0</v>
      </c>
      <c r="E939">
        <v>77562728.519999996</v>
      </c>
      <c r="F939">
        <v>-401966.33</v>
      </c>
      <c r="G939">
        <v>5723999.2999999998</v>
      </c>
      <c r="H939">
        <v>77964694.849999994</v>
      </c>
      <c r="I939">
        <v>71838729.219999999</v>
      </c>
      <c r="J939" t="s">
        <v>184</v>
      </c>
    </row>
    <row r="940" spans="1:10" x14ac:dyDescent="0.35">
      <c r="A940">
        <v>210</v>
      </c>
      <c r="B940" t="s">
        <v>401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184</v>
      </c>
    </row>
    <row r="941" spans="1:10" x14ac:dyDescent="0.35">
      <c r="A941">
        <v>220</v>
      </c>
      <c r="B941" t="s">
        <v>358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184</v>
      </c>
    </row>
    <row r="942" spans="1:10" x14ac:dyDescent="0.35">
      <c r="A942">
        <v>230</v>
      </c>
      <c r="B942" t="s">
        <v>359</v>
      </c>
      <c r="C942">
        <v>0</v>
      </c>
      <c r="D942">
        <v>0</v>
      </c>
      <c r="E942">
        <v>0</v>
      </c>
      <c r="F942">
        <v>0</v>
      </c>
      <c r="G942">
        <v>-8385308.3300000001</v>
      </c>
      <c r="H942">
        <v>0</v>
      </c>
      <c r="I942">
        <v>8385308.3300000001</v>
      </c>
      <c r="J942" t="s">
        <v>184</v>
      </c>
    </row>
    <row r="943" spans="1:10" x14ac:dyDescent="0.35">
      <c r="A943">
        <v>240</v>
      </c>
      <c r="B943" t="s">
        <v>360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184</v>
      </c>
    </row>
    <row r="944" spans="1:10" x14ac:dyDescent="0.35">
      <c r="A944">
        <v>250</v>
      </c>
      <c r="B944" t="s">
        <v>361</v>
      </c>
      <c r="C944">
        <v>0</v>
      </c>
      <c r="D944">
        <v>0</v>
      </c>
      <c r="E944">
        <v>0</v>
      </c>
      <c r="F944">
        <v>0</v>
      </c>
      <c r="G944">
        <v>-8385308.3300000001</v>
      </c>
      <c r="H944">
        <v>0</v>
      </c>
      <c r="I944">
        <v>8385308.3300000001</v>
      </c>
      <c r="J944" t="s">
        <v>184</v>
      </c>
    </row>
    <row r="945" spans="1:10" x14ac:dyDescent="0.35">
      <c r="A945">
        <v>260</v>
      </c>
      <c r="B945" t="s">
        <v>362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184</v>
      </c>
    </row>
    <row r="946" spans="1:10" x14ac:dyDescent="0.35">
      <c r="A946">
        <v>270</v>
      </c>
      <c r="B946" t="s">
        <v>363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184</v>
      </c>
    </row>
    <row r="947" spans="1:10" x14ac:dyDescent="0.35">
      <c r="A947">
        <v>280</v>
      </c>
      <c r="B947" t="s">
        <v>402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184</v>
      </c>
    </row>
    <row r="948" spans="1:10" x14ac:dyDescent="0.35">
      <c r="A948">
        <v>400</v>
      </c>
      <c r="B948" t="s">
        <v>365</v>
      </c>
      <c r="C948">
        <v>199619385.24000001</v>
      </c>
      <c r="D948">
        <v>0</v>
      </c>
      <c r="E948">
        <v>199619385.24000001</v>
      </c>
      <c r="F948">
        <v>-1557656.22</v>
      </c>
      <c r="G948">
        <v>53141863.100000001</v>
      </c>
      <c r="H948">
        <v>201177041.46000001</v>
      </c>
      <c r="I948">
        <v>146477522.13999999</v>
      </c>
      <c r="J948" t="s">
        <v>184</v>
      </c>
    </row>
    <row r="949" spans="1:10" x14ac:dyDescent="0.35">
      <c r="A949">
        <v>410</v>
      </c>
      <c r="B949" t="s">
        <v>403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184</v>
      </c>
    </row>
    <row r="950" spans="1:10" x14ac:dyDescent="0.35">
      <c r="A950">
        <v>420</v>
      </c>
      <c r="B950" t="s">
        <v>367</v>
      </c>
      <c r="C950">
        <v>47812225.590000004</v>
      </c>
      <c r="D950">
        <v>0</v>
      </c>
      <c r="E950">
        <v>47812225.590000004</v>
      </c>
      <c r="F950">
        <v>-4365754.91</v>
      </c>
      <c r="G950">
        <v>24020019.289999999</v>
      </c>
      <c r="H950">
        <v>52177980.5</v>
      </c>
      <c r="I950">
        <v>23792206.300000001</v>
      </c>
      <c r="J950" t="s">
        <v>184</v>
      </c>
    </row>
    <row r="951" spans="1:10" x14ac:dyDescent="0.35">
      <c r="A951">
        <v>430</v>
      </c>
      <c r="B951" t="s">
        <v>368</v>
      </c>
      <c r="C951">
        <v>10970005.01</v>
      </c>
      <c r="D951">
        <v>0</v>
      </c>
      <c r="E951">
        <v>10970005.01</v>
      </c>
      <c r="F951">
        <v>745250.2</v>
      </c>
      <c r="G951">
        <v>8949327.7699999996</v>
      </c>
      <c r="H951">
        <v>10224754.810000001</v>
      </c>
      <c r="I951">
        <v>2020677.24</v>
      </c>
      <c r="J951" t="s">
        <v>184</v>
      </c>
    </row>
    <row r="952" spans="1:10" x14ac:dyDescent="0.35">
      <c r="A952">
        <v>440</v>
      </c>
      <c r="B952" t="s">
        <v>369</v>
      </c>
      <c r="C952">
        <v>815840.29</v>
      </c>
      <c r="D952">
        <v>0</v>
      </c>
      <c r="E952">
        <v>815840.29</v>
      </c>
      <c r="F952">
        <v>-153106.68</v>
      </c>
      <c r="G952">
        <v>266664.17</v>
      </c>
      <c r="H952">
        <v>968946.97</v>
      </c>
      <c r="I952">
        <v>549176.12</v>
      </c>
      <c r="J952" t="s">
        <v>184</v>
      </c>
    </row>
    <row r="953" spans="1:10" x14ac:dyDescent="0.35">
      <c r="A953">
        <v>450</v>
      </c>
      <c r="B953" t="s">
        <v>370</v>
      </c>
      <c r="C953">
        <v>8178077.1399999997</v>
      </c>
      <c r="D953">
        <v>0</v>
      </c>
      <c r="E953">
        <v>8178077.1399999997</v>
      </c>
      <c r="F953">
        <v>60735.83</v>
      </c>
      <c r="G953">
        <v>2697979.14</v>
      </c>
      <c r="H953">
        <v>8117341.3099999996</v>
      </c>
      <c r="I953">
        <v>5480098</v>
      </c>
      <c r="J953" t="s">
        <v>184</v>
      </c>
    </row>
    <row r="954" spans="1:10" x14ac:dyDescent="0.35">
      <c r="A954">
        <v>460</v>
      </c>
      <c r="B954" t="s">
        <v>413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184</v>
      </c>
    </row>
    <row r="955" spans="1:10" x14ac:dyDescent="0.35">
      <c r="A955">
        <v>500</v>
      </c>
      <c r="B955" t="s">
        <v>372</v>
      </c>
      <c r="C955">
        <v>67776148.030000001</v>
      </c>
      <c r="D955">
        <v>0</v>
      </c>
      <c r="E955">
        <v>67776148.030000001</v>
      </c>
      <c r="F955">
        <v>-3712875.56</v>
      </c>
      <c r="G955">
        <v>35933990.369999997</v>
      </c>
      <c r="H955">
        <v>71489023.590000004</v>
      </c>
      <c r="I955">
        <v>31842157.66</v>
      </c>
      <c r="J955" t="s">
        <v>184</v>
      </c>
    </row>
    <row r="956" spans="1:10" x14ac:dyDescent="0.35">
      <c r="A956">
        <v>510</v>
      </c>
      <c r="B956" t="s">
        <v>406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184</v>
      </c>
    </row>
    <row r="957" spans="1:10" x14ac:dyDescent="0.35">
      <c r="A957">
        <v>520</v>
      </c>
      <c r="B957" t="s">
        <v>374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184</v>
      </c>
    </row>
    <row r="958" spans="1:10" x14ac:dyDescent="0.35">
      <c r="A958">
        <v>530</v>
      </c>
      <c r="B958" t="s">
        <v>375</v>
      </c>
      <c r="C958">
        <v>85398171.129999995</v>
      </c>
      <c r="D958">
        <v>0</v>
      </c>
      <c r="E958">
        <v>85398171.129999995</v>
      </c>
      <c r="F958">
        <v>-2427707.77</v>
      </c>
      <c r="G958">
        <v>-8820785.0899999999</v>
      </c>
      <c r="H958">
        <v>87825878.900000006</v>
      </c>
      <c r="I958">
        <v>94218956.219999999</v>
      </c>
      <c r="J958" t="s">
        <v>184</v>
      </c>
    </row>
    <row r="959" spans="1:10" x14ac:dyDescent="0.35">
      <c r="A959">
        <v>540</v>
      </c>
      <c r="B959" t="s">
        <v>376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184</v>
      </c>
    </row>
    <row r="960" spans="1:10" x14ac:dyDescent="0.35">
      <c r="A960">
        <v>600</v>
      </c>
      <c r="B960" t="s">
        <v>377</v>
      </c>
      <c r="C960">
        <v>85398171.129999995</v>
      </c>
      <c r="D960">
        <v>0</v>
      </c>
      <c r="E960">
        <v>85398171.129999995</v>
      </c>
      <c r="F960">
        <v>-2427707.77</v>
      </c>
      <c r="G960">
        <v>-8820785.0899999999</v>
      </c>
      <c r="H960">
        <v>87825878.900000006</v>
      </c>
      <c r="I960">
        <v>94218956.219999999</v>
      </c>
      <c r="J960" t="s">
        <v>184</v>
      </c>
    </row>
    <row r="961" spans="1:10" x14ac:dyDescent="0.35">
      <c r="A961">
        <v>610</v>
      </c>
      <c r="B961" t="s">
        <v>408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184</v>
      </c>
    </row>
    <row r="962" spans="1:10" x14ac:dyDescent="0.35">
      <c r="A962">
        <v>620</v>
      </c>
      <c r="B962" t="s">
        <v>379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184</v>
      </c>
    </row>
    <row r="963" spans="1:10" x14ac:dyDescent="0.35">
      <c r="A963">
        <v>700</v>
      </c>
      <c r="B963" t="s">
        <v>409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184</v>
      </c>
    </row>
    <row r="964" spans="1:10" x14ac:dyDescent="0.35">
      <c r="A964">
        <v>710</v>
      </c>
      <c r="B964" t="s">
        <v>410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184</v>
      </c>
    </row>
    <row r="965" spans="1:10" x14ac:dyDescent="0.35">
      <c r="A965">
        <v>720</v>
      </c>
      <c r="B965" t="s">
        <v>382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184</v>
      </c>
    </row>
    <row r="966" spans="1:10" x14ac:dyDescent="0.35">
      <c r="A966">
        <v>730</v>
      </c>
      <c r="B966" t="s">
        <v>383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184</v>
      </c>
    </row>
    <row r="967" spans="1:10" x14ac:dyDescent="0.35">
      <c r="A967">
        <v>740</v>
      </c>
      <c r="B967" t="s">
        <v>384</v>
      </c>
      <c r="C967">
        <v>18628210.530000001</v>
      </c>
      <c r="D967">
        <v>0</v>
      </c>
      <c r="E967">
        <v>18628210.530000001</v>
      </c>
      <c r="F967">
        <v>0</v>
      </c>
      <c r="G967">
        <v>-3131845.53</v>
      </c>
      <c r="H967">
        <v>18628210.530000001</v>
      </c>
      <c r="I967">
        <v>21760056.059999999</v>
      </c>
      <c r="J967" t="s">
        <v>184</v>
      </c>
    </row>
    <row r="968" spans="1:10" x14ac:dyDescent="0.35">
      <c r="A968">
        <v>750</v>
      </c>
      <c r="B968" t="s">
        <v>385</v>
      </c>
      <c r="C968">
        <v>29160503.350000001</v>
      </c>
      <c r="D968">
        <v>4681000</v>
      </c>
      <c r="E968">
        <v>24479503.350000001</v>
      </c>
      <c r="F968">
        <v>4582927.1100000003</v>
      </c>
      <c r="G968">
        <v>29160503.350000001</v>
      </c>
      <c r="H968">
        <v>24577576.239999998</v>
      </c>
      <c r="I968">
        <v>0</v>
      </c>
      <c r="J968" t="s">
        <v>184</v>
      </c>
    </row>
    <row r="969" spans="1:10" x14ac:dyDescent="0.35">
      <c r="A969">
        <v>760</v>
      </c>
      <c r="B969" t="s">
        <v>386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184</v>
      </c>
    </row>
    <row r="970" spans="1:10" x14ac:dyDescent="0.35">
      <c r="A970">
        <v>770</v>
      </c>
      <c r="B970" t="s">
        <v>387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184</v>
      </c>
    </row>
    <row r="971" spans="1:10" x14ac:dyDescent="0.35">
      <c r="A971">
        <v>800</v>
      </c>
      <c r="B971" t="s">
        <v>388</v>
      </c>
      <c r="C971">
        <v>46445066.079999998</v>
      </c>
      <c r="D971">
        <v>4681000</v>
      </c>
      <c r="E971">
        <v>41764066.079999998</v>
      </c>
      <c r="F971">
        <v>4582927.1100000003</v>
      </c>
      <c r="G971">
        <v>26028657.82</v>
      </c>
      <c r="H971">
        <v>41862138.969999999</v>
      </c>
      <c r="I971">
        <v>20416408.260000002</v>
      </c>
      <c r="J971" t="s">
        <v>184</v>
      </c>
    </row>
    <row r="972" spans="1:10" x14ac:dyDescent="0.35">
      <c r="A972">
        <v>900</v>
      </c>
      <c r="B972" t="s">
        <v>389</v>
      </c>
      <c r="C972">
        <v>199619385.24000001</v>
      </c>
      <c r="D972">
        <v>4681000</v>
      </c>
      <c r="E972">
        <v>194938385.24000001</v>
      </c>
      <c r="F972">
        <v>-1557656.22</v>
      </c>
      <c r="G972">
        <v>53141863.100000001</v>
      </c>
      <c r="H972">
        <v>201177041.46000001</v>
      </c>
      <c r="I972">
        <v>146477522.13999999</v>
      </c>
      <c r="J972" t="s">
        <v>184</v>
      </c>
    </row>
    <row r="973" spans="1:10" x14ac:dyDescent="0.35">
      <c r="A973">
        <v>1000</v>
      </c>
      <c r="B973" t="s">
        <v>411</v>
      </c>
      <c r="C973">
        <v>0</v>
      </c>
      <c r="D973">
        <v>-4681000</v>
      </c>
      <c r="E973">
        <v>4681000</v>
      </c>
      <c r="F973">
        <v>0</v>
      </c>
      <c r="G973">
        <v>0</v>
      </c>
      <c r="H973">
        <v>0</v>
      </c>
      <c r="I973">
        <v>0</v>
      </c>
      <c r="J973" t="s">
        <v>184</v>
      </c>
    </row>
    <row r="974" spans="1:10" x14ac:dyDescent="0.35">
      <c r="A974" t="s">
        <v>248</v>
      </c>
      <c r="B974" t="s">
        <v>172</v>
      </c>
      <c r="C974" t="s">
        <v>390</v>
      </c>
      <c r="D974" t="s">
        <v>391</v>
      </c>
      <c r="E974" t="s">
        <v>392</v>
      </c>
      <c r="F974" t="s">
        <v>393</v>
      </c>
      <c r="G974" t="s">
        <v>394</v>
      </c>
      <c r="H974" t="s">
        <v>395</v>
      </c>
      <c r="I974" t="s">
        <v>396</v>
      </c>
      <c r="J974" t="s">
        <v>183</v>
      </c>
    </row>
    <row r="975" spans="1:10" x14ac:dyDescent="0.35">
      <c r="A975">
        <v>10</v>
      </c>
      <c r="B975" t="s">
        <v>397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184</v>
      </c>
    </row>
    <row r="976" spans="1:10" x14ac:dyDescent="0.35">
      <c r="A976">
        <v>20</v>
      </c>
      <c r="B976" t="s">
        <v>339</v>
      </c>
      <c r="C976">
        <v>1550919.42</v>
      </c>
      <c r="D976">
        <v>0</v>
      </c>
      <c r="E976">
        <v>1550919.42</v>
      </c>
      <c r="F976">
        <v>435999.35</v>
      </c>
      <c r="G976">
        <v>1528605.02</v>
      </c>
      <c r="H976">
        <v>1114920.07</v>
      </c>
      <c r="I976">
        <v>22314.400000000001</v>
      </c>
      <c r="J976" t="s">
        <v>184</v>
      </c>
    </row>
    <row r="977" spans="1:10" x14ac:dyDescent="0.35">
      <c r="A977">
        <v>30</v>
      </c>
      <c r="B977" t="s">
        <v>340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184</v>
      </c>
    </row>
    <row r="978" spans="1:10" x14ac:dyDescent="0.35">
      <c r="A978">
        <v>40</v>
      </c>
      <c r="B978" t="s">
        <v>341</v>
      </c>
      <c r="C978">
        <v>3662532.33</v>
      </c>
      <c r="D978">
        <v>0</v>
      </c>
      <c r="E978">
        <v>3662532.33</v>
      </c>
      <c r="F978">
        <v>-196046.31</v>
      </c>
      <c r="G978">
        <v>254393.63</v>
      </c>
      <c r="H978">
        <v>3858578.64</v>
      </c>
      <c r="I978">
        <v>3408138.7</v>
      </c>
      <c r="J978" t="s">
        <v>184</v>
      </c>
    </row>
    <row r="979" spans="1:10" x14ac:dyDescent="0.35">
      <c r="A979">
        <v>50</v>
      </c>
      <c r="B979" t="s">
        <v>342</v>
      </c>
      <c r="C979">
        <v>5685453.5800000001</v>
      </c>
      <c r="D979">
        <v>0</v>
      </c>
      <c r="E979">
        <v>5685453.5800000001</v>
      </c>
      <c r="F979">
        <v>-50656.3</v>
      </c>
      <c r="G979">
        <v>231.11</v>
      </c>
      <c r="H979">
        <v>5736109.8799999999</v>
      </c>
      <c r="I979">
        <v>5685222.4699999997</v>
      </c>
      <c r="J979" t="s">
        <v>184</v>
      </c>
    </row>
    <row r="980" spans="1:10" x14ac:dyDescent="0.35">
      <c r="A980">
        <v>60</v>
      </c>
      <c r="B980" t="s">
        <v>343</v>
      </c>
      <c r="C980">
        <v>488091.84</v>
      </c>
      <c r="D980">
        <v>0</v>
      </c>
      <c r="E980">
        <v>488091.84</v>
      </c>
      <c r="F980">
        <v>149806.91</v>
      </c>
      <c r="G980">
        <v>-102860.13</v>
      </c>
      <c r="H980">
        <v>338284.93</v>
      </c>
      <c r="I980">
        <v>590951.97</v>
      </c>
      <c r="J980" t="s">
        <v>184</v>
      </c>
    </row>
    <row r="981" spans="1:10" x14ac:dyDescent="0.35">
      <c r="A981">
        <v>70</v>
      </c>
      <c r="B981" t="s">
        <v>344</v>
      </c>
      <c r="C981">
        <v>2.92</v>
      </c>
      <c r="D981">
        <v>0</v>
      </c>
      <c r="E981">
        <v>2.92</v>
      </c>
      <c r="F981">
        <v>0.12</v>
      </c>
      <c r="G981">
        <v>-4.88</v>
      </c>
      <c r="H981">
        <v>2.8</v>
      </c>
      <c r="I981">
        <v>7.8</v>
      </c>
      <c r="J981" t="s">
        <v>184</v>
      </c>
    </row>
    <row r="982" spans="1:10" x14ac:dyDescent="0.35">
      <c r="A982">
        <v>80</v>
      </c>
      <c r="B982" t="s">
        <v>412</v>
      </c>
      <c r="C982">
        <v>9433141.5</v>
      </c>
      <c r="D982">
        <v>0</v>
      </c>
      <c r="E982">
        <v>9433141.5</v>
      </c>
      <c r="F982">
        <v>28525.200000000001</v>
      </c>
      <c r="G982">
        <v>692053.4</v>
      </c>
      <c r="H982">
        <v>9404616.3000000007</v>
      </c>
      <c r="I982">
        <v>8741088.0999999996</v>
      </c>
      <c r="J982" t="s">
        <v>184</v>
      </c>
    </row>
    <row r="983" spans="1:10" x14ac:dyDescent="0.35">
      <c r="A983">
        <v>100</v>
      </c>
      <c r="B983" t="s">
        <v>399</v>
      </c>
      <c r="C983">
        <v>20820141.59</v>
      </c>
      <c r="D983">
        <v>0</v>
      </c>
      <c r="E983">
        <v>20820141.59</v>
      </c>
      <c r="F983">
        <v>367628.97</v>
      </c>
      <c r="G983">
        <v>2372418.15</v>
      </c>
      <c r="H983">
        <v>20452512.620000001</v>
      </c>
      <c r="I983">
        <v>18447723.440000001</v>
      </c>
      <c r="J983" t="s">
        <v>184</v>
      </c>
    </row>
    <row r="984" spans="1:10" x14ac:dyDescent="0.35">
      <c r="A984">
        <v>110</v>
      </c>
      <c r="B984" t="s">
        <v>400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184</v>
      </c>
    </row>
    <row r="985" spans="1:10" x14ac:dyDescent="0.35">
      <c r="A985">
        <v>120</v>
      </c>
      <c r="B985" t="s">
        <v>348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184</v>
      </c>
    </row>
    <row r="986" spans="1:10" x14ac:dyDescent="0.35">
      <c r="A986">
        <v>130</v>
      </c>
      <c r="B986" t="s">
        <v>349</v>
      </c>
      <c r="C986">
        <v>1993350.32</v>
      </c>
      <c r="D986">
        <v>0</v>
      </c>
      <c r="E986">
        <v>1993350.32</v>
      </c>
      <c r="F986">
        <v>0</v>
      </c>
      <c r="G986">
        <v>0</v>
      </c>
      <c r="H986">
        <v>1993350.32</v>
      </c>
      <c r="I986">
        <v>1993350.32</v>
      </c>
      <c r="J986" t="s">
        <v>184</v>
      </c>
    </row>
    <row r="987" spans="1:10" x14ac:dyDescent="0.35">
      <c r="A987">
        <v>140</v>
      </c>
      <c r="B987" t="s">
        <v>350</v>
      </c>
      <c r="C987">
        <v>50990.58</v>
      </c>
      <c r="D987">
        <v>0</v>
      </c>
      <c r="E987">
        <v>50990.58</v>
      </c>
      <c r="F987">
        <v>0</v>
      </c>
      <c r="G987">
        <v>0</v>
      </c>
      <c r="H987">
        <v>50990.58</v>
      </c>
      <c r="I987">
        <v>50990.58</v>
      </c>
      <c r="J987" t="s">
        <v>184</v>
      </c>
    </row>
    <row r="988" spans="1:10" x14ac:dyDescent="0.35">
      <c r="A988">
        <v>150</v>
      </c>
      <c r="B988" t="s">
        <v>351</v>
      </c>
      <c r="C988">
        <v>76238.25</v>
      </c>
      <c r="D988">
        <v>0</v>
      </c>
      <c r="E988">
        <v>76238.25</v>
      </c>
      <c r="F988">
        <v>0</v>
      </c>
      <c r="G988">
        <v>26052.94</v>
      </c>
      <c r="H988">
        <v>76238.25</v>
      </c>
      <c r="I988">
        <v>50185.31</v>
      </c>
      <c r="J988" t="s">
        <v>184</v>
      </c>
    </row>
    <row r="989" spans="1:10" x14ac:dyDescent="0.35">
      <c r="A989">
        <v>160</v>
      </c>
      <c r="B989" t="s">
        <v>352</v>
      </c>
      <c r="C989">
        <v>24779976.469999999</v>
      </c>
      <c r="D989">
        <v>0</v>
      </c>
      <c r="E989">
        <v>24779976.469999999</v>
      </c>
      <c r="F989">
        <v>0</v>
      </c>
      <c r="G989">
        <v>2508476.69</v>
      </c>
      <c r="H989">
        <v>24779976.469999999</v>
      </c>
      <c r="I989">
        <v>22271499.780000001</v>
      </c>
      <c r="J989" t="s">
        <v>184</v>
      </c>
    </row>
    <row r="990" spans="1:10" x14ac:dyDescent="0.35">
      <c r="A990">
        <v>170</v>
      </c>
      <c r="B990" t="s">
        <v>353</v>
      </c>
      <c r="C990">
        <v>3455892.28</v>
      </c>
      <c r="D990">
        <v>0</v>
      </c>
      <c r="E990">
        <v>3455892.28</v>
      </c>
      <c r="F990">
        <v>27234.16</v>
      </c>
      <c r="G990">
        <v>257288.47</v>
      </c>
      <c r="H990">
        <v>3428658.12</v>
      </c>
      <c r="I990">
        <v>3198603.81</v>
      </c>
      <c r="J990" t="s">
        <v>184</v>
      </c>
    </row>
    <row r="991" spans="1:10" x14ac:dyDescent="0.35">
      <c r="A991">
        <v>180</v>
      </c>
      <c r="B991" t="s">
        <v>354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184</v>
      </c>
    </row>
    <row r="992" spans="1:10" x14ac:dyDescent="0.35">
      <c r="A992">
        <v>190</v>
      </c>
      <c r="B992" t="s">
        <v>355</v>
      </c>
      <c r="C992">
        <v>-26046293.359999999</v>
      </c>
      <c r="D992">
        <v>0</v>
      </c>
      <c r="E992">
        <v>-26046293.359999999</v>
      </c>
      <c r="F992">
        <v>-265911.81</v>
      </c>
      <c r="G992">
        <v>-2834320.44</v>
      </c>
      <c r="H992">
        <v>-25780381.550000001</v>
      </c>
      <c r="I992">
        <v>-23211972.920000002</v>
      </c>
      <c r="J992" t="s">
        <v>184</v>
      </c>
    </row>
    <row r="993" spans="1:10" x14ac:dyDescent="0.35">
      <c r="A993">
        <v>200</v>
      </c>
      <c r="B993" t="s">
        <v>356</v>
      </c>
      <c r="C993">
        <v>4320154.54</v>
      </c>
      <c r="D993">
        <v>0</v>
      </c>
      <c r="E993">
        <v>4320154.54</v>
      </c>
      <c r="F993">
        <v>-238677.65</v>
      </c>
      <c r="G993">
        <v>-42502.34</v>
      </c>
      <c r="H993">
        <v>4558832.1900000004</v>
      </c>
      <c r="I993">
        <v>4362656.88</v>
      </c>
      <c r="J993" t="s">
        <v>184</v>
      </c>
    </row>
    <row r="994" spans="1:10" x14ac:dyDescent="0.35">
      <c r="A994">
        <v>210</v>
      </c>
      <c r="B994" t="s">
        <v>401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184</v>
      </c>
    </row>
    <row r="995" spans="1:10" x14ac:dyDescent="0.35">
      <c r="A995">
        <v>220</v>
      </c>
      <c r="B995" t="s">
        <v>358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184</v>
      </c>
    </row>
    <row r="996" spans="1:10" x14ac:dyDescent="0.35">
      <c r="A996">
        <v>230</v>
      </c>
      <c r="B996" t="s">
        <v>359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184</v>
      </c>
    </row>
    <row r="997" spans="1:10" x14ac:dyDescent="0.35">
      <c r="A997">
        <v>240</v>
      </c>
      <c r="B997" t="s">
        <v>360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184</v>
      </c>
    </row>
    <row r="998" spans="1:10" x14ac:dyDescent="0.35">
      <c r="A998">
        <v>250</v>
      </c>
      <c r="B998" t="s">
        <v>361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184</v>
      </c>
    </row>
    <row r="999" spans="1:10" x14ac:dyDescent="0.35">
      <c r="A999">
        <v>260</v>
      </c>
      <c r="B999" t="s">
        <v>362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184</v>
      </c>
    </row>
    <row r="1000" spans="1:10" x14ac:dyDescent="0.35">
      <c r="A1000">
        <v>270</v>
      </c>
      <c r="B1000" t="s">
        <v>363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184</v>
      </c>
    </row>
    <row r="1001" spans="1:10" x14ac:dyDescent="0.35">
      <c r="A1001">
        <v>280</v>
      </c>
      <c r="B1001" t="s">
        <v>402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184</v>
      </c>
    </row>
    <row r="1002" spans="1:10" x14ac:dyDescent="0.35">
      <c r="A1002">
        <v>400</v>
      </c>
      <c r="B1002" t="s">
        <v>365</v>
      </c>
      <c r="C1002">
        <v>25140296.129999999</v>
      </c>
      <c r="D1002">
        <v>0</v>
      </c>
      <c r="E1002">
        <v>25140296.129999999</v>
      </c>
      <c r="F1002">
        <v>128951.32</v>
      </c>
      <c r="G1002">
        <v>2329915.81</v>
      </c>
      <c r="H1002">
        <v>25011344.809999999</v>
      </c>
      <c r="I1002">
        <v>22810380.32</v>
      </c>
      <c r="J1002" t="s">
        <v>184</v>
      </c>
    </row>
    <row r="1003" spans="1:10" x14ac:dyDescent="0.35">
      <c r="A1003">
        <v>410</v>
      </c>
      <c r="B1003" t="s">
        <v>403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184</v>
      </c>
    </row>
    <row r="1004" spans="1:10" x14ac:dyDescent="0.35">
      <c r="A1004">
        <v>420</v>
      </c>
      <c r="B1004" t="s">
        <v>367</v>
      </c>
      <c r="C1004">
        <v>6700088.96</v>
      </c>
      <c r="D1004">
        <v>0</v>
      </c>
      <c r="E1004">
        <v>6700088.96</v>
      </c>
      <c r="F1004">
        <v>1184966.3400000001</v>
      </c>
      <c r="G1004">
        <v>4470768.32</v>
      </c>
      <c r="H1004">
        <v>5515122.6200000001</v>
      </c>
      <c r="I1004">
        <v>2229320.64</v>
      </c>
      <c r="J1004" t="s">
        <v>184</v>
      </c>
    </row>
    <row r="1005" spans="1:10" x14ac:dyDescent="0.35">
      <c r="A1005">
        <v>430</v>
      </c>
      <c r="B1005" t="s">
        <v>368</v>
      </c>
      <c r="C1005">
        <v>1430209.95</v>
      </c>
      <c r="D1005">
        <v>0</v>
      </c>
      <c r="E1005">
        <v>1430209.95</v>
      </c>
      <c r="F1005">
        <v>-990195.16</v>
      </c>
      <c r="G1005">
        <v>-4574175.84</v>
      </c>
      <c r="H1005">
        <v>2420405.11</v>
      </c>
      <c r="I1005">
        <v>6004385.79</v>
      </c>
      <c r="J1005" t="s">
        <v>184</v>
      </c>
    </row>
    <row r="1006" spans="1:10" x14ac:dyDescent="0.35">
      <c r="A1006">
        <v>440</v>
      </c>
      <c r="B1006" t="s">
        <v>369</v>
      </c>
      <c r="C1006">
        <v>171125.12</v>
      </c>
      <c r="D1006">
        <v>0</v>
      </c>
      <c r="E1006">
        <v>171125.12</v>
      </c>
      <c r="F1006">
        <v>9911.2999999999993</v>
      </c>
      <c r="G1006">
        <v>89201.7</v>
      </c>
      <c r="H1006">
        <v>161213.82</v>
      </c>
      <c r="I1006">
        <v>81923.42</v>
      </c>
      <c r="J1006" t="s">
        <v>184</v>
      </c>
    </row>
    <row r="1007" spans="1:10" x14ac:dyDescent="0.35">
      <c r="A1007">
        <v>450</v>
      </c>
      <c r="B1007" t="s">
        <v>370</v>
      </c>
      <c r="C1007">
        <v>2088349.87</v>
      </c>
      <c r="D1007">
        <v>0</v>
      </c>
      <c r="E1007">
        <v>2088349.87</v>
      </c>
      <c r="F1007">
        <v>87542.97</v>
      </c>
      <c r="G1007">
        <v>37364.42</v>
      </c>
      <c r="H1007">
        <v>2000806.9</v>
      </c>
      <c r="I1007">
        <v>2050985.45</v>
      </c>
      <c r="J1007" t="s">
        <v>184</v>
      </c>
    </row>
    <row r="1008" spans="1:10" x14ac:dyDescent="0.35">
      <c r="A1008">
        <v>460</v>
      </c>
      <c r="B1008" t="s">
        <v>413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184</v>
      </c>
    </row>
    <row r="1009" spans="1:10" x14ac:dyDescent="0.35">
      <c r="A1009">
        <v>500</v>
      </c>
      <c r="B1009" t="s">
        <v>372</v>
      </c>
      <c r="C1009">
        <v>10389773.9</v>
      </c>
      <c r="D1009">
        <v>0</v>
      </c>
      <c r="E1009">
        <v>10389773.9</v>
      </c>
      <c r="F1009">
        <v>292225.45</v>
      </c>
      <c r="G1009">
        <v>23158.6</v>
      </c>
      <c r="H1009">
        <v>10097548.449999999</v>
      </c>
      <c r="I1009">
        <v>10366615.300000001</v>
      </c>
      <c r="J1009" t="s">
        <v>184</v>
      </c>
    </row>
    <row r="1010" spans="1:10" x14ac:dyDescent="0.35">
      <c r="A1010">
        <v>510</v>
      </c>
      <c r="B1010" t="s">
        <v>406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184</v>
      </c>
    </row>
    <row r="1011" spans="1:10" x14ac:dyDescent="0.35">
      <c r="A1011">
        <v>520</v>
      </c>
      <c r="B1011" t="s">
        <v>374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184</v>
      </c>
    </row>
    <row r="1012" spans="1:10" x14ac:dyDescent="0.35">
      <c r="A1012">
        <v>530</v>
      </c>
      <c r="B1012" t="s">
        <v>375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184</v>
      </c>
    </row>
    <row r="1013" spans="1:10" x14ac:dyDescent="0.35">
      <c r="A1013">
        <v>540</v>
      </c>
      <c r="B1013" t="s">
        <v>376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184</v>
      </c>
    </row>
    <row r="1014" spans="1:10" x14ac:dyDescent="0.35">
      <c r="A1014">
        <v>600</v>
      </c>
      <c r="B1014" t="s">
        <v>377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184</v>
      </c>
    </row>
    <row r="1015" spans="1:10" x14ac:dyDescent="0.35">
      <c r="A1015">
        <v>610</v>
      </c>
      <c r="B1015" t="s">
        <v>408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184</v>
      </c>
    </row>
    <row r="1016" spans="1:10" x14ac:dyDescent="0.35">
      <c r="A1016">
        <v>620</v>
      </c>
      <c r="B1016" t="s">
        <v>379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184</v>
      </c>
    </row>
    <row r="1017" spans="1:10" x14ac:dyDescent="0.35">
      <c r="A1017">
        <v>700</v>
      </c>
      <c r="B1017" t="s">
        <v>409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184</v>
      </c>
    </row>
    <row r="1018" spans="1:10" x14ac:dyDescent="0.35">
      <c r="A1018">
        <v>710</v>
      </c>
      <c r="B1018" t="s">
        <v>410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184</v>
      </c>
    </row>
    <row r="1019" spans="1:10" x14ac:dyDescent="0.35">
      <c r="A1019">
        <v>720</v>
      </c>
      <c r="B1019" t="s">
        <v>382</v>
      </c>
      <c r="C1019">
        <v>22380000</v>
      </c>
      <c r="D1019">
        <v>0</v>
      </c>
      <c r="E1019">
        <v>22380000</v>
      </c>
      <c r="F1019">
        <v>0</v>
      </c>
      <c r="G1019">
        <v>408500</v>
      </c>
      <c r="H1019">
        <v>22380000</v>
      </c>
      <c r="I1019">
        <v>21971500</v>
      </c>
      <c r="J1019" t="s">
        <v>184</v>
      </c>
    </row>
    <row r="1020" spans="1:10" x14ac:dyDescent="0.35">
      <c r="A1020">
        <v>730</v>
      </c>
      <c r="B1020" t="s">
        <v>383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184</v>
      </c>
    </row>
    <row r="1021" spans="1:10" x14ac:dyDescent="0.35">
      <c r="A1021">
        <v>740</v>
      </c>
      <c r="B1021" t="s">
        <v>384</v>
      </c>
      <c r="C1021">
        <v>-3761034.55</v>
      </c>
      <c r="D1021">
        <v>0</v>
      </c>
      <c r="E1021">
        <v>-3761034.55</v>
      </c>
      <c r="F1021">
        <v>0</v>
      </c>
      <c r="G1021">
        <v>-118799.57</v>
      </c>
      <c r="H1021">
        <v>-3761034.55</v>
      </c>
      <c r="I1021">
        <v>-3642234.98</v>
      </c>
      <c r="J1021" t="s">
        <v>184</v>
      </c>
    </row>
    <row r="1022" spans="1:10" x14ac:dyDescent="0.35">
      <c r="A1022">
        <v>750</v>
      </c>
      <c r="B1022" t="s">
        <v>385</v>
      </c>
      <c r="C1022">
        <v>-3559943.22</v>
      </c>
      <c r="D1022">
        <v>0</v>
      </c>
      <c r="E1022">
        <v>-3559943.22</v>
      </c>
      <c r="F1022">
        <v>-163274.13</v>
      </c>
      <c r="G1022">
        <v>-3559943.22</v>
      </c>
      <c r="H1022">
        <v>-3396669.09</v>
      </c>
      <c r="I1022">
        <v>0</v>
      </c>
      <c r="J1022" t="s">
        <v>184</v>
      </c>
    </row>
    <row r="1023" spans="1:10" x14ac:dyDescent="0.35">
      <c r="A1023">
        <v>760</v>
      </c>
      <c r="B1023" t="s">
        <v>386</v>
      </c>
      <c r="C1023">
        <v>-408500</v>
      </c>
      <c r="D1023">
        <v>0</v>
      </c>
      <c r="E1023">
        <v>-408500</v>
      </c>
      <c r="F1023">
        <v>0</v>
      </c>
      <c r="G1023">
        <v>5577000</v>
      </c>
      <c r="H1023">
        <v>-408500</v>
      </c>
      <c r="I1023">
        <v>-5985500</v>
      </c>
      <c r="J1023" t="s">
        <v>184</v>
      </c>
    </row>
    <row r="1024" spans="1:10" x14ac:dyDescent="0.35">
      <c r="A1024">
        <v>770</v>
      </c>
      <c r="B1024" t="s">
        <v>387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184</v>
      </c>
    </row>
    <row r="1025" spans="1:10" x14ac:dyDescent="0.35">
      <c r="A1025">
        <v>800</v>
      </c>
      <c r="B1025" t="s">
        <v>388</v>
      </c>
      <c r="C1025">
        <v>14750522.23</v>
      </c>
      <c r="D1025">
        <v>0</v>
      </c>
      <c r="E1025">
        <v>14750522.23</v>
      </c>
      <c r="F1025">
        <v>-163274.13</v>
      </c>
      <c r="G1025">
        <v>2306757.21</v>
      </c>
      <c r="H1025">
        <v>14913796.359999999</v>
      </c>
      <c r="I1025">
        <v>12443765.02</v>
      </c>
      <c r="J1025" t="s">
        <v>184</v>
      </c>
    </row>
    <row r="1026" spans="1:10" x14ac:dyDescent="0.35">
      <c r="A1026">
        <v>900</v>
      </c>
      <c r="B1026" t="s">
        <v>389</v>
      </c>
      <c r="C1026">
        <v>25140296.129999999</v>
      </c>
      <c r="D1026">
        <v>0</v>
      </c>
      <c r="E1026">
        <v>25140296.129999999</v>
      </c>
      <c r="F1026">
        <v>128951.32</v>
      </c>
      <c r="G1026">
        <v>2329915.81</v>
      </c>
      <c r="H1026">
        <v>25011344.809999999</v>
      </c>
      <c r="I1026">
        <v>22810380.32</v>
      </c>
      <c r="J1026" t="s">
        <v>184</v>
      </c>
    </row>
    <row r="1027" spans="1:10" x14ac:dyDescent="0.35">
      <c r="A1027">
        <v>1000</v>
      </c>
      <c r="B1027" t="s">
        <v>411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184</v>
      </c>
    </row>
    <row r="1028" spans="1:10" x14ac:dyDescent="0.35">
      <c r="A1028" t="s">
        <v>249</v>
      </c>
      <c r="B1028" t="s">
        <v>172</v>
      </c>
      <c r="C1028" t="s">
        <v>390</v>
      </c>
      <c r="D1028" t="s">
        <v>391</v>
      </c>
      <c r="E1028" t="s">
        <v>392</v>
      </c>
      <c r="F1028" t="s">
        <v>393</v>
      </c>
      <c r="G1028" t="s">
        <v>394</v>
      </c>
      <c r="H1028" t="s">
        <v>395</v>
      </c>
      <c r="I1028" t="s">
        <v>396</v>
      </c>
      <c r="J1028" t="s">
        <v>183</v>
      </c>
    </row>
    <row r="1029" spans="1:10" x14ac:dyDescent="0.35">
      <c r="A1029">
        <v>10</v>
      </c>
      <c r="B1029" t="s">
        <v>397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184</v>
      </c>
    </row>
    <row r="1030" spans="1:10" x14ac:dyDescent="0.35">
      <c r="A1030">
        <v>20</v>
      </c>
      <c r="B1030" t="s">
        <v>339</v>
      </c>
      <c r="C1030">
        <v>826722.75</v>
      </c>
      <c r="D1030">
        <v>0</v>
      </c>
      <c r="E1030">
        <v>826722.75</v>
      </c>
      <c r="F1030">
        <v>211775.02</v>
      </c>
      <c r="G1030">
        <v>-4687.8599999999997</v>
      </c>
      <c r="H1030">
        <v>614947.73</v>
      </c>
      <c r="I1030">
        <v>831410.61</v>
      </c>
      <c r="J1030" t="s">
        <v>184</v>
      </c>
    </row>
    <row r="1031" spans="1:10" x14ac:dyDescent="0.35">
      <c r="A1031">
        <v>30</v>
      </c>
      <c r="B1031" t="s">
        <v>340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184</v>
      </c>
    </row>
    <row r="1032" spans="1:10" x14ac:dyDescent="0.35">
      <c r="A1032">
        <v>40</v>
      </c>
      <c r="B1032" t="s">
        <v>341</v>
      </c>
      <c r="C1032">
        <v>8368622.1799999997</v>
      </c>
      <c r="D1032">
        <v>0</v>
      </c>
      <c r="E1032">
        <v>8368622.1799999997</v>
      </c>
      <c r="F1032">
        <v>3470.31</v>
      </c>
      <c r="G1032">
        <v>-296518.19</v>
      </c>
      <c r="H1032">
        <v>8365151.8700000001</v>
      </c>
      <c r="I1032">
        <v>8665140.3699999992</v>
      </c>
      <c r="J1032" t="s">
        <v>184</v>
      </c>
    </row>
    <row r="1033" spans="1:10" x14ac:dyDescent="0.35">
      <c r="A1033">
        <v>50</v>
      </c>
      <c r="B1033" t="s">
        <v>342</v>
      </c>
      <c r="C1033">
        <v>7236382.3399999999</v>
      </c>
      <c r="D1033">
        <v>0</v>
      </c>
      <c r="E1033">
        <v>7236382.3399999999</v>
      </c>
      <c r="F1033">
        <v>193260.48</v>
      </c>
      <c r="G1033">
        <v>-3391342.21</v>
      </c>
      <c r="H1033">
        <v>7043121.8600000003</v>
      </c>
      <c r="I1033">
        <v>10627724.550000001</v>
      </c>
      <c r="J1033" t="s">
        <v>184</v>
      </c>
    </row>
    <row r="1034" spans="1:10" x14ac:dyDescent="0.35">
      <c r="A1034">
        <v>60</v>
      </c>
      <c r="B1034" t="s">
        <v>343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184</v>
      </c>
    </row>
    <row r="1035" spans="1:10" x14ac:dyDescent="0.35">
      <c r="A1035">
        <v>70</v>
      </c>
      <c r="B1035" t="s">
        <v>344</v>
      </c>
      <c r="C1035">
        <v>-264493.58</v>
      </c>
      <c r="D1035">
        <v>0</v>
      </c>
      <c r="E1035">
        <v>-264493.58</v>
      </c>
      <c r="F1035">
        <v>12916.08</v>
      </c>
      <c r="G1035">
        <v>-71313.210000000006</v>
      </c>
      <c r="H1035">
        <v>-277409.65999999997</v>
      </c>
      <c r="I1035">
        <v>-193180.37</v>
      </c>
      <c r="J1035" t="s">
        <v>184</v>
      </c>
    </row>
    <row r="1036" spans="1:10" x14ac:dyDescent="0.35">
      <c r="A1036">
        <v>80</v>
      </c>
      <c r="B1036" t="s">
        <v>412</v>
      </c>
      <c r="C1036">
        <v>543501.85</v>
      </c>
      <c r="D1036">
        <v>0</v>
      </c>
      <c r="E1036">
        <v>543501.85</v>
      </c>
      <c r="F1036">
        <v>42556.28</v>
      </c>
      <c r="G1036">
        <v>322119.42</v>
      </c>
      <c r="H1036">
        <v>500945.57</v>
      </c>
      <c r="I1036">
        <v>221382.43</v>
      </c>
      <c r="J1036" t="s">
        <v>184</v>
      </c>
    </row>
    <row r="1037" spans="1:10" x14ac:dyDescent="0.35">
      <c r="A1037">
        <v>100</v>
      </c>
      <c r="B1037" t="s">
        <v>399</v>
      </c>
      <c r="C1037">
        <v>16710735.539999999</v>
      </c>
      <c r="D1037">
        <v>0</v>
      </c>
      <c r="E1037">
        <v>16710735.539999999</v>
      </c>
      <c r="F1037">
        <v>463978.17</v>
      </c>
      <c r="G1037">
        <v>-3441742.05</v>
      </c>
      <c r="H1037">
        <v>16246757.369999999</v>
      </c>
      <c r="I1037">
        <v>20152477.59</v>
      </c>
      <c r="J1037" t="s">
        <v>184</v>
      </c>
    </row>
    <row r="1038" spans="1:10" x14ac:dyDescent="0.35">
      <c r="A1038">
        <v>110</v>
      </c>
      <c r="B1038" t="s">
        <v>400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184</v>
      </c>
    </row>
    <row r="1039" spans="1:10" x14ac:dyDescent="0.35">
      <c r="A1039">
        <v>120</v>
      </c>
      <c r="B1039" t="s">
        <v>348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184</v>
      </c>
    </row>
    <row r="1040" spans="1:10" x14ac:dyDescent="0.35">
      <c r="A1040">
        <v>130</v>
      </c>
      <c r="B1040" t="s">
        <v>349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184</v>
      </c>
    </row>
    <row r="1041" spans="1:10" x14ac:dyDescent="0.35">
      <c r="A1041">
        <v>140</v>
      </c>
      <c r="B1041" t="s">
        <v>350</v>
      </c>
      <c r="C1041">
        <v>225245.68</v>
      </c>
      <c r="D1041">
        <v>0</v>
      </c>
      <c r="E1041">
        <v>225245.68</v>
      </c>
      <c r="F1041">
        <v>0</v>
      </c>
      <c r="G1041">
        <v>15640</v>
      </c>
      <c r="H1041">
        <v>225245.68</v>
      </c>
      <c r="I1041">
        <v>209605.68</v>
      </c>
      <c r="J1041" t="s">
        <v>184</v>
      </c>
    </row>
    <row r="1042" spans="1:10" x14ac:dyDescent="0.35">
      <c r="A1042">
        <v>150</v>
      </c>
      <c r="B1042" t="s">
        <v>351</v>
      </c>
      <c r="C1042">
        <v>228783.83</v>
      </c>
      <c r="D1042">
        <v>0</v>
      </c>
      <c r="E1042">
        <v>228783.83</v>
      </c>
      <c r="F1042">
        <v>0</v>
      </c>
      <c r="G1042">
        <v>0</v>
      </c>
      <c r="H1042">
        <v>228783.83</v>
      </c>
      <c r="I1042">
        <v>228783.83</v>
      </c>
      <c r="J1042" t="s">
        <v>184</v>
      </c>
    </row>
    <row r="1043" spans="1:10" x14ac:dyDescent="0.35">
      <c r="A1043">
        <v>160</v>
      </c>
      <c r="B1043" t="s">
        <v>352</v>
      </c>
      <c r="C1043">
        <v>928658.3</v>
      </c>
      <c r="D1043">
        <v>0</v>
      </c>
      <c r="E1043">
        <v>928658.3</v>
      </c>
      <c r="F1043">
        <v>256034.48</v>
      </c>
      <c r="G1043">
        <v>256034.48</v>
      </c>
      <c r="H1043">
        <v>672623.82</v>
      </c>
      <c r="I1043">
        <v>672623.82</v>
      </c>
      <c r="J1043" t="s">
        <v>184</v>
      </c>
    </row>
    <row r="1044" spans="1:10" x14ac:dyDescent="0.35">
      <c r="A1044">
        <v>170</v>
      </c>
      <c r="B1044" t="s">
        <v>353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184</v>
      </c>
    </row>
    <row r="1045" spans="1:10" x14ac:dyDescent="0.35">
      <c r="A1045">
        <v>180</v>
      </c>
      <c r="B1045" t="s">
        <v>354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184</v>
      </c>
    </row>
    <row r="1046" spans="1:10" x14ac:dyDescent="0.35">
      <c r="A1046">
        <v>190</v>
      </c>
      <c r="B1046" t="s">
        <v>355</v>
      </c>
      <c r="C1046">
        <v>-2340115.39</v>
      </c>
      <c r="D1046">
        <v>0</v>
      </c>
      <c r="E1046">
        <v>-2340115.39</v>
      </c>
      <c r="F1046">
        <v>-24823.91</v>
      </c>
      <c r="G1046">
        <v>-227779.23</v>
      </c>
      <c r="H1046">
        <v>-2315291.48</v>
      </c>
      <c r="I1046">
        <v>-2112336.16</v>
      </c>
      <c r="J1046" t="s">
        <v>184</v>
      </c>
    </row>
    <row r="1047" spans="1:10" x14ac:dyDescent="0.35">
      <c r="A1047">
        <v>200</v>
      </c>
      <c r="B1047" t="s">
        <v>356</v>
      </c>
      <c r="C1047">
        <v>15921792.189999999</v>
      </c>
      <c r="D1047">
        <v>0</v>
      </c>
      <c r="E1047">
        <v>15921792.189999999</v>
      </c>
      <c r="F1047">
        <v>231210.57</v>
      </c>
      <c r="G1047">
        <v>43895.25</v>
      </c>
      <c r="H1047">
        <v>15690581.619999999</v>
      </c>
      <c r="I1047">
        <v>15877896.939999999</v>
      </c>
      <c r="J1047" t="s">
        <v>184</v>
      </c>
    </row>
    <row r="1048" spans="1:10" x14ac:dyDescent="0.35">
      <c r="A1048">
        <v>210</v>
      </c>
      <c r="B1048" t="s">
        <v>401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184</v>
      </c>
    </row>
    <row r="1049" spans="1:10" x14ac:dyDescent="0.35">
      <c r="A1049">
        <v>220</v>
      </c>
      <c r="B1049" t="s">
        <v>358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184</v>
      </c>
    </row>
    <row r="1050" spans="1:10" x14ac:dyDescent="0.35">
      <c r="A1050">
        <v>230</v>
      </c>
      <c r="B1050" t="s">
        <v>359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184</v>
      </c>
    </row>
    <row r="1051" spans="1:10" x14ac:dyDescent="0.35">
      <c r="A1051">
        <v>240</v>
      </c>
      <c r="B1051" t="s">
        <v>360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184</v>
      </c>
    </row>
    <row r="1052" spans="1:10" x14ac:dyDescent="0.35">
      <c r="A1052">
        <v>250</v>
      </c>
      <c r="B1052" t="s">
        <v>361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184</v>
      </c>
    </row>
    <row r="1053" spans="1:10" x14ac:dyDescent="0.35">
      <c r="A1053">
        <v>260</v>
      </c>
      <c r="B1053" t="s">
        <v>362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184</v>
      </c>
    </row>
    <row r="1054" spans="1:10" x14ac:dyDescent="0.35">
      <c r="A1054">
        <v>270</v>
      </c>
      <c r="B1054" t="s">
        <v>363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184</v>
      </c>
    </row>
    <row r="1055" spans="1:10" x14ac:dyDescent="0.35">
      <c r="A1055">
        <v>280</v>
      </c>
      <c r="B1055" t="s">
        <v>402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184</v>
      </c>
    </row>
    <row r="1056" spans="1:10" x14ac:dyDescent="0.35">
      <c r="A1056">
        <v>400</v>
      </c>
      <c r="B1056" t="s">
        <v>365</v>
      </c>
      <c r="C1056">
        <v>32632527.73</v>
      </c>
      <c r="D1056">
        <v>0</v>
      </c>
      <c r="E1056">
        <v>32632527.73</v>
      </c>
      <c r="F1056">
        <v>695188.74</v>
      </c>
      <c r="G1056">
        <v>-3397846.8</v>
      </c>
      <c r="H1056">
        <v>31937338.989999998</v>
      </c>
      <c r="I1056">
        <v>36030374.530000001</v>
      </c>
      <c r="J1056" t="s">
        <v>184</v>
      </c>
    </row>
    <row r="1057" spans="1:10" x14ac:dyDescent="0.35">
      <c r="A1057">
        <v>410</v>
      </c>
      <c r="B1057" t="s">
        <v>403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184</v>
      </c>
    </row>
    <row r="1058" spans="1:10" x14ac:dyDescent="0.35">
      <c r="A1058">
        <v>420</v>
      </c>
      <c r="B1058" t="s">
        <v>367</v>
      </c>
      <c r="C1058">
        <v>397238.41</v>
      </c>
      <c r="D1058">
        <v>0</v>
      </c>
      <c r="E1058">
        <v>397238.41</v>
      </c>
      <c r="F1058">
        <v>158000</v>
      </c>
      <c r="G1058">
        <v>90000.01</v>
      </c>
      <c r="H1058">
        <v>239238.41</v>
      </c>
      <c r="I1058">
        <v>307238.40000000002</v>
      </c>
      <c r="J1058" t="s">
        <v>184</v>
      </c>
    </row>
    <row r="1059" spans="1:10" x14ac:dyDescent="0.35">
      <c r="A1059">
        <v>430</v>
      </c>
      <c r="B1059" t="s">
        <v>368</v>
      </c>
      <c r="C1059">
        <v>2456621.6</v>
      </c>
      <c r="D1059">
        <v>0</v>
      </c>
      <c r="E1059">
        <v>2456621.6</v>
      </c>
      <c r="F1059">
        <v>0</v>
      </c>
      <c r="G1059">
        <v>207293.94</v>
      </c>
      <c r="H1059">
        <v>2456621.6</v>
      </c>
      <c r="I1059">
        <v>2249327.66</v>
      </c>
      <c r="J1059" t="s">
        <v>184</v>
      </c>
    </row>
    <row r="1060" spans="1:10" x14ac:dyDescent="0.35">
      <c r="A1060">
        <v>440</v>
      </c>
      <c r="B1060" t="s">
        <v>369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184</v>
      </c>
    </row>
    <row r="1061" spans="1:10" x14ac:dyDescent="0.35">
      <c r="A1061">
        <v>450</v>
      </c>
      <c r="B1061" t="s">
        <v>370</v>
      </c>
      <c r="C1061">
        <v>732791.87</v>
      </c>
      <c r="D1061">
        <v>0</v>
      </c>
      <c r="E1061">
        <v>732791.87</v>
      </c>
      <c r="F1061">
        <v>-88924.66</v>
      </c>
      <c r="G1061">
        <v>-145093.69</v>
      </c>
      <c r="H1061">
        <v>821716.53</v>
      </c>
      <c r="I1061">
        <v>877885.56</v>
      </c>
      <c r="J1061" t="s">
        <v>184</v>
      </c>
    </row>
    <row r="1062" spans="1:10" x14ac:dyDescent="0.35">
      <c r="A1062">
        <v>460</v>
      </c>
      <c r="B1062" t="s">
        <v>405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184</v>
      </c>
    </row>
    <row r="1063" spans="1:10" x14ac:dyDescent="0.35">
      <c r="A1063">
        <v>500</v>
      </c>
      <c r="B1063" t="s">
        <v>372</v>
      </c>
      <c r="C1063">
        <v>3586651.88</v>
      </c>
      <c r="D1063">
        <v>0</v>
      </c>
      <c r="E1063">
        <v>3586651.88</v>
      </c>
      <c r="F1063">
        <v>69075.34</v>
      </c>
      <c r="G1063">
        <v>152200.26</v>
      </c>
      <c r="H1063">
        <v>3517576.54</v>
      </c>
      <c r="I1063">
        <v>3434451.62</v>
      </c>
      <c r="J1063" t="s">
        <v>184</v>
      </c>
    </row>
    <row r="1064" spans="1:10" x14ac:dyDescent="0.35">
      <c r="A1064">
        <v>510</v>
      </c>
      <c r="B1064" t="s">
        <v>406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184</v>
      </c>
    </row>
    <row r="1065" spans="1:10" x14ac:dyDescent="0.35">
      <c r="A1065">
        <v>520</v>
      </c>
      <c r="B1065" t="s">
        <v>374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184</v>
      </c>
    </row>
    <row r="1066" spans="1:10" x14ac:dyDescent="0.35">
      <c r="A1066">
        <v>530</v>
      </c>
      <c r="B1066" t="s">
        <v>375</v>
      </c>
      <c r="C1066">
        <v>-0.02</v>
      </c>
      <c r="D1066">
        <v>0</v>
      </c>
      <c r="E1066">
        <v>-0.02</v>
      </c>
      <c r="F1066">
        <v>0</v>
      </c>
      <c r="G1066">
        <v>-5406338.1100000003</v>
      </c>
      <c r="H1066">
        <v>-0.02</v>
      </c>
      <c r="I1066">
        <v>5406338.0899999999</v>
      </c>
      <c r="J1066" t="s">
        <v>184</v>
      </c>
    </row>
    <row r="1067" spans="1:10" x14ac:dyDescent="0.35">
      <c r="A1067">
        <v>540</v>
      </c>
      <c r="B1067" t="s">
        <v>376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184</v>
      </c>
    </row>
    <row r="1068" spans="1:10" x14ac:dyDescent="0.35">
      <c r="A1068">
        <v>600</v>
      </c>
      <c r="B1068" t="s">
        <v>377</v>
      </c>
      <c r="C1068">
        <v>-0.02</v>
      </c>
      <c r="D1068">
        <v>0</v>
      </c>
      <c r="E1068">
        <v>-0.02</v>
      </c>
      <c r="F1068">
        <v>0</v>
      </c>
      <c r="G1068">
        <v>-5406338.1100000003</v>
      </c>
      <c r="H1068">
        <v>-0.02</v>
      </c>
      <c r="I1068">
        <v>5406338.0899999999</v>
      </c>
      <c r="J1068" t="s">
        <v>184</v>
      </c>
    </row>
    <row r="1069" spans="1:10" x14ac:dyDescent="0.35">
      <c r="A1069">
        <v>610</v>
      </c>
      <c r="B1069" t="s">
        <v>408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184</v>
      </c>
    </row>
    <row r="1070" spans="1:10" x14ac:dyDescent="0.35">
      <c r="A1070">
        <v>620</v>
      </c>
      <c r="B1070" t="s">
        <v>379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184</v>
      </c>
    </row>
    <row r="1071" spans="1:10" x14ac:dyDescent="0.35">
      <c r="A1071">
        <v>700</v>
      </c>
      <c r="B1071" t="s">
        <v>409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184</v>
      </c>
    </row>
    <row r="1072" spans="1:10" x14ac:dyDescent="0.35">
      <c r="A1072">
        <v>710</v>
      </c>
      <c r="B1072" t="s">
        <v>410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184</v>
      </c>
    </row>
    <row r="1073" spans="1:10" x14ac:dyDescent="0.35">
      <c r="A1073">
        <v>720</v>
      </c>
      <c r="B1073" t="s">
        <v>382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184</v>
      </c>
    </row>
    <row r="1074" spans="1:10" x14ac:dyDescent="0.35">
      <c r="A1074">
        <v>730</v>
      </c>
      <c r="B1074" t="s">
        <v>383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184</v>
      </c>
    </row>
    <row r="1075" spans="1:10" x14ac:dyDescent="0.35">
      <c r="A1075">
        <v>740</v>
      </c>
      <c r="B1075" t="s">
        <v>384</v>
      </c>
      <c r="C1075">
        <v>18586705.289999999</v>
      </c>
      <c r="D1075">
        <v>0</v>
      </c>
      <c r="E1075">
        <v>18586705.289999999</v>
      </c>
      <c r="F1075">
        <v>0</v>
      </c>
      <c r="G1075">
        <v>-282378.23999999999</v>
      </c>
      <c r="H1075">
        <v>18586705.289999999</v>
      </c>
      <c r="I1075">
        <v>18869083.530000001</v>
      </c>
      <c r="J1075" t="s">
        <v>184</v>
      </c>
    </row>
    <row r="1076" spans="1:10" x14ac:dyDescent="0.35">
      <c r="A1076">
        <v>750</v>
      </c>
      <c r="B1076" t="s">
        <v>385</v>
      </c>
      <c r="C1076">
        <v>2138669.29</v>
      </c>
      <c r="D1076">
        <v>2693098</v>
      </c>
      <c r="E1076">
        <v>-554428.71</v>
      </c>
      <c r="F1076">
        <v>626113.4</v>
      </c>
      <c r="G1076">
        <v>2138669.29</v>
      </c>
      <c r="H1076">
        <v>1512555.89</v>
      </c>
      <c r="I1076">
        <v>0</v>
      </c>
      <c r="J1076" t="s">
        <v>184</v>
      </c>
    </row>
    <row r="1077" spans="1:10" x14ac:dyDescent="0.35">
      <c r="A1077">
        <v>760</v>
      </c>
      <c r="B1077" t="s">
        <v>386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184</v>
      </c>
    </row>
    <row r="1078" spans="1:10" x14ac:dyDescent="0.35">
      <c r="A1078">
        <v>770</v>
      </c>
      <c r="B1078" t="s">
        <v>387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184</v>
      </c>
    </row>
    <row r="1079" spans="1:10" x14ac:dyDescent="0.35">
      <c r="A1079">
        <v>800</v>
      </c>
      <c r="B1079" t="s">
        <v>388</v>
      </c>
      <c r="C1079">
        <v>29045875.870000001</v>
      </c>
      <c r="D1079">
        <v>2693098</v>
      </c>
      <c r="E1079">
        <v>26352777.870000001</v>
      </c>
      <c r="F1079">
        <v>626113.4</v>
      </c>
      <c r="G1079">
        <v>1856291.05</v>
      </c>
      <c r="H1079">
        <v>28419762.469999999</v>
      </c>
      <c r="I1079">
        <v>27189584.82</v>
      </c>
      <c r="J1079" t="s">
        <v>184</v>
      </c>
    </row>
    <row r="1080" spans="1:10" x14ac:dyDescent="0.35">
      <c r="A1080">
        <v>900</v>
      </c>
      <c r="B1080" t="s">
        <v>389</v>
      </c>
      <c r="C1080">
        <v>32632527.73</v>
      </c>
      <c r="D1080">
        <v>2693098</v>
      </c>
      <c r="E1080">
        <v>29939429.73</v>
      </c>
      <c r="F1080">
        <v>695188.74</v>
      </c>
      <c r="G1080">
        <v>-3397846.8</v>
      </c>
      <c r="H1080">
        <v>31937338.989999998</v>
      </c>
      <c r="I1080">
        <v>36030374.530000001</v>
      </c>
      <c r="J1080" t="s">
        <v>184</v>
      </c>
    </row>
    <row r="1081" spans="1:10" x14ac:dyDescent="0.35">
      <c r="A1081">
        <v>1000</v>
      </c>
      <c r="B1081" t="s">
        <v>411</v>
      </c>
      <c r="C1081">
        <v>0</v>
      </c>
      <c r="D1081">
        <v>-2693098</v>
      </c>
      <c r="E1081">
        <v>2693098</v>
      </c>
      <c r="F1081">
        <v>0</v>
      </c>
      <c r="G1081">
        <v>0</v>
      </c>
      <c r="H1081">
        <v>0</v>
      </c>
      <c r="I1081">
        <v>0</v>
      </c>
      <c r="J1081" t="s">
        <v>184</v>
      </c>
    </row>
    <row r="1082" spans="1:10" x14ac:dyDescent="0.35">
      <c r="A1082" t="s">
        <v>251</v>
      </c>
      <c r="B1082" t="s">
        <v>172</v>
      </c>
      <c r="C1082" t="s">
        <v>390</v>
      </c>
      <c r="D1082" t="s">
        <v>391</v>
      </c>
      <c r="E1082" t="s">
        <v>392</v>
      </c>
      <c r="F1082" t="s">
        <v>393</v>
      </c>
      <c r="G1082" t="s">
        <v>394</v>
      </c>
      <c r="H1082" t="s">
        <v>395</v>
      </c>
      <c r="I1082" t="s">
        <v>396</v>
      </c>
      <c r="J1082" t="s">
        <v>183</v>
      </c>
    </row>
    <row r="1083" spans="1:10" x14ac:dyDescent="0.35">
      <c r="A1083">
        <v>10</v>
      </c>
      <c r="B1083" t="s">
        <v>397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184</v>
      </c>
    </row>
    <row r="1084" spans="1:10" x14ac:dyDescent="0.35">
      <c r="A1084">
        <v>20</v>
      </c>
      <c r="B1084" t="s">
        <v>339</v>
      </c>
      <c r="C1084">
        <v>6003584.5999999996</v>
      </c>
      <c r="D1084">
        <v>0</v>
      </c>
      <c r="E1084">
        <v>6003584.5999999996</v>
      </c>
      <c r="F1084">
        <v>1827393.15</v>
      </c>
      <c r="G1084">
        <v>1967527.65</v>
      </c>
      <c r="H1084">
        <v>4176191.45</v>
      </c>
      <c r="I1084">
        <v>4036056.95</v>
      </c>
      <c r="J1084" t="s">
        <v>184</v>
      </c>
    </row>
    <row r="1085" spans="1:10" x14ac:dyDescent="0.35">
      <c r="A1085">
        <v>30</v>
      </c>
      <c r="B1085" t="s">
        <v>340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184</v>
      </c>
    </row>
    <row r="1086" spans="1:10" x14ac:dyDescent="0.35">
      <c r="A1086">
        <v>40</v>
      </c>
      <c r="B1086" t="s">
        <v>341</v>
      </c>
      <c r="C1086">
        <v>132907957.67</v>
      </c>
      <c r="D1086">
        <v>0</v>
      </c>
      <c r="E1086">
        <v>132907957.67</v>
      </c>
      <c r="F1086">
        <v>2050325.3</v>
      </c>
      <c r="G1086">
        <v>11914102.08</v>
      </c>
      <c r="H1086">
        <v>130857632.37</v>
      </c>
      <c r="I1086">
        <v>120993855.59</v>
      </c>
      <c r="J1086" t="s">
        <v>184</v>
      </c>
    </row>
    <row r="1087" spans="1:10" x14ac:dyDescent="0.35">
      <c r="A1087">
        <v>50</v>
      </c>
      <c r="B1087" t="s">
        <v>342</v>
      </c>
      <c r="C1087">
        <v>27538623.010000002</v>
      </c>
      <c r="D1087">
        <v>0</v>
      </c>
      <c r="E1087">
        <v>27538623.010000002</v>
      </c>
      <c r="F1087">
        <v>61128.88</v>
      </c>
      <c r="G1087">
        <v>5142021.1500000004</v>
      </c>
      <c r="H1087">
        <v>27477494.129999999</v>
      </c>
      <c r="I1087">
        <v>22396601.859999999</v>
      </c>
      <c r="J1087" t="s">
        <v>184</v>
      </c>
    </row>
    <row r="1088" spans="1:10" x14ac:dyDescent="0.35">
      <c r="A1088">
        <v>60</v>
      </c>
      <c r="B1088" t="s">
        <v>343</v>
      </c>
      <c r="C1088">
        <v>156839045.19</v>
      </c>
      <c r="D1088">
        <v>0</v>
      </c>
      <c r="E1088">
        <v>156839045.19</v>
      </c>
      <c r="F1088">
        <v>-1642770.67</v>
      </c>
      <c r="G1088">
        <v>-7222253.8300000001</v>
      </c>
      <c r="H1088">
        <v>158481815.86000001</v>
      </c>
      <c r="I1088">
        <v>164061299.02000001</v>
      </c>
      <c r="J1088" t="s">
        <v>184</v>
      </c>
    </row>
    <row r="1089" spans="1:10" x14ac:dyDescent="0.35">
      <c r="A1089">
        <v>70</v>
      </c>
      <c r="B1089" t="s">
        <v>344</v>
      </c>
      <c r="C1089">
        <v>3363900.33</v>
      </c>
      <c r="D1089">
        <v>0</v>
      </c>
      <c r="E1089">
        <v>3363900.33</v>
      </c>
      <c r="F1089">
        <v>258220</v>
      </c>
      <c r="G1089">
        <v>725324.9</v>
      </c>
      <c r="H1089">
        <v>3105680.33</v>
      </c>
      <c r="I1089">
        <v>2638575.4300000002</v>
      </c>
      <c r="J1089" t="s">
        <v>184</v>
      </c>
    </row>
    <row r="1090" spans="1:10" x14ac:dyDescent="0.35">
      <c r="A1090">
        <v>80</v>
      </c>
      <c r="B1090" t="s">
        <v>412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184</v>
      </c>
    </row>
    <row r="1091" spans="1:10" x14ac:dyDescent="0.35">
      <c r="A1091">
        <v>100</v>
      </c>
      <c r="B1091" t="s">
        <v>399</v>
      </c>
      <c r="C1091">
        <v>326653110.80000001</v>
      </c>
      <c r="D1091">
        <v>0</v>
      </c>
      <c r="E1091">
        <v>326653110.80000001</v>
      </c>
      <c r="F1091">
        <v>2554296.66</v>
      </c>
      <c r="G1091">
        <v>12526721.949999999</v>
      </c>
      <c r="H1091">
        <v>324098814.13999999</v>
      </c>
      <c r="I1091">
        <v>314126388.85000002</v>
      </c>
      <c r="J1091" t="s">
        <v>184</v>
      </c>
    </row>
    <row r="1092" spans="1:10" x14ac:dyDescent="0.35">
      <c r="A1092">
        <v>110</v>
      </c>
      <c r="B1092" t="s">
        <v>400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184</v>
      </c>
    </row>
    <row r="1093" spans="1:10" x14ac:dyDescent="0.35">
      <c r="A1093">
        <v>120</v>
      </c>
      <c r="B1093" t="s">
        <v>348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184</v>
      </c>
    </row>
    <row r="1094" spans="1:10" x14ac:dyDescent="0.35">
      <c r="A1094">
        <v>130</v>
      </c>
      <c r="B1094" t="s">
        <v>349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184</v>
      </c>
    </row>
    <row r="1095" spans="1:10" x14ac:dyDescent="0.35">
      <c r="A1095">
        <v>140</v>
      </c>
      <c r="B1095" t="s">
        <v>350</v>
      </c>
      <c r="C1095">
        <v>13947.86</v>
      </c>
      <c r="D1095">
        <v>0</v>
      </c>
      <c r="E1095">
        <v>13947.86</v>
      </c>
      <c r="F1095">
        <v>0</v>
      </c>
      <c r="G1095">
        <v>0</v>
      </c>
      <c r="H1095">
        <v>13947.86</v>
      </c>
      <c r="I1095">
        <v>13947.86</v>
      </c>
      <c r="J1095" t="s">
        <v>184</v>
      </c>
    </row>
    <row r="1096" spans="1:10" x14ac:dyDescent="0.35">
      <c r="A1096">
        <v>150</v>
      </c>
      <c r="B1096" t="s">
        <v>351</v>
      </c>
      <c r="C1096">
        <v>101135.43</v>
      </c>
      <c r="D1096">
        <v>0</v>
      </c>
      <c r="E1096">
        <v>101135.43</v>
      </c>
      <c r="F1096">
        <v>0</v>
      </c>
      <c r="G1096">
        <v>30844.13</v>
      </c>
      <c r="H1096">
        <v>101135.43</v>
      </c>
      <c r="I1096">
        <v>70291.3</v>
      </c>
      <c r="J1096" t="s">
        <v>184</v>
      </c>
    </row>
    <row r="1097" spans="1:10" x14ac:dyDescent="0.35">
      <c r="A1097">
        <v>160</v>
      </c>
      <c r="B1097" t="s">
        <v>352</v>
      </c>
      <c r="C1097">
        <v>695471.89</v>
      </c>
      <c r="D1097">
        <v>0</v>
      </c>
      <c r="E1097">
        <v>695471.89</v>
      </c>
      <c r="F1097">
        <v>0</v>
      </c>
      <c r="G1097">
        <v>344047</v>
      </c>
      <c r="H1097">
        <v>695471.89</v>
      </c>
      <c r="I1097">
        <v>351424.89</v>
      </c>
      <c r="J1097" t="s">
        <v>184</v>
      </c>
    </row>
    <row r="1098" spans="1:10" x14ac:dyDescent="0.35">
      <c r="A1098">
        <v>170</v>
      </c>
      <c r="B1098" t="s">
        <v>353</v>
      </c>
      <c r="C1098">
        <v>146104.93</v>
      </c>
      <c r="D1098">
        <v>0</v>
      </c>
      <c r="E1098">
        <v>146104.93</v>
      </c>
      <c r="F1098">
        <v>0</v>
      </c>
      <c r="G1098">
        <v>35000</v>
      </c>
      <c r="H1098">
        <v>146104.93</v>
      </c>
      <c r="I1098">
        <v>111104.93</v>
      </c>
      <c r="J1098" t="s">
        <v>184</v>
      </c>
    </row>
    <row r="1099" spans="1:10" x14ac:dyDescent="0.35">
      <c r="A1099">
        <v>180</v>
      </c>
      <c r="B1099" t="s">
        <v>354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184</v>
      </c>
    </row>
    <row r="1100" spans="1:10" x14ac:dyDescent="0.35">
      <c r="A1100">
        <v>190</v>
      </c>
      <c r="B1100" t="s">
        <v>355</v>
      </c>
      <c r="C1100">
        <v>-453610.59</v>
      </c>
      <c r="D1100">
        <v>0</v>
      </c>
      <c r="E1100">
        <v>-453610.59</v>
      </c>
      <c r="F1100">
        <v>0</v>
      </c>
      <c r="G1100">
        <v>-38249.879999999997</v>
      </c>
      <c r="H1100">
        <v>-453610.59</v>
      </c>
      <c r="I1100">
        <v>-415360.71</v>
      </c>
      <c r="J1100" t="s">
        <v>184</v>
      </c>
    </row>
    <row r="1101" spans="1:10" x14ac:dyDescent="0.35">
      <c r="A1101">
        <v>200</v>
      </c>
      <c r="B1101" t="s">
        <v>356</v>
      </c>
      <c r="C1101">
        <v>503049.52</v>
      </c>
      <c r="D1101">
        <v>0</v>
      </c>
      <c r="E1101">
        <v>503049.52</v>
      </c>
      <c r="F1101">
        <v>0</v>
      </c>
      <c r="G1101">
        <v>371641.25</v>
      </c>
      <c r="H1101">
        <v>503049.52</v>
      </c>
      <c r="I1101">
        <v>131408.26999999999</v>
      </c>
      <c r="J1101" t="s">
        <v>184</v>
      </c>
    </row>
    <row r="1102" spans="1:10" x14ac:dyDescent="0.35">
      <c r="A1102">
        <v>210</v>
      </c>
      <c r="B1102" t="s">
        <v>401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184</v>
      </c>
    </row>
    <row r="1103" spans="1:10" x14ac:dyDescent="0.35">
      <c r="A1103">
        <v>220</v>
      </c>
      <c r="B1103" t="s">
        <v>358</v>
      </c>
      <c r="C1103">
        <v>25658.66</v>
      </c>
      <c r="D1103">
        <v>0</v>
      </c>
      <c r="E1103">
        <v>25658.66</v>
      </c>
      <c r="F1103">
        <v>0</v>
      </c>
      <c r="G1103">
        <v>0</v>
      </c>
      <c r="H1103">
        <v>25658.66</v>
      </c>
      <c r="I1103">
        <v>25658.66</v>
      </c>
      <c r="J1103" t="s">
        <v>184</v>
      </c>
    </row>
    <row r="1104" spans="1:10" x14ac:dyDescent="0.35">
      <c r="A1104">
        <v>230</v>
      </c>
      <c r="B1104" t="s">
        <v>359</v>
      </c>
      <c r="C1104">
        <v>35621119.240000002</v>
      </c>
      <c r="D1104">
        <v>0</v>
      </c>
      <c r="E1104">
        <v>35621119.240000002</v>
      </c>
      <c r="F1104">
        <v>-452749.14</v>
      </c>
      <c r="G1104">
        <v>-1829542.35</v>
      </c>
      <c r="H1104">
        <v>36073868.380000003</v>
      </c>
      <c r="I1104">
        <v>37450661.590000004</v>
      </c>
      <c r="J1104" t="s">
        <v>184</v>
      </c>
    </row>
    <row r="1105" spans="1:10" x14ac:dyDescent="0.35">
      <c r="A1105">
        <v>240</v>
      </c>
      <c r="B1105" t="s">
        <v>360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184</v>
      </c>
    </row>
    <row r="1106" spans="1:10" x14ac:dyDescent="0.35">
      <c r="A1106">
        <v>250</v>
      </c>
      <c r="B1106" t="s">
        <v>361</v>
      </c>
      <c r="C1106">
        <v>35646777.899999999</v>
      </c>
      <c r="D1106">
        <v>0</v>
      </c>
      <c r="E1106">
        <v>35646777.899999999</v>
      </c>
      <c r="F1106">
        <v>-452749.14</v>
      </c>
      <c r="G1106">
        <v>-1829542.35</v>
      </c>
      <c r="H1106">
        <v>36099527.039999999</v>
      </c>
      <c r="I1106">
        <v>37476320.25</v>
      </c>
      <c r="J1106" t="s">
        <v>184</v>
      </c>
    </row>
    <row r="1107" spans="1:10" x14ac:dyDescent="0.35">
      <c r="A1107">
        <v>260</v>
      </c>
      <c r="B1107" t="s">
        <v>362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184</v>
      </c>
    </row>
    <row r="1108" spans="1:10" x14ac:dyDescent="0.35">
      <c r="A1108">
        <v>270</v>
      </c>
      <c r="B1108" t="s">
        <v>363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184</v>
      </c>
    </row>
    <row r="1109" spans="1:10" x14ac:dyDescent="0.35">
      <c r="A1109">
        <v>280</v>
      </c>
      <c r="B1109" t="s">
        <v>402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184</v>
      </c>
    </row>
    <row r="1110" spans="1:10" x14ac:dyDescent="0.35">
      <c r="A1110">
        <v>400</v>
      </c>
      <c r="B1110" t="s">
        <v>365</v>
      </c>
      <c r="C1110">
        <v>362802938.22000003</v>
      </c>
      <c r="D1110">
        <v>0</v>
      </c>
      <c r="E1110">
        <v>362802938.22000003</v>
      </c>
      <c r="F1110">
        <v>2101547.52</v>
      </c>
      <c r="G1110">
        <v>11068820.85</v>
      </c>
      <c r="H1110">
        <v>360701390.69999999</v>
      </c>
      <c r="I1110">
        <v>351734117.37</v>
      </c>
      <c r="J1110" t="s">
        <v>184</v>
      </c>
    </row>
    <row r="1111" spans="1:10" x14ac:dyDescent="0.35">
      <c r="A1111">
        <v>410</v>
      </c>
      <c r="B1111" t="s">
        <v>403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184</v>
      </c>
    </row>
    <row r="1112" spans="1:10" x14ac:dyDescent="0.35">
      <c r="A1112">
        <v>420</v>
      </c>
      <c r="B1112" t="s">
        <v>367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184</v>
      </c>
    </row>
    <row r="1113" spans="1:10" x14ac:dyDescent="0.35">
      <c r="A1113">
        <v>430</v>
      </c>
      <c r="B1113" t="s">
        <v>368</v>
      </c>
      <c r="C1113">
        <v>7376645.46</v>
      </c>
      <c r="D1113">
        <v>0</v>
      </c>
      <c r="E1113">
        <v>7376645.46</v>
      </c>
      <c r="F1113">
        <v>-335364.74</v>
      </c>
      <c r="G1113">
        <v>-140851.35999999999</v>
      </c>
      <c r="H1113">
        <v>7712010.2000000002</v>
      </c>
      <c r="I1113">
        <v>7517496.8200000003</v>
      </c>
      <c r="J1113" t="s">
        <v>184</v>
      </c>
    </row>
    <row r="1114" spans="1:10" x14ac:dyDescent="0.35">
      <c r="A1114">
        <v>440</v>
      </c>
      <c r="B1114" t="s">
        <v>369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184</v>
      </c>
    </row>
    <row r="1115" spans="1:10" x14ac:dyDescent="0.35">
      <c r="A1115">
        <v>450</v>
      </c>
      <c r="B1115" t="s">
        <v>370</v>
      </c>
      <c r="C1115">
        <v>2841458.79</v>
      </c>
      <c r="D1115">
        <v>0</v>
      </c>
      <c r="E1115">
        <v>2841458.79</v>
      </c>
      <c r="F1115">
        <v>533.63</v>
      </c>
      <c r="G1115">
        <v>-45196.9</v>
      </c>
      <c r="H1115">
        <v>2840925.16</v>
      </c>
      <c r="I1115">
        <v>2886655.69</v>
      </c>
      <c r="J1115" t="s">
        <v>184</v>
      </c>
    </row>
    <row r="1116" spans="1:10" x14ac:dyDescent="0.35">
      <c r="A1116">
        <v>460</v>
      </c>
      <c r="B1116" t="s">
        <v>405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184</v>
      </c>
    </row>
    <row r="1117" spans="1:10" x14ac:dyDescent="0.35">
      <c r="A1117">
        <v>500</v>
      </c>
      <c r="B1117" t="s">
        <v>372</v>
      </c>
      <c r="C1117">
        <v>10218104.25</v>
      </c>
      <c r="D1117">
        <v>0</v>
      </c>
      <c r="E1117">
        <v>10218104.25</v>
      </c>
      <c r="F1117">
        <v>-334831.11</v>
      </c>
      <c r="G1117">
        <v>-186048.26</v>
      </c>
      <c r="H1117">
        <v>10552935.359999999</v>
      </c>
      <c r="I1117">
        <v>10404152.51</v>
      </c>
      <c r="J1117" t="s">
        <v>184</v>
      </c>
    </row>
    <row r="1118" spans="1:10" x14ac:dyDescent="0.35">
      <c r="A1118">
        <v>510</v>
      </c>
      <c r="B1118" t="s">
        <v>406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184</v>
      </c>
    </row>
    <row r="1119" spans="1:10" x14ac:dyDescent="0.35">
      <c r="A1119">
        <v>520</v>
      </c>
      <c r="B1119" t="s">
        <v>374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184</v>
      </c>
    </row>
    <row r="1120" spans="1:10" x14ac:dyDescent="0.35">
      <c r="A1120">
        <v>530</v>
      </c>
      <c r="B1120" t="s">
        <v>375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184</v>
      </c>
    </row>
    <row r="1121" spans="1:10" x14ac:dyDescent="0.35">
      <c r="A1121">
        <v>540</v>
      </c>
      <c r="B1121" t="s">
        <v>376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184</v>
      </c>
    </row>
    <row r="1122" spans="1:10" x14ac:dyDescent="0.35">
      <c r="A1122">
        <v>600</v>
      </c>
      <c r="B1122" t="s">
        <v>377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184</v>
      </c>
    </row>
    <row r="1123" spans="1:10" x14ac:dyDescent="0.35">
      <c r="A1123">
        <v>610</v>
      </c>
      <c r="B1123" t="s">
        <v>408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184</v>
      </c>
    </row>
    <row r="1124" spans="1:10" x14ac:dyDescent="0.35">
      <c r="A1124">
        <v>620</v>
      </c>
      <c r="B1124" t="s">
        <v>379</v>
      </c>
      <c r="C1124">
        <v>56449354.350000001</v>
      </c>
      <c r="D1124">
        <v>0</v>
      </c>
      <c r="E1124">
        <v>56449354.350000001</v>
      </c>
      <c r="F1124">
        <v>-304498.53000000003</v>
      </c>
      <c r="G1124">
        <v>-1987960.58</v>
      </c>
      <c r="H1124">
        <v>56753852.880000003</v>
      </c>
      <c r="I1124">
        <v>58437314.93</v>
      </c>
      <c r="J1124" t="s">
        <v>184</v>
      </c>
    </row>
    <row r="1125" spans="1:10" x14ac:dyDescent="0.35">
      <c r="A1125">
        <v>700</v>
      </c>
      <c r="B1125" t="s">
        <v>409</v>
      </c>
      <c r="C1125">
        <v>56449354.350000001</v>
      </c>
      <c r="D1125">
        <v>0</v>
      </c>
      <c r="E1125">
        <v>56449354.350000001</v>
      </c>
      <c r="F1125">
        <v>-304498.53000000003</v>
      </c>
      <c r="G1125">
        <v>-1987960.58</v>
      </c>
      <c r="H1125">
        <v>56753852.880000003</v>
      </c>
      <c r="I1125">
        <v>58437314.93</v>
      </c>
      <c r="J1125" t="s">
        <v>184</v>
      </c>
    </row>
    <row r="1126" spans="1:10" x14ac:dyDescent="0.35">
      <c r="A1126">
        <v>710</v>
      </c>
      <c r="B1126" t="s">
        <v>410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184</v>
      </c>
    </row>
    <row r="1127" spans="1:10" x14ac:dyDescent="0.35">
      <c r="A1127">
        <v>720</v>
      </c>
      <c r="B1127" t="s">
        <v>382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184</v>
      </c>
    </row>
    <row r="1128" spans="1:10" x14ac:dyDescent="0.35">
      <c r="A1128">
        <v>730</v>
      </c>
      <c r="B1128" t="s">
        <v>383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184</v>
      </c>
    </row>
    <row r="1129" spans="1:10" x14ac:dyDescent="0.35">
      <c r="A1129">
        <v>740</v>
      </c>
      <c r="B1129" t="s">
        <v>384</v>
      </c>
      <c r="C1129">
        <v>235379472.16999999</v>
      </c>
      <c r="D1129">
        <v>0</v>
      </c>
      <c r="E1129">
        <v>235379472.16999999</v>
      </c>
      <c r="F1129">
        <v>0</v>
      </c>
      <c r="G1129">
        <v>-2069891.86</v>
      </c>
      <c r="H1129">
        <v>235379472.16999999</v>
      </c>
      <c r="I1129">
        <v>237449364.03</v>
      </c>
      <c r="J1129" t="s">
        <v>184</v>
      </c>
    </row>
    <row r="1130" spans="1:10" x14ac:dyDescent="0.35">
      <c r="A1130">
        <v>750</v>
      </c>
      <c r="B1130" t="s">
        <v>385</v>
      </c>
      <c r="C1130">
        <v>15312721.550000001</v>
      </c>
      <c r="D1130">
        <v>10964773</v>
      </c>
      <c r="E1130">
        <v>4347948.55</v>
      </c>
      <c r="F1130">
        <v>2740877.16</v>
      </c>
      <c r="G1130">
        <v>15312721.550000001</v>
      </c>
      <c r="H1130">
        <v>12571844.390000001</v>
      </c>
      <c r="I1130">
        <v>0</v>
      </c>
      <c r="J1130" t="s">
        <v>184</v>
      </c>
    </row>
    <row r="1131" spans="1:10" x14ac:dyDescent="0.35">
      <c r="A1131">
        <v>760</v>
      </c>
      <c r="B1131" t="s">
        <v>386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184</v>
      </c>
    </row>
    <row r="1132" spans="1:10" x14ac:dyDescent="0.35">
      <c r="A1132">
        <v>770</v>
      </c>
      <c r="B1132" t="s">
        <v>387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184</v>
      </c>
    </row>
    <row r="1133" spans="1:10" x14ac:dyDescent="0.35">
      <c r="A1133">
        <v>800</v>
      </c>
      <c r="B1133" t="s">
        <v>388</v>
      </c>
      <c r="C1133">
        <v>296135479.62</v>
      </c>
      <c r="D1133">
        <v>10964773</v>
      </c>
      <c r="E1133">
        <v>285170706.62</v>
      </c>
      <c r="F1133">
        <v>2740877.16</v>
      </c>
      <c r="G1133">
        <v>13242829.689999999</v>
      </c>
      <c r="H1133">
        <v>293394602.45999998</v>
      </c>
      <c r="I1133">
        <v>282892649.93000001</v>
      </c>
      <c r="J1133" t="s">
        <v>184</v>
      </c>
    </row>
    <row r="1134" spans="1:10" x14ac:dyDescent="0.35">
      <c r="A1134">
        <v>900</v>
      </c>
      <c r="B1134" t="s">
        <v>389</v>
      </c>
      <c r="C1134">
        <v>362802938.22000003</v>
      </c>
      <c r="D1134">
        <v>10964773</v>
      </c>
      <c r="E1134">
        <v>351838165.22000003</v>
      </c>
      <c r="F1134">
        <v>2101547.52</v>
      </c>
      <c r="G1134">
        <v>11068820.85</v>
      </c>
      <c r="H1134">
        <v>360701390.69999999</v>
      </c>
      <c r="I1134">
        <v>351734117.37</v>
      </c>
      <c r="J1134" t="s">
        <v>184</v>
      </c>
    </row>
    <row r="1135" spans="1:10" x14ac:dyDescent="0.35">
      <c r="A1135">
        <v>1000</v>
      </c>
      <c r="B1135" t="s">
        <v>411</v>
      </c>
      <c r="C1135">
        <v>0</v>
      </c>
      <c r="D1135">
        <v>-10964773</v>
      </c>
      <c r="E1135">
        <v>10964773</v>
      </c>
      <c r="F1135">
        <v>0</v>
      </c>
      <c r="G1135">
        <v>0</v>
      </c>
      <c r="H1135">
        <v>0</v>
      </c>
      <c r="I1135">
        <v>0</v>
      </c>
      <c r="J1135" t="s">
        <v>184</v>
      </c>
    </row>
    <row r="1136" spans="1:10" x14ac:dyDescent="0.35">
      <c r="A1136" t="s">
        <v>252</v>
      </c>
      <c r="B1136" t="s">
        <v>172</v>
      </c>
      <c r="C1136" t="s">
        <v>390</v>
      </c>
      <c r="D1136" t="s">
        <v>391</v>
      </c>
      <c r="E1136" t="s">
        <v>392</v>
      </c>
      <c r="F1136" t="s">
        <v>393</v>
      </c>
      <c r="G1136" t="s">
        <v>394</v>
      </c>
      <c r="H1136" t="s">
        <v>395</v>
      </c>
      <c r="I1136" t="s">
        <v>396</v>
      </c>
      <c r="J1136" t="s">
        <v>183</v>
      </c>
    </row>
    <row r="1137" spans="1:10" x14ac:dyDescent="0.35">
      <c r="A1137">
        <v>10</v>
      </c>
      <c r="B1137" t="s">
        <v>397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184</v>
      </c>
    </row>
    <row r="1138" spans="1:10" x14ac:dyDescent="0.35">
      <c r="A1138">
        <v>20</v>
      </c>
      <c r="B1138" t="s">
        <v>415</v>
      </c>
      <c r="C1138">
        <v>-9028.02</v>
      </c>
      <c r="D1138">
        <v>0</v>
      </c>
      <c r="E1138">
        <v>-9028.02</v>
      </c>
      <c r="F1138">
        <v>-35802.839999999997</v>
      </c>
      <c r="G1138">
        <v>-57289.83</v>
      </c>
      <c r="H1138">
        <v>26774.82</v>
      </c>
      <c r="I1138">
        <v>48261.81</v>
      </c>
      <c r="J1138" t="s">
        <v>184</v>
      </c>
    </row>
    <row r="1139" spans="1:10" x14ac:dyDescent="0.35">
      <c r="A1139">
        <v>30</v>
      </c>
      <c r="B1139" t="s">
        <v>416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184</v>
      </c>
    </row>
    <row r="1140" spans="1:10" x14ac:dyDescent="0.35">
      <c r="A1140">
        <v>40</v>
      </c>
      <c r="B1140" t="s">
        <v>417</v>
      </c>
      <c r="C1140">
        <v>8016.52</v>
      </c>
      <c r="D1140">
        <v>0</v>
      </c>
      <c r="E1140">
        <v>8016.52</v>
      </c>
      <c r="F1140">
        <v>-6953.05</v>
      </c>
      <c r="G1140">
        <v>-13391.82</v>
      </c>
      <c r="H1140">
        <v>14969.57</v>
      </c>
      <c r="I1140">
        <v>21408.34</v>
      </c>
      <c r="J1140" t="s">
        <v>184</v>
      </c>
    </row>
    <row r="1141" spans="1:10" x14ac:dyDescent="0.35">
      <c r="A1141">
        <v>50</v>
      </c>
      <c r="B1141" t="s">
        <v>418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184</v>
      </c>
    </row>
    <row r="1142" spans="1:10" x14ac:dyDescent="0.35">
      <c r="A1142">
        <v>60</v>
      </c>
      <c r="B1142" t="s">
        <v>343</v>
      </c>
      <c r="C1142">
        <v>30889.82</v>
      </c>
      <c r="D1142">
        <v>0</v>
      </c>
      <c r="E1142">
        <v>30889.82</v>
      </c>
      <c r="F1142">
        <v>-1498.58</v>
      </c>
      <c r="G1142">
        <v>-339.18</v>
      </c>
      <c r="H1142">
        <v>32388.400000000001</v>
      </c>
      <c r="I1142">
        <v>31229</v>
      </c>
      <c r="J1142" t="s">
        <v>184</v>
      </c>
    </row>
    <row r="1143" spans="1:10" x14ac:dyDescent="0.35">
      <c r="A1143">
        <v>70</v>
      </c>
      <c r="B1143" t="s">
        <v>419</v>
      </c>
      <c r="C1143">
        <v>20754.18</v>
      </c>
      <c r="D1143">
        <v>0</v>
      </c>
      <c r="E1143">
        <v>20754.18</v>
      </c>
      <c r="F1143">
        <v>-2304.73</v>
      </c>
      <c r="G1143">
        <v>16075.56</v>
      </c>
      <c r="H1143">
        <v>23058.91</v>
      </c>
      <c r="I1143">
        <v>4678.62</v>
      </c>
      <c r="J1143" t="s">
        <v>184</v>
      </c>
    </row>
    <row r="1144" spans="1:10" x14ac:dyDescent="0.35">
      <c r="A1144">
        <v>80</v>
      </c>
      <c r="B1144" t="s">
        <v>420</v>
      </c>
      <c r="C1144">
        <v>5410.35</v>
      </c>
      <c r="D1144">
        <v>0</v>
      </c>
      <c r="E1144">
        <v>5410.35</v>
      </c>
      <c r="F1144">
        <v>3701.55</v>
      </c>
      <c r="G1144">
        <v>5410.35</v>
      </c>
      <c r="H1144">
        <v>1708.8</v>
      </c>
      <c r="I1144">
        <v>0</v>
      </c>
      <c r="J1144" t="s">
        <v>184</v>
      </c>
    </row>
    <row r="1145" spans="1:10" x14ac:dyDescent="0.35">
      <c r="A1145">
        <v>100</v>
      </c>
      <c r="B1145" t="s">
        <v>421</v>
      </c>
      <c r="C1145">
        <v>56042.85</v>
      </c>
      <c r="D1145">
        <v>0</v>
      </c>
      <c r="E1145">
        <v>56042.85</v>
      </c>
      <c r="F1145">
        <v>-42857.65</v>
      </c>
      <c r="G1145">
        <v>-49534.92</v>
      </c>
      <c r="H1145">
        <v>98900.5</v>
      </c>
      <c r="I1145">
        <v>105577.77</v>
      </c>
      <c r="J1145" t="s">
        <v>184</v>
      </c>
    </row>
    <row r="1146" spans="1:10" x14ac:dyDescent="0.35">
      <c r="A1146">
        <v>110</v>
      </c>
      <c r="B1146" t="s">
        <v>422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184</v>
      </c>
    </row>
    <row r="1147" spans="1:10" x14ac:dyDescent="0.35">
      <c r="A1147">
        <v>120</v>
      </c>
      <c r="B1147" t="s">
        <v>423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184</v>
      </c>
    </row>
    <row r="1148" spans="1:10" x14ac:dyDescent="0.35">
      <c r="A1148">
        <v>130</v>
      </c>
      <c r="B1148" t="s">
        <v>424</v>
      </c>
      <c r="C1148">
        <v>10663.87</v>
      </c>
      <c r="D1148">
        <v>0</v>
      </c>
      <c r="E1148">
        <v>10663.87</v>
      </c>
      <c r="F1148">
        <v>0</v>
      </c>
      <c r="G1148">
        <v>0</v>
      </c>
      <c r="H1148">
        <v>10663.87</v>
      </c>
      <c r="I1148">
        <v>10663.87</v>
      </c>
      <c r="J1148" t="s">
        <v>184</v>
      </c>
    </row>
    <row r="1149" spans="1:10" x14ac:dyDescent="0.35">
      <c r="A1149">
        <v>140</v>
      </c>
      <c r="B1149" t="s">
        <v>425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 t="s">
        <v>184</v>
      </c>
    </row>
    <row r="1150" spans="1:10" x14ac:dyDescent="0.35">
      <c r="A1150">
        <v>150</v>
      </c>
      <c r="B1150" t="s">
        <v>426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184</v>
      </c>
    </row>
    <row r="1151" spans="1:10" x14ac:dyDescent="0.35">
      <c r="A1151">
        <v>160</v>
      </c>
      <c r="B1151" t="s">
        <v>427</v>
      </c>
      <c r="C1151">
        <v>29292.45</v>
      </c>
      <c r="D1151">
        <v>0</v>
      </c>
      <c r="E1151">
        <v>29292.45</v>
      </c>
      <c r="F1151">
        <v>0</v>
      </c>
      <c r="G1151">
        <v>0</v>
      </c>
      <c r="H1151">
        <v>29292.45</v>
      </c>
      <c r="I1151">
        <v>29292.45</v>
      </c>
      <c r="J1151" t="s">
        <v>184</v>
      </c>
    </row>
    <row r="1152" spans="1:10" x14ac:dyDescent="0.35">
      <c r="A1152">
        <v>170</v>
      </c>
      <c r="B1152" t="s">
        <v>428</v>
      </c>
      <c r="C1152">
        <v>259788.03</v>
      </c>
      <c r="D1152">
        <v>0</v>
      </c>
      <c r="E1152">
        <v>259788.03</v>
      </c>
      <c r="F1152">
        <v>0</v>
      </c>
      <c r="G1152">
        <v>5841</v>
      </c>
      <c r="H1152">
        <v>259788.03</v>
      </c>
      <c r="I1152">
        <v>253947.03</v>
      </c>
      <c r="J1152" t="s">
        <v>184</v>
      </c>
    </row>
    <row r="1153" spans="1:10" x14ac:dyDescent="0.35">
      <c r="A1153">
        <v>180</v>
      </c>
      <c r="B1153" t="s">
        <v>429</v>
      </c>
      <c r="C1153">
        <v>1000</v>
      </c>
      <c r="D1153">
        <v>0</v>
      </c>
      <c r="E1153">
        <v>1000</v>
      </c>
      <c r="F1153">
        <v>0</v>
      </c>
      <c r="G1153">
        <v>0</v>
      </c>
      <c r="H1153">
        <v>1000</v>
      </c>
      <c r="I1153">
        <v>1000</v>
      </c>
      <c r="J1153" t="s">
        <v>184</v>
      </c>
    </row>
    <row r="1154" spans="1:10" x14ac:dyDescent="0.35">
      <c r="A1154">
        <v>190</v>
      </c>
      <c r="B1154" t="s">
        <v>430</v>
      </c>
      <c r="C1154">
        <v>-378615.67</v>
      </c>
      <c r="D1154">
        <v>0</v>
      </c>
      <c r="E1154">
        <v>-378615.67</v>
      </c>
      <c r="F1154">
        <v>-649.71</v>
      </c>
      <c r="G1154">
        <v>-9628.7900000000009</v>
      </c>
      <c r="H1154">
        <v>-377965.96</v>
      </c>
      <c r="I1154">
        <v>-368986.88</v>
      </c>
      <c r="J1154" t="s">
        <v>184</v>
      </c>
    </row>
    <row r="1155" spans="1:10" x14ac:dyDescent="0.35">
      <c r="A1155">
        <v>200</v>
      </c>
      <c r="B1155" t="s">
        <v>431</v>
      </c>
      <c r="C1155">
        <v>-77871.320000000007</v>
      </c>
      <c r="D1155">
        <v>0</v>
      </c>
      <c r="E1155">
        <v>-77871.320000000007</v>
      </c>
      <c r="F1155">
        <v>-649.71</v>
      </c>
      <c r="G1155">
        <v>-3787.79</v>
      </c>
      <c r="H1155">
        <v>-77221.61</v>
      </c>
      <c r="I1155">
        <v>-74083.53</v>
      </c>
      <c r="J1155" t="s">
        <v>184</v>
      </c>
    </row>
    <row r="1156" spans="1:10" x14ac:dyDescent="0.35">
      <c r="A1156">
        <v>210</v>
      </c>
      <c r="B1156" t="s">
        <v>432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184</v>
      </c>
    </row>
    <row r="1157" spans="1:10" x14ac:dyDescent="0.35">
      <c r="A1157">
        <v>220</v>
      </c>
      <c r="B1157" t="s">
        <v>433</v>
      </c>
      <c r="C1157">
        <v>97000</v>
      </c>
      <c r="D1157">
        <v>0</v>
      </c>
      <c r="E1157">
        <v>97000</v>
      </c>
      <c r="F1157">
        <v>0</v>
      </c>
      <c r="G1157">
        <v>0</v>
      </c>
      <c r="H1157">
        <v>97000</v>
      </c>
      <c r="I1157">
        <v>97000</v>
      </c>
      <c r="J1157" t="s">
        <v>184</v>
      </c>
    </row>
    <row r="1158" spans="1:10" x14ac:dyDescent="0.35">
      <c r="A1158">
        <v>230</v>
      </c>
      <c r="B1158" t="s">
        <v>434</v>
      </c>
      <c r="C1158">
        <v>637134.91</v>
      </c>
      <c r="D1158">
        <v>0</v>
      </c>
      <c r="E1158">
        <v>637134.91</v>
      </c>
      <c r="F1158">
        <v>27633.73</v>
      </c>
      <c r="G1158">
        <v>128220.67</v>
      </c>
      <c r="H1158">
        <v>609501.18000000005</v>
      </c>
      <c r="I1158">
        <v>508914.24</v>
      </c>
      <c r="J1158" t="s">
        <v>184</v>
      </c>
    </row>
    <row r="1159" spans="1:10" x14ac:dyDescent="0.35">
      <c r="A1159">
        <v>240</v>
      </c>
      <c r="B1159" t="s">
        <v>435</v>
      </c>
      <c r="C1159">
        <v>-81689.820000000007</v>
      </c>
      <c r="D1159">
        <v>0</v>
      </c>
      <c r="E1159">
        <v>-81689.820000000007</v>
      </c>
      <c r="F1159">
        <v>-1310.96</v>
      </c>
      <c r="G1159">
        <v>-6676.86</v>
      </c>
      <c r="H1159">
        <v>-80378.86</v>
      </c>
      <c r="I1159">
        <v>-75012.960000000006</v>
      </c>
      <c r="J1159" t="s">
        <v>184</v>
      </c>
    </row>
    <row r="1160" spans="1:10" x14ac:dyDescent="0.35">
      <c r="A1160">
        <v>250</v>
      </c>
      <c r="B1160" t="s">
        <v>436</v>
      </c>
      <c r="C1160">
        <v>652445.09</v>
      </c>
      <c r="D1160">
        <v>0</v>
      </c>
      <c r="E1160">
        <v>652445.09</v>
      </c>
      <c r="F1160">
        <v>26322.77</v>
      </c>
      <c r="G1160">
        <v>121543.81</v>
      </c>
      <c r="H1160">
        <v>626122.31999999995</v>
      </c>
      <c r="I1160">
        <v>530901.28</v>
      </c>
      <c r="J1160" t="s">
        <v>184</v>
      </c>
    </row>
    <row r="1161" spans="1:10" x14ac:dyDescent="0.35">
      <c r="A1161">
        <v>260</v>
      </c>
      <c r="B1161" t="s">
        <v>437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184</v>
      </c>
    </row>
    <row r="1162" spans="1:10" x14ac:dyDescent="0.35">
      <c r="A1162">
        <v>270</v>
      </c>
      <c r="B1162" t="s">
        <v>438</v>
      </c>
      <c r="C1162">
        <v>23247.52</v>
      </c>
      <c r="D1162">
        <v>0</v>
      </c>
      <c r="E1162">
        <v>23247.52</v>
      </c>
      <c r="F1162">
        <v>0</v>
      </c>
      <c r="G1162">
        <v>0</v>
      </c>
      <c r="H1162">
        <v>23247.52</v>
      </c>
      <c r="I1162">
        <v>23247.52</v>
      </c>
      <c r="J1162" t="s">
        <v>184</v>
      </c>
    </row>
    <row r="1163" spans="1:10" x14ac:dyDescent="0.35">
      <c r="A1163">
        <v>280</v>
      </c>
      <c r="B1163" t="s">
        <v>439</v>
      </c>
      <c r="C1163">
        <v>23247.52</v>
      </c>
      <c r="D1163">
        <v>0</v>
      </c>
      <c r="E1163">
        <v>23247.52</v>
      </c>
      <c r="F1163">
        <v>0</v>
      </c>
      <c r="G1163">
        <v>0</v>
      </c>
      <c r="H1163">
        <v>23247.52</v>
      </c>
      <c r="I1163">
        <v>23247.52</v>
      </c>
      <c r="J1163" t="s">
        <v>184</v>
      </c>
    </row>
    <row r="1164" spans="1:10" x14ac:dyDescent="0.35">
      <c r="A1164">
        <v>400</v>
      </c>
      <c r="B1164" t="s">
        <v>440</v>
      </c>
      <c r="C1164">
        <v>653864.14</v>
      </c>
      <c r="D1164">
        <v>0</v>
      </c>
      <c r="E1164">
        <v>653864.14</v>
      </c>
      <c r="F1164">
        <v>-17184.59</v>
      </c>
      <c r="G1164">
        <v>68221.100000000006</v>
      </c>
      <c r="H1164">
        <v>671048.73</v>
      </c>
      <c r="I1164">
        <v>585643.04</v>
      </c>
      <c r="J1164" t="s">
        <v>184</v>
      </c>
    </row>
    <row r="1165" spans="1:10" x14ac:dyDescent="0.35">
      <c r="A1165">
        <v>410</v>
      </c>
      <c r="B1165" t="s">
        <v>441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184</v>
      </c>
    </row>
    <row r="1166" spans="1:10" x14ac:dyDescent="0.35">
      <c r="A1166">
        <v>420</v>
      </c>
      <c r="B1166" t="s">
        <v>442</v>
      </c>
      <c r="C1166">
        <v>13494.41</v>
      </c>
      <c r="D1166">
        <v>0</v>
      </c>
      <c r="E1166">
        <v>13494.41</v>
      </c>
      <c r="F1166">
        <v>-3758.29</v>
      </c>
      <c r="G1166">
        <v>-33216.26</v>
      </c>
      <c r="H1166">
        <v>17252.7</v>
      </c>
      <c r="I1166">
        <v>46710.67</v>
      </c>
      <c r="J1166" t="s">
        <v>184</v>
      </c>
    </row>
    <row r="1167" spans="1:10" x14ac:dyDescent="0.35">
      <c r="A1167">
        <v>430</v>
      </c>
      <c r="B1167" t="s">
        <v>443</v>
      </c>
      <c r="C1167">
        <v>85411.8</v>
      </c>
      <c r="D1167">
        <v>0</v>
      </c>
      <c r="E1167">
        <v>85411.8</v>
      </c>
      <c r="F1167">
        <v>8943.0499999999993</v>
      </c>
      <c r="G1167">
        <v>19731.47</v>
      </c>
      <c r="H1167">
        <v>76468.75</v>
      </c>
      <c r="I1167">
        <v>65680.33</v>
      </c>
      <c r="J1167" t="s">
        <v>184</v>
      </c>
    </row>
    <row r="1168" spans="1:10" x14ac:dyDescent="0.35">
      <c r="A1168">
        <v>440</v>
      </c>
      <c r="B1168" t="s">
        <v>444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 t="s">
        <v>184</v>
      </c>
    </row>
    <row r="1169" spans="1:10" x14ac:dyDescent="0.35">
      <c r="A1169">
        <v>450</v>
      </c>
      <c r="B1169" t="s">
        <v>445</v>
      </c>
      <c r="C1169">
        <v>38775.19</v>
      </c>
      <c r="D1169">
        <v>0</v>
      </c>
      <c r="E1169">
        <v>38775.19</v>
      </c>
      <c r="F1169">
        <v>-2173.2199999999998</v>
      </c>
      <c r="G1169">
        <v>1957.69</v>
      </c>
      <c r="H1169">
        <v>40948.410000000003</v>
      </c>
      <c r="I1169">
        <v>36817.5</v>
      </c>
      <c r="J1169" t="s">
        <v>184</v>
      </c>
    </row>
    <row r="1170" spans="1:10" x14ac:dyDescent="0.35">
      <c r="A1170">
        <v>460</v>
      </c>
      <c r="B1170" t="s">
        <v>446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184</v>
      </c>
    </row>
    <row r="1171" spans="1:10" x14ac:dyDescent="0.35">
      <c r="A1171">
        <v>500</v>
      </c>
      <c r="B1171" t="s">
        <v>447</v>
      </c>
      <c r="C1171">
        <v>137681.4</v>
      </c>
      <c r="D1171">
        <v>0</v>
      </c>
      <c r="E1171">
        <v>137681.4</v>
      </c>
      <c r="F1171">
        <v>3011.54</v>
      </c>
      <c r="G1171">
        <v>-11527.1</v>
      </c>
      <c r="H1171">
        <v>134669.85999999999</v>
      </c>
      <c r="I1171">
        <v>149208.5</v>
      </c>
      <c r="J1171" t="s">
        <v>184</v>
      </c>
    </row>
    <row r="1172" spans="1:10" x14ac:dyDescent="0.35">
      <c r="A1172">
        <v>510</v>
      </c>
      <c r="B1172" t="s">
        <v>448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184</v>
      </c>
    </row>
    <row r="1173" spans="1:10" x14ac:dyDescent="0.35">
      <c r="A1173">
        <v>520</v>
      </c>
      <c r="B1173" t="s">
        <v>449</v>
      </c>
      <c r="C1173">
        <v>1592350.9</v>
      </c>
      <c r="D1173">
        <v>0</v>
      </c>
      <c r="E1173">
        <v>1592350.9</v>
      </c>
      <c r="F1173">
        <v>0</v>
      </c>
      <c r="G1173">
        <v>319930.3</v>
      </c>
      <c r="H1173">
        <v>1592350.9</v>
      </c>
      <c r="I1173">
        <v>1272420.6000000001</v>
      </c>
      <c r="J1173" t="s">
        <v>184</v>
      </c>
    </row>
    <row r="1174" spans="1:10" x14ac:dyDescent="0.35">
      <c r="A1174">
        <v>530</v>
      </c>
      <c r="B1174" t="s">
        <v>450</v>
      </c>
      <c r="C1174">
        <v>0</v>
      </c>
      <c r="D1174">
        <v>0</v>
      </c>
      <c r="E1174">
        <v>0</v>
      </c>
      <c r="F1174">
        <v>0</v>
      </c>
      <c r="G1174">
        <v>-170366.24</v>
      </c>
      <c r="H1174">
        <v>0</v>
      </c>
      <c r="I1174">
        <v>170366.24</v>
      </c>
      <c r="J1174" t="s">
        <v>184</v>
      </c>
    </row>
    <row r="1175" spans="1:10" x14ac:dyDescent="0.35">
      <c r="A1175">
        <v>540</v>
      </c>
      <c r="B1175" t="s">
        <v>451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 t="s">
        <v>184</v>
      </c>
    </row>
    <row r="1176" spans="1:10" x14ac:dyDescent="0.35">
      <c r="A1176">
        <v>600</v>
      </c>
      <c r="B1176" t="s">
        <v>452</v>
      </c>
      <c r="C1176">
        <v>1592350.9</v>
      </c>
      <c r="D1176">
        <v>0</v>
      </c>
      <c r="E1176">
        <v>1592350.9</v>
      </c>
      <c r="F1176">
        <v>0</v>
      </c>
      <c r="G1176">
        <v>149564.06</v>
      </c>
      <c r="H1176">
        <v>1592350.9</v>
      </c>
      <c r="I1176">
        <v>1442786.84</v>
      </c>
      <c r="J1176" t="s">
        <v>184</v>
      </c>
    </row>
    <row r="1177" spans="1:10" x14ac:dyDescent="0.35">
      <c r="A1177">
        <v>610</v>
      </c>
      <c r="B1177" t="s">
        <v>453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184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184</v>
      </c>
    </row>
    <row r="1179" spans="1:10" x14ac:dyDescent="0.35">
      <c r="A1179">
        <v>700</v>
      </c>
      <c r="B1179" t="s">
        <v>454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184</v>
      </c>
    </row>
    <row r="1180" spans="1:10" x14ac:dyDescent="0.35">
      <c r="A1180">
        <v>710</v>
      </c>
      <c r="B1180" t="s">
        <v>410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184</v>
      </c>
    </row>
    <row r="1181" spans="1:10" x14ac:dyDescent="0.35">
      <c r="A1181">
        <v>720</v>
      </c>
      <c r="B1181" t="s">
        <v>455</v>
      </c>
      <c r="C1181">
        <v>1000</v>
      </c>
      <c r="D1181">
        <v>0</v>
      </c>
      <c r="E1181">
        <v>1000</v>
      </c>
      <c r="F1181">
        <v>0</v>
      </c>
      <c r="G1181">
        <v>0</v>
      </c>
      <c r="H1181">
        <v>1000</v>
      </c>
      <c r="I1181">
        <v>1000</v>
      </c>
      <c r="J1181" t="s">
        <v>184</v>
      </c>
    </row>
    <row r="1182" spans="1:10" x14ac:dyDescent="0.35">
      <c r="A1182">
        <v>730</v>
      </c>
      <c r="B1182" t="s">
        <v>456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184</v>
      </c>
    </row>
    <row r="1183" spans="1:10" x14ac:dyDescent="0.35">
      <c r="A1183">
        <v>740</v>
      </c>
      <c r="B1183" t="s">
        <v>457</v>
      </c>
      <c r="C1183">
        <v>-1007352.3</v>
      </c>
      <c r="D1183">
        <v>0</v>
      </c>
      <c r="E1183">
        <v>-1007352.3</v>
      </c>
      <c r="F1183">
        <v>0</v>
      </c>
      <c r="G1183">
        <v>0</v>
      </c>
      <c r="H1183">
        <v>-1007352.3</v>
      </c>
      <c r="I1183">
        <v>-1007352.3</v>
      </c>
      <c r="J1183" t="s">
        <v>184</v>
      </c>
    </row>
    <row r="1184" spans="1:10" x14ac:dyDescent="0.35">
      <c r="A1184">
        <v>750</v>
      </c>
      <c r="B1184" t="s">
        <v>271</v>
      </c>
      <c r="C1184">
        <v>-69815.86</v>
      </c>
      <c r="D1184">
        <v>0</v>
      </c>
      <c r="E1184">
        <v>-69815.86</v>
      </c>
      <c r="F1184">
        <v>-20196.13</v>
      </c>
      <c r="G1184">
        <v>-69815.86</v>
      </c>
      <c r="H1184">
        <v>-49619.73</v>
      </c>
      <c r="I1184">
        <v>0</v>
      </c>
      <c r="J1184" t="s">
        <v>184</v>
      </c>
    </row>
    <row r="1185" spans="1:10" x14ac:dyDescent="0.35">
      <c r="A1185">
        <v>760</v>
      </c>
      <c r="B1185" t="s">
        <v>458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184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184</v>
      </c>
    </row>
    <row r="1187" spans="1:10" x14ac:dyDescent="0.35">
      <c r="A1187">
        <v>800</v>
      </c>
      <c r="B1187" t="s">
        <v>459</v>
      </c>
      <c r="C1187">
        <v>-1076168.1599999999</v>
      </c>
      <c r="D1187">
        <v>0</v>
      </c>
      <c r="E1187">
        <v>-1076168.1599999999</v>
      </c>
      <c r="F1187">
        <v>-20196.13</v>
      </c>
      <c r="G1187">
        <v>-69815.86</v>
      </c>
      <c r="H1187">
        <v>-1055972.03</v>
      </c>
      <c r="I1187">
        <v>-1006352.3</v>
      </c>
      <c r="J1187" t="s">
        <v>184</v>
      </c>
    </row>
    <row r="1188" spans="1:10" x14ac:dyDescent="0.35">
      <c r="A1188">
        <v>900</v>
      </c>
      <c r="B1188" t="s">
        <v>460</v>
      </c>
      <c r="C1188">
        <v>653864.14</v>
      </c>
      <c r="D1188">
        <v>0</v>
      </c>
      <c r="E1188">
        <v>653864.14</v>
      </c>
      <c r="F1188">
        <v>-17184.59</v>
      </c>
      <c r="G1188">
        <v>68221.100000000006</v>
      </c>
      <c r="H1188">
        <v>671048.73</v>
      </c>
      <c r="I1188">
        <v>585643.04</v>
      </c>
      <c r="J1188" t="s">
        <v>184</v>
      </c>
    </row>
    <row r="1189" spans="1:10" x14ac:dyDescent="0.35">
      <c r="A1189">
        <v>1000</v>
      </c>
      <c r="B1189" t="s">
        <v>411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 t="s">
        <v>184</v>
      </c>
    </row>
    <row r="1190" spans="1:10" x14ac:dyDescent="0.35">
      <c r="A1190" t="s">
        <v>273</v>
      </c>
      <c r="B1190" t="s">
        <v>172</v>
      </c>
      <c r="C1190" t="s">
        <v>390</v>
      </c>
      <c r="D1190" t="s">
        <v>391</v>
      </c>
      <c r="E1190" t="s">
        <v>392</v>
      </c>
      <c r="F1190" t="s">
        <v>393</v>
      </c>
      <c r="G1190" t="s">
        <v>394</v>
      </c>
      <c r="H1190" t="s">
        <v>395</v>
      </c>
      <c r="I1190" t="s">
        <v>396</v>
      </c>
      <c r="J1190" t="s">
        <v>183</v>
      </c>
    </row>
    <row r="1191" spans="1:10" x14ac:dyDescent="0.35">
      <c r="A1191">
        <v>10</v>
      </c>
      <c r="B1191" t="s">
        <v>397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184</v>
      </c>
    </row>
    <row r="1192" spans="1:10" x14ac:dyDescent="0.35">
      <c r="A1192">
        <v>20</v>
      </c>
      <c r="B1192" t="s">
        <v>415</v>
      </c>
      <c r="C1192">
        <v>100694.73</v>
      </c>
      <c r="D1192">
        <v>0</v>
      </c>
      <c r="E1192">
        <v>100694.73</v>
      </c>
      <c r="F1192">
        <v>78810.649999999994</v>
      </c>
      <c r="G1192">
        <v>158346.79</v>
      </c>
      <c r="H1192">
        <v>21884.080000000002</v>
      </c>
      <c r="I1192">
        <v>-57652.06</v>
      </c>
      <c r="J1192" t="s">
        <v>184</v>
      </c>
    </row>
    <row r="1193" spans="1:10" x14ac:dyDescent="0.35">
      <c r="A1193">
        <v>30</v>
      </c>
      <c r="B1193" t="s">
        <v>416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184</v>
      </c>
    </row>
    <row r="1194" spans="1:10" x14ac:dyDescent="0.35">
      <c r="A1194">
        <v>40</v>
      </c>
      <c r="B1194" t="s">
        <v>417</v>
      </c>
      <c r="C1194">
        <v>49759.519999999997</v>
      </c>
      <c r="D1194">
        <v>0</v>
      </c>
      <c r="E1194">
        <v>49759.519999999997</v>
      </c>
      <c r="F1194">
        <v>-7668.23</v>
      </c>
      <c r="G1194">
        <v>12856.59</v>
      </c>
      <c r="H1194">
        <v>57427.75</v>
      </c>
      <c r="I1194">
        <v>36902.93</v>
      </c>
      <c r="J1194" t="s">
        <v>184</v>
      </c>
    </row>
    <row r="1195" spans="1:10" x14ac:dyDescent="0.35">
      <c r="A1195">
        <v>50</v>
      </c>
      <c r="B1195" t="s">
        <v>418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184</v>
      </c>
    </row>
    <row r="1196" spans="1:10" x14ac:dyDescent="0.35">
      <c r="A1196">
        <v>60</v>
      </c>
      <c r="B1196" t="s">
        <v>343</v>
      </c>
      <c r="C1196">
        <v>43394.78</v>
      </c>
      <c r="D1196">
        <v>0</v>
      </c>
      <c r="E1196">
        <v>43394.78</v>
      </c>
      <c r="F1196">
        <v>-12173.05</v>
      </c>
      <c r="G1196">
        <v>-2813.75</v>
      </c>
      <c r="H1196">
        <v>55567.83</v>
      </c>
      <c r="I1196">
        <v>46208.53</v>
      </c>
      <c r="J1196" t="s">
        <v>184</v>
      </c>
    </row>
    <row r="1197" spans="1:10" x14ac:dyDescent="0.35">
      <c r="A1197">
        <v>70</v>
      </c>
      <c r="B1197" t="s">
        <v>419</v>
      </c>
      <c r="C1197">
        <v>9680.26</v>
      </c>
      <c r="D1197">
        <v>0</v>
      </c>
      <c r="E1197">
        <v>9680.26</v>
      </c>
      <c r="F1197">
        <v>-1512.59</v>
      </c>
      <c r="G1197">
        <v>5868.24</v>
      </c>
      <c r="H1197">
        <v>11192.85</v>
      </c>
      <c r="I1197">
        <v>3812.02</v>
      </c>
      <c r="J1197" t="s">
        <v>184</v>
      </c>
    </row>
    <row r="1198" spans="1:10" x14ac:dyDescent="0.35">
      <c r="A1198">
        <v>80</v>
      </c>
      <c r="B1198" t="s">
        <v>420</v>
      </c>
      <c r="C1198">
        <v>544.26</v>
      </c>
      <c r="D1198">
        <v>0</v>
      </c>
      <c r="E1198">
        <v>544.26</v>
      </c>
      <c r="F1198">
        <v>0</v>
      </c>
      <c r="G1198">
        <v>544.26</v>
      </c>
      <c r="H1198">
        <v>544.26</v>
      </c>
      <c r="I1198">
        <v>0</v>
      </c>
      <c r="J1198" t="s">
        <v>184</v>
      </c>
    </row>
    <row r="1199" spans="1:10" x14ac:dyDescent="0.35">
      <c r="A1199">
        <v>100</v>
      </c>
      <c r="B1199" t="s">
        <v>421</v>
      </c>
      <c r="C1199">
        <v>204073.55</v>
      </c>
      <c r="D1199">
        <v>0</v>
      </c>
      <c r="E1199">
        <v>204073.55</v>
      </c>
      <c r="F1199">
        <v>57456.78</v>
      </c>
      <c r="G1199">
        <v>174802.13</v>
      </c>
      <c r="H1199">
        <v>146616.76999999999</v>
      </c>
      <c r="I1199">
        <v>29271.42</v>
      </c>
      <c r="J1199" t="s">
        <v>184</v>
      </c>
    </row>
    <row r="1200" spans="1:10" x14ac:dyDescent="0.35">
      <c r="A1200">
        <v>110</v>
      </c>
      <c r="B1200" t="s">
        <v>422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184</v>
      </c>
    </row>
    <row r="1201" spans="1:10" x14ac:dyDescent="0.35">
      <c r="A1201">
        <v>120</v>
      </c>
      <c r="B1201" t="s">
        <v>423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184</v>
      </c>
    </row>
    <row r="1202" spans="1:10" x14ac:dyDescent="0.35">
      <c r="A1202">
        <v>130</v>
      </c>
      <c r="B1202" t="s">
        <v>424</v>
      </c>
      <c r="C1202">
        <v>602171</v>
      </c>
      <c r="D1202">
        <v>0</v>
      </c>
      <c r="E1202">
        <v>602171</v>
      </c>
      <c r="F1202">
        <v>0</v>
      </c>
      <c r="G1202">
        <v>0</v>
      </c>
      <c r="H1202">
        <v>602171</v>
      </c>
      <c r="I1202">
        <v>602171</v>
      </c>
      <c r="J1202" t="s">
        <v>184</v>
      </c>
    </row>
    <row r="1203" spans="1:10" x14ac:dyDescent="0.35">
      <c r="A1203">
        <v>140</v>
      </c>
      <c r="B1203" t="s">
        <v>425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 t="s">
        <v>184</v>
      </c>
    </row>
    <row r="1204" spans="1:10" x14ac:dyDescent="0.35">
      <c r="A1204">
        <v>150</v>
      </c>
      <c r="B1204" t="s">
        <v>426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184</v>
      </c>
    </row>
    <row r="1205" spans="1:10" x14ac:dyDescent="0.35">
      <c r="A1205">
        <v>160</v>
      </c>
      <c r="B1205" t="s">
        <v>427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184</v>
      </c>
    </row>
    <row r="1206" spans="1:10" x14ac:dyDescent="0.35">
      <c r="A1206">
        <v>170</v>
      </c>
      <c r="B1206" t="s">
        <v>428</v>
      </c>
      <c r="C1206">
        <v>1298845.54</v>
      </c>
      <c r="D1206">
        <v>0</v>
      </c>
      <c r="E1206">
        <v>1298845.54</v>
      </c>
      <c r="F1206">
        <v>0</v>
      </c>
      <c r="G1206">
        <v>9876.4</v>
      </c>
      <c r="H1206">
        <v>1298845.54</v>
      </c>
      <c r="I1206">
        <v>1288969.1399999999</v>
      </c>
      <c r="J1206" t="s">
        <v>184</v>
      </c>
    </row>
    <row r="1207" spans="1:10" x14ac:dyDescent="0.35">
      <c r="A1207">
        <v>180</v>
      </c>
      <c r="B1207" t="s">
        <v>429</v>
      </c>
      <c r="C1207">
        <v>855126</v>
      </c>
      <c r="D1207">
        <v>0</v>
      </c>
      <c r="E1207">
        <v>855126</v>
      </c>
      <c r="F1207">
        <v>0</v>
      </c>
      <c r="G1207">
        <v>0</v>
      </c>
      <c r="H1207">
        <v>855126</v>
      </c>
      <c r="I1207">
        <v>855126</v>
      </c>
      <c r="J1207" t="s">
        <v>184</v>
      </c>
    </row>
    <row r="1208" spans="1:10" x14ac:dyDescent="0.35">
      <c r="A1208">
        <v>190</v>
      </c>
      <c r="B1208" t="s">
        <v>430</v>
      </c>
      <c r="C1208">
        <v>-1201757.57</v>
      </c>
      <c r="D1208">
        <v>0</v>
      </c>
      <c r="E1208">
        <v>-1201757.57</v>
      </c>
      <c r="F1208">
        <v>-3079.99</v>
      </c>
      <c r="G1208">
        <v>-20520.57</v>
      </c>
      <c r="H1208">
        <v>-1198677.58</v>
      </c>
      <c r="I1208">
        <v>-1181237</v>
      </c>
      <c r="J1208" t="s">
        <v>184</v>
      </c>
    </row>
    <row r="1209" spans="1:10" x14ac:dyDescent="0.35">
      <c r="A1209">
        <v>200</v>
      </c>
      <c r="B1209" t="s">
        <v>431</v>
      </c>
      <c r="C1209">
        <v>1554384.97</v>
      </c>
      <c r="D1209">
        <v>0</v>
      </c>
      <c r="E1209">
        <v>1554384.97</v>
      </c>
      <c r="F1209">
        <v>-3079.99</v>
      </c>
      <c r="G1209">
        <v>-10644.17</v>
      </c>
      <c r="H1209">
        <v>1557464.96</v>
      </c>
      <c r="I1209">
        <v>1565029.14</v>
      </c>
      <c r="J1209" t="s">
        <v>184</v>
      </c>
    </row>
    <row r="1210" spans="1:10" x14ac:dyDescent="0.35">
      <c r="A1210">
        <v>210</v>
      </c>
      <c r="B1210" t="s">
        <v>432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184</v>
      </c>
    </row>
    <row r="1211" spans="1:10" x14ac:dyDescent="0.35">
      <c r="A1211">
        <v>220</v>
      </c>
      <c r="B1211" t="s">
        <v>433</v>
      </c>
      <c r="C1211">
        <v>194984</v>
      </c>
      <c r="D1211">
        <v>0</v>
      </c>
      <c r="E1211">
        <v>194984</v>
      </c>
      <c r="F1211">
        <v>0</v>
      </c>
      <c r="G1211">
        <v>0</v>
      </c>
      <c r="H1211">
        <v>194984</v>
      </c>
      <c r="I1211">
        <v>194984</v>
      </c>
      <c r="J1211" t="s">
        <v>184</v>
      </c>
    </row>
    <row r="1212" spans="1:10" x14ac:dyDescent="0.35">
      <c r="A1212">
        <v>230</v>
      </c>
      <c r="B1212" t="s">
        <v>434</v>
      </c>
      <c r="C1212">
        <v>2689975.3</v>
      </c>
      <c r="D1212">
        <v>0</v>
      </c>
      <c r="E1212">
        <v>2689975.3</v>
      </c>
      <c r="F1212">
        <v>0</v>
      </c>
      <c r="G1212">
        <v>94043.93</v>
      </c>
      <c r="H1212">
        <v>2689975.3</v>
      </c>
      <c r="I1212">
        <v>2595931.37</v>
      </c>
      <c r="J1212" t="s">
        <v>184</v>
      </c>
    </row>
    <row r="1213" spans="1:10" x14ac:dyDescent="0.35">
      <c r="A1213">
        <v>240</v>
      </c>
      <c r="B1213" t="s">
        <v>435</v>
      </c>
      <c r="C1213">
        <v>-706793.16</v>
      </c>
      <c r="D1213">
        <v>0</v>
      </c>
      <c r="E1213">
        <v>-706793.16</v>
      </c>
      <c r="F1213">
        <v>-999.96</v>
      </c>
      <c r="G1213">
        <v>-8999.64</v>
      </c>
      <c r="H1213">
        <v>-705793.2</v>
      </c>
      <c r="I1213">
        <v>-697793.52</v>
      </c>
      <c r="J1213" t="s">
        <v>184</v>
      </c>
    </row>
    <row r="1214" spans="1:10" x14ac:dyDescent="0.35">
      <c r="A1214">
        <v>250</v>
      </c>
      <c r="B1214" t="s">
        <v>436</v>
      </c>
      <c r="C1214">
        <v>2178166.14</v>
      </c>
      <c r="D1214">
        <v>0</v>
      </c>
      <c r="E1214">
        <v>2178166.14</v>
      </c>
      <c r="F1214">
        <v>-999.96</v>
      </c>
      <c r="G1214">
        <v>85044.29</v>
      </c>
      <c r="H1214">
        <v>2179166.1</v>
      </c>
      <c r="I1214">
        <v>2093121.85</v>
      </c>
      <c r="J1214" t="s">
        <v>184</v>
      </c>
    </row>
    <row r="1215" spans="1:10" x14ac:dyDescent="0.35">
      <c r="A1215">
        <v>260</v>
      </c>
      <c r="B1215" t="s">
        <v>437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184</v>
      </c>
    </row>
    <row r="1216" spans="1:10" x14ac:dyDescent="0.35">
      <c r="A1216">
        <v>270</v>
      </c>
      <c r="B1216" t="s">
        <v>438</v>
      </c>
      <c r="C1216">
        <v>27897.34</v>
      </c>
      <c r="D1216">
        <v>0</v>
      </c>
      <c r="E1216">
        <v>27897.34</v>
      </c>
      <c r="F1216">
        <v>0</v>
      </c>
      <c r="G1216">
        <v>0</v>
      </c>
      <c r="H1216">
        <v>27897.34</v>
      </c>
      <c r="I1216">
        <v>27897.34</v>
      </c>
      <c r="J1216" t="s">
        <v>184</v>
      </c>
    </row>
    <row r="1217" spans="1:10" x14ac:dyDescent="0.35">
      <c r="A1217">
        <v>280</v>
      </c>
      <c r="B1217" t="s">
        <v>439</v>
      </c>
      <c r="C1217">
        <v>27897.34</v>
      </c>
      <c r="D1217">
        <v>0</v>
      </c>
      <c r="E1217">
        <v>27897.34</v>
      </c>
      <c r="F1217">
        <v>0</v>
      </c>
      <c r="G1217">
        <v>0</v>
      </c>
      <c r="H1217">
        <v>27897.34</v>
      </c>
      <c r="I1217">
        <v>27897.34</v>
      </c>
      <c r="J1217" t="s">
        <v>184</v>
      </c>
    </row>
    <row r="1218" spans="1:10" x14ac:dyDescent="0.35">
      <c r="A1218">
        <v>400</v>
      </c>
      <c r="B1218" t="s">
        <v>440</v>
      </c>
      <c r="C1218">
        <v>3964522</v>
      </c>
      <c r="D1218">
        <v>0</v>
      </c>
      <c r="E1218">
        <v>3964522</v>
      </c>
      <c r="F1218">
        <v>53376.83</v>
      </c>
      <c r="G1218">
        <v>249202.25</v>
      </c>
      <c r="H1218">
        <v>3911145.17</v>
      </c>
      <c r="I1218">
        <v>3715319.75</v>
      </c>
      <c r="J1218" t="s">
        <v>184</v>
      </c>
    </row>
    <row r="1219" spans="1:10" x14ac:dyDescent="0.35">
      <c r="A1219">
        <v>410</v>
      </c>
      <c r="B1219" t="s">
        <v>441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184</v>
      </c>
    </row>
    <row r="1220" spans="1:10" x14ac:dyDescent="0.35">
      <c r="A1220">
        <v>420</v>
      </c>
      <c r="B1220" t="s">
        <v>442</v>
      </c>
      <c r="C1220">
        <v>70555.25</v>
      </c>
      <c r="D1220">
        <v>0</v>
      </c>
      <c r="E1220">
        <v>70555.25</v>
      </c>
      <c r="F1220">
        <v>-2853.81</v>
      </c>
      <c r="G1220">
        <v>-11471.78</v>
      </c>
      <c r="H1220">
        <v>73409.06</v>
      </c>
      <c r="I1220">
        <v>82027.03</v>
      </c>
      <c r="J1220" t="s">
        <v>184</v>
      </c>
    </row>
    <row r="1221" spans="1:10" x14ac:dyDescent="0.35">
      <c r="A1221">
        <v>430</v>
      </c>
      <c r="B1221" t="s">
        <v>443</v>
      </c>
      <c r="C1221">
        <v>-239.17</v>
      </c>
      <c r="D1221">
        <v>0</v>
      </c>
      <c r="E1221">
        <v>-239.17</v>
      </c>
      <c r="F1221">
        <v>0</v>
      </c>
      <c r="G1221">
        <v>-500</v>
      </c>
      <c r="H1221">
        <v>-239.17</v>
      </c>
      <c r="I1221">
        <v>260.83</v>
      </c>
      <c r="J1221" t="s">
        <v>184</v>
      </c>
    </row>
    <row r="1222" spans="1:10" x14ac:dyDescent="0.35">
      <c r="A1222">
        <v>440</v>
      </c>
      <c r="B1222" t="s">
        <v>444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184</v>
      </c>
    </row>
    <row r="1223" spans="1:10" x14ac:dyDescent="0.35">
      <c r="A1223">
        <v>450</v>
      </c>
      <c r="B1223" t="s">
        <v>445</v>
      </c>
      <c r="C1223">
        <v>21288.62</v>
      </c>
      <c r="D1223">
        <v>0</v>
      </c>
      <c r="E1223">
        <v>21288.62</v>
      </c>
      <c r="F1223">
        <v>27559.41</v>
      </c>
      <c r="G1223">
        <v>24535.21</v>
      </c>
      <c r="H1223">
        <v>-6270.79</v>
      </c>
      <c r="I1223">
        <v>-3246.59</v>
      </c>
      <c r="J1223" t="s">
        <v>184</v>
      </c>
    </row>
    <row r="1224" spans="1:10" x14ac:dyDescent="0.35">
      <c r="A1224">
        <v>460</v>
      </c>
      <c r="B1224" t="s">
        <v>446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184</v>
      </c>
    </row>
    <row r="1225" spans="1:10" x14ac:dyDescent="0.35">
      <c r="A1225">
        <v>500</v>
      </c>
      <c r="B1225" t="s">
        <v>447</v>
      </c>
      <c r="C1225">
        <v>91604.7</v>
      </c>
      <c r="D1225">
        <v>0</v>
      </c>
      <c r="E1225">
        <v>91604.7</v>
      </c>
      <c r="F1225">
        <v>24705.599999999999</v>
      </c>
      <c r="G1225">
        <v>12563.43</v>
      </c>
      <c r="H1225">
        <v>66899.100000000006</v>
      </c>
      <c r="I1225">
        <v>79041.27</v>
      </c>
      <c r="J1225" t="s">
        <v>184</v>
      </c>
    </row>
    <row r="1226" spans="1:10" x14ac:dyDescent="0.35">
      <c r="A1226">
        <v>510</v>
      </c>
      <c r="B1226" t="s">
        <v>448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184</v>
      </c>
    </row>
    <row r="1227" spans="1:10" x14ac:dyDescent="0.35">
      <c r="A1227">
        <v>520</v>
      </c>
      <c r="B1227" t="s">
        <v>449</v>
      </c>
      <c r="C1227">
        <v>5145393.4400000004</v>
      </c>
      <c r="D1227">
        <v>0</v>
      </c>
      <c r="E1227">
        <v>5145393.4400000004</v>
      </c>
      <c r="F1227">
        <v>1651520.53</v>
      </c>
      <c r="G1227">
        <v>2997416.43</v>
      </c>
      <c r="H1227">
        <v>3493872.91</v>
      </c>
      <c r="I1227">
        <v>2147977.0099999998</v>
      </c>
      <c r="J1227" t="s">
        <v>184</v>
      </c>
    </row>
    <row r="1228" spans="1:10" x14ac:dyDescent="0.35">
      <c r="A1228">
        <v>530</v>
      </c>
      <c r="B1228" t="s">
        <v>450</v>
      </c>
      <c r="C1228">
        <v>1722951.56</v>
      </c>
      <c r="D1228">
        <v>0</v>
      </c>
      <c r="E1228">
        <v>1722951.56</v>
      </c>
      <c r="F1228">
        <v>-1620729.35</v>
      </c>
      <c r="G1228">
        <v>-2034078.91</v>
      </c>
      <c r="H1228">
        <v>3343680.91</v>
      </c>
      <c r="I1228">
        <v>3757030.47</v>
      </c>
      <c r="J1228" t="s">
        <v>184</v>
      </c>
    </row>
    <row r="1229" spans="1:10" x14ac:dyDescent="0.35">
      <c r="A1229">
        <v>540</v>
      </c>
      <c r="B1229" t="s">
        <v>451</v>
      </c>
      <c r="C1229">
        <v>102699.84</v>
      </c>
      <c r="D1229">
        <v>0</v>
      </c>
      <c r="E1229">
        <v>102699.84</v>
      </c>
      <c r="F1229">
        <v>-105423.18</v>
      </c>
      <c r="G1229">
        <v>-747300.16</v>
      </c>
      <c r="H1229">
        <v>208123.02</v>
      </c>
      <c r="I1229">
        <v>850000</v>
      </c>
      <c r="J1229" t="s">
        <v>184</v>
      </c>
    </row>
    <row r="1230" spans="1:10" x14ac:dyDescent="0.35">
      <c r="A1230">
        <v>600</v>
      </c>
      <c r="B1230" t="s">
        <v>452</v>
      </c>
      <c r="C1230">
        <v>6971044.8399999999</v>
      </c>
      <c r="D1230">
        <v>0</v>
      </c>
      <c r="E1230">
        <v>6971044.8399999999</v>
      </c>
      <c r="F1230">
        <v>-74632</v>
      </c>
      <c r="G1230">
        <v>216037.36</v>
      </c>
      <c r="H1230">
        <v>7045676.8399999999</v>
      </c>
      <c r="I1230">
        <v>6755007.4800000004</v>
      </c>
      <c r="J1230" t="s">
        <v>184</v>
      </c>
    </row>
    <row r="1231" spans="1:10" x14ac:dyDescent="0.35">
      <c r="A1231">
        <v>610</v>
      </c>
      <c r="B1231" t="s">
        <v>453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184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184</v>
      </c>
    </row>
    <row r="1233" spans="1:10" x14ac:dyDescent="0.35">
      <c r="A1233">
        <v>700</v>
      </c>
      <c r="B1233" t="s">
        <v>454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184</v>
      </c>
    </row>
    <row r="1234" spans="1:10" x14ac:dyDescent="0.35">
      <c r="A1234">
        <v>710</v>
      </c>
      <c r="B1234" t="s">
        <v>410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184</v>
      </c>
    </row>
    <row r="1235" spans="1:10" x14ac:dyDescent="0.35">
      <c r="A1235">
        <v>720</v>
      </c>
      <c r="B1235" t="s">
        <v>455</v>
      </c>
      <c r="C1235">
        <v>1000</v>
      </c>
      <c r="D1235">
        <v>0</v>
      </c>
      <c r="E1235">
        <v>1000</v>
      </c>
      <c r="F1235">
        <v>0</v>
      </c>
      <c r="G1235">
        <v>0</v>
      </c>
      <c r="H1235">
        <v>1000</v>
      </c>
      <c r="I1235">
        <v>1000</v>
      </c>
      <c r="J1235" t="s">
        <v>184</v>
      </c>
    </row>
    <row r="1236" spans="1:10" x14ac:dyDescent="0.35">
      <c r="A1236">
        <v>730</v>
      </c>
      <c r="B1236" t="s">
        <v>456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184</v>
      </c>
    </row>
    <row r="1237" spans="1:10" x14ac:dyDescent="0.35">
      <c r="A1237">
        <v>740</v>
      </c>
      <c r="B1237" t="s">
        <v>457</v>
      </c>
      <c r="C1237">
        <v>-3119729</v>
      </c>
      <c r="D1237">
        <v>0</v>
      </c>
      <c r="E1237">
        <v>-3119729</v>
      </c>
      <c r="F1237">
        <v>0</v>
      </c>
      <c r="G1237">
        <v>0</v>
      </c>
      <c r="H1237">
        <v>-3119729</v>
      </c>
      <c r="I1237">
        <v>-3119729</v>
      </c>
      <c r="J1237" t="s">
        <v>184</v>
      </c>
    </row>
    <row r="1238" spans="1:10" x14ac:dyDescent="0.35">
      <c r="A1238">
        <v>750</v>
      </c>
      <c r="B1238" t="s">
        <v>271</v>
      </c>
      <c r="C1238">
        <v>20601.46</v>
      </c>
      <c r="D1238">
        <v>0</v>
      </c>
      <c r="E1238">
        <v>20601.46</v>
      </c>
      <c r="F1238">
        <v>103303.23</v>
      </c>
      <c r="G1238">
        <v>20601.46</v>
      </c>
      <c r="H1238">
        <v>-82701.77</v>
      </c>
      <c r="I1238">
        <v>0</v>
      </c>
      <c r="J1238" t="s">
        <v>184</v>
      </c>
    </row>
    <row r="1239" spans="1:10" x14ac:dyDescent="0.35">
      <c r="A1239">
        <v>760</v>
      </c>
      <c r="B1239" t="s">
        <v>458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184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184</v>
      </c>
    </row>
    <row r="1241" spans="1:10" x14ac:dyDescent="0.35">
      <c r="A1241">
        <v>800</v>
      </c>
      <c r="B1241" t="s">
        <v>459</v>
      </c>
      <c r="C1241">
        <v>-3098127.54</v>
      </c>
      <c r="D1241">
        <v>0</v>
      </c>
      <c r="E1241">
        <v>-3098127.54</v>
      </c>
      <c r="F1241">
        <v>103303.23</v>
      </c>
      <c r="G1241">
        <v>20601.46</v>
      </c>
      <c r="H1241">
        <v>-3201430.77</v>
      </c>
      <c r="I1241">
        <v>-3118729</v>
      </c>
      <c r="J1241" t="s">
        <v>184</v>
      </c>
    </row>
    <row r="1242" spans="1:10" x14ac:dyDescent="0.35">
      <c r="A1242">
        <v>900</v>
      </c>
      <c r="B1242" t="s">
        <v>460</v>
      </c>
      <c r="C1242">
        <v>3964522</v>
      </c>
      <c r="D1242">
        <v>0</v>
      </c>
      <c r="E1242">
        <v>3964522</v>
      </c>
      <c r="F1242">
        <v>53376.83</v>
      </c>
      <c r="G1242">
        <v>249202.25</v>
      </c>
      <c r="H1242">
        <v>3911145.17</v>
      </c>
      <c r="I1242">
        <v>3715319.75</v>
      </c>
      <c r="J1242" t="s">
        <v>184</v>
      </c>
    </row>
    <row r="1243" spans="1:10" x14ac:dyDescent="0.35">
      <c r="A1243">
        <v>1000</v>
      </c>
      <c r="B1243" t="s">
        <v>411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 t="s">
        <v>184</v>
      </c>
    </row>
    <row r="1244" spans="1:10" x14ac:dyDescent="0.35">
      <c r="A1244" t="s">
        <v>461</v>
      </c>
      <c r="B1244" t="s">
        <v>172</v>
      </c>
      <c r="C1244" t="s">
        <v>390</v>
      </c>
      <c r="D1244" t="s">
        <v>391</v>
      </c>
      <c r="E1244" t="s">
        <v>392</v>
      </c>
      <c r="F1244" t="s">
        <v>393</v>
      </c>
      <c r="G1244" t="s">
        <v>394</v>
      </c>
      <c r="H1244" t="s">
        <v>395</v>
      </c>
      <c r="I1244" t="s">
        <v>396</v>
      </c>
      <c r="J1244" t="s">
        <v>183</v>
      </c>
    </row>
    <row r="1245" spans="1:10" x14ac:dyDescent="0.35">
      <c r="A1245">
        <v>10</v>
      </c>
      <c r="B1245" t="s">
        <v>397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184</v>
      </c>
    </row>
    <row r="1246" spans="1:10" x14ac:dyDescent="0.35">
      <c r="A1246">
        <v>20</v>
      </c>
      <c r="B1246" t="s">
        <v>415</v>
      </c>
      <c r="C1246">
        <v>30617.37</v>
      </c>
      <c r="D1246">
        <v>0</v>
      </c>
      <c r="E1246">
        <v>30617.37</v>
      </c>
      <c r="F1246">
        <v>15132.86</v>
      </c>
      <c r="G1246">
        <v>-42849.55</v>
      </c>
      <c r="H1246">
        <v>15484.51</v>
      </c>
      <c r="I1246">
        <v>73466.92</v>
      </c>
      <c r="J1246" t="s">
        <v>184</v>
      </c>
    </row>
    <row r="1247" spans="1:10" x14ac:dyDescent="0.35">
      <c r="A1247">
        <v>30</v>
      </c>
      <c r="B1247" t="s">
        <v>416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184</v>
      </c>
    </row>
    <row r="1248" spans="1:10" x14ac:dyDescent="0.35">
      <c r="A1248">
        <v>40</v>
      </c>
      <c r="B1248" t="s">
        <v>417</v>
      </c>
      <c r="C1248">
        <v>79406.84</v>
      </c>
      <c r="D1248">
        <v>0</v>
      </c>
      <c r="E1248">
        <v>79406.84</v>
      </c>
      <c r="F1248">
        <v>9350</v>
      </c>
      <c r="G1248">
        <v>17375.810000000001</v>
      </c>
      <c r="H1248">
        <v>70056.84</v>
      </c>
      <c r="I1248">
        <v>62031.03</v>
      </c>
      <c r="J1248" t="s">
        <v>184</v>
      </c>
    </row>
    <row r="1249" spans="1:10" x14ac:dyDescent="0.35">
      <c r="A1249">
        <v>50</v>
      </c>
      <c r="B1249" t="s">
        <v>418</v>
      </c>
      <c r="C1249">
        <v>4192857.79</v>
      </c>
      <c r="D1249">
        <v>0</v>
      </c>
      <c r="E1249">
        <v>4192857.79</v>
      </c>
      <c r="F1249">
        <v>1629897.35</v>
      </c>
      <c r="G1249">
        <v>1775373.07</v>
      </c>
      <c r="H1249">
        <v>2562960.44</v>
      </c>
      <c r="I1249">
        <v>2417484.7200000002</v>
      </c>
      <c r="J1249" t="s">
        <v>184</v>
      </c>
    </row>
    <row r="1250" spans="1:10" x14ac:dyDescent="0.35">
      <c r="A1250">
        <v>60</v>
      </c>
      <c r="B1250" t="s">
        <v>343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184</v>
      </c>
    </row>
    <row r="1251" spans="1:10" x14ac:dyDescent="0.35">
      <c r="A1251">
        <v>70</v>
      </c>
      <c r="B1251" t="s">
        <v>419</v>
      </c>
      <c r="C1251">
        <v>79431</v>
      </c>
      <c r="D1251">
        <v>0</v>
      </c>
      <c r="E1251">
        <v>79431</v>
      </c>
      <c r="F1251">
        <v>-6152</v>
      </c>
      <c r="G1251">
        <v>0</v>
      </c>
      <c r="H1251">
        <v>85583</v>
      </c>
      <c r="I1251">
        <v>79431</v>
      </c>
      <c r="J1251" t="s">
        <v>184</v>
      </c>
    </row>
    <row r="1252" spans="1:10" x14ac:dyDescent="0.35">
      <c r="A1252">
        <v>80</v>
      </c>
      <c r="B1252" t="s">
        <v>420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184</v>
      </c>
    </row>
    <row r="1253" spans="1:10" x14ac:dyDescent="0.35">
      <c r="A1253">
        <v>100</v>
      </c>
      <c r="B1253" t="s">
        <v>421</v>
      </c>
      <c r="C1253">
        <v>4382313</v>
      </c>
      <c r="D1253">
        <v>0</v>
      </c>
      <c r="E1253">
        <v>4382313</v>
      </c>
      <c r="F1253">
        <v>1648228.21</v>
      </c>
      <c r="G1253">
        <v>1749899.33</v>
      </c>
      <c r="H1253">
        <v>2734084.79</v>
      </c>
      <c r="I1253">
        <v>2632413.67</v>
      </c>
      <c r="J1253" t="s">
        <v>184</v>
      </c>
    </row>
    <row r="1254" spans="1:10" x14ac:dyDescent="0.35">
      <c r="A1254">
        <v>110</v>
      </c>
      <c r="B1254" t="s">
        <v>422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184</v>
      </c>
    </row>
    <row r="1255" spans="1:10" x14ac:dyDescent="0.35">
      <c r="A1255">
        <v>120</v>
      </c>
      <c r="B1255" t="s">
        <v>423</v>
      </c>
      <c r="C1255">
        <v>6523560.3099999996</v>
      </c>
      <c r="D1255">
        <v>0</v>
      </c>
      <c r="E1255">
        <v>6523560.3099999996</v>
      </c>
      <c r="F1255">
        <v>4050</v>
      </c>
      <c r="G1255">
        <v>5650</v>
      </c>
      <c r="H1255">
        <v>6519510.3099999996</v>
      </c>
      <c r="I1255">
        <v>6517910.3099999996</v>
      </c>
      <c r="J1255" t="s">
        <v>184</v>
      </c>
    </row>
    <row r="1256" spans="1:10" x14ac:dyDescent="0.35">
      <c r="A1256">
        <v>130</v>
      </c>
      <c r="B1256" t="s">
        <v>424</v>
      </c>
      <c r="C1256">
        <v>9662242.7300000004</v>
      </c>
      <c r="D1256">
        <v>0</v>
      </c>
      <c r="E1256">
        <v>9662242.7300000004</v>
      </c>
      <c r="F1256">
        <v>0</v>
      </c>
      <c r="G1256">
        <v>461248.43</v>
      </c>
      <c r="H1256">
        <v>9662242.7300000004</v>
      </c>
      <c r="I1256">
        <v>9200994.3000000007</v>
      </c>
      <c r="J1256" t="s">
        <v>184</v>
      </c>
    </row>
    <row r="1257" spans="1:10" x14ac:dyDescent="0.35">
      <c r="A1257">
        <v>140</v>
      </c>
      <c r="B1257" t="s">
        <v>425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184</v>
      </c>
    </row>
    <row r="1258" spans="1:10" x14ac:dyDescent="0.35">
      <c r="A1258">
        <v>150</v>
      </c>
      <c r="B1258" t="s">
        <v>426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184</v>
      </c>
    </row>
    <row r="1259" spans="1:10" x14ac:dyDescent="0.35">
      <c r="A1259">
        <v>160</v>
      </c>
      <c r="B1259" t="s">
        <v>427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184</v>
      </c>
    </row>
    <row r="1260" spans="1:10" x14ac:dyDescent="0.35">
      <c r="A1260">
        <v>170</v>
      </c>
      <c r="B1260" t="s">
        <v>428</v>
      </c>
      <c r="C1260">
        <v>1923187.96</v>
      </c>
      <c r="D1260">
        <v>0</v>
      </c>
      <c r="E1260">
        <v>1923187.96</v>
      </c>
      <c r="F1260">
        <v>0</v>
      </c>
      <c r="G1260">
        <v>1500</v>
      </c>
      <c r="H1260">
        <v>1923187.96</v>
      </c>
      <c r="I1260">
        <v>1921687.96</v>
      </c>
      <c r="J1260" t="s">
        <v>184</v>
      </c>
    </row>
    <row r="1261" spans="1:10" x14ac:dyDescent="0.35">
      <c r="A1261">
        <v>180</v>
      </c>
      <c r="B1261" t="s">
        <v>429</v>
      </c>
      <c r="C1261">
        <v>-4747412.99</v>
      </c>
      <c r="D1261">
        <v>0</v>
      </c>
      <c r="E1261">
        <v>-4747412.99</v>
      </c>
      <c r="F1261">
        <v>0</v>
      </c>
      <c r="G1261">
        <v>0</v>
      </c>
      <c r="H1261">
        <v>-4747412.99</v>
      </c>
      <c r="I1261">
        <v>-4747412.99</v>
      </c>
      <c r="J1261" t="s">
        <v>184</v>
      </c>
    </row>
    <row r="1262" spans="1:10" x14ac:dyDescent="0.35">
      <c r="A1262">
        <v>190</v>
      </c>
      <c r="B1262" t="s">
        <v>430</v>
      </c>
      <c r="C1262">
        <v>-4198940.6500000004</v>
      </c>
      <c r="D1262">
        <v>0</v>
      </c>
      <c r="E1262">
        <v>-4198940.6500000004</v>
      </c>
      <c r="F1262">
        <v>-21002.41</v>
      </c>
      <c r="G1262">
        <v>-189021.69</v>
      </c>
      <c r="H1262">
        <v>-4177938.24</v>
      </c>
      <c r="I1262">
        <v>-4009918.96</v>
      </c>
      <c r="J1262" t="s">
        <v>184</v>
      </c>
    </row>
    <row r="1263" spans="1:10" x14ac:dyDescent="0.35">
      <c r="A1263">
        <v>200</v>
      </c>
      <c r="B1263" t="s">
        <v>431</v>
      </c>
      <c r="C1263">
        <v>9162637.3599999994</v>
      </c>
      <c r="D1263">
        <v>0</v>
      </c>
      <c r="E1263">
        <v>9162637.3599999994</v>
      </c>
      <c r="F1263">
        <v>-16952.41</v>
      </c>
      <c r="G1263">
        <v>279376.74</v>
      </c>
      <c r="H1263">
        <v>9179589.7699999996</v>
      </c>
      <c r="I1263">
        <v>8883260.6199999992</v>
      </c>
      <c r="J1263" t="s">
        <v>184</v>
      </c>
    </row>
    <row r="1264" spans="1:10" x14ac:dyDescent="0.35">
      <c r="A1264">
        <v>210</v>
      </c>
      <c r="B1264" t="s">
        <v>432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184</v>
      </c>
    </row>
    <row r="1265" spans="1:10" x14ac:dyDescent="0.35">
      <c r="A1265">
        <v>220</v>
      </c>
      <c r="B1265" t="s">
        <v>433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184</v>
      </c>
    </row>
    <row r="1266" spans="1:10" x14ac:dyDescent="0.35">
      <c r="A1266">
        <v>230</v>
      </c>
      <c r="B1266" t="s">
        <v>434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184</v>
      </c>
    </row>
    <row r="1267" spans="1:10" x14ac:dyDescent="0.35">
      <c r="A1267">
        <v>240</v>
      </c>
      <c r="B1267" t="s">
        <v>435</v>
      </c>
      <c r="C1267">
        <v>-61303.8</v>
      </c>
      <c r="D1267">
        <v>0</v>
      </c>
      <c r="E1267">
        <v>-61303.8</v>
      </c>
      <c r="F1267">
        <v>0</v>
      </c>
      <c r="G1267">
        <v>0</v>
      </c>
      <c r="H1267">
        <v>-61303.8</v>
      </c>
      <c r="I1267">
        <v>-61303.8</v>
      </c>
      <c r="J1267" t="s">
        <v>184</v>
      </c>
    </row>
    <row r="1268" spans="1:10" x14ac:dyDescent="0.35">
      <c r="A1268">
        <v>250</v>
      </c>
      <c r="B1268" t="s">
        <v>436</v>
      </c>
      <c r="C1268">
        <v>-61303.8</v>
      </c>
      <c r="D1268">
        <v>0</v>
      </c>
      <c r="E1268">
        <v>-61303.8</v>
      </c>
      <c r="F1268">
        <v>0</v>
      </c>
      <c r="G1268">
        <v>0</v>
      </c>
      <c r="H1268">
        <v>-61303.8</v>
      </c>
      <c r="I1268">
        <v>-61303.8</v>
      </c>
      <c r="J1268" t="s">
        <v>184</v>
      </c>
    </row>
    <row r="1269" spans="1:10" x14ac:dyDescent="0.35">
      <c r="A1269">
        <v>260</v>
      </c>
      <c r="B1269" t="s">
        <v>437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184</v>
      </c>
    </row>
    <row r="1270" spans="1:10" x14ac:dyDescent="0.35">
      <c r="A1270">
        <v>270</v>
      </c>
      <c r="B1270" t="s">
        <v>438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184</v>
      </c>
    </row>
    <row r="1271" spans="1:10" x14ac:dyDescent="0.35">
      <c r="A1271">
        <v>280</v>
      </c>
      <c r="B1271" t="s">
        <v>439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184</v>
      </c>
    </row>
    <row r="1272" spans="1:10" x14ac:dyDescent="0.35">
      <c r="A1272">
        <v>400</v>
      </c>
      <c r="B1272" t="s">
        <v>440</v>
      </c>
      <c r="C1272">
        <v>13493646.560000001</v>
      </c>
      <c r="D1272">
        <v>0</v>
      </c>
      <c r="E1272">
        <v>13493646.560000001</v>
      </c>
      <c r="F1272">
        <v>1631275.8</v>
      </c>
      <c r="G1272">
        <v>2029276.07</v>
      </c>
      <c r="H1272">
        <v>11862370.76</v>
      </c>
      <c r="I1272">
        <v>11464370.49</v>
      </c>
      <c r="J1272" t="s">
        <v>184</v>
      </c>
    </row>
    <row r="1273" spans="1:10" x14ac:dyDescent="0.35">
      <c r="A1273">
        <v>410</v>
      </c>
      <c r="B1273" t="s">
        <v>441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184</v>
      </c>
    </row>
    <row r="1274" spans="1:10" x14ac:dyDescent="0.35">
      <c r="A1274">
        <v>420</v>
      </c>
      <c r="B1274" t="s">
        <v>442</v>
      </c>
      <c r="C1274">
        <v>59610.54</v>
      </c>
      <c r="D1274">
        <v>0</v>
      </c>
      <c r="E1274">
        <v>59610.54</v>
      </c>
      <c r="F1274">
        <v>14992.2</v>
      </c>
      <c r="G1274">
        <v>22690.54</v>
      </c>
      <c r="H1274">
        <v>44618.34</v>
      </c>
      <c r="I1274">
        <v>36920</v>
      </c>
      <c r="J1274" t="s">
        <v>184</v>
      </c>
    </row>
    <row r="1275" spans="1:10" x14ac:dyDescent="0.35">
      <c r="A1275">
        <v>430</v>
      </c>
      <c r="B1275" t="s">
        <v>443</v>
      </c>
      <c r="C1275">
        <v>26581.21</v>
      </c>
      <c r="D1275">
        <v>0</v>
      </c>
      <c r="E1275">
        <v>26581.21</v>
      </c>
      <c r="F1275">
        <v>7481.66</v>
      </c>
      <c r="G1275">
        <v>26581.21</v>
      </c>
      <c r="H1275">
        <v>19099.55</v>
      </c>
      <c r="I1275">
        <v>0</v>
      </c>
      <c r="J1275" t="s">
        <v>184</v>
      </c>
    </row>
    <row r="1276" spans="1:10" x14ac:dyDescent="0.35">
      <c r="A1276">
        <v>440</v>
      </c>
      <c r="B1276" t="s">
        <v>444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184</v>
      </c>
    </row>
    <row r="1277" spans="1:10" x14ac:dyDescent="0.35">
      <c r="A1277">
        <v>450</v>
      </c>
      <c r="B1277" t="s">
        <v>445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184</v>
      </c>
    </row>
    <row r="1278" spans="1:10" x14ac:dyDescent="0.35">
      <c r="A1278">
        <v>460</v>
      </c>
      <c r="B1278" t="s">
        <v>446</v>
      </c>
      <c r="C1278">
        <v>803950.17</v>
      </c>
      <c r="D1278">
        <v>0</v>
      </c>
      <c r="E1278">
        <v>803950.17</v>
      </c>
      <c r="F1278">
        <v>0</v>
      </c>
      <c r="G1278">
        <v>318556.17</v>
      </c>
      <c r="H1278">
        <v>803950.17</v>
      </c>
      <c r="I1278">
        <v>485394</v>
      </c>
      <c r="J1278" t="s">
        <v>184</v>
      </c>
    </row>
    <row r="1279" spans="1:10" x14ac:dyDescent="0.35">
      <c r="A1279">
        <v>500</v>
      </c>
      <c r="B1279" t="s">
        <v>447</v>
      </c>
      <c r="C1279">
        <v>890141.92</v>
      </c>
      <c r="D1279">
        <v>0</v>
      </c>
      <c r="E1279">
        <v>890141.92</v>
      </c>
      <c r="F1279">
        <v>22473.86</v>
      </c>
      <c r="G1279">
        <v>367827.92</v>
      </c>
      <c r="H1279">
        <v>867668.06</v>
      </c>
      <c r="I1279">
        <v>522314</v>
      </c>
      <c r="J1279" t="s">
        <v>184</v>
      </c>
    </row>
    <row r="1280" spans="1:10" x14ac:dyDescent="0.35">
      <c r="A1280">
        <v>510</v>
      </c>
      <c r="B1280" t="s">
        <v>448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184</v>
      </c>
    </row>
    <row r="1281" spans="1:10" x14ac:dyDescent="0.35">
      <c r="A1281">
        <v>520</v>
      </c>
      <c r="B1281" t="s">
        <v>449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 t="s">
        <v>184</v>
      </c>
    </row>
    <row r="1282" spans="1:10" x14ac:dyDescent="0.35">
      <c r="A1282">
        <v>530</v>
      </c>
      <c r="B1282" t="s">
        <v>450</v>
      </c>
      <c r="C1282">
        <v>6706278.1500000004</v>
      </c>
      <c r="D1282">
        <v>0</v>
      </c>
      <c r="E1282">
        <v>6706278.1500000004</v>
      </c>
      <c r="F1282">
        <v>1585399.71</v>
      </c>
      <c r="G1282">
        <v>1229616.8899999999</v>
      </c>
      <c r="H1282">
        <v>5120878.4400000004</v>
      </c>
      <c r="I1282">
        <v>5476661.2599999998</v>
      </c>
      <c r="J1282" t="s">
        <v>184</v>
      </c>
    </row>
    <row r="1283" spans="1:10" x14ac:dyDescent="0.35">
      <c r="A1283">
        <v>540</v>
      </c>
      <c r="B1283" t="s">
        <v>451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184</v>
      </c>
    </row>
    <row r="1284" spans="1:10" x14ac:dyDescent="0.35">
      <c r="A1284">
        <v>600</v>
      </c>
      <c r="B1284" t="s">
        <v>452</v>
      </c>
      <c r="C1284">
        <v>6706278.1500000004</v>
      </c>
      <c r="D1284">
        <v>0</v>
      </c>
      <c r="E1284">
        <v>6706278.1500000004</v>
      </c>
      <c r="F1284">
        <v>1585399.71</v>
      </c>
      <c r="G1284">
        <v>1229616.8899999999</v>
      </c>
      <c r="H1284">
        <v>5120878.4400000004</v>
      </c>
      <c r="I1284">
        <v>5476661.2599999998</v>
      </c>
      <c r="J1284" t="s">
        <v>184</v>
      </c>
    </row>
    <row r="1285" spans="1:10" x14ac:dyDescent="0.35">
      <c r="A1285">
        <v>610</v>
      </c>
      <c r="B1285" t="s">
        <v>453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184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184</v>
      </c>
    </row>
    <row r="1287" spans="1:10" x14ac:dyDescent="0.35">
      <c r="A1287">
        <v>700</v>
      </c>
      <c r="B1287" t="s">
        <v>454</v>
      </c>
      <c r="C1287">
        <v>7596420.0700000003</v>
      </c>
      <c r="D1287">
        <v>0</v>
      </c>
      <c r="E1287">
        <v>7596420.0700000003</v>
      </c>
      <c r="F1287">
        <v>1607873.57</v>
      </c>
      <c r="G1287">
        <v>1597444.81</v>
      </c>
      <c r="H1287">
        <v>5988546.5</v>
      </c>
      <c r="I1287">
        <v>5998975.2599999998</v>
      </c>
      <c r="J1287" t="s">
        <v>184</v>
      </c>
    </row>
    <row r="1288" spans="1:10" x14ac:dyDescent="0.35">
      <c r="A1288">
        <v>710</v>
      </c>
      <c r="B1288" t="s">
        <v>410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184</v>
      </c>
    </row>
    <row r="1289" spans="1:10" x14ac:dyDescent="0.35">
      <c r="A1289">
        <v>720</v>
      </c>
      <c r="B1289" t="s">
        <v>455</v>
      </c>
      <c r="C1289">
        <v>2714342.52</v>
      </c>
      <c r="D1289">
        <v>0</v>
      </c>
      <c r="E1289">
        <v>2714342.52</v>
      </c>
      <c r="F1289">
        <v>0</v>
      </c>
      <c r="G1289">
        <v>-30017.31</v>
      </c>
      <c r="H1289">
        <v>2714342.52</v>
      </c>
      <c r="I1289">
        <v>2744359.83</v>
      </c>
      <c r="J1289" t="s">
        <v>184</v>
      </c>
    </row>
    <row r="1290" spans="1:10" x14ac:dyDescent="0.35">
      <c r="A1290">
        <v>730</v>
      </c>
      <c r="B1290" t="s">
        <v>456</v>
      </c>
      <c r="C1290">
        <v>50000</v>
      </c>
      <c r="D1290">
        <v>0</v>
      </c>
      <c r="E1290">
        <v>50000</v>
      </c>
      <c r="F1290">
        <v>0</v>
      </c>
      <c r="G1290">
        <v>0</v>
      </c>
      <c r="H1290">
        <v>50000</v>
      </c>
      <c r="I1290">
        <v>50000</v>
      </c>
      <c r="J1290" t="s">
        <v>184</v>
      </c>
    </row>
    <row r="1291" spans="1:10" x14ac:dyDescent="0.35">
      <c r="A1291">
        <v>740</v>
      </c>
      <c r="B1291" t="s">
        <v>457</v>
      </c>
      <c r="C1291">
        <v>2669283.63</v>
      </c>
      <c r="D1291">
        <v>0</v>
      </c>
      <c r="E1291">
        <v>2669283.63</v>
      </c>
      <c r="F1291">
        <v>0</v>
      </c>
      <c r="G1291">
        <v>-1751.77</v>
      </c>
      <c r="H1291">
        <v>2669283.63</v>
      </c>
      <c r="I1291">
        <v>2671035.4</v>
      </c>
      <c r="J1291" t="s">
        <v>184</v>
      </c>
    </row>
    <row r="1292" spans="1:10" x14ac:dyDescent="0.35">
      <c r="A1292">
        <v>750</v>
      </c>
      <c r="B1292" t="s">
        <v>271</v>
      </c>
      <c r="C1292">
        <v>463600.34</v>
      </c>
      <c r="D1292">
        <v>116300</v>
      </c>
      <c r="E1292">
        <v>347300.34</v>
      </c>
      <c r="F1292">
        <v>23402.23</v>
      </c>
      <c r="G1292">
        <v>463600.34</v>
      </c>
      <c r="H1292">
        <v>440198.11</v>
      </c>
      <c r="I1292">
        <v>0</v>
      </c>
      <c r="J1292" t="s">
        <v>184</v>
      </c>
    </row>
    <row r="1293" spans="1:10" x14ac:dyDescent="0.35">
      <c r="A1293">
        <v>760</v>
      </c>
      <c r="B1293" t="s">
        <v>458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184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184</v>
      </c>
    </row>
    <row r="1295" spans="1:10" x14ac:dyDescent="0.35">
      <c r="A1295">
        <v>800</v>
      </c>
      <c r="B1295" t="s">
        <v>459</v>
      </c>
      <c r="C1295">
        <v>5897226.4900000002</v>
      </c>
      <c r="D1295">
        <v>116300</v>
      </c>
      <c r="E1295">
        <v>5780926.4900000002</v>
      </c>
      <c r="F1295">
        <v>23402.23</v>
      </c>
      <c r="G1295">
        <v>431831.26</v>
      </c>
      <c r="H1295">
        <v>5873824.2599999998</v>
      </c>
      <c r="I1295">
        <v>5465395.2300000004</v>
      </c>
      <c r="J1295" t="s">
        <v>184</v>
      </c>
    </row>
    <row r="1296" spans="1:10" x14ac:dyDescent="0.35">
      <c r="A1296">
        <v>900</v>
      </c>
      <c r="B1296" t="s">
        <v>460</v>
      </c>
      <c r="C1296">
        <v>13493646.560000001</v>
      </c>
      <c r="D1296">
        <v>116300</v>
      </c>
      <c r="E1296">
        <v>13377346.560000001</v>
      </c>
      <c r="F1296">
        <v>1631275.8</v>
      </c>
      <c r="G1296">
        <v>2029276.07</v>
      </c>
      <c r="H1296">
        <v>11862370.76</v>
      </c>
      <c r="I1296">
        <v>11464370.49</v>
      </c>
      <c r="J1296" t="s">
        <v>184</v>
      </c>
    </row>
    <row r="1297" spans="1:10" x14ac:dyDescent="0.35">
      <c r="A1297">
        <v>1000</v>
      </c>
      <c r="B1297" t="s">
        <v>411</v>
      </c>
      <c r="C1297">
        <v>0</v>
      </c>
      <c r="D1297">
        <v>-116300</v>
      </c>
      <c r="E1297">
        <v>116300</v>
      </c>
      <c r="F1297">
        <v>0</v>
      </c>
      <c r="G1297">
        <v>0</v>
      </c>
      <c r="H1297">
        <v>0</v>
      </c>
      <c r="I1297">
        <v>0</v>
      </c>
      <c r="J1297" t="s">
        <v>184</v>
      </c>
    </row>
    <row r="1298" spans="1:10" x14ac:dyDescent="0.35">
      <c r="A1298" t="s">
        <v>462</v>
      </c>
      <c r="B1298" t="s">
        <v>172</v>
      </c>
      <c r="C1298" t="s">
        <v>390</v>
      </c>
      <c r="D1298" t="s">
        <v>391</v>
      </c>
      <c r="E1298" t="s">
        <v>392</v>
      </c>
      <c r="F1298" t="s">
        <v>393</v>
      </c>
      <c r="G1298" t="s">
        <v>394</v>
      </c>
      <c r="H1298" t="s">
        <v>395</v>
      </c>
      <c r="I1298" t="s">
        <v>396</v>
      </c>
      <c r="J1298" t="s">
        <v>183</v>
      </c>
    </row>
    <row r="1299" spans="1:10" x14ac:dyDescent="0.35">
      <c r="A1299">
        <v>10</v>
      </c>
      <c r="B1299" t="s">
        <v>397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184</v>
      </c>
    </row>
    <row r="1300" spans="1:10" x14ac:dyDescent="0.35">
      <c r="A1300">
        <v>20</v>
      </c>
      <c r="B1300" t="s">
        <v>415</v>
      </c>
      <c r="C1300">
        <v>1750</v>
      </c>
      <c r="D1300">
        <v>0</v>
      </c>
      <c r="E1300">
        <v>1750</v>
      </c>
      <c r="F1300">
        <v>752.07</v>
      </c>
      <c r="G1300">
        <v>1157.1099999999999</v>
      </c>
      <c r="H1300">
        <v>997.93</v>
      </c>
      <c r="I1300">
        <v>592.89</v>
      </c>
      <c r="J1300" t="s">
        <v>184</v>
      </c>
    </row>
    <row r="1301" spans="1:10" x14ac:dyDescent="0.35">
      <c r="A1301">
        <v>30</v>
      </c>
      <c r="B1301" t="s">
        <v>416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184</v>
      </c>
    </row>
    <row r="1302" spans="1:10" x14ac:dyDescent="0.35">
      <c r="A1302">
        <v>40</v>
      </c>
      <c r="B1302" t="s">
        <v>417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184</v>
      </c>
    </row>
    <row r="1303" spans="1:10" x14ac:dyDescent="0.35">
      <c r="A1303">
        <v>50</v>
      </c>
      <c r="B1303" t="s">
        <v>418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184</v>
      </c>
    </row>
    <row r="1304" spans="1:10" x14ac:dyDescent="0.35">
      <c r="A1304">
        <v>60</v>
      </c>
      <c r="B1304" t="s">
        <v>343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184</v>
      </c>
    </row>
    <row r="1305" spans="1:10" x14ac:dyDescent="0.35">
      <c r="A1305">
        <v>70</v>
      </c>
      <c r="B1305" t="s">
        <v>419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 t="s">
        <v>184</v>
      </c>
    </row>
    <row r="1306" spans="1:10" x14ac:dyDescent="0.35">
      <c r="A1306">
        <v>80</v>
      </c>
      <c r="B1306" t="s">
        <v>420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184</v>
      </c>
    </row>
    <row r="1307" spans="1:10" x14ac:dyDescent="0.35">
      <c r="A1307">
        <v>100</v>
      </c>
      <c r="B1307" t="s">
        <v>421</v>
      </c>
      <c r="C1307">
        <v>1750</v>
      </c>
      <c r="D1307">
        <v>0</v>
      </c>
      <c r="E1307">
        <v>1750</v>
      </c>
      <c r="F1307">
        <v>752.07</v>
      </c>
      <c r="G1307">
        <v>1157.1099999999999</v>
      </c>
      <c r="H1307">
        <v>997.93</v>
      </c>
      <c r="I1307">
        <v>592.89</v>
      </c>
      <c r="J1307" t="s">
        <v>184</v>
      </c>
    </row>
    <row r="1308" spans="1:10" x14ac:dyDescent="0.35">
      <c r="A1308">
        <v>110</v>
      </c>
      <c r="B1308" t="s">
        <v>422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184</v>
      </c>
    </row>
    <row r="1309" spans="1:10" x14ac:dyDescent="0.35">
      <c r="A1309">
        <v>120</v>
      </c>
      <c r="B1309" t="s">
        <v>423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184</v>
      </c>
    </row>
    <row r="1310" spans="1:10" x14ac:dyDescent="0.35">
      <c r="A1310">
        <v>130</v>
      </c>
      <c r="B1310" t="s">
        <v>424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184</v>
      </c>
    </row>
    <row r="1311" spans="1:10" x14ac:dyDescent="0.35">
      <c r="A1311">
        <v>140</v>
      </c>
      <c r="B1311" t="s">
        <v>425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184</v>
      </c>
    </row>
    <row r="1312" spans="1:10" x14ac:dyDescent="0.35">
      <c r="A1312">
        <v>150</v>
      </c>
      <c r="B1312" t="s">
        <v>426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184</v>
      </c>
    </row>
    <row r="1313" spans="1:10" x14ac:dyDescent="0.35">
      <c r="A1313">
        <v>160</v>
      </c>
      <c r="B1313" t="s">
        <v>427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184</v>
      </c>
    </row>
    <row r="1314" spans="1:10" x14ac:dyDescent="0.35">
      <c r="A1314">
        <v>170</v>
      </c>
      <c r="B1314" t="s">
        <v>428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184</v>
      </c>
    </row>
    <row r="1315" spans="1:10" x14ac:dyDescent="0.35">
      <c r="A1315">
        <v>180</v>
      </c>
      <c r="B1315" t="s">
        <v>429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184</v>
      </c>
    </row>
    <row r="1316" spans="1:10" x14ac:dyDescent="0.35">
      <c r="A1316">
        <v>190</v>
      </c>
      <c r="B1316" t="s">
        <v>430</v>
      </c>
      <c r="C1316">
        <v>-360709.84</v>
      </c>
      <c r="D1316">
        <v>0</v>
      </c>
      <c r="E1316">
        <v>-360709.84</v>
      </c>
      <c r="F1316">
        <v>-3786.04</v>
      </c>
      <c r="G1316">
        <v>-34074.36</v>
      </c>
      <c r="H1316">
        <v>-356923.8</v>
      </c>
      <c r="I1316">
        <v>-326635.48</v>
      </c>
      <c r="J1316" t="s">
        <v>184</v>
      </c>
    </row>
    <row r="1317" spans="1:10" x14ac:dyDescent="0.35">
      <c r="A1317">
        <v>200</v>
      </c>
      <c r="B1317" t="s">
        <v>431</v>
      </c>
      <c r="C1317">
        <v>662723.16</v>
      </c>
      <c r="D1317">
        <v>0</v>
      </c>
      <c r="E1317">
        <v>662723.16</v>
      </c>
      <c r="F1317">
        <v>-3786.04</v>
      </c>
      <c r="G1317">
        <v>-34074.36</v>
      </c>
      <c r="H1317">
        <v>666509.19999999995</v>
      </c>
      <c r="I1317">
        <v>696797.52</v>
      </c>
      <c r="J1317" t="s">
        <v>184</v>
      </c>
    </row>
    <row r="1318" spans="1:10" x14ac:dyDescent="0.35">
      <c r="A1318">
        <v>210</v>
      </c>
      <c r="B1318" t="s">
        <v>432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184</v>
      </c>
    </row>
    <row r="1319" spans="1:10" x14ac:dyDescent="0.35">
      <c r="A1319">
        <v>220</v>
      </c>
      <c r="B1319" t="s">
        <v>433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184</v>
      </c>
    </row>
    <row r="1320" spans="1:10" x14ac:dyDescent="0.35">
      <c r="A1320">
        <v>230</v>
      </c>
      <c r="B1320" t="s">
        <v>434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184</v>
      </c>
    </row>
    <row r="1321" spans="1:10" x14ac:dyDescent="0.35">
      <c r="A1321">
        <v>240</v>
      </c>
      <c r="B1321" t="s">
        <v>435</v>
      </c>
      <c r="C1321">
        <v>-2676</v>
      </c>
      <c r="D1321">
        <v>0</v>
      </c>
      <c r="E1321">
        <v>-2676</v>
      </c>
      <c r="F1321">
        <v>0</v>
      </c>
      <c r="G1321">
        <v>0</v>
      </c>
      <c r="H1321">
        <v>-2676</v>
      </c>
      <c r="I1321">
        <v>-2676</v>
      </c>
      <c r="J1321" t="s">
        <v>184</v>
      </c>
    </row>
    <row r="1322" spans="1:10" x14ac:dyDescent="0.35">
      <c r="A1322">
        <v>250</v>
      </c>
      <c r="B1322" t="s">
        <v>436</v>
      </c>
      <c r="C1322">
        <v>-2676</v>
      </c>
      <c r="D1322">
        <v>0</v>
      </c>
      <c r="E1322">
        <v>-2676</v>
      </c>
      <c r="F1322">
        <v>0</v>
      </c>
      <c r="G1322">
        <v>0</v>
      </c>
      <c r="H1322">
        <v>-2676</v>
      </c>
      <c r="I1322">
        <v>-2676</v>
      </c>
      <c r="J1322" t="s">
        <v>184</v>
      </c>
    </row>
    <row r="1323" spans="1:10" x14ac:dyDescent="0.35">
      <c r="A1323">
        <v>260</v>
      </c>
      <c r="B1323" t="s">
        <v>437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184</v>
      </c>
    </row>
    <row r="1324" spans="1:10" x14ac:dyDescent="0.35">
      <c r="A1324">
        <v>270</v>
      </c>
      <c r="B1324" t="s">
        <v>438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184</v>
      </c>
    </row>
    <row r="1325" spans="1:10" x14ac:dyDescent="0.35">
      <c r="A1325">
        <v>280</v>
      </c>
      <c r="B1325" t="s">
        <v>439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184</v>
      </c>
    </row>
    <row r="1326" spans="1:10" x14ac:dyDescent="0.35">
      <c r="A1326">
        <v>400</v>
      </c>
      <c r="B1326" t="s">
        <v>440</v>
      </c>
      <c r="C1326">
        <v>661797.16</v>
      </c>
      <c r="D1326">
        <v>0</v>
      </c>
      <c r="E1326">
        <v>661797.16</v>
      </c>
      <c r="F1326">
        <v>-3033.97</v>
      </c>
      <c r="G1326">
        <v>-32917.25</v>
      </c>
      <c r="H1326">
        <v>664831.13</v>
      </c>
      <c r="I1326">
        <v>694714.41</v>
      </c>
      <c r="J1326" t="s">
        <v>184</v>
      </c>
    </row>
    <row r="1327" spans="1:10" x14ac:dyDescent="0.35">
      <c r="A1327">
        <v>410</v>
      </c>
      <c r="B1327" t="s">
        <v>441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184</v>
      </c>
    </row>
    <row r="1328" spans="1:10" x14ac:dyDescent="0.35">
      <c r="A1328">
        <v>420</v>
      </c>
      <c r="B1328" t="s">
        <v>442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184</v>
      </c>
    </row>
    <row r="1329" spans="1:10" x14ac:dyDescent="0.35">
      <c r="A1329">
        <v>430</v>
      </c>
      <c r="B1329" t="s">
        <v>443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184</v>
      </c>
    </row>
    <row r="1330" spans="1:10" x14ac:dyDescent="0.35">
      <c r="A1330">
        <v>440</v>
      </c>
      <c r="B1330" t="s">
        <v>444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184</v>
      </c>
    </row>
    <row r="1331" spans="1:10" x14ac:dyDescent="0.35">
      <c r="A1331">
        <v>450</v>
      </c>
      <c r="B1331" t="s">
        <v>445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184</v>
      </c>
    </row>
    <row r="1332" spans="1:10" x14ac:dyDescent="0.35">
      <c r="A1332">
        <v>460</v>
      </c>
      <c r="B1332" t="s">
        <v>446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184</v>
      </c>
    </row>
    <row r="1333" spans="1:10" x14ac:dyDescent="0.35">
      <c r="A1333">
        <v>500</v>
      </c>
      <c r="B1333" t="s">
        <v>447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184</v>
      </c>
    </row>
    <row r="1334" spans="1:10" x14ac:dyDescent="0.35">
      <c r="A1334">
        <v>510</v>
      </c>
      <c r="B1334" t="s">
        <v>448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184</v>
      </c>
    </row>
    <row r="1335" spans="1:10" x14ac:dyDescent="0.35">
      <c r="A1335">
        <v>520</v>
      </c>
      <c r="B1335" t="s">
        <v>449</v>
      </c>
      <c r="C1335">
        <v>793950.17</v>
      </c>
      <c r="D1335">
        <v>0</v>
      </c>
      <c r="E1335">
        <v>793950.17</v>
      </c>
      <c r="F1335">
        <v>0</v>
      </c>
      <c r="G1335">
        <v>320556.17</v>
      </c>
      <c r="H1335">
        <v>793950.17</v>
      </c>
      <c r="I1335">
        <v>473394</v>
      </c>
      <c r="J1335" t="s">
        <v>184</v>
      </c>
    </row>
    <row r="1336" spans="1:10" x14ac:dyDescent="0.35">
      <c r="A1336">
        <v>530</v>
      </c>
      <c r="B1336" t="s">
        <v>450</v>
      </c>
      <c r="C1336">
        <v>371546.64</v>
      </c>
      <c r="D1336">
        <v>0</v>
      </c>
      <c r="E1336">
        <v>371546.64</v>
      </c>
      <c r="F1336">
        <v>-2006.26</v>
      </c>
      <c r="G1336">
        <v>-341363.39</v>
      </c>
      <c r="H1336">
        <v>373552.9</v>
      </c>
      <c r="I1336">
        <v>712910.03</v>
      </c>
      <c r="J1336" t="s">
        <v>184</v>
      </c>
    </row>
    <row r="1337" spans="1:10" x14ac:dyDescent="0.35">
      <c r="A1337">
        <v>540</v>
      </c>
      <c r="B1337" t="s">
        <v>451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184</v>
      </c>
    </row>
    <row r="1338" spans="1:10" x14ac:dyDescent="0.35">
      <c r="A1338">
        <v>600</v>
      </c>
      <c r="B1338" t="s">
        <v>452</v>
      </c>
      <c r="C1338">
        <v>1165496.81</v>
      </c>
      <c r="D1338">
        <v>0</v>
      </c>
      <c r="E1338">
        <v>1165496.81</v>
      </c>
      <c r="F1338">
        <v>-2006.26</v>
      </c>
      <c r="G1338">
        <v>-20807.22</v>
      </c>
      <c r="H1338">
        <v>1167503.07</v>
      </c>
      <c r="I1338">
        <v>1186304.03</v>
      </c>
      <c r="J1338" t="s">
        <v>184</v>
      </c>
    </row>
    <row r="1339" spans="1:10" x14ac:dyDescent="0.35">
      <c r="A1339">
        <v>610</v>
      </c>
      <c r="B1339" t="s">
        <v>453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184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184</v>
      </c>
    </row>
    <row r="1341" spans="1:10" x14ac:dyDescent="0.35">
      <c r="A1341">
        <v>700</v>
      </c>
      <c r="B1341" t="s">
        <v>454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184</v>
      </c>
    </row>
    <row r="1342" spans="1:10" x14ac:dyDescent="0.35">
      <c r="A1342">
        <v>710</v>
      </c>
      <c r="B1342" t="s">
        <v>410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184</v>
      </c>
    </row>
    <row r="1343" spans="1:10" x14ac:dyDescent="0.35">
      <c r="A1343">
        <v>720</v>
      </c>
      <c r="B1343" t="s">
        <v>455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184</v>
      </c>
    </row>
    <row r="1344" spans="1:10" x14ac:dyDescent="0.35">
      <c r="A1344">
        <v>730</v>
      </c>
      <c r="B1344" t="s">
        <v>456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184</v>
      </c>
    </row>
    <row r="1345" spans="1:10" x14ac:dyDescent="0.35">
      <c r="A1345">
        <v>740</v>
      </c>
      <c r="B1345" t="s">
        <v>457</v>
      </c>
      <c r="C1345">
        <v>-375057.94</v>
      </c>
      <c r="D1345">
        <v>0</v>
      </c>
      <c r="E1345">
        <v>-375057.94</v>
      </c>
      <c r="F1345">
        <v>0</v>
      </c>
      <c r="G1345">
        <v>-1751.77</v>
      </c>
      <c r="H1345">
        <v>-375057.94</v>
      </c>
      <c r="I1345">
        <v>-373306.17</v>
      </c>
      <c r="J1345" t="s">
        <v>184</v>
      </c>
    </row>
    <row r="1346" spans="1:10" x14ac:dyDescent="0.35">
      <c r="A1346">
        <v>750</v>
      </c>
      <c r="B1346" t="s">
        <v>271</v>
      </c>
      <c r="C1346">
        <v>-10358.26</v>
      </c>
      <c r="D1346">
        <v>0</v>
      </c>
      <c r="E1346">
        <v>-10358.26</v>
      </c>
      <c r="F1346">
        <v>-1027.71</v>
      </c>
      <c r="G1346">
        <v>-10358.26</v>
      </c>
      <c r="H1346">
        <v>-9330.5499999999993</v>
      </c>
      <c r="I1346">
        <v>0</v>
      </c>
      <c r="J1346" t="s">
        <v>184</v>
      </c>
    </row>
    <row r="1347" spans="1:10" x14ac:dyDescent="0.35">
      <c r="A1347">
        <v>760</v>
      </c>
      <c r="B1347" t="s">
        <v>458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184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184</v>
      </c>
    </row>
    <row r="1349" spans="1:10" x14ac:dyDescent="0.35">
      <c r="A1349">
        <v>800</v>
      </c>
      <c r="B1349" t="s">
        <v>459</v>
      </c>
      <c r="C1349">
        <v>-503699.65</v>
      </c>
      <c r="D1349">
        <v>0</v>
      </c>
      <c r="E1349">
        <v>-503699.65</v>
      </c>
      <c r="F1349">
        <v>-1027.71</v>
      </c>
      <c r="G1349">
        <v>-12110.03</v>
      </c>
      <c r="H1349">
        <v>-502671.94</v>
      </c>
      <c r="I1349">
        <v>-491589.62</v>
      </c>
      <c r="J1349" t="s">
        <v>184</v>
      </c>
    </row>
    <row r="1350" spans="1:10" x14ac:dyDescent="0.35">
      <c r="A1350">
        <v>900</v>
      </c>
      <c r="B1350" t="s">
        <v>460</v>
      </c>
      <c r="C1350">
        <v>661797.16</v>
      </c>
      <c r="D1350">
        <v>0</v>
      </c>
      <c r="E1350">
        <v>661797.16</v>
      </c>
      <c r="F1350">
        <v>-3033.97</v>
      </c>
      <c r="G1350">
        <v>-32917.25</v>
      </c>
      <c r="H1350">
        <v>664831.13</v>
      </c>
      <c r="I1350">
        <v>694714.41</v>
      </c>
      <c r="J1350" t="s">
        <v>184</v>
      </c>
    </row>
    <row r="1351" spans="1:10" x14ac:dyDescent="0.35">
      <c r="A1351">
        <v>1000</v>
      </c>
      <c r="B1351" t="s">
        <v>411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184</v>
      </c>
    </row>
    <row r="1352" spans="1:10" x14ac:dyDescent="0.35">
      <c r="A1352" t="s">
        <v>278</v>
      </c>
      <c r="B1352" t="s">
        <v>172</v>
      </c>
      <c r="C1352" t="s">
        <v>390</v>
      </c>
      <c r="D1352" t="s">
        <v>391</v>
      </c>
      <c r="E1352" t="s">
        <v>392</v>
      </c>
      <c r="F1352" t="s">
        <v>393</v>
      </c>
      <c r="G1352" t="s">
        <v>394</v>
      </c>
      <c r="H1352" t="s">
        <v>395</v>
      </c>
      <c r="I1352" t="s">
        <v>396</v>
      </c>
      <c r="J1352" t="s">
        <v>183</v>
      </c>
    </row>
    <row r="1353" spans="1:10" x14ac:dyDescent="0.35">
      <c r="A1353">
        <v>10</v>
      </c>
      <c r="B1353" t="s">
        <v>397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184</v>
      </c>
    </row>
    <row r="1354" spans="1:10" x14ac:dyDescent="0.35">
      <c r="A1354">
        <v>20</v>
      </c>
      <c r="B1354" t="s">
        <v>415</v>
      </c>
      <c r="C1354">
        <v>15445.67</v>
      </c>
      <c r="D1354">
        <v>0</v>
      </c>
      <c r="E1354">
        <v>15445.67</v>
      </c>
      <c r="F1354">
        <v>-24218.46</v>
      </c>
      <c r="G1354">
        <v>-9920.43</v>
      </c>
      <c r="H1354">
        <v>39664.129999999997</v>
      </c>
      <c r="I1354">
        <v>25366.1</v>
      </c>
      <c r="J1354" t="s">
        <v>184</v>
      </c>
    </row>
    <row r="1355" spans="1:10" x14ac:dyDescent="0.35">
      <c r="A1355">
        <v>30</v>
      </c>
      <c r="B1355" t="s">
        <v>416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184</v>
      </c>
    </row>
    <row r="1356" spans="1:10" x14ac:dyDescent="0.35">
      <c r="A1356">
        <v>40</v>
      </c>
      <c r="B1356" t="s">
        <v>417</v>
      </c>
      <c r="C1356">
        <v>118235.82</v>
      </c>
      <c r="D1356">
        <v>0</v>
      </c>
      <c r="E1356">
        <v>118235.82</v>
      </c>
      <c r="F1356">
        <v>5058.08</v>
      </c>
      <c r="G1356">
        <v>16227.15</v>
      </c>
      <c r="H1356">
        <v>113177.74</v>
      </c>
      <c r="I1356">
        <v>102008.67</v>
      </c>
      <c r="J1356" t="s">
        <v>184</v>
      </c>
    </row>
    <row r="1357" spans="1:10" x14ac:dyDescent="0.35">
      <c r="A1357">
        <v>50</v>
      </c>
      <c r="B1357" t="s">
        <v>418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184</v>
      </c>
    </row>
    <row r="1358" spans="1:10" x14ac:dyDescent="0.35">
      <c r="A1358">
        <v>60</v>
      </c>
      <c r="B1358" t="s">
        <v>343</v>
      </c>
      <c r="C1358">
        <v>25857.59</v>
      </c>
      <c r="D1358">
        <v>0</v>
      </c>
      <c r="E1358">
        <v>25857.59</v>
      </c>
      <c r="F1358">
        <v>1753.04</v>
      </c>
      <c r="G1358">
        <v>211.91</v>
      </c>
      <c r="H1358">
        <v>24104.55</v>
      </c>
      <c r="I1358">
        <v>25645.68</v>
      </c>
      <c r="J1358" t="s">
        <v>184</v>
      </c>
    </row>
    <row r="1359" spans="1:10" x14ac:dyDescent="0.35">
      <c r="A1359">
        <v>70</v>
      </c>
      <c r="B1359" t="s">
        <v>419</v>
      </c>
      <c r="C1359">
        <v>34415.07</v>
      </c>
      <c r="D1359">
        <v>0</v>
      </c>
      <c r="E1359">
        <v>34415.07</v>
      </c>
      <c r="F1359">
        <v>-171</v>
      </c>
      <c r="G1359">
        <v>12538.69</v>
      </c>
      <c r="H1359">
        <v>34586.07</v>
      </c>
      <c r="I1359">
        <v>21876.38</v>
      </c>
      <c r="J1359" t="s">
        <v>184</v>
      </c>
    </row>
    <row r="1360" spans="1:10" x14ac:dyDescent="0.35">
      <c r="A1360">
        <v>80</v>
      </c>
      <c r="B1360" t="s">
        <v>420</v>
      </c>
      <c r="C1360">
        <v>5713.06</v>
      </c>
      <c r="D1360">
        <v>0</v>
      </c>
      <c r="E1360">
        <v>5713.06</v>
      </c>
      <c r="F1360">
        <v>0</v>
      </c>
      <c r="G1360">
        <v>5713.06</v>
      </c>
      <c r="H1360">
        <v>5713.06</v>
      </c>
      <c r="I1360">
        <v>0</v>
      </c>
      <c r="J1360" t="s">
        <v>184</v>
      </c>
    </row>
    <row r="1361" spans="1:10" x14ac:dyDescent="0.35">
      <c r="A1361">
        <v>100</v>
      </c>
      <c r="B1361" t="s">
        <v>421</v>
      </c>
      <c r="C1361">
        <v>199667.21</v>
      </c>
      <c r="D1361">
        <v>0</v>
      </c>
      <c r="E1361">
        <v>199667.21</v>
      </c>
      <c r="F1361">
        <v>-17578.34</v>
      </c>
      <c r="G1361">
        <v>24770.38</v>
      </c>
      <c r="H1361">
        <v>217245.55</v>
      </c>
      <c r="I1361">
        <v>174896.83</v>
      </c>
      <c r="J1361" t="s">
        <v>184</v>
      </c>
    </row>
    <row r="1362" spans="1:10" x14ac:dyDescent="0.35">
      <c r="A1362">
        <v>110</v>
      </c>
      <c r="B1362" t="s">
        <v>422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184</v>
      </c>
    </row>
    <row r="1363" spans="1:10" x14ac:dyDescent="0.35">
      <c r="A1363">
        <v>120</v>
      </c>
      <c r="B1363" t="s">
        <v>423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184</v>
      </c>
    </row>
    <row r="1364" spans="1:10" x14ac:dyDescent="0.35">
      <c r="A1364">
        <v>130</v>
      </c>
      <c r="B1364" t="s">
        <v>424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184</v>
      </c>
    </row>
    <row r="1365" spans="1:10" x14ac:dyDescent="0.35">
      <c r="A1365">
        <v>140</v>
      </c>
      <c r="B1365" t="s">
        <v>425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 t="s">
        <v>184</v>
      </c>
    </row>
    <row r="1366" spans="1:10" x14ac:dyDescent="0.35">
      <c r="A1366">
        <v>150</v>
      </c>
      <c r="B1366" t="s">
        <v>426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184</v>
      </c>
    </row>
    <row r="1367" spans="1:10" x14ac:dyDescent="0.35">
      <c r="A1367">
        <v>160</v>
      </c>
      <c r="B1367" t="s">
        <v>427</v>
      </c>
      <c r="C1367">
        <v>990</v>
      </c>
      <c r="D1367">
        <v>0</v>
      </c>
      <c r="E1367">
        <v>990</v>
      </c>
      <c r="F1367">
        <v>0</v>
      </c>
      <c r="G1367">
        <v>990</v>
      </c>
      <c r="H1367">
        <v>990</v>
      </c>
      <c r="I1367">
        <v>0</v>
      </c>
      <c r="J1367" t="s">
        <v>184</v>
      </c>
    </row>
    <row r="1368" spans="1:10" x14ac:dyDescent="0.35">
      <c r="A1368">
        <v>170</v>
      </c>
      <c r="B1368" t="s">
        <v>428</v>
      </c>
      <c r="C1368">
        <v>495543.91</v>
      </c>
      <c r="D1368">
        <v>0</v>
      </c>
      <c r="E1368">
        <v>495543.91</v>
      </c>
      <c r="F1368">
        <v>0</v>
      </c>
      <c r="G1368">
        <v>8200</v>
      </c>
      <c r="H1368">
        <v>495543.91</v>
      </c>
      <c r="I1368">
        <v>487343.91</v>
      </c>
      <c r="J1368" t="s">
        <v>184</v>
      </c>
    </row>
    <row r="1369" spans="1:10" x14ac:dyDescent="0.35">
      <c r="A1369">
        <v>180</v>
      </c>
      <c r="B1369" t="s">
        <v>429</v>
      </c>
      <c r="C1369">
        <v>102187.01</v>
      </c>
      <c r="D1369">
        <v>0</v>
      </c>
      <c r="E1369">
        <v>102187.01</v>
      </c>
      <c r="F1369">
        <v>500</v>
      </c>
      <c r="G1369">
        <v>2187.0100000000002</v>
      </c>
      <c r="H1369">
        <v>101687.01</v>
      </c>
      <c r="I1369">
        <v>100000</v>
      </c>
      <c r="J1369" t="s">
        <v>184</v>
      </c>
    </row>
    <row r="1370" spans="1:10" x14ac:dyDescent="0.35">
      <c r="A1370">
        <v>190</v>
      </c>
      <c r="B1370" t="s">
        <v>430</v>
      </c>
      <c r="C1370">
        <v>-798321.45</v>
      </c>
      <c r="D1370">
        <v>0</v>
      </c>
      <c r="E1370">
        <v>-798321.45</v>
      </c>
      <c r="F1370">
        <v>-7634.62</v>
      </c>
      <c r="G1370">
        <v>-68711.7</v>
      </c>
      <c r="H1370">
        <v>-790686.83</v>
      </c>
      <c r="I1370">
        <v>-729609.75</v>
      </c>
      <c r="J1370" t="s">
        <v>184</v>
      </c>
    </row>
    <row r="1371" spans="1:10" x14ac:dyDescent="0.35">
      <c r="A1371">
        <v>200</v>
      </c>
      <c r="B1371" t="s">
        <v>431</v>
      </c>
      <c r="C1371">
        <v>-199600.53</v>
      </c>
      <c r="D1371">
        <v>0</v>
      </c>
      <c r="E1371">
        <v>-199600.53</v>
      </c>
      <c r="F1371">
        <v>-7134.62</v>
      </c>
      <c r="G1371">
        <v>-57334.69</v>
      </c>
      <c r="H1371">
        <v>-192465.91</v>
      </c>
      <c r="I1371">
        <v>-142265.84</v>
      </c>
      <c r="J1371" t="s">
        <v>184</v>
      </c>
    </row>
    <row r="1372" spans="1:10" x14ac:dyDescent="0.35">
      <c r="A1372">
        <v>210</v>
      </c>
      <c r="B1372" t="s">
        <v>432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184</v>
      </c>
    </row>
    <row r="1373" spans="1:10" x14ac:dyDescent="0.35">
      <c r="A1373">
        <v>220</v>
      </c>
      <c r="B1373" t="s">
        <v>433</v>
      </c>
      <c r="C1373">
        <v>36210</v>
      </c>
      <c r="D1373">
        <v>0</v>
      </c>
      <c r="E1373">
        <v>36210</v>
      </c>
      <c r="F1373">
        <v>0</v>
      </c>
      <c r="G1373">
        <v>0</v>
      </c>
      <c r="H1373">
        <v>36210</v>
      </c>
      <c r="I1373">
        <v>36210</v>
      </c>
      <c r="J1373" t="s">
        <v>184</v>
      </c>
    </row>
    <row r="1374" spans="1:10" x14ac:dyDescent="0.35">
      <c r="A1374">
        <v>230</v>
      </c>
      <c r="B1374" t="s">
        <v>434</v>
      </c>
      <c r="C1374">
        <v>364429.76</v>
      </c>
      <c r="D1374">
        <v>0</v>
      </c>
      <c r="E1374">
        <v>364429.76</v>
      </c>
      <c r="F1374">
        <v>0</v>
      </c>
      <c r="G1374">
        <v>0.12</v>
      </c>
      <c r="H1374">
        <v>364429.76</v>
      </c>
      <c r="I1374">
        <v>364429.64</v>
      </c>
      <c r="J1374" t="s">
        <v>184</v>
      </c>
    </row>
    <row r="1375" spans="1:10" x14ac:dyDescent="0.35">
      <c r="A1375">
        <v>240</v>
      </c>
      <c r="B1375" t="s">
        <v>435</v>
      </c>
      <c r="C1375">
        <v>-78835.95</v>
      </c>
      <c r="D1375">
        <v>0</v>
      </c>
      <c r="E1375">
        <v>-78835.95</v>
      </c>
      <c r="F1375">
        <v>-1607.14</v>
      </c>
      <c r="G1375">
        <v>-14464.26</v>
      </c>
      <c r="H1375">
        <v>-77228.81</v>
      </c>
      <c r="I1375">
        <v>-64371.69</v>
      </c>
      <c r="J1375" t="s">
        <v>184</v>
      </c>
    </row>
    <row r="1376" spans="1:10" x14ac:dyDescent="0.35">
      <c r="A1376">
        <v>250</v>
      </c>
      <c r="B1376" t="s">
        <v>436</v>
      </c>
      <c r="C1376">
        <v>321803.81</v>
      </c>
      <c r="D1376">
        <v>0</v>
      </c>
      <c r="E1376">
        <v>321803.81</v>
      </c>
      <c r="F1376">
        <v>-1607.14</v>
      </c>
      <c r="G1376">
        <v>-14464.14</v>
      </c>
      <c r="H1376">
        <v>323410.95</v>
      </c>
      <c r="I1376">
        <v>336267.95</v>
      </c>
      <c r="J1376" t="s">
        <v>184</v>
      </c>
    </row>
    <row r="1377" spans="1:10" x14ac:dyDescent="0.35">
      <c r="A1377">
        <v>260</v>
      </c>
      <c r="B1377" t="s">
        <v>437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184</v>
      </c>
    </row>
    <row r="1378" spans="1:10" x14ac:dyDescent="0.35">
      <c r="A1378">
        <v>270</v>
      </c>
      <c r="B1378" t="s">
        <v>438</v>
      </c>
      <c r="C1378">
        <v>36013</v>
      </c>
      <c r="D1378">
        <v>0</v>
      </c>
      <c r="E1378">
        <v>36013</v>
      </c>
      <c r="F1378">
        <v>0</v>
      </c>
      <c r="G1378">
        <v>0</v>
      </c>
      <c r="H1378">
        <v>36013</v>
      </c>
      <c r="I1378">
        <v>36013</v>
      </c>
      <c r="J1378" t="s">
        <v>184</v>
      </c>
    </row>
    <row r="1379" spans="1:10" x14ac:dyDescent="0.35">
      <c r="A1379">
        <v>280</v>
      </c>
      <c r="B1379" t="s">
        <v>439</v>
      </c>
      <c r="C1379">
        <v>36013</v>
      </c>
      <c r="D1379">
        <v>0</v>
      </c>
      <c r="E1379">
        <v>36013</v>
      </c>
      <c r="F1379">
        <v>0</v>
      </c>
      <c r="G1379">
        <v>0</v>
      </c>
      <c r="H1379">
        <v>36013</v>
      </c>
      <c r="I1379">
        <v>36013</v>
      </c>
      <c r="J1379" t="s">
        <v>184</v>
      </c>
    </row>
    <row r="1380" spans="1:10" x14ac:dyDescent="0.35">
      <c r="A1380">
        <v>400</v>
      </c>
      <c r="B1380" t="s">
        <v>440</v>
      </c>
      <c r="C1380">
        <v>357883.49</v>
      </c>
      <c r="D1380">
        <v>0</v>
      </c>
      <c r="E1380">
        <v>357883.49</v>
      </c>
      <c r="F1380">
        <v>-26320.1</v>
      </c>
      <c r="G1380">
        <v>-47028.45</v>
      </c>
      <c r="H1380">
        <v>384203.59</v>
      </c>
      <c r="I1380">
        <v>404911.94</v>
      </c>
      <c r="J1380" t="s">
        <v>184</v>
      </c>
    </row>
    <row r="1381" spans="1:10" x14ac:dyDescent="0.35">
      <c r="A1381">
        <v>410</v>
      </c>
      <c r="B1381" t="s">
        <v>441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184</v>
      </c>
    </row>
    <row r="1382" spans="1:10" x14ac:dyDescent="0.35">
      <c r="A1382">
        <v>420</v>
      </c>
      <c r="B1382" t="s">
        <v>442</v>
      </c>
      <c r="C1382">
        <v>11984.03</v>
      </c>
      <c r="D1382">
        <v>0</v>
      </c>
      <c r="E1382">
        <v>11984.03</v>
      </c>
      <c r="F1382">
        <v>-1408</v>
      </c>
      <c r="G1382">
        <v>-7287.06</v>
      </c>
      <c r="H1382">
        <v>13392.03</v>
      </c>
      <c r="I1382">
        <v>19271.09</v>
      </c>
      <c r="J1382" t="s">
        <v>184</v>
      </c>
    </row>
    <row r="1383" spans="1:10" x14ac:dyDescent="0.35">
      <c r="A1383">
        <v>430</v>
      </c>
      <c r="B1383" t="s">
        <v>443</v>
      </c>
      <c r="C1383">
        <v>48274.92</v>
      </c>
      <c r="D1383">
        <v>0</v>
      </c>
      <c r="E1383">
        <v>48274.92</v>
      </c>
      <c r="F1383">
        <v>5162.2299999999996</v>
      </c>
      <c r="G1383">
        <v>5589.51</v>
      </c>
      <c r="H1383">
        <v>43112.69</v>
      </c>
      <c r="I1383">
        <v>42685.41</v>
      </c>
      <c r="J1383" t="s">
        <v>184</v>
      </c>
    </row>
    <row r="1384" spans="1:10" x14ac:dyDescent="0.35">
      <c r="A1384">
        <v>440</v>
      </c>
      <c r="B1384" t="s">
        <v>444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184</v>
      </c>
    </row>
    <row r="1385" spans="1:10" x14ac:dyDescent="0.35">
      <c r="A1385">
        <v>450</v>
      </c>
      <c r="B1385" t="s">
        <v>445</v>
      </c>
      <c r="C1385">
        <v>-9584.35</v>
      </c>
      <c r="D1385">
        <v>0</v>
      </c>
      <c r="E1385">
        <v>-9584.35</v>
      </c>
      <c r="F1385">
        <v>-2379.0700000000002</v>
      </c>
      <c r="G1385">
        <v>-22132.1</v>
      </c>
      <c r="H1385">
        <v>-7205.28</v>
      </c>
      <c r="I1385">
        <v>12547.75</v>
      </c>
      <c r="J1385" t="s">
        <v>184</v>
      </c>
    </row>
    <row r="1386" spans="1:10" x14ac:dyDescent="0.35">
      <c r="A1386">
        <v>460</v>
      </c>
      <c r="B1386" t="s">
        <v>446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184</v>
      </c>
    </row>
    <row r="1387" spans="1:10" x14ac:dyDescent="0.35">
      <c r="A1387">
        <v>500</v>
      </c>
      <c r="B1387" t="s">
        <v>447</v>
      </c>
      <c r="C1387">
        <v>50674.6</v>
      </c>
      <c r="D1387">
        <v>0</v>
      </c>
      <c r="E1387">
        <v>50674.6</v>
      </c>
      <c r="F1387">
        <v>1375.16</v>
      </c>
      <c r="G1387">
        <v>-23829.65</v>
      </c>
      <c r="H1387">
        <v>49299.44</v>
      </c>
      <c r="I1387">
        <v>74504.25</v>
      </c>
      <c r="J1387" t="s">
        <v>184</v>
      </c>
    </row>
    <row r="1388" spans="1:10" x14ac:dyDescent="0.35">
      <c r="A1388">
        <v>510</v>
      </c>
      <c r="B1388" t="s">
        <v>448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184</v>
      </c>
    </row>
    <row r="1389" spans="1:10" x14ac:dyDescent="0.35">
      <c r="A1389">
        <v>520</v>
      </c>
      <c r="B1389" t="s">
        <v>449</v>
      </c>
      <c r="C1389">
        <v>1733277.28</v>
      </c>
      <c r="D1389">
        <v>0</v>
      </c>
      <c r="E1389">
        <v>1733277.28</v>
      </c>
      <c r="F1389">
        <v>-8000</v>
      </c>
      <c r="G1389">
        <v>192668.66</v>
      </c>
      <c r="H1389">
        <v>1741277.28</v>
      </c>
      <c r="I1389">
        <v>1540608.62</v>
      </c>
      <c r="J1389" t="s">
        <v>184</v>
      </c>
    </row>
    <row r="1390" spans="1:10" x14ac:dyDescent="0.35">
      <c r="A1390">
        <v>530</v>
      </c>
      <c r="B1390" t="s">
        <v>450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 t="s">
        <v>184</v>
      </c>
    </row>
    <row r="1391" spans="1:10" x14ac:dyDescent="0.35">
      <c r="A1391">
        <v>540</v>
      </c>
      <c r="B1391" t="s">
        <v>451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 t="s">
        <v>184</v>
      </c>
    </row>
    <row r="1392" spans="1:10" x14ac:dyDescent="0.35">
      <c r="A1392">
        <v>600</v>
      </c>
      <c r="B1392" t="s">
        <v>452</v>
      </c>
      <c r="C1392">
        <v>1733277.28</v>
      </c>
      <c r="D1392">
        <v>0</v>
      </c>
      <c r="E1392">
        <v>1733277.28</v>
      </c>
      <c r="F1392">
        <v>-8000</v>
      </c>
      <c r="G1392">
        <v>192668.66</v>
      </c>
      <c r="H1392">
        <v>1741277.28</v>
      </c>
      <c r="I1392">
        <v>1540608.62</v>
      </c>
      <c r="J1392" t="s">
        <v>184</v>
      </c>
    </row>
    <row r="1393" spans="1:10" x14ac:dyDescent="0.35">
      <c r="A1393">
        <v>610</v>
      </c>
      <c r="B1393" t="s">
        <v>453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184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184</v>
      </c>
    </row>
    <row r="1395" spans="1:10" x14ac:dyDescent="0.35">
      <c r="A1395">
        <v>700</v>
      </c>
      <c r="B1395" t="s">
        <v>454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184</v>
      </c>
    </row>
    <row r="1396" spans="1:10" x14ac:dyDescent="0.35">
      <c r="A1396">
        <v>710</v>
      </c>
      <c r="B1396" t="s">
        <v>410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184</v>
      </c>
    </row>
    <row r="1397" spans="1:10" x14ac:dyDescent="0.35">
      <c r="A1397">
        <v>720</v>
      </c>
      <c r="B1397" t="s">
        <v>455</v>
      </c>
      <c r="C1397">
        <v>1000</v>
      </c>
      <c r="D1397">
        <v>0</v>
      </c>
      <c r="E1397">
        <v>1000</v>
      </c>
      <c r="F1397">
        <v>0</v>
      </c>
      <c r="G1397">
        <v>0</v>
      </c>
      <c r="H1397">
        <v>1000</v>
      </c>
      <c r="I1397">
        <v>1000</v>
      </c>
      <c r="J1397" t="s">
        <v>184</v>
      </c>
    </row>
    <row r="1398" spans="1:10" x14ac:dyDescent="0.35">
      <c r="A1398">
        <v>730</v>
      </c>
      <c r="B1398" t="s">
        <v>456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184</v>
      </c>
    </row>
    <row r="1399" spans="1:10" x14ac:dyDescent="0.35">
      <c r="A1399">
        <v>740</v>
      </c>
      <c r="B1399" t="s">
        <v>457</v>
      </c>
      <c r="C1399">
        <v>-1610700.93</v>
      </c>
      <c r="D1399">
        <v>0</v>
      </c>
      <c r="E1399">
        <v>-1610700.93</v>
      </c>
      <c r="F1399">
        <v>0</v>
      </c>
      <c r="G1399">
        <v>0</v>
      </c>
      <c r="H1399">
        <v>-1610700.93</v>
      </c>
      <c r="I1399">
        <v>-1610700.93</v>
      </c>
      <c r="J1399" t="s">
        <v>184</v>
      </c>
    </row>
    <row r="1400" spans="1:10" x14ac:dyDescent="0.35">
      <c r="A1400">
        <v>750</v>
      </c>
      <c r="B1400" t="s">
        <v>271</v>
      </c>
      <c r="C1400">
        <v>-215867.46</v>
      </c>
      <c r="D1400">
        <v>0</v>
      </c>
      <c r="E1400">
        <v>-215867.46</v>
      </c>
      <c r="F1400">
        <v>-19695.259999999998</v>
      </c>
      <c r="G1400">
        <v>-215867.46</v>
      </c>
      <c r="H1400">
        <v>-196172.2</v>
      </c>
      <c r="I1400">
        <v>0</v>
      </c>
      <c r="J1400" t="s">
        <v>184</v>
      </c>
    </row>
    <row r="1401" spans="1:10" x14ac:dyDescent="0.35">
      <c r="A1401">
        <v>760</v>
      </c>
      <c r="B1401" t="s">
        <v>458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184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184</v>
      </c>
    </row>
    <row r="1403" spans="1:10" x14ac:dyDescent="0.35">
      <c r="A1403">
        <v>800</v>
      </c>
      <c r="B1403" t="s">
        <v>459</v>
      </c>
      <c r="C1403">
        <v>-1426068.39</v>
      </c>
      <c r="D1403">
        <v>0</v>
      </c>
      <c r="E1403">
        <v>-1426068.39</v>
      </c>
      <c r="F1403">
        <v>-19695.259999999998</v>
      </c>
      <c r="G1403">
        <v>-215867.46</v>
      </c>
      <c r="H1403">
        <v>-1406373.13</v>
      </c>
      <c r="I1403">
        <v>-1210200.93</v>
      </c>
      <c r="J1403" t="s">
        <v>184</v>
      </c>
    </row>
    <row r="1404" spans="1:10" x14ac:dyDescent="0.35">
      <c r="A1404">
        <v>900</v>
      </c>
      <c r="B1404" t="s">
        <v>460</v>
      </c>
      <c r="C1404">
        <v>357883.49</v>
      </c>
      <c r="D1404">
        <v>0</v>
      </c>
      <c r="E1404">
        <v>357883.49</v>
      </c>
      <c r="F1404">
        <v>-26320.1</v>
      </c>
      <c r="G1404">
        <v>-47028.45</v>
      </c>
      <c r="H1404">
        <v>384203.59</v>
      </c>
      <c r="I1404">
        <v>404911.94</v>
      </c>
      <c r="J1404" t="s">
        <v>184</v>
      </c>
    </row>
    <row r="1405" spans="1:10" x14ac:dyDescent="0.35">
      <c r="A1405">
        <v>1000</v>
      </c>
      <c r="B1405" t="s">
        <v>411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 t="s">
        <v>184</v>
      </c>
    </row>
    <row r="1406" spans="1:10" x14ac:dyDescent="0.35">
      <c r="A1406" t="s">
        <v>463</v>
      </c>
      <c r="B1406" t="s">
        <v>172</v>
      </c>
      <c r="C1406" t="s">
        <v>390</v>
      </c>
      <c r="D1406" t="s">
        <v>391</v>
      </c>
      <c r="E1406" t="s">
        <v>392</v>
      </c>
      <c r="F1406" t="s">
        <v>393</v>
      </c>
      <c r="G1406" t="s">
        <v>394</v>
      </c>
      <c r="H1406" t="s">
        <v>395</v>
      </c>
      <c r="I1406" t="s">
        <v>396</v>
      </c>
      <c r="J1406" t="s">
        <v>183</v>
      </c>
    </row>
    <row r="1407" spans="1:10" x14ac:dyDescent="0.35">
      <c r="A1407">
        <v>10</v>
      </c>
      <c r="B1407" t="s">
        <v>397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184</v>
      </c>
    </row>
    <row r="1408" spans="1:10" x14ac:dyDescent="0.35">
      <c r="A1408">
        <v>20</v>
      </c>
      <c r="B1408" t="s">
        <v>415</v>
      </c>
      <c r="C1408">
        <v>848.79</v>
      </c>
      <c r="D1408">
        <v>0</v>
      </c>
      <c r="E1408">
        <v>848.79</v>
      </c>
      <c r="F1408">
        <v>-3397.56</v>
      </c>
      <c r="G1408">
        <v>-8189.39</v>
      </c>
      <c r="H1408">
        <v>4246.3500000000004</v>
      </c>
      <c r="I1408">
        <v>9038.18</v>
      </c>
      <c r="J1408" t="s">
        <v>184</v>
      </c>
    </row>
    <row r="1409" spans="1:10" x14ac:dyDescent="0.35">
      <c r="A1409">
        <v>30</v>
      </c>
      <c r="B1409" t="s">
        <v>416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184</v>
      </c>
    </row>
    <row r="1410" spans="1:10" x14ac:dyDescent="0.35">
      <c r="A1410">
        <v>40</v>
      </c>
      <c r="B1410" t="s">
        <v>417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184</v>
      </c>
    </row>
    <row r="1411" spans="1:10" x14ac:dyDescent="0.35">
      <c r="A1411">
        <v>50</v>
      </c>
      <c r="B1411" t="s">
        <v>418</v>
      </c>
      <c r="C1411">
        <v>1662034.55</v>
      </c>
      <c r="D1411">
        <v>0</v>
      </c>
      <c r="E1411">
        <v>1662034.55</v>
      </c>
      <c r="F1411">
        <v>756705.59</v>
      </c>
      <c r="G1411">
        <v>983205.59</v>
      </c>
      <c r="H1411">
        <v>905328.96</v>
      </c>
      <c r="I1411">
        <v>678828.96</v>
      </c>
      <c r="J1411" t="s">
        <v>184</v>
      </c>
    </row>
    <row r="1412" spans="1:10" x14ac:dyDescent="0.35">
      <c r="A1412">
        <v>60</v>
      </c>
      <c r="B1412" t="s">
        <v>343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184</v>
      </c>
    </row>
    <row r="1413" spans="1:10" x14ac:dyDescent="0.35">
      <c r="A1413">
        <v>70</v>
      </c>
      <c r="B1413" t="s">
        <v>419</v>
      </c>
      <c r="C1413">
        <v>79431</v>
      </c>
      <c r="D1413">
        <v>0</v>
      </c>
      <c r="E1413">
        <v>79431</v>
      </c>
      <c r="F1413">
        <v>0</v>
      </c>
      <c r="G1413">
        <v>0</v>
      </c>
      <c r="H1413">
        <v>79431</v>
      </c>
      <c r="I1413">
        <v>79431</v>
      </c>
      <c r="J1413" t="s">
        <v>184</v>
      </c>
    </row>
    <row r="1414" spans="1:10" x14ac:dyDescent="0.35">
      <c r="A1414">
        <v>80</v>
      </c>
      <c r="B1414" t="s">
        <v>420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184</v>
      </c>
    </row>
    <row r="1415" spans="1:10" x14ac:dyDescent="0.35">
      <c r="A1415">
        <v>100</v>
      </c>
      <c r="B1415" t="s">
        <v>421</v>
      </c>
      <c r="C1415">
        <v>1742314.34</v>
      </c>
      <c r="D1415">
        <v>0</v>
      </c>
      <c r="E1415">
        <v>1742314.34</v>
      </c>
      <c r="F1415">
        <v>753308.03</v>
      </c>
      <c r="G1415">
        <v>975016.2</v>
      </c>
      <c r="H1415">
        <v>989006.31</v>
      </c>
      <c r="I1415">
        <v>767298.14</v>
      </c>
      <c r="J1415" t="s">
        <v>184</v>
      </c>
    </row>
    <row r="1416" spans="1:10" x14ac:dyDescent="0.35">
      <c r="A1416">
        <v>110</v>
      </c>
      <c r="B1416" t="s">
        <v>422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184</v>
      </c>
    </row>
    <row r="1417" spans="1:10" x14ac:dyDescent="0.35">
      <c r="A1417">
        <v>120</v>
      </c>
      <c r="B1417" t="s">
        <v>423</v>
      </c>
      <c r="C1417">
        <v>2079949</v>
      </c>
      <c r="D1417">
        <v>0</v>
      </c>
      <c r="E1417">
        <v>2079949</v>
      </c>
      <c r="F1417">
        <v>0</v>
      </c>
      <c r="G1417">
        <v>0</v>
      </c>
      <c r="H1417">
        <v>2079949</v>
      </c>
      <c r="I1417">
        <v>2079949</v>
      </c>
      <c r="J1417" t="s">
        <v>184</v>
      </c>
    </row>
    <row r="1418" spans="1:10" x14ac:dyDescent="0.35">
      <c r="A1418">
        <v>130</v>
      </c>
      <c r="B1418" t="s">
        <v>424</v>
      </c>
      <c r="C1418">
        <v>3815765.82</v>
      </c>
      <c r="D1418">
        <v>0</v>
      </c>
      <c r="E1418">
        <v>3815765.82</v>
      </c>
      <c r="F1418">
        <v>0</v>
      </c>
      <c r="G1418">
        <v>0</v>
      </c>
      <c r="H1418">
        <v>3815765.82</v>
      </c>
      <c r="I1418">
        <v>3815765.82</v>
      </c>
      <c r="J1418" t="s">
        <v>184</v>
      </c>
    </row>
    <row r="1419" spans="1:10" x14ac:dyDescent="0.35">
      <c r="A1419">
        <v>140</v>
      </c>
      <c r="B1419" t="s">
        <v>425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184</v>
      </c>
    </row>
    <row r="1420" spans="1:10" x14ac:dyDescent="0.35">
      <c r="A1420">
        <v>150</v>
      </c>
      <c r="B1420" t="s">
        <v>426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184</v>
      </c>
    </row>
    <row r="1421" spans="1:10" x14ac:dyDescent="0.35">
      <c r="A1421">
        <v>160</v>
      </c>
      <c r="B1421" t="s">
        <v>427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184</v>
      </c>
    </row>
    <row r="1422" spans="1:10" x14ac:dyDescent="0.35">
      <c r="A1422">
        <v>170</v>
      </c>
      <c r="B1422" t="s">
        <v>428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184</v>
      </c>
    </row>
    <row r="1423" spans="1:10" x14ac:dyDescent="0.35">
      <c r="A1423">
        <v>180</v>
      </c>
      <c r="B1423" t="s">
        <v>429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184</v>
      </c>
    </row>
    <row r="1424" spans="1:10" x14ac:dyDescent="0.35">
      <c r="A1424">
        <v>190</v>
      </c>
      <c r="B1424" t="s">
        <v>430</v>
      </c>
      <c r="C1424">
        <v>-228838.57</v>
      </c>
      <c r="D1424">
        <v>0</v>
      </c>
      <c r="E1424">
        <v>-228838.57</v>
      </c>
      <c r="F1424">
        <v>-2513.17</v>
      </c>
      <c r="G1424">
        <v>-22618.53</v>
      </c>
      <c r="H1424">
        <v>-226325.4</v>
      </c>
      <c r="I1424">
        <v>-206220.04</v>
      </c>
      <c r="J1424" t="s">
        <v>184</v>
      </c>
    </row>
    <row r="1425" spans="1:10" x14ac:dyDescent="0.35">
      <c r="A1425">
        <v>200</v>
      </c>
      <c r="B1425" t="s">
        <v>431</v>
      </c>
      <c r="C1425">
        <v>5673400.0499999998</v>
      </c>
      <c r="D1425">
        <v>0</v>
      </c>
      <c r="E1425">
        <v>5673400.0499999998</v>
      </c>
      <c r="F1425">
        <v>-2513.17</v>
      </c>
      <c r="G1425">
        <v>-22618.53</v>
      </c>
      <c r="H1425">
        <v>5675913.2199999997</v>
      </c>
      <c r="I1425">
        <v>5696018.5800000001</v>
      </c>
      <c r="J1425" t="s">
        <v>184</v>
      </c>
    </row>
    <row r="1426" spans="1:10" x14ac:dyDescent="0.35">
      <c r="A1426">
        <v>210</v>
      </c>
      <c r="B1426" t="s">
        <v>432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184</v>
      </c>
    </row>
    <row r="1427" spans="1:10" x14ac:dyDescent="0.35">
      <c r="A1427">
        <v>220</v>
      </c>
      <c r="B1427" t="s">
        <v>433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184</v>
      </c>
    </row>
    <row r="1428" spans="1:10" x14ac:dyDescent="0.35">
      <c r="A1428">
        <v>230</v>
      </c>
      <c r="B1428" t="s">
        <v>434</v>
      </c>
      <c r="C1428">
        <v>-4816895</v>
      </c>
      <c r="D1428">
        <v>0</v>
      </c>
      <c r="E1428">
        <v>-4816895</v>
      </c>
      <c r="F1428">
        <v>0</v>
      </c>
      <c r="G1428">
        <v>0</v>
      </c>
      <c r="H1428">
        <v>-4816895</v>
      </c>
      <c r="I1428">
        <v>-4816895</v>
      </c>
      <c r="J1428" t="s">
        <v>184</v>
      </c>
    </row>
    <row r="1429" spans="1:10" x14ac:dyDescent="0.35">
      <c r="A1429">
        <v>240</v>
      </c>
      <c r="B1429" t="s">
        <v>435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184</v>
      </c>
    </row>
    <row r="1430" spans="1:10" x14ac:dyDescent="0.35">
      <c r="A1430">
        <v>250</v>
      </c>
      <c r="B1430" t="s">
        <v>436</v>
      </c>
      <c r="C1430">
        <v>-4823418.8</v>
      </c>
      <c r="D1430">
        <v>0</v>
      </c>
      <c r="E1430">
        <v>-4823418.8</v>
      </c>
      <c r="F1430">
        <v>0</v>
      </c>
      <c r="G1430">
        <v>0</v>
      </c>
      <c r="H1430">
        <v>-4823418.8</v>
      </c>
      <c r="I1430">
        <v>-4823418.8</v>
      </c>
      <c r="J1430" t="s">
        <v>184</v>
      </c>
    </row>
    <row r="1431" spans="1:10" x14ac:dyDescent="0.35">
      <c r="A1431">
        <v>260</v>
      </c>
      <c r="B1431" t="s">
        <v>437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184</v>
      </c>
    </row>
    <row r="1432" spans="1:10" x14ac:dyDescent="0.35">
      <c r="A1432">
        <v>270</v>
      </c>
      <c r="B1432" t="s">
        <v>438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 t="s">
        <v>184</v>
      </c>
    </row>
    <row r="1433" spans="1:10" x14ac:dyDescent="0.35">
      <c r="A1433">
        <v>280</v>
      </c>
      <c r="B1433" t="s">
        <v>439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 t="s">
        <v>184</v>
      </c>
    </row>
    <row r="1434" spans="1:10" x14ac:dyDescent="0.35">
      <c r="A1434">
        <v>400</v>
      </c>
      <c r="B1434" t="s">
        <v>440</v>
      </c>
      <c r="C1434">
        <v>2592295.59</v>
      </c>
      <c r="D1434">
        <v>0</v>
      </c>
      <c r="E1434">
        <v>2592295.59</v>
      </c>
      <c r="F1434">
        <v>750794.86</v>
      </c>
      <c r="G1434">
        <v>952397.67</v>
      </c>
      <c r="H1434">
        <v>1841500.73</v>
      </c>
      <c r="I1434">
        <v>1639897.92</v>
      </c>
      <c r="J1434" t="s">
        <v>184</v>
      </c>
    </row>
    <row r="1435" spans="1:10" x14ac:dyDescent="0.35">
      <c r="A1435">
        <v>410</v>
      </c>
      <c r="B1435" t="s">
        <v>441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184</v>
      </c>
    </row>
    <row r="1436" spans="1:10" x14ac:dyDescent="0.35">
      <c r="A1436">
        <v>420</v>
      </c>
      <c r="B1436" t="s">
        <v>442</v>
      </c>
      <c r="C1436">
        <v>7750</v>
      </c>
      <c r="D1436">
        <v>0</v>
      </c>
      <c r="E1436">
        <v>7750</v>
      </c>
      <c r="F1436">
        <v>0</v>
      </c>
      <c r="G1436">
        <v>7750</v>
      </c>
      <c r="H1436">
        <v>7750</v>
      </c>
      <c r="I1436">
        <v>0</v>
      </c>
      <c r="J1436" t="s">
        <v>184</v>
      </c>
    </row>
    <row r="1437" spans="1:10" x14ac:dyDescent="0.35">
      <c r="A1437">
        <v>430</v>
      </c>
      <c r="B1437" t="s">
        <v>443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184</v>
      </c>
    </row>
    <row r="1438" spans="1:10" x14ac:dyDescent="0.35">
      <c r="A1438">
        <v>440</v>
      </c>
      <c r="B1438" t="s">
        <v>444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184</v>
      </c>
    </row>
    <row r="1439" spans="1:10" x14ac:dyDescent="0.35">
      <c r="A1439">
        <v>450</v>
      </c>
      <c r="B1439" t="s">
        <v>445</v>
      </c>
      <c r="C1439">
        <v>4258.8100000000004</v>
      </c>
      <c r="D1439">
        <v>0</v>
      </c>
      <c r="E1439">
        <v>4258.8100000000004</v>
      </c>
      <c r="F1439">
        <v>4106.37</v>
      </c>
      <c r="G1439">
        <v>4258.8100000000004</v>
      </c>
      <c r="H1439">
        <v>152.44</v>
      </c>
      <c r="I1439">
        <v>0</v>
      </c>
      <c r="J1439" t="s">
        <v>184</v>
      </c>
    </row>
    <row r="1440" spans="1:10" x14ac:dyDescent="0.35">
      <c r="A1440">
        <v>460</v>
      </c>
      <c r="B1440" t="s">
        <v>446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184</v>
      </c>
    </row>
    <row r="1441" spans="1:10" x14ac:dyDescent="0.35">
      <c r="A1441">
        <v>500</v>
      </c>
      <c r="B1441" t="s">
        <v>447</v>
      </c>
      <c r="C1441">
        <v>12008.81</v>
      </c>
      <c r="D1441">
        <v>0</v>
      </c>
      <c r="E1441">
        <v>12008.81</v>
      </c>
      <c r="F1441">
        <v>4106.37</v>
      </c>
      <c r="G1441">
        <v>12008.81</v>
      </c>
      <c r="H1441">
        <v>7902.44</v>
      </c>
      <c r="I1441">
        <v>0</v>
      </c>
      <c r="J1441" t="s">
        <v>184</v>
      </c>
    </row>
    <row r="1442" spans="1:10" x14ac:dyDescent="0.35">
      <c r="A1442">
        <v>510</v>
      </c>
      <c r="B1442" t="s">
        <v>448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184</v>
      </c>
    </row>
    <row r="1443" spans="1:10" x14ac:dyDescent="0.35">
      <c r="A1443">
        <v>520</v>
      </c>
      <c r="B1443" t="s">
        <v>449</v>
      </c>
      <c r="C1443">
        <v>10000</v>
      </c>
      <c r="D1443">
        <v>0</v>
      </c>
      <c r="E1443">
        <v>10000</v>
      </c>
      <c r="F1443">
        <v>0</v>
      </c>
      <c r="G1443">
        <v>-2000</v>
      </c>
      <c r="H1443">
        <v>10000</v>
      </c>
      <c r="I1443">
        <v>12000</v>
      </c>
      <c r="J1443" t="s">
        <v>184</v>
      </c>
    </row>
    <row r="1444" spans="1:10" x14ac:dyDescent="0.35">
      <c r="A1444">
        <v>530</v>
      </c>
      <c r="B1444" t="s">
        <v>450</v>
      </c>
      <c r="C1444">
        <v>752705.59</v>
      </c>
      <c r="D1444">
        <v>0</v>
      </c>
      <c r="E1444">
        <v>752705.59</v>
      </c>
      <c r="F1444">
        <v>752705.59</v>
      </c>
      <c r="G1444">
        <v>752705.59</v>
      </c>
      <c r="H1444">
        <v>0</v>
      </c>
      <c r="I1444">
        <v>0</v>
      </c>
      <c r="J1444" t="s">
        <v>184</v>
      </c>
    </row>
    <row r="1445" spans="1:10" x14ac:dyDescent="0.35">
      <c r="A1445">
        <v>540</v>
      </c>
      <c r="B1445" t="s">
        <v>451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184</v>
      </c>
    </row>
    <row r="1446" spans="1:10" x14ac:dyDescent="0.35">
      <c r="A1446">
        <v>600</v>
      </c>
      <c r="B1446" t="s">
        <v>452</v>
      </c>
      <c r="C1446">
        <v>762705.59</v>
      </c>
      <c r="D1446">
        <v>0</v>
      </c>
      <c r="E1446">
        <v>762705.59</v>
      </c>
      <c r="F1446">
        <v>752705.59</v>
      </c>
      <c r="G1446">
        <v>750705.59</v>
      </c>
      <c r="H1446">
        <v>10000</v>
      </c>
      <c r="I1446">
        <v>12000</v>
      </c>
      <c r="J1446" t="s">
        <v>184</v>
      </c>
    </row>
    <row r="1447" spans="1:10" x14ac:dyDescent="0.35">
      <c r="A1447">
        <v>610</v>
      </c>
      <c r="B1447" t="s">
        <v>453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184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184</v>
      </c>
    </row>
    <row r="1449" spans="1:10" x14ac:dyDescent="0.35">
      <c r="A1449">
        <v>700</v>
      </c>
      <c r="B1449" t="s">
        <v>454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184</v>
      </c>
    </row>
    <row r="1450" spans="1:10" x14ac:dyDescent="0.35">
      <c r="A1450">
        <v>710</v>
      </c>
      <c r="B1450" t="s">
        <v>410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184</v>
      </c>
    </row>
    <row r="1451" spans="1:10" x14ac:dyDescent="0.35">
      <c r="A1451">
        <v>720</v>
      </c>
      <c r="B1451" t="s">
        <v>455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184</v>
      </c>
    </row>
    <row r="1452" spans="1:10" x14ac:dyDescent="0.35">
      <c r="A1452">
        <v>730</v>
      </c>
      <c r="B1452" t="s">
        <v>456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184</v>
      </c>
    </row>
    <row r="1453" spans="1:10" x14ac:dyDescent="0.35">
      <c r="A1453">
        <v>740</v>
      </c>
      <c r="B1453" t="s">
        <v>457</v>
      </c>
      <c r="C1453">
        <v>991710.99</v>
      </c>
      <c r="D1453">
        <v>0</v>
      </c>
      <c r="E1453">
        <v>991710.99</v>
      </c>
      <c r="F1453">
        <v>0</v>
      </c>
      <c r="G1453">
        <v>0</v>
      </c>
      <c r="H1453">
        <v>991710.99</v>
      </c>
      <c r="I1453">
        <v>991710.99</v>
      </c>
      <c r="J1453" t="s">
        <v>184</v>
      </c>
    </row>
    <row r="1454" spans="1:10" x14ac:dyDescent="0.35">
      <c r="A1454">
        <v>750</v>
      </c>
      <c r="B1454" t="s">
        <v>271</v>
      </c>
      <c r="C1454">
        <v>189683.27</v>
      </c>
      <c r="D1454">
        <v>0</v>
      </c>
      <c r="E1454">
        <v>189683.27</v>
      </c>
      <c r="F1454">
        <v>-6017.1</v>
      </c>
      <c r="G1454">
        <v>189683.27</v>
      </c>
      <c r="H1454">
        <v>195700.37</v>
      </c>
      <c r="I1454">
        <v>0</v>
      </c>
      <c r="J1454" t="s">
        <v>184</v>
      </c>
    </row>
    <row r="1455" spans="1:10" x14ac:dyDescent="0.35">
      <c r="A1455">
        <v>760</v>
      </c>
      <c r="B1455" t="s">
        <v>458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184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184</v>
      </c>
    </row>
    <row r="1457" spans="1:10" x14ac:dyDescent="0.35">
      <c r="A1457">
        <v>800</v>
      </c>
      <c r="B1457" t="s">
        <v>459</v>
      </c>
      <c r="C1457">
        <v>1817581.19</v>
      </c>
      <c r="D1457">
        <v>0</v>
      </c>
      <c r="E1457">
        <v>1817581.19</v>
      </c>
      <c r="F1457">
        <v>-6017.1</v>
      </c>
      <c r="G1457">
        <v>189683.27</v>
      </c>
      <c r="H1457">
        <v>1823598.29</v>
      </c>
      <c r="I1457">
        <v>1627897.92</v>
      </c>
      <c r="J1457" t="s">
        <v>184</v>
      </c>
    </row>
    <row r="1458" spans="1:10" x14ac:dyDescent="0.35">
      <c r="A1458">
        <v>900</v>
      </c>
      <c r="B1458" t="s">
        <v>460</v>
      </c>
      <c r="C1458">
        <v>2592295.59</v>
      </c>
      <c r="D1458">
        <v>0</v>
      </c>
      <c r="E1458">
        <v>2592295.59</v>
      </c>
      <c r="F1458">
        <v>750794.86</v>
      </c>
      <c r="G1458">
        <v>952397.67</v>
      </c>
      <c r="H1458">
        <v>1841500.73</v>
      </c>
      <c r="I1458">
        <v>1639897.92</v>
      </c>
      <c r="J1458" t="s">
        <v>184</v>
      </c>
    </row>
    <row r="1459" spans="1:10" x14ac:dyDescent="0.35">
      <c r="A1459">
        <v>1000</v>
      </c>
      <c r="B1459" t="s">
        <v>411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184</v>
      </c>
    </row>
    <row r="1460" spans="1:10" x14ac:dyDescent="0.35">
      <c r="A1460" t="s">
        <v>279</v>
      </c>
      <c r="B1460" t="s">
        <v>172</v>
      </c>
      <c r="C1460" t="s">
        <v>390</v>
      </c>
      <c r="D1460" t="s">
        <v>391</v>
      </c>
      <c r="E1460" t="s">
        <v>392</v>
      </c>
      <c r="F1460" t="s">
        <v>393</v>
      </c>
      <c r="G1460" t="s">
        <v>394</v>
      </c>
      <c r="H1460" t="s">
        <v>395</v>
      </c>
      <c r="I1460" t="s">
        <v>396</v>
      </c>
      <c r="J1460" t="s">
        <v>183</v>
      </c>
    </row>
    <row r="1461" spans="1:10" x14ac:dyDescent="0.35">
      <c r="A1461">
        <v>10</v>
      </c>
      <c r="B1461" t="s">
        <v>397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184</v>
      </c>
    </row>
    <row r="1462" spans="1:10" x14ac:dyDescent="0.35">
      <c r="A1462">
        <v>20</v>
      </c>
      <c r="B1462" t="s">
        <v>415</v>
      </c>
      <c r="C1462">
        <v>17786.88</v>
      </c>
      <c r="D1462">
        <v>0</v>
      </c>
      <c r="E1462">
        <v>17786.88</v>
      </c>
      <c r="F1462">
        <v>27532.41</v>
      </c>
      <c r="G1462">
        <v>3869.47</v>
      </c>
      <c r="H1462">
        <v>-9745.5300000000007</v>
      </c>
      <c r="I1462">
        <v>13917.41</v>
      </c>
      <c r="J1462" t="s">
        <v>184</v>
      </c>
    </row>
    <row r="1463" spans="1:10" x14ac:dyDescent="0.35">
      <c r="A1463">
        <v>30</v>
      </c>
      <c r="B1463" t="s">
        <v>416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184</v>
      </c>
    </row>
    <row r="1464" spans="1:10" x14ac:dyDescent="0.35">
      <c r="A1464">
        <v>40</v>
      </c>
      <c r="B1464" t="s">
        <v>417</v>
      </c>
      <c r="C1464">
        <v>157651.78</v>
      </c>
      <c r="D1464">
        <v>0</v>
      </c>
      <c r="E1464">
        <v>157651.78</v>
      </c>
      <c r="F1464">
        <v>-18158.150000000001</v>
      </c>
      <c r="G1464">
        <v>26643.85</v>
      </c>
      <c r="H1464">
        <v>175809.93</v>
      </c>
      <c r="I1464">
        <v>131007.93</v>
      </c>
      <c r="J1464" t="s">
        <v>184</v>
      </c>
    </row>
    <row r="1465" spans="1:10" x14ac:dyDescent="0.35">
      <c r="A1465">
        <v>50</v>
      </c>
      <c r="B1465" t="s">
        <v>418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184</v>
      </c>
    </row>
    <row r="1466" spans="1:10" x14ac:dyDescent="0.35">
      <c r="A1466">
        <v>60</v>
      </c>
      <c r="B1466" t="s">
        <v>343</v>
      </c>
      <c r="C1466">
        <v>22082.75</v>
      </c>
      <c r="D1466">
        <v>0</v>
      </c>
      <c r="E1466">
        <v>22082.75</v>
      </c>
      <c r="F1466">
        <v>-5255.51</v>
      </c>
      <c r="G1466">
        <v>6297.6</v>
      </c>
      <c r="H1466">
        <v>27338.26</v>
      </c>
      <c r="I1466">
        <v>15785.15</v>
      </c>
      <c r="J1466" t="s">
        <v>184</v>
      </c>
    </row>
    <row r="1467" spans="1:10" x14ac:dyDescent="0.35">
      <c r="A1467">
        <v>70</v>
      </c>
      <c r="B1467" t="s">
        <v>419</v>
      </c>
      <c r="C1467">
        <v>30805.23</v>
      </c>
      <c r="D1467">
        <v>0</v>
      </c>
      <c r="E1467">
        <v>30805.23</v>
      </c>
      <c r="F1467">
        <v>927.75</v>
      </c>
      <c r="G1467">
        <v>-7463.01</v>
      </c>
      <c r="H1467">
        <v>29877.48</v>
      </c>
      <c r="I1467">
        <v>38268.239999999998</v>
      </c>
      <c r="J1467" t="s">
        <v>184</v>
      </c>
    </row>
    <row r="1468" spans="1:10" x14ac:dyDescent="0.35">
      <c r="A1468">
        <v>80</v>
      </c>
      <c r="B1468" t="s">
        <v>420</v>
      </c>
      <c r="C1468">
        <v>9906.15</v>
      </c>
      <c r="D1468">
        <v>0</v>
      </c>
      <c r="E1468">
        <v>9906.15</v>
      </c>
      <c r="F1468">
        <v>0</v>
      </c>
      <c r="G1468">
        <v>9906.15</v>
      </c>
      <c r="H1468">
        <v>9906.15</v>
      </c>
      <c r="I1468">
        <v>0</v>
      </c>
      <c r="J1468" t="s">
        <v>184</v>
      </c>
    </row>
    <row r="1469" spans="1:10" x14ac:dyDescent="0.35">
      <c r="A1469">
        <v>100</v>
      </c>
      <c r="B1469" t="s">
        <v>421</v>
      </c>
      <c r="C1469">
        <v>238232.79</v>
      </c>
      <c r="D1469">
        <v>0</v>
      </c>
      <c r="E1469">
        <v>238232.79</v>
      </c>
      <c r="F1469">
        <v>5046.5</v>
      </c>
      <c r="G1469">
        <v>39254.06</v>
      </c>
      <c r="H1469">
        <v>233186.29</v>
      </c>
      <c r="I1469">
        <v>198978.73</v>
      </c>
      <c r="J1469" t="s">
        <v>184</v>
      </c>
    </row>
    <row r="1470" spans="1:10" x14ac:dyDescent="0.35">
      <c r="A1470">
        <v>110</v>
      </c>
      <c r="B1470" t="s">
        <v>422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184</v>
      </c>
    </row>
    <row r="1471" spans="1:10" x14ac:dyDescent="0.35">
      <c r="A1471">
        <v>120</v>
      </c>
      <c r="B1471" t="s">
        <v>423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184</v>
      </c>
    </row>
    <row r="1472" spans="1:10" x14ac:dyDescent="0.35">
      <c r="A1472">
        <v>130</v>
      </c>
      <c r="B1472" t="s">
        <v>424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184</v>
      </c>
    </row>
    <row r="1473" spans="1:10" x14ac:dyDescent="0.35">
      <c r="A1473">
        <v>140</v>
      </c>
      <c r="B1473" t="s">
        <v>425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 t="s">
        <v>184</v>
      </c>
    </row>
    <row r="1474" spans="1:10" x14ac:dyDescent="0.35">
      <c r="A1474">
        <v>150</v>
      </c>
      <c r="B1474" t="s">
        <v>426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184</v>
      </c>
    </row>
    <row r="1475" spans="1:10" x14ac:dyDescent="0.35">
      <c r="A1475">
        <v>160</v>
      </c>
      <c r="B1475" t="s">
        <v>427</v>
      </c>
      <c r="C1475">
        <v>26859.01</v>
      </c>
      <c r="D1475">
        <v>0</v>
      </c>
      <c r="E1475">
        <v>26859.01</v>
      </c>
      <c r="F1475">
        <v>0</v>
      </c>
      <c r="G1475">
        <v>0</v>
      </c>
      <c r="H1475">
        <v>26859.01</v>
      </c>
      <c r="I1475">
        <v>26859.01</v>
      </c>
      <c r="J1475" t="s">
        <v>184</v>
      </c>
    </row>
    <row r="1476" spans="1:10" x14ac:dyDescent="0.35">
      <c r="A1476">
        <v>170</v>
      </c>
      <c r="B1476" t="s">
        <v>428</v>
      </c>
      <c r="C1476">
        <v>439267.14</v>
      </c>
      <c r="D1476">
        <v>0</v>
      </c>
      <c r="E1476">
        <v>439267.14</v>
      </c>
      <c r="F1476">
        <v>0</v>
      </c>
      <c r="G1476">
        <v>5808.29</v>
      </c>
      <c r="H1476">
        <v>439267.14</v>
      </c>
      <c r="I1476">
        <v>433458.85</v>
      </c>
      <c r="J1476" t="s">
        <v>184</v>
      </c>
    </row>
    <row r="1477" spans="1:10" x14ac:dyDescent="0.35">
      <c r="A1477">
        <v>180</v>
      </c>
      <c r="B1477" t="s">
        <v>429</v>
      </c>
      <c r="C1477">
        <v>366496</v>
      </c>
      <c r="D1477">
        <v>0</v>
      </c>
      <c r="E1477">
        <v>366496</v>
      </c>
      <c r="F1477">
        <v>0</v>
      </c>
      <c r="G1477">
        <v>0</v>
      </c>
      <c r="H1477">
        <v>366496</v>
      </c>
      <c r="I1477">
        <v>366496</v>
      </c>
      <c r="J1477" t="s">
        <v>184</v>
      </c>
    </row>
    <row r="1478" spans="1:10" x14ac:dyDescent="0.35">
      <c r="A1478">
        <v>190</v>
      </c>
      <c r="B1478" t="s">
        <v>430</v>
      </c>
      <c r="C1478">
        <v>-832971.94</v>
      </c>
      <c r="D1478">
        <v>0</v>
      </c>
      <c r="E1478">
        <v>-832971.94</v>
      </c>
      <c r="F1478">
        <v>-5119.0200000000004</v>
      </c>
      <c r="G1478">
        <v>-67824.06</v>
      </c>
      <c r="H1478">
        <v>-827852.92</v>
      </c>
      <c r="I1478">
        <v>-765147.88</v>
      </c>
      <c r="J1478" t="s">
        <v>184</v>
      </c>
    </row>
    <row r="1479" spans="1:10" x14ac:dyDescent="0.35">
      <c r="A1479">
        <v>200</v>
      </c>
      <c r="B1479" t="s">
        <v>431</v>
      </c>
      <c r="C1479">
        <v>-349.79</v>
      </c>
      <c r="D1479">
        <v>0</v>
      </c>
      <c r="E1479">
        <v>-349.79</v>
      </c>
      <c r="F1479">
        <v>-5119.0200000000004</v>
      </c>
      <c r="G1479">
        <v>-62015.77</v>
      </c>
      <c r="H1479">
        <v>4769.2299999999996</v>
      </c>
      <c r="I1479">
        <v>61665.98</v>
      </c>
      <c r="J1479" t="s">
        <v>184</v>
      </c>
    </row>
    <row r="1480" spans="1:10" x14ac:dyDescent="0.35">
      <c r="A1480">
        <v>210</v>
      </c>
      <c r="B1480" t="s">
        <v>432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184</v>
      </c>
    </row>
    <row r="1481" spans="1:10" x14ac:dyDescent="0.35">
      <c r="A1481">
        <v>220</v>
      </c>
      <c r="B1481" t="s">
        <v>433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184</v>
      </c>
    </row>
    <row r="1482" spans="1:10" x14ac:dyDescent="0.35">
      <c r="A1482">
        <v>230</v>
      </c>
      <c r="B1482" t="s">
        <v>434</v>
      </c>
      <c r="C1482">
        <v>449548.25</v>
      </c>
      <c r="D1482">
        <v>0</v>
      </c>
      <c r="E1482">
        <v>449548.25</v>
      </c>
      <c r="F1482">
        <v>0</v>
      </c>
      <c r="G1482">
        <v>0</v>
      </c>
      <c r="H1482">
        <v>449548.25</v>
      </c>
      <c r="I1482">
        <v>449548.25</v>
      </c>
      <c r="J1482" t="s">
        <v>184</v>
      </c>
    </row>
    <row r="1483" spans="1:10" x14ac:dyDescent="0.35">
      <c r="A1483">
        <v>240</v>
      </c>
      <c r="B1483" t="s">
        <v>435</v>
      </c>
      <c r="C1483">
        <v>-360609.13</v>
      </c>
      <c r="D1483">
        <v>0</v>
      </c>
      <c r="E1483">
        <v>-360609.13</v>
      </c>
      <c r="F1483">
        <v>0</v>
      </c>
      <c r="G1483">
        <v>-16666.560000000001</v>
      </c>
      <c r="H1483">
        <v>-360609.13</v>
      </c>
      <c r="I1483">
        <v>-343942.57</v>
      </c>
      <c r="J1483" t="s">
        <v>184</v>
      </c>
    </row>
    <row r="1484" spans="1:10" x14ac:dyDescent="0.35">
      <c r="A1484">
        <v>250</v>
      </c>
      <c r="B1484" t="s">
        <v>436</v>
      </c>
      <c r="C1484">
        <v>88939.12</v>
      </c>
      <c r="D1484">
        <v>0</v>
      </c>
      <c r="E1484">
        <v>88939.12</v>
      </c>
      <c r="F1484">
        <v>0</v>
      </c>
      <c r="G1484">
        <v>-16666.560000000001</v>
      </c>
      <c r="H1484">
        <v>88939.12</v>
      </c>
      <c r="I1484">
        <v>105605.68</v>
      </c>
      <c r="J1484" t="s">
        <v>184</v>
      </c>
    </row>
    <row r="1485" spans="1:10" x14ac:dyDescent="0.35">
      <c r="A1485">
        <v>260</v>
      </c>
      <c r="B1485" t="s">
        <v>437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184</v>
      </c>
    </row>
    <row r="1486" spans="1:10" x14ac:dyDescent="0.35">
      <c r="A1486">
        <v>270</v>
      </c>
      <c r="B1486" t="s">
        <v>438</v>
      </c>
      <c r="C1486">
        <v>23666.67</v>
      </c>
      <c r="D1486">
        <v>0</v>
      </c>
      <c r="E1486">
        <v>23666.67</v>
      </c>
      <c r="F1486">
        <v>0</v>
      </c>
      <c r="G1486">
        <v>0</v>
      </c>
      <c r="H1486">
        <v>23666.67</v>
      </c>
      <c r="I1486">
        <v>23666.67</v>
      </c>
      <c r="J1486" t="s">
        <v>184</v>
      </c>
    </row>
    <row r="1487" spans="1:10" x14ac:dyDescent="0.35">
      <c r="A1487">
        <v>280</v>
      </c>
      <c r="B1487" t="s">
        <v>439</v>
      </c>
      <c r="C1487">
        <v>23666.67</v>
      </c>
      <c r="D1487">
        <v>0</v>
      </c>
      <c r="E1487">
        <v>23666.67</v>
      </c>
      <c r="F1487">
        <v>0</v>
      </c>
      <c r="G1487">
        <v>0</v>
      </c>
      <c r="H1487">
        <v>23666.67</v>
      </c>
      <c r="I1487">
        <v>23666.67</v>
      </c>
      <c r="J1487" t="s">
        <v>184</v>
      </c>
    </row>
    <row r="1488" spans="1:10" x14ac:dyDescent="0.35">
      <c r="A1488">
        <v>400</v>
      </c>
      <c r="B1488" t="s">
        <v>440</v>
      </c>
      <c r="C1488">
        <v>350488.79</v>
      </c>
      <c r="D1488">
        <v>0</v>
      </c>
      <c r="E1488">
        <v>350488.79</v>
      </c>
      <c r="F1488">
        <v>-72.52</v>
      </c>
      <c r="G1488">
        <v>-39428.269999999997</v>
      </c>
      <c r="H1488">
        <v>350561.31</v>
      </c>
      <c r="I1488">
        <v>389917.06</v>
      </c>
      <c r="J1488" t="s">
        <v>184</v>
      </c>
    </row>
    <row r="1489" spans="1:10" x14ac:dyDescent="0.35">
      <c r="A1489">
        <v>410</v>
      </c>
      <c r="B1489" t="s">
        <v>441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184</v>
      </c>
    </row>
    <row r="1490" spans="1:10" x14ac:dyDescent="0.35">
      <c r="A1490">
        <v>420</v>
      </c>
      <c r="B1490" t="s">
        <v>442</v>
      </c>
      <c r="C1490">
        <v>-1958.34</v>
      </c>
      <c r="D1490">
        <v>0</v>
      </c>
      <c r="E1490">
        <v>-1958.34</v>
      </c>
      <c r="F1490">
        <v>-6444.79</v>
      </c>
      <c r="G1490">
        <v>-17923.150000000001</v>
      </c>
      <c r="H1490">
        <v>4486.45</v>
      </c>
      <c r="I1490">
        <v>15964.81</v>
      </c>
      <c r="J1490" t="s">
        <v>184</v>
      </c>
    </row>
    <row r="1491" spans="1:10" x14ac:dyDescent="0.35">
      <c r="A1491">
        <v>430</v>
      </c>
      <c r="B1491" t="s">
        <v>443</v>
      </c>
      <c r="C1491">
        <v>17535.259999999998</v>
      </c>
      <c r="D1491">
        <v>0</v>
      </c>
      <c r="E1491">
        <v>17535.259999999998</v>
      </c>
      <c r="F1491">
        <v>-2088.19</v>
      </c>
      <c r="G1491">
        <v>4691.13</v>
      </c>
      <c r="H1491">
        <v>19623.45</v>
      </c>
      <c r="I1491">
        <v>12844.13</v>
      </c>
      <c r="J1491" t="s">
        <v>184</v>
      </c>
    </row>
    <row r="1492" spans="1:10" x14ac:dyDescent="0.35">
      <c r="A1492">
        <v>440</v>
      </c>
      <c r="B1492" t="s">
        <v>444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184</v>
      </c>
    </row>
    <row r="1493" spans="1:10" x14ac:dyDescent="0.35">
      <c r="A1493">
        <v>450</v>
      </c>
      <c r="B1493" t="s">
        <v>445</v>
      </c>
      <c r="C1493">
        <v>71178.570000000007</v>
      </c>
      <c r="D1493">
        <v>0</v>
      </c>
      <c r="E1493">
        <v>71178.570000000007</v>
      </c>
      <c r="F1493">
        <v>-631.41</v>
      </c>
      <c r="G1493">
        <v>-6828.92</v>
      </c>
      <c r="H1493">
        <v>71809.98</v>
      </c>
      <c r="I1493">
        <v>78007.490000000005</v>
      </c>
      <c r="J1493" t="s">
        <v>184</v>
      </c>
    </row>
    <row r="1494" spans="1:10" x14ac:dyDescent="0.35">
      <c r="A1494">
        <v>460</v>
      </c>
      <c r="B1494" t="s">
        <v>446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184</v>
      </c>
    </row>
    <row r="1495" spans="1:10" x14ac:dyDescent="0.35">
      <c r="A1495">
        <v>500</v>
      </c>
      <c r="B1495" t="s">
        <v>447</v>
      </c>
      <c r="C1495">
        <v>86755.49</v>
      </c>
      <c r="D1495">
        <v>0</v>
      </c>
      <c r="E1495">
        <v>86755.49</v>
      </c>
      <c r="F1495">
        <v>-9164.39</v>
      </c>
      <c r="G1495">
        <v>-20060.939999999999</v>
      </c>
      <c r="H1495">
        <v>95919.88</v>
      </c>
      <c r="I1495">
        <v>106816.43</v>
      </c>
      <c r="J1495" t="s">
        <v>184</v>
      </c>
    </row>
    <row r="1496" spans="1:10" x14ac:dyDescent="0.35">
      <c r="A1496">
        <v>510</v>
      </c>
      <c r="B1496" t="s">
        <v>448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184</v>
      </c>
    </row>
    <row r="1497" spans="1:10" x14ac:dyDescent="0.35">
      <c r="A1497">
        <v>520</v>
      </c>
      <c r="B1497" t="s">
        <v>449</v>
      </c>
      <c r="C1497">
        <v>343208.54</v>
      </c>
      <c r="D1497">
        <v>0</v>
      </c>
      <c r="E1497">
        <v>343208.54</v>
      </c>
      <c r="F1497">
        <v>14000</v>
      </c>
      <c r="G1497">
        <v>84018</v>
      </c>
      <c r="H1497">
        <v>329208.53999999998</v>
      </c>
      <c r="I1497">
        <v>259190.54</v>
      </c>
      <c r="J1497" t="s">
        <v>184</v>
      </c>
    </row>
    <row r="1498" spans="1:10" x14ac:dyDescent="0.35">
      <c r="A1498">
        <v>530</v>
      </c>
      <c r="B1498" t="s">
        <v>450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 t="s">
        <v>184</v>
      </c>
    </row>
    <row r="1499" spans="1:10" x14ac:dyDescent="0.35">
      <c r="A1499">
        <v>540</v>
      </c>
      <c r="B1499" t="s">
        <v>451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 t="s">
        <v>184</v>
      </c>
    </row>
    <row r="1500" spans="1:10" x14ac:dyDescent="0.35">
      <c r="A1500">
        <v>600</v>
      </c>
      <c r="B1500" t="s">
        <v>452</v>
      </c>
      <c r="C1500">
        <v>343208.54</v>
      </c>
      <c r="D1500">
        <v>0</v>
      </c>
      <c r="E1500">
        <v>343208.54</v>
      </c>
      <c r="F1500">
        <v>14000</v>
      </c>
      <c r="G1500">
        <v>84018</v>
      </c>
      <c r="H1500">
        <v>329208.53999999998</v>
      </c>
      <c r="I1500">
        <v>259190.54</v>
      </c>
      <c r="J1500" t="s">
        <v>184</v>
      </c>
    </row>
    <row r="1501" spans="1:10" x14ac:dyDescent="0.35">
      <c r="A1501">
        <v>610</v>
      </c>
      <c r="B1501" t="s">
        <v>453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184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184</v>
      </c>
    </row>
    <row r="1503" spans="1:10" x14ac:dyDescent="0.35">
      <c r="A1503">
        <v>700</v>
      </c>
      <c r="B1503" t="s">
        <v>454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184</v>
      </c>
    </row>
    <row r="1504" spans="1:10" x14ac:dyDescent="0.35">
      <c r="A1504">
        <v>710</v>
      </c>
      <c r="B1504" t="s">
        <v>410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184</v>
      </c>
    </row>
    <row r="1505" spans="1:10" x14ac:dyDescent="0.35">
      <c r="A1505">
        <v>720</v>
      </c>
      <c r="B1505" t="s">
        <v>455</v>
      </c>
      <c r="C1505">
        <v>1000</v>
      </c>
      <c r="D1505">
        <v>0</v>
      </c>
      <c r="E1505">
        <v>1000</v>
      </c>
      <c r="F1505">
        <v>0</v>
      </c>
      <c r="G1505">
        <v>0</v>
      </c>
      <c r="H1505">
        <v>1000</v>
      </c>
      <c r="I1505">
        <v>1000</v>
      </c>
      <c r="J1505" t="s">
        <v>184</v>
      </c>
    </row>
    <row r="1506" spans="1:10" x14ac:dyDescent="0.35">
      <c r="A1506">
        <v>730</v>
      </c>
      <c r="B1506" t="s">
        <v>456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184</v>
      </c>
    </row>
    <row r="1507" spans="1:10" x14ac:dyDescent="0.35">
      <c r="A1507">
        <v>740</v>
      </c>
      <c r="B1507" t="s">
        <v>457</v>
      </c>
      <c r="C1507">
        <v>18910.09</v>
      </c>
      <c r="D1507">
        <v>0</v>
      </c>
      <c r="E1507">
        <v>18910.09</v>
      </c>
      <c r="F1507">
        <v>0</v>
      </c>
      <c r="G1507">
        <v>0</v>
      </c>
      <c r="H1507">
        <v>18910.09</v>
      </c>
      <c r="I1507">
        <v>18910.09</v>
      </c>
      <c r="J1507" t="s">
        <v>184</v>
      </c>
    </row>
    <row r="1508" spans="1:10" x14ac:dyDescent="0.35">
      <c r="A1508">
        <v>750</v>
      </c>
      <c r="B1508" t="s">
        <v>271</v>
      </c>
      <c r="C1508">
        <v>-103385.33</v>
      </c>
      <c r="D1508">
        <v>0</v>
      </c>
      <c r="E1508">
        <v>-103385.33</v>
      </c>
      <c r="F1508">
        <v>-4908.13</v>
      </c>
      <c r="G1508">
        <v>-103385.33</v>
      </c>
      <c r="H1508">
        <v>-98477.2</v>
      </c>
      <c r="I1508">
        <v>0</v>
      </c>
      <c r="J1508" t="s">
        <v>184</v>
      </c>
    </row>
    <row r="1509" spans="1:10" x14ac:dyDescent="0.35">
      <c r="A1509">
        <v>760</v>
      </c>
      <c r="B1509" t="s">
        <v>458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184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184</v>
      </c>
    </row>
    <row r="1511" spans="1:10" x14ac:dyDescent="0.35">
      <c r="A1511">
        <v>800</v>
      </c>
      <c r="B1511" t="s">
        <v>459</v>
      </c>
      <c r="C1511">
        <v>-79475.240000000005</v>
      </c>
      <c r="D1511">
        <v>0</v>
      </c>
      <c r="E1511">
        <v>-79475.240000000005</v>
      </c>
      <c r="F1511">
        <v>-4908.13</v>
      </c>
      <c r="G1511">
        <v>-103385.33</v>
      </c>
      <c r="H1511">
        <v>-74567.11</v>
      </c>
      <c r="I1511">
        <v>23910.09</v>
      </c>
      <c r="J1511" t="s">
        <v>184</v>
      </c>
    </row>
    <row r="1512" spans="1:10" x14ac:dyDescent="0.35">
      <c r="A1512">
        <v>900</v>
      </c>
      <c r="B1512" t="s">
        <v>460</v>
      </c>
      <c r="C1512">
        <v>350488.79</v>
      </c>
      <c r="D1512">
        <v>0</v>
      </c>
      <c r="E1512">
        <v>350488.79</v>
      </c>
      <c r="F1512">
        <v>-72.52</v>
      </c>
      <c r="G1512">
        <v>-39428.269999999997</v>
      </c>
      <c r="H1512">
        <v>350561.31</v>
      </c>
      <c r="I1512">
        <v>389917.06</v>
      </c>
      <c r="J1512" t="s">
        <v>184</v>
      </c>
    </row>
    <row r="1513" spans="1:10" x14ac:dyDescent="0.35">
      <c r="A1513">
        <v>1000</v>
      </c>
      <c r="B1513" t="s">
        <v>411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 t="s">
        <v>184</v>
      </c>
    </row>
    <row r="1514" spans="1:10" x14ac:dyDescent="0.35">
      <c r="A1514" t="s">
        <v>464</v>
      </c>
      <c r="B1514" t="s">
        <v>172</v>
      </c>
      <c r="C1514" t="s">
        <v>390</v>
      </c>
      <c r="D1514" t="s">
        <v>391</v>
      </c>
      <c r="E1514" t="s">
        <v>392</v>
      </c>
      <c r="F1514" t="s">
        <v>393</v>
      </c>
      <c r="G1514" t="s">
        <v>394</v>
      </c>
      <c r="H1514" t="s">
        <v>395</v>
      </c>
      <c r="I1514" t="s">
        <v>396</v>
      </c>
      <c r="J1514" t="s">
        <v>183</v>
      </c>
    </row>
    <row r="1515" spans="1:10" x14ac:dyDescent="0.35">
      <c r="A1515">
        <v>10</v>
      </c>
      <c r="B1515" t="s">
        <v>397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184</v>
      </c>
    </row>
    <row r="1516" spans="1:10" x14ac:dyDescent="0.35">
      <c r="A1516">
        <v>20</v>
      </c>
      <c r="B1516" t="s">
        <v>415</v>
      </c>
      <c r="C1516">
        <v>3820.45</v>
      </c>
      <c r="D1516">
        <v>0</v>
      </c>
      <c r="E1516">
        <v>3820.45</v>
      </c>
      <c r="F1516">
        <v>3478.24</v>
      </c>
      <c r="G1516">
        <v>-19857.12</v>
      </c>
      <c r="H1516">
        <v>342.21</v>
      </c>
      <c r="I1516">
        <v>23677.57</v>
      </c>
      <c r="J1516" t="s">
        <v>184</v>
      </c>
    </row>
    <row r="1517" spans="1:10" x14ac:dyDescent="0.35">
      <c r="A1517">
        <v>30</v>
      </c>
      <c r="B1517" t="s">
        <v>416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184</v>
      </c>
    </row>
    <row r="1518" spans="1:10" x14ac:dyDescent="0.35">
      <c r="A1518">
        <v>40</v>
      </c>
      <c r="B1518" t="s">
        <v>417</v>
      </c>
      <c r="C1518">
        <v>69306.84</v>
      </c>
      <c r="D1518">
        <v>0</v>
      </c>
      <c r="E1518">
        <v>69306.84</v>
      </c>
      <c r="F1518">
        <v>0</v>
      </c>
      <c r="G1518">
        <v>15775.81</v>
      </c>
      <c r="H1518">
        <v>69306.84</v>
      </c>
      <c r="I1518">
        <v>53531.03</v>
      </c>
      <c r="J1518" t="s">
        <v>184</v>
      </c>
    </row>
    <row r="1519" spans="1:10" x14ac:dyDescent="0.35">
      <c r="A1519">
        <v>50</v>
      </c>
      <c r="B1519" t="s">
        <v>418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184</v>
      </c>
    </row>
    <row r="1520" spans="1:10" x14ac:dyDescent="0.35">
      <c r="A1520">
        <v>60</v>
      </c>
      <c r="B1520" t="s">
        <v>343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184</v>
      </c>
    </row>
    <row r="1521" spans="1:10" x14ac:dyDescent="0.35">
      <c r="A1521">
        <v>70</v>
      </c>
      <c r="B1521" t="s">
        <v>419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 t="s">
        <v>184</v>
      </c>
    </row>
    <row r="1522" spans="1:10" x14ac:dyDescent="0.35">
      <c r="A1522">
        <v>80</v>
      </c>
      <c r="B1522" t="s">
        <v>420</v>
      </c>
      <c r="C1522">
        <v>362431.76</v>
      </c>
      <c r="D1522">
        <v>0</v>
      </c>
      <c r="E1522">
        <v>362431.76</v>
      </c>
      <c r="F1522">
        <v>20000</v>
      </c>
      <c r="G1522">
        <v>137975.72</v>
      </c>
      <c r="H1522">
        <v>342431.76</v>
      </c>
      <c r="I1522">
        <v>224456.04</v>
      </c>
      <c r="J1522" t="s">
        <v>184</v>
      </c>
    </row>
    <row r="1523" spans="1:10" x14ac:dyDescent="0.35">
      <c r="A1523">
        <v>100</v>
      </c>
      <c r="B1523" t="s">
        <v>421</v>
      </c>
      <c r="C1523">
        <v>435559.05</v>
      </c>
      <c r="D1523">
        <v>0</v>
      </c>
      <c r="E1523">
        <v>435559.05</v>
      </c>
      <c r="F1523">
        <v>23478.240000000002</v>
      </c>
      <c r="G1523">
        <v>133894.41</v>
      </c>
      <c r="H1523">
        <v>412080.81</v>
      </c>
      <c r="I1523">
        <v>301664.64000000001</v>
      </c>
      <c r="J1523" t="s">
        <v>184</v>
      </c>
    </row>
    <row r="1524" spans="1:10" x14ac:dyDescent="0.35">
      <c r="A1524">
        <v>110</v>
      </c>
      <c r="B1524" t="s">
        <v>422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184</v>
      </c>
    </row>
    <row r="1525" spans="1:10" x14ac:dyDescent="0.35">
      <c r="A1525">
        <v>120</v>
      </c>
      <c r="B1525" t="s">
        <v>423</v>
      </c>
      <c r="C1525">
        <v>317398</v>
      </c>
      <c r="D1525">
        <v>0</v>
      </c>
      <c r="E1525">
        <v>317398</v>
      </c>
      <c r="F1525">
        <v>0</v>
      </c>
      <c r="G1525">
        <v>0</v>
      </c>
      <c r="H1525">
        <v>317398</v>
      </c>
      <c r="I1525">
        <v>317398</v>
      </c>
      <c r="J1525" t="s">
        <v>184</v>
      </c>
    </row>
    <row r="1526" spans="1:10" x14ac:dyDescent="0.35">
      <c r="A1526">
        <v>130</v>
      </c>
      <c r="B1526" t="s">
        <v>424</v>
      </c>
      <c r="C1526">
        <v>1156241.68</v>
      </c>
      <c r="D1526">
        <v>0</v>
      </c>
      <c r="E1526">
        <v>1156241.68</v>
      </c>
      <c r="F1526">
        <v>0</v>
      </c>
      <c r="G1526">
        <v>439423.68</v>
      </c>
      <c r="H1526">
        <v>1156241.68</v>
      </c>
      <c r="I1526">
        <v>716818</v>
      </c>
      <c r="J1526" t="s">
        <v>184</v>
      </c>
    </row>
    <row r="1527" spans="1:10" x14ac:dyDescent="0.35">
      <c r="A1527">
        <v>140</v>
      </c>
      <c r="B1527" t="s">
        <v>425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184</v>
      </c>
    </row>
    <row r="1528" spans="1:10" x14ac:dyDescent="0.35">
      <c r="A1528">
        <v>150</v>
      </c>
      <c r="B1528" t="s">
        <v>426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184</v>
      </c>
    </row>
    <row r="1529" spans="1:10" x14ac:dyDescent="0.35">
      <c r="A1529">
        <v>160</v>
      </c>
      <c r="B1529" t="s">
        <v>427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184</v>
      </c>
    </row>
    <row r="1530" spans="1:10" x14ac:dyDescent="0.35">
      <c r="A1530">
        <v>170</v>
      </c>
      <c r="B1530" t="s">
        <v>428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184</v>
      </c>
    </row>
    <row r="1531" spans="1:10" x14ac:dyDescent="0.35">
      <c r="A1531">
        <v>180</v>
      </c>
      <c r="B1531" t="s">
        <v>429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184</v>
      </c>
    </row>
    <row r="1532" spans="1:10" x14ac:dyDescent="0.35">
      <c r="A1532">
        <v>190</v>
      </c>
      <c r="B1532" t="s">
        <v>430</v>
      </c>
      <c r="C1532">
        <v>-130235.52</v>
      </c>
      <c r="D1532">
        <v>0</v>
      </c>
      <c r="E1532">
        <v>-130235.52</v>
      </c>
      <c r="F1532">
        <v>-2809.12</v>
      </c>
      <c r="G1532">
        <v>-25282.080000000002</v>
      </c>
      <c r="H1532">
        <v>-127426.4</v>
      </c>
      <c r="I1532">
        <v>-104953.44</v>
      </c>
      <c r="J1532" t="s">
        <v>184</v>
      </c>
    </row>
    <row r="1533" spans="1:10" x14ac:dyDescent="0.35">
      <c r="A1533">
        <v>200</v>
      </c>
      <c r="B1533" t="s">
        <v>431</v>
      </c>
      <c r="C1533">
        <v>1343404.16</v>
      </c>
      <c r="D1533">
        <v>0</v>
      </c>
      <c r="E1533">
        <v>1343404.16</v>
      </c>
      <c r="F1533">
        <v>-2809.12</v>
      </c>
      <c r="G1533">
        <v>414141.6</v>
      </c>
      <c r="H1533">
        <v>1346213.28</v>
      </c>
      <c r="I1533">
        <v>929262.56</v>
      </c>
      <c r="J1533" t="s">
        <v>184</v>
      </c>
    </row>
    <row r="1534" spans="1:10" x14ac:dyDescent="0.35">
      <c r="A1534">
        <v>210</v>
      </c>
      <c r="B1534" t="s">
        <v>432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184</v>
      </c>
    </row>
    <row r="1535" spans="1:10" x14ac:dyDescent="0.35">
      <c r="A1535">
        <v>220</v>
      </c>
      <c r="B1535" t="s">
        <v>433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184</v>
      </c>
    </row>
    <row r="1536" spans="1:10" x14ac:dyDescent="0.35">
      <c r="A1536">
        <v>230</v>
      </c>
      <c r="B1536" t="s">
        <v>434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184</v>
      </c>
    </row>
    <row r="1537" spans="1:10" x14ac:dyDescent="0.35">
      <c r="A1537">
        <v>240</v>
      </c>
      <c r="B1537" t="s">
        <v>435</v>
      </c>
      <c r="C1537">
        <v>-400</v>
      </c>
      <c r="D1537">
        <v>0</v>
      </c>
      <c r="E1537">
        <v>-400</v>
      </c>
      <c r="F1537">
        <v>0</v>
      </c>
      <c r="G1537">
        <v>0</v>
      </c>
      <c r="H1537">
        <v>-400</v>
      </c>
      <c r="I1537">
        <v>-400</v>
      </c>
      <c r="J1537" t="s">
        <v>184</v>
      </c>
    </row>
    <row r="1538" spans="1:10" x14ac:dyDescent="0.35">
      <c r="A1538">
        <v>250</v>
      </c>
      <c r="B1538" t="s">
        <v>436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 t="s">
        <v>184</v>
      </c>
    </row>
    <row r="1539" spans="1:10" x14ac:dyDescent="0.35">
      <c r="A1539">
        <v>260</v>
      </c>
      <c r="B1539" t="s">
        <v>437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184</v>
      </c>
    </row>
    <row r="1540" spans="1:10" x14ac:dyDescent="0.35">
      <c r="A1540">
        <v>270</v>
      </c>
      <c r="B1540" t="s">
        <v>438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184</v>
      </c>
    </row>
    <row r="1541" spans="1:10" x14ac:dyDescent="0.35">
      <c r="A1541">
        <v>280</v>
      </c>
      <c r="B1541" t="s">
        <v>439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184</v>
      </c>
    </row>
    <row r="1542" spans="1:10" x14ac:dyDescent="0.35">
      <c r="A1542">
        <v>400</v>
      </c>
      <c r="B1542" t="s">
        <v>440</v>
      </c>
      <c r="C1542">
        <v>1778963.21</v>
      </c>
      <c r="D1542">
        <v>0</v>
      </c>
      <c r="E1542">
        <v>1778963.21</v>
      </c>
      <c r="F1542">
        <v>20669.12</v>
      </c>
      <c r="G1542">
        <v>548036.01</v>
      </c>
      <c r="H1542">
        <v>1758294.09</v>
      </c>
      <c r="I1542">
        <v>1230927.2</v>
      </c>
      <c r="J1542" t="s">
        <v>184</v>
      </c>
    </row>
    <row r="1543" spans="1:10" x14ac:dyDescent="0.35">
      <c r="A1543">
        <v>410</v>
      </c>
      <c r="B1543" t="s">
        <v>441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184</v>
      </c>
    </row>
    <row r="1544" spans="1:10" x14ac:dyDescent="0.35">
      <c r="A1544">
        <v>420</v>
      </c>
      <c r="B1544" t="s">
        <v>442</v>
      </c>
      <c r="C1544">
        <v>0</v>
      </c>
      <c r="D1544">
        <v>0</v>
      </c>
      <c r="E1544">
        <v>0</v>
      </c>
      <c r="F1544">
        <v>-1005.8</v>
      </c>
      <c r="G1544">
        <v>0</v>
      </c>
      <c r="H1544">
        <v>1005.8</v>
      </c>
      <c r="I1544">
        <v>0</v>
      </c>
      <c r="J1544" t="s">
        <v>184</v>
      </c>
    </row>
    <row r="1545" spans="1:10" x14ac:dyDescent="0.35">
      <c r="A1545">
        <v>430</v>
      </c>
      <c r="B1545" t="s">
        <v>443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184</v>
      </c>
    </row>
    <row r="1546" spans="1:10" x14ac:dyDescent="0.35">
      <c r="A1546">
        <v>440</v>
      </c>
      <c r="B1546" t="s">
        <v>444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184</v>
      </c>
    </row>
    <row r="1547" spans="1:10" x14ac:dyDescent="0.35">
      <c r="A1547">
        <v>450</v>
      </c>
      <c r="B1547" t="s">
        <v>445</v>
      </c>
      <c r="C1547">
        <v>6674.84</v>
      </c>
      <c r="D1547">
        <v>0</v>
      </c>
      <c r="E1547">
        <v>6674.84</v>
      </c>
      <c r="F1547">
        <v>-9.33</v>
      </c>
      <c r="G1547">
        <v>6674.84</v>
      </c>
      <c r="H1547">
        <v>6684.17</v>
      </c>
      <c r="I1547">
        <v>0</v>
      </c>
      <c r="J1547" t="s">
        <v>184</v>
      </c>
    </row>
    <row r="1548" spans="1:10" x14ac:dyDescent="0.35">
      <c r="A1548">
        <v>460</v>
      </c>
      <c r="B1548" t="s">
        <v>446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184</v>
      </c>
    </row>
    <row r="1549" spans="1:10" x14ac:dyDescent="0.35">
      <c r="A1549">
        <v>500</v>
      </c>
      <c r="B1549" t="s">
        <v>447</v>
      </c>
      <c r="C1549">
        <v>6674.84</v>
      </c>
      <c r="D1549">
        <v>0</v>
      </c>
      <c r="E1549">
        <v>6674.84</v>
      </c>
      <c r="F1549">
        <v>-1015.13</v>
      </c>
      <c r="G1549">
        <v>6674.84</v>
      </c>
      <c r="H1549">
        <v>7689.97</v>
      </c>
      <c r="I1549">
        <v>0</v>
      </c>
      <c r="J1549" t="s">
        <v>184</v>
      </c>
    </row>
    <row r="1550" spans="1:10" x14ac:dyDescent="0.35">
      <c r="A1550">
        <v>510</v>
      </c>
      <c r="B1550" t="s">
        <v>448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184</v>
      </c>
    </row>
    <row r="1551" spans="1:10" x14ac:dyDescent="0.35">
      <c r="A1551">
        <v>520</v>
      </c>
      <c r="B1551" t="s">
        <v>449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184</v>
      </c>
    </row>
    <row r="1552" spans="1:10" x14ac:dyDescent="0.35">
      <c r="A1552">
        <v>530</v>
      </c>
      <c r="B1552" t="s">
        <v>450</v>
      </c>
      <c r="C1552">
        <v>388873.75</v>
      </c>
      <c r="D1552">
        <v>0</v>
      </c>
      <c r="E1552">
        <v>388873.75</v>
      </c>
      <c r="F1552">
        <v>-842.56</v>
      </c>
      <c r="G1552">
        <v>388873.75</v>
      </c>
      <c r="H1552">
        <v>389716.31</v>
      </c>
      <c r="I1552">
        <v>0</v>
      </c>
      <c r="J1552" t="s">
        <v>184</v>
      </c>
    </row>
    <row r="1553" spans="1:10" x14ac:dyDescent="0.35">
      <c r="A1553">
        <v>540</v>
      </c>
      <c r="B1553" t="s">
        <v>451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184</v>
      </c>
    </row>
    <row r="1554" spans="1:10" x14ac:dyDescent="0.35">
      <c r="A1554">
        <v>600</v>
      </c>
      <c r="B1554" t="s">
        <v>452</v>
      </c>
      <c r="C1554">
        <v>388873.75</v>
      </c>
      <c r="D1554">
        <v>0</v>
      </c>
      <c r="E1554">
        <v>388873.75</v>
      </c>
      <c r="F1554">
        <v>-842.56</v>
      </c>
      <c r="G1554">
        <v>388873.75</v>
      </c>
      <c r="H1554">
        <v>389716.31</v>
      </c>
      <c r="I1554">
        <v>0</v>
      </c>
      <c r="J1554" t="s">
        <v>184</v>
      </c>
    </row>
    <row r="1555" spans="1:10" x14ac:dyDescent="0.35">
      <c r="A1555">
        <v>610</v>
      </c>
      <c r="B1555" t="s">
        <v>453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184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184</v>
      </c>
    </row>
    <row r="1557" spans="1:10" x14ac:dyDescent="0.35">
      <c r="A1557">
        <v>700</v>
      </c>
      <c r="B1557" t="s">
        <v>454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184</v>
      </c>
    </row>
    <row r="1558" spans="1:10" x14ac:dyDescent="0.35">
      <c r="A1558">
        <v>710</v>
      </c>
      <c r="B1558" t="s">
        <v>410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184</v>
      </c>
    </row>
    <row r="1559" spans="1:10" x14ac:dyDescent="0.35">
      <c r="A1559">
        <v>720</v>
      </c>
      <c r="B1559" t="s">
        <v>455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184</v>
      </c>
    </row>
    <row r="1560" spans="1:10" x14ac:dyDescent="0.35">
      <c r="A1560">
        <v>730</v>
      </c>
      <c r="B1560" t="s">
        <v>456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184</v>
      </c>
    </row>
    <row r="1561" spans="1:10" x14ac:dyDescent="0.35">
      <c r="A1561">
        <v>740</v>
      </c>
      <c r="B1561" t="s">
        <v>457</v>
      </c>
      <c r="C1561">
        <v>1468317.89</v>
      </c>
      <c r="D1561">
        <v>0</v>
      </c>
      <c r="E1561">
        <v>1468317.89</v>
      </c>
      <c r="F1561">
        <v>0</v>
      </c>
      <c r="G1561">
        <v>0</v>
      </c>
      <c r="H1561">
        <v>1468317.89</v>
      </c>
      <c r="I1561">
        <v>1468317.89</v>
      </c>
      <c r="J1561" t="s">
        <v>184</v>
      </c>
    </row>
    <row r="1562" spans="1:10" x14ac:dyDescent="0.35">
      <c r="A1562">
        <v>750</v>
      </c>
      <c r="B1562" t="s">
        <v>271</v>
      </c>
      <c r="C1562">
        <v>182504.73</v>
      </c>
      <c r="D1562">
        <v>0</v>
      </c>
      <c r="E1562">
        <v>182504.73</v>
      </c>
      <c r="F1562">
        <v>22526.81</v>
      </c>
      <c r="G1562">
        <v>182504.73</v>
      </c>
      <c r="H1562">
        <v>159977.92000000001</v>
      </c>
      <c r="I1562">
        <v>0</v>
      </c>
      <c r="J1562" t="s">
        <v>184</v>
      </c>
    </row>
    <row r="1563" spans="1:10" x14ac:dyDescent="0.35">
      <c r="A1563">
        <v>760</v>
      </c>
      <c r="B1563" t="s">
        <v>458</v>
      </c>
      <c r="C1563">
        <v>-267408</v>
      </c>
      <c r="D1563">
        <v>0</v>
      </c>
      <c r="E1563">
        <v>-267408</v>
      </c>
      <c r="F1563">
        <v>0</v>
      </c>
      <c r="G1563">
        <v>-30017.31</v>
      </c>
      <c r="H1563">
        <v>-267408</v>
      </c>
      <c r="I1563">
        <v>-237390.69</v>
      </c>
      <c r="J1563" t="s">
        <v>184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184</v>
      </c>
    </row>
    <row r="1565" spans="1:10" x14ac:dyDescent="0.35">
      <c r="A1565">
        <v>800</v>
      </c>
      <c r="B1565" t="s">
        <v>459</v>
      </c>
      <c r="C1565">
        <v>1383414.62</v>
      </c>
      <c r="D1565">
        <v>0</v>
      </c>
      <c r="E1565">
        <v>1383414.62</v>
      </c>
      <c r="F1565">
        <v>22526.81</v>
      </c>
      <c r="G1565">
        <v>152487.42000000001</v>
      </c>
      <c r="H1565">
        <v>1360887.81</v>
      </c>
      <c r="I1565">
        <v>1230927.2</v>
      </c>
      <c r="J1565" t="s">
        <v>184</v>
      </c>
    </row>
    <row r="1566" spans="1:10" x14ac:dyDescent="0.35">
      <c r="A1566">
        <v>900</v>
      </c>
      <c r="B1566" t="s">
        <v>460</v>
      </c>
      <c r="C1566">
        <v>1778963.21</v>
      </c>
      <c r="D1566">
        <v>0</v>
      </c>
      <c r="E1566">
        <v>1778963.21</v>
      </c>
      <c r="F1566">
        <v>20669.12</v>
      </c>
      <c r="G1566">
        <v>548036.01</v>
      </c>
      <c r="H1566">
        <v>1758294.09</v>
      </c>
      <c r="I1566">
        <v>1230927.2</v>
      </c>
      <c r="J1566" t="s">
        <v>184</v>
      </c>
    </row>
    <row r="1567" spans="1:10" x14ac:dyDescent="0.35">
      <c r="A1567">
        <v>1000</v>
      </c>
      <c r="B1567" t="s">
        <v>411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184</v>
      </c>
    </row>
    <row r="1568" spans="1:10" x14ac:dyDescent="0.35">
      <c r="A1568" t="s">
        <v>465</v>
      </c>
      <c r="B1568" t="s">
        <v>172</v>
      </c>
      <c r="C1568" t="s">
        <v>390</v>
      </c>
      <c r="D1568" t="s">
        <v>391</v>
      </c>
      <c r="E1568" t="s">
        <v>392</v>
      </c>
      <c r="F1568" t="s">
        <v>393</v>
      </c>
      <c r="G1568" t="s">
        <v>394</v>
      </c>
      <c r="H1568" t="s">
        <v>395</v>
      </c>
      <c r="I1568" t="s">
        <v>396</v>
      </c>
      <c r="J1568" t="s">
        <v>183</v>
      </c>
    </row>
    <row r="1569" spans="1:10" x14ac:dyDescent="0.35">
      <c r="A1569">
        <v>10</v>
      </c>
      <c r="B1569" t="s">
        <v>397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184</v>
      </c>
    </row>
    <row r="1570" spans="1:10" x14ac:dyDescent="0.35">
      <c r="A1570">
        <v>20</v>
      </c>
      <c r="B1570" t="s">
        <v>415</v>
      </c>
      <c r="C1570">
        <v>11826.97</v>
      </c>
      <c r="D1570">
        <v>0</v>
      </c>
      <c r="E1570">
        <v>11826.97</v>
      </c>
      <c r="F1570">
        <v>828.58</v>
      </c>
      <c r="G1570">
        <v>-17323.68</v>
      </c>
      <c r="H1570">
        <v>10998.39</v>
      </c>
      <c r="I1570">
        <v>29150.65</v>
      </c>
      <c r="J1570" t="s">
        <v>184</v>
      </c>
    </row>
    <row r="1571" spans="1:10" x14ac:dyDescent="0.35">
      <c r="A1571">
        <v>30</v>
      </c>
      <c r="B1571" t="s">
        <v>416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184</v>
      </c>
    </row>
    <row r="1572" spans="1:10" x14ac:dyDescent="0.35">
      <c r="A1572">
        <v>40</v>
      </c>
      <c r="B1572" t="s">
        <v>417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184</v>
      </c>
    </row>
    <row r="1573" spans="1:10" x14ac:dyDescent="0.35">
      <c r="A1573">
        <v>50</v>
      </c>
      <c r="B1573" t="s">
        <v>418</v>
      </c>
      <c r="C1573">
        <v>942191.76</v>
      </c>
      <c r="D1573">
        <v>0</v>
      </c>
      <c r="E1573">
        <v>942191.76</v>
      </c>
      <c r="F1573">
        <v>864191.76</v>
      </c>
      <c r="G1573">
        <v>902191.76</v>
      </c>
      <c r="H1573">
        <v>78000</v>
      </c>
      <c r="I1573">
        <v>40000</v>
      </c>
      <c r="J1573" t="s">
        <v>184</v>
      </c>
    </row>
    <row r="1574" spans="1:10" x14ac:dyDescent="0.35">
      <c r="A1574">
        <v>60</v>
      </c>
      <c r="B1574" t="s">
        <v>343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184</v>
      </c>
    </row>
    <row r="1575" spans="1:10" x14ac:dyDescent="0.35">
      <c r="A1575">
        <v>70</v>
      </c>
      <c r="B1575" t="s">
        <v>419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 t="s">
        <v>184</v>
      </c>
    </row>
    <row r="1576" spans="1:10" x14ac:dyDescent="0.35">
      <c r="A1576">
        <v>80</v>
      </c>
      <c r="B1576" t="s">
        <v>420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184</v>
      </c>
    </row>
    <row r="1577" spans="1:10" x14ac:dyDescent="0.35">
      <c r="A1577">
        <v>100</v>
      </c>
      <c r="B1577" t="s">
        <v>421</v>
      </c>
      <c r="C1577">
        <v>954018.73</v>
      </c>
      <c r="D1577">
        <v>0</v>
      </c>
      <c r="E1577">
        <v>954018.73</v>
      </c>
      <c r="F1577">
        <v>865020.34</v>
      </c>
      <c r="G1577">
        <v>884868.08</v>
      </c>
      <c r="H1577">
        <v>88998.39</v>
      </c>
      <c r="I1577">
        <v>69150.649999999994</v>
      </c>
      <c r="J1577" t="s">
        <v>184</v>
      </c>
    </row>
    <row r="1578" spans="1:10" x14ac:dyDescent="0.35">
      <c r="A1578">
        <v>110</v>
      </c>
      <c r="B1578" t="s">
        <v>422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184</v>
      </c>
    </row>
    <row r="1579" spans="1:10" x14ac:dyDescent="0.35">
      <c r="A1579">
        <v>120</v>
      </c>
      <c r="B1579" t="s">
        <v>423</v>
      </c>
      <c r="C1579">
        <v>420719.24</v>
      </c>
      <c r="D1579">
        <v>0</v>
      </c>
      <c r="E1579">
        <v>420719.24</v>
      </c>
      <c r="F1579">
        <v>0</v>
      </c>
      <c r="G1579">
        <v>0</v>
      </c>
      <c r="H1579">
        <v>420719.24</v>
      </c>
      <c r="I1579">
        <v>420719.24</v>
      </c>
      <c r="J1579" t="s">
        <v>184</v>
      </c>
    </row>
    <row r="1580" spans="1:10" x14ac:dyDescent="0.35">
      <c r="A1580">
        <v>130</v>
      </c>
      <c r="B1580" t="s">
        <v>424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184</v>
      </c>
    </row>
    <row r="1581" spans="1:10" x14ac:dyDescent="0.35">
      <c r="A1581">
        <v>140</v>
      </c>
      <c r="B1581" t="s">
        <v>425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184</v>
      </c>
    </row>
    <row r="1582" spans="1:10" x14ac:dyDescent="0.35">
      <c r="A1582">
        <v>150</v>
      </c>
      <c r="B1582" t="s">
        <v>426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184</v>
      </c>
    </row>
    <row r="1583" spans="1:10" x14ac:dyDescent="0.35">
      <c r="A1583">
        <v>160</v>
      </c>
      <c r="B1583" t="s">
        <v>427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184</v>
      </c>
    </row>
    <row r="1584" spans="1:10" x14ac:dyDescent="0.35">
      <c r="A1584">
        <v>170</v>
      </c>
      <c r="B1584" t="s">
        <v>428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184</v>
      </c>
    </row>
    <row r="1585" spans="1:10" x14ac:dyDescent="0.35">
      <c r="A1585">
        <v>180</v>
      </c>
      <c r="B1585" t="s">
        <v>429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184</v>
      </c>
    </row>
    <row r="1586" spans="1:10" x14ac:dyDescent="0.35">
      <c r="A1586">
        <v>190</v>
      </c>
      <c r="B1586" t="s">
        <v>430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184</v>
      </c>
    </row>
    <row r="1587" spans="1:10" x14ac:dyDescent="0.35">
      <c r="A1587">
        <v>200</v>
      </c>
      <c r="B1587" t="s">
        <v>431</v>
      </c>
      <c r="C1587">
        <v>420719.24</v>
      </c>
      <c r="D1587">
        <v>0</v>
      </c>
      <c r="E1587">
        <v>420719.24</v>
      </c>
      <c r="F1587">
        <v>0</v>
      </c>
      <c r="G1587">
        <v>0</v>
      </c>
      <c r="H1587">
        <v>420719.24</v>
      </c>
      <c r="I1587">
        <v>420719.24</v>
      </c>
      <c r="J1587" t="s">
        <v>184</v>
      </c>
    </row>
    <row r="1588" spans="1:10" x14ac:dyDescent="0.35">
      <c r="A1588">
        <v>210</v>
      </c>
      <c r="B1588" t="s">
        <v>432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184</v>
      </c>
    </row>
    <row r="1589" spans="1:10" x14ac:dyDescent="0.35">
      <c r="A1589">
        <v>220</v>
      </c>
      <c r="B1589" t="s">
        <v>433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184</v>
      </c>
    </row>
    <row r="1590" spans="1:10" x14ac:dyDescent="0.35">
      <c r="A1590">
        <v>230</v>
      </c>
      <c r="B1590" t="s">
        <v>434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184</v>
      </c>
    </row>
    <row r="1591" spans="1:10" x14ac:dyDescent="0.35">
      <c r="A1591">
        <v>240</v>
      </c>
      <c r="B1591" t="s">
        <v>435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184</v>
      </c>
    </row>
    <row r="1592" spans="1:10" x14ac:dyDescent="0.35">
      <c r="A1592">
        <v>250</v>
      </c>
      <c r="B1592" t="s">
        <v>436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184</v>
      </c>
    </row>
    <row r="1593" spans="1:10" x14ac:dyDescent="0.35">
      <c r="A1593">
        <v>260</v>
      </c>
      <c r="B1593" t="s">
        <v>437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184</v>
      </c>
    </row>
    <row r="1594" spans="1:10" x14ac:dyDescent="0.35">
      <c r="A1594">
        <v>270</v>
      </c>
      <c r="B1594" t="s">
        <v>438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184</v>
      </c>
    </row>
    <row r="1595" spans="1:10" x14ac:dyDescent="0.35">
      <c r="A1595">
        <v>280</v>
      </c>
      <c r="B1595" t="s">
        <v>439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184</v>
      </c>
    </row>
    <row r="1596" spans="1:10" x14ac:dyDescent="0.35">
      <c r="A1596">
        <v>400</v>
      </c>
      <c r="B1596" t="s">
        <v>440</v>
      </c>
      <c r="C1596">
        <v>1374737.97</v>
      </c>
      <c r="D1596">
        <v>0</v>
      </c>
      <c r="E1596">
        <v>1374737.97</v>
      </c>
      <c r="F1596">
        <v>865020.34</v>
      </c>
      <c r="G1596">
        <v>884868.08</v>
      </c>
      <c r="H1596">
        <v>509717.63</v>
      </c>
      <c r="I1596">
        <v>489869.89</v>
      </c>
      <c r="J1596" t="s">
        <v>184</v>
      </c>
    </row>
    <row r="1597" spans="1:10" x14ac:dyDescent="0.35">
      <c r="A1597">
        <v>410</v>
      </c>
      <c r="B1597" t="s">
        <v>441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184</v>
      </c>
    </row>
    <row r="1598" spans="1:10" x14ac:dyDescent="0.35">
      <c r="A1598">
        <v>420</v>
      </c>
      <c r="B1598" t="s">
        <v>442</v>
      </c>
      <c r="C1598">
        <v>7600</v>
      </c>
      <c r="D1598">
        <v>0</v>
      </c>
      <c r="E1598">
        <v>7600</v>
      </c>
      <c r="F1598">
        <v>7600</v>
      </c>
      <c r="G1598">
        <v>7600</v>
      </c>
      <c r="H1598">
        <v>0</v>
      </c>
      <c r="I1598">
        <v>0</v>
      </c>
      <c r="J1598" t="s">
        <v>184</v>
      </c>
    </row>
    <row r="1599" spans="1:10" x14ac:dyDescent="0.35">
      <c r="A1599">
        <v>430</v>
      </c>
      <c r="B1599" t="s">
        <v>443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184</v>
      </c>
    </row>
    <row r="1600" spans="1:10" x14ac:dyDescent="0.35">
      <c r="A1600">
        <v>440</v>
      </c>
      <c r="B1600" t="s">
        <v>444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184</v>
      </c>
    </row>
    <row r="1601" spans="1:10" x14ac:dyDescent="0.35">
      <c r="A1601">
        <v>450</v>
      </c>
      <c r="B1601" t="s">
        <v>445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184</v>
      </c>
    </row>
    <row r="1602" spans="1:10" x14ac:dyDescent="0.35">
      <c r="A1602">
        <v>460</v>
      </c>
      <c r="B1602" t="s">
        <v>446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184</v>
      </c>
    </row>
    <row r="1603" spans="1:10" x14ac:dyDescent="0.35">
      <c r="A1603">
        <v>500</v>
      </c>
      <c r="B1603" t="s">
        <v>447</v>
      </c>
      <c r="C1603">
        <v>7600</v>
      </c>
      <c r="D1603">
        <v>0</v>
      </c>
      <c r="E1603">
        <v>7600</v>
      </c>
      <c r="F1603">
        <v>7600</v>
      </c>
      <c r="G1603">
        <v>7600</v>
      </c>
      <c r="H1603">
        <v>0</v>
      </c>
      <c r="I1603">
        <v>0</v>
      </c>
      <c r="J1603" t="s">
        <v>184</v>
      </c>
    </row>
    <row r="1604" spans="1:10" x14ac:dyDescent="0.35">
      <c r="A1604">
        <v>510</v>
      </c>
      <c r="B1604" t="s">
        <v>448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184</v>
      </c>
    </row>
    <row r="1605" spans="1:10" x14ac:dyDescent="0.35">
      <c r="A1605">
        <v>520</v>
      </c>
      <c r="B1605" t="s">
        <v>449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184</v>
      </c>
    </row>
    <row r="1606" spans="1:10" x14ac:dyDescent="0.35">
      <c r="A1606">
        <v>530</v>
      </c>
      <c r="B1606" t="s">
        <v>450</v>
      </c>
      <c r="C1606">
        <v>861056.75</v>
      </c>
      <c r="D1606">
        <v>0</v>
      </c>
      <c r="E1606">
        <v>861056.75</v>
      </c>
      <c r="F1606">
        <v>861056.75</v>
      </c>
      <c r="G1606">
        <v>861056.75</v>
      </c>
      <c r="H1606">
        <v>0</v>
      </c>
      <c r="I1606">
        <v>0</v>
      </c>
      <c r="J1606" t="s">
        <v>184</v>
      </c>
    </row>
    <row r="1607" spans="1:10" x14ac:dyDescent="0.35">
      <c r="A1607">
        <v>540</v>
      </c>
      <c r="B1607" t="s">
        <v>451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184</v>
      </c>
    </row>
    <row r="1608" spans="1:10" x14ac:dyDescent="0.35">
      <c r="A1608">
        <v>600</v>
      </c>
      <c r="B1608" t="s">
        <v>452</v>
      </c>
      <c r="C1608">
        <v>861056.75</v>
      </c>
      <c r="D1608">
        <v>0</v>
      </c>
      <c r="E1608">
        <v>861056.75</v>
      </c>
      <c r="F1608">
        <v>861056.75</v>
      </c>
      <c r="G1608">
        <v>861056.75</v>
      </c>
      <c r="H1608">
        <v>0</v>
      </c>
      <c r="I1608">
        <v>0</v>
      </c>
      <c r="J1608" t="s">
        <v>184</v>
      </c>
    </row>
    <row r="1609" spans="1:10" x14ac:dyDescent="0.35">
      <c r="A1609">
        <v>610</v>
      </c>
      <c r="B1609" t="s">
        <v>453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184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184</v>
      </c>
    </row>
    <row r="1611" spans="1:10" x14ac:dyDescent="0.35">
      <c r="A1611">
        <v>700</v>
      </c>
      <c r="B1611" t="s">
        <v>454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184</v>
      </c>
    </row>
    <row r="1612" spans="1:10" x14ac:dyDescent="0.35">
      <c r="A1612">
        <v>710</v>
      </c>
      <c r="B1612" t="s">
        <v>410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184</v>
      </c>
    </row>
    <row r="1613" spans="1:10" x14ac:dyDescent="0.35">
      <c r="A1613">
        <v>720</v>
      </c>
      <c r="B1613" t="s">
        <v>455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184</v>
      </c>
    </row>
    <row r="1614" spans="1:10" x14ac:dyDescent="0.35">
      <c r="A1614">
        <v>730</v>
      </c>
      <c r="B1614" t="s">
        <v>456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184</v>
      </c>
    </row>
    <row r="1615" spans="1:10" x14ac:dyDescent="0.35">
      <c r="A1615">
        <v>740</v>
      </c>
      <c r="B1615" t="s">
        <v>457</v>
      </c>
      <c r="C1615">
        <v>63869.89</v>
      </c>
      <c r="D1615">
        <v>0</v>
      </c>
      <c r="E1615">
        <v>63869.89</v>
      </c>
      <c r="F1615">
        <v>0</v>
      </c>
      <c r="G1615">
        <v>0</v>
      </c>
      <c r="H1615">
        <v>63869.89</v>
      </c>
      <c r="I1615">
        <v>63869.89</v>
      </c>
      <c r="J1615" t="s">
        <v>184</v>
      </c>
    </row>
    <row r="1616" spans="1:10" x14ac:dyDescent="0.35">
      <c r="A1616">
        <v>750</v>
      </c>
      <c r="B1616" t="s">
        <v>271</v>
      </c>
      <c r="C1616">
        <v>16211.33</v>
      </c>
      <c r="D1616">
        <v>0</v>
      </c>
      <c r="E1616">
        <v>16211.33</v>
      </c>
      <c r="F1616">
        <v>-3636.41</v>
      </c>
      <c r="G1616">
        <v>16211.33</v>
      </c>
      <c r="H1616">
        <v>19847.740000000002</v>
      </c>
      <c r="I1616">
        <v>0</v>
      </c>
      <c r="J1616" t="s">
        <v>184</v>
      </c>
    </row>
    <row r="1617" spans="1:10" x14ac:dyDescent="0.35">
      <c r="A1617">
        <v>760</v>
      </c>
      <c r="B1617" t="s">
        <v>458</v>
      </c>
      <c r="C1617">
        <v>426000</v>
      </c>
      <c r="D1617">
        <v>0</v>
      </c>
      <c r="E1617">
        <v>426000</v>
      </c>
      <c r="F1617">
        <v>0</v>
      </c>
      <c r="G1617">
        <v>0</v>
      </c>
      <c r="H1617">
        <v>426000</v>
      </c>
      <c r="I1617">
        <v>426000</v>
      </c>
      <c r="J1617" t="s">
        <v>184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184</v>
      </c>
    </row>
    <row r="1619" spans="1:10" x14ac:dyDescent="0.35">
      <c r="A1619">
        <v>800</v>
      </c>
      <c r="B1619" t="s">
        <v>459</v>
      </c>
      <c r="C1619">
        <v>506081.22</v>
      </c>
      <c r="D1619">
        <v>0</v>
      </c>
      <c r="E1619">
        <v>506081.22</v>
      </c>
      <c r="F1619">
        <v>-3636.41</v>
      </c>
      <c r="G1619">
        <v>16211.33</v>
      </c>
      <c r="H1619">
        <v>509717.63</v>
      </c>
      <c r="I1619">
        <v>489869.89</v>
      </c>
      <c r="J1619" t="s">
        <v>184</v>
      </c>
    </row>
    <row r="1620" spans="1:10" x14ac:dyDescent="0.35">
      <c r="A1620">
        <v>900</v>
      </c>
      <c r="B1620" t="s">
        <v>460</v>
      </c>
      <c r="C1620">
        <v>1374737.97</v>
      </c>
      <c r="D1620">
        <v>0</v>
      </c>
      <c r="E1620">
        <v>1374737.97</v>
      </c>
      <c r="F1620">
        <v>865020.34</v>
      </c>
      <c r="G1620">
        <v>884868.08</v>
      </c>
      <c r="H1620">
        <v>509717.63</v>
      </c>
      <c r="I1620">
        <v>489869.89</v>
      </c>
      <c r="J1620" t="s">
        <v>184</v>
      </c>
    </row>
    <row r="1621" spans="1:10" x14ac:dyDescent="0.35">
      <c r="A1621">
        <v>1000</v>
      </c>
      <c r="B1621" t="s">
        <v>411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184</v>
      </c>
    </row>
    <row r="1622" spans="1:10" x14ac:dyDescent="0.35">
      <c r="A1622" s="293" t="s">
        <v>638</v>
      </c>
      <c r="B1622" s="293" t="s">
        <v>172</v>
      </c>
      <c r="C1622" s="293" t="s">
        <v>390</v>
      </c>
      <c r="D1622" s="293" t="s">
        <v>391</v>
      </c>
      <c r="E1622" s="293" t="s">
        <v>392</v>
      </c>
      <c r="F1622" s="293" t="s">
        <v>393</v>
      </c>
      <c r="G1622" s="293" t="s">
        <v>394</v>
      </c>
      <c r="H1622" s="293" t="s">
        <v>395</v>
      </c>
      <c r="I1622" s="293" t="s">
        <v>396</v>
      </c>
      <c r="J1622" s="293" t="s">
        <v>183</v>
      </c>
    </row>
    <row r="1623" spans="1:10" x14ac:dyDescent="0.35">
      <c r="A1623" s="293">
        <v>10</v>
      </c>
      <c r="B1623" s="293" t="s">
        <v>397</v>
      </c>
      <c r="C1623" s="293">
        <v>0</v>
      </c>
      <c r="D1623" s="293">
        <v>0</v>
      </c>
      <c r="E1623" s="293">
        <v>0</v>
      </c>
      <c r="F1623" s="293">
        <v>0</v>
      </c>
      <c r="G1623" s="293">
        <v>0</v>
      </c>
      <c r="H1623" s="293">
        <v>0</v>
      </c>
      <c r="I1623" s="293">
        <v>0</v>
      </c>
      <c r="J1623" s="293" t="s">
        <v>184</v>
      </c>
    </row>
    <row r="1624" spans="1:10" x14ac:dyDescent="0.35">
      <c r="A1624" s="293">
        <v>20</v>
      </c>
      <c r="B1624" s="293" t="s">
        <v>415</v>
      </c>
      <c r="C1624" s="293">
        <v>716.47</v>
      </c>
      <c r="D1624" s="293">
        <v>172168</v>
      </c>
      <c r="E1624" s="293">
        <v>-171451.53</v>
      </c>
      <c r="F1624" s="293">
        <v>11777.72</v>
      </c>
      <c r="G1624" s="293">
        <v>-184645.04</v>
      </c>
      <c r="H1624" s="293">
        <v>-11061.25</v>
      </c>
      <c r="I1624" s="293">
        <v>185361.51</v>
      </c>
      <c r="J1624" s="293" t="s">
        <v>184</v>
      </c>
    </row>
    <row r="1625" spans="1:10" x14ac:dyDescent="0.35">
      <c r="A1625" s="293">
        <v>30</v>
      </c>
      <c r="B1625" s="293" t="s">
        <v>416</v>
      </c>
      <c r="C1625" s="293">
        <v>0</v>
      </c>
      <c r="D1625" s="293">
        <v>257880</v>
      </c>
      <c r="E1625" s="293">
        <v>-257880</v>
      </c>
      <c r="F1625" s="293">
        <v>0</v>
      </c>
      <c r="G1625" s="293">
        <v>0</v>
      </c>
      <c r="H1625" s="293">
        <v>0</v>
      </c>
      <c r="I1625" s="293">
        <v>0</v>
      </c>
      <c r="J1625" s="293" t="s">
        <v>184</v>
      </c>
    </row>
    <row r="1626" spans="1:10" x14ac:dyDescent="0.35">
      <c r="A1626" s="293">
        <v>40</v>
      </c>
      <c r="B1626" s="293" t="s">
        <v>417</v>
      </c>
      <c r="C1626" s="293">
        <v>2685.42</v>
      </c>
      <c r="D1626" s="293">
        <v>252514</v>
      </c>
      <c r="E1626" s="293">
        <v>-249828.58</v>
      </c>
      <c r="F1626" s="293">
        <v>0</v>
      </c>
      <c r="G1626" s="293">
        <v>-159434.92000000001</v>
      </c>
      <c r="H1626" s="293">
        <v>2685.42</v>
      </c>
      <c r="I1626" s="293">
        <v>162120.34</v>
      </c>
      <c r="J1626" s="293" t="s">
        <v>184</v>
      </c>
    </row>
    <row r="1627" spans="1:10" x14ac:dyDescent="0.35">
      <c r="A1627" s="293">
        <v>50</v>
      </c>
      <c r="B1627" s="293" t="s">
        <v>418</v>
      </c>
      <c r="C1627" s="293">
        <v>0</v>
      </c>
      <c r="D1627" s="293">
        <v>0</v>
      </c>
      <c r="E1627" s="293">
        <v>0</v>
      </c>
      <c r="F1627" s="293">
        <v>0</v>
      </c>
      <c r="G1627" s="293">
        <v>0</v>
      </c>
      <c r="H1627" s="293">
        <v>0</v>
      </c>
      <c r="I1627" s="293">
        <v>0</v>
      </c>
      <c r="J1627" s="293" t="s">
        <v>184</v>
      </c>
    </row>
    <row r="1628" spans="1:10" x14ac:dyDescent="0.35">
      <c r="A1628" s="293">
        <v>60</v>
      </c>
      <c r="B1628" s="293" t="s">
        <v>343</v>
      </c>
      <c r="C1628" s="293">
        <v>0</v>
      </c>
      <c r="D1628" s="293">
        <v>143175</v>
      </c>
      <c r="E1628" s="293">
        <v>-143175</v>
      </c>
      <c r="F1628" s="293">
        <v>0</v>
      </c>
      <c r="G1628" s="293">
        <v>-189787.44</v>
      </c>
      <c r="H1628" s="293">
        <v>0</v>
      </c>
      <c r="I1628" s="293">
        <v>189787.44</v>
      </c>
      <c r="J1628" s="293" t="s">
        <v>184</v>
      </c>
    </row>
    <row r="1629" spans="1:10" x14ac:dyDescent="0.35">
      <c r="A1629" s="293">
        <v>70</v>
      </c>
      <c r="B1629" s="293" t="s">
        <v>419</v>
      </c>
      <c r="C1629" s="293">
        <v>860001.41</v>
      </c>
      <c r="D1629" s="293">
        <v>0</v>
      </c>
      <c r="E1629" s="293">
        <v>860001.41</v>
      </c>
      <c r="F1629" s="293">
        <v>0</v>
      </c>
      <c r="G1629" s="293">
        <v>783887.4</v>
      </c>
      <c r="H1629" s="293">
        <v>860001.41</v>
      </c>
      <c r="I1629" s="293">
        <v>76114.009999999995</v>
      </c>
      <c r="J1629" s="293" t="s">
        <v>184</v>
      </c>
    </row>
    <row r="1630" spans="1:10" x14ac:dyDescent="0.35">
      <c r="A1630" s="293">
        <v>80</v>
      </c>
      <c r="B1630" s="293" t="s">
        <v>420</v>
      </c>
      <c r="C1630" s="293">
        <v>0</v>
      </c>
      <c r="D1630" s="293">
        <v>800583</v>
      </c>
      <c r="E1630" s="293">
        <v>-800583</v>
      </c>
      <c r="F1630" s="293">
        <v>0</v>
      </c>
      <c r="G1630" s="293">
        <v>-2787.49</v>
      </c>
      <c r="H1630" s="293">
        <v>0</v>
      </c>
      <c r="I1630" s="293">
        <v>2787.49</v>
      </c>
      <c r="J1630" s="293" t="s">
        <v>184</v>
      </c>
    </row>
    <row r="1631" spans="1:10" x14ac:dyDescent="0.35">
      <c r="A1631" s="293">
        <v>100</v>
      </c>
      <c r="B1631" s="293" t="s">
        <v>421</v>
      </c>
      <c r="C1631" s="293">
        <v>863403.3</v>
      </c>
      <c r="D1631" s="293">
        <v>1626320</v>
      </c>
      <c r="E1631" s="293">
        <v>-762916.7</v>
      </c>
      <c r="F1631" s="293">
        <v>11777.72</v>
      </c>
      <c r="G1631" s="293">
        <v>247232.51</v>
      </c>
      <c r="H1631" s="293">
        <v>851625.58</v>
      </c>
      <c r="I1631" s="293">
        <v>616170.79</v>
      </c>
      <c r="J1631" s="293" t="s">
        <v>184</v>
      </c>
    </row>
    <row r="1632" spans="1:10" x14ac:dyDescent="0.35">
      <c r="A1632" s="293">
        <v>110</v>
      </c>
      <c r="B1632" s="293" t="s">
        <v>422</v>
      </c>
      <c r="C1632" s="293">
        <v>0</v>
      </c>
      <c r="D1632" s="293">
        <v>0</v>
      </c>
      <c r="E1632" s="293">
        <v>0</v>
      </c>
      <c r="F1632" s="293">
        <v>0</v>
      </c>
      <c r="G1632" s="293">
        <v>0</v>
      </c>
      <c r="H1632" s="293">
        <v>0</v>
      </c>
      <c r="I1632" s="293">
        <v>0</v>
      </c>
      <c r="J1632" s="293" t="s">
        <v>184</v>
      </c>
    </row>
    <row r="1633" spans="1:10" x14ac:dyDescent="0.35">
      <c r="A1633" s="293">
        <v>120</v>
      </c>
      <c r="B1633" s="293" t="s">
        <v>423</v>
      </c>
      <c r="C1633" s="293">
        <v>352500.34</v>
      </c>
      <c r="D1633" s="293">
        <v>352500</v>
      </c>
      <c r="E1633" s="293">
        <v>0.34</v>
      </c>
      <c r="F1633" s="293">
        <v>0</v>
      </c>
      <c r="G1633" s="293">
        <v>0</v>
      </c>
      <c r="H1633" s="293">
        <v>352500.34</v>
      </c>
      <c r="I1633" s="293">
        <v>352500.34</v>
      </c>
      <c r="J1633" s="293" t="s">
        <v>184</v>
      </c>
    </row>
    <row r="1634" spans="1:10" x14ac:dyDescent="0.35">
      <c r="A1634" s="293">
        <v>130</v>
      </c>
      <c r="B1634" s="293" t="s">
        <v>424</v>
      </c>
      <c r="C1634" s="293">
        <v>4537138.8099999996</v>
      </c>
      <c r="D1634" s="293">
        <v>4778520</v>
      </c>
      <c r="E1634" s="293">
        <v>-241381.19</v>
      </c>
      <c r="F1634" s="293">
        <v>0</v>
      </c>
      <c r="G1634" s="293">
        <v>0</v>
      </c>
      <c r="H1634" s="293">
        <v>4537138.8099999996</v>
      </c>
      <c r="I1634" s="293">
        <v>4537138.8099999996</v>
      </c>
      <c r="J1634" s="293" t="s">
        <v>184</v>
      </c>
    </row>
    <row r="1635" spans="1:10" x14ac:dyDescent="0.35">
      <c r="A1635" s="293">
        <v>140</v>
      </c>
      <c r="B1635" s="293" t="s">
        <v>425</v>
      </c>
      <c r="C1635" s="293">
        <v>232601.06</v>
      </c>
      <c r="D1635" s="293">
        <v>3259440</v>
      </c>
      <c r="E1635" s="293">
        <v>-3026838.94</v>
      </c>
      <c r="F1635" s="293">
        <v>0</v>
      </c>
      <c r="G1635" s="293">
        <v>0</v>
      </c>
      <c r="H1635" s="293">
        <v>232601.06</v>
      </c>
      <c r="I1635" s="293">
        <v>232601.06</v>
      </c>
      <c r="J1635" s="293" t="s">
        <v>184</v>
      </c>
    </row>
    <row r="1636" spans="1:10" x14ac:dyDescent="0.35">
      <c r="A1636" s="293">
        <v>150</v>
      </c>
      <c r="B1636" s="293" t="s">
        <v>426</v>
      </c>
      <c r="C1636" s="293">
        <v>0</v>
      </c>
      <c r="D1636" s="293">
        <v>5510</v>
      </c>
      <c r="E1636" s="293">
        <v>-5510</v>
      </c>
      <c r="F1636" s="293">
        <v>0</v>
      </c>
      <c r="G1636" s="293">
        <v>0</v>
      </c>
      <c r="H1636" s="293">
        <v>0</v>
      </c>
      <c r="I1636" s="293">
        <v>0</v>
      </c>
      <c r="J1636" s="293" t="s">
        <v>184</v>
      </c>
    </row>
    <row r="1637" spans="1:10" x14ac:dyDescent="0.35">
      <c r="A1637" s="293">
        <v>160</v>
      </c>
      <c r="B1637" s="293" t="s">
        <v>427</v>
      </c>
      <c r="C1637" s="293">
        <v>0</v>
      </c>
      <c r="D1637" s="293">
        <v>0</v>
      </c>
      <c r="E1637" s="293">
        <v>0</v>
      </c>
      <c r="F1637" s="293">
        <v>0</v>
      </c>
      <c r="G1637" s="293">
        <v>0</v>
      </c>
      <c r="H1637" s="293">
        <v>0</v>
      </c>
      <c r="I1637" s="293">
        <v>0</v>
      </c>
      <c r="J1637" s="293" t="s">
        <v>184</v>
      </c>
    </row>
    <row r="1638" spans="1:10" x14ac:dyDescent="0.35">
      <c r="A1638" s="293">
        <v>170</v>
      </c>
      <c r="B1638" s="293" t="s">
        <v>428</v>
      </c>
      <c r="C1638" s="293">
        <v>3014040.31</v>
      </c>
      <c r="D1638" s="293">
        <v>0</v>
      </c>
      <c r="E1638" s="293">
        <v>3014040.31</v>
      </c>
      <c r="F1638" s="293">
        <v>0</v>
      </c>
      <c r="G1638" s="293">
        <v>2194.61</v>
      </c>
      <c r="H1638" s="293">
        <v>3014040.31</v>
      </c>
      <c r="I1638" s="293">
        <v>3011845.7</v>
      </c>
      <c r="J1638" s="293" t="s">
        <v>184</v>
      </c>
    </row>
    <row r="1639" spans="1:10" x14ac:dyDescent="0.35">
      <c r="A1639" s="293">
        <v>180</v>
      </c>
      <c r="B1639" s="293" t="s">
        <v>429</v>
      </c>
      <c r="C1639" s="293">
        <v>2250</v>
      </c>
      <c r="D1639" s="293">
        <v>59250</v>
      </c>
      <c r="E1639" s="293">
        <v>-57000</v>
      </c>
      <c r="F1639" s="293">
        <v>0</v>
      </c>
      <c r="G1639" s="293">
        <v>0</v>
      </c>
      <c r="H1639" s="293">
        <v>2250</v>
      </c>
      <c r="I1639" s="293">
        <v>2250</v>
      </c>
      <c r="J1639" s="293" t="s">
        <v>184</v>
      </c>
    </row>
    <row r="1640" spans="1:10" x14ac:dyDescent="0.35">
      <c r="A1640" s="293">
        <v>190</v>
      </c>
      <c r="B1640" s="293" t="s">
        <v>430</v>
      </c>
      <c r="C1640" s="293">
        <v>-4673005.91</v>
      </c>
      <c r="D1640" s="293">
        <v>-5281954</v>
      </c>
      <c r="E1640" s="293">
        <v>608948.09</v>
      </c>
      <c r="F1640" s="293">
        <v>0</v>
      </c>
      <c r="G1640" s="293">
        <v>-57228.56</v>
      </c>
      <c r="H1640" s="293">
        <v>-4673005.91</v>
      </c>
      <c r="I1640" s="293">
        <v>-4615777.3499999996</v>
      </c>
      <c r="J1640" s="293" t="s">
        <v>184</v>
      </c>
    </row>
    <row r="1641" spans="1:10" x14ac:dyDescent="0.35">
      <c r="A1641" s="293">
        <v>200</v>
      </c>
      <c r="B1641" s="293" t="s">
        <v>431</v>
      </c>
      <c r="C1641" s="293">
        <v>3465524.61</v>
      </c>
      <c r="D1641" s="293">
        <v>3173266</v>
      </c>
      <c r="E1641" s="293">
        <v>292258.61</v>
      </c>
      <c r="F1641" s="293">
        <v>0</v>
      </c>
      <c r="G1641" s="293">
        <v>-55033.95</v>
      </c>
      <c r="H1641" s="293">
        <v>3465524.61</v>
      </c>
      <c r="I1641" s="293">
        <v>3520558.56</v>
      </c>
      <c r="J1641" s="293" t="s">
        <v>184</v>
      </c>
    </row>
    <row r="1642" spans="1:10" x14ac:dyDescent="0.35">
      <c r="A1642" s="293">
        <v>210</v>
      </c>
      <c r="B1642" s="293" t="s">
        <v>432</v>
      </c>
      <c r="C1642" s="293">
        <v>0</v>
      </c>
      <c r="D1642" s="293">
        <v>0</v>
      </c>
      <c r="E1642" s="293">
        <v>0</v>
      </c>
      <c r="F1642" s="293">
        <v>0</v>
      </c>
      <c r="G1642" s="293">
        <v>0</v>
      </c>
      <c r="H1642" s="293">
        <v>0</v>
      </c>
      <c r="I1642" s="293">
        <v>0</v>
      </c>
      <c r="J1642" s="293" t="s">
        <v>184</v>
      </c>
    </row>
    <row r="1643" spans="1:10" x14ac:dyDescent="0.35">
      <c r="A1643" s="293">
        <v>220</v>
      </c>
      <c r="B1643" s="293" t="s">
        <v>433</v>
      </c>
      <c r="C1643" s="293">
        <v>471623.54</v>
      </c>
      <c r="D1643" s="293">
        <v>471620</v>
      </c>
      <c r="E1643" s="293">
        <v>3.54</v>
      </c>
      <c r="F1643" s="293">
        <v>0</v>
      </c>
      <c r="G1643" s="293">
        <v>0</v>
      </c>
      <c r="H1643" s="293">
        <v>471623.54</v>
      </c>
      <c r="I1643" s="293">
        <v>471623.54</v>
      </c>
      <c r="J1643" s="293" t="s">
        <v>184</v>
      </c>
    </row>
    <row r="1644" spans="1:10" x14ac:dyDescent="0.35">
      <c r="A1644" s="293">
        <v>230</v>
      </c>
      <c r="B1644" s="293" t="s">
        <v>434</v>
      </c>
      <c r="C1644" s="293">
        <v>-2597482.5299999998</v>
      </c>
      <c r="D1644" s="293">
        <v>4163040</v>
      </c>
      <c r="E1644" s="293">
        <v>-6760522.5300000003</v>
      </c>
      <c r="F1644" s="293">
        <v>0</v>
      </c>
      <c r="G1644" s="293">
        <v>-6632169.5800000001</v>
      </c>
      <c r="H1644" s="293">
        <v>-2597482.5299999998</v>
      </c>
      <c r="I1644" s="293">
        <v>4034687.05</v>
      </c>
      <c r="J1644" s="293" t="s">
        <v>184</v>
      </c>
    </row>
    <row r="1645" spans="1:10" x14ac:dyDescent="0.35">
      <c r="A1645" s="293">
        <v>240</v>
      </c>
      <c r="B1645" s="293" t="s">
        <v>435</v>
      </c>
      <c r="C1645" s="293">
        <v>-1706233.19</v>
      </c>
      <c r="D1645" s="293">
        <v>-1687630</v>
      </c>
      <c r="E1645" s="293">
        <v>-18603.189999999999</v>
      </c>
      <c r="F1645" s="293">
        <v>0</v>
      </c>
      <c r="G1645" s="293">
        <v>-4300.6400000000003</v>
      </c>
      <c r="H1645" s="293">
        <v>-1706233.19</v>
      </c>
      <c r="I1645" s="293">
        <v>-1701932.55</v>
      </c>
      <c r="J1645" s="293" t="s">
        <v>184</v>
      </c>
    </row>
    <row r="1646" spans="1:10" x14ac:dyDescent="0.35">
      <c r="A1646" s="293">
        <v>250</v>
      </c>
      <c r="B1646" s="293" t="s">
        <v>436</v>
      </c>
      <c r="C1646" s="293">
        <v>-3832092.18</v>
      </c>
      <c r="D1646" s="293">
        <v>2947030</v>
      </c>
      <c r="E1646" s="293">
        <v>-6779122.1799999997</v>
      </c>
      <c r="F1646" s="293">
        <v>0</v>
      </c>
      <c r="G1646" s="293">
        <v>-6636470.2199999997</v>
      </c>
      <c r="H1646" s="293">
        <v>-3832092.18</v>
      </c>
      <c r="I1646" s="293">
        <v>2804378.04</v>
      </c>
      <c r="J1646" s="293" t="s">
        <v>184</v>
      </c>
    </row>
    <row r="1647" spans="1:10" x14ac:dyDescent="0.35">
      <c r="A1647" s="293">
        <v>260</v>
      </c>
      <c r="B1647" s="293" t="s">
        <v>437</v>
      </c>
      <c r="C1647" s="293">
        <v>0</v>
      </c>
      <c r="D1647" s="293">
        <v>0</v>
      </c>
      <c r="E1647" s="293">
        <v>0</v>
      </c>
      <c r="F1647" s="293">
        <v>0</v>
      </c>
      <c r="G1647" s="293">
        <v>0</v>
      </c>
      <c r="H1647" s="293">
        <v>0</v>
      </c>
      <c r="I1647" s="293">
        <v>0</v>
      </c>
      <c r="J1647" s="293" t="s">
        <v>184</v>
      </c>
    </row>
    <row r="1648" spans="1:10" x14ac:dyDescent="0.35">
      <c r="A1648" s="293">
        <v>270</v>
      </c>
      <c r="B1648" s="293" t="s">
        <v>438</v>
      </c>
      <c r="C1648" s="293">
        <v>64811.8</v>
      </c>
      <c r="D1648" s="293">
        <v>0</v>
      </c>
      <c r="E1648" s="293">
        <v>64811.8</v>
      </c>
      <c r="F1648" s="293">
        <v>0</v>
      </c>
      <c r="G1648" s="293">
        <v>-21930.1</v>
      </c>
      <c r="H1648" s="293">
        <v>64811.8</v>
      </c>
      <c r="I1648" s="293">
        <v>86741.9</v>
      </c>
      <c r="J1648" s="293" t="s">
        <v>184</v>
      </c>
    </row>
    <row r="1649" spans="1:10" x14ac:dyDescent="0.35">
      <c r="A1649" s="293">
        <v>280</v>
      </c>
      <c r="B1649" s="293" t="s">
        <v>439</v>
      </c>
      <c r="C1649" s="293">
        <v>64811.8</v>
      </c>
      <c r="D1649" s="293">
        <v>0</v>
      </c>
      <c r="E1649" s="293">
        <v>64811.8</v>
      </c>
      <c r="F1649" s="293">
        <v>0</v>
      </c>
      <c r="G1649" s="293">
        <v>-21930.1</v>
      </c>
      <c r="H1649" s="293">
        <v>64811.8</v>
      </c>
      <c r="I1649" s="293">
        <v>86741.9</v>
      </c>
      <c r="J1649" s="293" t="s">
        <v>184</v>
      </c>
    </row>
    <row r="1650" spans="1:10" x14ac:dyDescent="0.35">
      <c r="A1650" s="293">
        <v>400</v>
      </c>
      <c r="B1650" s="293" t="s">
        <v>440</v>
      </c>
      <c r="C1650" s="293">
        <v>561647.53</v>
      </c>
      <c r="D1650" s="293">
        <v>7746616</v>
      </c>
      <c r="E1650" s="293">
        <v>-7184968.4699999997</v>
      </c>
      <c r="F1650" s="293">
        <v>11777.72</v>
      </c>
      <c r="G1650" s="293">
        <v>-6466201.7599999998</v>
      </c>
      <c r="H1650" s="293">
        <v>549869.81000000006</v>
      </c>
      <c r="I1650" s="293">
        <v>7027849.29</v>
      </c>
      <c r="J1650" s="293" t="s">
        <v>184</v>
      </c>
    </row>
    <row r="1651" spans="1:10" x14ac:dyDescent="0.35">
      <c r="A1651" s="293">
        <v>410</v>
      </c>
      <c r="B1651" s="293" t="s">
        <v>441</v>
      </c>
      <c r="C1651" s="293">
        <v>0</v>
      </c>
      <c r="D1651" s="293">
        <v>0</v>
      </c>
      <c r="E1651" s="293">
        <v>0</v>
      </c>
      <c r="F1651" s="293">
        <v>0</v>
      </c>
      <c r="G1651" s="293">
        <v>0</v>
      </c>
      <c r="H1651" s="293">
        <v>0</v>
      </c>
      <c r="I1651" s="293">
        <v>0</v>
      </c>
      <c r="J1651" s="293" t="s">
        <v>184</v>
      </c>
    </row>
    <row r="1652" spans="1:10" x14ac:dyDescent="0.35">
      <c r="A1652" s="293">
        <v>420</v>
      </c>
      <c r="B1652" s="293" t="s">
        <v>442</v>
      </c>
      <c r="C1652" s="293">
        <v>-17</v>
      </c>
      <c r="D1652" s="293">
        <v>209472</v>
      </c>
      <c r="E1652" s="293">
        <v>-209489</v>
      </c>
      <c r="F1652" s="293">
        <v>0</v>
      </c>
      <c r="G1652" s="293">
        <v>-348042.62</v>
      </c>
      <c r="H1652" s="293">
        <v>-17</v>
      </c>
      <c r="I1652" s="293">
        <v>348025.62</v>
      </c>
      <c r="J1652" s="293" t="s">
        <v>184</v>
      </c>
    </row>
    <row r="1653" spans="1:10" x14ac:dyDescent="0.35">
      <c r="A1653" s="293">
        <v>430</v>
      </c>
      <c r="B1653" s="293" t="s">
        <v>443</v>
      </c>
      <c r="C1653" s="293">
        <v>78538.070000000007</v>
      </c>
      <c r="D1653" s="293">
        <v>641485</v>
      </c>
      <c r="E1653" s="293">
        <v>-562946.93000000005</v>
      </c>
      <c r="F1653" s="293">
        <v>0</v>
      </c>
      <c r="G1653" s="293">
        <v>-302683.21000000002</v>
      </c>
      <c r="H1653" s="293">
        <v>78538.070000000007</v>
      </c>
      <c r="I1653" s="293">
        <v>381221.28</v>
      </c>
      <c r="J1653" s="293" t="s">
        <v>184</v>
      </c>
    </row>
    <row r="1654" spans="1:10" x14ac:dyDescent="0.35">
      <c r="A1654" s="293">
        <v>440</v>
      </c>
      <c r="B1654" s="293" t="s">
        <v>444</v>
      </c>
      <c r="C1654" s="293">
        <v>0</v>
      </c>
      <c r="D1654" s="293">
        <v>0</v>
      </c>
      <c r="E1654" s="293">
        <v>0</v>
      </c>
      <c r="F1654" s="293">
        <v>0</v>
      </c>
      <c r="G1654" s="293">
        <v>0</v>
      </c>
      <c r="H1654" s="293">
        <v>0</v>
      </c>
      <c r="I1654" s="293">
        <v>0</v>
      </c>
      <c r="J1654" s="293" t="s">
        <v>184</v>
      </c>
    </row>
    <row r="1655" spans="1:10" x14ac:dyDescent="0.35">
      <c r="A1655" s="293">
        <v>450</v>
      </c>
      <c r="B1655" s="293" t="s">
        <v>445</v>
      </c>
      <c r="C1655" s="293">
        <v>0</v>
      </c>
      <c r="D1655" s="293">
        <v>0</v>
      </c>
      <c r="E1655" s="293">
        <v>0</v>
      </c>
      <c r="F1655" s="293">
        <v>0</v>
      </c>
      <c r="G1655" s="293">
        <v>-134521.91</v>
      </c>
      <c r="H1655" s="293">
        <v>0</v>
      </c>
      <c r="I1655" s="293">
        <v>134521.91</v>
      </c>
      <c r="J1655" s="293" t="s">
        <v>184</v>
      </c>
    </row>
    <row r="1656" spans="1:10" x14ac:dyDescent="0.35">
      <c r="A1656" s="293">
        <v>460</v>
      </c>
      <c r="B1656" s="293" t="s">
        <v>446</v>
      </c>
      <c r="C1656" s="293">
        <v>0</v>
      </c>
      <c r="D1656" s="293">
        <v>0</v>
      </c>
      <c r="E1656" s="293">
        <v>0</v>
      </c>
      <c r="F1656" s="293">
        <v>0</v>
      </c>
      <c r="G1656" s="293">
        <v>0</v>
      </c>
      <c r="H1656" s="293">
        <v>0</v>
      </c>
      <c r="I1656" s="293">
        <v>0</v>
      </c>
      <c r="J1656" s="293" t="s">
        <v>184</v>
      </c>
    </row>
    <row r="1657" spans="1:10" x14ac:dyDescent="0.35">
      <c r="A1657" s="293">
        <v>500</v>
      </c>
      <c r="B1657" s="293" t="s">
        <v>447</v>
      </c>
      <c r="C1657" s="293">
        <v>78521.070000000007</v>
      </c>
      <c r="D1657" s="293">
        <v>850957</v>
      </c>
      <c r="E1657" s="293">
        <v>-772435.93</v>
      </c>
      <c r="F1657" s="293">
        <v>0</v>
      </c>
      <c r="G1657" s="293">
        <v>-785247.74</v>
      </c>
      <c r="H1657" s="293">
        <v>78521.070000000007</v>
      </c>
      <c r="I1657" s="293">
        <v>863768.81</v>
      </c>
      <c r="J1657" s="293" t="s">
        <v>184</v>
      </c>
    </row>
    <row r="1658" spans="1:10" x14ac:dyDescent="0.35">
      <c r="A1658" s="293">
        <v>510</v>
      </c>
      <c r="B1658" s="293" t="s">
        <v>448</v>
      </c>
      <c r="C1658" s="293">
        <v>0</v>
      </c>
      <c r="D1658" s="293">
        <v>0</v>
      </c>
      <c r="E1658" s="293">
        <v>0</v>
      </c>
      <c r="F1658" s="293">
        <v>0</v>
      </c>
      <c r="G1658" s="293">
        <v>0</v>
      </c>
      <c r="H1658" s="293">
        <v>0</v>
      </c>
      <c r="I1658" s="293">
        <v>0</v>
      </c>
      <c r="J1658" s="293" t="s">
        <v>184</v>
      </c>
    </row>
    <row r="1659" spans="1:10" x14ac:dyDescent="0.35">
      <c r="A1659" s="293">
        <v>520</v>
      </c>
      <c r="B1659" s="303" t="s">
        <v>449</v>
      </c>
      <c r="C1659" s="293">
        <v>5159830.54</v>
      </c>
      <c r="D1659" s="293">
        <v>5580840</v>
      </c>
      <c r="E1659" s="293">
        <v>-421009.46</v>
      </c>
      <c r="F1659" s="293">
        <v>0</v>
      </c>
      <c r="G1659" s="293">
        <v>-18710.62</v>
      </c>
      <c r="H1659" s="293">
        <v>5159830.54</v>
      </c>
      <c r="I1659" s="293">
        <v>5178541.16</v>
      </c>
      <c r="J1659" s="293" t="s">
        <v>184</v>
      </c>
    </row>
    <row r="1660" spans="1:10" x14ac:dyDescent="0.35">
      <c r="A1660" s="293">
        <v>530</v>
      </c>
      <c r="B1660" s="293" t="s">
        <v>450</v>
      </c>
      <c r="C1660" s="293">
        <v>0</v>
      </c>
      <c r="D1660" s="293">
        <v>5637116</v>
      </c>
      <c r="E1660" s="293">
        <v>-5637116</v>
      </c>
      <c r="F1660" s="293">
        <v>0</v>
      </c>
      <c r="G1660" s="293">
        <v>-5822451.5300000003</v>
      </c>
      <c r="H1660" s="293">
        <v>0</v>
      </c>
      <c r="I1660" s="293">
        <v>5822451.5300000003</v>
      </c>
      <c r="J1660" s="293" t="s">
        <v>184</v>
      </c>
    </row>
    <row r="1661" spans="1:10" x14ac:dyDescent="0.35">
      <c r="A1661" s="293">
        <v>540</v>
      </c>
      <c r="B1661" s="303" t="s">
        <v>451</v>
      </c>
      <c r="C1661" s="293">
        <v>0</v>
      </c>
      <c r="D1661" s="293">
        <v>0</v>
      </c>
      <c r="E1661" s="293">
        <v>0</v>
      </c>
      <c r="F1661" s="293">
        <v>0</v>
      </c>
      <c r="G1661" s="293">
        <v>0</v>
      </c>
      <c r="H1661" s="293">
        <v>0</v>
      </c>
      <c r="I1661" s="293">
        <v>0</v>
      </c>
      <c r="J1661" s="293" t="s">
        <v>184</v>
      </c>
    </row>
    <row r="1662" spans="1:10" x14ac:dyDescent="0.35">
      <c r="A1662" s="293">
        <v>600</v>
      </c>
      <c r="B1662" s="293" t="s">
        <v>452</v>
      </c>
      <c r="C1662" s="293">
        <v>5159830.54</v>
      </c>
      <c r="D1662" s="293">
        <v>11217956</v>
      </c>
      <c r="E1662" s="293">
        <v>-6058125.46</v>
      </c>
      <c r="F1662" s="293">
        <v>0</v>
      </c>
      <c r="G1662" s="293">
        <v>-5841162.1500000004</v>
      </c>
      <c r="H1662" s="293">
        <v>5159830.54</v>
      </c>
      <c r="I1662" s="293">
        <v>11000992.689999999</v>
      </c>
      <c r="J1662" s="293" t="s">
        <v>184</v>
      </c>
    </row>
    <row r="1663" spans="1:10" x14ac:dyDescent="0.35">
      <c r="A1663" s="293">
        <v>610</v>
      </c>
      <c r="B1663" s="293" t="s">
        <v>453</v>
      </c>
      <c r="C1663" s="293">
        <v>0</v>
      </c>
      <c r="D1663" s="293">
        <v>0</v>
      </c>
      <c r="E1663" s="293">
        <v>0</v>
      </c>
      <c r="F1663" s="293">
        <v>0</v>
      </c>
      <c r="G1663" s="293">
        <v>0</v>
      </c>
      <c r="H1663" s="293">
        <v>0</v>
      </c>
      <c r="I1663" s="293">
        <v>0</v>
      </c>
      <c r="J1663" s="293" t="s">
        <v>184</v>
      </c>
    </row>
    <row r="1664" spans="1:10" x14ac:dyDescent="0.35">
      <c r="A1664" s="293">
        <v>620</v>
      </c>
      <c r="B1664" s="293"/>
      <c r="C1664" s="293">
        <v>0</v>
      </c>
      <c r="D1664" s="293">
        <v>0</v>
      </c>
      <c r="E1664" s="293">
        <v>0</v>
      </c>
      <c r="F1664" s="293">
        <v>0</v>
      </c>
      <c r="G1664" s="293">
        <v>0</v>
      </c>
      <c r="H1664" s="293">
        <v>0</v>
      </c>
      <c r="I1664" s="293">
        <v>0</v>
      </c>
      <c r="J1664" s="293" t="s">
        <v>184</v>
      </c>
    </row>
    <row r="1665" spans="1:10" x14ac:dyDescent="0.35">
      <c r="A1665" s="293">
        <v>700</v>
      </c>
      <c r="B1665" s="293" t="s">
        <v>454</v>
      </c>
      <c r="C1665" s="293">
        <v>0</v>
      </c>
      <c r="D1665" s="293">
        <v>0</v>
      </c>
      <c r="E1665" s="293">
        <v>0</v>
      </c>
      <c r="F1665" s="293">
        <v>0</v>
      </c>
      <c r="G1665" s="293">
        <v>0</v>
      </c>
      <c r="H1665" s="293">
        <v>0</v>
      </c>
      <c r="I1665" s="293">
        <v>0</v>
      </c>
      <c r="J1665" s="293" t="s">
        <v>184</v>
      </c>
    </row>
    <row r="1666" spans="1:10" x14ac:dyDescent="0.35">
      <c r="A1666" s="293">
        <v>710</v>
      </c>
      <c r="B1666" s="293" t="s">
        <v>410</v>
      </c>
      <c r="C1666" s="293">
        <v>0</v>
      </c>
      <c r="D1666" s="293">
        <v>0</v>
      </c>
      <c r="E1666" s="293">
        <v>0</v>
      </c>
      <c r="F1666" s="293">
        <v>0</v>
      </c>
      <c r="G1666" s="293">
        <v>0</v>
      </c>
      <c r="H1666" s="293">
        <v>0</v>
      </c>
      <c r="I1666" s="293">
        <v>0</v>
      </c>
      <c r="J1666" s="293" t="s">
        <v>184</v>
      </c>
    </row>
    <row r="1667" spans="1:10" x14ac:dyDescent="0.35">
      <c r="A1667" s="293">
        <v>720</v>
      </c>
      <c r="B1667" s="293" t="s">
        <v>455</v>
      </c>
      <c r="C1667" s="293">
        <v>2000</v>
      </c>
      <c r="D1667" s="293">
        <v>2000</v>
      </c>
      <c r="E1667" s="293">
        <v>0</v>
      </c>
      <c r="F1667" s="293">
        <v>0</v>
      </c>
      <c r="G1667" s="293">
        <v>0</v>
      </c>
      <c r="H1667" s="293">
        <v>2000</v>
      </c>
      <c r="I1667" s="293">
        <v>2000</v>
      </c>
      <c r="J1667" s="293" t="s">
        <v>184</v>
      </c>
    </row>
    <row r="1668" spans="1:10" x14ac:dyDescent="0.35">
      <c r="A1668" s="293">
        <v>730</v>
      </c>
      <c r="B1668" s="293" t="s">
        <v>456</v>
      </c>
      <c r="C1668" s="293">
        <v>0</v>
      </c>
      <c r="D1668" s="293">
        <v>0</v>
      </c>
      <c r="E1668" s="293">
        <v>0</v>
      </c>
      <c r="F1668" s="293">
        <v>0</v>
      </c>
      <c r="G1668" s="293">
        <v>0</v>
      </c>
      <c r="H1668" s="293">
        <v>0</v>
      </c>
      <c r="I1668" s="293">
        <v>0</v>
      </c>
      <c r="J1668" s="293" t="s">
        <v>184</v>
      </c>
    </row>
    <row r="1669" spans="1:10" x14ac:dyDescent="0.35">
      <c r="A1669" s="293">
        <v>740</v>
      </c>
      <c r="B1669" s="293" t="s">
        <v>457</v>
      </c>
      <c r="C1669" s="293">
        <v>-8433659.7400000002</v>
      </c>
      <c r="D1669" s="293">
        <v>-7921571</v>
      </c>
      <c r="E1669" s="293">
        <v>-512088.74</v>
      </c>
      <c r="F1669" s="293">
        <v>0</v>
      </c>
      <c r="G1669" s="293">
        <v>0</v>
      </c>
      <c r="H1669" s="293">
        <v>-8433659.7400000002</v>
      </c>
      <c r="I1669" s="293">
        <v>-8433659.7400000002</v>
      </c>
      <c r="J1669" s="293" t="s">
        <v>184</v>
      </c>
    </row>
    <row r="1670" spans="1:10" x14ac:dyDescent="0.35">
      <c r="A1670" s="293">
        <v>750</v>
      </c>
      <c r="B1670" s="293" t="s">
        <v>271</v>
      </c>
      <c r="C1670" s="293">
        <v>160208.13</v>
      </c>
      <c r="D1670" s="293">
        <v>2483</v>
      </c>
      <c r="E1670" s="293">
        <v>157725.13</v>
      </c>
      <c r="F1670" s="293">
        <v>11777.72</v>
      </c>
      <c r="G1670" s="293">
        <v>160208.13</v>
      </c>
      <c r="H1670" s="293">
        <v>148430.41</v>
      </c>
      <c r="I1670" s="293">
        <v>0</v>
      </c>
      <c r="J1670" s="293" t="s">
        <v>184</v>
      </c>
    </row>
    <row r="1671" spans="1:10" x14ac:dyDescent="0.35">
      <c r="A1671" s="293">
        <v>760</v>
      </c>
      <c r="B1671" s="293" t="s">
        <v>458</v>
      </c>
      <c r="C1671" s="293">
        <v>3594747.53</v>
      </c>
      <c r="D1671" s="293">
        <v>3594750</v>
      </c>
      <c r="E1671" s="293">
        <v>-2.4700000000000002</v>
      </c>
      <c r="F1671" s="293">
        <v>0</v>
      </c>
      <c r="G1671" s="293">
        <v>0</v>
      </c>
      <c r="H1671" s="293">
        <v>3594747.53</v>
      </c>
      <c r="I1671" s="293">
        <v>3594747.53</v>
      </c>
      <c r="J1671" s="293" t="s">
        <v>184</v>
      </c>
    </row>
    <row r="1672" spans="1:10" x14ac:dyDescent="0.35">
      <c r="A1672" s="293">
        <v>770</v>
      </c>
      <c r="B1672" s="293"/>
      <c r="C1672" s="293">
        <v>0</v>
      </c>
      <c r="D1672" s="293">
        <v>0</v>
      </c>
      <c r="E1672" s="293">
        <v>0</v>
      </c>
      <c r="F1672" s="293">
        <v>0</v>
      </c>
      <c r="G1672" s="293">
        <v>0</v>
      </c>
      <c r="H1672" s="293">
        <v>0</v>
      </c>
      <c r="I1672" s="293">
        <v>0</v>
      </c>
      <c r="J1672" s="293" t="s">
        <v>184</v>
      </c>
    </row>
    <row r="1673" spans="1:10" x14ac:dyDescent="0.35">
      <c r="A1673" s="293">
        <v>800</v>
      </c>
      <c r="B1673" s="293" t="s">
        <v>459</v>
      </c>
      <c r="C1673" s="293">
        <v>-4676704.08</v>
      </c>
      <c r="D1673" s="293">
        <v>-4322338</v>
      </c>
      <c r="E1673" s="293">
        <v>-354366.08</v>
      </c>
      <c r="F1673" s="293">
        <v>11777.72</v>
      </c>
      <c r="G1673" s="293">
        <v>160208.13</v>
      </c>
      <c r="H1673" s="293">
        <v>-4688481.8</v>
      </c>
      <c r="I1673" s="293">
        <v>-4836912.21</v>
      </c>
      <c r="J1673" s="293" t="s">
        <v>184</v>
      </c>
    </row>
    <row r="1674" spans="1:10" x14ac:dyDescent="0.35">
      <c r="A1674" s="293">
        <v>900</v>
      </c>
      <c r="B1674" s="293" t="s">
        <v>460</v>
      </c>
      <c r="C1674" s="293">
        <v>561647.53</v>
      </c>
      <c r="D1674" s="293">
        <v>7746575</v>
      </c>
      <c r="E1674" s="293">
        <v>-7184927.4699999997</v>
      </c>
      <c r="F1674" s="293">
        <v>11777.72</v>
      </c>
      <c r="G1674" s="293">
        <v>-6466201.7599999998</v>
      </c>
      <c r="H1674" s="293">
        <v>549869.81000000006</v>
      </c>
      <c r="I1674" s="293">
        <v>7027849.29</v>
      </c>
      <c r="J1674" s="293" t="s">
        <v>184</v>
      </c>
    </row>
    <row r="1675" spans="1:10" x14ac:dyDescent="0.35">
      <c r="A1675" s="293">
        <v>1000</v>
      </c>
      <c r="B1675" s="293" t="s">
        <v>411</v>
      </c>
      <c r="C1675" s="293">
        <v>0</v>
      </c>
      <c r="D1675" s="293">
        <v>41</v>
      </c>
      <c r="E1675" s="293">
        <v>-41</v>
      </c>
      <c r="F1675" s="293">
        <v>0</v>
      </c>
      <c r="G1675" s="293">
        <v>0</v>
      </c>
      <c r="H1675" s="293">
        <v>0</v>
      </c>
      <c r="I1675" s="293">
        <v>0</v>
      </c>
      <c r="J1675" s="293" t="s">
        <v>184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05"/>
  <dimension ref="A1:I2004"/>
  <sheetViews>
    <sheetView topLeftCell="A1984" zoomScale="90" zoomScaleNormal="90" workbookViewId="0">
      <selection activeCell="A1992" sqref="A1992"/>
    </sheetView>
  </sheetViews>
  <sheetFormatPr baseColWidth="10" defaultColWidth="8.7265625" defaultRowHeight="14.5" x14ac:dyDescent="0.35"/>
  <cols>
    <col min="1" max="1" width="19.26953125" style="181" bestFit="1" customWidth="1"/>
    <col min="2" max="2" width="24.6328125" style="181" customWidth="1"/>
    <col min="3" max="3" width="8.7265625" style="181"/>
    <col min="4" max="4" width="11.6328125" style="181" bestFit="1" customWidth="1"/>
    <col min="5" max="16384" width="8.7265625" style="181"/>
  </cols>
  <sheetData>
    <row r="1" spans="1:7" x14ac:dyDescent="0.35">
      <c r="A1" t="s">
        <v>171</v>
      </c>
      <c r="B1" t="s">
        <v>172</v>
      </c>
      <c r="C1" t="s">
        <v>468</v>
      </c>
      <c r="D1" t="s">
        <v>469</v>
      </c>
      <c r="E1" t="s">
        <v>470</v>
      </c>
      <c r="F1" t="s">
        <v>471</v>
      </c>
      <c r="G1" t="s">
        <v>183</v>
      </c>
    </row>
    <row r="2" spans="1:7" x14ac:dyDescent="0.35">
      <c r="A2">
        <v>10</v>
      </c>
      <c r="B2" t="s">
        <v>472</v>
      </c>
      <c r="C2">
        <v>0</v>
      </c>
      <c r="D2">
        <v>0</v>
      </c>
      <c r="E2">
        <v>0</v>
      </c>
      <c r="F2">
        <v>0</v>
      </c>
      <c r="G2" t="s">
        <v>184</v>
      </c>
    </row>
    <row r="3" spans="1:7" x14ac:dyDescent="0.35">
      <c r="A3">
        <v>20</v>
      </c>
      <c r="B3" t="s">
        <v>147</v>
      </c>
      <c r="C3">
        <v>24861160.43</v>
      </c>
      <c r="D3">
        <v>0</v>
      </c>
      <c r="E3">
        <v>250419671.62</v>
      </c>
      <c r="F3">
        <v>250419671.62</v>
      </c>
      <c r="G3" t="s">
        <v>184</v>
      </c>
    </row>
    <row r="4" spans="1:7" x14ac:dyDescent="0.35">
      <c r="A4">
        <v>30</v>
      </c>
      <c r="B4" t="s">
        <v>473</v>
      </c>
      <c r="C4">
        <v>0</v>
      </c>
      <c r="D4">
        <v>0</v>
      </c>
      <c r="E4">
        <v>0</v>
      </c>
      <c r="F4">
        <v>0</v>
      </c>
      <c r="G4" t="s">
        <v>184</v>
      </c>
    </row>
    <row r="5" spans="1:7" x14ac:dyDescent="0.35">
      <c r="A5">
        <v>35</v>
      </c>
      <c r="B5" t="s">
        <v>474</v>
      </c>
      <c r="C5">
        <v>24861160.43</v>
      </c>
      <c r="D5">
        <v>0</v>
      </c>
      <c r="E5">
        <v>250419671.62</v>
      </c>
      <c r="F5">
        <v>250419671.62</v>
      </c>
      <c r="G5" t="s">
        <v>184</v>
      </c>
    </row>
    <row r="6" spans="1:7" x14ac:dyDescent="0.35">
      <c r="A6">
        <v>40</v>
      </c>
      <c r="B6" t="s">
        <v>475</v>
      </c>
      <c r="C6">
        <v>9397860.5800000001</v>
      </c>
      <c r="D6">
        <v>0</v>
      </c>
      <c r="E6">
        <v>91363673.620000005</v>
      </c>
      <c r="F6">
        <v>91363673.620000005</v>
      </c>
      <c r="G6" t="s">
        <v>184</v>
      </c>
    </row>
    <row r="7" spans="1:7" x14ac:dyDescent="0.35">
      <c r="A7">
        <v>50</v>
      </c>
      <c r="B7" t="s">
        <v>476</v>
      </c>
      <c r="C7">
        <v>0</v>
      </c>
      <c r="D7">
        <v>0</v>
      </c>
      <c r="E7">
        <v>0</v>
      </c>
      <c r="F7">
        <v>0</v>
      </c>
      <c r="G7" t="s">
        <v>184</v>
      </c>
    </row>
    <row r="8" spans="1:7" x14ac:dyDescent="0.35">
      <c r="A8">
        <v>60</v>
      </c>
      <c r="B8" t="s">
        <v>477</v>
      </c>
      <c r="C8">
        <v>15463299.85</v>
      </c>
      <c r="D8">
        <v>0</v>
      </c>
      <c r="E8">
        <v>159055998</v>
      </c>
      <c r="F8">
        <v>159055998</v>
      </c>
      <c r="G8" t="s">
        <v>184</v>
      </c>
    </row>
    <row r="9" spans="1:7" x14ac:dyDescent="0.35">
      <c r="A9">
        <v>70</v>
      </c>
      <c r="B9" t="s">
        <v>152</v>
      </c>
      <c r="C9">
        <v>11814876.51</v>
      </c>
      <c r="D9">
        <v>0</v>
      </c>
      <c r="E9">
        <v>105543664.86</v>
      </c>
      <c r="F9">
        <v>105543664.86</v>
      </c>
      <c r="G9" t="s">
        <v>184</v>
      </c>
    </row>
    <row r="10" spans="1:7" x14ac:dyDescent="0.35">
      <c r="A10">
        <v>80</v>
      </c>
      <c r="B10" t="s">
        <v>153</v>
      </c>
      <c r="C10">
        <v>2868303.06</v>
      </c>
      <c r="D10">
        <v>0</v>
      </c>
      <c r="E10">
        <v>21479832.219999999</v>
      </c>
      <c r="F10">
        <v>21479832.219999999</v>
      </c>
      <c r="G10" t="s">
        <v>184</v>
      </c>
    </row>
    <row r="11" spans="1:7" x14ac:dyDescent="0.35">
      <c r="A11">
        <v>90</v>
      </c>
      <c r="B11" t="s">
        <v>478</v>
      </c>
      <c r="C11">
        <v>595018.57999999996</v>
      </c>
      <c r="D11">
        <v>0</v>
      </c>
      <c r="E11">
        <v>5341798.53</v>
      </c>
      <c r="F11">
        <v>5341798.53</v>
      </c>
      <c r="G11" t="s">
        <v>184</v>
      </c>
    </row>
    <row r="12" spans="1:7" x14ac:dyDescent="0.35">
      <c r="A12">
        <v>100</v>
      </c>
      <c r="B12" t="s">
        <v>479</v>
      </c>
      <c r="C12">
        <v>185101.7</v>
      </c>
      <c r="D12">
        <v>0</v>
      </c>
      <c r="E12">
        <v>26690702.390000001</v>
      </c>
      <c r="F12">
        <v>26690702.390000001</v>
      </c>
      <c r="G12" t="s">
        <v>184</v>
      </c>
    </row>
    <row r="13" spans="1:7" x14ac:dyDescent="0.35">
      <c r="A13">
        <v>110</v>
      </c>
      <c r="B13" t="s">
        <v>480</v>
      </c>
      <c r="C13">
        <v>137543.51999999999</v>
      </c>
      <c r="D13">
        <v>0</v>
      </c>
      <c r="E13">
        <v>874691.95</v>
      </c>
      <c r="F13">
        <v>874691.95</v>
      </c>
      <c r="G13" t="s">
        <v>184</v>
      </c>
    </row>
    <row r="14" spans="1:7" x14ac:dyDescent="0.35">
      <c r="A14">
        <v>120</v>
      </c>
      <c r="B14" t="s">
        <v>481</v>
      </c>
      <c r="C14">
        <v>-148791.34</v>
      </c>
      <c r="D14">
        <v>0</v>
      </c>
      <c r="E14">
        <v>-1035680.15</v>
      </c>
      <c r="F14">
        <v>-1035680.15</v>
      </c>
      <c r="G14" t="s">
        <v>184</v>
      </c>
    </row>
    <row r="15" spans="1:7" x14ac:dyDescent="0.35">
      <c r="A15">
        <v>130</v>
      </c>
      <c r="B15" t="s">
        <v>482</v>
      </c>
      <c r="C15">
        <v>481006</v>
      </c>
      <c r="D15">
        <v>0</v>
      </c>
      <c r="E15">
        <v>3370519.65</v>
      </c>
      <c r="F15">
        <v>3370519.65</v>
      </c>
      <c r="G15" t="s">
        <v>184</v>
      </c>
    </row>
    <row r="16" spans="1:7" x14ac:dyDescent="0.35">
      <c r="A16">
        <v>140</v>
      </c>
      <c r="B16" t="s">
        <v>483</v>
      </c>
      <c r="C16">
        <v>113034.34</v>
      </c>
      <c r="D16">
        <v>0</v>
      </c>
      <c r="E16">
        <v>450896.64000000001</v>
      </c>
      <c r="F16">
        <v>450896.64000000001</v>
      </c>
      <c r="G16" t="s">
        <v>184</v>
      </c>
    </row>
    <row r="17" spans="1:7" x14ac:dyDescent="0.35">
      <c r="A17">
        <v>145</v>
      </c>
      <c r="B17" t="s">
        <v>162</v>
      </c>
      <c r="C17">
        <v>356723.84</v>
      </c>
      <c r="D17">
        <v>0</v>
      </c>
      <c r="E17">
        <v>2758634.81</v>
      </c>
      <c r="F17">
        <v>2758634.81</v>
      </c>
      <c r="G17" t="s">
        <v>184</v>
      </c>
    </row>
    <row r="18" spans="1:7" x14ac:dyDescent="0.35">
      <c r="A18">
        <v>150</v>
      </c>
      <c r="B18" t="s">
        <v>484</v>
      </c>
      <c r="C18">
        <v>-171622.14</v>
      </c>
      <c r="D18">
        <v>0</v>
      </c>
      <c r="E18">
        <v>23932067.579999998</v>
      </c>
      <c r="F18">
        <v>23932067.579999998</v>
      </c>
      <c r="G18" t="s">
        <v>184</v>
      </c>
    </row>
    <row r="19" spans="1:7" x14ac:dyDescent="0.35">
      <c r="A19">
        <v>160</v>
      </c>
      <c r="B19" t="s">
        <v>485</v>
      </c>
      <c r="C19">
        <v>587818.49</v>
      </c>
      <c r="D19">
        <v>0</v>
      </c>
      <c r="E19">
        <v>5920562.8899999997</v>
      </c>
      <c r="F19">
        <v>5920562.8899999997</v>
      </c>
      <c r="G19" t="s">
        <v>184</v>
      </c>
    </row>
    <row r="20" spans="1:7" x14ac:dyDescent="0.35">
      <c r="A20">
        <v>170</v>
      </c>
      <c r="B20" t="s">
        <v>166</v>
      </c>
      <c r="C20">
        <v>-759440.63</v>
      </c>
      <c r="D20">
        <v>0</v>
      </c>
      <c r="E20">
        <v>18011504.690000001</v>
      </c>
      <c r="F20">
        <v>18011504.690000001</v>
      </c>
      <c r="G20" t="s">
        <v>184</v>
      </c>
    </row>
    <row r="21" spans="1:7" x14ac:dyDescent="0.35">
      <c r="A21">
        <v>190</v>
      </c>
      <c r="B21" t="s">
        <v>486</v>
      </c>
      <c r="C21">
        <v>0</v>
      </c>
      <c r="D21">
        <v>0</v>
      </c>
      <c r="E21">
        <v>0</v>
      </c>
      <c r="F21">
        <v>0</v>
      </c>
      <c r="G21" t="s">
        <v>184</v>
      </c>
    </row>
    <row r="22" spans="1:7" x14ac:dyDescent="0.35">
      <c r="A22">
        <v>200</v>
      </c>
      <c r="B22" t="s">
        <v>166</v>
      </c>
      <c r="C22">
        <v>-759440.63</v>
      </c>
      <c r="D22">
        <v>0</v>
      </c>
      <c r="E22">
        <v>18011504.690000001</v>
      </c>
      <c r="F22">
        <v>18011504.690000001</v>
      </c>
      <c r="G22" t="s">
        <v>184</v>
      </c>
    </row>
    <row r="23" spans="1:7" x14ac:dyDescent="0.35">
      <c r="A23">
        <v>210</v>
      </c>
      <c r="B23" t="s">
        <v>487</v>
      </c>
      <c r="C23">
        <v>-759440.63</v>
      </c>
      <c r="D23">
        <v>0</v>
      </c>
      <c r="E23">
        <v>18011504.690000001</v>
      </c>
      <c r="F23">
        <v>18011504.690000001</v>
      </c>
      <c r="G23" t="s">
        <v>184</v>
      </c>
    </row>
    <row r="24" spans="1:7" x14ac:dyDescent="0.35">
      <c r="A24">
        <v>220</v>
      </c>
      <c r="B24" t="s">
        <v>488</v>
      </c>
      <c r="C24">
        <v>0</v>
      </c>
      <c r="D24">
        <v>0</v>
      </c>
      <c r="E24">
        <v>0</v>
      </c>
      <c r="F24">
        <v>0</v>
      </c>
      <c r="G24" t="s">
        <v>184</v>
      </c>
    </row>
    <row r="25" spans="1:7" x14ac:dyDescent="0.35">
      <c r="A25">
        <v>230</v>
      </c>
      <c r="B25" t="s">
        <v>341</v>
      </c>
      <c r="C25">
        <v>0</v>
      </c>
      <c r="D25">
        <v>0</v>
      </c>
      <c r="E25">
        <v>0</v>
      </c>
      <c r="F25">
        <v>0</v>
      </c>
      <c r="G25" t="s">
        <v>184</v>
      </c>
    </row>
    <row r="26" spans="1:7" x14ac:dyDescent="0.35">
      <c r="A26">
        <v>235</v>
      </c>
      <c r="B26" t="s">
        <v>489</v>
      </c>
      <c r="C26">
        <v>-3091.89</v>
      </c>
      <c r="D26">
        <v>-833.47</v>
      </c>
      <c r="E26">
        <v>-40520.67</v>
      </c>
      <c r="F26">
        <v>-39687.199999999997</v>
      </c>
      <c r="G26" t="s">
        <v>184</v>
      </c>
    </row>
    <row r="27" spans="1:7" x14ac:dyDescent="0.35">
      <c r="A27">
        <v>240</v>
      </c>
      <c r="B27" t="s">
        <v>342</v>
      </c>
      <c r="C27">
        <v>1085606.29</v>
      </c>
      <c r="D27">
        <v>-12303319.369999999</v>
      </c>
      <c r="E27">
        <v>-35849039.119999997</v>
      </c>
      <c r="F27">
        <v>-23545719.75</v>
      </c>
      <c r="G27" t="s">
        <v>184</v>
      </c>
    </row>
    <row r="28" spans="1:7" x14ac:dyDescent="0.35">
      <c r="A28">
        <v>250</v>
      </c>
      <c r="B28" t="s">
        <v>343</v>
      </c>
      <c r="C28">
        <v>-860211.56</v>
      </c>
      <c r="D28">
        <v>-6669089.5099999998</v>
      </c>
      <c r="E28">
        <v>-7086613.25</v>
      </c>
      <c r="F28">
        <v>-417523.74</v>
      </c>
      <c r="G28" t="s">
        <v>184</v>
      </c>
    </row>
    <row r="29" spans="1:7" x14ac:dyDescent="0.35">
      <c r="A29">
        <v>260</v>
      </c>
      <c r="B29" t="s">
        <v>490</v>
      </c>
      <c r="C29">
        <v>-1094764.56</v>
      </c>
      <c r="D29">
        <v>-15151215.300000001</v>
      </c>
      <c r="E29">
        <v>-16484437.960000001</v>
      </c>
      <c r="F29">
        <v>-1333222.6599999999</v>
      </c>
      <c r="G29" t="s">
        <v>184</v>
      </c>
    </row>
    <row r="30" spans="1:7" x14ac:dyDescent="0.35">
      <c r="A30">
        <v>270</v>
      </c>
      <c r="B30" t="s">
        <v>344</v>
      </c>
      <c r="C30">
        <v>1435014.93</v>
      </c>
      <c r="D30">
        <v>-16100801.35</v>
      </c>
      <c r="E30">
        <v>-17602283.140000001</v>
      </c>
      <c r="F30">
        <v>-1501481.79</v>
      </c>
      <c r="G30" t="s">
        <v>184</v>
      </c>
    </row>
    <row r="31" spans="1:7" x14ac:dyDescent="0.35">
      <c r="A31">
        <v>300</v>
      </c>
      <c r="B31" t="s">
        <v>367</v>
      </c>
      <c r="C31">
        <v>-396030.82</v>
      </c>
      <c r="D31">
        <v>3039604.22</v>
      </c>
      <c r="E31">
        <v>2153492.7000000002</v>
      </c>
      <c r="F31">
        <v>-886111.52</v>
      </c>
      <c r="G31" t="s">
        <v>184</v>
      </c>
    </row>
    <row r="32" spans="1:7" x14ac:dyDescent="0.35">
      <c r="A32">
        <v>310</v>
      </c>
      <c r="B32" t="s">
        <v>491</v>
      </c>
      <c r="C32">
        <v>-1080</v>
      </c>
      <c r="D32">
        <v>-38244.17</v>
      </c>
      <c r="E32">
        <v>-58432.14</v>
      </c>
      <c r="F32">
        <v>-20187.97</v>
      </c>
      <c r="G32" t="s">
        <v>184</v>
      </c>
    </row>
    <row r="33" spans="1:7" x14ac:dyDescent="0.35">
      <c r="A33">
        <v>320</v>
      </c>
      <c r="B33" t="s">
        <v>492</v>
      </c>
      <c r="C33">
        <v>-906442</v>
      </c>
      <c r="D33">
        <v>33472868.34</v>
      </c>
      <c r="E33">
        <v>49336840.490000002</v>
      </c>
      <c r="F33">
        <v>15863972.15</v>
      </c>
      <c r="G33" t="s">
        <v>184</v>
      </c>
    </row>
    <row r="34" spans="1:7" x14ac:dyDescent="0.35">
      <c r="A34">
        <v>325</v>
      </c>
      <c r="B34" t="s">
        <v>493</v>
      </c>
      <c r="C34">
        <v>-672049.7</v>
      </c>
      <c r="D34">
        <v>4679169.92</v>
      </c>
      <c r="E34">
        <v>6218204.4199999999</v>
      </c>
      <c r="F34">
        <v>1539034.5</v>
      </c>
      <c r="G34" t="s">
        <v>184</v>
      </c>
    </row>
    <row r="35" spans="1:7" x14ac:dyDescent="0.35">
      <c r="A35">
        <v>330</v>
      </c>
      <c r="B35" t="s">
        <v>494</v>
      </c>
      <c r="C35">
        <v>2125036.63</v>
      </c>
      <c r="D35">
        <v>20690847.27</v>
      </c>
      <c r="E35">
        <v>21349561.48</v>
      </c>
      <c r="F35">
        <v>658714.21</v>
      </c>
      <c r="G35" t="s">
        <v>184</v>
      </c>
    </row>
    <row r="36" spans="1:7" x14ac:dyDescent="0.35">
      <c r="A36">
        <v>340</v>
      </c>
      <c r="B36" t="s">
        <v>495</v>
      </c>
      <c r="C36">
        <v>313411.8</v>
      </c>
      <c r="D36">
        <v>-57390.26</v>
      </c>
      <c r="E36">
        <v>4466607.7699999996</v>
      </c>
      <c r="F36">
        <v>4523998.03</v>
      </c>
      <c r="G36" t="s">
        <v>184</v>
      </c>
    </row>
    <row r="37" spans="1:7" x14ac:dyDescent="0.35">
      <c r="A37">
        <v>380</v>
      </c>
      <c r="B37" t="s">
        <v>496</v>
      </c>
      <c r="C37">
        <v>1025399.12</v>
      </c>
      <c r="D37">
        <v>11561596.32</v>
      </c>
      <c r="E37">
        <v>6403380.5800000001</v>
      </c>
      <c r="F37">
        <v>-5158215.74</v>
      </c>
      <c r="G37" t="s">
        <v>184</v>
      </c>
    </row>
    <row r="38" spans="1:7" x14ac:dyDescent="0.35">
      <c r="A38">
        <v>390</v>
      </c>
      <c r="B38" t="s">
        <v>497</v>
      </c>
      <c r="C38">
        <v>0</v>
      </c>
      <c r="D38">
        <v>0</v>
      </c>
      <c r="E38">
        <v>0</v>
      </c>
      <c r="F38">
        <v>0</v>
      </c>
      <c r="G38" t="s">
        <v>184</v>
      </c>
    </row>
    <row r="39" spans="1:7" x14ac:dyDescent="0.35">
      <c r="A39">
        <v>400</v>
      </c>
      <c r="B39" t="s">
        <v>498</v>
      </c>
      <c r="C39">
        <v>-277718.44</v>
      </c>
      <c r="D39">
        <v>17340246.800000001</v>
      </c>
      <c r="E39">
        <v>9262960.3800000008</v>
      </c>
      <c r="F39">
        <v>-8077286.4199999999</v>
      </c>
      <c r="G39" t="s">
        <v>184</v>
      </c>
    </row>
    <row r="40" spans="1:7" x14ac:dyDescent="0.35">
      <c r="A40">
        <v>405</v>
      </c>
      <c r="B40" t="s">
        <v>499</v>
      </c>
      <c r="C40">
        <v>-10747.17</v>
      </c>
      <c r="D40">
        <v>-79237.460000000006</v>
      </c>
      <c r="E40">
        <v>-326415.38</v>
      </c>
      <c r="F40">
        <v>-247177.92</v>
      </c>
      <c r="G40" t="s">
        <v>184</v>
      </c>
    </row>
    <row r="41" spans="1:7" x14ac:dyDescent="0.35">
      <c r="A41">
        <v>410</v>
      </c>
      <c r="B41" t="s">
        <v>382</v>
      </c>
      <c r="C41">
        <v>0</v>
      </c>
      <c r="D41">
        <v>7683650</v>
      </c>
      <c r="E41">
        <v>7683650</v>
      </c>
      <c r="F41">
        <v>0</v>
      </c>
      <c r="G41" t="s">
        <v>184</v>
      </c>
    </row>
    <row r="42" spans="1:7" x14ac:dyDescent="0.35">
      <c r="A42">
        <v>420</v>
      </c>
      <c r="B42" t="s">
        <v>500</v>
      </c>
      <c r="C42">
        <v>0</v>
      </c>
      <c r="D42">
        <v>-4906411.97</v>
      </c>
      <c r="E42">
        <v>-4906411.97</v>
      </c>
      <c r="F42">
        <v>0</v>
      </c>
      <c r="G42" t="s">
        <v>184</v>
      </c>
    </row>
    <row r="43" spans="1:7" x14ac:dyDescent="0.35">
      <c r="A43">
        <v>425</v>
      </c>
      <c r="B43" t="s">
        <v>501</v>
      </c>
      <c r="C43">
        <v>0</v>
      </c>
      <c r="D43">
        <v>868230.6</v>
      </c>
      <c r="E43">
        <v>868230.6</v>
      </c>
      <c r="F43">
        <v>0</v>
      </c>
      <c r="G43" t="s">
        <v>184</v>
      </c>
    </row>
    <row r="44" spans="1:7" x14ac:dyDescent="0.35">
      <c r="A44">
        <v>427</v>
      </c>
      <c r="B44" t="s">
        <v>502</v>
      </c>
      <c r="C44">
        <v>0</v>
      </c>
      <c r="D44">
        <v>27965</v>
      </c>
      <c r="E44">
        <v>27965</v>
      </c>
      <c r="F44">
        <v>0</v>
      </c>
      <c r="G44" t="s">
        <v>184</v>
      </c>
    </row>
    <row r="45" spans="1:7" x14ac:dyDescent="0.35">
      <c r="A45">
        <v>430</v>
      </c>
      <c r="B45" t="s">
        <v>503</v>
      </c>
      <c r="C45">
        <v>0</v>
      </c>
      <c r="D45">
        <v>74872253.349999994</v>
      </c>
      <c r="E45">
        <v>74872253.349999994</v>
      </c>
      <c r="F45">
        <v>0</v>
      </c>
      <c r="G45" t="s">
        <v>184</v>
      </c>
    </row>
    <row r="46" spans="1:7" x14ac:dyDescent="0.35">
      <c r="A46">
        <v>440</v>
      </c>
      <c r="B46" t="s">
        <v>504</v>
      </c>
      <c r="C46">
        <v>-288465.61</v>
      </c>
      <c r="D46">
        <v>95806696.319999993</v>
      </c>
      <c r="E46">
        <v>87482231.980000004</v>
      </c>
      <c r="F46">
        <v>-8324464.3399999999</v>
      </c>
      <c r="G46" t="s">
        <v>184</v>
      </c>
    </row>
    <row r="47" spans="1:7" x14ac:dyDescent="0.35">
      <c r="A47">
        <v>450</v>
      </c>
      <c r="B47" t="s">
        <v>505</v>
      </c>
      <c r="C47">
        <v>0</v>
      </c>
      <c r="D47">
        <v>0</v>
      </c>
      <c r="E47">
        <v>0</v>
      </c>
      <c r="F47">
        <v>0</v>
      </c>
      <c r="G47" t="s">
        <v>184</v>
      </c>
    </row>
    <row r="48" spans="1:7" x14ac:dyDescent="0.35">
      <c r="A48">
        <v>455</v>
      </c>
      <c r="B48" t="s">
        <v>349</v>
      </c>
      <c r="C48">
        <v>0</v>
      </c>
      <c r="D48">
        <v>-22996599.93</v>
      </c>
      <c r="E48">
        <v>-22996599.93</v>
      </c>
      <c r="F48">
        <v>0</v>
      </c>
      <c r="G48" t="s">
        <v>184</v>
      </c>
    </row>
    <row r="49" spans="1:7" x14ac:dyDescent="0.35">
      <c r="A49">
        <v>456</v>
      </c>
      <c r="B49" t="s">
        <v>506</v>
      </c>
      <c r="C49">
        <v>73700.62</v>
      </c>
      <c r="D49">
        <v>12259658.109999999</v>
      </c>
      <c r="E49">
        <v>12922963.689999999</v>
      </c>
      <c r="F49">
        <v>663305.57999999996</v>
      </c>
      <c r="G49" t="s">
        <v>184</v>
      </c>
    </row>
    <row r="50" spans="1:7" x14ac:dyDescent="0.35">
      <c r="A50">
        <v>460</v>
      </c>
      <c r="B50" t="s">
        <v>353</v>
      </c>
      <c r="C50">
        <v>-510339.18</v>
      </c>
      <c r="D50">
        <v>-104725162.94</v>
      </c>
      <c r="E50">
        <v>-109378297.20999999</v>
      </c>
      <c r="F50">
        <v>-4653134.2699999996</v>
      </c>
      <c r="G50" t="s">
        <v>184</v>
      </c>
    </row>
    <row r="51" spans="1:7" x14ac:dyDescent="0.35">
      <c r="A51">
        <v>470</v>
      </c>
      <c r="B51" t="s">
        <v>507</v>
      </c>
      <c r="C51">
        <v>363193.77</v>
      </c>
      <c r="D51">
        <v>80668897.870000005</v>
      </c>
      <c r="E51">
        <v>83924273.109999999</v>
      </c>
      <c r="F51">
        <v>3255375.24</v>
      </c>
      <c r="G51" t="s">
        <v>184</v>
      </c>
    </row>
    <row r="52" spans="1:7" x14ac:dyDescent="0.35">
      <c r="A52">
        <v>480</v>
      </c>
      <c r="B52" t="s">
        <v>352</v>
      </c>
      <c r="C52">
        <v>-35999.32</v>
      </c>
      <c r="D52">
        <v>-19087238.57</v>
      </c>
      <c r="E52">
        <v>-19295312.859999999</v>
      </c>
      <c r="F52">
        <v>-208074.29</v>
      </c>
      <c r="G52" t="s">
        <v>184</v>
      </c>
    </row>
    <row r="53" spans="1:7" x14ac:dyDescent="0.35">
      <c r="A53">
        <v>490</v>
      </c>
      <c r="B53" t="s">
        <v>508</v>
      </c>
      <c r="C53">
        <v>110733.2</v>
      </c>
      <c r="D53">
        <v>13984653.35</v>
      </c>
      <c r="E53">
        <v>14981252.15</v>
      </c>
      <c r="F53">
        <v>996598.8</v>
      </c>
      <c r="G53" t="s">
        <v>184</v>
      </c>
    </row>
    <row r="54" spans="1:7" x14ac:dyDescent="0.35">
      <c r="A54">
        <v>500</v>
      </c>
      <c r="B54" t="s">
        <v>351</v>
      </c>
      <c r="C54">
        <v>-71628.56</v>
      </c>
      <c r="D54">
        <v>-23544437.329999998</v>
      </c>
      <c r="E54">
        <v>-23688793.649999999</v>
      </c>
      <c r="F54">
        <v>-144356.32</v>
      </c>
      <c r="G54" t="s">
        <v>184</v>
      </c>
    </row>
    <row r="55" spans="1:7" x14ac:dyDescent="0.35">
      <c r="A55">
        <v>510</v>
      </c>
      <c r="B55" t="s">
        <v>509</v>
      </c>
      <c r="C55">
        <v>41517.32</v>
      </c>
      <c r="D55">
        <v>11263220.07</v>
      </c>
      <c r="E55">
        <v>11636875.949999999</v>
      </c>
      <c r="F55">
        <v>373655.88</v>
      </c>
      <c r="G55" t="s">
        <v>184</v>
      </c>
    </row>
    <row r="56" spans="1:7" x14ac:dyDescent="0.35">
      <c r="A56">
        <v>512</v>
      </c>
      <c r="B56" t="s">
        <v>510</v>
      </c>
      <c r="C56">
        <v>0</v>
      </c>
      <c r="D56">
        <v>-1775568.99</v>
      </c>
      <c r="E56">
        <v>-1786425.71</v>
      </c>
      <c r="F56">
        <v>-10856.72</v>
      </c>
      <c r="G56" t="s">
        <v>184</v>
      </c>
    </row>
    <row r="57" spans="1:7" x14ac:dyDescent="0.35">
      <c r="A57">
        <v>514</v>
      </c>
      <c r="B57" t="s">
        <v>511</v>
      </c>
      <c r="C57">
        <v>5873.67</v>
      </c>
      <c r="D57">
        <v>4719660.45</v>
      </c>
      <c r="E57">
        <v>4772523.4800000004</v>
      </c>
      <c r="F57">
        <v>52863.03</v>
      </c>
      <c r="G57" t="s">
        <v>184</v>
      </c>
    </row>
    <row r="58" spans="1:7" x14ac:dyDescent="0.35">
      <c r="A58">
        <v>520</v>
      </c>
      <c r="B58" t="s">
        <v>512</v>
      </c>
      <c r="C58">
        <v>0</v>
      </c>
      <c r="D58">
        <v>-1125577.23</v>
      </c>
      <c r="E58">
        <v>-1186789.06</v>
      </c>
      <c r="F58">
        <v>-61211.83</v>
      </c>
      <c r="G58" t="s">
        <v>184</v>
      </c>
    </row>
    <row r="59" spans="1:7" x14ac:dyDescent="0.35">
      <c r="A59">
        <v>530</v>
      </c>
      <c r="B59" t="s">
        <v>513</v>
      </c>
      <c r="C59">
        <v>0</v>
      </c>
      <c r="D59">
        <v>0</v>
      </c>
      <c r="E59">
        <v>0</v>
      </c>
      <c r="F59">
        <v>0</v>
      </c>
      <c r="G59" t="s">
        <v>184</v>
      </c>
    </row>
    <row r="60" spans="1:7" x14ac:dyDescent="0.35">
      <c r="A60">
        <v>540</v>
      </c>
      <c r="B60" t="s">
        <v>514</v>
      </c>
      <c r="C60">
        <v>0</v>
      </c>
      <c r="D60">
        <v>-470524.57</v>
      </c>
      <c r="E60">
        <v>-470524.57</v>
      </c>
      <c r="F60">
        <v>0</v>
      </c>
      <c r="G60" t="s">
        <v>184</v>
      </c>
    </row>
    <row r="61" spans="1:7" x14ac:dyDescent="0.35">
      <c r="A61">
        <v>550</v>
      </c>
      <c r="B61" t="s">
        <v>515</v>
      </c>
      <c r="C61">
        <v>0</v>
      </c>
      <c r="D61">
        <v>1350822</v>
      </c>
      <c r="E61">
        <v>1350822</v>
      </c>
      <c r="F61">
        <v>0</v>
      </c>
      <c r="G61" t="s">
        <v>184</v>
      </c>
    </row>
    <row r="62" spans="1:7" x14ac:dyDescent="0.35">
      <c r="A62">
        <v>560</v>
      </c>
      <c r="B62" t="s">
        <v>516</v>
      </c>
      <c r="C62">
        <v>0</v>
      </c>
      <c r="D62">
        <v>-3633967.06</v>
      </c>
      <c r="E62">
        <v>-3633967.06</v>
      </c>
      <c r="F62">
        <v>0</v>
      </c>
      <c r="G62" t="s">
        <v>184</v>
      </c>
    </row>
    <row r="63" spans="1:7" x14ac:dyDescent="0.35">
      <c r="A63">
        <v>570</v>
      </c>
      <c r="B63" t="s">
        <v>517</v>
      </c>
      <c r="C63">
        <v>0</v>
      </c>
      <c r="D63">
        <v>0</v>
      </c>
      <c r="E63">
        <v>0</v>
      </c>
      <c r="F63">
        <v>0</v>
      </c>
      <c r="G63" t="s">
        <v>184</v>
      </c>
    </row>
    <row r="64" spans="1:7" x14ac:dyDescent="0.35">
      <c r="A64">
        <v>580</v>
      </c>
      <c r="B64" t="s">
        <v>518</v>
      </c>
      <c r="C64">
        <v>0</v>
      </c>
      <c r="D64">
        <v>-45528.08</v>
      </c>
      <c r="E64">
        <v>-45528.08</v>
      </c>
      <c r="F64">
        <v>0</v>
      </c>
      <c r="G64" t="s">
        <v>184</v>
      </c>
    </row>
    <row r="65" spans="1:7" x14ac:dyDescent="0.35">
      <c r="A65">
        <v>590</v>
      </c>
      <c r="B65" t="s">
        <v>519</v>
      </c>
      <c r="C65">
        <v>0</v>
      </c>
      <c r="D65">
        <v>0</v>
      </c>
      <c r="E65">
        <v>0</v>
      </c>
      <c r="F65">
        <v>0</v>
      </c>
      <c r="G65" t="s">
        <v>184</v>
      </c>
    </row>
    <row r="66" spans="1:7" x14ac:dyDescent="0.35">
      <c r="A66">
        <v>600</v>
      </c>
      <c r="B66" t="s">
        <v>520</v>
      </c>
      <c r="C66">
        <v>0</v>
      </c>
      <c r="D66">
        <v>-46718072.829999998</v>
      </c>
      <c r="E66">
        <v>-48090223.909999996</v>
      </c>
      <c r="F66">
        <v>-1372151.08</v>
      </c>
      <c r="G66" t="s">
        <v>184</v>
      </c>
    </row>
    <row r="67" spans="1:7" x14ac:dyDescent="0.35">
      <c r="A67">
        <v>610</v>
      </c>
      <c r="B67" t="s">
        <v>521</v>
      </c>
      <c r="C67">
        <v>0</v>
      </c>
      <c r="D67">
        <v>14793309.869999999</v>
      </c>
      <c r="E67">
        <v>14793309.869999999</v>
      </c>
      <c r="F67">
        <v>0</v>
      </c>
      <c r="G67" t="s">
        <v>184</v>
      </c>
    </row>
    <row r="68" spans="1:7" x14ac:dyDescent="0.35">
      <c r="A68">
        <v>620</v>
      </c>
      <c r="B68" t="s">
        <v>522</v>
      </c>
      <c r="C68">
        <v>0</v>
      </c>
      <c r="D68">
        <v>-5100000</v>
      </c>
      <c r="E68">
        <v>-5100000</v>
      </c>
      <c r="F68">
        <v>0</v>
      </c>
      <c r="G68" t="s">
        <v>184</v>
      </c>
    </row>
    <row r="69" spans="1:7" x14ac:dyDescent="0.35">
      <c r="A69">
        <v>630</v>
      </c>
      <c r="B69" t="s">
        <v>523</v>
      </c>
      <c r="C69">
        <v>0</v>
      </c>
      <c r="D69">
        <v>0</v>
      </c>
      <c r="E69">
        <v>0</v>
      </c>
      <c r="F69">
        <v>0</v>
      </c>
      <c r="G69" t="s">
        <v>184</v>
      </c>
    </row>
    <row r="70" spans="1:7" x14ac:dyDescent="0.35">
      <c r="A70">
        <v>640</v>
      </c>
      <c r="B70" t="s">
        <v>524</v>
      </c>
      <c r="C70">
        <v>-22948.48</v>
      </c>
      <c r="D70">
        <v>-90182455.810000002</v>
      </c>
      <c r="E70">
        <v>-91290441.790000007</v>
      </c>
      <c r="F70">
        <v>-1107985.98</v>
      </c>
      <c r="G70" t="s">
        <v>184</v>
      </c>
    </row>
    <row r="71" spans="1:7" x14ac:dyDescent="0.35">
      <c r="A71">
        <v>650</v>
      </c>
      <c r="B71" t="s">
        <v>525</v>
      </c>
      <c r="C71">
        <v>-45455.6</v>
      </c>
      <c r="D71">
        <v>17185836.829999998</v>
      </c>
      <c r="E71">
        <v>20606675.460000001</v>
      </c>
      <c r="F71">
        <v>3420838.63</v>
      </c>
      <c r="G71" t="s">
        <v>184</v>
      </c>
    </row>
    <row r="72" spans="1:7" x14ac:dyDescent="0.35">
      <c r="A72" t="s">
        <v>185</v>
      </c>
      <c r="B72" t="s">
        <v>172</v>
      </c>
      <c r="C72" t="s">
        <v>468</v>
      </c>
      <c r="D72" t="s">
        <v>469</v>
      </c>
      <c r="E72" t="s">
        <v>470</v>
      </c>
      <c r="F72" t="s">
        <v>471</v>
      </c>
      <c r="G72" t="s">
        <v>183</v>
      </c>
    </row>
    <row r="73" spans="1:7" x14ac:dyDescent="0.35">
      <c r="A73">
        <v>10</v>
      </c>
      <c r="B73" t="s">
        <v>472</v>
      </c>
      <c r="C73">
        <v>0</v>
      </c>
      <c r="D73">
        <v>0</v>
      </c>
      <c r="E73">
        <v>0</v>
      </c>
      <c r="F73">
        <v>0</v>
      </c>
      <c r="G73" t="s">
        <v>184</v>
      </c>
    </row>
    <row r="74" spans="1:7" x14ac:dyDescent="0.35">
      <c r="A74">
        <v>20</v>
      </c>
      <c r="B74" t="s">
        <v>147</v>
      </c>
      <c r="C74">
        <v>3937290.32</v>
      </c>
      <c r="D74">
        <v>0</v>
      </c>
      <c r="E74">
        <v>41014490.969999999</v>
      </c>
      <c r="F74">
        <v>41014490.969999999</v>
      </c>
      <c r="G74" t="s">
        <v>184</v>
      </c>
    </row>
    <row r="75" spans="1:7" x14ac:dyDescent="0.35">
      <c r="A75">
        <v>30</v>
      </c>
      <c r="B75" t="s">
        <v>473</v>
      </c>
      <c r="C75">
        <v>0</v>
      </c>
      <c r="D75">
        <v>0</v>
      </c>
      <c r="E75">
        <v>4345.2700000000004</v>
      </c>
      <c r="F75">
        <v>4345.2700000000004</v>
      </c>
      <c r="G75" t="s">
        <v>184</v>
      </c>
    </row>
    <row r="76" spans="1:7" x14ac:dyDescent="0.35">
      <c r="A76">
        <v>35</v>
      </c>
      <c r="B76" t="s">
        <v>474</v>
      </c>
      <c r="C76">
        <v>3937290.32</v>
      </c>
      <c r="D76">
        <v>0</v>
      </c>
      <c r="E76">
        <v>41010145.700000003</v>
      </c>
      <c r="F76">
        <v>41010145.700000003</v>
      </c>
      <c r="G76" t="s">
        <v>184</v>
      </c>
    </row>
    <row r="77" spans="1:7" x14ac:dyDescent="0.35">
      <c r="A77">
        <v>40</v>
      </c>
      <c r="B77" t="s">
        <v>475</v>
      </c>
      <c r="C77">
        <v>2418459.64</v>
      </c>
      <c r="D77">
        <v>0</v>
      </c>
      <c r="E77">
        <v>25044190.079999998</v>
      </c>
      <c r="F77">
        <v>25044190.079999998</v>
      </c>
      <c r="G77" t="s">
        <v>184</v>
      </c>
    </row>
    <row r="78" spans="1:7" x14ac:dyDescent="0.35">
      <c r="A78">
        <v>50</v>
      </c>
      <c r="B78" t="s">
        <v>476</v>
      </c>
      <c r="C78">
        <v>0</v>
      </c>
      <c r="D78">
        <v>0</v>
      </c>
      <c r="E78">
        <v>0</v>
      </c>
      <c r="F78">
        <v>0</v>
      </c>
      <c r="G78" t="s">
        <v>184</v>
      </c>
    </row>
    <row r="79" spans="1:7" x14ac:dyDescent="0.35">
      <c r="A79">
        <v>60</v>
      </c>
      <c r="B79" t="s">
        <v>477</v>
      </c>
      <c r="C79">
        <v>1518830.68</v>
      </c>
      <c r="D79">
        <v>0</v>
      </c>
      <c r="E79">
        <v>15965955.619999999</v>
      </c>
      <c r="F79">
        <v>15965955.619999999</v>
      </c>
      <c r="G79" t="s">
        <v>184</v>
      </c>
    </row>
    <row r="80" spans="1:7" x14ac:dyDescent="0.35">
      <c r="A80">
        <v>70</v>
      </c>
      <c r="B80" t="s">
        <v>152</v>
      </c>
      <c r="C80">
        <v>0</v>
      </c>
      <c r="D80">
        <v>0</v>
      </c>
      <c r="E80">
        <v>0</v>
      </c>
      <c r="F80">
        <v>0</v>
      </c>
      <c r="G80" t="s">
        <v>184</v>
      </c>
    </row>
    <row r="81" spans="1:7" x14ac:dyDescent="0.35">
      <c r="A81">
        <v>80</v>
      </c>
      <c r="B81" t="s">
        <v>153</v>
      </c>
      <c r="C81">
        <v>1268252.77</v>
      </c>
      <c r="D81">
        <v>0</v>
      </c>
      <c r="E81">
        <v>11507990.49</v>
      </c>
      <c r="F81">
        <v>11507990.49</v>
      </c>
      <c r="G81" t="s">
        <v>184</v>
      </c>
    </row>
    <row r="82" spans="1:7" x14ac:dyDescent="0.35">
      <c r="A82">
        <v>90</v>
      </c>
      <c r="B82" t="s">
        <v>478</v>
      </c>
      <c r="C82">
        <v>0</v>
      </c>
      <c r="D82">
        <v>0</v>
      </c>
      <c r="E82">
        <v>0</v>
      </c>
      <c r="F82">
        <v>0</v>
      </c>
      <c r="G82" t="s">
        <v>184</v>
      </c>
    </row>
    <row r="83" spans="1:7" x14ac:dyDescent="0.35">
      <c r="A83">
        <v>100</v>
      </c>
      <c r="B83" t="s">
        <v>479</v>
      </c>
      <c r="C83">
        <v>250577.91</v>
      </c>
      <c r="D83">
        <v>0</v>
      </c>
      <c r="E83">
        <v>4457965.13</v>
      </c>
      <c r="F83">
        <v>4457965.13</v>
      </c>
      <c r="G83" t="s">
        <v>184</v>
      </c>
    </row>
    <row r="84" spans="1:7" x14ac:dyDescent="0.35">
      <c r="A84">
        <v>110</v>
      </c>
      <c r="B84" t="s">
        <v>480</v>
      </c>
      <c r="C84">
        <v>-10914.13</v>
      </c>
      <c r="D84">
        <v>0</v>
      </c>
      <c r="E84">
        <v>180022.68</v>
      </c>
      <c r="F84">
        <v>180022.68</v>
      </c>
      <c r="G84" t="s">
        <v>184</v>
      </c>
    </row>
    <row r="85" spans="1:7" x14ac:dyDescent="0.35">
      <c r="A85">
        <v>120</v>
      </c>
      <c r="B85" t="s">
        <v>481</v>
      </c>
      <c r="C85">
        <v>-675.03</v>
      </c>
      <c r="D85">
        <v>0</v>
      </c>
      <c r="E85">
        <v>-200312.18</v>
      </c>
      <c r="F85">
        <v>-200312.18</v>
      </c>
      <c r="G85" t="s">
        <v>184</v>
      </c>
    </row>
    <row r="86" spans="1:7" x14ac:dyDescent="0.35">
      <c r="A86">
        <v>130</v>
      </c>
      <c r="B86" t="s">
        <v>482</v>
      </c>
      <c r="C86">
        <v>1686.16</v>
      </c>
      <c r="D86">
        <v>0</v>
      </c>
      <c r="E86">
        <v>54125.61</v>
      </c>
      <c r="F86">
        <v>54125.61</v>
      </c>
      <c r="G86" t="s">
        <v>184</v>
      </c>
    </row>
    <row r="87" spans="1:7" x14ac:dyDescent="0.35">
      <c r="A87">
        <v>140</v>
      </c>
      <c r="B87" t="s">
        <v>483</v>
      </c>
      <c r="C87">
        <v>12815.74</v>
      </c>
      <c r="D87">
        <v>0</v>
      </c>
      <c r="E87">
        <v>92001.06</v>
      </c>
      <c r="F87">
        <v>92001.06</v>
      </c>
      <c r="G87" t="s">
        <v>184</v>
      </c>
    </row>
    <row r="88" spans="1:7" x14ac:dyDescent="0.35">
      <c r="A88">
        <v>145</v>
      </c>
      <c r="B88" t="s">
        <v>162</v>
      </c>
      <c r="C88">
        <v>-22718.74</v>
      </c>
      <c r="D88">
        <v>0</v>
      </c>
      <c r="E88">
        <v>-58164.95</v>
      </c>
      <c r="F88">
        <v>-58164.95</v>
      </c>
      <c r="G88" t="s">
        <v>184</v>
      </c>
    </row>
    <row r="89" spans="1:7" x14ac:dyDescent="0.35">
      <c r="A89">
        <v>150</v>
      </c>
      <c r="B89" t="s">
        <v>484</v>
      </c>
      <c r="C89">
        <v>273296.65000000002</v>
      </c>
      <c r="D89">
        <v>0</v>
      </c>
      <c r="E89">
        <v>4516130.08</v>
      </c>
      <c r="F89">
        <v>4516130.08</v>
      </c>
      <c r="G89" t="s">
        <v>184</v>
      </c>
    </row>
    <row r="90" spans="1:7" x14ac:dyDescent="0.35">
      <c r="A90">
        <v>160</v>
      </c>
      <c r="B90" t="s">
        <v>485</v>
      </c>
      <c r="C90">
        <v>114750</v>
      </c>
      <c r="D90">
        <v>0</v>
      </c>
      <c r="E90">
        <v>1195010</v>
      </c>
      <c r="F90">
        <v>1195010</v>
      </c>
      <c r="G90" t="s">
        <v>184</v>
      </c>
    </row>
    <row r="91" spans="1:7" x14ac:dyDescent="0.35">
      <c r="A91">
        <v>170</v>
      </c>
      <c r="B91" t="s">
        <v>166</v>
      </c>
      <c r="C91">
        <v>158546.65</v>
      </c>
      <c r="D91">
        <v>0</v>
      </c>
      <c r="E91">
        <v>3321120.08</v>
      </c>
      <c r="F91">
        <v>3321120.08</v>
      </c>
      <c r="G91" t="s">
        <v>184</v>
      </c>
    </row>
    <row r="92" spans="1:7" x14ac:dyDescent="0.35">
      <c r="A92">
        <v>190</v>
      </c>
      <c r="B92" t="s">
        <v>486</v>
      </c>
      <c r="C92">
        <v>0</v>
      </c>
      <c r="D92">
        <v>0</v>
      </c>
      <c r="E92">
        <v>0</v>
      </c>
      <c r="F92">
        <v>0</v>
      </c>
      <c r="G92" t="s">
        <v>184</v>
      </c>
    </row>
    <row r="93" spans="1:7" x14ac:dyDescent="0.35">
      <c r="A93">
        <v>200</v>
      </c>
      <c r="B93" t="s">
        <v>166</v>
      </c>
      <c r="C93">
        <v>158546.65</v>
      </c>
      <c r="D93">
        <v>0</v>
      </c>
      <c r="E93">
        <v>3321120.08</v>
      </c>
      <c r="F93">
        <v>3321120.08</v>
      </c>
      <c r="G93" t="s">
        <v>184</v>
      </c>
    </row>
    <row r="94" spans="1:7" x14ac:dyDescent="0.35">
      <c r="A94">
        <v>210</v>
      </c>
      <c r="B94" t="s">
        <v>487</v>
      </c>
      <c r="C94">
        <v>158546.65</v>
      </c>
      <c r="D94">
        <v>0</v>
      </c>
      <c r="E94">
        <v>3321120.08</v>
      </c>
      <c r="F94">
        <v>3321120.08</v>
      </c>
      <c r="G94" t="s">
        <v>184</v>
      </c>
    </row>
    <row r="95" spans="1:7" x14ac:dyDescent="0.35">
      <c r="A95">
        <v>220</v>
      </c>
      <c r="B95" t="s">
        <v>488</v>
      </c>
      <c r="C95">
        <v>0</v>
      </c>
      <c r="D95">
        <v>0</v>
      </c>
      <c r="E95">
        <v>0</v>
      </c>
      <c r="F95">
        <v>0</v>
      </c>
      <c r="G95" t="s">
        <v>184</v>
      </c>
    </row>
    <row r="96" spans="1:7" x14ac:dyDescent="0.35">
      <c r="A96">
        <v>230</v>
      </c>
      <c r="B96" t="s">
        <v>341</v>
      </c>
      <c r="C96">
        <v>-554767.87</v>
      </c>
      <c r="D96">
        <v>-6829829.9800000004</v>
      </c>
      <c r="E96">
        <v>-7789933.2199999997</v>
      </c>
      <c r="F96">
        <v>-960103.24</v>
      </c>
      <c r="G96" t="s">
        <v>184</v>
      </c>
    </row>
    <row r="97" spans="1:7" x14ac:dyDescent="0.35">
      <c r="A97">
        <v>235</v>
      </c>
      <c r="B97" t="s">
        <v>489</v>
      </c>
      <c r="C97">
        <v>0</v>
      </c>
      <c r="D97">
        <v>0</v>
      </c>
      <c r="E97">
        <v>0</v>
      </c>
      <c r="F97">
        <v>0</v>
      </c>
      <c r="G97" t="s">
        <v>184</v>
      </c>
    </row>
    <row r="98" spans="1:7" x14ac:dyDescent="0.35">
      <c r="A98">
        <v>240</v>
      </c>
      <c r="B98" t="s">
        <v>342</v>
      </c>
      <c r="C98">
        <v>-130000</v>
      </c>
      <c r="D98">
        <v>-2328450.36</v>
      </c>
      <c r="E98">
        <v>-3238450.36</v>
      </c>
      <c r="F98">
        <v>-910000</v>
      </c>
      <c r="G98" t="s">
        <v>184</v>
      </c>
    </row>
    <row r="99" spans="1:7" x14ac:dyDescent="0.35">
      <c r="A99">
        <v>250</v>
      </c>
      <c r="B99" t="s">
        <v>343</v>
      </c>
      <c r="C99">
        <v>0</v>
      </c>
      <c r="D99">
        <v>0</v>
      </c>
      <c r="E99">
        <v>0</v>
      </c>
      <c r="F99">
        <v>0</v>
      </c>
      <c r="G99" t="s">
        <v>184</v>
      </c>
    </row>
    <row r="100" spans="1:7" x14ac:dyDescent="0.35">
      <c r="A100">
        <v>260</v>
      </c>
      <c r="B100" t="s">
        <v>490</v>
      </c>
      <c r="C100">
        <v>-103533.65</v>
      </c>
      <c r="D100">
        <v>-1869697.02</v>
      </c>
      <c r="E100">
        <v>-3421673.98</v>
      </c>
      <c r="F100">
        <v>-1551976.96</v>
      </c>
      <c r="G100" t="s">
        <v>184</v>
      </c>
    </row>
    <row r="101" spans="1:7" x14ac:dyDescent="0.35">
      <c r="A101">
        <v>270</v>
      </c>
      <c r="B101" t="s">
        <v>344</v>
      </c>
      <c r="C101">
        <v>-823446.46</v>
      </c>
      <c r="D101">
        <v>-16913583.300000001</v>
      </c>
      <c r="E101">
        <v>-26428359.670000002</v>
      </c>
      <c r="F101">
        <v>-9514776.3699999992</v>
      </c>
      <c r="G101" t="s">
        <v>184</v>
      </c>
    </row>
    <row r="102" spans="1:7" x14ac:dyDescent="0.35">
      <c r="A102">
        <v>300</v>
      </c>
      <c r="B102" t="s">
        <v>367</v>
      </c>
      <c r="C102">
        <v>0</v>
      </c>
      <c r="D102">
        <v>0</v>
      </c>
      <c r="E102">
        <v>0</v>
      </c>
      <c r="F102">
        <v>0</v>
      </c>
      <c r="G102" t="s">
        <v>184</v>
      </c>
    </row>
    <row r="103" spans="1:7" x14ac:dyDescent="0.35">
      <c r="A103">
        <v>310</v>
      </c>
      <c r="B103" t="s">
        <v>491</v>
      </c>
      <c r="C103">
        <v>0</v>
      </c>
      <c r="D103">
        <v>408725.56</v>
      </c>
      <c r="E103">
        <v>411857.56</v>
      </c>
      <c r="F103">
        <v>3132</v>
      </c>
      <c r="G103" t="s">
        <v>184</v>
      </c>
    </row>
    <row r="104" spans="1:7" x14ac:dyDescent="0.35">
      <c r="A104">
        <v>320</v>
      </c>
      <c r="B104" t="s">
        <v>492</v>
      </c>
      <c r="C104">
        <v>-1131882.97</v>
      </c>
      <c r="D104">
        <v>17736760.079999998</v>
      </c>
      <c r="E104">
        <v>18870256.309999999</v>
      </c>
      <c r="F104">
        <v>1133496.23</v>
      </c>
      <c r="G104" t="s">
        <v>184</v>
      </c>
    </row>
    <row r="105" spans="1:7" x14ac:dyDescent="0.35">
      <c r="A105">
        <v>325</v>
      </c>
      <c r="B105" t="s">
        <v>493</v>
      </c>
      <c r="C105">
        <v>0</v>
      </c>
      <c r="D105">
        <v>0</v>
      </c>
      <c r="E105">
        <v>0</v>
      </c>
      <c r="F105">
        <v>0</v>
      </c>
      <c r="G105" t="s">
        <v>184</v>
      </c>
    </row>
    <row r="106" spans="1:7" x14ac:dyDescent="0.35">
      <c r="A106">
        <v>330</v>
      </c>
      <c r="B106" t="s">
        <v>494</v>
      </c>
      <c r="C106">
        <v>632234.47</v>
      </c>
      <c r="D106">
        <v>1246910.18</v>
      </c>
      <c r="E106">
        <v>8323760.3600000003</v>
      </c>
      <c r="F106">
        <v>7076850.1799999997</v>
      </c>
      <c r="G106" t="s">
        <v>184</v>
      </c>
    </row>
    <row r="107" spans="1:7" x14ac:dyDescent="0.35">
      <c r="A107">
        <v>340</v>
      </c>
      <c r="B107" t="s">
        <v>495</v>
      </c>
      <c r="C107">
        <v>358696.09</v>
      </c>
      <c r="D107">
        <v>2941723.28</v>
      </c>
      <c r="E107">
        <v>6683847.96</v>
      </c>
      <c r="F107">
        <v>3742124.68</v>
      </c>
      <c r="G107" t="s">
        <v>184</v>
      </c>
    </row>
    <row r="108" spans="1:7" x14ac:dyDescent="0.35">
      <c r="A108">
        <v>380</v>
      </c>
      <c r="B108" t="s">
        <v>496</v>
      </c>
      <c r="C108">
        <v>-1752700.39</v>
      </c>
      <c r="D108">
        <v>-5607441.5599999996</v>
      </c>
      <c r="E108">
        <v>-6588695.04</v>
      </c>
      <c r="F108">
        <v>-981253.48</v>
      </c>
      <c r="G108" t="s">
        <v>184</v>
      </c>
    </row>
    <row r="109" spans="1:7" x14ac:dyDescent="0.35">
      <c r="A109">
        <v>390</v>
      </c>
      <c r="B109" t="s">
        <v>497</v>
      </c>
      <c r="C109">
        <v>0</v>
      </c>
      <c r="D109">
        <v>0</v>
      </c>
      <c r="E109">
        <v>0</v>
      </c>
      <c r="F109">
        <v>0</v>
      </c>
      <c r="G109" t="s">
        <v>184</v>
      </c>
    </row>
    <row r="110" spans="1:7" x14ac:dyDescent="0.35">
      <c r="A110">
        <v>400</v>
      </c>
      <c r="B110" t="s">
        <v>498</v>
      </c>
      <c r="C110">
        <v>0</v>
      </c>
      <c r="D110">
        <v>1880000</v>
      </c>
      <c r="E110">
        <v>0</v>
      </c>
      <c r="F110">
        <v>-1880000</v>
      </c>
      <c r="G110" t="s">
        <v>184</v>
      </c>
    </row>
    <row r="111" spans="1:7" x14ac:dyDescent="0.35">
      <c r="A111">
        <v>405</v>
      </c>
      <c r="B111" t="s">
        <v>499</v>
      </c>
      <c r="C111">
        <v>0</v>
      </c>
      <c r="D111">
        <v>0</v>
      </c>
      <c r="E111">
        <v>0</v>
      </c>
      <c r="F111">
        <v>0</v>
      </c>
      <c r="G111" t="s">
        <v>184</v>
      </c>
    </row>
    <row r="112" spans="1:7" x14ac:dyDescent="0.35">
      <c r="A112">
        <v>410</v>
      </c>
      <c r="B112" t="s">
        <v>382</v>
      </c>
      <c r="C112">
        <v>0</v>
      </c>
      <c r="D112">
        <v>392000</v>
      </c>
      <c r="E112">
        <v>392000</v>
      </c>
      <c r="F112">
        <v>0</v>
      </c>
      <c r="G112" t="s">
        <v>184</v>
      </c>
    </row>
    <row r="113" spans="1:7" x14ac:dyDescent="0.35">
      <c r="A113">
        <v>420</v>
      </c>
      <c r="B113" t="s">
        <v>500</v>
      </c>
      <c r="C113">
        <v>0</v>
      </c>
      <c r="D113">
        <v>-4212938.0999999996</v>
      </c>
      <c r="E113">
        <v>-4212938.0999999996</v>
      </c>
      <c r="F113">
        <v>0</v>
      </c>
      <c r="G113" t="s">
        <v>184</v>
      </c>
    </row>
    <row r="114" spans="1:7" x14ac:dyDescent="0.35">
      <c r="A114">
        <v>425</v>
      </c>
      <c r="B114" t="s">
        <v>501</v>
      </c>
      <c r="C114">
        <v>0</v>
      </c>
      <c r="D114">
        <v>74207.199999999997</v>
      </c>
      <c r="E114">
        <v>74207.199999999997</v>
      </c>
      <c r="F114">
        <v>0</v>
      </c>
      <c r="G114" t="s">
        <v>184</v>
      </c>
    </row>
    <row r="115" spans="1:7" x14ac:dyDescent="0.35">
      <c r="A115">
        <v>427</v>
      </c>
      <c r="B115" t="s">
        <v>502</v>
      </c>
      <c r="C115">
        <v>0</v>
      </c>
      <c r="D115">
        <v>0</v>
      </c>
      <c r="E115">
        <v>0</v>
      </c>
      <c r="F115">
        <v>0</v>
      </c>
      <c r="G115" t="s">
        <v>184</v>
      </c>
    </row>
    <row r="116" spans="1:7" x14ac:dyDescent="0.35">
      <c r="A116">
        <v>430</v>
      </c>
      <c r="B116" t="s">
        <v>503</v>
      </c>
      <c r="C116">
        <v>0</v>
      </c>
      <c r="D116">
        <v>6655842.4299999997</v>
      </c>
      <c r="E116">
        <v>6655842.4299999997</v>
      </c>
      <c r="F116">
        <v>0</v>
      </c>
      <c r="G116" t="s">
        <v>184</v>
      </c>
    </row>
    <row r="117" spans="1:7" x14ac:dyDescent="0.35">
      <c r="A117">
        <v>440</v>
      </c>
      <c r="B117" t="s">
        <v>504</v>
      </c>
      <c r="C117">
        <v>0</v>
      </c>
      <c r="D117">
        <v>4789111.53</v>
      </c>
      <c r="E117">
        <v>2909111.53</v>
      </c>
      <c r="F117">
        <v>-1880000</v>
      </c>
      <c r="G117" t="s">
        <v>184</v>
      </c>
    </row>
    <row r="118" spans="1:7" x14ac:dyDescent="0.35">
      <c r="A118">
        <v>450</v>
      </c>
      <c r="B118" t="s">
        <v>505</v>
      </c>
      <c r="C118">
        <v>0</v>
      </c>
      <c r="D118">
        <v>0</v>
      </c>
      <c r="E118">
        <v>0</v>
      </c>
      <c r="F118">
        <v>0</v>
      </c>
      <c r="G118" t="s">
        <v>184</v>
      </c>
    </row>
    <row r="119" spans="1:7" x14ac:dyDescent="0.35">
      <c r="A119">
        <v>455</v>
      </c>
      <c r="B119" t="s">
        <v>349</v>
      </c>
      <c r="C119">
        <v>0</v>
      </c>
      <c r="D119">
        <v>0</v>
      </c>
      <c r="E119">
        <v>0</v>
      </c>
      <c r="F119">
        <v>0</v>
      </c>
      <c r="G119" t="s">
        <v>184</v>
      </c>
    </row>
    <row r="120" spans="1:7" x14ac:dyDescent="0.35">
      <c r="A120">
        <v>456</v>
      </c>
      <c r="B120" t="s">
        <v>506</v>
      </c>
      <c r="C120">
        <v>0</v>
      </c>
      <c r="D120">
        <v>0</v>
      </c>
      <c r="E120">
        <v>0</v>
      </c>
      <c r="F120">
        <v>0</v>
      </c>
      <c r="G120" t="s">
        <v>184</v>
      </c>
    </row>
    <row r="121" spans="1:7" x14ac:dyDescent="0.35">
      <c r="A121">
        <v>460</v>
      </c>
      <c r="B121" t="s">
        <v>353</v>
      </c>
      <c r="C121">
        <v>0</v>
      </c>
      <c r="D121">
        <v>0</v>
      </c>
      <c r="E121">
        <v>0</v>
      </c>
      <c r="F121">
        <v>0</v>
      </c>
      <c r="G121" t="s">
        <v>184</v>
      </c>
    </row>
    <row r="122" spans="1:7" x14ac:dyDescent="0.35">
      <c r="A122">
        <v>470</v>
      </c>
      <c r="B122" t="s">
        <v>507</v>
      </c>
      <c r="C122">
        <v>0</v>
      </c>
      <c r="D122">
        <v>0</v>
      </c>
      <c r="E122">
        <v>0</v>
      </c>
      <c r="F122">
        <v>0</v>
      </c>
      <c r="G122" t="s">
        <v>184</v>
      </c>
    </row>
    <row r="123" spans="1:7" x14ac:dyDescent="0.35">
      <c r="A123">
        <v>480</v>
      </c>
      <c r="B123" t="s">
        <v>352</v>
      </c>
      <c r="C123">
        <v>0</v>
      </c>
      <c r="D123">
        <v>0</v>
      </c>
      <c r="E123">
        <v>0</v>
      </c>
      <c r="F123">
        <v>0</v>
      </c>
      <c r="G123" t="s">
        <v>184</v>
      </c>
    </row>
    <row r="124" spans="1:7" x14ac:dyDescent="0.35">
      <c r="A124">
        <v>490</v>
      </c>
      <c r="B124" t="s">
        <v>508</v>
      </c>
      <c r="C124">
        <v>0</v>
      </c>
      <c r="D124">
        <v>0</v>
      </c>
      <c r="E124">
        <v>0</v>
      </c>
      <c r="F124">
        <v>0</v>
      </c>
      <c r="G124" t="s">
        <v>184</v>
      </c>
    </row>
    <row r="125" spans="1:7" x14ac:dyDescent="0.35">
      <c r="A125">
        <v>500</v>
      </c>
      <c r="B125" t="s">
        <v>351</v>
      </c>
      <c r="C125">
        <v>0</v>
      </c>
      <c r="D125">
        <v>0</v>
      </c>
      <c r="E125">
        <v>0</v>
      </c>
      <c r="F125">
        <v>0</v>
      </c>
      <c r="G125" t="s">
        <v>184</v>
      </c>
    </row>
    <row r="126" spans="1:7" x14ac:dyDescent="0.35">
      <c r="A126">
        <v>510</v>
      </c>
      <c r="B126" t="s">
        <v>509</v>
      </c>
      <c r="C126">
        <v>0</v>
      </c>
      <c r="D126">
        <v>0</v>
      </c>
      <c r="E126">
        <v>0</v>
      </c>
      <c r="F126">
        <v>0</v>
      </c>
      <c r="G126" t="s">
        <v>184</v>
      </c>
    </row>
    <row r="127" spans="1:7" x14ac:dyDescent="0.35">
      <c r="A127">
        <v>512</v>
      </c>
      <c r="B127" t="s">
        <v>510</v>
      </c>
      <c r="C127">
        <v>0</v>
      </c>
      <c r="D127">
        <v>-10822.51</v>
      </c>
      <c r="E127">
        <v>-10822.51</v>
      </c>
      <c r="F127">
        <v>0</v>
      </c>
      <c r="G127" t="s">
        <v>184</v>
      </c>
    </row>
    <row r="128" spans="1:7" x14ac:dyDescent="0.35">
      <c r="A128">
        <v>514</v>
      </c>
      <c r="B128" t="s">
        <v>511</v>
      </c>
      <c r="C128">
        <v>0</v>
      </c>
      <c r="D128">
        <v>10822.51</v>
      </c>
      <c r="E128">
        <v>10822.51</v>
      </c>
      <c r="F128">
        <v>0</v>
      </c>
      <c r="G128" t="s">
        <v>184</v>
      </c>
    </row>
    <row r="129" spans="1:7" x14ac:dyDescent="0.35">
      <c r="A129">
        <v>520</v>
      </c>
      <c r="B129" t="s">
        <v>512</v>
      </c>
      <c r="C129">
        <v>0</v>
      </c>
      <c r="D129">
        <v>0</v>
      </c>
      <c r="E129">
        <v>0</v>
      </c>
      <c r="F129">
        <v>0</v>
      </c>
      <c r="G129" t="s">
        <v>184</v>
      </c>
    </row>
    <row r="130" spans="1:7" x14ac:dyDescent="0.35">
      <c r="A130">
        <v>530</v>
      </c>
      <c r="B130" t="s">
        <v>513</v>
      </c>
      <c r="C130">
        <v>0</v>
      </c>
      <c r="D130">
        <v>0</v>
      </c>
      <c r="E130">
        <v>0</v>
      </c>
      <c r="F130">
        <v>0</v>
      </c>
      <c r="G130" t="s">
        <v>184</v>
      </c>
    </row>
    <row r="131" spans="1:7" x14ac:dyDescent="0.35">
      <c r="A131">
        <v>540</v>
      </c>
      <c r="B131" t="s">
        <v>514</v>
      </c>
      <c r="C131">
        <v>0</v>
      </c>
      <c r="D131">
        <v>-1390.38</v>
      </c>
      <c r="E131">
        <v>-1390.38</v>
      </c>
      <c r="F131">
        <v>0</v>
      </c>
      <c r="G131" t="s">
        <v>184</v>
      </c>
    </row>
    <row r="132" spans="1:7" x14ac:dyDescent="0.35">
      <c r="A132">
        <v>550</v>
      </c>
      <c r="B132" t="s">
        <v>515</v>
      </c>
      <c r="C132">
        <v>0</v>
      </c>
      <c r="D132">
        <v>1390.38</v>
      </c>
      <c r="E132">
        <v>1390.38</v>
      </c>
      <c r="F132">
        <v>0</v>
      </c>
      <c r="G132" t="s">
        <v>184</v>
      </c>
    </row>
    <row r="133" spans="1:7" x14ac:dyDescent="0.35">
      <c r="A133">
        <v>560</v>
      </c>
      <c r="B133" t="s">
        <v>516</v>
      </c>
      <c r="C133">
        <v>0</v>
      </c>
      <c r="D133">
        <v>-482296</v>
      </c>
      <c r="E133">
        <v>-482296</v>
      </c>
      <c r="F133">
        <v>0</v>
      </c>
      <c r="G133" t="s">
        <v>184</v>
      </c>
    </row>
    <row r="134" spans="1:7" x14ac:dyDescent="0.35">
      <c r="A134">
        <v>570</v>
      </c>
      <c r="B134" t="s">
        <v>517</v>
      </c>
      <c r="C134">
        <v>0</v>
      </c>
      <c r="D134">
        <v>482296</v>
      </c>
      <c r="E134">
        <v>482296</v>
      </c>
      <c r="F134">
        <v>0</v>
      </c>
      <c r="G134" t="s">
        <v>184</v>
      </c>
    </row>
    <row r="135" spans="1:7" x14ac:dyDescent="0.35">
      <c r="A135">
        <v>580</v>
      </c>
      <c r="B135" t="s">
        <v>518</v>
      </c>
      <c r="C135">
        <v>0</v>
      </c>
      <c r="D135">
        <v>0</v>
      </c>
      <c r="E135">
        <v>0</v>
      </c>
      <c r="F135">
        <v>0</v>
      </c>
      <c r="G135" t="s">
        <v>184</v>
      </c>
    </row>
    <row r="136" spans="1:7" x14ac:dyDescent="0.35">
      <c r="A136">
        <v>590</v>
      </c>
      <c r="B136" t="s">
        <v>519</v>
      </c>
      <c r="C136">
        <v>0</v>
      </c>
      <c r="D136">
        <v>0</v>
      </c>
      <c r="E136">
        <v>0</v>
      </c>
      <c r="F136">
        <v>0</v>
      </c>
      <c r="G136" t="s">
        <v>184</v>
      </c>
    </row>
    <row r="137" spans="1:7" x14ac:dyDescent="0.35">
      <c r="A137">
        <v>600</v>
      </c>
      <c r="B137" t="s">
        <v>520</v>
      </c>
      <c r="C137">
        <v>0</v>
      </c>
      <c r="D137">
        <v>0</v>
      </c>
      <c r="E137">
        <v>0</v>
      </c>
      <c r="F137">
        <v>0</v>
      </c>
      <c r="G137" t="s">
        <v>184</v>
      </c>
    </row>
    <row r="138" spans="1:7" x14ac:dyDescent="0.35">
      <c r="A138">
        <v>610</v>
      </c>
      <c r="B138" t="s">
        <v>521</v>
      </c>
      <c r="C138">
        <v>0</v>
      </c>
      <c r="D138">
        <v>0</v>
      </c>
      <c r="E138">
        <v>0</v>
      </c>
      <c r="F138">
        <v>0</v>
      </c>
      <c r="G138" t="s">
        <v>184</v>
      </c>
    </row>
    <row r="139" spans="1:7" x14ac:dyDescent="0.35">
      <c r="A139">
        <v>620</v>
      </c>
      <c r="B139" t="s">
        <v>522</v>
      </c>
      <c r="C139">
        <v>0</v>
      </c>
      <c r="D139">
        <v>0</v>
      </c>
      <c r="E139">
        <v>0</v>
      </c>
      <c r="F139">
        <v>0</v>
      </c>
      <c r="G139" t="s">
        <v>184</v>
      </c>
    </row>
    <row r="140" spans="1:7" x14ac:dyDescent="0.35">
      <c r="A140">
        <v>630</v>
      </c>
      <c r="B140" t="s">
        <v>523</v>
      </c>
      <c r="C140">
        <v>0</v>
      </c>
      <c r="D140">
        <v>0</v>
      </c>
      <c r="E140">
        <v>0</v>
      </c>
      <c r="F140">
        <v>0</v>
      </c>
      <c r="G140" t="s">
        <v>184</v>
      </c>
    </row>
    <row r="141" spans="1:7" x14ac:dyDescent="0.35">
      <c r="A141">
        <v>640</v>
      </c>
      <c r="B141" t="s">
        <v>524</v>
      </c>
      <c r="C141">
        <v>0</v>
      </c>
      <c r="D141">
        <v>0</v>
      </c>
      <c r="E141">
        <v>0</v>
      </c>
      <c r="F141">
        <v>0</v>
      </c>
      <c r="G141" t="s">
        <v>184</v>
      </c>
    </row>
    <row r="142" spans="1:7" x14ac:dyDescent="0.35">
      <c r="A142">
        <v>650</v>
      </c>
      <c r="B142" t="s">
        <v>525</v>
      </c>
      <c r="C142">
        <v>-1594153.74</v>
      </c>
      <c r="D142">
        <v>-818330.03</v>
      </c>
      <c r="E142">
        <v>-358463.43</v>
      </c>
      <c r="F142">
        <v>459866.6</v>
      </c>
      <c r="G142" t="s">
        <v>184</v>
      </c>
    </row>
    <row r="143" spans="1:7" x14ac:dyDescent="0.35">
      <c r="A143" t="s">
        <v>192</v>
      </c>
      <c r="B143" t="s">
        <v>172</v>
      </c>
      <c r="C143" t="s">
        <v>468</v>
      </c>
      <c r="D143" t="s">
        <v>469</v>
      </c>
      <c r="E143" t="s">
        <v>470</v>
      </c>
      <c r="F143" t="s">
        <v>471</v>
      </c>
      <c r="G143" t="s">
        <v>183</v>
      </c>
    </row>
    <row r="144" spans="1:7" x14ac:dyDescent="0.35">
      <c r="A144">
        <v>10</v>
      </c>
      <c r="B144" t="s">
        <v>472</v>
      </c>
      <c r="C144">
        <v>0</v>
      </c>
      <c r="D144">
        <v>0</v>
      </c>
      <c r="E144">
        <v>0</v>
      </c>
      <c r="F144">
        <v>0</v>
      </c>
      <c r="G144" t="s">
        <v>184</v>
      </c>
    </row>
    <row r="145" spans="1:7" x14ac:dyDescent="0.35">
      <c r="A145">
        <v>20</v>
      </c>
      <c r="B145" t="s">
        <v>147</v>
      </c>
      <c r="C145">
        <v>28194649.02</v>
      </c>
      <c r="D145">
        <v>0</v>
      </c>
      <c r="E145">
        <v>255219475.28999999</v>
      </c>
      <c r="F145">
        <v>255219475.28999999</v>
      </c>
      <c r="G145" t="s">
        <v>184</v>
      </c>
    </row>
    <row r="146" spans="1:7" x14ac:dyDescent="0.35">
      <c r="A146">
        <v>30</v>
      </c>
      <c r="B146" t="s">
        <v>473</v>
      </c>
      <c r="C146">
        <v>182536.76</v>
      </c>
      <c r="D146">
        <v>0</v>
      </c>
      <c r="E146">
        <v>2182825.39</v>
      </c>
      <c r="F146">
        <v>2182825.39</v>
      </c>
      <c r="G146" t="s">
        <v>184</v>
      </c>
    </row>
    <row r="147" spans="1:7" x14ac:dyDescent="0.35">
      <c r="A147">
        <v>35</v>
      </c>
      <c r="B147" t="s">
        <v>474</v>
      </c>
      <c r="C147">
        <v>28012112.260000002</v>
      </c>
      <c r="D147">
        <v>0</v>
      </c>
      <c r="E147">
        <v>253036649.90000001</v>
      </c>
      <c r="F147">
        <v>253036649.90000001</v>
      </c>
      <c r="G147" t="s">
        <v>184</v>
      </c>
    </row>
    <row r="148" spans="1:7" x14ac:dyDescent="0.35">
      <c r="A148">
        <v>40</v>
      </c>
      <c r="B148" t="s">
        <v>475</v>
      </c>
      <c r="C148">
        <v>22803076.539999999</v>
      </c>
      <c r="D148">
        <v>0</v>
      </c>
      <c r="E148">
        <v>206344376.28</v>
      </c>
      <c r="F148">
        <v>206344376.28</v>
      </c>
      <c r="G148" t="s">
        <v>184</v>
      </c>
    </row>
    <row r="149" spans="1:7" x14ac:dyDescent="0.35">
      <c r="A149">
        <v>50</v>
      </c>
      <c r="B149" t="s">
        <v>476</v>
      </c>
      <c r="C149">
        <v>0</v>
      </c>
      <c r="D149">
        <v>0</v>
      </c>
      <c r="E149">
        <v>0</v>
      </c>
      <c r="F149">
        <v>0</v>
      </c>
      <c r="G149" t="s">
        <v>184</v>
      </c>
    </row>
    <row r="150" spans="1:7" x14ac:dyDescent="0.35">
      <c r="A150">
        <v>60</v>
      </c>
      <c r="B150" t="s">
        <v>477</v>
      </c>
      <c r="C150">
        <v>5209035.72</v>
      </c>
      <c r="D150">
        <v>0</v>
      </c>
      <c r="E150">
        <v>46692273.619999997</v>
      </c>
      <c r="F150">
        <v>46692273.619999997</v>
      </c>
      <c r="G150" t="s">
        <v>184</v>
      </c>
    </row>
    <row r="151" spans="1:7" x14ac:dyDescent="0.35">
      <c r="A151">
        <v>70</v>
      </c>
      <c r="B151" t="s">
        <v>152</v>
      </c>
      <c r="C151">
        <v>2555200.66</v>
      </c>
      <c r="D151">
        <v>0</v>
      </c>
      <c r="E151">
        <v>23099693.649999999</v>
      </c>
      <c r="F151">
        <v>23099693.649999999</v>
      </c>
      <c r="G151" t="s">
        <v>184</v>
      </c>
    </row>
    <row r="152" spans="1:7" x14ac:dyDescent="0.35">
      <c r="A152">
        <v>80</v>
      </c>
      <c r="B152" t="s">
        <v>153</v>
      </c>
      <c r="C152">
        <v>971276.21</v>
      </c>
      <c r="D152">
        <v>0</v>
      </c>
      <c r="E152">
        <v>8707605.5399999991</v>
      </c>
      <c r="F152">
        <v>8707605.5399999991</v>
      </c>
      <c r="G152" t="s">
        <v>184</v>
      </c>
    </row>
    <row r="153" spans="1:7" x14ac:dyDescent="0.35">
      <c r="A153">
        <v>90</v>
      </c>
      <c r="B153" t="s">
        <v>478</v>
      </c>
      <c r="C153">
        <v>110029.08</v>
      </c>
      <c r="D153">
        <v>0</v>
      </c>
      <c r="E153">
        <v>1113996.57</v>
      </c>
      <c r="F153">
        <v>1113996.57</v>
      </c>
      <c r="G153" t="s">
        <v>184</v>
      </c>
    </row>
    <row r="154" spans="1:7" x14ac:dyDescent="0.35">
      <c r="A154">
        <v>100</v>
      </c>
      <c r="B154" t="s">
        <v>479</v>
      </c>
      <c r="C154">
        <v>1572529.77</v>
      </c>
      <c r="D154">
        <v>0</v>
      </c>
      <c r="E154">
        <v>13770977.859999999</v>
      </c>
      <c r="F154">
        <v>13770977.859999999</v>
      </c>
      <c r="G154" t="s">
        <v>184</v>
      </c>
    </row>
    <row r="155" spans="1:7" x14ac:dyDescent="0.35">
      <c r="A155">
        <v>110</v>
      </c>
      <c r="B155" t="s">
        <v>480</v>
      </c>
      <c r="C155">
        <v>-23084.89</v>
      </c>
      <c r="D155">
        <v>0</v>
      </c>
      <c r="E155">
        <v>-148428.43</v>
      </c>
      <c r="F155">
        <v>-148428.43</v>
      </c>
      <c r="G155" t="s">
        <v>184</v>
      </c>
    </row>
    <row r="156" spans="1:7" x14ac:dyDescent="0.35">
      <c r="A156">
        <v>120</v>
      </c>
      <c r="B156" t="s">
        <v>481</v>
      </c>
      <c r="C156">
        <v>11001.82</v>
      </c>
      <c r="D156">
        <v>0</v>
      </c>
      <c r="E156">
        <v>-68054.039999999994</v>
      </c>
      <c r="F156">
        <v>-68054.039999999994</v>
      </c>
      <c r="G156" t="s">
        <v>184</v>
      </c>
    </row>
    <row r="157" spans="1:7" x14ac:dyDescent="0.35">
      <c r="A157">
        <v>130</v>
      </c>
      <c r="B157" t="s">
        <v>482</v>
      </c>
      <c r="C157">
        <v>74497.09</v>
      </c>
      <c r="D157">
        <v>0</v>
      </c>
      <c r="E157">
        <v>540671.28</v>
      </c>
      <c r="F157">
        <v>540671.28</v>
      </c>
      <c r="G157" t="s">
        <v>184</v>
      </c>
    </row>
    <row r="158" spans="1:7" x14ac:dyDescent="0.35">
      <c r="A158">
        <v>140</v>
      </c>
      <c r="B158" t="s">
        <v>483</v>
      </c>
      <c r="C158">
        <v>19081.29</v>
      </c>
      <c r="D158">
        <v>0</v>
      </c>
      <c r="E158">
        <v>50934.61</v>
      </c>
      <c r="F158">
        <v>50934.61</v>
      </c>
      <c r="G158" t="s">
        <v>184</v>
      </c>
    </row>
    <row r="159" spans="1:7" x14ac:dyDescent="0.35">
      <c r="A159">
        <v>145</v>
      </c>
      <c r="B159" t="s">
        <v>162</v>
      </c>
      <c r="C159">
        <v>43332.73</v>
      </c>
      <c r="D159">
        <v>0</v>
      </c>
      <c r="E159">
        <v>273254.2</v>
      </c>
      <c r="F159">
        <v>273254.2</v>
      </c>
      <c r="G159" t="s">
        <v>184</v>
      </c>
    </row>
    <row r="160" spans="1:7" x14ac:dyDescent="0.35">
      <c r="A160">
        <v>150</v>
      </c>
      <c r="B160" t="s">
        <v>484</v>
      </c>
      <c r="C160">
        <v>1529197.04</v>
      </c>
      <c r="D160">
        <v>0</v>
      </c>
      <c r="E160">
        <v>13497723.66</v>
      </c>
      <c r="F160">
        <v>13497723.66</v>
      </c>
      <c r="G160" t="s">
        <v>184</v>
      </c>
    </row>
    <row r="161" spans="1:7" x14ac:dyDescent="0.35">
      <c r="A161">
        <v>160</v>
      </c>
      <c r="B161" t="s">
        <v>485</v>
      </c>
      <c r="C161">
        <v>400000</v>
      </c>
      <c r="D161">
        <v>0</v>
      </c>
      <c r="E161">
        <v>3450000</v>
      </c>
      <c r="F161">
        <v>3450000</v>
      </c>
      <c r="G161" t="s">
        <v>184</v>
      </c>
    </row>
    <row r="162" spans="1:7" x14ac:dyDescent="0.35">
      <c r="A162">
        <v>170</v>
      </c>
      <c r="B162" t="s">
        <v>166</v>
      </c>
      <c r="C162">
        <v>1129197.04</v>
      </c>
      <c r="D162">
        <v>0</v>
      </c>
      <c r="E162">
        <v>10047723.66</v>
      </c>
      <c r="F162">
        <v>10047723.66</v>
      </c>
      <c r="G162" t="s">
        <v>184</v>
      </c>
    </row>
    <row r="163" spans="1:7" x14ac:dyDescent="0.35">
      <c r="A163">
        <v>190</v>
      </c>
      <c r="B163" t="s">
        <v>486</v>
      </c>
      <c r="C163">
        <v>0</v>
      </c>
      <c r="D163">
        <v>0</v>
      </c>
      <c r="E163">
        <v>0</v>
      </c>
      <c r="F163">
        <v>0</v>
      </c>
      <c r="G163" t="s">
        <v>184</v>
      </c>
    </row>
    <row r="164" spans="1:7" x14ac:dyDescent="0.35">
      <c r="A164">
        <v>200</v>
      </c>
      <c r="B164" t="s">
        <v>166</v>
      </c>
      <c r="C164">
        <v>1129197.04</v>
      </c>
      <c r="D164">
        <v>0</v>
      </c>
      <c r="E164">
        <v>10047723.66</v>
      </c>
      <c r="F164">
        <v>10047723.66</v>
      </c>
      <c r="G164" t="s">
        <v>184</v>
      </c>
    </row>
    <row r="165" spans="1:7" x14ac:dyDescent="0.35">
      <c r="A165">
        <v>210</v>
      </c>
      <c r="B165" t="s">
        <v>487</v>
      </c>
      <c r="C165">
        <v>1129197.04</v>
      </c>
      <c r="D165">
        <v>0</v>
      </c>
      <c r="E165">
        <v>10047723.66</v>
      </c>
      <c r="F165">
        <v>10047723.66</v>
      </c>
      <c r="G165" t="s">
        <v>184</v>
      </c>
    </row>
    <row r="166" spans="1:7" x14ac:dyDescent="0.35">
      <c r="A166">
        <v>220</v>
      </c>
      <c r="B166" t="s">
        <v>488</v>
      </c>
      <c r="C166">
        <v>0</v>
      </c>
      <c r="D166">
        <v>0</v>
      </c>
      <c r="E166">
        <v>0</v>
      </c>
      <c r="F166">
        <v>0</v>
      </c>
      <c r="G166" t="s">
        <v>184</v>
      </c>
    </row>
    <row r="167" spans="1:7" x14ac:dyDescent="0.35">
      <c r="A167">
        <v>230</v>
      </c>
      <c r="B167" t="s">
        <v>341</v>
      </c>
      <c r="C167">
        <v>-2136922.4500000002</v>
      </c>
      <c r="D167">
        <v>-27616815.77</v>
      </c>
      <c r="E167">
        <v>-25889916.25</v>
      </c>
      <c r="F167">
        <v>1726899.52</v>
      </c>
      <c r="G167" t="s">
        <v>184</v>
      </c>
    </row>
    <row r="168" spans="1:7" x14ac:dyDescent="0.35">
      <c r="A168">
        <v>235</v>
      </c>
      <c r="B168" t="s">
        <v>489</v>
      </c>
      <c r="C168">
        <v>4211.92</v>
      </c>
      <c r="D168">
        <v>-92.12</v>
      </c>
      <c r="E168">
        <v>-43223.4</v>
      </c>
      <c r="F168">
        <v>-43131.28</v>
      </c>
      <c r="G168" t="s">
        <v>184</v>
      </c>
    </row>
    <row r="169" spans="1:7" x14ac:dyDescent="0.35">
      <c r="A169">
        <v>240</v>
      </c>
      <c r="B169" t="s">
        <v>342</v>
      </c>
      <c r="C169">
        <v>-49855.46</v>
      </c>
      <c r="D169">
        <v>-5905206.8099999996</v>
      </c>
      <c r="E169">
        <v>-12747500.75</v>
      </c>
      <c r="F169">
        <v>-6842293.9400000004</v>
      </c>
      <c r="G169" t="s">
        <v>184</v>
      </c>
    </row>
    <row r="170" spans="1:7" x14ac:dyDescent="0.35">
      <c r="A170">
        <v>250</v>
      </c>
      <c r="B170" t="s">
        <v>343</v>
      </c>
      <c r="C170">
        <v>1629276.82</v>
      </c>
      <c r="D170">
        <v>-11381284.710000001</v>
      </c>
      <c r="E170">
        <v>-8979252.8200000003</v>
      </c>
      <c r="F170">
        <v>2402031.89</v>
      </c>
      <c r="G170" t="s">
        <v>184</v>
      </c>
    </row>
    <row r="171" spans="1:7" x14ac:dyDescent="0.35">
      <c r="A171">
        <v>260</v>
      </c>
      <c r="B171" t="s">
        <v>490</v>
      </c>
      <c r="C171">
        <v>-612029.23</v>
      </c>
      <c r="D171">
        <v>548146.68000000005</v>
      </c>
      <c r="E171">
        <v>-4421642.8099999996</v>
      </c>
      <c r="F171">
        <v>-4969789.49</v>
      </c>
      <c r="G171" t="s">
        <v>184</v>
      </c>
    </row>
    <row r="172" spans="1:7" x14ac:dyDescent="0.35">
      <c r="A172">
        <v>270</v>
      </c>
      <c r="B172" t="s">
        <v>344</v>
      </c>
      <c r="C172">
        <v>-610433.28000000003</v>
      </c>
      <c r="D172">
        <v>-16083309.4</v>
      </c>
      <c r="E172">
        <v>-22637497.390000001</v>
      </c>
      <c r="F172">
        <v>-6554187.9900000002</v>
      </c>
      <c r="G172" t="s">
        <v>184</v>
      </c>
    </row>
    <row r="173" spans="1:7" x14ac:dyDescent="0.35">
      <c r="A173">
        <v>300</v>
      </c>
      <c r="B173" t="s">
        <v>367</v>
      </c>
      <c r="C173">
        <v>-1083352.8500000001</v>
      </c>
      <c r="D173">
        <v>12709919.23</v>
      </c>
      <c r="E173">
        <v>9673786.1300000008</v>
      </c>
      <c r="F173">
        <v>-3036133.1</v>
      </c>
      <c r="G173" t="s">
        <v>184</v>
      </c>
    </row>
    <row r="174" spans="1:7" x14ac:dyDescent="0.35">
      <c r="A174">
        <v>310</v>
      </c>
      <c r="B174" t="s">
        <v>491</v>
      </c>
      <c r="C174">
        <v>327928.81</v>
      </c>
      <c r="D174">
        <v>4260251.66</v>
      </c>
      <c r="E174">
        <v>3505015.08</v>
      </c>
      <c r="F174">
        <v>-755236.58</v>
      </c>
      <c r="G174" t="s">
        <v>184</v>
      </c>
    </row>
    <row r="175" spans="1:7" x14ac:dyDescent="0.35">
      <c r="A175">
        <v>320</v>
      </c>
      <c r="B175" t="s">
        <v>492</v>
      </c>
      <c r="C175">
        <v>37942.519999999997</v>
      </c>
      <c r="D175">
        <v>2762194.52</v>
      </c>
      <c r="E175">
        <v>7789592.4100000001</v>
      </c>
      <c r="F175">
        <v>5027397.8899999997</v>
      </c>
      <c r="G175" t="s">
        <v>184</v>
      </c>
    </row>
    <row r="176" spans="1:7" x14ac:dyDescent="0.35">
      <c r="A176">
        <v>325</v>
      </c>
      <c r="B176" t="s">
        <v>493</v>
      </c>
      <c r="C176">
        <v>-103236.08</v>
      </c>
      <c r="D176">
        <v>627864.85</v>
      </c>
      <c r="E176">
        <v>-787831.63</v>
      </c>
      <c r="F176">
        <v>-1415696.48</v>
      </c>
      <c r="G176" t="s">
        <v>184</v>
      </c>
    </row>
    <row r="177" spans="1:7" x14ac:dyDescent="0.35">
      <c r="A177">
        <v>330</v>
      </c>
      <c r="B177" t="s">
        <v>494</v>
      </c>
      <c r="C177">
        <v>784712.9</v>
      </c>
      <c r="D177">
        <v>8344446.2199999997</v>
      </c>
      <c r="E177">
        <v>14933033.73</v>
      </c>
      <c r="F177">
        <v>6588587.5099999998</v>
      </c>
      <c r="G177" t="s">
        <v>184</v>
      </c>
    </row>
    <row r="178" spans="1:7" x14ac:dyDescent="0.35">
      <c r="A178">
        <v>340</v>
      </c>
      <c r="B178" t="s">
        <v>495</v>
      </c>
      <c r="C178">
        <v>-111364.03</v>
      </c>
      <c r="D178">
        <v>406113.05</v>
      </c>
      <c r="E178">
        <v>-887439.99</v>
      </c>
      <c r="F178">
        <v>-1293553.04</v>
      </c>
      <c r="G178" t="s">
        <v>184</v>
      </c>
    </row>
    <row r="179" spans="1:7" x14ac:dyDescent="0.35">
      <c r="A179">
        <v>380</v>
      </c>
      <c r="B179" t="s">
        <v>496</v>
      </c>
      <c r="C179">
        <v>-1923120.41</v>
      </c>
      <c r="D179">
        <v>-31327772.600000001</v>
      </c>
      <c r="E179">
        <v>-40492877.689999998</v>
      </c>
      <c r="F179">
        <v>-9165105.0899999999</v>
      </c>
      <c r="G179" t="s">
        <v>184</v>
      </c>
    </row>
    <row r="180" spans="1:7" x14ac:dyDescent="0.35">
      <c r="A180">
        <v>390</v>
      </c>
      <c r="B180" t="s">
        <v>497</v>
      </c>
      <c r="C180">
        <v>0</v>
      </c>
      <c r="D180">
        <v>0</v>
      </c>
      <c r="E180">
        <v>0</v>
      </c>
      <c r="F180">
        <v>0</v>
      </c>
      <c r="G180" t="s">
        <v>184</v>
      </c>
    </row>
    <row r="181" spans="1:7" x14ac:dyDescent="0.35">
      <c r="A181">
        <v>400</v>
      </c>
      <c r="B181" t="s">
        <v>526</v>
      </c>
      <c r="C181">
        <v>-54629.54</v>
      </c>
      <c r="D181">
        <v>2427024.25</v>
      </c>
      <c r="E181">
        <v>2425023.94</v>
      </c>
      <c r="F181">
        <v>-2000.31</v>
      </c>
      <c r="G181" t="s">
        <v>184</v>
      </c>
    </row>
    <row r="182" spans="1:7" x14ac:dyDescent="0.35">
      <c r="A182">
        <v>405</v>
      </c>
      <c r="B182" t="s">
        <v>499</v>
      </c>
      <c r="C182">
        <v>-50248.160000000003</v>
      </c>
      <c r="D182">
        <v>1106110.08</v>
      </c>
      <c r="E182">
        <v>653876.64</v>
      </c>
      <c r="F182">
        <v>-452233.44</v>
      </c>
      <c r="G182" t="s">
        <v>184</v>
      </c>
    </row>
    <row r="183" spans="1:7" x14ac:dyDescent="0.35">
      <c r="A183">
        <v>410</v>
      </c>
      <c r="B183" t="s">
        <v>382</v>
      </c>
      <c r="C183">
        <v>0</v>
      </c>
      <c r="D183">
        <v>22536000</v>
      </c>
      <c r="E183">
        <v>22536000</v>
      </c>
      <c r="F183">
        <v>0</v>
      </c>
      <c r="G183" t="s">
        <v>184</v>
      </c>
    </row>
    <row r="184" spans="1:7" x14ac:dyDescent="0.35">
      <c r="A184">
        <v>420</v>
      </c>
      <c r="B184" t="s">
        <v>500</v>
      </c>
      <c r="C184">
        <v>0</v>
      </c>
      <c r="D184">
        <v>-8796584.5199999996</v>
      </c>
      <c r="E184">
        <v>-8796584.5199999996</v>
      </c>
      <c r="F184">
        <v>0</v>
      </c>
      <c r="G184" t="s">
        <v>184</v>
      </c>
    </row>
    <row r="185" spans="1:7" x14ac:dyDescent="0.35">
      <c r="A185">
        <v>425</v>
      </c>
      <c r="B185" t="s">
        <v>501</v>
      </c>
      <c r="C185">
        <v>0</v>
      </c>
      <c r="D185">
        <v>99793</v>
      </c>
      <c r="E185">
        <v>99793</v>
      </c>
      <c r="F185">
        <v>0</v>
      </c>
      <c r="G185" t="s">
        <v>184</v>
      </c>
    </row>
    <row r="186" spans="1:7" x14ac:dyDescent="0.35">
      <c r="A186">
        <v>427</v>
      </c>
      <c r="B186" t="s">
        <v>502</v>
      </c>
      <c r="C186">
        <v>0</v>
      </c>
      <c r="D186">
        <v>0</v>
      </c>
      <c r="E186">
        <v>0</v>
      </c>
      <c r="F186">
        <v>0</v>
      </c>
      <c r="G186" t="s">
        <v>184</v>
      </c>
    </row>
    <row r="187" spans="1:7" x14ac:dyDescent="0.35">
      <c r="A187">
        <v>430</v>
      </c>
      <c r="B187" t="s">
        <v>503</v>
      </c>
      <c r="C187">
        <v>0</v>
      </c>
      <c r="D187">
        <v>34266302.710000001</v>
      </c>
      <c r="E187">
        <v>34266302.710000001</v>
      </c>
      <c r="F187">
        <v>0</v>
      </c>
      <c r="G187" t="s">
        <v>184</v>
      </c>
    </row>
    <row r="188" spans="1:7" x14ac:dyDescent="0.35">
      <c r="A188">
        <v>440</v>
      </c>
      <c r="B188" t="s">
        <v>504</v>
      </c>
      <c r="C188">
        <v>-104877.7</v>
      </c>
      <c r="D188">
        <v>51638645.520000003</v>
      </c>
      <c r="E188">
        <v>51184411.770000003</v>
      </c>
      <c r="F188">
        <v>-454233.75</v>
      </c>
      <c r="G188" t="s">
        <v>184</v>
      </c>
    </row>
    <row r="189" spans="1:7" x14ac:dyDescent="0.35">
      <c r="A189">
        <v>450</v>
      </c>
      <c r="B189" t="s">
        <v>505</v>
      </c>
      <c r="C189">
        <v>0</v>
      </c>
      <c r="D189">
        <v>0</v>
      </c>
      <c r="E189">
        <v>0</v>
      </c>
      <c r="F189">
        <v>0</v>
      </c>
      <c r="G189" t="s">
        <v>184</v>
      </c>
    </row>
    <row r="190" spans="1:7" x14ac:dyDescent="0.35">
      <c r="A190">
        <v>455</v>
      </c>
      <c r="B190" t="s">
        <v>349</v>
      </c>
      <c r="C190">
        <v>0</v>
      </c>
      <c r="D190">
        <v>-1700068.36</v>
      </c>
      <c r="E190">
        <v>-1700068.36</v>
      </c>
      <c r="F190">
        <v>0</v>
      </c>
      <c r="G190" t="s">
        <v>184</v>
      </c>
    </row>
    <row r="191" spans="1:7" x14ac:dyDescent="0.35">
      <c r="A191">
        <v>456</v>
      </c>
      <c r="B191" t="s">
        <v>506</v>
      </c>
      <c r="C191">
        <v>3057.82</v>
      </c>
      <c r="D191">
        <v>2617031.6</v>
      </c>
      <c r="E191">
        <v>2644551.98</v>
      </c>
      <c r="F191">
        <v>27520.38</v>
      </c>
      <c r="G191" t="s">
        <v>184</v>
      </c>
    </row>
    <row r="192" spans="1:7" x14ac:dyDescent="0.35">
      <c r="A192">
        <v>460</v>
      </c>
      <c r="B192" t="s">
        <v>353</v>
      </c>
      <c r="C192">
        <v>-11194.41</v>
      </c>
      <c r="D192">
        <v>-4156598.65</v>
      </c>
      <c r="E192">
        <v>-4451251.46</v>
      </c>
      <c r="F192">
        <v>-294652.81</v>
      </c>
      <c r="G192" t="s">
        <v>184</v>
      </c>
    </row>
    <row r="193" spans="1:7" x14ac:dyDescent="0.35">
      <c r="A193">
        <v>470</v>
      </c>
      <c r="B193" t="s">
        <v>507</v>
      </c>
      <c r="C193">
        <v>8144.5</v>
      </c>
      <c r="D193">
        <v>2413819.27</v>
      </c>
      <c r="E193">
        <v>2544131.27</v>
      </c>
      <c r="F193">
        <v>130312</v>
      </c>
      <c r="G193" t="s">
        <v>184</v>
      </c>
    </row>
    <row r="194" spans="1:7" x14ac:dyDescent="0.35">
      <c r="A194">
        <v>480</v>
      </c>
      <c r="B194" t="s">
        <v>352</v>
      </c>
      <c r="C194">
        <v>0</v>
      </c>
      <c r="D194">
        <v>-14297381.32</v>
      </c>
      <c r="E194">
        <v>-16265836.710000001</v>
      </c>
      <c r="F194">
        <v>-1968455.39</v>
      </c>
      <c r="G194" t="s">
        <v>184</v>
      </c>
    </row>
    <row r="195" spans="1:7" x14ac:dyDescent="0.35">
      <c r="A195">
        <v>490</v>
      </c>
      <c r="B195" t="s">
        <v>508</v>
      </c>
      <c r="C195">
        <v>55041.4</v>
      </c>
      <c r="D195">
        <v>8510393.3000000007</v>
      </c>
      <c r="E195">
        <v>8905052.2100000009</v>
      </c>
      <c r="F195">
        <v>394658.91</v>
      </c>
      <c r="G195" t="s">
        <v>184</v>
      </c>
    </row>
    <row r="196" spans="1:7" x14ac:dyDescent="0.35">
      <c r="A196">
        <v>500</v>
      </c>
      <c r="B196" t="s">
        <v>351</v>
      </c>
      <c r="C196">
        <v>-9258.33</v>
      </c>
      <c r="D196">
        <v>-964866.96</v>
      </c>
      <c r="E196">
        <v>-980158.91</v>
      </c>
      <c r="F196">
        <v>-15291.95</v>
      </c>
      <c r="G196" t="s">
        <v>184</v>
      </c>
    </row>
    <row r="197" spans="1:7" x14ac:dyDescent="0.35">
      <c r="A197">
        <v>510</v>
      </c>
      <c r="B197" t="s">
        <v>509</v>
      </c>
      <c r="C197">
        <v>5780.3</v>
      </c>
      <c r="D197">
        <v>690205.56</v>
      </c>
      <c r="E197">
        <v>742228.26</v>
      </c>
      <c r="F197">
        <v>52022.7</v>
      </c>
      <c r="G197" t="s">
        <v>184</v>
      </c>
    </row>
    <row r="198" spans="1:7" x14ac:dyDescent="0.35">
      <c r="A198">
        <v>512</v>
      </c>
      <c r="B198" t="s">
        <v>510</v>
      </c>
      <c r="C198">
        <v>0</v>
      </c>
      <c r="D198">
        <v>-782663.08</v>
      </c>
      <c r="E198">
        <v>-793916.08</v>
      </c>
      <c r="F198">
        <v>-11253</v>
      </c>
      <c r="G198" t="s">
        <v>184</v>
      </c>
    </row>
    <row r="199" spans="1:7" x14ac:dyDescent="0.35">
      <c r="A199">
        <v>514</v>
      </c>
      <c r="B199" t="s">
        <v>511</v>
      </c>
      <c r="C199">
        <v>4880.3900000000003</v>
      </c>
      <c r="D199">
        <v>1040558.05</v>
      </c>
      <c r="E199">
        <v>1084481.56</v>
      </c>
      <c r="F199">
        <v>43923.51</v>
      </c>
      <c r="G199" t="s">
        <v>184</v>
      </c>
    </row>
    <row r="200" spans="1:7" x14ac:dyDescent="0.35">
      <c r="A200">
        <v>520</v>
      </c>
      <c r="B200" t="s">
        <v>512</v>
      </c>
      <c r="C200">
        <v>0</v>
      </c>
      <c r="D200">
        <v>-151045.79999999999</v>
      </c>
      <c r="E200">
        <v>-151045.79999999999</v>
      </c>
      <c r="F200">
        <v>0</v>
      </c>
      <c r="G200" t="s">
        <v>184</v>
      </c>
    </row>
    <row r="201" spans="1:7" x14ac:dyDescent="0.35">
      <c r="A201">
        <v>530</v>
      </c>
      <c r="B201" t="s">
        <v>513</v>
      </c>
      <c r="C201">
        <v>0</v>
      </c>
      <c r="D201">
        <v>0</v>
      </c>
      <c r="E201">
        <v>0</v>
      </c>
      <c r="F201">
        <v>0</v>
      </c>
      <c r="G201" t="s">
        <v>184</v>
      </c>
    </row>
    <row r="202" spans="1:7" x14ac:dyDescent="0.35">
      <c r="A202">
        <v>540</v>
      </c>
      <c r="B202" t="s">
        <v>514</v>
      </c>
      <c r="C202">
        <v>0</v>
      </c>
      <c r="D202">
        <v>-9013.7900000000009</v>
      </c>
      <c r="E202">
        <v>-9013.7900000000009</v>
      </c>
      <c r="F202">
        <v>0</v>
      </c>
      <c r="G202" t="s">
        <v>184</v>
      </c>
    </row>
    <row r="203" spans="1:7" x14ac:dyDescent="0.35">
      <c r="A203">
        <v>550</v>
      </c>
      <c r="B203" t="s">
        <v>515</v>
      </c>
      <c r="C203">
        <v>21.9</v>
      </c>
      <c r="D203">
        <v>47300.91</v>
      </c>
      <c r="E203">
        <v>47421.36</v>
      </c>
      <c r="F203">
        <v>120.45</v>
      </c>
      <c r="G203" t="s">
        <v>184</v>
      </c>
    </row>
    <row r="204" spans="1:7" x14ac:dyDescent="0.35">
      <c r="A204">
        <v>560</v>
      </c>
      <c r="B204" t="s">
        <v>516</v>
      </c>
      <c r="C204">
        <v>-3686.51</v>
      </c>
      <c r="D204">
        <v>-286413.45</v>
      </c>
      <c r="E204">
        <v>-305074.67</v>
      </c>
      <c r="F204">
        <v>-18661.22</v>
      </c>
      <c r="G204" t="s">
        <v>184</v>
      </c>
    </row>
    <row r="205" spans="1:7" x14ac:dyDescent="0.35">
      <c r="A205">
        <v>570</v>
      </c>
      <c r="B205" t="s">
        <v>517</v>
      </c>
      <c r="C205">
        <v>1434.55</v>
      </c>
      <c r="D205">
        <v>294541.45</v>
      </c>
      <c r="E205">
        <v>307452.40000000002</v>
      </c>
      <c r="F205">
        <v>12910.95</v>
      </c>
      <c r="G205" t="s">
        <v>184</v>
      </c>
    </row>
    <row r="206" spans="1:7" x14ac:dyDescent="0.35">
      <c r="A206">
        <v>580</v>
      </c>
      <c r="B206" t="s">
        <v>518</v>
      </c>
      <c r="C206">
        <v>0</v>
      </c>
      <c r="D206">
        <v>-13991196.58</v>
      </c>
      <c r="E206">
        <v>-13991196.58</v>
      </c>
      <c r="F206">
        <v>0</v>
      </c>
      <c r="G206" t="s">
        <v>184</v>
      </c>
    </row>
    <row r="207" spans="1:7" x14ac:dyDescent="0.35">
      <c r="A207">
        <v>590</v>
      </c>
      <c r="B207" t="s">
        <v>519</v>
      </c>
      <c r="C207">
        <v>28270.11</v>
      </c>
      <c r="D207">
        <v>4014032.2</v>
      </c>
      <c r="E207">
        <v>4268463.1900000004</v>
      </c>
      <c r="F207">
        <v>254430.99</v>
      </c>
      <c r="G207" t="s">
        <v>184</v>
      </c>
    </row>
    <row r="208" spans="1:7" x14ac:dyDescent="0.35">
      <c r="A208">
        <v>600</v>
      </c>
      <c r="B208" t="s">
        <v>520</v>
      </c>
      <c r="C208">
        <v>0</v>
      </c>
      <c r="D208">
        <v>-1759336.4</v>
      </c>
      <c r="E208">
        <v>-1759336.4</v>
      </c>
      <c r="F208">
        <v>0</v>
      </c>
      <c r="G208" t="s">
        <v>184</v>
      </c>
    </row>
    <row r="209" spans="1:7" x14ac:dyDescent="0.35">
      <c r="A209">
        <v>610</v>
      </c>
      <c r="B209" t="s">
        <v>521</v>
      </c>
      <c r="C209">
        <v>3398.11</v>
      </c>
      <c r="D209">
        <v>1504230.58</v>
      </c>
      <c r="E209">
        <v>1534813.57</v>
      </c>
      <c r="F209">
        <v>30582.99</v>
      </c>
      <c r="G209" t="s">
        <v>184</v>
      </c>
    </row>
    <row r="210" spans="1:7" x14ac:dyDescent="0.35">
      <c r="A210">
        <v>620</v>
      </c>
      <c r="B210" t="s">
        <v>522</v>
      </c>
      <c r="C210">
        <v>0</v>
      </c>
      <c r="D210">
        <v>0</v>
      </c>
      <c r="E210">
        <v>0</v>
      </c>
      <c r="F210">
        <v>0</v>
      </c>
      <c r="G210" t="s">
        <v>184</v>
      </c>
    </row>
    <row r="211" spans="1:7" x14ac:dyDescent="0.35">
      <c r="A211">
        <v>630</v>
      </c>
      <c r="B211" t="s">
        <v>523</v>
      </c>
      <c r="C211">
        <v>0</v>
      </c>
      <c r="D211">
        <v>0</v>
      </c>
      <c r="E211">
        <v>0</v>
      </c>
      <c r="F211">
        <v>0</v>
      </c>
      <c r="G211" t="s">
        <v>184</v>
      </c>
    </row>
    <row r="212" spans="1:7" x14ac:dyDescent="0.35">
      <c r="A212">
        <v>640</v>
      </c>
      <c r="B212" t="s">
        <v>524</v>
      </c>
      <c r="C212">
        <v>85889.83</v>
      </c>
      <c r="D212">
        <v>-16966471.469999999</v>
      </c>
      <c r="E212">
        <v>-18328302.960000001</v>
      </c>
      <c r="F212">
        <v>-1361831.49</v>
      </c>
      <c r="G212" t="s">
        <v>184</v>
      </c>
    </row>
    <row r="213" spans="1:7" x14ac:dyDescent="0.35">
      <c r="A213">
        <v>650</v>
      </c>
      <c r="B213" t="s">
        <v>525</v>
      </c>
      <c r="C213">
        <v>-812911.24</v>
      </c>
      <c r="D213">
        <v>3344401.45</v>
      </c>
      <c r="E213">
        <v>2410954.7799999998</v>
      </c>
      <c r="F213">
        <v>-933446.67</v>
      </c>
      <c r="G213" t="s">
        <v>184</v>
      </c>
    </row>
    <row r="214" spans="1:7" x14ac:dyDescent="0.35">
      <c r="A214" t="s">
        <v>199</v>
      </c>
      <c r="B214" t="s">
        <v>172</v>
      </c>
      <c r="C214" t="s">
        <v>468</v>
      </c>
      <c r="D214" t="s">
        <v>469</v>
      </c>
      <c r="E214" t="s">
        <v>470</v>
      </c>
      <c r="F214" t="s">
        <v>471</v>
      </c>
      <c r="G214" t="s">
        <v>183</v>
      </c>
    </row>
    <row r="215" spans="1:7" x14ac:dyDescent="0.35">
      <c r="A215">
        <v>10</v>
      </c>
      <c r="B215" t="s">
        <v>472</v>
      </c>
      <c r="C215">
        <v>0</v>
      </c>
      <c r="D215">
        <v>0</v>
      </c>
      <c r="E215">
        <v>0</v>
      </c>
      <c r="F215">
        <v>0</v>
      </c>
      <c r="G215" t="s">
        <v>184</v>
      </c>
    </row>
    <row r="216" spans="1:7" x14ac:dyDescent="0.35">
      <c r="A216">
        <v>20</v>
      </c>
      <c r="B216" t="s">
        <v>147</v>
      </c>
      <c r="C216">
        <v>3186062</v>
      </c>
      <c r="D216">
        <v>0</v>
      </c>
      <c r="E216">
        <v>28674558</v>
      </c>
      <c r="F216">
        <v>28674558</v>
      </c>
      <c r="G216" t="s">
        <v>184</v>
      </c>
    </row>
    <row r="217" spans="1:7" x14ac:dyDescent="0.35">
      <c r="A217">
        <v>30</v>
      </c>
      <c r="B217" t="s">
        <v>473</v>
      </c>
      <c r="C217">
        <v>0</v>
      </c>
      <c r="D217">
        <v>0</v>
      </c>
      <c r="E217">
        <v>0</v>
      </c>
      <c r="F217">
        <v>0</v>
      </c>
      <c r="G217" t="s">
        <v>184</v>
      </c>
    </row>
    <row r="218" spans="1:7" x14ac:dyDescent="0.35">
      <c r="A218">
        <v>35</v>
      </c>
      <c r="B218" t="s">
        <v>474</v>
      </c>
      <c r="C218">
        <v>3186062</v>
      </c>
      <c r="D218">
        <v>0</v>
      </c>
      <c r="E218">
        <v>28674558</v>
      </c>
      <c r="F218">
        <v>28674558</v>
      </c>
      <c r="G218" t="s">
        <v>184</v>
      </c>
    </row>
    <row r="219" spans="1:7" x14ac:dyDescent="0.35">
      <c r="A219">
        <v>40</v>
      </c>
      <c r="B219" t="s">
        <v>475</v>
      </c>
      <c r="C219">
        <v>0</v>
      </c>
      <c r="D219">
        <v>0</v>
      </c>
      <c r="E219">
        <v>0</v>
      </c>
      <c r="F219">
        <v>0</v>
      </c>
      <c r="G219" t="s">
        <v>184</v>
      </c>
    </row>
    <row r="220" spans="1:7" x14ac:dyDescent="0.35">
      <c r="A220">
        <v>50</v>
      </c>
      <c r="B220" t="s">
        <v>476</v>
      </c>
      <c r="C220">
        <v>0</v>
      </c>
      <c r="D220">
        <v>0</v>
      </c>
      <c r="E220">
        <v>0</v>
      </c>
      <c r="F220">
        <v>0</v>
      </c>
      <c r="G220" t="s">
        <v>184</v>
      </c>
    </row>
    <row r="221" spans="1:7" x14ac:dyDescent="0.35">
      <c r="A221">
        <v>60</v>
      </c>
      <c r="B221" t="s">
        <v>477</v>
      </c>
      <c r="C221">
        <v>3186062</v>
      </c>
      <c r="D221">
        <v>0</v>
      </c>
      <c r="E221">
        <v>28674558</v>
      </c>
      <c r="F221">
        <v>28674558</v>
      </c>
      <c r="G221" t="s">
        <v>184</v>
      </c>
    </row>
    <row r="222" spans="1:7" x14ac:dyDescent="0.35">
      <c r="A222">
        <v>70</v>
      </c>
      <c r="B222" t="s">
        <v>152</v>
      </c>
      <c r="C222">
        <v>0</v>
      </c>
      <c r="D222">
        <v>0</v>
      </c>
      <c r="E222">
        <v>0</v>
      </c>
      <c r="F222">
        <v>0</v>
      </c>
      <c r="G222" t="s">
        <v>184</v>
      </c>
    </row>
    <row r="223" spans="1:7" x14ac:dyDescent="0.35">
      <c r="A223">
        <v>80</v>
      </c>
      <c r="B223" t="s">
        <v>153</v>
      </c>
      <c r="C223">
        <v>2919673.24</v>
      </c>
      <c r="D223">
        <v>0</v>
      </c>
      <c r="E223">
        <v>26873194.25</v>
      </c>
      <c r="F223">
        <v>26873194.25</v>
      </c>
      <c r="G223" t="s">
        <v>184</v>
      </c>
    </row>
    <row r="224" spans="1:7" x14ac:dyDescent="0.35">
      <c r="A224">
        <v>90</v>
      </c>
      <c r="B224" t="s">
        <v>478</v>
      </c>
      <c r="C224">
        <v>41879.120000000003</v>
      </c>
      <c r="D224">
        <v>0</v>
      </c>
      <c r="E224">
        <v>376912.08</v>
      </c>
      <c r="F224">
        <v>376912.08</v>
      </c>
      <c r="G224" t="s">
        <v>184</v>
      </c>
    </row>
    <row r="225" spans="1:7" x14ac:dyDescent="0.35">
      <c r="A225">
        <v>100</v>
      </c>
      <c r="B225" t="s">
        <v>479</v>
      </c>
      <c r="C225">
        <v>224509.64</v>
      </c>
      <c r="D225">
        <v>0</v>
      </c>
      <c r="E225">
        <v>1424451.67</v>
      </c>
      <c r="F225">
        <v>1424451.67</v>
      </c>
      <c r="G225" t="s">
        <v>184</v>
      </c>
    </row>
    <row r="226" spans="1:7" x14ac:dyDescent="0.35">
      <c r="A226">
        <v>110</v>
      </c>
      <c r="B226" t="s">
        <v>480</v>
      </c>
      <c r="C226">
        <v>0.95</v>
      </c>
      <c r="D226">
        <v>0</v>
      </c>
      <c r="E226">
        <v>4680.88</v>
      </c>
      <c r="F226">
        <v>4680.88</v>
      </c>
      <c r="G226" t="s">
        <v>184</v>
      </c>
    </row>
    <row r="227" spans="1:7" x14ac:dyDescent="0.35">
      <c r="A227">
        <v>120</v>
      </c>
      <c r="B227" t="s">
        <v>481</v>
      </c>
      <c r="C227">
        <v>26</v>
      </c>
      <c r="D227">
        <v>0</v>
      </c>
      <c r="E227">
        <v>-7851.83</v>
      </c>
      <c r="F227">
        <v>-7851.83</v>
      </c>
      <c r="G227" t="s">
        <v>184</v>
      </c>
    </row>
    <row r="228" spans="1:7" x14ac:dyDescent="0.35">
      <c r="A228">
        <v>130</v>
      </c>
      <c r="B228" t="s">
        <v>482</v>
      </c>
      <c r="C228">
        <v>7082.7</v>
      </c>
      <c r="D228">
        <v>0</v>
      </c>
      <c r="E228">
        <v>92767.55</v>
      </c>
      <c r="F228">
        <v>92767.55</v>
      </c>
      <c r="G228" t="s">
        <v>184</v>
      </c>
    </row>
    <row r="229" spans="1:7" x14ac:dyDescent="0.35">
      <c r="A229">
        <v>140</v>
      </c>
      <c r="B229" t="s">
        <v>483</v>
      </c>
      <c r="C229">
        <v>14.34</v>
      </c>
      <c r="D229">
        <v>0</v>
      </c>
      <c r="E229">
        <v>87.98</v>
      </c>
      <c r="F229">
        <v>87.98</v>
      </c>
      <c r="G229" t="s">
        <v>184</v>
      </c>
    </row>
    <row r="230" spans="1:7" x14ac:dyDescent="0.35">
      <c r="A230">
        <v>145</v>
      </c>
      <c r="B230" t="s">
        <v>162</v>
      </c>
      <c r="C230">
        <v>7095.31</v>
      </c>
      <c r="D230">
        <v>0</v>
      </c>
      <c r="E230">
        <v>89508.62</v>
      </c>
      <c r="F230">
        <v>89508.62</v>
      </c>
      <c r="G230" t="s">
        <v>184</v>
      </c>
    </row>
    <row r="231" spans="1:7" x14ac:dyDescent="0.35">
      <c r="A231">
        <v>150</v>
      </c>
      <c r="B231" t="s">
        <v>484</v>
      </c>
      <c r="C231">
        <v>217414.33</v>
      </c>
      <c r="D231">
        <v>0</v>
      </c>
      <c r="E231">
        <v>1334943.05</v>
      </c>
      <c r="F231">
        <v>1334943.05</v>
      </c>
      <c r="G231" t="s">
        <v>184</v>
      </c>
    </row>
    <row r="232" spans="1:7" x14ac:dyDescent="0.35">
      <c r="A232">
        <v>160</v>
      </c>
      <c r="B232" t="s">
        <v>485</v>
      </c>
      <c r="C232">
        <v>68436.61</v>
      </c>
      <c r="D232">
        <v>0</v>
      </c>
      <c r="E232">
        <v>615929.49</v>
      </c>
      <c r="F232">
        <v>615929.49</v>
      </c>
      <c r="G232" t="s">
        <v>184</v>
      </c>
    </row>
    <row r="233" spans="1:7" x14ac:dyDescent="0.35">
      <c r="A233">
        <v>170</v>
      </c>
      <c r="B233" t="s">
        <v>166</v>
      </c>
      <c r="C233">
        <v>148977.72</v>
      </c>
      <c r="D233">
        <v>0</v>
      </c>
      <c r="E233">
        <v>719013.56</v>
      </c>
      <c r="F233">
        <v>719013.56</v>
      </c>
      <c r="G233" t="s">
        <v>184</v>
      </c>
    </row>
    <row r="234" spans="1:7" x14ac:dyDescent="0.35">
      <c r="A234">
        <v>190</v>
      </c>
      <c r="B234" t="s">
        <v>486</v>
      </c>
      <c r="C234">
        <v>0</v>
      </c>
      <c r="D234">
        <v>0</v>
      </c>
      <c r="E234">
        <v>0</v>
      </c>
      <c r="F234">
        <v>0</v>
      </c>
      <c r="G234" t="s">
        <v>184</v>
      </c>
    </row>
    <row r="235" spans="1:7" x14ac:dyDescent="0.35">
      <c r="A235">
        <v>200</v>
      </c>
      <c r="B235" t="s">
        <v>166</v>
      </c>
      <c r="C235">
        <v>148977.72</v>
      </c>
      <c r="D235">
        <v>0</v>
      </c>
      <c r="E235">
        <v>719013.56</v>
      </c>
      <c r="F235">
        <v>719013.56</v>
      </c>
      <c r="G235" t="s">
        <v>184</v>
      </c>
    </row>
    <row r="236" spans="1:7" x14ac:dyDescent="0.35">
      <c r="A236">
        <v>210</v>
      </c>
      <c r="B236" t="s">
        <v>487</v>
      </c>
      <c r="C236">
        <v>148977.72</v>
      </c>
      <c r="D236">
        <v>0</v>
      </c>
      <c r="E236">
        <v>719013.56</v>
      </c>
      <c r="F236">
        <v>719013.56</v>
      </c>
      <c r="G236" t="s">
        <v>184</v>
      </c>
    </row>
    <row r="237" spans="1:7" x14ac:dyDescent="0.35">
      <c r="A237">
        <v>220</v>
      </c>
      <c r="B237" t="s">
        <v>488</v>
      </c>
      <c r="C237">
        <v>0</v>
      </c>
      <c r="D237">
        <v>0</v>
      </c>
      <c r="E237">
        <v>0</v>
      </c>
      <c r="F237">
        <v>0</v>
      </c>
      <c r="G237" t="s">
        <v>184</v>
      </c>
    </row>
    <row r="238" spans="1:7" x14ac:dyDescent="0.35">
      <c r="A238">
        <v>230</v>
      </c>
      <c r="B238" t="s">
        <v>341</v>
      </c>
      <c r="C238">
        <v>-224838.11</v>
      </c>
      <c r="D238">
        <v>-2572848.4500000002</v>
      </c>
      <c r="E238">
        <v>-4001070.05</v>
      </c>
      <c r="F238">
        <v>-1428221.6</v>
      </c>
      <c r="G238" t="s">
        <v>184</v>
      </c>
    </row>
    <row r="239" spans="1:7" x14ac:dyDescent="0.35">
      <c r="A239">
        <v>235</v>
      </c>
      <c r="B239" t="s">
        <v>489</v>
      </c>
      <c r="C239">
        <v>2093.29</v>
      </c>
      <c r="D239">
        <v>137851.48000000001</v>
      </c>
      <c r="E239">
        <v>130477.99</v>
      </c>
      <c r="F239">
        <v>-7373.49</v>
      </c>
      <c r="G239" t="s">
        <v>184</v>
      </c>
    </row>
    <row r="240" spans="1:7" x14ac:dyDescent="0.35">
      <c r="A240">
        <v>240</v>
      </c>
      <c r="B240" t="s">
        <v>342</v>
      </c>
      <c r="C240">
        <v>-16984.64</v>
      </c>
      <c r="D240">
        <v>-1352357.34</v>
      </c>
      <c r="E240">
        <v>-511518.21</v>
      </c>
      <c r="F240">
        <v>840839.13</v>
      </c>
      <c r="G240" t="s">
        <v>184</v>
      </c>
    </row>
    <row r="241" spans="1:7" x14ac:dyDescent="0.35">
      <c r="A241">
        <v>250</v>
      </c>
      <c r="B241" t="s">
        <v>343</v>
      </c>
      <c r="C241">
        <v>0</v>
      </c>
      <c r="D241">
        <v>0</v>
      </c>
      <c r="E241">
        <v>0</v>
      </c>
      <c r="F241">
        <v>0</v>
      </c>
      <c r="G241" t="s">
        <v>184</v>
      </c>
    </row>
    <row r="242" spans="1:7" x14ac:dyDescent="0.35">
      <c r="A242">
        <v>260</v>
      </c>
      <c r="B242" t="s">
        <v>490</v>
      </c>
      <c r="C242">
        <v>-104014.67</v>
      </c>
      <c r="D242">
        <v>-1432383.48</v>
      </c>
      <c r="E242">
        <v>-2584834.4500000002</v>
      </c>
      <c r="F242">
        <v>-1152450.97</v>
      </c>
      <c r="G242" t="s">
        <v>184</v>
      </c>
    </row>
    <row r="243" spans="1:7" x14ac:dyDescent="0.35">
      <c r="A243">
        <v>270</v>
      </c>
      <c r="B243" t="s">
        <v>344</v>
      </c>
      <c r="C243">
        <v>-243636.59</v>
      </c>
      <c r="D243">
        <v>-475593.76</v>
      </c>
      <c r="E243">
        <v>-831606</v>
      </c>
      <c r="F243">
        <v>-356012.24</v>
      </c>
      <c r="G243" t="s">
        <v>184</v>
      </c>
    </row>
    <row r="244" spans="1:7" x14ac:dyDescent="0.35">
      <c r="A244">
        <v>300</v>
      </c>
      <c r="B244" t="s">
        <v>367</v>
      </c>
      <c r="C244">
        <v>0</v>
      </c>
      <c r="D244">
        <v>0</v>
      </c>
      <c r="E244">
        <v>0</v>
      </c>
      <c r="F244">
        <v>0</v>
      </c>
      <c r="G244" t="s">
        <v>184</v>
      </c>
    </row>
    <row r="245" spans="1:7" x14ac:dyDescent="0.35">
      <c r="A245">
        <v>310</v>
      </c>
      <c r="B245" t="s">
        <v>491</v>
      </c>
      <c r="C245">
        <v>1745.01</v>
      </c>
      <c r="D245">
        <v>500846.7</v>
      </c>
      <c r="E245">
        <v>479684.99</v>
      </c>
      <c r="F245">
        <v>-21161.71</v>
      </c>
      <c r="G245" t="s">
        <v>184</v>
      </c>
    </row>
    <row r="246" spans="1:7" x14ac:dyDescent="0.35">
      <c r="A246">
        <v>320</v>
      </c>
      <c r="B246" t="s">
        <v>492</v>
      </c>
      <c r="C246">
        <v>-101858.36</v>
      </c>
      <c r="D246">
        <v>3765923.43</v>
      </c>
      <c r="E246">
        <v>-108368.16</v>
      </c>
      <c r="F246">
        <v>-3874291.59</v>
      </c>
      <c r="G246" t="s">
        <v>184</v>
      </c>
    </row>
    <row r="247" spans="1:7" x14ac:dyDescent="0.35">
      <c r="A247">
        <v>325</v>
      </c>
      <c r="B247" t="s">
        <v>493</v>
      </c>
      <c r="C247">
        <v>-15073.88</v>
      </c>
      <c r="D247">
        <v>1919655.69</v>
      </c>
      <c r="E247">
        <v>1802047.73</v>
      </c>
      <c r="F247">
        <v>-117607.96</v>
      </c>
      <c r="G247" t="s">
        <v>184</v>
      </c>
    </row>
    <row r="248" spans="1:7" x14ac:dyDescent="0.35">
      <c r="A248">
        <v>330</v>
      </c>
      <c r="B248" t="s">
        <v>494</v>
      </c>
      <c r="C248">
        <v>254884.96</v>
      </c>
      <c r="D248">
        <v>1436450.87</v>
      </c>
      <c r="E248">
        <v>3985300.47</v>
      </c>
      <c r="F248">
        <v>2548849.6</v>
      </c>
      <c r="G248" t="s">
        <v>184</v>
      </c>
    </row>
    <row r="249" spans="1:7" x14ac:dyDescent="0.35">
      <c r="A249">
        <v>340</v>
      </c>
      <c r="B249" t="s">
        <v>495</v>
      </c>
      <c r="C249">
        <v>154343.62</v>
      </c>
      <c r="D249">
        <v>1753878.29</v>
      </c>
      <c r="E249">
        <v>4477580.62</v>
      </c>
      <c r="F249">
        <v>2723702.33</v>
      </c>
      <c r="G249" t="s">
        <v>184</v>
      </c>
    </row>
    <row r="250" spans="1:7" x14ac:dyDescent="0.35">
      <c r="A250">
        <v>380</v>
      </c>
      <c r="B250" t="s">
        <v>496</v>
      </c>
      <c r="C250">
        <v>-293339.37</v>
      </c>
      <c r="D250">
        <v>3681423.43</v>
      </c>
      <c r="E250">
        <v>2837694.93</v>
      </c>
      <c r="F250">
        <v>-843728.5</v>
      </c>
      <c r="G250" t="s">
        <v>184</v>
      </c>
    </row>
    <row r="251" spans="1:7" x14ac:dyDescent="0.35">
      <c r="A251">
        <v>390</v>
      </c>
      <c r="B251" t="s">
        <v>497</v>
      </c>
      <c r="C251">
        <v>0</v>
      </c>
      <c r="D251">
        <v>0</v>
      </c>
      <c r="E251">
        <v>0</v>
      </c>
      <c r="F251">
        <v>0</v>
      </c>
      <c r="G251" t="s">
        <v>184</v>
      </c>
    </row>
    <row r="252" spans="1:7" x14ac:dyDescent="0.35">
      <c r="A252">
        <v>400</v>
      </c>
      <c r="B252" t="s">
        <v>498</v>
      </c>
      <c r="C252">
        <v>0</v>
      </c>
      <c r="D252">
        <v>0</v>
      </c>
      <c r="E252">
        <v>0</v>
      </c>
      <c r="F252">
        <v>0</v>
      </c>
      <c r="G252" t="s">
        <v>184</v>
      </c>
    </row>
    <row r="253" spans="1:7" x14ac:dyDescent="0.35">
      <c r="A253">
        <v>405</v>
      </c>
      <c r="B253" t="s">
        <v>499</v>
      </c>
      <c r="C253">
        <v>0</v>
      </c>
      <c r="D253">
        <v>-761925.43</v>
      </c>
      <c r="E253">
        <v>-805054.62</v>
      </c>
      <c r="F253">
        <v>-43129.19</v>
      </c>
      <c r="G253" t="s">
        <v>184</v>
      </c>
    </row>
    <row r="254" spans="1:7" x14ac:dyDescent="0.35">
      <c r="A254">
        <v>410</v>
      </c>
      <c r="B254" t="s">
        <v>382</v>
      </c>
      <c r="C254">
        <v>0</v>
      </c>
      <c r="D254">
        <v>4581000</v>
      </c>
      <c r="E254">
        <v>4581000</v>
      </c>
      <c r="F254">
        <v>0</v>
      </c>
      <c r="G254" t="s">
        <v>184</v>
      </c>
    </row>
    <row r="255" spans="1:7" x14ac:dyDescent="0.35">
      <c r="A255">
        <v>420</v>
      </c>
      <c r="B255" t="s">
        <v>500</v>
      </c>
      <c r="C255">
        <v>0</v>
      </c>
      <c r="D255">
        <v>-789455.2</v>
      </c>
      <c r="E255">
        <v>-789455.2</v>
      </c>
      <c r="F255">
        <v>0</v>
      </c>
      <c r="G255" t="s">
        <v>184</v>
      </c>
    </row>
    <row r="256" spans="1:7" x14ac:dyDescent="0.35">
      <c r="A256">
        <v>425</v>
      </c>
      <c r="B256" t="s">
        <v>501</v>
      </c>
      <c r="C256">
        <v>0</v>
      </c>
      <c r="D256">
        <v>1087.0999999999999</v>
      </c>
      <c r="E256">
        <v>1087.0999999999999</v>
      </c>
      <c r="F256">
        <v>0</v>
      </c>
      <c r="G256" t="s">
        <v>184</v>
      </c>
    </row>
    <row r="257" spans="1:7" x14ac:dyDescent="0.35">
      <c r="A257">
        <v>427</v>
      </c>
      <c r="B257" t="s">
        <v>502</v>
      </c>
      <c r="C257">
        <v>0</v>
      </c>
      <c r="D257">
        <v>0</v>
      </c>
      <c r="E257">
        <v>0</v>
      </c>
      <c r="F257">
        <v>0</v>
      </c>
      <c r="G257" t="s">
        <v>184</v>
      </c>
    </row>
    <row r="258" spans="1:7" x14ac:dyDescent="0.35">
      <c r="A258">
        <v>430</v>
      </c>
      <c r="B258" t="s">
        <v>503</v>
      </c>
      <c r="C258">
        <v>0</v>
      </c>
      <c r="D258">
        <v>-8517993.1999999993</v>
      </c>
      <c r="E258">
        <v>-8517993.1999999993</v>
      </c>
      <c r="F258">
        <v>0</v>
      </c>
      <c r="G258" t="s">
        <v>184</v>
      </c>
    </row>
    <row r="259" spans="1:7" x14ac:dyDescent="0.35">
      <c r="A259">
        <v>440</v>
      </c>
      <c r="B259" t="s">
        <v>504</v>
      </c>
      <c r="C259">
        <v>0</v>
      </c>
      <c r="D259">
        <v>-5487286.7300000004</v>
      </c>
      <c r="E259">
        <v>-5530415.9199999999</v>
      </c>
      <c r="F259">
        <v>-43129.19</v>
      </c>
      <c r="G259" t="s">
        <v>184</v>
      </c>
    </row>
    <row r="260" spans="1:7" x14ac:dyDescent="0.35">
      <c r="A260">
        <v>450</v>
      </c>
      <c r="B260" t="s">
        <v>505</v>
      </c>
      <c r="C260">
        <v>0</v>
      </c>
      <c r="D260">
        <v>0</v>
      </c>
      <c r="E260">
        <v>0</v>
      </c>
      <c r="F260">
        <v>0</v>
      </c>
      <c r="G260" t="s">
        <v>184</v>
      </c>
    </row>
    <row r="261" spans="1:7" x14ac:dyDescent="0.35">
      <c r="A261">
        <v>455</v>
      </c>
      <c r="B261" t="s">
        <v>349</v>
      </c>
      <c r="C261">
        <v>0</v>
      </c>
      <c r="D261">
        <v>0</v>
      </c>
      <c r="E261">
        <v>0</v>
      </c>
      <c r="F261">
        <v>0</v>
      </c>
      <c r="G261" t="s">
        <v>184</v>
      </c>
    </row>
    <row r="262" spans="1:7" x14ac:dyDescent="0.35">
      <c r="A262">
        <v>456</v>
      </c>
      <c r="B262" t="s">
        <v>506</v>
      </c>
      <c r="C262">
        <v>0</v>
      </c>
      <c r="D262">
        <v>0</v>
      </c>
      <c r="E262">
        <v>0</v>
      </c>
      <c r="F262">
        <v>0</v>
      </c>
      <c r="G262" t="s">
        <v>184</v>
      </c>
    </row>
    <row r="263" spans="1:7" x14ac:dyDescent="0.35">
      <c r="A263">
        <v>460</v>
      </c>
      <c r="B263" t="s">
        <v>353</v>
      </c>
      <c r="C263">
        <v>0</v>
      </c>
      <c r="D263">
        <v>-9454.14</v>
      </c>
      <c r="E263">
        <v>-9454.14</v>
      </c>
      <c r="F263">
        <v>0</v>
      </c>
      <c r="G263" t="s">
        <v>184</v>
      </c>
    </row>
    <row r="264" spans="1:7" x14ac:dyDescent="0.35">
      <c r="A264">
        <v>470</v>
      </c>
      <c r="B264" t="s">
        <v>507</v>
      </c>
      <c r="C264">
        <v>0</v>
      </c>
      <c r="D264">
        <v>3381.44</v>
      </c>
      <c r="E264">
        <v>3381.44</v>
      </c>
      <c r="F264">
        <v>0</v>
      </c>
      <c r="G264" t="s">
        <v>184</v>
      </c>
    </row>
    <row r="265" spans="1:7" x14ac:dyDescent="0.35">
      <c r="A265">
        <v>480</v>
      </c>
      <c r="B265" t="s">
        <v>352</v>
      </c>
      <c r="C265">
        <v>0</v>
      </c>
      <c r="D265">
        <v>-3281076.65</v>
      </c>
      <c r="E265">
        <v>-3281076.65</v>
      </c>
      <c r="F265">
        <v>0</v>
      </c>
      <c r="G265" t="s">
        <v>184</v>
      </c>
    </row>
    <row r="266" spans="1:7" x14ac:dyDescent="0.35">
      <c r="A266">
        <v>490</v>
      </c>
      <c r="B266" t="s">
        <v>508</v>
      </c>
      <c r="C266">
        <v>27550.48</v>
      </c>
      <c r="D266">
        <v>2526374.33</v>
      </c>
      <c r="E266">
        <v>2774328.65</v>
      </c>
      <c r="F266">
        <v>247954.32</v>
      </c>
      <c r="G266" t="s">
        <v>184</v>
      </c>
    </row>
    <row r="267" spans="1:7" x14ac:dyDescent="0.35">
      <c r="A267">
        <v>500</v>
      </c>
      <c r="B267" t="s">
        <v>351</v>
      </c>
      <c r="C267">
        <v>-7476.08</v>
      </c>
      <c r="D267">
        <v>-2295397.2000000002</v>
      </c>
      <c r="E267">
        <v>-2391910.15</v>
      </c>
      <c r="F267">
        <v>-96512.95</v>
      </c>
      <c r="G267" t="s">
        <v>184</v>
      </c>
    </row>
    <row r="268" spans="1:7" x14ac:dyDescent="0.35">
      <c r="A268">
        <v>510</v>
      </c>
      <c r="B268" t="s">
        <v>509</v>
      </c>
      <c r="C268">
        <v>11615.34</v>
      </c>
      <c r="D268">
        <v>1849658.66</v>
      </c>
      <c r="E268">
        <v>1954196.72</v>
      </c>
      <c r="F268">
        <v>104538.06</v>
      </c>
      <c r="G268" t="s">
        <v>184</v>
      </c>
    </row>
    <row r="269" spans="1:7" x14ac:dyDescent="0.35">
      <c r="A269">
        <v>512</v>
      </c>
      <c r="B269" t="s">
        <v>510</v>
      </c>
      <c r="C269">
        <v>-344.83</v>
      </c>
      <c r="D269">
        <v>-674729.48</v>
      </c>
      <c r="E269">
        <v>-713658.59</v>
      </c>
      <c r="F269">
        <v>-38929.11</v>
      </c>
      <c r="G269" t="s">
        <v>184</v>
      </c>
    </row>
    <row r="270" spans="1:7" x14ac:dyDescent="0.35">
      <c r="A270">
        <v>514</v>
      </c>
      <c r="B270" t="s">
        <v>511</v>
      </c>
      <c r="C270">
        <v>2713.3</v>
      </c>
      <c r="D270">
        <v>453078.36</v>
      </c>
      <c r="E270">
        <v>477498.06</v>
      </c>
      <c r="F270">
        <v>24419.7</v>
      </c>
      <c r="G270" t="s">
        <v>184</v>
      </c>
    </row>
    <row r="271" spans="1:7" x14ac:dyDescent="0.35">
      <c r="A271">
        <v>520</v>
      </c>
      <c r="B271" t="s">
        <v>512</v>
      </c>
      <c r="C271">
        <v>0</v>
      </c>
      <c r="D271">
        <v>-94916</v>
      </c>
      <c r="E271">
        <v>-94916</v>
      </c>
      <c r="F271">
        <v>0</v>
      </c>
      <c r="G271" t="s">
        <v>184</v>
      </c>
    </row>
    <row r="272" spans="1:7" x14ac:dyDescent="0.35">
      <c r="A272">
        <v>530</v>
      </c>
      <c r="B272" t="s">
        <v>513</v>
      </c>
      <c r="C272">
        <v>0</v>
      </c>
      <c r="D272">
        <v>0</v>
      </c>
      <c r="E272">
        <v>0</v>
      </c>
      <c r="F272">
        <v>0</v>
      </c>
      <c r="G272" t="s">
        <v>184</v>
      </c>
    </row>
    <row r="273" spans="1:7" x14ac:dyDescent="0.35">
      <c r="A273">
        <v>540</v>
      </c>
      <c r="B273" t="s">
        <v>514</v>
      </c>
      <c r="C273">
        <v>0</v>
      </c>
      <c r="D273">
        <v>-19159.32</v>
      </c>
      <c r="E273">
        <v>-19159.32</v>
      </c>
      <c r="F273">
        <v>0</v>
      </c>
      <c r="G273" t="s">
        <v>184</v>
      </c>
    </row>
    <row r="274" spans="1:7" x14ac:dyDescent="0.35">
      <c r="A274">
        <v>550</v>
      </c>
      <c r="B274" t="s">
        <v>515</v>
      </c>
      <c r="C274">
        <v>0</v>
      </c>
      <c r="D274">
        <v>0</v>
      </c>
      <c r="E274">
        <v>0</v>
      </c>
      <c r="F274">
        <v>0</v>
      </c>
      <c r="G274" t="s">
        <v>184</v>
      </c>
    </row>
    <row r="275" spans="1:7" x14ac:dyDescent="0.35">
      <c r="A275">
        <v>560</v>
      </c>
      <c r="B275" t="s">
        <v>516</v>
      </c>
      <c r="C275">
        <v>0</v>
      </c>
      <c r="D275">
        <v>-84993.67</v>
      </c>
      <c r="E275">
        <v>-84993.67</v>
      </c>
      <c r="F275">
        <v>0</v>
      </c>
      <c r="G275" t="s">
        <v>184</v>
      </c>
    </row>
    <row r="276" spans="1:7" x14ac:dyDescent="0.35">
      <c r="A276">
        <v>570</v>
      </c>
      <c r="B276" t="s">
        <v>517</v>
      </c>
      <c r="C276">
        <v>0</v>
      </c>
      <c r="D276">
        <v>26215.95</v>
      </c>
      <c r="E276">
        <v>26215.95</v>
      </c>
      <c r="F276">
        <v>0</v>
      </c>
      <c r="G276" t="s">
        <v>184</v>
      </c>
    </row>
    <row r="277" spans="1:7" x14ac:dyDescent="0.35">
      <c r="A277">
        <v>580</v>
      </c>
      <c r="B277" t="s">
        <v>518</v>
      </c>
      <c r="C277">
        <v>0</v>
      </c>
      <c r="D277">
        <v>0</v>
      </c>
      <c r="E277">
        <v>0</v>
      </c>
      <c r="F277">
        <v>0</v>
      </c>
      <c r="G277" t="s">
        <v>184</v>
      </c>
    </row>
    <row r="278" spans="1:7" x14ac:dyDescent="0.35">
      <c r="A278">
        <v>590</v>
      </c>
      <c r="B278" t="s">
        <v>519</v>
      </c>
      <c r="C278">
        <v>0</v>
      </c>
      <c r="D278">
        <v>0</v>
      </c>
      <c r="E278">
        <v>0</v>
      </c>
      <c r="F278">
        <v>0</v>
      </c>
      <c r="G278" t="s">
        <v>184</v>
      </c>
    </row>
    <row r="279" spans="1:7" x14ac:dyDescent="0.35">
      <c r="A279">
        <v>600</v>
      </c>
      <c r="B279" t="s">
        <v>520</v>
      </c>
      <c r="C279">
        <v>0</v>
      </c>
      <c r="D279">
        <v>-53858.17</v>
      </c>
      <c r="E279">
        <v>-53858.17</v>
      </c>
      <c r="F279">
        <v>0</v>
      </c>
      <c r="G279" t="s">
        <v>184</v>
      </c>
    </row>
    <row r="280" spans="1:7" x14ac:dyDescent="0.35">
      <c r="A280">
        <v>610</v>
      </c>
      <c r="B280" t="s">
        <v>521</v>
      </c>
      <c r="C280">
        <v>0</v>
      </c>
      <c r="D280">
        <v>0</v>
      </c>
      <c r="E280">
        <v>0</v>
      </c>
      <c r="F280">
        <v>0</v>
      </c>
      <c r="G280" t="s">
        <v>184</v>
      </c>
    </row>
    <row r="281" spans="1:7" x14ac:dyDescent="0.35">
      <c r="A281">
        <v>620</v>
      </c>
      <c r="B281" t="s">
        <v>522</v>
      </c>
      <c r="C281">
        <v>0</v>
      </c>
      <c r="D281">
        <v>0</v>
      </c>
      <c r="E281">
        <v>0</v>
      </c>
      <c r="F281">
        <v>0</v>
      </c>
      <c r="G281" t="s">
        <v>184</v>
      </c>
    </row>
    <row r="282" spans="1:7" x14ac:dyDescent="0.35">
      <c r="A282">
        <v>630</v>
      </c>
      <c r="B282" t="s">
        <v>523</v>
      </c>
      <c r="C282">
        <v>0</v>
      </c>
      <c r="D282">
        <v>0</v>
      </c>
      <c r="E282">
        <v>0</v>
      </c>
      <c r="F282">
        <v>0</v>
      </c>
      <c r="G282" t="s">
        <v>184</v>
      </c>
    </row>
    <row r="283" spans="1:7" x14ac:dyDescent="0.35">
      <c r="A283">
        <v>640</v>
      </c>
      <c r="B283" t="s">
        <v>524</v>
      </c>
      <c r="C283">
        <v>34058.21</v>
      </c>
      <c r="D283">
        <v>-1654875.89</v>
      </c>
      <c r="E283">
        <v>-1413405.87</v>
      </c>
      <c r="F283">
        <v>241470.02</v>
      </c>
      <c r="G283" t="s">
        <v>184</v>
      </c>
    </row>
    <row r="284" spans="1:7" x14ac:dyDescent="0.35">
      <c r="A284">
        <v>650</v>
      </c>
      <c r="B284" t="s">
        <v>525</v>
      </c>
      <c r="C284">
        <v>-110303.44</v>
      </c>
      <c r="D284">
        <v>-3460739.19</v>
      </c>
      <c r="E284">
        <v>-3387113.3</v>
      </c>
      <c r="F284">
        <v>73625.89</v>
      </c>
      <c r="G284" t="s">
        <v>184</v>
      </c>
    </row>
    <row r="285" spans="1:7" x14ac:dyDescent="0.35">
      <c r="A285" t="s">
        <v>203</v>
      </c>
      <c r="B285" t="s">
        <v>172</v>
      </c>
      <c r="C285" t="s">
        <v>468</v>
      </c>
      <c r="D285" t="s">
        <v>469</v>
      </c>
      <c r="E285" t="s">
        <v>470</v>
      </c>
      <c r="F285" t="s">
        <v>471</v>
      </c>
      <c r="G285" t="s">
        <v>183</v>
      </c>
    </row>
    <row r="286" spans="1:7" x14ac:dyDescent="0.35">
      <c r="A286">
        <v>10</v>
      </c>
      <c r="B286" t="s">
        <v>472</v>
      </c>
      <c r="C286">
        <v>0</v>
      </c>
      <c r="D286">
        <v>0</v>
      </c>
      <c r="E286">
        <v>0</v>
      </c>
      <c r="F286">
        <v>0</v>
      </c>
      <c r="G286" t="s">
        <v>184</v>
      </c>
    </row>
    <row r="287" spans="1:7" x14ac:dyDescent="0.35">
      <c r="A287">
        <v>20</v>
      </c>
      <c r="B287" t="s">
        <v>147</v>
      </c>
      <c r="C287">
        <v>816720.83</v>
      </c>
      <c r="D287">
        <v>0</v>
      </c>
      <c r="E287">
        <v>5136610.79</v>
      </c>
      <c r="F287">
        <v>5136610.79</v>
      </c>
      <c r="G287" t="s">
        <v>184</v>
      </c>
    </row>
    <row r="288" spans="1:7" x14ac:dyDescent="0.35">
      <c r="A288">
        <v>30</v>
      </c>
      <c r="B288" t="s">
        <v>473</v>
      </c>
      <c r="C288">
        <v>0</v>
      </c>
      <c r="D288">
        <v>0</v>
      </c>
      <c r="E288">
        <v>0</v>
      </c>
      <c r="F288">
        <v>0</v>
      </c>
      <c r="G288" t="s">
        <v>184</v>
      </c>
    </row>
    <row r="289" spans="1:7" x14ac:dyDescent="0.35">
      <c r="A289">
        <v>35</v>
      </c>
      <c r="B289" t="s">
        <v>474</v>
      </c>
      <c r="C289">
        <v>816720.83</v>
      </c>
      <c r="D289">
        <v>0</v>
      </c>
      <c r="E289">
        <v>5136610.79</v>
      </c>
      <c r="F289">
        <v>5136610.79</v>
      </c>
      <c r="G289" t="s">
        <v>184</v>
      </c>
    </row>
    <row r="290" spans="1:7" x14ac:dyDescent="0.35">
      <c r="A290">
        <v>40</v>
      </c>
      <c r="B290" t="s">
        <v>475</v>
      </c>
      <c r="C290">
        <v>520369.52</v>
      </c>
      <c r="D290">
        <v>0</v>
      </c>
      <c r="E290">
        <v>3272942.62</v>
      </c>
      <c r="F290">
        <v>3272942.62</v>
      </c>
      <c r="G290" t="s">
        <v>184</v>
      </c>
    </row>
    <row r="291" spans="1:7" x14ac:dyDescent="0.35">
      <c r="A291">
        <v>50</v>
      </c>
      <c r="B291" t="s">
        <v>476</v>
      </c>
      <c r="C291">
        <v>0</v>
      </c>
      <c r="D291">
        <v>0</v>
      </c>
      <c r="E291">
        <v>0</v>
      </c>
      <c r="F291">
        <v>0</v>
      </c>
      <c r="G291" t="s">
        <v>184</v>
      </c>
    </row>
    <row r="292" spans="1:7" x14ac:dyDescent="0.35">
      <c r="A292">
        <v>60</v>
      </c>
      <c r="B292" t="s">
        <v>477</v>
      </c>
      <c r="C292">
        <v>296351.31</v>
      </c>
      <c r="D292">
        <v>0</v>
      </c>
      <c r="E292">
        <v>1863668.17</v>
      </c>
      <c r="F292">
        <v>1863668.17</v>
      </c>
      <c r="G292" t="s">
        <v>184</v>
      </c>
    </row>
    <row r="293" spans="1:7" x14ac:dyDescent="0.35">
      <c r="A293">
        <v>70</v>
      </c>
      <c r="B293" t="s">
        <v>152</v>
      </c>
      <c r="C293">
        <v>0</v>
      </c>
      <c r="D293">
        <v>0</v>
      </c>
      <c r="E293">
        <v>0</v>
      </c>
      <c r="F293">
        <v>0</v>
      </c>
      <c r="G293" t="s">
        <v>184</v>
      </c>
    </row>
    <row r="294" spans="1:7" x14ac:dyDescent="0.35">
      <c r="A294">
        <v>80</v>
      </c>
      <c r="B294" t="s">
        <v>153</v>
      </c>
      <c r="C294">
        <v>220983.35</v>
      </c>
      <c r="D294">
        <v>0</v>
      </c>
      <c r="E294">
        <v>2106905.54</v>
      </c>
      <c r="F294">
        <v>2106905.54</v>
      </c>
      <c r="G294" t="s">
        <v>184</v>
      </c>
    </row>
    <row r="295" spans="1:7" x14ac:dyDescent="0.35">
      <c r="A295">
        <v>90</v>
      </c>
      <c r="B295" t="s">
        <v>478</v>
      </c>
      <c r="C295">
        <v>0</v>
      </c>
      <c r="D295">
        <v>0</v>
      </c>
      <c r="E295">
        <v>0</v>
      </c>
      <c r="F295">
        <v>0</v>
      </c>
      <c r="G295" t="s">
        <v>184</v>
      </c>
    </row>
    <row r="296" spans="1:7" x14ac:dyDescent="0.35">
      <c r="A296">
        <v>100</v>
      </c>
      <c r="B296" t="s">
        <v>479</v>
      </c>
      <c r="C296">
        <v>75367.960000000006</v>
      </c>
      <c r="D296">
        <v>0</v>
      </c>
      <c r="E296">
        <v>-243237.37</v>
      </c>
      <c r="F296">
        <v>-243237.37</v>
      </c>
      <c r="G296" t="s">
        <v>184</v>
      </c>
    </row>
    <row r="297" spans="1:7" x14ac:dyDescent="0.35">
      <c r="A297">
        <v>110</v>
      </c>
      <c r="B297" t="s">
        <v>480</v>
      </c>
      <c r="C297">
        <v>11976.55</v>
      </c>
      <c r="D297">
        <v>0</v>
      </c>
      <c r="E297">
        <v>-110411.39</v>
      </c>
      <c r="F297">
        <v>-110411.39</v>
      </c>
      <c r="G297" t="s">
        <v>184</v>
      </c>
    </row>
    <row r="298" spans="1:7" x14ac:dyDescent="0.35">
      <c r="A298">
        <v>120</v>
      </c>
      <c r="B298" t="s">
        <v>481</v>
      </c>
      <c r="C298">
        <v>-205.18</v>
      </c>
      <c r="D298">
        <v>0</v>
      </c>
      <c r="E298">
        <v>-14035.79</v>
      </c>
      <c r="F298">
        <v>-14035.79</v>
      </c>
      <c r="G298" t="s">
        <v>184</v>
      </c>
    </row>
    <row r="299" spans="1:7" x14ac:dyDescent="0.35">
      <c r="A299">
        <v>130</v>
      </c>
      <c r="B299" t="s">
        <v>482</v>
      </c>
      <c r="C299">
        <v>877.77</v>
      </c>
      <c r="D299">
        <v>0</v>
      </c>
      <c r="E299">
        <v>5379.48</v>
      </c>
      <c r="F299">
        <v>5379.48</v>
      </c>
      <c r="G299" t="s">
        <v>184</v>
      </c>
    </row>
    <row r="300" spans="1:7" x14ac:dyDescent="0.35">
      <c r="A300">
        <v>140</v>
      </c>
      <c r="B300" t="s">
        <v>483</v>
      </c>
      <c r="C300">
        <v>0</v>
      </c>
      <c r="D300">
        <v>0</v>
      </c>
      <c r="E300">
        <v>3.15</v>
      </c>
      <c r="F300">
        <v>3.15</v>
      </c>
      <c r="G300" t="s">
        <v>184</v>
      </c>
    </row>
    <row r="301" spans="1:7" x14ac:dyDescent="0.35">
      <c r="A301">
        <v>145</v>
      </c>
      <c r="B301" t="s">
        <v>162</v>
      </c>
      <c r="C301">
        <v>12649.14</v>
      </c>
      <c r="D301">
        <v>0</v>
      </c>
      <c r="E301">
        <v>-119070.85</v>
      </c>
      <c r="F301">
        <v>-119070.85</v>
      </c>
      <c r="G301" t="s">
        <v>184</v>
      </c>
    </row>
    <row r="302" spans="1:7" x14ac:dyDescent="0.35">
      <c r="A302">
        <v>150</v>
      </c>
      <c r="B302" t="s">
        <v>484</v>
      </c>
      <c r="C302">
        <v>62718.82</v>
      </c>
      <c r="D302">
        <v>0</v>
      </c>
      <c r="E302">
        <v>-124166.52</v>
      </c>
      <c r="F302">
        <v>-124166.52</v>
      </c>
      <c r="G302" t="s">
        <v>184</v>
      </c>
    </row>
    <row r="303" spans="1:7" x14ac:dyDescent="0.35">
      <c r="A303">
        <v>160</v>
      </c>
      <c r="B303" t="s">
        <v>485</v>
      </c>
      <c r="C303">
        <v>11774</v>
      </c>
      <c r="D303">
        <v>0</v>
      </c>
      <c r="E303">
        <v>79778</v>
      </c>
      <c r="F303">
        <v>79778</v>
      </c>
      <c r="G303" t="s">
        <v>184</v>
      </c>
    </row>
    <row r="304" spans="1:7" x14ac:dyDescent="0.35">
      <c r="A304">
        <v>170</v>
      </c>
      <c r="B304" t="s">
        <v>166</v>
      </c>
      <c r="C304">
        <v>50944.82</v>
      </c>
      <c r="D304">
        <v>0</v>
      </c>
      <c r="E304">
        <v>-203944.52</v>
      </c>
      <c r="F304">
        <v>-203944.52</v>
      </c>
      <c r="G304" t="s">
        <v>184</v>
      </c>
    </row>
    <row r="305" spans="1:7" x14ac:dyDescent="0.35">
      <c r="A305">
        <v>190</v>
      </c>
      <c r="B305" t="s">
        <v>486</v>
      </c>
      <c r="C305">
        <v>0</v>
      </c>
      <c r="D305">
        <v>0</v>
      </c>
      <c r="E305">
        <v>0</v>
      </c>
      <c r="F305">
        <v>0</v>
      </c>
      <c r="G305" t="s">
        <v>184</v>
      </c>
    </row>
    <row r="306" spans="1:7" x14ac:dyDescent="0.35">
      <c r="A306">
        <v>200</v>
      </c>
      <c r="B306" t="s">
        <v>166</v>
      </c>
      <c r="C306">
        <v>50944.82</v>
      </c>
      <c r="D306">
        <v>0</v>
      </c>
      <c r="E306">
        <v>-203944.52</v>
      </c>
      <c r="F306">
        <v>-203944.52</v>
      </c>
      <c r="G306" t="s">
        <v>184</v>
      </c>
    </row>
    <row r="307" spans="1:7" x14ac:dyDescent="0.35">
      <c r="A307">
        <v>210</v>
      </c>
      <c r="B307" t="s">
        <v>487</v>
      </c>
      <c r="C307">
        <v>50944.82</v>
      </c>
      <c r="D307">
        <v>0</v>
      </c>
      <c r="E307">
        <v>-203944.52</v>
      </c>
      <c r="F307">
        <v>-203944.52</v>
      </c>
      <c r="G307" t="s">
        <v>184</v>
      </c>
    </row>
    <row r="308" spans="1:7" x14ac:dyDescent="0.35">
      <c r="A308">
        <v>220</v>
      </c>
      <c r="B308" t="s">
        <v>488</v>
      </c>
      <c r="C308">
        <v>0</v>
      </c>
      <c r="D308">
        <v>0</v>
      </c>
      <c r="E308">
        <v>0</v>
      </c>
      <c r="F308">
        <v>0</v>
      </c>
      <c r="G308" t="s">
        <v>184</v>
      </c>
    </row>
    <row r="309" spans="1:7" x14ac:dyDescent="0.35">
      <c r="A309">
        <v>230</v>
      </c>
      <c r="B309" t="s">
        <v>341</v>
      </c>
      <c r="C309">
        <v>-686568.04</v>
      </c>
      <c r="D309">
        <v>-1381558.38</v>
      </c>
      <c r="E309">
        <v>-1973634.86</v>
      </c>
      <c r="F309">
        <v>-592076.48</v>
      </c>
      <c r="G309" t="s">
        <v>184</v>
      </c>
    </row>
    <row r="310" spans="1:7" x14ac:dyDescent="0.35">
      <c r="A310">
        <v>235</v>
      </c>
      <c r="B310" t="s">
        <v>489</v>
      </c>
      <c r="C310">
        <v>0</v>
      </c>
      <c r="D310">
        <v>0</v>
      </c>
      <c r="E310">
        <v>0</v>
      </c>
      <c r="F310">
        <v>0</v>
      </c>
      <c r="G310" t="s">
        <v>184</v>
      </c>
    </row>
    <row r="311" spans="1:7" x14ac:dyDescent="0.35">
      <c r="A311">
        <v>240</v>
      </c>
      <c r="B311" t="s">
        <v>342</v>
      </c>
      <c r="C311">
        <v>-0.28999999999999998</v>
      </c>
      <c r="D311">
        <v>-525670.34</v>
      </c>
      <c r="E311">
        <v>-496481.85</v>
      </c>
      <c r="F311">
        <v>29188.49</v>
      </c>
      <c r="G311" t="s">
        <v>184</v>
      </c>
    </row>
    <row r="312" spans="1:7" x14ac:dyDescent="0.35">
      <c r="A312">
        <v>250</v>
      </c>
      <c r="B312" t="s">
        <v>343</v>
      </c>
      <c r="C312">
        <v>0</v>
      </c>
      <c r="D312">
        <v>0</v>
      </c>
      <c r="E312">
        <v>0</v>
      </c>
      <c r="F312">
        <v>0</v>
      </c>
      <c r="G312" t="s">
        <v>184</v>
      </c>
    </row>
    <row r="313" spans="1:7" x14ac:dyDescent="0.35">
      <c r="A313">
        <v>260</v>
      </c>
      <c r="B313" t="s">
        <v>490</v>
      </c>
      <c r="C313">
        <v>-72462.850000000006</v>
      </c>
      <c r="D313">
        <v>-429796.84</v>
      </c>
      <c r="E313">
        <v>-999448.94</v>
      </c>
      <c r="F313">
        <v>-569652.1</v>
      </c>
      <c r="G313" t="s">
        <v>184</v>
      </c>
    </row>
    <row r="314" spans="1:7" x14ac:dyDescent="0.35">
      <c r="A314">
        <v>270</v>
      </c>
      <c r="B314" t="s">
        <v>344</v>
      </c>
      <c r="C314">
        <v>-63464.67</v>
      </c>
      <c r="D314">
        <v>-3270452.29</v>
      </c>
      <c r="E314">
        <v>-3694402.51</v>
      </c>
      <c r="F314">
        <v>-423950.22</v>
      </c>
      <c r="G314" t="s">
        <v>184</v>
      </c>
    </row>
    <row r="315" spans="1:7" x14ac:dyDescent="0.35">
      <c r="A315">
        <v>300</v>
      </c>
      <c r="B315" t="s">
        <v>367</v>
      </c>
      <c r="C315">
        <v>0</v>
      </c>
      <c r="D315">
        <v>0</v>
      </c>
      <c r="E315">
        <v>0</v>
      </c>
      <c r="F315">
        <v>0</v>
      </c>
      <c r="G315" t="s">
        <v>184</v>
      </c>
    </row>
    <row r="316" spans="1:7" x14ac:dyDescent="0.35">
      <c r="A316">
        <v>310</v>
      </c>
      <c r="B316" t="s">
        <v>491</v>
      </c>
      <c r="C316">
        <v>16437.89</v>
      </c>
      <c r="D316">
        <v>190890.36</v>
      </c>
      <c r="E316">
        <v>17930.8</v>
      </c>
      <c r="F316">
        <v>-172959.56</v>
      </c>
      <c r="G316" t="s">
        <v>184</v>
      </c>
    </row>
    <row r="317" spans="1:7" x14ac:dyDescent="0.35">
      <c r="A317">
        <v>320</v>
      </c>
      <c r="B317" t="s">
        <v>492</v>
      </c>
      <c r="C317">
        <v>556797.6</v>
      </c>
      <c r="D317">
        <v>4331401.55</v>
      </c>
      <c r="E317">
        <v>4575089.28</v>
      </c>
      <c r="F317">
        <v>243687.73</v>
      </c>
      <c r="G317" t="s">
        <v>184</v>
      </c>
    </row>
    <row r="318" spans="1:7" x14ac:dyDescent="0.35">
      <c r="A318">
        <v>325</v>
      </c>
      <c r="B318" t="s">
        <v>493</v>
      </c>
      <c r="C318">
        <v>0</v>
      </c>
      <c r="D318">
        <v>0</v>
      </c>
      <c r="E318">
        <v>0</v>
      </c>
      <c r="F318">
        <v>0</v>
      </c>
      <c r="G318" t="s">
        <v>184</v>
      </c>
    </row>
    <row r="319" spans="1:7" x14ac:dyDescent="0.35">
      <c r="A319">
        <v>330</v>
      </c>
      <c r="B319" t="s">
        <v>494</v>
      </c>
      <c r="C319">
        <v>131364.72</v>
      </c>
      <c r="D319">
        <v>1375146.82</v>
      </c>
      <c r="E319">
        <v>2210351.7799999998</v>
      </c>
      <c r="F319">
        <v>835204.96</v>
      </c>
      <c r="G319" t="s">
        <v>184</v>
      </c>
    </row>
    <row r="320" spans="1:7" x14ac:dyDescent="0.35">
      <c r="A320">
        <v>340</v>
      </c>
      <c r="B320" t="s">
        <v>495</v>
      </c>
      <c r="C320">
        <v>63810.96</v>
      </c>
      <c r="D320">
        <v>2587418.1</v>
      </c>
      <c r="E320">
        <v>3078304.19</v>
      </c>
      <c r="F320">
        <v>490886.09</v>
      </c>
      <c r="G320" t="s">
        <v>184</v>
      </c>
    </row>
    <row r="321" spans="1:7" x14ac:dyDescent="0.35">
      <c r="A321">
        <v>380</v>
      </c>
      <c r="B321" t="s">
        <v>496</v>
      </c>
      <c r="C321">
        <v>-54084.68</v>
      </c>
      <c r="D321">
        <v>2877378.98</v>
      </c>
      <c r="E321">
        <v>2717707.89</v>
      </c>
      <c r="F321">
        <v>-159671.09</v>
      </c>
      <c r="G321" t="s">
        <v>184</v>
      </c>
    </row>
    <row r="322" spans="1:7" x14ac:dyDescent="0.35">
      <c r="A322">
        <v>390</v>
      </c>
      <c r="B322" t="s">
        <v>497</v>
      </c>
      <c r="C322">
        <v>0</v>
      </c>
      <c r="D322">
        <v>0</v>
      </c>
      <c r="E322">
        <v>0</v>
      </c>
      <c r="F322">
        <v>0</v>
      </c>
      <c r="G322" t="s">
        <v>184</v>
      </c>
    </row>
    <row r="323" spans="1:7" x14ac:dyDescent="0.35">
      <c r="A323">
        <v>400</v>
      </c>
      <c r="B323" t="s">
        <v>498</v>
      </c>
      <c r="C323">
        <v>0</v>
      </c>
      <c r="D323">
        <v>0</v>
      </c>
      <c r="E323">
        <v>0</v>
      </c>
      <c r="F323">
        <v>0</v>
      </c>
      <c r="G323" t="s">
        <v>184</v>
      </c>
    </row>
    <row r="324" spans="1:7" x14ac:dyDescent="0.35">
      <c r="A324">
        <v>405</v>
      </c>
      <c r="B324" t="s">
        <v>499</v>
      </c>
      <c r="C324">
        <v>0</v>
      </c>
      <c r="D324">
        <v>0</v>
      </c>
      <c r="E324">
        <v>0</v>
      </c>
      <c r="F324">
        <v>0</v>
      </c>
      <c r="G324" t="s">
        <v>184</v>
      </c>
    </row>
    <row r="325" spans="1:7" x14ac:dyDescent="0.35">
      <c r="A325">
        <v>410</v>
      </c>
      <c r="B325" t="s">
        <v>382</v>
      </c>
      <c r="C325">
        <v>0</v>
      </c>
      <c r="D325">
        <v>53000</v>
      </c>
      <c r="E325">
        <v>53000</v>
      </c>
      <c r="F325">
        <v>0</v>
      </c>
      <c r="G325" t="s">
        <v>184</v>
      </c>
    </row>
    <row r="326" spans="1:7" x14ac:dyDescent="0.35">
      <c r="A326">
        <v>420</v>
      </c>
      <c r="B326" t="s">
        <v>500</v>
      </c>
      <c r="C326">
        <v>0</v>
      </c>
      <c r="D326">
        <v>-3573015.27</v>
      </c>
      <c r="E326">
        <v>-3573015.27</v>
      </c>
      <c r="F326">
        <v>0</v>
      </c>
      <c r="G326" t="s">
        <v>184</v>
      </c>
    </row>
    <row r="327" spans="1:7" x14ac:dyDescent="0.35">
      <c r="A327">
        <v>425</v>
      </c>
      <c r="B327" t="s">
        <v>501</v>
      </c>
      <c r="C327">
        <v>0</v>
      </c>
      <c r="D327">
        <v>0</v>
      </c>
      <c r="E327">
        <v>0</v>
      </c>
      <c r="F327">
        <v>0</v>
      </c>
      <c r="G327" t="s">
        <v>184</v>
      </c>
    </row>
    <row r="328" spans="1:7" x14ac:dyDescent="0.35">
      <c r="A328">
        <v>427</v>
      </c>
      <c r="B328" t="s">
        <v>502</v>
      </c>
      <c r="C328">
        <v>0</v>
      </c>
      <c r="D328">
        <v>0</v>
      </c>
      <c r="E328">
        <v>0</v>
      </c>
      <c r="F328">
        <v>0</v>
      </c>
      <c r="G328" t="s">
        <v>184</v>
      </c>
    </row>
    <row r="329" spans="1:7" x14ac:dyDescent="0.35">
      <c r="A329">
        <v>430</v>
      </c>
      <c r="B329" t="s">
        <v>503</v>
      </c>
      <c r="C329">
        <v>0</v>
      </c>
      <c r="D329">
        <v>1074498.3600000001</v>
      </c>
      <c r="E329">
        <v>1074498.3600000001</v>
      </c>
      <c r="F329">
        <v>0</v>
      </c>
      <c r="G329" t="s">
        <v>184</v>
      </c>
    </row>
    <row r="330" spans="1:7" x14ac:dyDescent="0.35">
      <c r="A330">
        <v>440</v>
      </c>
      <c r="B330" t="s">
        <v>504</v>
      </c>
      <c r="C330">
        <v>0</v>
      </c>
      <c r="D330">
        <v>-2445516.91</v>
      </c>
      <c r="E330">
        <v>-2445516.91</v>
      </c>
      <c r="F330">
        <v>0</v>
      </c>
      <c r="G330" t="s">
        <v>184</v>
      </c>
    </row>
    <row r="331" spans="1:7" x14ac:dyDescent="0.35">
      <c r="A331">
        <v>450</v>
      </c>
      <c r="B331" t="s">
        <v>505</v>
      </c>
      <c r="C331">
        <v>0</v>
      </c>
      <c r="D331">
        <v>0</v>
      </c>
      <c r="E331">
        <v>0</v>
      </c>
      <c r="F331">
        <v>0</v>
      </c>
      <c r="G331" t="s">
        <v>184</v>
      </c>
    </row>
    <row r="332" spans="1:7" x14ac:dyDescent="0.35">
      <c r="A332">
        <v>455</v>
      </c>
      <c r="B332" t="s">
        <v>349</v>
      </c>
      <c r="C332">
        <v>0</v>
      </c>
      <c r="D332">
        <v>0</v>
      </c>
      <c r="E332">
        <v>0</v>
      </c>
      <c r="F332">
        <v>0</v>
      </c>
      <c r="G332" t="s">
        <v>184</v>
      </c>
    </row>
    <row r="333" spans="1:7" x14ac:dyDescent="0.35">
      <c r="A333">
        <v>456</v>
      </c>
      <c r="B333" t="s">
        <v>506</v>
      </c>
      <c r="C333">
        <v>0</v>
      </c>
      <c r="D333">
        <v>0</v>
      </c>
      <c r="E333">
        <v>0</v>
      </c>
      <c r="F333">
        <v>0</v>
      </c>
      <c r="G333" t="s">
        <v>184</v>
      </c>
    </row>
    <row r="334" spans="1:7" x14ac:dyDescent="0.35">
      <c r="A334">
        <v>460</v>
      </c>
      <c r="B334" t="s">
        <v>353</v>
      </c>
      <c r="C334">
        <v>0</v>
      </c>
      <c r="D334">
        <v>0</v>
      </c>
      <c r="E334">
        <v>0</v>
      </c>
      <c r="F334">
        <v>0</v>
      </c>
      <c r="G334" t="s">
        <v>184</v>
      </c>
    </row>
    <row r="335" spans="1:7" x14ac:dyDescent="0.35">
      <c r="A335">
        <v>470</v>
      </c>
      <c r="B335" t="s">
        <v>507</v>
      </c>
      <c r="C335">
        <v>0</v>
      </c>
      <c r="D335">
        <v>0</v>
      </c>
      <c r="E335">
        <v>0</v>
      </c>
      <c r="F335">
        <v>0</v>
      </c>
      <c r="G335" t="s">
        <v>184</v>
      </c>
    </row>
    <row r="336" spans="1:7" x14ac:dyDescent="0.35">
      <c r="A336">
        <v>480</v>
      </c>
      <c r="B336" t="s">
        <v>352</v>
      </c>
      <c r="C336">
        <v>0</v>
      </c>
      <c r="D336">
        <v>0</v>
      </c>
      <c r="E336">
        <v>0</v>
      </c>
      <c r="F336">
        <v>0</v>
      </c>
      <c r="G336" t="s">
        <v>184</v>
      </c>
    </row>
    <row r="337" spans="1:7" x14ac:dyDescent="0.35">
      <c r="A337">
        <v>490</v>
      </c>
      <c r="B337" t="s">
        <v>508</v>
      </c>
      <c r="C337">
        <v>0</v>
      </c>
      <c r="D337">
        <v>0</v>
      </c>
      <c r="E337">
        <v>0</v>
      </c>
      <c r="F337">
        <v>0</v>
      </c>
      <c r="G337" t="s">
        <v>184</v>
      </c>
    </row>
    <row r="338" spans="1:7" x14ac:dyDescent="0.35">
      <c r="A338">
        <v>500</v>
      </c>
      <c r="B338" t="s">
        <v>351</v>
      </c>
      <c r="C338">
        <v>0</v>
      </c>
      <c r="D338">
        <v>0</v>
      </c>
      <c r="E338">
        <v>0</v>
      </c>
      <c r="F338">
        <v>0</v>
      </c>
      <c r="G338" t="s">
        <v>184</v>
      </c>
    </row>
    <row r="339" spans="1:7" x14ac:dyDescent="0.35">
      <c r="A339">
        <v>510</v>
      </c>
      <c r="B339" t="s">
        <v>509</v>
      </c>
      <c r="C339">
        <v>0</v>
      </c>
      <c r="D339">
        <v>0</v>
      </c>
      <c r="E339">
        <v>0</v>
      </c>
      <c r="F339">
        <v>0</v>
      </c>
      <c r="G339" t="s">
        <v>184</v>
      </c>
    </row>
    <row r="340" spans="1:7" x14ac:dyDescent="0.35">
      <c r="A340">
        <v>512</v>
      </c>
      <c r="B340" t="s">
        <v>510</v>
      </c>
      <c r="C340">
        <v>0</v>
      </c>
      <c r="D340">
        <v>-52937.3</v>
      </c>
      <c r="E340">
        <v>-52937.3</v>
      </c>
      <c r="F340">
        <v>0</v>
      </c>
      <c r="G340" t="s">
        <v>184</v>
      </c>
    </row>
    <row r="341" spans="1:7" x14ac:dyDescent="0.35">
      <c r="A341">
        <v>514</v>
      </c>
      <c r="B341" t="s">
        <v>511</v>
      </c>
      <c r="C341">
        <v>0</v>
      </c>
      <c r="D341">
        <v>5999.46</v>
      </c>
      <c r="E341">
        <v>5999.46</v>
      </c>
      <c r="F341">
        <v>0</v>
      </c>
      <c r="G341" t="s">
        <v>184</v>
      </c>
    </row>
    <row r="342" spans="1:7" x14ac:dyDescent="0.35">
      <c r="A342">
        <v>520</v>
      </c>
      <c r="B342" t="s">
        <v>512</v>
      </c>
      <c r="C342">
        <v>0</v>
      </c>
      <c r="D342">
        <v>0</v>
      </c>
      <c r="E342">
        <v>0</v>
      </c>
      <c r="F342">
        <v>0</v>
      </c>
      <c r="G342" t="s">
        <v>184</v>
      </c>
    </row>
    <row r="343" spans="1:7" x14ac:dyDescent="0.35">
      <c r="A343">
        <v>530</v>
      </c>
      <c r="B343" t="s">
        <v>513</v>
      </c>
      <c r="C343">
        <v>0</v>
      </c>
      <c r="D343">
        <v>0</v>
      </c>
      <c r="E343">
        <v>0</v>
      </c>
      <c r="F343">
        <v>0</v>
      </c>
      <c r="G343" t="s">
        <v>184</v>
      </c>
    </row>
    <row r="344" spans="1:7" x14ac:dyDescent="0.35">
      <c r="A344">
        <v>540</v>
      </c>
      <c r="B344" t="s">
        <v>514</v>
      </c>
      <c r="C344">
        <v>0</v>
      </c>
      <c r="D344">
        <v>0</v>
      </c>
      <c r="E344">
        <v>0</v>
      </c>
      <c r="F344">
        <v>0</v>
      </c>
      <c r="G344" t="s">
        <v>184</v>
      </c>
    </row>
    <row r="345" spans="1:7" x14ac:dyDescent="0.35">
      <c r="A345">
        <v>550</v>
      </c>
      <c r="B345" t="s">
        <v>515</v>
      </c>
      <c r="C345">
        <v>0</v>
      </c>
      <c r="D345">
        <v>0</v>
      </c>
      <c r="E345">
        <v>0</v>
      </c>
      <c r="F345">
        <v>0</v>
      </c>
      <c r="G345" t="s">
        <v>184</v>
      </c>
    </row>
    <row r="346" spans="1:7" x14ac:dyDescent="0.35">
      <c r="A346">
        <v>560</v>
      </c>
      <c r="B346" t="s">
        <v>516</v>
      </c>
      <c r="C346">
        <v>0</v>
      </c>
      <c r="D346">
        <v>0</v>
      </c>
      <c r="E346">
        <v>0</v>
      </c>
      <c r="F346">
        <v>0</v>
      </c>
      <c r="G346" t="s">
        <v>184</v>
      </c>
    </row>
    <row r="347" spans="1:7" x14ac:dyDescent="0.35">
      <c r="A347">
        <v>570</v>
      </c>
      <c r="B347" t="s">
        <v>517</v>
      </c>
      <c r="C347">
        <v>0</v>
      </c>
      <c r="D347">
        <v>0</v>
      </c>
      <c r="E347">
        <v>0</v>
      </c>
      <c r="F347">
        <v>0</v>
      </c>
      <c r="G347" t="s">
        <v>184</v>
      </c>
    </row>
    <row r="348" spans="1:7" x14ac:dyDescent="0.35">
      <c r="A348">
        <v>580</v>
      </c>
      <c r="B348" t="s">
        <v>518</v>
      </c>
      <c r="C348">
        <v>0</v>
      </c>
      <c r="D348">
        <v>0</v>
      </c>
      <c r="E348">
        <v>0</v>
      </c>
      <c r="F348">
        <v>0</v>
      </c>
      <c r="G348" t="s">
        <v>184</v>
      </c>
    </row>
    <row r="349" spans="1:7" x14ac:dyDescent="0.35">
      <c r="A349">
        <v>590</v>
      </c>
      <c r="B349" t="s">
        <v>519</v>
      </c>
      <c r="C349">
        <v>0</v>
      </c>
      <c r="D349">
        <v>0</v>
      </c>
      <c r="E349">
        <v>0</v>
      </c>
      <c r="F349">
        <v>0</v>
      </c>
      <c r="G349" t="s">
        <v>184</v>
      </c>
    </row>
    <row r="350" spans="1:7" x14ac:dyDescent="0.35">
      <c r="A350">
        <v>600</v>
      </c>
      <c r="B350" t="s">
        <v>520</v>
      </c>
      <c r="C350">
        <v>0</v>
      </c>
      <c r="D350">
        <v>0</v>
      </c>
      <c r="E350">
        <v>0</v>
      </c>
      <c r="F350">
        <v>0</v>
      </c>
      <c r="G350" t="s">
        <v>184</v>
      </c>
    </row>
    <row r="351" spans="1:7" x14ac:dyDescent="0.35">
      <c r="A351">
        <v>610</v>
      </c>
      <c r="B351" t="s">
        <v>521</v>
      </c>
      <c r="C351">
        <v>0</v>
      </c>
      <c r="D351">
        <v>0</v>
      </c>
      <c r="E351">
        <v>0</v>
      </c>
      <c r="F351">
        <v>0</v>
      </c>
      <c r="G351" t="s">
        <v>184</v>
      </c>
    </row>
    <row r="352" spans="1:7" x14ac:dyDescent="0.35">
      <c r="A352">
        <v>620</v>
      </c>
      <c r="B352" t="s">
        <v>522</v>
      </c>
      <c r="C352">
        <v>0</v>
      </c>
      <c r="D352">
        <v>0</v>
      </c>
      <c r="E352">
        <v>0</v>
      </c>
      <c r="F352">
        <v>0</v>
      </c>
      <c r="G352" t="s">
        <v>184</v>
      </c>
    </row>
    <row r="353" spans="1:7" x14ac:dyDescent="0.35">
      <c r="A353">
        <v>630</v>
      </c>
      <c r="B353" t="s">
        <v>523</v>
      </c>
      <c r="C353">
        <v>0</v>
      </c>
      <c r="D353">
        <v>0</v>
      </c>
      <c r="E353">
        <v>0</v>
      </c>
      <c r="F353">
        <v>0</v>
      </c>
      <c r="G353" t="s">
        <v>184</v>
      </c>
    </row>
    <row r="354" spans="1:7" x14ac:dyDescent="0.35">
      <c r="A354">
        <v>640</v>
      </c>
      <c r="B354" t="s">
        <v>524</v>
      </c>
      <c r="C354">
        <v>0</v>
      </c>
      <c r="D354">
        <v>-46937.84</v>
      </c>
      <c r="E354">
        <v>-46937.84</v>
      </c>
      <c r="F354">
        <v>0</v>
      </c>
      <c r="G354" t="s">
        <v>184</v>
      </c>
    </row>
    <row r="355" spans="1:7" x14ac:dyDescent="0.35">
      <c r="A355">
        <v>650</v>
      </c>
      <c r="B355" t="s">
        <v>525</v>
      </c>
      <c r="C355">
        <v>-3139.86</v>
      </c>
      <c r="D355">
        <v>384924.23</v>
      </c>
      <c r="E355">
        <v>21308.62</v>
      </c>
      <c r="F355">
        <v>-363615.61</v>
      </c>
      <c r="G355" t="s">
        <v>184</v>
      </c>
    </row>
    <row r="356" spans="1:7" x14ac:dyDescent="0.35">
      <c r="A356" t="s">
        <v>204</v>
      </c>
      <c r="B356" t="s">
        <v>172</v>
      </c>
      <c r="C356" t="s">
        <v>468</v>
      </c>
      <c r="D356" t="s">
        <v>469</v>
      </c>
      <c r="E356" t="s">
        <v>470</v>
      </c>
      <c r="F356" t="s">
        <v>471</v>
      </c>
      <c r="G356" t="s">
        <v>183</v>
      </c>
    </row>
    <row r="357" spans="1:7" x14ac:dyDescent="0.35">
      <c r="A357">
        <v>10</v>
      </c>
      <c r="B357" t="s">
        <v>472</v>
      </c>
      <c r="C357">
        <v>0</v>
      </c>
      <c r="D357">
        <v>0</v>
      </c>
      <c r="E357">
        <v>0</v>
      </c>
      <c r="F357">
        <v>0</v>
      </c>
      <c r="G357" t="s">
        <v>184</v>
      </c>
    </row>
    <row r="358" spans="1:7" x14ac:dyDescent="0.35">
      <c r="A358">
        <v>20</v>
      </c>
      <c r="B358" t="s">
        <v>147</v>
      </c>
      <c r="C358">
        <v>246003</v>
      </c>
      <c r="D358">
        <v>0</v>
      </c>
      <c r="E358">
        <v>2214027</v>
      </c>
      <c r="F358">
        <v>2214027</v>
      </c>
      <c r="G358" t="s">
        <v>184</v>
      </c>
    </row>
    <row r="359" spans="1:7" x14ac:dyDescent="0.35">
      <c r="A359">
        <v>30</v>
      </c>
      <c r="B359" t="s">
        <v>473</v>
      </c>
      <c r="C359">
        <v>0</v>
      </c>
      <c r="D359">
        <v>0</v>
      </c>
      <c r="E359">
        <v>0</v>
      </c>
      <c r="F359">
        <v>0</v>
      </c>
      <c r="G359" t="s">
        <v>184</v>
      </c>
    </row>
    <row r="360" spans="1:7" x14ac:dyDescent="0.35">
      <c r="A360">
        <v>35</v>
      </c>
      <c r="B360" t="s">
        <v>474</v>
      </c>
      <c r="C360">
        <v>246003</v>
      </c>
      <c r="D360">
        <v>0</v>
      </c>
      <c r="E360">
        <v>2214027</v>
      </c>
      <c r="F360">
        <v>2214027</v>
      </c>
      <c r="G360" t="s">
        <v>184</v>
      </c>
    </row>
    <row r="361" spans="1:7" x14ac:dyDescent="0.35">
      <c r="A361">
        <v>40</v>
      </c>
      <c r="B361" t="s">
        <v>475</v>
      </c>
      <c r="C361">
        <v>0</v>
      </c>
      <c r="D361">
        <v>0</v>
      </c>
      <c r="E361">
        <v>0</v>
      </c>
      <c r="F361">
        <v>0</v>
      </c>
      <c r="G361" t="s">
        <v>184</v>
      </c>
    </row>
    <row r="362" spans="1:7" x14ac:dyDescent="0.35">
      <c r="A362">
        <v>50</v>
      </c>
      <c r="B362" t="s">
        <v>476</v>
      </c>
      <c r="C362">
        <v>0</v>
      </c>
      <c r="D362">
        <v>0</v>
      </c>
      <c r="E362">
        <v>0</v>
      </c>
      <c r="F362">
        <v>0</v>
      </c>
      <c r="G362" t="s">
        <v>184</v>
      </c>
    </row>
    <row r="363" spans="1:7" x14ac:dyDescent="0.35">
      <c r="A363">
        <v>60</v>
      </c>
      <c r="B363" t="s">
        <v>477</v>
      </c>
      <c r="C363">
        <v>246003</v>
      </c>
      <c r="D363">
        <v>0</v>
      </c>
      <c r="E363">
        <v>2214027</v>
      </c>
      <c r="F363">
        <v>2214027</v>
      </c>
      <c r="G363" t="s">
        <v>184</v>
      </c>
    </row>
    <row r="364" spans="1:7" x14ac:dyDescent="0.35">
      <c r="A364">
        <v>70</v>
      </c>
      <c r="B364" t="s">
        <v>152</v>
      </c>
      <c r="C364">
        <v>0</v>
      </c>
      <c r="D364">
        <v>0</v>
      </c>
      <c r="E364">
        <v>0</v>
      </c>
      <c r="F364">
        <v>0</v>
      </c>
      <c r="G364" t="s">
        <v>184</v>
      </c>
    </row>
    <row r="365" spans="1:7" x14ac:dyDescent="0.35">
      <c r="A365">
        <v>80</v>
      </c>
      <c r="B365" t="s">
        <v>153</v>
      </c>
      <c r="C365">
        <v>163170.38</v>
      </c>
      <c r="D365">
        <v>0</v>
      </c>
      <c r="E365">
        <v>1512370.22</v>
      </c>
      <c r="F365">
        <v>1512370.22</v>
      </c>
      <c r="G365" t="s">
        <v>184</v>
      </c>
    </row>
    <row r="366" spans="1:7" x14ac:dyDescent="0.35">
      <c r="A366">
        <v>90</v>
      </c>
      <c r="B366" t="s">
        <v>478</v>
      </c>
      <c r="C366">
        <v>33786.870000000003</v>
      </c>
      <c r="D366">
        <v>0</v>
      </c>
      <c r="E366">
        <v>304081.83</v>
      </c>
      <c r="F366">
        <v>304081.83</v>
      </c>
      <c r="G366" t="s">
        <v>184</v>
      </c>
    </row>
    <row r="367" spans="1:7" x14ac:dyDescent="0.35">
      <c r="A367">
        <v>100</v>
      </c>
      <c r="B367" t="s">
        <v>479</v>
      </c>
      <c r="C367">
        <v>49045.75</v>
      </c>
      <c r="D367">
        <v>0</v>
      </c>
      <c r="E367">
        <v>397574.95</v>
      </c>
      <c r="F367">
        <v>397574.95</v>
      </c>
      <c r="G367" t="s">
        <v>184</v>
      </c>
    </row>
    <row r="368" spans="1:7" x14ac:dyDescent="0.35">
      <c r="A368">
        <v>110</v>
      </c>
      <c r="B368" t="s">
        <v>480</v>
      </c>
      <c r="C368">
        <v>-3602.18</v>
      </c>
      <c r="D368">
        <v>0</v>
      </c>
      <c r="E368">
        <v>267.33</v>
      </c>
      <c r="F368">
        <v>267.33</v>
      </c>
      <c r="G368" t="s">
        <v>184</v>
      </c>
    </row>
    <row r="369" spans="1:7" x14ac:dyDescent="0.35">
      <c r="A369">
        <v>120</v>
      </c>
      <c r="B369" t="s">
        <v>481</v>
      </c>
      <c r="C369">
        <v>0</v>
      </c>
      <c r="D369">
        <v>0</v>
      </c>
      <c r="E369">
        <v>0</v>
      </c>
      <c r="F369">
        <v>0</v>
      </c>
      <c r="G369" t="s">
        <v>184</v>
      </c>
    </row>
    <row r="370" spans="1:7" x14ac:dyDescent="0.35">
      <c r="A370">
        <v>130</v>
      </c>
      <c r="B370" t="s">
        <v>482</v>
      </c>
      <c r="C370">
        <v>1534.25</v>
      </c>
      <c r="D370">
        <v>0</v>
      </c>
      <c r="E370">
        <v>10629.79</v>
      </c>
      <c r="F370">
        <v>10629.79</v>
      </c>
      <c r="G370" t="s">
        <v>184</v>
      </c>
    </row>
    <row r="371" spans="1:7" x14ac:dyDescent="0.35">
      <c r="A371">
        <v>140</v>
      </c>
      <c r="B371" t="s">
        <v>483</v>
      </c>
      <c r="C371">
        <v>5.34</v>
      </c>
      <c r="D371">
        <v>0</v>
      </c>
      <c r="E371">
        <v>5.7</v>
      </c>
      <c r="F371">
        <v>5.7</v>
      </c>
      <c r="G371" t="s">
        <v>184</v>
      </c>
    </row>
    <row r="372" spans="1:7" x14ac:dyDescent="0.35">
      <c r="A372">
        <v>145</v>
      </c>
      <c r="B372" t="s">
        <v>162</v>
      </c>
      <c r="C372">
        <v>-2073.27</v>
      </c>
      <c r="D372">
        <v>0</v>
      </c>
      <c r="E372">
        <v>10891.42</v>
      </c>
      <c r="F372">
        <v>10891.42</v>
      </c>
      <c r="G372" t="s">
        <v>184</v>
      </c>
    </row>
    <row r="373" spans="1:7" x14ac:dyDescent="0.35">
      <c r="A373">
        <v>150</v>
      </c>
      <c r="B373" t="s">
        <v>484</v>
      </c>
      <c r="C373">
        <v>51119.02</v>
      </c>
      <c r="D373">
        <v>0</v>
      </c>
      <c r="E373">
        <v>386683.53</v>
      </c>
      <c r="F373">
        <v>386683.53</v>
      </c>
      <c r="G373" t="s">
        <v>184</v>
      </c>
    </row>
    <row r="374" spans="1:7" x14ac:dyDescent="0.35">
      <c r="A374">
        <v>160</v>
      </c>
      <c r="B374" t="s">
        <v>485</v>
      </c>
      <c r="C374">
        <v>29328.48</v>
      </c>
      <c r="D374">
        <v>0</v>
      </c>
      <c r="E374">
        <v>263956.32</v>
      </c>
      <c r="F374">
        <v>263956.32</v>
      </c>
      <c r="G374" t="s">
        <v>184</v>
      </c>
    </row>
    <row r="375" spans="1:7" x14ac:dyDescent="0.35">
      <c r="A375">
        <v>170</v>
      </c>
      <c r="B375" t="s">
        <v>166</v>
      </c>
      <c r="C375">
        <v>21790.54</v>
      </c>
      <c r="D375">
        <v>0</v>
      </c>
      <c r="E375">
        <v>122727.21</v>
      </c>
      <c r="F375">
        <v>122727.21</v>
      </c>
      <c r="G375" t="s">
        <v>184</v>
      </c>
    </row>
    <row r="376" spans="1:7" x14ac:dyDescent="0.35">
      <c r="A376">
        <v>190</v>
      </c>
      <c r="B376" t="s">
        <v>486</v>
      </c>
      <c r="C376">
        <v>0</v>
      </c>
      <c r="D376">
        <v>0</v>
      </c>
      <c r="E376">
        <v>0</v>
      </c>
      <c r="F376">
        <v>0</v>
      </c>
      <c r="G376" t="s">
        <v>184</v>
      </c>
    </row>
    <row r="377" spans="1:7" x14ac:dyDescent="0.35">
      <c r="A377">
        <v>200</v>
      </c>
      <c r="B377" t="s">
        <v>166</v>
      </c>
      <c r="C377">
        <v>21790.54</v>
      </c>
      <c r="D377">
        <v>0</v>
      </c>
      <c r="E377">
        <v>122727.21</v>
      </c>
      <c r="F377">
        <v>122727.21</v>
      </c>
      <c r="G377" t="s">
        <v>184</v>
      </c>
    </row>
    <row r="378" spans="1:7" x14ac:dyDescent="0.35">
      <c r="A378">
        <v>210</v>
      </c>
      <c r="B378" t="s">
        <v>487</v>
      </c>
      <c r="C378">
        <v>21790.54</v>
      </c>
      <c r="D378">
        <v>0</v>
      </c>
      <c r="E378">
        <v>122727.21</v>
      </c>
      <c r="F378">
        <v>122727.21</v>
      </c>
      <c r="G378" t="s">
        <v>184</v>
      </c>
    </row>
    <row r="379" spans="1:7" x14ac:dyDescent="0.35">
      <c r="A379">
        <v>220</v>
      </c>
      <c r="B379" t="s">
        <v>488</v>
      </c>
      <c r="C379">
        <v>0</v>
      </c>
      <c r="D379">
        <v>0</v>
      </c>
      <c r="E379">
        <v>0</v>
      </c>
      <c r="F379">
        <v>0</v>
      </c>
      <c r="G379" t="s">
        <v>184</v>
      </c>
    </row>
    <row r="380" spans="1:7" x14ac:dyDescent="0.35">
      <c r="A380">
        <v>230</v>
      </c>
      <c r="B380" t="s">
        <v>341</v>
      </c>
      <c r="C380">
        <v>65941.740000000005</v>
      </c>
      <c r="D380">
        <v>469625.01</v>
      </c>
      <c r="E380">
        <v>188696.09</v>
      </c>
      <c r="F380">
        <v>-280928.92</v>
      </c>
      <c r="G380" t="s">
        <v>184</v>
      </c>
    </row>
    <row r="381" spans="1:7" x14ac:dyDescent="0.35">
      <c r="A381">
        <v>235</v>
      </c>
      <c r="B381" t="s">
        <v>489</v>
      </c>
      <c r="C381">
        <v>0</v>
      </c>
      <c r="D381">
        <v>0</v>
      </c>
      <c r="E381">
        <v>0</v>
      </c>
      <c r="F381">
        <v>0</v>
      </c>
      <c r="G381" t="s">
        <v>184</v>
      </c>
    </row>
    <row r="382" spans="1:7" x14ac:dyDescent="0.35">
      <c r="A382">
        <v>240</v>
      </c>
      <c r="B382" t="s">
        <v>342</v>
      </c>
      <c r="C382">
        <v>0</v>
      </c>
      <c r="D382">
        <v>-1232000</v>
      </c>
      <c r="E382">
        <v>-1232000</v>
      </c>
      <c r="F382">
        <v>0</v>
      </c>
      <c r="G382" t="s">
        <v>184</v>
      </c>
    </row>
    <row r="383" spans="1:7" x14ac:dyDescent="0.35">
      <c r="A383">
        <v>250</v>
      </c>
      <c r="B383" t="s">
        <v>343</v>
      </c>
      <c r="C383">
        <v>0</v>
      </c>
      <c r="D383">
        <v>0</v>
      </c>
      <c r="E383">
        <v>0</v>
      </c>
      <c r="F383">
        <v>0</v>
      </c>
      <c r="G383" t="s">
        <v>184</v>
      </c>
    </row>
    <row r="384" spans="1:7" x14ac:dyDescent="0.35">
      <c r="A384">
        <v>260</v>
      </c>
      <c r="B384" t="s">
        <v>490</v>
      </c>
      <c r="C384">
        <v>-12008.28</v>
      </c>
      <c r="D384">
        <v>-589985.68999999994</v>
      </c>
      <c r="E384">
        <v>-702894.38</v>
      </c>
      <c r="F384">
        <v>-112908.69</v>
      </c>
      <c r="G384" t="s">
        <v>184</v>
      </c>
    </row>
    <row r="385" spans="1:7" x14ac:dyDescent="0.35">
      <c r="A385">
        <v>270</v>
      </c>
      <c r="B385" t="s">
        <v>344</v>
      </c>
      <c r="C385">
        <v>-14344.87</v>
      </c>
      <c r="D385">
        <v>-2178963.17</v>
      </c>
      <c r="E385">
        <v>-2572528.6400000001</v>
      </c>
      <c r="F385">
        <v>-393565.47</v>
      </c>
      <c r="G385" t="s">
        <v>184</v>
      </c>
    </row>
    <row r="386" spans="1:7" x14ac:dyDescent="0.35">
      <c r="A386">
        <v>300</v>
      </c>
      <c r="B386" t="s">
        <v>367</v>
      </c>
      <c r="C386">
        <v>0</v>
      </c>
      <c r="D386">
        <v>0</v>
      </c>
      <c r="E386">
        <v>0</v>
      </c>
      <c r="F386">
        <v>0</v>
      </c>
      <c r="G386" t="s">
        <v>184</v>
      </c>
    </row>
    <row r="387" spans="1:7" x14ac:dyDescent="0.35">
      <c r="A387">
        <v>310</v>
      </c>
      <c r="B387" t="s">
        <v>491</v>
      </c>
      <c r="C387">
        <v>0</v>
      </c>
      <c r="D387">
        <v>13186.42</v>
      </c>
      <c r="E387">
        <v>13186.42</v>
      </c>
      <c r="F387">
        <v>0</v>
      </c>
      <c r="G387" t="s">
        <v>184</v>
      </c>
    </row>
    <row r="388" spans="1:7" x14ac:dyDescent="0.35">
      <c r="A388">
        <v>320</v>
      </c>
      <c r="B388" t="s">
        <v>492</v>
      </c>
      <c r="C388">
        <v>-141861.49</v>
      </c>
      <c r="D388">
        <v>3777661.18</v>
      </c>
      <c r="E388">
        <v>3738563.02</v>
      </c>
      <c r="F388">
        <v>-39098.160000000003</v>
      </c>
      <c r="G388" t="s">
        <v>184</v>
      </c>
    </row>
    <row r="389" spans="1:7" x14ac:dyDescent="0.35">
      <c r="A389">
        <v>325</v>
      </c>
      <c r="B389" t="s">
        <v>493</v>
      </c>
      <c r="C389">
        <v>0</v>
      </c>
      <c r="D389">
        <v>0</v>
      </c>
      <c r="E389">
        <v>0</v>
      </c>
      <c r="F389">
        <v>0</v>
      </c>
      <c r="G389" t="s">
        <v>184</v>
      </c>
    </row>
    <row r="390" spans="1:7" x14ac:dyDescent="0.35">
      <c r="A390">
        <v>330</v>
      </c>
      <c r="B390" t="s">
        <v>494</v>
      </c>
      <c r="C390">
        <v>19680.240000000002</v>
      </c>
      <c r="D390">
        <v>629383.94999999995</v>
      </c>
      <c r="E390">
        <v>806506.11</v>
      </c>
      <c r="F390">
        <v>177122.16</v>
      </c>
      <c r="G390" t="s">
        <v>184</v>
      </c>
    </row>
    <row r="391" spans="1:7" x14ac:dyDescent="0.35">
      <c r="A391">
        <v>340</v>
      </c>
      <c r="B391" t="s">
        <v>495</v>
      </c>
      <c r="C391">
        <v>29328.48</v>
      </c>
      <c r="D391">
        <v>271985.38</v>
      </c>
      <c r="E391">
        <v>542842.69999999995</v>
      </c>
      <c r="F391">
        <v>270857.32</v>
      </c>
      <c r="G391" t="s">
        <v>184</v>
      </c>
    </row>
    <row r="392" spans="1:7" x14ac:dyDescent="0.35">
      <c r="A392">
        <v>380</v>
      </c>
      <c r="B392" t="s">
        <v>496</v>
      </c>
      <c r="C392">
        <v>-53264.18</v>
      </c>
      <c r="D392">
        <v>1160893.08</v>
      </c>
      <c r="E392">
        <v>782371.32</v>
      </c>
      <c r="F392">
        <v>-378521.76</v>
      </c>
      <c r="G392" t="s">
        <v>184</v>
      </c>
    </row>
    <row r="393" spans="1:7" x14ac:dyDescent="0.35">
      <c r="A393">
        <v>390</v>
      </c>
      <c r="B393" t="s">
        <v>497</v>
      </c>
      <c r="C393">
        <v>0</v>
      </c>
      <c r="D393">
        <v>0</v>
      </c>
      <c r="E393">
        <v>0</v>
      </c>
      <c r="F393">
        <v>0</v>
      </c>
      <c r="G393" t="s">
        <v>184</v>
      </c>
    </row>
    <row r="394" spans="1:7" x14ac:dyDescent="0.35">
      <c r="A394">
        <v>400</v>
      </c>
      <c r="B394" t="s">
        <v>498</v>
      </c>
      <c r="C394">
        <v>0</v>
      </c>
      <c r="D394">
        <v>0</v>
      </c>
      <c r="E394">
        <v>0</v>
      </c>
      <c r="F394">
        <v>0</v>
      </c>
      <c r="G394" t="s">
        <v>184</v>
      </c>
    </row>
    <row r="395" spans="1:7" x14ac:dyDescent="0.35">
      <c r="A395">
        <v>405</v>
      </c>
      <c r="B395" t="s">
        <v>499</v>
      </c>
      <c r="C395">
        <v>0</v>
      </c>
      <c r="D395">
        <v>0</v>
      </c>
      <c r="E395">
        <v>0</v>
      </c>
      <c r="F395">
        <v>0</v>
      </c>
      <c r="G395" t="s">
        <v>184</v>
      </c>
    </row>
    <row r="396" spans="1:7" x14ac:dyDescent="0.35">
      <c r="A396">
        <v>410</v>
      </c>
      <c r="B396" t="s">
        <v>382</v>
      </c>
      <c r="C396">
        <v>0</v>
      </c>
      <c r="D396">
        <v>13466589.050000001</v>
      </c>
      <c r="E396">
        <v>13466589.050000001</v>
      </c>
      <c r="F396">
        <v>0</v>
      </c>
      <c r="G396" t="s">
        <v>184</v>
      </c>
    </row>
    <row r="397" spans="1:7" x14ac:dyDescent="0.35">
      <c r="A397">
        <v>420</v>
      </c>
      <c r="B397" t="s">
        <v>500</v>
      </c>
      <c r="C397">
        <v>0</v>
      </c>
      <c r="D397">
        <v>7737527.6900000004</v>
      </c>
      <c r="E397">
        <v>7737527.6900000004</v>
      </c>
      <c r="F397">
        <v>0</v>
      </c>
      <c r="G397" t="s">
        <v>184</v>
      </c>
    </row>
    <row r="398" spans="1:7" x14ac:dyDescent="0.35">
      <c r="A398">
        <v>425</v>
      </c>
      <c r="B398" t="s">
        <v>501</v>
      </c>
      <c r="C398">
        <v>0</v>
      </c>
      <c r="D398">
        <v>55554</v>
      </c>
      <c r="E398">
        <v>55554</v>
      </c>
      <c r="F398">
        <v>0</v>
      </c>
      <c r="G398" t="s">
        <v>184</v>
      </c>
    </row>
    <row r="399" spans="1:7" x14ac:dyDescent="0.35">
      <c r="A399">
        <v>427</v>
      </c>
      <c r="B399" t="s">
        <v>502</v>
      </c>
      <c r="C399">
        <v>0</v>
      </c>
      <c r="D399">
        <v>0</v>
      </c>
      <c r="E399">
        <v>0</v>
      </c>
      <c r="F399">
        <v>0</v>
      </c>
      <c r="G399" t="s">
        <v>184</v>
      </c>
    </row>
    <row r="400" spans="1:7" x14ac:dyDescent="0.35">
      <c r="A400">
        <v>430</v>
      </c>
      <c r="B400" t="s">
        <v>503</v>
      </c>
      <c r="C400">
        <v>0</v>
      </c>
      <c r="D400">
        <v>51128294.090000004</v>
      </c>
      <c r="E400">
        <v>51128294.090000004</v>
      </c>
      <c r="F400">
        <v>0</v>
      </c>
      <c r="G400" t="s">
        <v>184</v>
      </c>
    </row>
    <row r="401" spans="1:7" x14ac:dyDescent="0.35">
      <c r="A401">
        <v>440</v>
      </c>
      <c r="B401" t="s">
        <v>504</v>
      </c>
      <c r="C401">
        <v>0</v>
      </c>
      <c r="D401">
        <v>72387964.829999998</v>
      </c>
      <c r="E401">
        <v>72387964.829999998</v>
      </c>
      <c r="F401">
        <v>0</v>
      </c>
      <c r="G401" t="s">
        <v>184</v>
      </c>
    </row>
    <row r="402" spans="1:7" x14ac:dyDescent="0.35">
      <c r="A402">
        <v>450</v>
      </c>
      <c r="B402" t="s">
        <v>505</v>
      </c>
      <c r="C402">
        <v>0</v>
      </c>
      <c r="D402">
        <v>0</v>
      </c>
      <c r="E402">
        <v>0</v>
      </c>
      <c r="F402">
        <v>0</v>
      </c>
      <c r="G402" t="s">
        <v>184</v>
      </c>
    </row>
    <row r="403" spans="1:7" x14ac:dyDescent="0.35">
      <c r="A403">
        <v>455</v>
      </c>
      <c r="B403" t="s">
        <v>349</v>
      </c>
      <c r="C403">
        <v>0</v>
      </c>
      <c r="D403">
        <v>-54881446.18</v>
      </c>
      <c r="E403">
        <v>-54881446.18</v>
      </c>
      <c r="F403">
        <v>0</v>
      </c>
      <c r="G403" t="s">
        <v>184</v>
      </c>
    </row>
    <row r="404" spans="1:7" x14ac:dyDescent="0.35">
      <c r="A404">
        <v>456</v>
      </c>
      <c r="B404" t="s">
        <v>506</v>
      </c>
      <c r="C404">
        <v>33786.870000000003</v>
      </c>
      <c r="D404">
        <v>11530089.859999999</v>
      </c>
      <c r="E404">
        <v>11834171.689999999</v>
      </c>
      <c r="F404">
        <v>304081.83</v>
      </c>
      <c r="G404" t="s">
        <v>184</v>
      </c>
    </row>
    <row r="405" spans="1:7" x14ac:dyDescent="0.35">
      <c r="A405">
        <v>460</v>
      </c>
      <c r="B405" t="s">
        <v>353</v>
      </c>
      <c r="C405">
        <v>0</v>
      </c>
      <c r="D405">
        <v>0</v>
      </c>
      <c r="E405">
        <v>0</v>
      </c>
      <c r="F405">
        <v>0</v>
      </c>
      <c r="G405" t="s">
        <v>184</v>
      </c>
    </row>
    <row r="406" spans="1:7" x14ac:dyDescent="0.35">
      <c r="A406">
        <v>470</v>
      </c>
      <c r="B406" t="s">
        <v>507</v>
      </c>
      <c r="C406">
        <v>0</v>
      </c>
      <c r="D406">
        <v>0</v>
      </c>
      <c r="E406">
        <v>0</v>
      </c>
      <c r="F406">
        <v>0</v>
      </c>
      <c r="G406" t="s">
        <v>184</v>
      </c>
    </row>
    <row r="407" spans="1:7" x14ac:dyDescent="0.35">
      <c r="A407">
        <v>480</v>
      </c>
      <c r="B407" t="s">
        <v>352</v>
      </c>
      <c r="C407">
        <v>0</v>
      </c>
      <c r="D407">
        <v>0</v>
      </c>
      <c r="E407">
        <v>0</v>
      </c>
      <c r="F407">
        <v>0</v>
      </c>
      <c r="G407" t="s">
        <v>184</v>
      </c>
    </row>
    <row r="408" spans="1:7" x14ac:dyDescent="0.35">
      <c r="A408">
        <v>490</v>
      </c>
      <c r="B408" t="s">
        <v>508</v>
      </c>
      <c r="C408">
        <v>0</v>
      </c>
      <c r="D408">
        <v>0</v>
      </c>
      <c r="E408">
        <v>0</v>
      </c>
      <c r="F408">
        <v>0</v>
      </c>
      <c r="G408" t="s">
        <v>184</v>
      </c>
    </row>
    <row r="409" spans="1:7" x14ac:dyDescent="0.35">
      <c r="A409">
        <v>500</v>
      </c>
      <c r="B409" t="s">
        <v>351</v>
      </c>
      <c r="C409">
        <v>0</v>
      </c>
      <c r="D409">
        <v>0</v>
      </c>
      <c r="E409">
        <v>0</v>
      </c>
      <c r="F409">
        <v>0</v>
      </c>
      <c r="G409" t="s">
        <v>184</v>
      </c>
    </row>
    <row r="410" spans="1:7" x14ac:dyDescent="0.35">
      <c r="A410">
        <v>510</v>
      </c>
      <c r="B410" t="s">
        <v>509</v>
      </c>
      <c r="C410">
        <v>0</v>
      </c>
      <c r="D410">
        <v>0</v>
      </c>
      <c r="E410">
        <v>0</v>
      </c>
      <c r="F410">
        <v>0</v>
      </c>
      <c r="G410" t="s">
        <v>184</v>
      </c>
    </row>
    <row r="411" spans="1:7" x14ac:dyDescent="0.35">
      <c r="A411">
        <v>512</v>
      </c>
      <c r="B411" t="s">
        <v>510</v>
      </c>
      <c r="C411">
        <v>0</v>
      </c>
      <c r="D411">
        <v>0</v>
      </c>
      <c r="E411">
        <v>0</v>
      </c>
      <c r="F411">
        <v>0</v>
      </c>
      <c r="G411" t="s">
        <v>184</v>
      </c>
    </row>
    <row r="412" spans="1:7" x14ac:dyDescent="0.35">
      <c r="A412">
        <v>514</v>
      </c>
      <c r="B412" t="s">
        <v>511</v>
      </c>
      <c r="C412">
        <v>0</v>
      </c>
      <c r="D412">
        <v>0</v>
      </c>
      <c r="E412">
        <v>0</v>
      </c>
      <c r="F412">
        <v>0</v>
      </c>
      <c r="G412" t="s">
        <v>184</v>
      </c>
    </row>
    <row r="413" spans="1:7" x14ac:dyDescent="0.35">
      <c r="A413">
        <v>520</v>
      </c>
      <c r="B413" t="s">
        <v>512</v>
      </c>
      <c r="C413">
        <v>0</v>
      </c>
      <c r="D413">
        <v>0</v>
      </c>
      <c r="E413">
        <v>0</v>
      </c>
      <c r="F413">
        <v>0</v>
      </c>
      <c r="G413" t="s">
        <v>184</v>
      </c>
    </row>
    <row r="414" spans="1:7" x14ac:dyDescent="0.35">
      <c r="A414">
        <v>530</v>
      </c>
      <c r="B414" t="s">
        <v>513</v>
      </c>
      <c r="C414">
        <v>0</v>
      </c>
      <c r="D414">
        <v>0</v>
      </c>
      <c r="E414">
        <v>0</v>
      </c>
      <c r="F414">
        <v>0</v>
      </c>
      <c r="G414" t="s">
        <v>184</v>
      </c>
    </row>
    <row r="415" spans="1:7" x14ac:dyDescent="0.35">
      <c r="A415">
        <v>540</v>
      </c>
      <c r="B415" t="s">
        <v>514</v>
      </c>
      <c r="C415">
        <v>0</v>
      </c>
      <c r="D415">
        <v>0</v>
      </c>
      <c r="E415">
        <v>0</v>
      </c>
      <c r="F415">
        <v>0</v>
      </c>
      <c r="G415" t="s">
        <v>184</v>
      </c>
    </row>
    <row r="416" spans="1:7" x14ac:dyDescent="0.35">
      <c r="A416">
        <v>550</v>
      </c>
      <c r="B416" t="s">
        <v>515</v>
      </c>
      <c r="C416">
        <v>0</v>
      </c>
      <c r="D416">
        <v>0</v>
      </c>
      <c r="E416">
        <v>0</v>
      </c>
      <c r="F416">
        <v>0</v>
      </c>
      <c r="G416" t="s">
        <v>184</v>
      </c>
    </row>
    <row r="417" spans="1:7" x14ac:dyDescent="0.35">
      <c r="A417">
        <v>560</v>
      </c>
      <c r="B417" t="s">
        <v>516</v>
      </c>
      <c r="C417">
        <v>0</v>
      </c>
      <c r="D417">
        <v>0</v>
      </c>
      <c r="E417">
        <v>0</v>
      </c>
      <c r="F417">
        <v>0</v>
      </c>
      <c r="G417" t="s">
        <v>184</v>
      </c>
    </row>
    <row r="418" spans="1:7" x14ac:dyDescent="0.35">
      <c r="A418">
        <v>570</v>
      </c>
      <c r="B418" t="s">
        <v>517</v>
      </c>
      <c r="C418">
        <v>0</v>
      </c>
      <c r="D418">
        <v>0</v>
      </c>
      <c r="E418">
        <v>0</v>
      </c>
      <c r="F418">
        <v>0</v>
      </c>
      <c r="G418" t="s">
        <v>184</v>
      </c>
    </row>
    <row r="419" spans="1:7" x14ac:dyDescent="0.35">
      <c r="A419">
        <v>580</v>
      </c>
      <c r="B419" t="s">
        <v>518</v>
      </c>
      <c r="C419">
        <v>0</v>
      </c>
      <c r="D419">
        <v>0</v>
      </c>
      <c r="E419">
        <v>0</v>
      </c>
      <c r="F419">
        <v>0</v>
      </c>
      <c r="G419" t="s">
        <v>184</v>
      </c>
    </row>
    <row r="420" spans="1:7" x14ac:dyDescent="0.35">
      <c r="A420">
        <v>590</v>
      </c>
      <c r="B420" t="s">
        <v>519</v>
      </c>
      <c r="C420">
        <v>0</v>
      </c>
      <c r="D420">
        <v>0</v>
      </c>
      <c r="E420">
        <v>0</v>
      </c>
      <c r="F420">
        <v>0</v>
      </c>
      <c r="G420" t="s">
        <v>184</v>
      </c>
    </row>
    <row r="421" spans="1:7" x14ac:dyDescent="0.35">
      <c r="A421">
        <v>600</v>
      </c>
      <c r="B421" t="s">
        <v>520</v>
      </c>
      <c r="C421">
        <v>0</v>
      </c>
      <c r="D421">
        <v>0</v>
      </c>
      <c r="E421">
        <v>0</v>
      </c>
      <c r="F421">
        <v>0</v>
      </c>
      <c r="G421" t="s">
        <v>184</v>
      </c>
    </row>
    <row r="422" spans="1:7" x14ac:dyDescent="0.35">
      <c r="A422">
        <v>610</v>
      </c>
      <c r="B422" t="s">
        <v>521</v>
      </c>
      <c r="C422">
        <v>0</v>
      </c>
      <c r="D422">
        <v>0</v>
      </c>
      <c r="E422">
        <v>0</v>
      </c>
      <c r="F422">
        <v>0</v>
      </c>
      <c r="G422" t="s">
        <v>184</v>
      </c>
    </row>
    <row r="423" spans="1:7" x14ac:dyDescent="0.35">
      <c r="A423">
        <v>620</v>
      </c>
      <c r="B423" t="s">
        <v>522</v>
      </c>
      <c r="C423">
        <v>0</v>
      </c>
      <c r="D423">
        <v>0</v>
      </c>
      <c r="E423">
        <v>0</v>
      </c>
      <c r="F423">
        <v>0</v>
      </c>
      <c r="G423" t="s">
        <v>184</v>
      </c>
    </row>
    <row r="424" spans="1:7" x14ac:dyDescent="0.35">
      <c r="A424">
        <v>630</v>
      </c>
      <c r="B424" t="s">
        <v>523</v>
      </c>
      <c r="C424">
        <v>0</v>
      </c>
      <c r="D424">
        <v>0</v>
      </c>
      <c r="E424">
        <v>0</v>
      </c>
      <c r="F424">
        <v>0</v>
      </c>
      <c r="G424" t="s">
        <v>184</v>
      </c>
    </row>
    <row r="425" spans="1:7" x14ac:dyDescent="0.35">
      <c r="A425">
        <v>640</v>
      </c>
      <c r="B425" t="s">
        <v>524</v>
      </c>
      <c r="C425">
        <v>33786.870000000003</v>
      </c>
      <c r="D425">
        <v>-43351356.32</v>
      </c>
      <c r="E425">
        <v>-43047274.490000002</v>
      </c>
      <c r="F425">
        <v>304081.83</v>
      </c>
      <c r="G425" t="s">
        <v>184</v>
      </c>
    </row>
    <row r="426" spans="1:7" x14ac:dyDescent="0.35">
      <c r="A426">
        <v>650</v>
      </c>
      <c r="B426" t="s">
        <v>525</v>
      </c>
      <c r="C426">
        <v>2313.23</v>
      </c>
      <c r="D426">
        <v>30197501.59</v>
      </c>
      <c r="E426">
        <v>30245788.870000001</v>
      </c>
      <c r="F426">
        <v>48287.28</v>
      </c>
      <c r="G426" t="s">
        <v>184</v>
      </c>
    </row>
    <row r="427" spans="1:7" x14ac:dyDescent="0.35">
      <c r="A427" t="s">
        <v>214</v>
      </c>
      <c r="B427" t="s">
        <v>172</v>
      </c>
      <c r="C427" t="s">
        <v>527</v>
      </c>
      <c r="D427" t="s">
        <v>528</v>
      </c>
      <c r="E427" t="s">
        <v>529</v>
      </c>
      <c r="F427" t="s">
        <v>530</v>
      </c>
      <c r="G427" t="s">
        <v>183</v>
      </c>
    </row>
    <row r="428" spans="1:7" x14ac:dyDescent="0.35">
      <c r="A428">
        <v>30</v>
      </c>
      <c r="B428" t="s">
        <v>147</v>
      </c>
      <c r="C428">
        <v>1005594.11</v>
      </c>
      <c r="D428">
        <v>0</v>
      </c>
      <c r="E428">
        <v>10172950.720000001</v>
      </c>
      <c r="F428">
        <v>10172950.720000001</v>
      </c>
      <c r="G428" t="s">
        <v>184</v>
      </c>
    </row>
    <row r="429" spans="1:7" x14ac:dyDescent="0.35">
      <c r="A429">
        <v>40</v>
      </c>
      <c r="B429" t="s">
        <v>531</v>
      </c>
      <c r="C429">
        <v>0</v>
      </c>
      <c r="D429">
        <v>0</v>
      </c>
      <c r="E429">
        <v>0</v>
      </c>
      <c r="F429">
        <v>0</v>
      </c>
      <c r="G429" t="s">
        <v>184</v>
      </c>
    </row>
    <row r="430" spans="1:7" x14ac:dyDescent="0.35">
      <c r="A430">
        <v>50</v>
      </c>
      <c r="B430" t="s">
        <v>149</v>
      </c>
      <c r="C430">
        <v>1005594.11</v>
      </c>
      <c r="D430">
        <v>0</v>
      </c>
      <c r="E430">
        <v>10172950.720000001</v>
      </c>
      <c r="F430">
        <v>10172950.720000001</v>
      </c>
      <c r="G430" t="s">
        <v>184</v>
      </c>
    </row>
    <row r="431" spans="1:7" x14ac:dyDescent="0.35">
      <c r="A431">
        <v>60</v>
      </c>
      <c r="B431" t="s">
        <v>532</v>
      </c>
      <c r="C431">
        <v>514045.48</v>
      </c>
      <c r="D431">
        <v>0</v>
      </c>
      <c r="E431">
        <v>5322882.13</v>
      </c>
      <c r="F431">
        <v>5322882.13</v>
      </c>
      <c r="G431" t="s">
        <v>184</v>
      </c>
    </row>
    <row r="432" spans="1:7" x14ac:dyDescent="0.35">
      <c r="A432">
        <v>70</v>
      </c>
      <c r="B432" t="s">
        <v>477</v>
      </c>
      <c r="C432">
        <v>491548.63</v>
      </c>
      <c r="D432">
        <v>0</v>
      </c>
      <c r="E432">
        <v>4850068.59</v>
      </c>
      <c r="F432">
        <v>4850068.59</v>
      </c>
      <c r="G432" t="s">
        <v>184</v>
      </c>
    </row>
    <row r="433" spans="1:7" x14ac:dyDescent="0.35">
      <c r="A433">
        <v>80</v>
      </c>
      <c r="B433" t="s">
        <v>152</v>
      </c>
      <c r="C433">
        <v>132068.98000000001</v>
      </c>
      <c r="D433">
        <v>0</v>
      </c>
      <c r="E433">
        <v>1367839.07</v>
      </c>
      <c r="F433">
        <v>1367839.07</v>
      </c>
      <c r="G433" t="s">
        <v>184</v>
      </c>
    </row>
    <row r="434" spans="1:7" x14ac:dyDescent="0.35">
      <c r="A434">
        <v>90</v>
      </c>
      <c r="B434" t="s">
        <v>153</v>
      </c>
      <c r="C434">
        <v>600083.78</v>
      </c>
      <c r="D434">
        <v>0</v>
      </c>
      <c r="E434">
        <v>5519153.4100000001</v>
      </c>
      <c r="F434">
        <v>5519153.4100000001</v>
      </c>
      <c r="G434" t="s">
        <v>184</v>
      </c>
    </row>
    <row r="435" spans="1:7" x14ac:dyDescent="0.35">
      <c r="A435">
        <v>100</v>
      </c>
      <c r="B435" t="s">
        <v>154</v>
      </c>
      <c r="C435">
        <v>32252</v>
      </c>
      <c r="D435">
        <v>0</v>
      </c>
      <c r="E435">
        <v>290267.59999999998</v>
      </c>
      <c r="F435">
        <v>290267.59999999998</v>
      </c>
      <c r="G435" t="s">
        <v>184</v>
      </c>
    </row>
    <row r="436" spans="1:7" x14ac:dyDescent="0.35">
      <c r="A436">
        <v>120</v>
      </c>
      <c r="B436" t="s">
        <v>156</v>
      </c>
      <c r="C436">
        <v>-272856.13</v>
      </c>
      <c r="D436">
        <v>0</v>
      </c>
      <c r="E436">
        <v>-2327191.4900000002</v>
      </c>
      <c r="F436">
        <v>-2327191.4900000002</v>
      </c>
      <c r="G436" t="s">
        <v>184</v>
      </c>
    </row>
    <row r="437" spans="1:7" x14ac:dyDescent="0.35">
      <c r="A437">
        <v>130</v>
      </c>
      <c r="B437" t="s">
        <v>480</v>
      </c>
      <c r="C437">
        <v>0</v>
      </c>
      <c r="D437">
        <v>0</v>
      </c>
      <c r="E437">
        <v>0</v>
      </c>
      <c r="F437">
        <v>0</v>
      </c>
      <c r="G437" t="s">
        <v>184</v>
      </c>
    </row>
    <row r="438" spans="1:7" x14ac:dyDescent="0.35">
      <c r="A438">
        <v>135</v>
      </c>
      <c r="B438" t="s">
        <v>533</v>
      </c>
      <c r="C438">
        <v>0</v>
      </c>
      <c r="D438">
        <v>0</v>
      </c>
      <c r="E438">
        <v>-91637.93</v>
      </c>
      <c r="F438">
        <v>-91637.93</v>
      </c>
      <c r="G438" t="s">
        <v>184</v>
      </c>
    </row>
    <row r="439" spans="1:7" x14ac:dyDescent="0.35">
      <c r="A439">
        <v>140</v>
      </c>
      <c r="B439" t="s">
        <v>159</v>
      </c>
      <c r="C439">
        <v>0</v>
      </c>
      <c r="D439">
        <v>0</v>
      </c>
      <c r="E439">
        <v>0</v>
      </c>
      <c r="F439">
        <v>0</v>
      </c>
      <c r="G439" t="s">
        <v>184</v>
      </c>
    </row>
    <row r="440" spans="1:7" x14ac:dyDescent="0.35">
      <c r="A440">
        <v>150</v>
      </c>
      <c r="B440" t="s">
        <v>160</v>
      </c>
      <c r="C440">
        <v>2.17</v>
      </c>
      <c r="D440">
        <v>0</v>
      </c>
      <c r="E440">
        <v>16.190000000000001</v>
      </c>
      <c r="F440">
        <v>16.190000000000001</v>
      </c>
      <c r="G440" t="s">
        <v>184</v>
      </c>
    </row>
    <row r="441" spans="1:7" x14ac:dyDescent="0.35">
      <c r="A441">
        <v>160</v>
      </c>
      <c r="B441" t="s">
        <v>162</v>
      </c>
      <c r="C441">
        <v>-2.17</v>
      </c>
      <c r="D441">
        <v>0</v>
      </c>
      <c r="E441">
        <v>-91654.12</v>
      </c>
      <c r="F441">
        <v>-91654.12</v>
      </c>
      <c r="G441" t="s">
        <v>184</v>
      </c>
    </row>
    <row r="442" spans="1:7" x14ac:dyDescent="0.35">
      <c r="A442">
        <v>170</v>
      </c>
      <c r="B442" t="s">
        <v>163</v>
      </c>
      <c r="C442">
        <v>-272853.96000000002</v>
      </c>
      <c r="D442">
        <v>0</v>
      </c>
      <c r="E442">
        <v>-2235537.37</v>
      </c>
      <c r="F442">
        <v>-2235537.37</v>
      </c>
      <c r="G442" t="s">
        <v>184</v>
      </c>
    </row>
    <row r="443" spans="1:7" x14ac:dyDescent="0.35">
      <c r="A443">
        <v>180</v>
      </c>
      <c r="B443" t="s">
        <v>485</v>
      </c>
      <c r="C443">
        <v>0</v>
      </c>
      <c r="D443">
        <v>0</v>
      </c>
      <c r="E443">
        <v>0</v>
      </c>
      <c r="F443">
        <v>0</v>
      </c>
      <c r="G443" t="s">
        <v>184</v>
      </c>
    </row>
    <row r="444" spans="1:7" x14ac:dyDescent="0.35">
      <c r="A444">
        <v>200</v>
      </c>
      <c r="B444" t="s">
        <v>166</v>
      </c>
      <c r="C444">
        <v>-272853.96000000002</v>
      </c>
      <c r="D444">
        <v>0</v>
      </c>
      <c r="E444">
        <v>-2235537.37</v>
      </c>
      <c r="F444">
        <v>-2235537.37</v>
      </c>
      <c r="G444" t="s">
        <v>184</v>
      </c>
    </row>
    <row r="445" spans="1:7" x14ac:dyDescent="0.35">
      <c r="A445">
        <v>220</v>
      </c>
      <c r="B445" t="s">
        <v>488</v>
      </c>
      <c r="C445">
        <v>0</v>
      </c>
      <c r="D445">
        <v>0</v>
      </c>
      <c r="E445">
        <v>0</v>
      </c>
      <c r="F445">
        <v>0</v>
      </c>
      <c r="G445" t="s">
        <v>184</v>
      </c>
    </row>
    <row r="446" spans="1:7" x14ac:dyDescent="0.35">
      <c r="A446">
        <v>230</v>
      </c>
      <c r="B446" t="s">
        <v>341</v>
      </c>
      <c r="C446">
        <v>-117820.7</v>
      </c>
      <c r="D446">
        <v>-666838.12</v>
      </c>
      <c r="E446">
        <v>-2009617.07</v>
      </c>
      <c r="F446">
        <v>-1342778.95</v>
      </c>
      <c r="G446" t="s">
        <v>184</v>
      </c>
    </row>
    <row r="447" spans="1:7" x14ac:dyDescent="0.35">
      <c r="A447">
        <v>235</v>
      </c>
      <c r="B447" t="s">
        <v>489</v>
      </c>
      <c r="C447">
        <v>8000.67</v>
      </c>
      <c r="D447">
        <v>0</v>
      </c>
      <c r="E447">
        <v>-4168.16</v>
      </c>
      <c r="F447">
        <v>-4168.16</v>
      </c>
      <c r="G447" t="s">
        <v>184</v>
      </c>
    </row>
    <row r="448" spans="1:7" x14ac:dyDescent="0.35">
      <c r="A448">
        <v>237</v>
      </c>
      <c r="B448" t="s">
        <v>534</v>
      </c>
      <c r="C448">
        <v>0</v>
      </c>
      <c r="D448">
        <v>0</v>
      </c>
      <c r="E448">
        <v>0</v>
      </c>
      <c r="F448">
        <v>0</v>
      </c>
      <c r="G448" t="s">
        <v>184</v>
      </c>
    </row>
    <row r="449" spans="1:7" x14ac:dyDescent="0.35">
      <c r="A449">
        <v>240</v>
      </c>
      <c r="B449" t="s">
        <v>535</v>
      </c>
      <c r="C449">
        <v>0</v>
      </c>
      <c r="D449">
        <v>0</v>
      </c>
      <c r="E449">
        <v>0</v>
      </c>
      <c r="F449">
        <v>0</v>
      </c>
      <c r="G449" t="s">
        <v>184</v>
      </c>
    </row>
    <row r="450" spans="1:7" x14ac:dyDescent="0.35">
      <c r="A450">
        <v>250</v>
      </c>
      <c r="B450" t="s">
        <v>343</v>
      </c>
      <c r="C450">
        <v>-154618.59</v>
      </c>
      <c r="D450">
        <v>-3353817.52</v>
      </c>
      <c r="E450">
        <v>-749754.02</v>
      </c>
      <c r="F450">
        <v>2604063.5</v>
      </c>
      <c r="G450" t="s">
        <v>184</v>
      </c>
    </row>
    <row r="451" spans="1:7" x14ac:dyDescent="0.35">
      <c r="A451">
        <v>260</v>
      </c>
      <c r="B451" t="s">
        <v>490</v>
      </c>
      <c r="C451">
        <v>-65478.42</v>
      </c>
      <c r="D451">
        <v>-1035057.07</v>
      </c>
      <c r="E451">
        <v>-1126872.93</v>
      </c>
      <c r="F451">
        <v>-91815.86</v>
      </c>
      <c r="G451" t="s">
        <v>184</v>
      </c>
    </row>
    <row r="452" spans="1:7" x14ac:dyDescent="0.35">
      <c r="A452">
        <v>270</v>
      </c>
      <c r="B452" t="s">
        <v>344</v>
      </c>
      <c r="C452">
        <v>8221.1299999999992</v>
      </c>
      <c r="D452">
        <v>-3288440.95</v>
      </c>
      <c r="E452">
        <v>-3310589.93</v>
      </c>
      <c r="F452">
        <v>-22148.98</v>
      </c>
      <c r="G452" t="s">
        <v>184</v>
      </c>
    </row>
    <row r="453" spans="1:7" x14ac:dyDescent="0.35">
      <c r="A453">
        <v>300</v>
      </c>
      <c r="B453" t="s">
        <v>367</v>
      </c>
      <c r="C453">
        <v>330902.64</v>
      </c>
      <c r="D453">
        <v>9225776.5399999991</v>
      </c>
      <c r="E453">
        <v>9832429.8699999992</v>
      </c>
      <c r="F453">
        <v>606653.32999999996</v>
      </c>
      <c r="G453" t="s">
        <v>184</v>
      </c>
    </row>
    <row r="454" spans="1:7" x14ac:dyDescent="0.35">
      <c r="A454">
        <v>310</v>
      </c>
      <c r="B454" t="s">
        <v>491</v>
      </c>
      <c r="C454">
        <v>0</v>
      </c>
      <c r="D454">
        <v>123685.23</v>
      </c>
      <c r="E454">
        <v>123685.23</v>
      </c>
      <c r="F454">
        <v>0</v>
      </c>
      <c r="G454" t="s">
        <v>184</v>
      </c>
    </row>
    <row r="455" spans="1:7" x14ac:dyDescent="0.35">
      <c r="A455">
        <v>320</v>
      </c>
      <c r="B455" t="s">
        <v>492</v>
      </c>
      <c r="C455">
        <v>0</v>
      </c>
      <c r="D455">
        <v>0</v>
      </c>
      <c r="E455">
        <v>0</v>
      </c>
      <c r="F455">
        <v>0</v>
      </c>
      <c r="G455" t="s">
        <v>184</v>
      </c>
    </row>
    <row r="456" spans="1:7" x14ac:dyDescent="0.35">
      <c r="A456">
        <v>325</v>
      </c>
      <c r="B456" t="s">
        <v>493</v>
      </c>
      <c r="C456">
        <v>-12228.15</v>
      </c>
      <c r="D456">
        <v>698440.77</v>
      </c>
      <c r="E456">
        <v>538565.39</v>
      </c>
      <c r="F456">
        <v>-159875.38</v>
      </c>
      <c r="G456" t="s">
        <v>184</v>
      </c>
    </row>
    <row r="457" spans="1:7" x14ac:dyDescent="0.35">
      <c r="A457">
        <v>330</v>
      </c>
      <c r="B457" t="s">
        <v>494</v>
      </c>
      <c r="C457">
        <v>-26033.09</v>
      </c>
      <c r="D457">
        <v>3205651.08</v>
      </c>
      <c r="E457">
        <v>780671.15</v>
      </c>
      <c r="F457">
        <v>-2424979.9300000002</v>
      </c>
      <c r="G457" t="s">
        <v>184</v>
      </c>
    </row>
    <row r="458" spans="1:7" x14ac:dyDescent="0.35">
      <c r="A458">
        <v>340</v>
      </c>
      <c r="B458" t="s">
        <v>495</v>
      </c>
      <c r="C458">
        <v>14978.2</v>
      </c>
      <c r="D458">
        <v>343682.68</v>
      </c>
      <c r="E458">
        <v>341876.49</v>
      </c>
      <c r="F458">
        <v>-1806.19</v>
      </c>
      <c r="G458" t="s">
        <v>184</v>
      </c>
    </row>
    <row r="459" spans="1:7" x14ac:dyDescent="0.35">
      <c r="A459">
        <v>350</v>
      </c>
      <c r="B459" t="s">
        <v>536</v>
      </c>
      <c r="C459">
        <v>0</v>
      </c>
      <c r="D459">
        <v>0</v>
      </c>
      <c r="E459">
        <v>0</v>
      </c>
      <c r="F459">
        <v>0</v>
      </c>
      <c r="G459" t="s">
        <v>184</v>
      </c>
    </row>
    <row r="460" spans="1:7" x14ac:dyDescent="0.35">
      <c r="A460">
        <v>380</v>
      </c>
      <c r="B460" t="s">
        <v>537</v>
      </c>
      <c r="C460">
        <v>-14076.31</v>
      </c>
      <c r="D460">
        <v>5253082.6399999997</v>
      </c>
      <c r="E460">
        <v>4416226.0199999996</v>
      </c>
      <c r="F460">
        <v>-836856.62</v>
      </c>
      <c r="G460" t="s">
        <v>184</v>
      </c>
    </row>
    <row r="461" spans="1:7" x14ac:dyDescent="0.35">
      <c r="A461">
        <v>390</v>
      </c>
      <c r="B461" t="s">
        <v>497</v>
      </c>
      <c r="C461">
        <v>0</v>
      </c>
      <c r="D461">
        <v>0</v>
      </c>
      <c r="E461">
        <v>0</v>
      </c>
      <c r="F461">
        <v>0</v>
      </c>
      <c r="G461" t="s">
        <v>184</v>
      </c>
    </row>
    <row r="462" spans="1:7" x14ac:dyDescent="0.35">
      <c r="A462">
        <v>400</v>
      </c>
      <c r="B462" t="s">
        <v>498</v>
      </c>
      <c r="C462">
        <v>0</v>
      </c>
      <c r="D462">
        <v>0</v>
      </c>
      <c r="E462">
        <v>0</v>
      </c>
      <c r="F462">
        <v>0</v>
      </c>
      <c r="G462" t="s">
        <v>184</v>
      </c>
    </row>
    <row r="463" spans="1:7" x14ac:dyDescent="0.35">
      <c r="A463">
        <v>405</v>
      </c>
      <c r="B463" t="s">
        <v>499</v>
      </c>
      <c r="C463">
        <v>0</v>
      </c>
      <c r="D463">
        <v>5342599.68</v>
      </c>
      <c r="E463">
        <v>7042599.6799999997</v>
      </c>
      <c r="F463">
        <v>1700000</v>
      </c>
      <c r="G463" t="s">
        <v>184</v>
      </c>
    </row>
    <row r="464" spans="1:7" x14ac:dyDescent="0.35">
      <c r="A464">
        <v>410</v>
      </c>
      <c r="B464" t="s">
        <v>382</v>
      </c>
      <c r="C464">
        <v>0</v>
      </c>
      <c r="D464">
        <v>10560000</v>
      </c>
      <c r="E464">
        <v>10560000</v>
      </c>
      <c r="F464">
        <v>0</v>
      </c>
      <c r="G464" t="s">
        <v>184</v>
      </c>
    </row>
    <row r="465" spans="1:7" x14ac:dyDescent="0.35">
      <c r="A465">
        <v>420</v>
      </c>
      <c r="B465" t="s">
        <v>538</v>
      </c>
      <c r="C465">
        <v>0</v>
      </c>
      <c r="D465">
        <v>0</v>
      </c>
      <c r="E465">
        <v>0</v>
      </c>
      <c r="F465">
        <v>0</v>
      </c>
      <c r="G465" t="s">
        <v>184</v>
      </c>
    </row>
    <row r="466" spans="1:7" x14ac:dyDescent="0.35">
      <c r="A466">
        <v>425</v>
      </c>
      <c r="B466" t="s">
        <v>501</v>
      </c>
      <c r="C466">
        <v>0</v>
      </c>
      <c r="D466">
        <v>36757.64</v>
      </c>
      <c r="E466">
        <v>36757.64</v>
      </c>
      <c r="F466">
        <v>0</v>
      </c>
      <c r="G466" t="s">
        <v>184</v>
      </c>
    </row>
    <row r="467" spans="1:7" x14ac:dyDescent="0.35">
      <c r="A467">
        <v>427</v>
      </c>
      <c r="B467" t="s">
        <v>539</v>
      </c>
      <c r="C467">
        <v>0</v>
      </c>
      <c r="D467">
        <v>0</v>
      </c>
      <c r="E467">
        <v>0</v>
      </c>
      <c r="F467">
        <v>0</v>
      </c>
      <c r="G467" t="s">
        <v>184</v>
      </c>
    </row>
    <row r="468" spans="1:7" x14ac:dyDescent="0.35">
      <c r="A468">
        <v>430</v>
      </c>
      <c r="B468" t="s">
        <v>503</v>
      </c>
      <c r="C468">
        <v>0</v>
      </c>
      <c r="D468">
        <v>-3208296.81</v>
      </c>
      <c r="E468">
        <v>-3208296.81</v>
      </c>
      <c r="F468">
        <v>0</v>
      </c>
      <c r="G468" t="s">
        <v>184</v>
      </c>
    </row>
    <row r="469" spans="1:7" x14ac:dyDescent="0.35">
      <c r="A469">
        <v>440</v>
      </c>
      <c r="B469" t="s">
        <v>504</v>
      </c>
      <c r="C469">
        <v>0</v>
      </c>
      <c r="D469">
        <v>12731060.51</v>
      </c>
      <c r="E469">
        <v>14431060.51</v>
      </c>
      <c r="F469">
        <v>1700000</v>
      </c>
      <c r="G469" t="s">
        <v>184</v>
      </c>
    </row>
    <row r="470" spans="1:7" x14ac:dyDescent="0.35">
      <c r="A470">
        <v>450</v>
      </c>
      <c r="B470" t="s">
        <v>505</v>
      </c>
      <c r="C470">
        <v>0</v>
      </c>
      <c r="D470">
        <v>0</v>
      </c>
      <c r="E470">
        <v>0</v>
      </c>
      <c r="F470">
        <v>0</v>
      </c>
      <c r="G470" t="s">
        <v>184</v>
      </c>
    </row>
    <row r="471" spans="1:7" x14ac:dyDescent="0.35">
      <c r="A471">
        <v>455</v>
      </c>
      <c r="B471" t="s">
        <v>540</v>
      </c>
      <c r="C471">
        <v>0</v>
      </c>
      <c r="D471">
        <v>-1949406.35</v>
      </c>
      <c r="E471">
        <v>-1949406.35</v>
      </c>
      <c r="F471">
        <v>0</v>
      </c>
      <c r="G471" t="s">
        <v>184</v>
      </c>
    </row>
    <row r="472" spans="1:7" x14ac:dyDescent="0.35">
      <c r="A472">
        <v>456</v>
      </c>
      <c r="B472" t="s">
        <v>506</v>
      </c>
      <c r="C472">
        <v>7255.76</v>
      </c>
      <c r="D472">
        <v>1578965.59</v>
      </c>
      <c r="E472">
        <v>1644267.43</v>
      </c>
      <c r="F472">
        <v>65301.84</v>
      </c>
      <c r="G472" t="s">
        <v>184</v>
      </c>
    </row>
    <row r="473" spans="1:7" x14ac:dyDescent="0.35">
      <c r="A473">
        <v>460</v>
      </c>
      <c r="B473" t="s">
        <v>353</v>
      </c>
      <c r="C473">
        <v>0</v>
      </c>
      <c r="D473">
        <v>-1917974.77</v>
      </c>
      <c r="E473">
        <v>-1917974.77</v>
      </c>
      <c r="F473">
        <v>0</v>
      </c>
      <c r="G473" t="s">
        <v>184</v>
      </c>
    </row>
    <row r="474" spans="1:7" x14ac:dyDescent="0.35">
      <c r="A474">
        <v>470</v>
      </c>
      <c r="B474" t="s">
        <v>541</v>
      </c>
      <c r="C474">
        <v>7264.12</v>
      </c>
      <c r="D474">
        <v>1641969.31</v>
      </c>
      <c r="E474">
        <v>1707346.39</v>
      </c>
      <c r="F474">
        <v>65377.08</v>
      </c>
      <c r="G474" t="s">
        <v>184</v>
      </c>
    </row>
    <row r="475" spans="1:7" x14ac:dyDescent="0.35">
      <c r="A475">
        <v>480</v>
      </c>
      <c r="B475" t="s">
        <v>352</v>
      </c>
      <c r="C475">
        <v>0</v>
      </c>
      <c r="D475">
        <v>-1076281.46</v>
      </c>
      <c r="E475">
        <v>-837880.31999999995</v>
      </c>
      <c r="F475">
        <v>238401.14</v>
      </c>
      <c r="G475" t="s">
        <v>184</v>
      </c>
    </row>
    <row r="476" spans="1:7" x14ac:dyDescent="0.35">
      <c r="A476">
        <v>490</v>
      </c>
      <c r="B476" t="s">
        <v>542</v>
      </c>
      <c r="C476">
        <v>0</v>
      </c>
      <c r="D476">
        <v>1048307.34</v>
      </c>
      <c r="E476">
        <v>809906.2</v>
      </c>
      <c r="F476">
        <v>-238401.14</v>
      </c>
      <c r="G476" t="s">
        <v>184</v>
      </c>
    </row>
    <row r="477" spans="1:7" x14ac:dyDescent="0.35">
      <c r="A477">
        <v>500</v>
      </c>
      <c r="B477" t="s">
        <v>351</v>
      </c>
      <c r="C477">
        <v>0</v>
      </c>
      <c r="D477">
        <v>-1432351.8</v>
      </c>
      <c r="E477">
        <v>-1458437.15</v>
      </c>
      <c r="F477">
        <v>-26085.35</v>
      </c>
      <c r="G477" t="s">
        <v>184</v>
      </c>
    </row>
    <row r="478" spans="1:7" x14ac:dyDescent="0.35">
      <c r="A478">
        <v>510</v>
      </c>
      <c r="B478" t="s">
        <v>509</v>
      </c>
      <c r="C478">
        <v>5605.03</v>
      </c>
      <c r="D478">
        <v>1365848.06</v>
      </c>
      <c r="E478">
        <v>1416293.33</v>
      </c>
      <c r="F478">
        <v>50445.27</v>
      </c>
      <c r="G478" t="s">
        <v>184</v>
      </c>
    </row>
    <row r="479" spans="1:7" x14ac:dyDescent="0.35">
      <c r="A479">
        <v>512</v>
      </c>
      <c r="B479" t="s">
        <v>543</v>
      </c>
      <c r="C479">
        <v>-8274.14</v>
      </c>
      <c r="D479">
        <v>-543419.41</v>
      </c>
      <c r="E479">
        <v>-553416.82999999996</v>
      </c>
      <c r="F479">
        <v>-9997.42</v>
      </c>
      <c r="G479" t="s">
        <v>184</v>
      </c>
    </row>
    <row r="480" spans="1:7" x14ac:dyDescent="0.35">
      <c r="A480">
        <v>514</v>
      </c>
      <c r="B480" t="s">
        <v>511</v>
      </c>
      <c r="C480">
        <v>580.24</v>
      </c>
      <c r="D480">
        <v>505734.57</v>
      </c>
      <c r="E480">
        <v>510956.73</v>
      </c>
      <c r="F480">
        <v>5222.16</v>
      </c>
      <c r="G480" t="s">
        <v>184</v>
      </c>
    </row>
    <row r="481" spans="1:7" x14ac:dyDescent="0.35">
      <c r="A481">
        <v>520</v>
      </c>
      <c r="B481" t="s">
        <v>544</v>
      </c>
      <c r="C481">
        <v>0</v>
      </c>
      <c r="D481">
        <v>0</v>
      </c>
      <c r="E481">
        <v>0</v>
      </c>
      <c r="F481">
        <v>0</v>
      </c>
      <c r="G481" t="s">
        <v>184</v>
      </c>
    </row>
    <row r="482" spans="1:7" x14ac:dyDescent="0.35">
      <c r="A482">
        <v>530</v>
      </c>
      <c r="B482" t="s">
        <v>513</v>
      </c>
      <c r="C482">
        <v>0</v>
      </c>
      <c r="D482">
        <v>0</v>
      </c>
      <c r="E482">
        <v>0</v>
      </c>
      <c r="F482">
        <v>0</v>
      </c>
      <c r="G482" t="s">
        <v>184</v>
      </c>
    </row>
    <row r="483" spans="1:7" x14ac:dyDescent="0.35">
      <c r="A483">
        <v>540</v>
      </c>
      <c r="B483" t="s">
        <v>545</v>
      </c>
      <c r="C483">
        <v>0</v>
      </c>
      <c r="D483">
        <v>-6777935.4299999997</v>
      </c>
      <c r="E483">
        <v>-6777935.4299999997</v>
      </c>
      <c r="F483">
        <v>0</v>
      </c>
      <c r="G483" t="s">
        <v>184</v>
      </c>
    </row>
    <row r="484" spans="1:7" x14ac:dyDescent="0.35">
      <c r="A484">
        <v>550</v>
      </c>
      <c r="B484" t="s">
        <v>546</v>
      </c>
      <c r="C484">
        <v>10475.42</v>
      </c>
      <c r="D484">
        <v>6144979.9299999997</v>
      </c>
      <c r="E484">
        <v>6239258.3099999996</v>
      </c>
      <c r="F484">
        <v>94278.38</v>
      </c>
      <c r="G484" t="s">
        <v>184</v>
      </c>
    </row>
    <row r="485" spans="1:7" x14ac:dyDescent="0.35">
      <c r="A485">
        <v>560</v>
      </c>
      <c r="B485" t="s">
        <v>516</v>
      </c>
      <c r="C485">
        <v>0</v>
      </c>
      <c r="D485">
        <v>0</v>
      </c>
      <c r="E485">
        <v>0</v>
      </c>
      <c r="F485">
        <v>0</v>
      </c>
      <c r="G485" t="s">
        <v>184</v>
      </c>
    </row>
    <row r="486" spans="1:7" x14ac:dyDescent="0.35">
      <c r="A486">
        <v>570</v>
      </c>
      <c r="B486" t="s">
        <v>517</v>
      </c>
      <c r="C486">
        <v>1071.43</v>
      </c>
      <c r="D486">
        <v>198234.42</v>
      </c>
      <c r="E486">
        <v>207877.29</v>
      </c>
      <c r="F486">
        <v>9642.8700000000008</v>
      </c>
      <c r="G486" t="s">
        <v>184</v>
      </c>
    </row>
    <row r="487" spans="1:7" x14ac:dyDescent="0.35">
      <c r="A487">
        <v>580</v>
      </c>
      <c r="B487" t="s">
        <v>518</v>
      </c>
      <c r="C487">
        <v>0</v>
      </c>
      <c r="D487">
        <v>0</v>
      </c>
      <c r="E487">
        <v>0</v>
      </c>
      <c r="F487">
        <v>0</v>
      </c>
      <c r="G487" t="s">
        <v>184</v>
      </c>
    </row>
    <row r="488" spans="1:7" x14ac:dyDescent="0.35">
      <c r="A488">
        <v>590</v>
      </c>
      <c r="B488" t="s">
        <v>547</v>
      </c>
      <c r="C488">
        <v>0</v>
      </c>
      <c r="D488">
        <v>0</v>
      </c>
      <c r="E488">
        <v>0</v>
      </c>
      <c r="F488">
        <v>0</v>
      </c>
      <c r="G488" t="s">
        <v>184</v>
      </c>
    </row>
    <row r="489" spans="1:7" x14ac:dyDescent="0.35">
      <c r="A489">
        <v>600</v>
      </c>
      <c r="B489" t="s">
        <v>548</v>
      </c>
      <c r="C489">
        <v>0</v>
      </c>
      <c r="D489">
        <v>0</v>
      </c>
      <c r="E489">
        <v>0</v>
      </c>
      <c r="F489">
        <v>0</v>
      </c>
      <c r="G489" t="s">
        <v>184</v>
      </c>
    </row>
    <row r="490" spans="1:7" x14ac:dyDescent="0.35">
      <c r="A490">
        <v>610</v>
      </c>
      <c r="B490" t="s">
        <v>549</v>
      </c>
      <c r="C490">
        <v>0</v>
      </c>
      <c r="D490">
        <v>0</v>
      </c>
      <c r="E490">
        <v>0</v>
      </c>
      <c r="F490">
        <v>0</v>
      </c>
      <c r="G490" t="s">
        <v>184</v>
      </c>
    </row>
    <row r="491" spans="1:7" x14ac:dyDescent="0.35">
      <c r="A491">
        <v>615</v>
      </c>
      <c r="B491" t="s">
        <v>550</v>
      </c>
      <c r="C491">
        <v>0</v>
      </c>
      <c r="D491">
        <v>0</v>
      </c>
      <c r="E491">
        <v>0</v>
      </c>
      <c r="F491">
        <v>0</v>
      </c>
      <c r="G491" t="s">
        <v>184</v>
      </c>
    </row>
    <row r="492" spans="1:7" x14ac:dyDescent="0.35">
      <c r="A492">
        <v>620</v>
      </c>
      <c r="B492" t="s">
        <v>522</v>
      </c>
      <c r="C492">
        <v>0</v>
      </c>
      <c r="D492">
        <v>0</v>
      </c>
      <c r="E492">
        <v>0</v>
      </c>
      <c r="F492">
        <v>0</v>
      </c>
      <c r="G492" t="s">
        <v>184</v>
      </c>
    </row>
    <row r="493" spans="1:7" x14ac:dyDescent="0.35">
      <c r="A493">
        <v>630</v>
      </c>
      <c r="B493" t="s">
        <v>523</v>
      </c>
      <c r="C493">
        <v>0</v>
      </c>
      <c r="D493">
        <v>-16475344.689999999</v>
      </c>
      <c r="E493">
        <v>-15563244.9</v>
      </c>
      <c r="F493">
        <v>912099.79</v>
      </c>
      <c r="G493" t="s">
        <v>184</v>
      </c>
    </row>
    <row r="494" spans="1:7" x14ac:dyDescent="0.35">
      <c r="A494">
        <v>635</v>
      </c>
      <c r="B494" t="s">
        <v>551</v>
      </c>
      <c r="C494">
        <v>0</v>
      </c>
      <c r="D494">
        <v>0</v>
      </c>
      <c r="E494">
        <v>0</v>
      </c>
      <c r="F494">
        <v>0</v>
      </c>
      <c r="G494" t="s">
        <v>184</v>
      </c>
    </row>
    <row r="495" spans="1:7" x14ac:dyDescent="0.35">
      <c r="A495">
        <v>640</v>
      </c>
      <c r="B495" t="s">
        <v>524</v>
      </c>
      <c r="C495">
        <v>23977.86</v>
      </c>
      <c r="D495">
        <v>-17688674.690000001</v>
      </c>
      <c r="E495">
        <v>-16522390.07</v>
      </c>
      <c r="F495">
        <v>1166284.6200000001</v>
      </c>
      <c r="G495" t="s">
        <v>184</v>
      </c>
    </row>
    <row r="496" spans="1:7" x14ac:dyDescent="0.35">
      <c r="A496">
        <v>650</v>
      </c>
      <c r="B496" t="s">
        <v>525</v>
      </c>
      <c r="C496">
        <v>-262952.40999999997</v>
      </c>
      <c r="D496">
        <v>295468.46000000002</v>
      </c>
      <c r="E496">
        <v>89359.09</v>
      </c>
      <c r="F496">
        <v>-206109.37</v>
      </c>
      <c r="G496" t="s">
        <v>184</v>
      </c>
    </row>
    <row r="497" spans="1:7" x14ac:dyDescent="0.35">
      <c r="A497" t="s">
        <v>228</v>
      </c>
      <c r="B497" t="s">
        <v>172</v>
      </c>
      <c r="C497" t="s">
        <v>527</v>
      </c>
      <c r="D497" t="s">
        <v>528</v>
      </c>
      <c r="E497" t="s">
        <v>529</v>
      </c>
      <c r="F497" t="s">
        <v>530</v>
      </c>
      <c r="G497" t="s">
        <v>183</v>
      </c>
    </row>
    <row r="498" spans="1:7" x14ac:dyDescent="0.35">
      <c r="A498">
        <v>30</v>
      </c>
      <c r="B498" t="s">
        <v>147</v>
      </c>
      <c r="C498">
        <v>17045064.91</v>
      </c>
      <c r="D498">
        <v>0</v>
      </c>
      <c r="E498">
        <v>164784702.91999999</v>
      </c>
      <c r="F498">
        <v>164784702.91999999</v>
      </c>
      <c r="G498" t="s">
        <v>184</v>
      </c>
    </row>
    <row r="499" spans="1:7" x14ac:dyDescent="0.35">
      <c r="A499">
        <v>40</v>
      </c>
      <c r="B499" t="s">
        <v>531</v>
      </c>
      <c r="C499">
        <v>-808.62</v>
      </c>
      <c r="D499">
        <v>0</v>
      </c>
      <c r="E499">
        <v>-143635.66</v>
      </c>
      <c r="F499">
        <v>-143635.66</v>
      </c>
      <c r="G499" t="s">
        <v>184</v>
      </c>
    </row>
    <row r="500" spans="1:7" x14ac:dyDescent="0.35">
      <c r="A500">
        <v>50</v>
      </c>
      <c r="B500" t="s">
        <v>149</v>
      </c>
      <c r="C500">
        <v>17044256.289999999</v>
      </c>
      <c r="D500">
        <v>0</v>
      </c>
      <c r="E500">
        <v>164641067.25999999</v>
      </c>
      <c r="F500">
        <v>164641067.25999999</v>
      </c>
      <c r="G500" t="s">
        <v>184</v>
      </c>
    </row>
    <row r="501" spans="1:7" x14ac:dyDescent="0.35">
      <c r="A501">
        <v>60</v>
      </c>
      <c r="B501" t="s">
        <v>532</v>
      </c>
      <c r="C501">
        <v>14417967.859999999</v>
      </c>
      <c r="D501">
        <v>0</v>
      </c>
      <c r="E501">
        <v>138832430.25</v>
      </c>
      <c r="F501">
        <v>138832430.25</v>
      </c>
      <c r="G501" t="s">
        <v>184</v>
      </c>
    </row>
    <row r="502" spans="1:7" x14ac:dyDescent="0.35">
      <c r="A502">
        <v>70</v>
      </c>
      <c r="B502" t="s">
        <v>477</v>
      </c>
      <c r="C502">
        <v>2626288.4300000002</v>
      </c>
      <c r="D502">
        <v>0</v>
      </c>
      <c r="E502">
        <v>25808637.010000002</v>
      </c>
      <c r="F502">
        <v>25808637.010000002</v>
      </c>
      <c r="G502" t="s">
        <v>184</v>
      </c>
    </row>
    <row r="503" spans="1:7" x14ac:dyDescent="0.35">
      <c r="A503">
        <v>80</v>
      </c>
      <c r="B503" t="s">
        <v>152</v>
      </c>
      <c r="C503">
        <v>1342066.68</v>
      </c>
      <c r="D503">
        <v>0</v>
      </c>
      <c r="E503">
        <v>13544032.560000001</v>
      </c>
      <c r="F503">
        <v>13544032.560000001</v>
      </c>
      <c r="G503" t="s">
        <v>184</v>
      </c>
    </row>
    <row r="504" spans="1:7" x14ac:dyDescent="0.35">
      <c r="A504">
        <v>90</v>
      </c>
      <c r="B504" t="s">
        <v>153</v>
      </c>
      <c r="C504">
        <v>1817507.44</v>
      </c>
      <c r="D504">
        <v>0</v>
      </c>
      <c r="E504">
        <v>14463419.74</v>
      </c>
      <c r="F504">
        <v>14463419.74</v>
      </c>
      <c r="G504" t="s">
        <v>184</v>
      </c>
    </row>
    <row r="505" spans="1:7" x14ac:dyDescent="0.35">
      <c r="A505">
        <v>100</v>
      </c>
      <c r="B505" t="s">
        <v>154</v>
      </c>
      <c r="C505">
        <v>79762.86</v>
      </c>
      <c r="D505">
        <v>0</v>
      </c>
      <c r="E505">
        <v>914362.8</v>
      </c>
      <c r="F505">
        <v>914362.8</v>
      </c>
      <c r="G505" t="s">
        <v>184</v>
      </c>
    </row>
    <row r="506" spans="1:7" x14ac:dyDescent="0.35">
      <c r="A506">
        <v>120</v>
      </c>
      <c r="B506" t="s">
        <v>156</v>
      </c>
      <c r="C506">
        <v>-613048.55000000005</v>
      </c>
      <c r="D506">
        <v>0</v>
      </c>
      <c r="E506">
        <v>-3113178.09</v>
      </c>
      <c r="F506">
        <v>-3113178.09</v>
      </c>
      <c r="G506" t="s">
        <v>184</v>
      </c>
    </row>
    <row r="507" spans="1:7" x14ac:dyDescent="0.35">
      <c r="A507">
        <v>130</v>
      </c>
      <c r="B507" t="s">
        <v>480</v>
      </c>
      <c r="C507">
        <v>0</v>
      </c>
      <c r="D507">
        <v>0</v>
      </c>
      <c r="E507">
        <v>0</v>
      </c>
      <c r="F507">
        <v>0</v>
      </c>
      <c r="G507" t="s">
        <v>184</v>
      </c>
    </row>
    <row r="508" spans="1:7" x14ac:dyDescent="0.35">
      <c r="A508">
        <v>135</v>
      </c>
      <c r="B508" t="s">
        <v>533</v>
      </c>
      <c r="C508">
        <v>0</v>
      </c>
      <c r="D508">
        <v>0</v>
      </c>
      <c r="E508">
        <v>0</v>
      </c>
      <c r="F508">
        <v>0</v>
      </c>
      <c r="G508" t="s">
        <v>184</v>
      </c>
    </row>
    <row r="509" spans="1:7" x14ac:dyDescent="0.35">
      <c r="A509">
        <v>140</v>
      </c>
      <c r="B509" t="s">
        <v>159</v>
      </c>
      <c r="C509">
        <v>44041.279999999999</v>
      </c>
      <c r="D509">
        <v>0</v>
      </c>
      <c r="E509">
        <v>257394.39</v>
      </c>
      <c r="F509">
        <v>257394.39</v>
      </c>
      <c r="G509" t="s">
        <v>184</v>
      </c>
    </row>
    <row r="510" spans="1:7" x14ac:dyDescent="0.35">
      <c r="A510">
        <v>150</v>
      </c>
      <c r="B510" t="s">
        <v>160</v>
      </c>
      <c r="C510">
        <v>-10847.61</v>
      </c>
      <c r="D510">
        <v>0</v>
      </c>
      <c r="E510">
        <v>-728888.86</v>
      </c>
      <c r="F510">
        <v>-728888.86</v>
      </c>
      <c r="G510" t="s">
        <v>184</v>
      </c>
    </row>
    <row r="511" spans="1:7" x14ac:dyDescent="0.35">
      <c r="A511">
        <v>160</v>
      </c>
      <c r="B511" t="s">
        <v>162</v>
      </c>
      <c r="C511">
        <v>54888.89</v>
      </c>
      <c r="D511">
        <v>0</v>
      </c>
      <c r="E511">
        <v>986283.25</v>
      </c>
      <c r="F511">
        <v>986283.25</v>
      </c>
      <c r="G511" t="s">
        <v>184</v>
      </c>
    </row>
    <row r="512" spans="1:7" x14ac:dyDescent="0.35">
      <c r="A512">
        <v>170</v>
      </c>
      <c r="B512" t="s">
        <v>163</v>
      </c>
      <c r="C512">
        <v>-667937.43999999994</v>
      </c>
      <c r="D512">
        <v>0</v>
      </c>
      <c r="E512">
        <v>-4099461.34</v>
      </c>
      <c r="F512">
        <v>-4099461.34</v>
      </c>
      <c r="G512" t="s">
        <v>184</v>
      </c>
    </row>
    <row r="513" spans="1:7" x14ac:dyDescent="0.35">
      <c r="A513">
        <v>180</v>
      </c>
      <c r="B513" t="s">
        <v>485</v>
      </c>
      <c r="C513">
        <v>0</v>
      </c>
      <c r="D513">
        <v>0</v>
      </c>
      <c r="E513">
        <v>609607</v>
      </c>
      <c r="F513">
        <v>609607</v>
      </c>
      <c r="G513" t="s">
        <v>184</v>
      </c>
    </row>
    <row r="514" spans="1:7" x14ac:dyDescent="0.35">
      <c r="A514">
        <v>200</v>
      </c>
      <c r="B514" t="s">
        <v>166</v>
      </c>
      <c r="C514">
        <v>-667937.43999999994</v>
      </c>
      <c r="D514">
        <v>0</v>
      </c>
      <c r="E514">
        <v>-4709068.34</v>
      </c>
      <c r="F514">
        <v>-4709068.34</v>
      </c>
      <c r="G514" t="s">
        <v>184</v>
      </c>
    </row>
    <row r="515" spans="1:7" x14ac:dyDescent="0.35">
      <c r="A515">
        <v>220</v>
      </c>
      <c r="B515" t="s">
        <v>488</v>
      </c>
      <c r="C515">
        <v>0</v>
      </c>
      <c r="D515">
        <v>0</v>
      </c>
      <c r="E515">
        <v>0</v>
      </c>
      <c r="F515">
        <v>0</v>
      </c>
      <c r="G515" t="s">
        <v>184</v>
      </c>
    </row>
    <row r="516" spans="1:7" x14ac:dyDescent="0.35">
      <c r="A516">
        <v>230</v>
      </c>
      <c r="B516" t="s">
        <v>341</v>
      </c>
      <c r="C516">
        <v>1926402.58</v>
      </c>
      <c r="D516">
        <v>-16342604.67</v>
      </c>
      <c r="E516">
        <v>-13426205.67</v>
      </c>
      <c r="F516">
        <v>2916399</v>
      </c>
      <c r="G516" t="s">
        <v>184</v>
      </c>
    </row>
    <row r="517" spans="1:7" x14ac:dyDescent="0.35">
      <c r="A517">
        <v>235</v>
      </c>
      <c r="B517" t="s">
        <v>489</v>
      </c>
      <c r="C517">
        <v>-11014.32</v>
      </c>
      <c r="D517">
        <v>-5300</v>
      </c>
      <c r="E517">
        <v>-52369.46</v>
      </c>
      <c r="F517">
        <v>-47069.46</v>
      </c>
      <c r="G517" t="s">
        <v>184</v>
      </c>
    </row>
    <row r="518" spans="1:7" x14ac:dyDescent="0.35">
      <c r="A518">
        <v>237</v>
      </c>
      <c r="B518" t="s">
        <v>534</v>
      </c>
      <c r="C518">
        <v>0</v>
      </c>
      <c r="D518">
        <v>0</v>
      </c>
      <c r="E518">
        <v>-47352</v>
      </c>
      <c r="F518">
        <v>-47352</v>
      </c>
      <c r="G518" t="s">
        <v>184</v>
      </c>
    </row>
    <row r="519" spans="1:7" x14ac:dyDescent="0.35">
      <c r="A519">
        <v>240</v>
      </c>
      <c r="B519" t="s">
        <v>535</v>
      </c>
      <c r="C519">
        <v>0</v>
      </c>
      <c r="D519">
        <v>-5500.01</v>
      </c>
      <c r="E519">
        <v>-5500.01</v>
      </c>
      <c r="F519">
        <v>0</v>
      </c>
      <c r="G519" t="s">
        <v>184</v>
      </c>
    </row>
    <row r="520" spans="1:7" x14ac:dyDescent="0.35">
      <c r="A520">
        <v>250</v>
      </c>
      <c r="B520" t="s">
        <v>343</v>
      </c>
      <c r="C520">
        <v>10085490.869999999</v>
      </c>
      <c r="D520">
        <v>-76827340.640000001</v>
      </c>
      <c r="E520">
        <v>-33441784.789999999</v>
      </c>
      <c r="F520">
        <v>43385555.850000001</v>
      </c>
      <c r="G520" t="s">
        <v>184</v>
      </c>
    </row>
    <row r="521" spans="1:7" x14ac:dyDescent="0.35">
      <c r="A521">
        <v>260</v>
      </c>
      <c r="B521" t="s">
        <v>490</v>
      </c>
      <c r="C521">
        <v>645539.59</v>
      </c>
      <c r="D521">
        <v>-7867366.4100000001</v>
      </c>
      <c r="E521">
        <v>-1729254.46</v>
      </c>
      <c r="F521">
        <v>6138111.9500000002</v>
      </c>
      <c r="G521" t="s">
        <v>184</v>
      </c>
    </row>
    <row r="522" spans="1:7" x14ac:dyDescent="0.35">
      <c r="A522">
        <v>270</v>
      </c>
      <c r="B522" t="s">
        <v>344</v>
      </c>
      <c r="C522">
        <v>-891630.3</v>
      </c>
      <c r="D522">
        <v>-1730594.02</v>
      </c>
      <c r="E522">
        <v>-2995010.02</v>
      </c>
      <c r="F522">
        <v>-1264416</v>
      </c>
      <c r="G522" t="s">
        <v>184</v>
      </c>
    </row>
    <row r="523" spans="1:7" x14ac:dyDescent="0.35">
      <c r="A523">
        <v>300</v>
      </c>
      <c r="B523" t="s">
        <v>367</v>
      </c>
      <c r="C523">
        <v>-7620651.8099999996</v>
      </c>
      <c r="D523">
        <v>12293109.84</v>
      </c>
      <c r="E523">
        <v>11824801.25</v>
      </c>
      <c r="F523">
        <v>-468308.59</v>
      </c>
      <c r="G523" t="s">
        <v>184</v>
      </c>
    </row>
    <row r="524" spans="1:7" x14ac:dyDescent="0.35">
      <c r="A524">
        <v>310</v>
      </c>
      <c r="B524" t="s">
        <v>491</v>
      </c>
      <c r="C524">
        <v>109042.44</v>
      </c>
      <c r="D524">
        <v>-127735.22</v>
      </c>
      <c r="E524">
        <v>-137531.32</v>
      </c>
      <c r="F524">
        <v>-9796.1</v>
      </c>
      <c r="G524" t="s">
        <v>184</v>
      </c>
    </row>
    <row r="525" spans="1:7" x14ac:dyDescent="0.35">
      <c r="A525">
        <v>320</v>
      </c>
      <c r="B525" t="s">
        <v>492</v>
      </c>
      <c r="C525">
        <v>-12925411.52</v>
      </c>
      <c r="D525">
        <v>93665600.209999993</v>
      </c>
      <c r="E525">
        <v>40530776.630000003</v>
      </c>
      <c r="F525">
        <v>-53134823.579999998</v>
      </c>
      <c r="G525" t="s">
        <v>184</v>
      </c>
    </row>
    <row r="526" spans="1:7" x14ac:dyDescent="0.35">
      <c r="A526">
        <v>325</v>
      </c>
      <c r="B526" t="s">
        <v>493</v>
      </c>
      <c r="C526">
        <v>-545151.98</v>
      </c>
      <c r="D526">
        <v>1158236.44</v>
      </c>
      <c r="E526">
        <v>858164.84</v>
      </c>
      <c r="F526">
        <v>-300071.59999999998</v>
      </c>
      <c r="G526" t="s">
        <v>184</v>
      </c>
    </row>
    <row r="527" spans="1:7" x14ac:dyDescent="0.35">
      <c r="A527">
        <v>330</v>
      </c>
      <c r="B527" t="s">
        <v>494</v>
      </c>
      <c r="C527">
        <v>505996.55</v>
      </c>
      <c r="D527">
        <v>3234092.02</v>
      </c>
      <c r="E527">
        <v>4202372.91</v>
      </c>
      <c r="F527">
        <v>968280.89</v>
      </c>
      <c r="G527" t="s">
        <v>184</v>
      </c>
    </row>
    <row r="528" spans="1:7" x14ac:dyDescent="0.35">
      <c r="A528">
        <v>340</v>
      </c>
      <c r="B528" t="s">
        <v>495</v>
      </c>
      <c r="C528">
        <v>12423.62</v>
      </c>
      <c r="D528">
        <v>733582.06</v>
      </c>
      <c r="E528">
        <v>462219.31</v>
      </c>
      <c r="F528">
        <v>-271362.75</v>
      </c>
      <c r="G528" t="s">
        <v>184</v>
      </c>
    </row>
    <row r="529" spans="1:7" x14ac:dyDescent="0.35">
      <c r="A529">
        <v>350</v>
      </c>
      <c r="B529" t="s">
        <v>536</v>
      </c>
      <c r="C529">
        <v>-80000</v>
      </c>
      <c r="D529">
        <v>80000</v>
      </c>
      <c r="E529">
        <v>56000</v>
      </c>
      <c r="F529">
        <v>-24000</v>
      </c>
      <c r="G529" t="s">
        <v>184</v>
      </c>
    </row>
    <row r="530" spans="1:7" x14ac:dyDescent="0.35">
      <c r="A530">
        <v>380</v>
      </c>
      <c r="B530" t="s">
        <v>537</v>
      </c>
      <c r="C530">
        <v>-8788964.2799999993</v>
      </c>
      <c r="D530">
        <v>8258179.5999999996</v>
      </c>
      <c r="E530">
        <v>6099327.21</v>
      </c>
      <c r="F530">
        <v>-2158852.39</v>
      </c>
      <c r="G530" t="s">
        <v>184</v>
      </c>
    </row>
    <row r="531" spans="1:7" x14ac:dyDescent="0.35">
      <c r="A531">
        <v>390</v>
      </c>
      <c r="B531" t="s">
        <v>497</v>
      </c>
      <c r="C531">
        <v>0</v>
      </c>
      <c r="D531">
        <v>0</v>
      </c>
      <c r="E531">
        <v>0</v>
      </c>
      <c r="F531">
        <v>0</v>
      </c>
      <c r="G531" t="s">
        <v>184</v>
      </c>
    </row>
    <row r="532" spans="1:7" x14ac:dyDescent="0.35">
      <c r="A532">
        <v>400</v>
      </c>
      <c r="B532" t="s">
        <v>498</v>
      </c>
      <c r="C532">
        <v>0</v>
      </c>
      <c r="D532">
        <v>0</v>
      </c>
      <c r="E532">
        <v>0</v>
      </c>
      <c r="F532">
        <v>0</v>
      </c>
      <c r="G532" t="s">
        <v>184</v>
      </c>
    </row>
    <row r="533" spans="1:7" x14ac:dyDescent="0.35">
      <c r="A533">
        <v>405</v>
      </c>
      <c r="B533" t="s">
        <v>499</v>
      </c>
      <c r="C533">
        <v>-2245.34</v>
      </c>
      <c r="D533">
        <v>117784.56</v>
      </c>
      <c r="E533">
        <v>405.31</v>
      </c>
      <c r="F533">
        <v>-117379.25</v>
      </c>
      <c r="G533" t="s">
        <v>184</v>
      </c>
    </row>
    <row r="534" spans="1:7" x14ac:dyDescent="0.35">
      <c r="A534">
        <v>410</v>
      </c>
      <c r="B534" t="s">
        <v>382</v>
      </c>
      <c r="C534">
        <v>6000000</v>
      </c>
      <c r="D534">
        <v>23232882</v>
      </c>
      <c r="E534">
        <v>29232882</v>
      </c>
      <c r="F534">
        <v>6000000</v>
      </c>
      <c r="G534" t="s">
        <v>184</v>
      </c>
    </row>
    <row r="535" spans="1:7" x14ac:dyDescent="0.35">
      <c r="A535">
        <v>420</v>
      </c>
      <c r="B535" t="s">
        <v>538</v>
      </c>
      <c r="C535">
        <v>0</v>
      </c>
      <c r="D535">
        <v>0</v>
      </c>
      <c r="E535">
        <v>0</v>
      </c>
      <c r="F535">
        <v>0</v>
      </c>
      <c r="G535" t="s">
        <v>184</v>
      </c>
    </row>
    <row r="536" spans="1:7" x14ac:dyDescent="0.35">
      <c r="A536">
        <v>425</v>
      </c>
      <c r="B536" t="s">
        <v>501</v>
      </c>
      <c r="C536">
        <v>0</v>
      </c>
      <c r="D536">
        <v>57195.99</v>
      </c>
      <c r="E536">
        <v>57195.99</v>
      </c>
      <c r="F536">
        <v>0</v>
      </c>
      <c r="G536" t="s">
        <v>184</v>
      </c>
    </row>
    <row r="537" spans="1:7" x14ac:dyDescent="0.35">
      <c r="A537">
        <v>427</v>
      </c>
      <c r="B537" t="s">
        <v>539</v>
      </c>
      <c r="C537">
        <v>0</v>
      </c>
      <c r="D537">
        <v>0</v>
      </c>
      <c r="E537">
        <v>0</v>
      </c>
      <c r="F537">
        <v>0</v>
      </c>
      <c r="G537" t="s">
        <v>184</v>
      </c>
    </row>
    <row r="538" spans="1:7" x14ac:dyDescent="0.35">
      <c r="A538">
        <v>430</v>
      </c>
      <c r="B538" t="s">
        <v>503</v>
      </c>
      <c r="C538">
        <v>503895.33</v>
      </c>
      <c r="D538">
        <v>1057356.44</v>
      </c>
      <c r="E538">
        <v>1561251.77</v>
      </c>
      <c r="F538">
        <v>503895.33</v>
      </c>
      <c r="G538" t="s">
        <v>184</v>
      </c>
    </row>
    <row r="539" spans="1:7" x14ac:dyDescent="0.35">
      <c r="A539">
        <v>440</v>
      </c>
      <c r="B539" t="s">
        <v>504</v>
      </c>
      <c r="C539">
        <v>6501649.9900000002</v>
      </c>
      <c r="D539">
        <v>24465218.989999998</v>
      </c>
      <c r="E539">
        <v>30851735.07</v>
      </c>
      <c r="F539">
        <v>6386516.0800000001</v>
      </c>
      <c r="G539" t="s">
        <v>184</v>
      </c>
    </row>
    <row r="540" spans="1:7" x14ac:dyDescent="0.35">
      <c r="A540">
        <v>450</v>
      </c>
      <c r="B540" t="s">
        <v>505</v>
      </c>
      <c r="C540">
        <v>0</v>
      </c>
      <c r="D540">
        <v>0</v>
      </c>
      <c r="E540">
        <v>0</v>
      </c>
      <c r="F540">
        <v>0</v>
      </c>
      <c r="G540" t="s">
        <v>184</v>
      </c>
    </row>
    <row r="541" spans="1:7" x14ac:dyDescent="0.35">
      <c r="A541">
        <v>455</v>
      </c>
      <c r="B541" t="s">
        <v>540</v>
      </c>
      <c r="C541">
        <v>0</v>
      </c>
      <c r="D541">
        <v>-19065704.34</v>
      </c>
      <c r="E541">
        <v>-19065704.34</v>
      </c>
      <c r="F541">
        <v>0</v>
      </c>
      <c r="G541" t="s">
        <v>184</v>
      </c>
    </row>
    <row r="542" spans="1:7" x14ac:dyDescent="0.35">
      <c r="A542">
        <v>456</v>
      </c>
      <c r="B542" t="s">
        <v>506</v>
      </c>
      <c r="C542">
        <v>39720.22</v>
      </c>
      <c r="D542">
        <v>11527050.810000001</v>
      </c>
      <c r="E542">
        <v>12008132.779999999</v>
      </c>
      <c r="F542">
        <v>481081.97</v>
      </c>
      <c r="G542" t="s">
        <v>184</v>
      </c>
    </row>
    <row r="543" spans="1:7" x14ac:dyDescent="0.35">
      <c r="A543">
        <v>460</v>
      </c>
      <c r="B543" t="s">
        <v>353</v>
      </c>
      <c r="C543">
        <v>0</v>
      </c>
      <c r="D543">
        <v>-4744645.18</v>
      </c>
      <c r="E543">
        <v>-4744645.18</v>
      </c>
      <c r="F543">
        <v>0</v>
      </c>
      <c r="G543" t="s">
        <v>184</v>
      </c>
    </row>
    <row r="544" spans="1:7" x14ac:dyDescent="0.35">
      <c r="A544">
        <v>470</v>
      </c>
      <c r="B544" t="s">
        <v>541</v>
      </c>
      <c r="C544">
        <v>10876.37</v>
      </c>
      <c r="D544">
        <v>4821471.18</v>
      </c>
      <c r="E544">
        <v>4967862.1100000003</v>
      </c>
      <c r="F544">
        <v>146390.93</v>
      </c>
      <c r="G544" t="s">
        <v>184</v>
      </c>
    </row>
    <row r="545" spans="1:7" x14ac:dyDescent="0.35">
      <c r="A545">
        <v>480</v>
      </c>
      <c r="B545" t="s">
        <v>352</v>
      </c>
      <c r="C545">
        <v>0</v>
      </c>
      <c r="D545">
        <v>-1977331.24</v>
      </c>
      <c r="E545">
        <v>-1732634.97</v>
      </c>
      <c r="F545">
        <v>244696.27</v>
      </c>
      <c r="G545" t="s">
        <v>184</v>
      </c>
    </row>
    <row r="546" spans="1:7" x14ac:dyDescent="0.35">
      <c r="A546">
        <v>490</v>
      </c>
      <c r="B546" t="s">
        <v>542</v>
      </c>
      <c r="C546">
        <v>10791.95</v>
      </c>
      <c r="D546">
        <v>5277190.97</v>
      </c>
      <c r="E546">
        <v>5216843.5999999996</v>
      </c>
      <c r="F546">
        <v>-60347.37</v>
      </c>
      <c r="G546" t="s">
        <v>184</v>
      </c>
    </row>
    <row r="547" spans="1:7" x14ac:dyDescent="0.35">
      <c r="A547">
        <v>500</v>
      </c>
      <c r="B547" t="s">
        <v>351</v>
      </c>
      <c r="C547">
        <v>-35840</v>
      </c>
      <c r="D547">
        <v>-3992870.69</v>
      </c>
      <c r="E547">
        <v>-4028710.69</v>
      </c>
      <c r="F547">
        <v>-35840</v>
      </c>
      <c r="G547" t="s">
        <v>184</v>
      </c>
    </row>
    <row r="548" spans="1:7" x14ac:dyDescent="0.35">
      <c r="A548">
        <v>510</v>
      </c>
      <c r="B548" t="s">
        <v>509</v>
      </c>
      <c r="C548">
        <v>13680.44</v>
      </c>
      <c r="D548">
        <v>4175644.23</v>
      </c>
      <c r="E548">
        <v>4312752.2</v>
      </c>
      <c r="F548">
        <v>137107.97</v>
      </c>
      <c r="G548" t="s">
        <v>184</v>
      </c>
    </row>
    <row r="549" spans="1:7" x14ac:dyDescent="0.35">
      <c r="A549">
        <v>512</v>
      </c>
      <c r="B549" t="s">
        <v>543</v>
      </c>
      <c r="C549">
        <v>0</v>
      </c>
      <c r="D549">
        <v>-3073055.78</v>
      </c>
      <c r="E549">
        <v>-3073055.78</v>
      </c>
      <c r="F549">
        <v>0</v>
      </c>
      <c r="G549" t="s">
        <v>184</v>
      </c>
    </row>
    <row r="550" spans="1:7" x14ac:dyDescent="0.35">
      <c r="A550">
        <v>514</v>
      </c>
      <c r="B550" t="s">
        <v>552</v>
      </c>
      <c r="C550">
        <v>4693.88</v>
      </c>
      <c r="D550">
        <v>4418642.01</v>
      </c>
      <c r="E550">
        <v>4467577.6399999997</v>
      </c>
      <c r="F550">
        <v>48935.63</v>
      </c>
      <c r="G550" t="s">
        <v>184</v>
      </c>
    </row>
    <row r="551" spans="1:7" x14ac:dyDescent="0.35">
      <c r="A551">
        <v>520</v>
      </c>
      <c r="B551" t="s">
        <v>544</v>
      </c>
      <c r="C551">
        <v>0</v>
      </c>
      <c r="D551">
        <v>0</v>
      </c>
      <c r="E551">
        <v>0</v>
      </c>
      <c r="F551">
        <v>0</v>
      </c>
      <c r="G551" t="s">
        <v>184</v>
      </c>
    </row>
    <row r="552" spans="1:7" x14ac:dyDescent="0.35">
      <c r="A552">
        <v>530</v>
      </c>
      <c r="B552" t="s">
        <v>513</v>
      </c>
      <c r="C552">
        <v>0</v>
      </c>
      <c r="D552">
        <v>0</v>
      </c>
      <c r="E552">
        <v>0</v>
      </c>
      <c r="F552">
        <v>0</v>
      </c>
      <c r="G552" t="s">
        <v>184</v>
      </c>
    </row>
    <row r="553" spans="1:7" x14ac:dyDescent="0.35">
      <c r="A553">
        <v>540</v>
      </c>
      <c r="B553" t="s">
        <v>514</v>
      </c>
      <c r="C553">
        <v>0</v>
      </c>
      <c r="D553">
        <v>0</v>
      </c>
      <c r="E553">
        <v>0</v>
      </c>
      <c r="F553">
        <v>0</v>
      </c>
      <c r="G553" t="s">
        <v>184</v>
      </c>
    </row>
    <row r="554" spans="1:7" x14ac:dyDescent="0.35">
      <c r="A554">
        <v>550</v>
      </c>
      <c r="B554" t="s">
        <v>515</v>
      </c>
      <c r="C554">
        <v>0</v>
      </c>
      <c r="D554">
        <v>0</v>
      </c>
      <c r="E554">
        <v>0</v>
      </c>
      <c r="F554">
        <v>0</v>
      </c>
      <c r="G554" t="s">
        <v>184</v>
      </c>
    </row>
    <row r="555" spans="1:7" x14ac:dyDescent="0.35">
      <c r="A555">
        <v>560</v>
      </c>
      <c r="B555" t="s">
        <v>553</v>
      </c>
      <c r="C555">
        <v>0</v>
      </c>
      <c r="D555">
        <v>0</v>
      </c>
      <c r="E555">
        <v>0</v>
      </c>
      <c r="F555">
        <v>0</v>
      </c>
      <c r="G555" t="s">
        <v>184</v>
      </c>
    </row>
    <row r="556" spans="1:7" x14ac:dyDescent="0.35">
      <c r="A556">
        <v>570</v>
      </c>
      <c r="B556" t="s">
        <v>517</v>
      </c>
      <c r="C556">
        <v>0</v>
      </c>
      <c r="D556">
        <v>0</v>
      </c>
      <c r="E556">
        <v>0</v>
      </c>
      <c r="F556">
        <v>0</v>
      </c>
      <c r="G556" t="s">
        <v>184</v>
      </c>
    </row>
    <row r="557" spans="1:7" x14ac:dyDescent="0.35">
      <c r="A557">
        <v>580</v>
      </c>
      <c r="B557" t="s">
        <v>518</v>
      </c>
      <c r="C557">
        <v>0</v>
      </c>
      <c r="D557">
        <v>0</v>
      </c>
      <c r="E557">
        <v>0</v>
      </c>
      <c r="F557">
        <v>0</v>
      </c>
      <c r="G557" t="s">
        <v>184</v>
      </c>
    </row>
    <row r="558" spans="1:7" x14ac:dyDescent="0.35">
      <c r="A558">
        <v>590</v>
      </c>
      <c r="B558" t="s">
        <v>547</v>
      </c>
      <c r="C558">
        <v>0</v>
      </c>
      <c r="D558">
        <v>0</v>
      </c>
      <c r="E558">
        <v>0</v>
      </c>
      <c r="F558">
        <v>0</v>
      </c>
      <c r="G558" t="s">
        <v>184</v>
      </c>
    </row>
    <row r="559" spans="1:7" x14ac:dyDescent="0.35">
      <c r="A559">
        <v>600</v>
      </c>
      <c r="B559" t="s">
        <v>548</v>
      </c>
      <c r="C559">
        <v>0</v>
      </c>
      <c r="D559">
        <v>0</v>
      </c>
      <c r="E559">
        <v>0</v>
      </c>
      <c r="F559">
        <v>0</v>
      </c>
      <c r="G559" t="s">
        <v>184</v>
      </c>
    </row>
    <row r="560" spans="1:7" x14ac:dyDescent="0.35">
      <c r="A560">
        <v>610</v>
      </c>
      <c r="B560" t="s">
        <v>521</v>
      </c>
      <c r="C560">
        <v>0</v>
      </c>
      <c r="D560">
        <v>0</v>
      </c>
      <c r="E560">
        <v>0</v>
      </c>
      <c r="F560">
        <v>0</v>
      </c>
      <c r="G560" t="s">
        <v>184</v>
      </c>
    </row>
    <row r="561" spans="1:7" x14ac:dyDescent="0.35">
      <c r="A561">
        <v>615</v>
      </c>
      <c r="B561" t="s">
        <v>550</v>
      </c>
      <c r="C561">
        <v>0</v>
      </c>
      <c r="D561">
        <v>0</v>
      </c>
      <c r="E561">
        <v>0</v>
      </c>
      <c r="F561">
        <v>0</v>
      </c>
      <c r="G561" t="s">
        <v>184</v>
      </c>
    </row>
    <row r="562" spans="1:7" x14ac:dyDescent="0.35">
      <c r="A562">
        <v>620</v>
      </c>
      <c r="B562" t="s">
        <v>522</v>
      </c>
      <c r="C562">
        <v>0</v>
      </c>
      <c r="D562">
        <v>0</v>
      </c>
      <c r="E562">
        <v>0</v>
      </c>
      <c r="F562">
        <v>0</v>
      </c>
      <c r="G562" t="s">
        <v>184</v>
      </c>
    </row>
    <row r="563" spans="1:7" x14ac:dyDescent="0.35">
      <c r="A563">
        <v>630</v>
      </c>
      <c r="B563" t="s">
        <v>523</v>
      </c>
      <c r="C563">
        <v>0</v>
      </c>
      <c r="D563">
        <v>-16575265.27</v>
      </c>
      <c r="E563">
        <v>-15741165.48</v>
      </c>
      <c r="F563">
        <v>834099.79</v>
      </c>
      <c r="G563" t="s">
        <v>184</v>
      </c>
    </row>
    <row r="564" spans="1:7" x14ac:dyDescent="0.35">
      <c r="A564">
        <v>635</v>
      </c>
      <c r="B564" t="s">
        <v>551</v>
      </c>
      <c r="C564">
        <v>0</v>
      </c>
      <c r="D564">
        <v>0</v>
      </c>
      <c r="E564">
        <v>0</v>
      </c>
      <c r="F564">
        <v>0</v>
      </c>
      <c r="G564" t="s">
        <v>184</v>
      </c>
    </row>
    <row r="565" spans="1:7" x14ac:dyDescent="0.35">
      <c r="A565">
        <v>640</v>
      </c>
      <c r="B565" t="s">
        <v>524</v>
      </c>
      <c r="C565">
        <v>43922.86</v>
      </c>
      <c r="D565">
        <v>-19208873.300000001</v>
      </c>
      <c r="E565">
        <v>-17412748.109999999</v>
      </c>
      <c r="F565">
        <v>1796125.19</v>
      </c>
      <c r="G565" t="s">
        <v>184</v>
      </c>
    </row>
    <row r="566" spans="1:7" x14ac:dyDescent="0.35">
      <c r="A566">
        <v>650</v>
      </c>
      <c r="B566" t="s">
        <v>525</v>
      </c>
      <c r="C566">
        <v>-2911328.87</v>
      </c>
      <c r="D566">
        <v>13514525.289999999</v>
      </c>
      <c r="E566">
        <v>14829245.83</v>
      </c>
      <c r="F566">
        <v>1314720.54</v>
      </c>
      <c r="G566" t="s">
        <v>184</v>
      </c>
    </row>
    <row r="567" spans="1:7" x14ac:dyDescent="0.35">
      <c r="A567" t="s">
        <v>229</v>
      </c>
      <c r="B567" t="s">
        <v>172</v>
      </c>
      <c r="C567" t="s">
        <v>527</v>
      </c>
      <c r="D567" t="s">
        <v>528</v>
      </c>
      <c r="E567" t="s">
        <v>529</v>
      </c>
      <c r="F567" t="s">
        <v>530</v>
      </c>
      <c r="G567" t="s">
        <v>183</v>
      </c>
    </row>
    <row r="568" spans="1:7" x14ac:dyDescent="0.35">
      <c r="A568">
        <v>30</v>
      </c>
      <c r="B568" t="s">
        <v>147</v>
      </c>
      <c r="C568">
        <v>1895361.89</v>
      </c>
      <c r="D568">
        <v>0</v>
      </c>
      <c r="E568">
        <v>11933443.189999999</v>
      </c>
      <c r="F568">
        <v>11933443.189999999</v>
      </c>
      <c r="G568" t="s">
        <v>184</v>
      </c>
    </row>
    <row r="569" spans="1:7" x14ac:dyDescent="0.35">
      <c r="A569">
        <v>40</v>
      </c>
      <c r="B569" t="s">
        <v>531</v>
      </c>
      <c r="C569">
        <v>0</v>
      </c>
      <c r="D569">
        <v>0</v>
      </c>
      <c r="E569">
        <v>0</v>
      </c>
      <c r="F569">
        <v>0</v>
      </c>
      <c r="G569" t="s">
        <v>184</v>
      </c>
    </row>
    <row r="570" spans="1:7" x14ac:dyDescent="0.35">
      <c r="A570">
        <v>50</v>
      </c>
      <c r="B570" t="s">
        <v>149</v>
      </c>
      <c r="C570">
        <v>1895361.89</v>
      </c>
      <c r="D570">
        <v>0</v>
      </c>
      <c r="E570">
        <v>11933443.189999999</v>
      </c>
      <c r="F570">
        <v>11933443.189999999</v>
      </c>
      <c r="G570" t="s">
        <v>184</v>
      </c>
    </row>
    <row r="571" spans="1:7" x14ac:dyDescent="0.35">
      <c r="A571">
        <v>60</v>
      </c>
      <c r="B571" t="s">
        <v>532</v>
      </c>
      <c r="C571">
        <v>1616421.16</v>
      </c>
      <c r="D571">
        <v>0</v>
      </c>
      <c r="E571">
        <v>9977023.2200000007</v>
      </c>
      <c r="F571">
        <v>9977023.2200000007</v>
      </c>
      <c r="G571" t="s">
        <v>184</v>
      </c>
    </row>
    <row r="572" spans="1:7" x14ac:dyDescent="0.35">
      <c r="A572">
        <v>70</v>
      </c>
      <c r="B572" t="s">
        <v>477</v>
      </c>
      <c r="C572">
        <v>278940.73</v>
      </c>
      <c r="D572">
        <v>0</v>
      </c>
      <c r="E572">
        <v>1956419.97</v>
      </c>
      <c r="F572">
        <v>1956419.97</v>
      </c>
      <c r="G572" t="s">
        <v>184</v>
      </c>
    </row>
    <row r="573" spans="1:7" x14ac:dyDescent="0.35">
      <c r="A573">
        <v>80</v>
      </c>
      <c r="B573" t="s">
        <v>152</v>
      </c>
      <c r="C573">
        <v>71603.61</v>
      </c>
      <c r="D573">
        <v>0</v>
      </c>
      <c r="E573">
        <v>510603.93</v>
      </c>
      <c r="F573">
        <v>510603.93</v>
      </c>
      <c r="G573" t="s">
        <v>184</v>
      </c>
    </row>
    <row r="574" spans="1:7" x14ac:dyDescent="0.35">
      <c r="A574">
        <v>90</v>
      </c>
      <c r="B574" t="s">
        <v>153</v>
      </c>
      <c r="C574">
        <v>116784.47</v>
      </c>
      <c r="D574">
        <v>0</v>
      </c>
      <c r="E574">
        <v>893571.26</v>
      </c>
      <c r="F574">
        <v>893571.26</v>
      </c>
      <c r="G574" t="s">
        <v>184</v>
      </c>
    </row>
    <row r="575" spans="1:7" x14ac:dyDescent="0.35">
      <c r="A575">
        <v>100</v>
      </c>
      <c r="B575" t="s">
        <v>154</v>
      </c>
      <c r="C575">
        <v>0</v>
      </c>
      <c r="D575">
        <v>0</v>
      </c>
      <c r="E575">
        <v>19134</v>
      </c>
      <c r="F575">
        <v>19134</v>
      </c>
      <c r="G575" t="s">
        <v>184</v>
      </c>
    </row>
    <row r="576" spans="1:7" x14ac:dyDescent="0.35">
      <c r="A576">
        <v>120</v>
      </c>
      <c r="B576" t="s">
        <v>156</v>
      </c>
      <c r="C576">
        <v>90552.65</v>
      </c>
      <c r="D576">
        <v>0</v>
      </c>
      <c r="E576">
        <v>533110.78</v>
      </c>
      <c r="F576">
        <v>533110.78</v>
      </c>
      <c r="G576" t="s">
        <v>184</v>
      </c>
    </row>
    <row r="577" spans="1:7" x14ac:dyDescent="0.35">
      <c r="A577">
        <v>130</v>
      </c>
      <c r="B577" t="s">
        <v>480</v>
      </c>
      <c r="C577">
        <v>0</v>
      </c>
      <c r="D577">
        <v>0</v>
      </c>
      <c r="E577">
        <v>0</v>
      </c>
      <c r="F577">
        <v>0</v>
      </c>
      <c r="G577" t="s">
        <v>184</v>
      </c>
    </row>
    <row r="578" spans="1:7" x14ac:dyDescent="0.35">
      <c r="A578">
        <v>135</v>
      </c>
      <c r="B578" t="s">
        <v>533</v>
      </c>
      <c r="C578">
        <v>-249.86</v>
      </c>
      <c r="D578">
        <v>0</v>
      </c>
      <c r="E578">
        <v>-2145.84</v>
      </c>
      <c r="F578">
        <v>-2145.84</v>
      </c>
      <c r="G578" t="s">
        <v>184</v>
      </c>
    </row>
    <row r="579" spans="1:7" x14ac:dyDescent="0.35">
      <c r="A579">
        <v>140</v>
      </c>
      <c r="B579" t="s">
        <v>159</v>
      </c>
      <c r="C579">
        <v>0</v>
      </c>
      <c r="D579">
        <v>0</v>
      </c>
      <c r="E579">
        <v>0</v>
      </c>
      <c r="F579">
        <v>0</v>
      </c>
      <c r="G579" t="s">
        <v>184</v>
      </c>
    </row>
    <row r="580" spans="1:7" x14ac:dyDescent="0.35">
      <c r="A580">
        <v>150</v>
      </c>
      <c r="B580" t="s">
        <v>160</v>
      </c>
      <c r="C580">
        <v>0</v>
      </c>
      <c r="D580">
        <v>0</v>
      </c>
      <c r="E580">
        <v>0</v>
      </c>
      <c r="F580">
        <v>0</v>
      </c>
      <c r="G580" t="s">
        <v>184</v>
      </c>
    </row>
    <row r="581" spans="1:7" x14ac:dyDescent="0.35">
      <c r="A581">
        <v>160</v>
      </c>
      <c r="B581" t="s">
        <v>162</v>
      </c>
      <c r="C581">
        <v>-249.86</v>
      </c>
      <c r="D581">
        <v>0</v>
      </c>
      <c r="E581">
        <v>-2145.84</v>
      </c>
      <c r="F581">
        <v>-2145.84</v>
      </c>
      <c r="G581" t="s">
        <v>184</v>
      </c>
    </row>
    <row r="582" spans="1:7" x14ac:dyDescent="0.35">
      <c r="A582">
        <v>170</v>
      </c>
      <c r="B582" t="s">
        <v>163</v>
      </c>
      <c r="C582">
        <v>90802.51</v>
      </c>
      <c r="D582">
        <v>0</v>
      </c>
      <c r="E582">
        <v>535256.62</v>
      </c>
      <c r="F582">
        <v>535256.62</v>
      </c>
      <c r="G582" t="s">
        <v>184</v>
      </c>
    </row>
    <row r="583" spans="1:7" x14ac:dyDescent="0.35">
      <c r="A583">
        <v>180</v>
      </c>
      <c r="B583" t="s">
        <v>485</v>
      </c>
      <c r="C583">
        <v>0</v>
      </c>
      <c r="D583">
        <v>0</v>
      </c>
      <c r="E583">
        <v>51720</v>
      </c>
      <c r="F583">
        <v>51720</v>
      </c>
      <c r="G583" t="s">
        <v>184</v>
      </c>
    </row>
    <row r="584" spans="1:7" x14ac:dyDescent="0.35">
      <c r="A584">
        <v>200</v>
      </c>
      <c r="B584" t="s">
        <v>166</v>
      </c>
      <c r="C584">
        <v>90802.51</v>
      </c>
      <c r="D584">
        <v>0</v>
      </c>
      <c r="E584">
        <v>483536.62</v>
      </c>
      <c r="F584">
        <v>483536.62</v>
      </c>
      <c r="G584" t="s">
        <v>184</v>
      </c>
    </row>
    <row r="585" spans="1:7" x14ac:dyDescent="0.35">
      <c r="A585">
        <v>220</v>
      </c>
      <c r="B585" t="s">
        <v>488</v>
      </c>
      <c r="C585">
        <v>0</v>
      </c>
      <c r="D585">
        <v>0</v>
      </c>
      <c r="E585">
        <v>0</v>
      </c>
      <c r="F585">
        <v>0</v>
      </c>
      <c r="G585" t="s">
        <v>184</v>
      </c>
    </row>
    <row r="586" spans="1:7" x14ac:dyDescent="0.35">
      <c r="A586">
        <v>230</v>
      </c>
      <c r="B586" t="s">
        <v>341</v>
      </c>
      <c r="C586">
        <v>-492142.75</v>
      </c>
      <c r="D586">
        <v>-284572.92</v>
      </c>
      <c r="E586">
        <v>-907797.07</v>
      </c>
      <c r="F586">
        <v>-623224.15</v>
      </c>
      <c r="G586" t="s">
        <v>184</v>
      </c>
    </row>
    <row r="587" spans="1:7" x14ac:dyDescent="0.35">
      <c r="A587">
        <v>235</v>
      </c>
      <c r="B587" t="s">
        <v>489</v>
      </c>
      <c r="C587">
        <v>0</v>
      </c>
      <c r="D587">
        <v>0</v>
      </c>
      <c r="E587">
        <v>0</v>
      </c>
      <c r="F587">
        <v>0</v>
      </c>
      <c r="G587" t="s">
        <v>184</v>
      </c>
    </row>
    <row r="588" spans="1:7" x14ac:dyDescent="0.35">
      <c r="A588">
        <v>237</v>
      </c>
      <c r="B588" t="s">
        <v>534</v>
      </c>
      <c r="C588">
        <v>0</v>
      </c>
      <c r="D588">
        <v>-1452000</v>
      </c>
      <c r="E588">
        <v>-1802000</v>
      </c>
      <c r="F588">
        <v>-350000</v>
      </c>
      <c r="G588" t="s">
        <v>184</v>
      </c>
    </row>
    <row r="589" spans="1:7" x14ac:dyDescent="0.35">
      <c r="A589">
        <v>240</v>
      </c>
      <c r="B589" t="s">
        <v>535</v>
      </c>
      <c r="C589">
        <v>-13817.8</v>
      </c>
      <c r="D589">
        <v>-26028.639999999999</v>
      </c>
      <c r="E589">
        <v>-63673.27</v>
      </c>
      <c r="F589">
        <v>-37644.629999999997</v>
      </c>
      <c r="G589" t="s">
        <v>184</v>
      </c>
    </row>
    <row r="590" spans="1:7" x14ac:dyDescent="0.35">
      <c r="A590">
        <v>250</v>
      </c>
      <c r="B590" t="s">
        <v>343</v>
      </c>
      <c r="C590">
        <v>834371.77</v>
      </c>
      <c r="D590">
        <v>-3349202.93</v>
      </c>
      <c r="E590">
        <v>-3728605.99</v>
      </c>
      <c r="F590">
        <v>-379403.06</v>
      </c>
      <c r="G590" t="s">
        <v>184</v>
      </c>
    </row>
    <row r="591" spans="1:7" x14ac:dyDescent="0.35">
      <c r="A591">
        <v>260</v>
      </c>
      <c r="B591" t="s">
        <v>490</v>
      </c>
      <c r="C591">
        <v>4970.18</v>
      </c>
      <c r="D591">
        <v>-10808.75</v>
      </c>
      <c r="E591">
        <v>-13315.49</v>
      </c>
      <c r="F591">
        <v>-2506.7399999999998</v>
      </c>
      <c r="G591" t="s">
        <v>184</v>
      </c>
    </row>
    <row r="592" spans="1:7" x14ac:dyDescent="0.35">
      <c r="A592">
        <v>270</v>
      </c>
      <c r="B592" t="s">
        <v>344</v>
      </c>
      <c r="C592">
        <v>-148560.10999999999</v>
      </c>
      <c r="D592">
        <v>-10380.5</v>
      </c>
      <c r="E592">
        <v>-162217.60999999999</v>
      </c>
      <c r="F592">
        <v>-151837.10999999999</v>
      </c>
      <c r="G592" t="s">
        <v>184</v>
      </c>
    </row>
    <row r="593" spans="1:7" x14ac:dyDescent="0.35">
      <c r="A593">
        <v>300</v>
      </c>
      <c r="B593" t="s">
        <v>367</v>
      </c>
      <c r="C593">
        <v>-55530.02</v>
      </c>
      <c r="D593">
        <v>63248.3</v>
      </c>
      <c r="E593">
        <v>62612.83</v>
      </c>
      <c r="F593">
        <v>-635.47</v>
      </c>
      <c r="G593" t="s">
        <v>184</v>
      </c>
    </row>
    <row r="594" spans="1:7" x14ac:dyDescent="0.35">
      <c r="A594">
        <v>310</v>
      </c>
      <c r="B594" t="s">
        <v>491</v>
      </c>
      <c r="C594">
        <v>0</v>
      </c>
      <c r="D594">
        <v>0</v>
      </c>
      <c r="E594">
        <v>0</v>
      </c>
      <c r="F594">
        <v>0</v>
      </c>
      <c r="G594" t="s">
        <v>184</v>
      </c>
    </row>
    <row r="595" spans="1:7" x14ac:dyDescent="0.35">
      <c r="A595">
        <v>320</v>
      </c>
      <c r="B595" t="s">
        <v>492</v>
      </c>
      <c r="C595">
        <v>30000</v>
      </c>
      <c r="D595">
        <v>904309.05</v>
      </c>
      <c r="E595">
        <v>934309.05</v>
      </c>
      <c r="F595">
        <v>30000</v>
      </c>
      <c r="G595" t="s">
        <v>184</v>
      </c>
    </row>
    <row r="596" spans="1:7" x14ac:dyDescent="0.35">
      <c r="A596">
        <v>325</v>
      </c>
      <c r="B596" t="s">
        <v>493</v>
      </c>
      <c r="C596">
        <v>41422.01</v>
      </c>
      <c r="D596">
        <v>430527.93</v>
      </c>
      <c r="E596">
        <v>471384.01</v>
      </c>
      <c r="F596">
        <v>40856.080000000002</v>
      </c>
      <c r="G596" t="s">
        <v>184</v>
      </c>
    </row>
    <row r="597" spans="1:7" x14ac:dyDescent="0.35">
      <c r="A597">
        <v>330</v>
      </c>
      <c r="B597" t="s">
        <v>494</v>
      </c>
      <c r="C597">
        <v>0</v>
      </c>
      <c r="D597">
        <v>-1379.32</v>
      </c>
      <c r="E597">
        <v>-1266.5</v>
      </c>
      <c r="F597">
        <v>112.82</v>
      </c>
      <c r="G597" t="s">
        <v>184</v>
      </c>
    </row>
    <row r="598" spans="1:7" x14ac:dyDescent="0.35">
      <c r="A598">
        <v>340</v>
      </c>
      <c r="B598" t="s">
        <v>495</v>
      </c>
      <c r="C598">
        <v>0</v>
      </c>
      <c r="D598">
        <v>0</v>
      </c>
      <c r="E598">
        <v>0</v>
      </c>
      <c r="F598">
        <v>0</v>
      </c>
      <c r="G598" t="s">
        <v>184</v>
      </c>
    </row>
    <row r="599" spans="1:7" x14ac:dyDescent="0.35">
      <c r="A599">
        <v>350</v>
      </c>
      <c r="B599" t="s">
        <v>536</v>
      </c>
      <c r="C599">
        <v>0</v>
      </c>
      <c r="D599">
        <v>0</v>
      </c>
      <c r="E599">
        <v>0</v>
      </c>
      <c r="F599">
        <v>0</v>
      </c>
      <c r="G599" t="s">
        <v>184</v>
      </c>
    </row>
    <row r="600" spans="1:7" x14ac:dyDescent="0.35">
      <c r="A600">
        <v>380</v>
      </c>
      <c r="B600" t="s">
        <v>537</v>
      </c>
      <c r="C600">
        <v>200713.28</v>
      </c>
      <c r="D600">
        <v>-3736287.78</v>
      </c>
      <c r="E600">
        <v>-5210570.04</v>
      </c>
      <c r="F600">
        <v>-1474282.26</v>
      </c>
      <c r="G600" t="s">
        <v>184</v>
      </c>
    </row>
    <row r="601" spans="1:7" x14ac:dyDescent="0.35">
      <c r="A601">
        <v>390</v>
      </c>
      <c r="B601" t="s">
        <v>497</v>
      </c>
      <c r="C601">
        <v>0</v>
      </c>
      <c r="D601">
        <v>0</v>
      </c>
      <c r="E601">
        <v>0</v>
      </c>
      <c r="F601">
        <v>0</v>
      </c>
      <c r="G601" t="s">
        <v>184</v>
      </c>
    </row>
    <row r="602" spans="1:7" x14ac:dyDescent="0.35">
      <c r="A602">
        <v>400</v>
      </c>
      <c r="B602" t="s">
        <v>554</v>
      </c>
      <c r="C602">
        <v>0</v>
      </c>
      <c r="D602">
        <v>0</v>
      </c>
      <c r="E602">
        <v>0</v>
      </c>
      <c r="F602">
        <v>0</v>
      </c>
      <c r="G602" t="s">
        <v>184</v>
      </c>
    </row>
    <row r="603" spans="1:7" x14ac:dyDescent="0.35">
      <c r="A603">
        <v>405</v>
      </c>
      <c r="B603" t="s">
        <v>499</v>
      </c>
      <c r="C603">
        <v>0</v>
      </c>
      <c r="D603">
        <v>0</v>
      </c>
      <c r="E603">
        <v>0</v>
      </c>
      <c r="F603">
        <v>0</v>
      </c>
      <c r="G603" t="s">
        <v>184</v>
      </c>
    </row>
    <row r="604" spans="1:7" x14ac:dyDescent="0.35">
      <c r="A604">
        <v>410</v>
      </c>
      <c r="B604" t="s">
        <v>382</v>
      </c>
      <c r="C604">
        <v>0</v>
      </c>
      <c r="D604">
        <v>4550000</v>
      </c>
      <c r="E604">
        <v>4550000</v>
      </c>
      <c r="F604">
        <v>0</v>
      </c>
      <c r="G604" t="s">
        <v>184</v>
      </c>
    </row>
    <row r="605" spans="1:7" x14ac:dyDescent="0.35">
      <c r="A605">
        <v>420</v>
      </c>
      <c r="B605" t="s">
        <v>538</v>
      </c>
      <c r="C605">
        <v>0</v>
      </c>
      <c r="D605">
        <v>0</v>
      </c>
      <c r="E605">
        <v>0</v>
      </c>
      <c r="F605">
        <v>0</v>
      </c>
      <c r="G605" t="s">
        <v>184</v>
      </c>
    </row>
    <row r="606" spans="1:7" x14ac:dyDescent="0.35">
      <c r="A606">
        <v>425</v>
      </c>
      <c r="B606" t="s">
        <v>501</v>
      </c>
      <c r="C606">
        <v>0</v>
      </c>
      <c r="D606">
        <v>0</v>
      </c>
      <c r="E606">
        <v>0</v>
      </c>
      <c r="F606">
        <v>0</v>
      </c>
      <c r="G606" t="s">
        <v>184</v>
      </c>
    </row>
    <row r="607" spans="1:7" x14ac:dyDescent="0.35">
      <c r="A607">
        <v>427</v>
      </c>
      <c r="B607" t="s">
        <v>555</v>
      </c>
      <c r="C607">
        <v>0</v>
      </c>
      <c r="D607">
        <v>0</v>
      </c>
      <c r="E607">
        <v>0</v>
      </c>
      <c r="F607">
        <v>0</v>
      </c>
      <c r="G607" t="s">
        <v>184</v>
      </c>
    </row>
    <row r="608" spans="1:7" x14ac:dyDescent="0.35">
      <c r="A608">
        <v>430</v>
      </c>
      <c r="B608" t="s">
        <v>503</v>
      </c>
      <c r="C608">
        <v>200674.92</v>
      </c>
      <c r="D608">
        <v>1048852.24</v>
      </c>
      <c r="E608">
        <v>1249527.1599999999</v>
      </c>
      <c r="F608">
        <v>200674.92</v>
      </c>
      <c r="G608" t="s">
        <v>184</v>
      </c>
    </row>
    <row r="609" spans="1:7" x14ac:dyDescent="0.35">
      <c r="A609">
        <v>440</v>
      </c>
      <c r="B609" t="s">
        <v>504</v>
      </c>
      <c r="C609">
        <v>200674.92</v>
      </c>
      <c r="D609">
        <v>5598852.2400000002</v>
      </c>
      <c r="E609">
        <v>5799527.1600000001</v>
      </c>
      <c r="F609">
        <v>200674.92</v>
      </c>
      <c r="G609" t="s">
        <v>184</v>
      </c>
    </row>
    <row r="610" spans="1:7" x14ac:dyDescent="0.35">
      <c r="A610">
        <v>450</v>
      </c>
      <c r="B610" t="s">
        <v>505</v>
      </c>
      <c r="C610">
        <v>0</v>
      </c>
      <c r="D610">
        <v>0</v>
      </c>
      <c r="E610">
        <v>0</v>
      </c>
      <c r="F610">
        <v>0</v>
      </c>
      <c r="G610" t="s">
        <v>184</v>
      </c>
    </row>
    <row r="611" spans="1:7" x14ac:dyDescent="0.35">
      <c r="A611">
        <v>455</v>
      </c>
      <c r="B611" t="s">
        <v>540</v>
      </c>
      <c r="C611">
        <v>0</v>
      </c>
      <c r="D611">
        <v>-760302.27</v>
      </c>
      <c r="E611">
        <v>-760302.27</v>
      </c>
      <c r="F611">
        <v>0</v>
      </c>
      <c r="G611" t="s">
        <v>184</v>
      </c>
    </row>
    <row r="612" spans="1:7" x14ac:dyDescent="0.35">
      <c r="A612">
        <v>456</v>
      </c>
      <c r="B612" t="s">
        <v>506</v>
      </c>
      <c r="C612">
        <v>6336.11</v>
      </c>
      <c r="D612">
        <v>401205.71</v>
      </c>
      <c r="E612">
        <v>432885.82</v>
      </c>
      <c r="F612">
        <v>31680.11</v>
      </c>
      <c r="G612" t="s">
        <v>184</v>
      </c>
    </row>
    <row r="613" spans="1:7" x14ac:dyDescent="0.35">
      <c r="A613">
        <v>460</v>
      </c>
      <c r="B613" t="s">
        <v>353</v>
      </c>
      <c r="C613">
        <v>0</v>
      </c>
      <c r="D613">
        <v>0</v>
      </c>
      <c r="E613">
        <v>0</v>
      </c>
      <c r="F613">
        <v>0</v>
      </c>
      <c r="G613" t="s">
        <v>184</v>
      </c>
    </row>
    <row r="614" spans="1:7" x14ac:dyDescent="0.35">
      <c r="A614">
        <v>470</v>
      </c>
      <c r="B614" t="s">
        <v>541</v>
      </c>
      <c r="C614">
        <v>0</v>
      </c>
      <c r="D614">
        <v>0</v>
      </c>
      <c r="E614">
        <v>0</v>
      </c>
      <c r="F614">
        <v>0</v>
      </c>
      <c r="G614" t="s">
        <v>184</v>
      </c>
    </row>
    <row r="615" spans="1:7" x14ac:dyDescent="0.35">
      <c r="A615">
        <v>480</v>
      </c>
      <c r="B615" t="s">
        <v>352</v>
      </c>
      <c r="C615">
        <v>0</v>
      </c>
      <c r="D615">
        <v>0</v>
      </c>
      <c r="E615">
        <v>0</v>
      </c>
      <c r="F615">
        <v>0</v>
      </c>
      <c r="G615" t="s">
        <v>184</v>
      </c>
    </row>
    <row r="616" spans="1:7" x14ac:dyDescent="0.35">
      <c r="A616">
        <v>490</v>
      </c>
      <c r="B616" t="s">
        <v>542</v>
      </c>
      <c r="C616">
        <v>0</v>
      </c>
      <c r="D616">
        <v>0</v>
      </c>
      <c r="E616">
        <v>0</v>
      </c>
      <c r="F616">
        <v>0</v>
      </c>
      <c r="G616" t="s">
        <v>184</v>
      </c>
    </row>
    <row r="617" spans="1:7" x14ac:dyDescent="0.35">
      <c r="A617">
        <v>500</v>
      </c>
      <c r="B617" t="s">
        <v>351</v>
      </c>
      <c r="C617">
        <v>-15135</v>
      </c>
      <c r="D617">
        <v>-193807.66</v>
      </c>
      <c r="E617">
        <v>-208942.66</v>
      </c>
      <c r="F617">
        <v>-15135</v>
      </c>
      <c r="G617" t="s">
        <v>184</v>
      </c>
    </row>
    <row r="618" spans="1:7" x14ac:dyDescent="0.35">
      <c r="A618">
        <v>510</v>
      </c>
      <c r="B618" t="s">
        <v>509</v>
      </c>
      <c r="C618">
        <v>1134.74</v>
      </c>
      <c r="D618">
        <v>179248.59</v>
      </c>
      <c r="E618">
        <v>189463.33</v>
      </c>
      <c r="F618">
        <v>10214.74</v>
      </c>
      <c r="G618" t="s">
        <v>184</v>
      </c>
    </row>
    <row r="619" spans="1:7" x14ac:dyDescent="0.35">
      <c r="A619">
        <v>512</v>
      </c>
      <c r="B619" t="s">
        <v>543</v>
      </c>
      <c r="C619">
        <v>0</v>
      </c>
      <c r="D619">
        <v>-260433.15</v>
      </c>
      <c r="E619">
        <v>-270833.15000000002</v>
      </c>
      <c r="F619">
        <v>-10400</v>
      </c>
      <c r="G619" t="s">
        <v>184</v>
      </c>
    </row>
    <row r="620" spans="1:7" x14ac:dyDescent="0.35">
      <c r="A620">
        <v>514</v>
      </c>
      <c r="B620" t="s">
        <v>511</v>
      </c>
      <c r="C620">
        <v>1421.22</v>
      </c>
      <c r="D620">
        <v>241506.78</v>
      </c>
      <c r="E620">
        <v>252982</v>
      </c>
      <c r="F620">
        <v>11475.22</v>
      </c>
      <c r="G620" t="s">
        <v>184</v>
      </c>
    </row>
    <row r="621" spans="1:7" x14ac:dyDescent="0.35">
      <c r="A621">
        <v>520</v>
      </c>
      <c r="B621" t="s">
        <v>544</v>
      </c>
      <c r="C621">
        <v>0</v>
      </c>
      <c r="D621">
        <v>0</v>
      </c>
      <c r="E621">
        <v>0</v>
      </c>
      <c r="F621">
        <v>0</v>
      </c>
      <c r="G621" t="s">
        <v>184</v>
      </c>
    </row>
    <row r="622" spans="1:7" x14ac:dyDescent="0.35">
      <c r="A622">
        <v>530</v>
      </c>
      <c r="B622" t="s">
        <v>513</v>
      </c>
      <c r="C622">
        <v>0</v>
      </c>
      <c r="D622">
        <v>0</v>
      </c>
      <c r="E622">
        <v>0</v>
      </c>
      <c r="F622">
        <v>0</v>
      </c>
      <c r="G622" t="s">
        <v>184</v>
      </c>
    </row>
    <row r="623" spans="1:7" x14ac:dyDescent="0.35">
      <c r="A623">
        <v>540</v>
      </c>
      <c r="B623" t="s">
        <v>514</v>
      </c>
      <c r="C623">
        <v>0</v>
      </c>
      <c r="D623">
        <v>0</v>
      </c>
      <c r="E623">
        <v>0</v>
      </c>
      <c r="F623">
        <v>0</v>
      </c>
      <c r="G623" t="s">
        <v>184</v>
      </c>
    </row>
    <row r="624" spans="1:7" x14ac:dyDescent="0.35">
      <c r="A624">
        <v>550</v>
      </c>
      <c r="B624" t="s">
        <v>515</v>
      </c>
      <c r="C624">
        <v>0</v>
      </c>
      <c r="D624">
        <v>0</v>
      </c>
      <c r="E624">
        <v>0</v>
      </c>
      <c r="F624">
        <v>0</v>
      </c>
      <c r="G624" t="s">
        <v>184</v>
      </c>
    </row>
    <row r="625" spans="1:7" x14ac:dyDescent="0.35">
      <c r="A625">
        <v>560</v>
      </c>
      <c r="B625" t="s">
        <v>516</v>
      </c>
      <c r="C625">
        <v>0</v>
      </c>
      <c r="D625">
        <v>0</v>
      </c>
      <c r="E625">
        <v>0</v>
      </c>
      <c r="F625">
        <v>0</v>
      </c>
      <c r="G625" t="s">
        <v>184</v>
      </c>
    </row>
    <row r="626" spans="1:7" x14ac:dyDescent="0.35">
      <c r="A626">
        <v>570</v>
      </c>
      <c r="B626" t="s">
        <v>517</v>
      </c>
      <c r="C626">
        <v>0</v>
      </c>
      <c r="D626">
        <v>0</v>
      </c>
      <c r="E626">
        <v>0</v>
      </c>
      <c r="F626">
        <v>0</v>
      </c>
      <c r="G626" t="s">
        <v>184</v>
      </c>
    </row>
    <row r="627" spans="1:7" x14ac:dyDescent="0.35">
      <c r="A627">
        <v>580</v>
      </c>
      <c r="B627" t="s">
        <v>556</v>
      </c>
      <c r="C627">
        <v>0</v>
      </c>
      <c r="D627">
        <v>0</v>
      </c>
      <c r="E627">
        <v>0</v>
      </c>
      <c r="F627">
        <v>0</v>
      </c>
      <c r="G627" t="s">
        <v>184</v>
      </c>
    </row>
    <row r="628" spans="1:7" x14ac:dyDescent="0.35">
      <c r="A628">
        <v>590</v>
      </c>
      <c r="B628" t="s">
        <v>547</v>
      </c>
      <c r="C628">
        <v>0</v>
      </c>
      <c r="D628">
        <v>0</v>
      </c>
      <c r="E628">
        <v>0</v>
      </c>
      <c r="F628">
        <v>0</v>
      </c>
      <c r="G628" t="s">
        <v>184</v>
      </c>
    </row>
    <row r="629" spans="1:7" x14ac:dyDescent="0.35">
      <c r="A629">
        <v>600</v>
      </c>
      <c r="B629" t="s">
        <v>520</v>
      </c>
      <c r="C629">
        <v>0</v>
      </c>
      <c r="D629">
        <v>0</v>
      </c>
      <c r="E629">
        <v>0</v>
      </c>
      <c r="F629">
        <v>0</v>
      </c>
      <c r="G629" t="s">
        <v>184</v>
      </c>
    </row>
    <row r="630" spans="1:7" x14ac:dyDescent="0.35">
      <c r="A630">
        <v>610</v>
      </c>
      <c r="B630" t="s">
        <v>549</v>
      </c>
      <c r="C630">
        <v>0</v>
      </c>
      <c r="D630">
        <v>0</v>
      </c>
      <c r="E630">
        <v>0</v>
      </c>
      <c r="F630">
        <v>0</v>
      </c>
      <c r="G630" t="s">
        <v>184</v>
      </c>
    </row>
    <row r="631" spans="1:7" x14ac:dyDescent="0.35">
      <c r="A631">
        <v>615</v>
      </c>
      <c r="B631" t="s">
        <v>550</v>
      </c>
      <c r="C631">
        <v>0</v>
      </c>
      <c r="D631">
        <v>0</v>
      </c>
      <c r="E631">
        <v>0</v>
      </c>
      <c r="F631">
        <v>0</v>
      </c>
      <c r="G631" t="s">
        <v>184</v>
      </c>
    </row>
    <row r="632" spans="1:7" x14ac:dyDescent="0.35">
      <c r="A632">
        <v>620</v>
      </c>
      <c r="B632" t="s">
        <v>522</v>
      </c>
      <c r="C632">
        <v>0</v>
      </c>
      <c r="D632">
        <v>0</v>
      </c>
      <c r="E632">
        <v>0</v>
      </c>
      <c r="F632">
        <v>0</v>
      </c>
      <c r="G632" t="s">
        <v>184</v>
      </c>
    </row>
    <row r="633" spans="1:7" x14ac:dyDescent="0.35">
      <c r="A633">
        <v>630</v>
      </c>
      <c r="B633" t="s">
        <v>523</v>
      </c>
      <c r="C633">
        <v>0</v>
      </c>
      <c r="D633">
        <v>0</v>
      </c>
      <c r="E633">
        <v>0</v>
      </c>
      <c r="F633">
        <v>0</v>
      </c>
      <c r="G633" t="s">
        <v>184</v>
      </c>
    </row>
    <row r="634" spans="1:7" x14ac:dyDescent="0.35">
      <c r="A634">
        <v>635</v>
      </c>
      <c r="B634" t="s">
        <v>551</v>
      </c>
      <c r="C634">
        <v>0</v>
      </c>
      <c r="D634">
        <v>0</v>
      </c>
      <c r="E634">
        <v>0</v>
      </c>
      <c r="F634">
        <v>0</v>
      </c>
      <c r="G634" t="s">
        <v>184</v>
      </c>
    </row>
    <row r="635" spans="1:7" x14ac:dyDescent="0.35">
      <c r="A635">
        <v>640</v>
      </c>
      <c r="B635" t="s">
        <v>524</v>
      </c>
      <c r="C635">
        <v>-6242.93</v>
      </c>
      <c r="D635">
        <v>-392582</v>
      </c>
      <c r="E635">
        <v>-364746.93</v>
      </c>
      <c r="F635">
        <v>27835.07</v>
      </c>
      <c r="G635" t="s">
        <v>184</v>
      </c>
    </row>
    <row r="636" spans="1:7" x14ac:dyDescent="0.35">
      <c r="A636">
        <v>650</v>
      </c>
      <c r="B636" t="s">
        <v>525</v>
      </c>
      <c r="C636">
        <v>485947.78</v>
      </c>
      <c r="D636">
        <v>1469982.46</v>
      </c>
      <c r="E636">
        <v>707746.81</v>
      </c>
      <c r="F636">
        <v>-762235.65</v>
      </c>
      <c r="G636" t="s">
        <v>184</v>
      </c>
    </row>
    <row r="637" spans="1:7" x14ac:dyDescent="0.35">
      <c r="A637" t="s">
        <v>233</v>
      </c>
      <c r="B637" t="s">
        <v>172</v>
      </c>
      <c r="C637" t="s">
        <v>527</v>
      </c>
      <c r="D637" t="s">
        <v>528</v>
      </c>
      <c r="E637" t="s">
        <v>529</v>
      </c>
      <c r="F637" t="s">
        <v>530</v>
      </c>
      <c r="G637" t="s">
        <v>183</v>
      </c>
    </row>
    <row r="638" spans="1:7" x14ac:dyDescent="0.35">
      <c r="A638">
        <v>30</v>
      </c>
      <c r="B638" t="s">
        <v>147</v>
      </c>
      <c r="C638">
        <v>14329057.6</v>
      </c>
      <c r="D638">
        <v>0</v>
      </c>
      <c r="E638">
        <v>83964208.060000002</v>
      </c>
      <c r="F638">
        <v>83964208.060000002</v>
      </c>
      <c r="G638" t="s">
        <v>184</v>
      </c>
    </row>
    <row r="639" spans="1:7" x14ac:dyDescent="0.35">
      <c r="A639">
        <v>40</v>
      </c>
      <c r="B639" t="s">
        <v>531</v>
      </c>
      <c r="C639">
        <v>0</v>
      </c>
      <c r="D639">
        <v>0</v>
      </c>
      <c r="E639">
        <v>0</v>
      </c>
      <c r="F639">
        <v>0</v>
      </c>
      <c r="G639" t="s">
        <v>184</v>
      </c>
    </row>
    <row r="640" spans="1:7" x14ac:dyDescent="0.35">
      <c r="A640">
        <v>50</v>
      </c>
      <c r="B640" t="s">
        <v>149</v>
      </c>
      <c r="C640">
        <v>14329057.6</v>
      </c>
      <c r="D640">
        <v>0</v>
      </c>
      <c r="E640">
        <v>83964208.060000002</v>
      </c>
      <c r="F640">
        <v>83964208.060000002</v>
      </c>
      <c r="G640" t="s">
        <v>184</v>
      </c>
    </row>
    <row r="641" spans="1:7" x14ac:dyDescent="0.35">
      <c r="A641">
        <v>60</v>
      </c>
      <c r="B641" t="s">
        <v>532</v>
      </c>
      <c r="C641">
        <v>12973123.85</v>
      </c>
      <c r="D641">
        <v>0</v>
      </c>
      <c r="E641">
        <v>72487630.769999996</v>
      </c>
      <c r="F641">
        <v>72487630.769999996</v>
      </c>
      <c r="G641" t="s">
        <v>184</v>
      </c>
    </row>
    <row r="642" spans="1:7" x14ac:dyDescent="0.35">
      <c r="A642">
        <v>70</v>
      </c>
      <c r="B642" t="s">
        <v>477</v>
      </c>
      <c r="C642">
        <v>1355933.75</v>
      </c>
      <c r="D642">
        <v>0</v>
      </c>
      <c r="E642">
        <v>11476577.289999999</v>
      </c>
      <c r="F642">
        <v>11476577.289999999</v>
      </c>
      <c r="G642" t="s">
        <v>184</v>
      </c>
    </row>
    <row r="643" spans="1:7" x14ac:dyDescent="0.35">
      <c r="A643">
        <v>80</v>
      </c>
      <c r="B643" t="s">
        <v>152</v>
      </c>
      <c r="C643">
        <v>718226.01</v>
      </c>
      <c r="D643">
        <v>0</v>
      </c>
      <c r="E643">
        <v>8279100.1600000001</v>
      </c>
      <c r="F643">
        <v>8279100.1600000001</v>
      </c>
      <c r="G643" t="s">
        <v>184</v>
      </c>
    </row>
    <row r="644" spans="1:7" x14ac:dyDescent="0.35">
      <c r="A644">
        <v>90</v>
      </c>
      <c r="B644" t="s">
        <v>153</v>
      </c>
      <c r="C644">
        <v>738864.41</v>
      </c>
      <c r="D644">
        <v>0</v>
      </c>
      <c r="E644">
        <v>7334650.3200000003</v>
      </c>
      <c r="F644">
        <v>7334650.3200000003</v>
      </c>
      <c r="G644" t="s">
        <v>184</v>
      </c>
    </row>
    <row r="645" spans="1:7" x14ac:dyDescent="0.35">
      <c r="A645">
        <v>100</v>
      </c>
      <c r="B645" t="s">
        <v>154</v>
      </c>
      <c r="C645">
        <v>157084.85999999999</v>
      </c>
      <c r="D645">
        <v>0</v>
      </c>
      <c r="E645">
        <v>1404832.19</v>
      </c>
      <c r="F645">
        <v>1404832.19</v>
      </c>
      <c r="G645" t="s">
        <v>184</v>
      </c>
    </row>
    <row r="646" spans="1:7" x14ac:dyDescent="0.35">
      <c r="A646">
        <v>120</v>
      </c>
      <c r="B646" t="s">
        <v>156</v>
      </c>
      <c r="C646">
        <v>-258241.53</v>
      </c>
      <c r="D646">
        <v>0</v>
      </c>
      <c r="E646">
        <v>-5542005.3799999999</v>
      </c>
      <c r="F646">
        <v>-5542005.3799999999</v>
      </c>
      <c r="G646" t="s">
        <v>184</v>
      </c>
    </row>
    <row r="647" spans="1:7" x14ac:dyDescent="0.35">
      <c r="A647">
        <v>130</v>
      </c>
      <c r="B647" t="s">
        <v>480</v>
      </c>
      <c r="C647">
        <v>0</v>
      </c>
      <c r="D647">
        <v>0</v>
      </c>
      <c r="E647">
        <v>0</v>
      </c>
      <c r="F647">
        <v>0</v>
      </c>
      <c r="G647" t="s">
        <v>184</v>
      </c>
    </row>
    <row r="648" spans="1:7" x14ac:dyDescent="0.35">
      <c r="A648">
        <v>135</v>
      </c>
      <c r="B648" t="s">
        <v>533</v>
      </c>
      <c r="C648">
        <v>0</v>
      </c>
      <c r="D648">
        <v>0</v>
      </c>
      <c r="E648">
        <v>0</v>
      </c>
      <c r="F648">
        <v>0</v>
      </c>
      <c r="G648" t="s">
        <v>184</v>
      </c>
    </row>
    <row r="649" spans="1:7" x14ac:dyDescent="0.35">
      <c r="A649">
        <v>140</v>
      </c>
      <c r="B649" t="s">
        <v>159</v>
      </c>
      <c r="C649">
        <v>7334.99</v>
      </c>
      <c r="D649">
        <v>0</v>
      </c>
      <c r="E649">
        <v>49415.19</v>
      </c>
      <c r="F649">
        <v>49415.19</v>
      </c>
      <c r="G649" t="s">
        <v>184</v>
      </c>
    </row>
    <row r="650" spans="1:7" x14ac:dyDescent="0.35">
      <c r="A650">
        <v>150</v>
      </c>
      <c r="B650" t="s">
        <v>160</v>
      </c>
      <c r="C650">
        <v>5.71</v>
      </c>
      <c r="D650">
        <v>0</v>
      </c>
      <c r="E650">
        <v>100.08</v>
      </c>
      <c r="F650">
        <v>100.08</v>
      </c>
      <c r="G650" t="s">
        <v>184</v>
      </c>
    </row>
    <row r="651" spans="1:7" x14ac:dyDescent="0.35">
      <c r="A651">
        <v>160</v>
      </c>
      <c r="B651" t="s">
        <v>162</v>
      </c>
      <c r="C651">
        <v>7329.28</v>
      </c>
      <c r="D651">
        <v>0</v>
      </c>
      <c r="E651">
        <v>49315.11</v>
      </c>
      <c r="F651">
        <v>49315.11</v>
      </c>
      <c r="G651" t="s">
        <v>184</v>
      </c>
    </row>
    <row r="652" spans="1:7" x14ac:dyDescent="0.35">
      <c r="A652">
        <v>170</v>
      </c>
      <c r="B652" t="s">
        <v>163</v>
      </c>
      <c r="C652">
        <v>-265570.81</v>
      </c>
      <c r="D652">
        <v>0</v>
      </c>
      <c r="E652">
        <v>-5591320.4900000002</v>
      </c>
      <c r="F652">
        <v>-5591320.4900000002</v>
      </c>
      <c r="G652" t="s">
        <v>184</v>
      </c>
    </row>
    <row r="653" spans="1:7" x14ac:dyDescent="0.35">
      <c r="A653">
        <v>180</v>
      </c>
      <c r="B653" t="s">
        <v>485</v>
      </c>
      <c r="C653">
        <v>0</v>
      </c>
      <c r="D653">
        <v>0</v>
      </c>
      <c r="E653">
        <v>0</v>
      </c>
      <c r="F653">
        <v>0</v>
      </c>
      <c r="G653" t="s">
        <v>184</v>
      </c>
    </row>
    <row r="654" spans="1:7" x14ac:dyDescent="0.35">
      <c r="A654">
        <v>200</v>
      </c>
      <c r="B654" t="s">
        <v>166</v>
      </c>
      <c r="C654">
        <v>-265570.81</v>
      </c>
      <c r="D654">
        <v>0</v>
      </c>
      <c r="E654">
        <v>-5591320.4900000002</v>
      </c>
      <c r="F654">
        <v>-5591320.4900000002</v>
      </c>
      <c r="G654" t="s">
        <v>184</v>
      </c>
    </row>
    <row r="655" spans="1:7" x14ac:dyDescent="0.35">
      <c r="A655">
        <v>220</v>
      </c>
      <c r="B655" t="s">
        <v>488</v>
      </c>
      <c r="C655">
        <v>0</v>
      </c>
      <c r="D655">
        <v>0</v>
      </c>
      <c r="E655">
        <v>0</v>
      </c>
      <c r="F655">
        <v>0</v>
      </c>
      <c r="G655" t="s">
        <v>184</v>
      </c>
    </row>
    <row r="656" spans="1:7" x14ac:dyDescent="0.35">
      <c r="A656">
        <v>230</v>
      </c>
      <c r="B656" t="s">
        <v>341</v>
      </c>
      <c r="C656">
        <v>-831169.34</v>
      </c>
      <c r="D656">
        <v>-3643331.95</v>
      </c>
      <c r="E656">
        <v>-5402576.0700000003</v>
      </c>
      <c r="F656">
        <v>-1759244.12</v>
      </c>
      <c r="G656" t="s">
        <v>184</v>
      </c>
    </row>
    <row r="657" spans="1:7" x14ac:dyDescent="0.35">
      <c r="A657">
        <v>235</v>
      </c>
      <c r="B657" t="s">
        <v>489</v>
      </c>
      <c r="C657">
        <v>-1936.14</v>
      </c>
      <c r="D657">
        <v>-30851.439999999999</v>
      </c>
      <c r="E657">
        <v>-35503.57</v>
      </c>
      <c r="F657">
        <v>-4652.13</v>
      </c>
      <c r="G657" t="s">
        <v>184</v>
      </c>
    </row>
    <row r="658" spans="1:7" x14ac:dyDescent="0.35">
      <c r="A658">
        <v>237</v>
      </c>
      <c r="B658" t="s">
        <v>534</v>
      </c>
      <c r="C658">
        <v>0</v>
      </c>
      <c r="D658">
        <v>-4542576.32</v>
      </c>
      <c r="E658">
        <v>-5542576.3200000003</v>
      </c>
      <c r="F658">
        <v>-1000000</v>
      </c>
      <c r="G658" t="s">
        <v>184</v>
      </c>
    </row>
    <row r="659" spans="1:7" x14ac:dyDescent="0.35">
      <c r="A659">
        <v>240</v>
      </c>
      <c r="B659" t="s">
        <v>535</v>
      </c>
      <c r="C659">
        <v>0</v>
      </c>
      <c r="D659">
        <v>0</v>
      </c>
      <c r="E659">
        <v>0</v>
      </c>
      <c r="F659">
        <v>0</v>
      </c>
      <c r="G659" t="s">
        <v>184</v>
      </c>
    </row>
    <row r="660" spans="1:7" x14ac:dyDescent="0.35">
      <c r="A660">
        <v>250</v>
      </c>
      <c r="B660" t="s">
        <v>343</v>
      </c>
      <c r="C660">
        <v>8439946.2899999991</v>
      </c>
      <c r="D660">
        <v>-48990224.369999997</v>
      </c>
      <c r="E660">
        <v>-18536768.670000002</v>
      </c>
      <c r="F660">
        <v>30453455.699999999</v>
      </c>
      <c r="G660" t="s">
        <v>184</v>
      </c>
    </row>
    <row r="661" spans="1:7" x14ac:dyDescent="0.35">
      <c r="A661">
        <v>260</v>
      </c>
      <c r="B661" t="s">
        <v>490</v>
      </c>
      <c r="C661">
        <v>-18788.48</v>
      </c>
      <c r="D661">
        <v>-131926.38</v>
      </c>
      <c r="E661">
        <v>-262003.76</v>
      </c>
      <c r="F661">
        <v>-130077.38</v>
      </c>
      <c r="G661" t="s">
        <v>184</v>
      </c>
    </row>
    <row r="662" spans="1:7" x14ac:dyDescent="0.35">
      <c r="A662">
        <v>270</v>
      </c>
      <c r="B662" t="s">
        <v>344</v>
      </c>
      <c r="C662">
        <v>15756.05</v>
      </c>
      <c r="D662">
        <v>-591567.64</v>
      </c>
      <c r="E662">
        <v>-552678.36</v>
      </c>
      <c r="F662">
        <v>38889.279999999999</v>
      </c>
      <c r="G662" t="s">
        <v>184</v>
      </c>
    </row>
    <row r="663" spans="1:7" x14ac:dyDescent="0.35">
      <c r="A663">
        <v>300</v>
      </c>
      <c r="B663" t="s">
        <v>367</v>
      </c>
      <c r="C663">
        <v>-10025909.33</v>
      </c>
      <c r="D663">
        <v>59013830.07</v>
      </c>
      <c r="E663">
        <v>24850298.329999998</v>
      </c>
      <c r="F663">
        <v>-34163531.740000002</v>
      </c>
      <c r="G663" t="s">
        <v>184</v>
      </c>
    </row>
    <row r="664" spans="1:7" x14ac:dyDescent="0.35">
      <c r="A664">
        <v>310</v>
      </c>
      <c r="B664" t="s">
        <v>491</v>
      </c>
      <c r="C664">
        <v>78455</v>
      </c>
      <c r="D664">
        <v>235940.18</v>
      </c>
      <c r="E664">
        <v>253697.98</v>
      </c>
      <c r="F664">
        <v>17757.8</v>
      </c>
      <c r="G664" t="s">
        <v>184</v>
      </c>
    </row>
    <row r="665" spans="1:7" x14ac:dyDescent="0.35">
      <c r="A665">
        <v>320</v>
      </c>
      <c r="B665" t="s">
        <v>492</v>
      </c>
      <c r="C665">
        <v>111894.45</v>
      </c>
      <c r="D665">
        <v>861051.2</v>
      </c>
      <c r="E665">
        <v>1480684.16</v>
      </c>
      <c r="F665">
        <v>619632.96</v>
      </c>
      <c r="G665" t="s">
        <v>184</v>
      </c>
    </row>
    <row r="666" spans="1:7" x14ac:dyDescent="0.35">
      <c r="A666">
        <v>325</v>
      </c>
      <c r="B666" t="s">
        <v>493</v>
      </c>
      <c r="C666">
        <v>-44366.23</v>
      </c>
      <c r="D666">
        <v>100406.31</v>
      </c>
      <c r="E666">
        <v>330502.46999999997</v>
      </c>
      <c r="F666">
        <v>230096.16</v>
      </c>
      <c r="G666" t="s">
        <v>184</v>
      </c>
    </row>
    <row r="667" spans="1:7" x14ac:dyDescent="0.35">
      <c r="A667">
        <v>330</v>
      </c>
      <c r="B667" t="s">
        <v>494</v>
      </c>
      <c r="C667">
        <v>1626951.26</v>
      </c>
      <c r="D667">
        <v>-5262049.3</v>
      </c>
      <c r="E667">
        <v>1403360.75</v>
      </c>
      <c r="F667">
        <v>6665410.0499999998</v>
      </c>
      <c r="G667" t="s">
        <v>184</v>
      </c>
    </row>
    <row r="668" spans="1:7" x14ac:dyDescent="0.35">
      <c r="A668">
        <v>340</v>
      </c>
      <c r="B668" t="s">
        <v>495</v>
      </c>
      <c r="C668">
        <v>291889.51</v>
      </c>
      <c r="D668">
        <v>452097.94</v>
      </c>
      <c r="E668">
        <v>588809.69999999995</v>
      </c>
      <c r="F668">
        <v>136711.76</v>
      </c>
      <c r="G668" t="s">
        <v>184</v>
      </c>
    </row>
    <row r="669" spans="1:7" x14ac:dyDescent="0.35">
      <c r="A669">
        <v>350</v>
      </c>
      <c r="B669" t="s">
        <v>536</v>
      </c>
      <c r="C669">
        <v>24635</v>
      </c>
      <c r="D669">
        <v>0</v>
      </c>
      <c r="E669">
        <v>0</v>
      </c>
      <c r="F669">
        <v>0</v>
      </c>
      <c r="G669" t="s">
        <v>184</v>
      </c>
    </row>
    <row r="670" spans="1:7" x14ac:dyDescent="0.35">
      <c r="A670">
        <v>380</v>
      </c>
      <c r="B670" t="s">
        <v>537</v>
      </c>
      <c r="C670">
        <v>-332641.96000000002</v>
      </c>
      <c r="D670">
        <v>-2529201.7000000002</v>
      </c>
      <c r="E670">
        <v>-1424753.36</v>
      </c>
      <c r="F670">
        <v>1104448.3400000001</v>
      </c>
      <c r="G670" t="s">
        <v>184</v>
      </c>
    </row>
    <row r="671" spans="1:7" x14ac:dyDescent="0.35">
      <c r="A671">
        <v>390</v>
      </c>
      <c r="B671" t="s">
        <v>497</v>
      </c>
      <c r="C671">
        <v>0</v>
      </c>
      <c r="D671">
        <v>0</v>
      </c>
      <c r="E671">
        <v>0</v>
      </c>
      <c r="F671">
        <v>0</v>
      </c>
      <c r="G671" t="s">
        <v>184</v>
      </c>
    </row>
    <row r="672" spans="1:7" x14ac:dyDescent="0.35">
      <c r="A672">
        <v>400</v>
      </c>
      <c r="B672" t="s">
        <v>498</v>
      </c>
      <c r="C672">
        <v>0</v>
      </c>
      <c r="D672">
        <v>0</v>
      </c>
      <c r="E672">
        <v>0</v>
      </c>
      <c r="F672">
        <v>0</v>
      </c>
      <c r="G672" t="s">
        <v>184</v>
      </c>
    </row>
    <row r="673" spans="1:7" x14ac:dyDescent="0.35">
      <c r="A673">
        <v>405</v>
      </c>
      <c r="B673" t="s">
        <v>499</v>
      </c>
      <c r="C673">
        <v>0</v>
      </c>
      <c r="D673">
        <v>900000</v>
      </c>
      <c r="E673">
        <v>4381000</v>
      </c>
      <c r="F673">
        <v>3481000</v>
      </c>
      <c r="G673" t="s">
        <v>184</v>
      </c>
    </row>
    <row r="674" spans="1:7" x14ac:dyDescent="0.35">
      <c r="A674">
        <v>410</v>
      </c>
      <c r="B674" t="s">
        <v>382</v>
      </c>
      <c r="C674">
        <v>0</v>
      </c>
      <c r="D674">
        <v>15050000</v>
      </c>
      <c r="E674">
        <v>15050000</v>
      </c>
      <c r="F674">
        <v>0</v>
      </c>
      <c r="G674" t="s">
        <v>184</v>
      </c>
    </row>
    <row r="675" spans="1:7" x14ac:dyDescent="0.35">
      <c r="A675">
        <v>420</v>
      </c>
      <c r="B675" t="s">
        <v>538</v>
      </c>
      <c r="C675">
        <v>0</v>
      </c>
      <c r="D675">
        <v>0</v>
      </c>
      <c r="E675">
        <v>0</v>
      </c>
      <c r="F675">
        <v>0</v>
      </c>
      <c r="G675" t="s">
        <v>184</v>
      </c>
    </row>
    <row r="676" spans="1:7" x14ac:dyDescent="0.35">
      <c r="A676">
        <v>425</v>
      </c>
      <c r="B676" t="s">
        <v>501</v>
      </c>
      <c r="C676">
        <v>0</v>
      </c>
      <c r="D676">
        <v>0</v>
      </c>
      <c r="E676">
        <v>0</v>
      </c>
      <c r="F676">
        <v>0</v>
      </c>
      <c r="G676" t="s">
        <v>184</v>
      </c>
    </row>
    <row r="677" spans="1:7" x14ac:dyDescent="0.35">
      <c r="A677">
        <v>427</v>
      </c>
      <c r="B677" t="s">
        <v>539</v>
      </c>
      <c r="C677">
        <v>0</v>
      </c>
      <c r="D677">
        <v>0</v>
      </c>
      <c r="E677">
        <v>0</v>
      </c>
      <c r="F677">
        <v>0</v>
      </c>
      <c r="G677" t="s">
        <v>184</v>
      </c>
    </row>
    <row r="678" spans="1:7" x14ac:dyDescent="0.35">
      <c r="A678">
        <v>430</v>
      </c>
      <c r="B678" t="s">
        <v>503</v>
      </c>
      <c r="C678">
        <v>-238317.18</v>
      </c>
      <c r="D678">
        <v>-4560487.37</v>
      </c>
      <c r="E678">
        <v>-4798804.55</v>
      </c>
      <c r="F678">
        <v>-238317.18</v>
      </c>
      <c r="G678" t="s">
        <v>184</v>
      </c>
    </row>
    <row r="679" spans="1:7" x14ac:dyDescent="0.35">
      <c r="A679">
        <v>440</v>
      </c>
      <c r="B679" t="s">
        <v>504</v>
      </c>
      <c r="C679">
        <v>-238317.18</v>
      </c>
      <c r="D679">
        <v>11389512.630000001</v>
      </c>
      <c r="E679">
        <v>14632195.449999999</v>
      </c>
      <c r="F679">
        <v>3242682.82</v>
      </c>
      <c r="G679" t="s">
        <v>184</v>
      </c>
    </row>
    <row r="680" spans="1:7" x14ac:dyDescent="0.35">
      <c r="A680">
        <v>450</v>
      </c>
      <c r="B680" t="s">
        <v>505</v>
      </c>
      <c r="C680">
        <v>0</v>
      </c>
      <c r="D680">
        <v>0</v>
      </c>
      <c r="E680">
        <v>0</v>
      </c>
      <c r="F680">
        <v>0</v>
      </c>
      <c r="G680" t="s">
        <v>184</v>
      </c>
    </row>
    <row r="681" spans="1:7" x14ac:dyDescent="0.35">
      <c r="A681">
        <v>455</v>
      </c>
      <c r="B681" t="s">
        <v>540</v>
      </c>
      <c r="C681">
        <v>0</v>
      </c>
      <c r="D681">
        <v>0</v>
      </c>
      <c r="E681">
        <v>0</v>
      </c>
      <c r="F681">
        <v>0</v>
      </c>
      <c r="G681" t="s">
        <v>184</v>
      </c>
    </row>
    <row r="682" spans="1:7" x14ac:dyDescent="0.35">
      <c r="A682">
        <v>456</v>
      </c>
      <c r="B682" t="s">
        <v>506</v>
      </c>
      <c r="C682">
        <v>0</v>
      </c>
      <c r="D682">
        <v>0</v>
      </c>
      <c r="E682">
        <v>0</v>
      </c>
      <c r="F682">
        <v>0</v>
      </c>
      <c r="G682" t="s">
        <v>184</v>
      </c>
    </row>
    <row r="683" spans="1:7" x14ac:dyDescent="0.35">
      <c r="A683">
        <v>460</v>
      </c>
      <c r="B683" t="s">
        <v>353</v>
      </c>
      <c r="C683">
        <v>-9051.7199999999993</v>
      </c>
      <c r="D683">
        <v>-194340.25</v>
      </c>
      <c r="E683">
        <v>-219368.13</v>
      </c>
      <c r="F683">
        <v>-25027.88</v>
      </c>
      <c r="G683" t="s">
        <v>184</v>
      </c>
    </row>
    <row r="684" spans="1:7" x14ac:dyDescent="0.35">
      <c r="A684">
        <v>470</v>
      </c>
      <c r="B684" t="s">
        <v>541</v>
      </c>
      <c r="C684">
        <v>1653.67</v>
      </c>
      <c r="D684">
        <v>37299.46</v>
      </c>
      <c r="E684">
        <v>52552.27</v>
      </c>
      <c r="F684">
        <v>15252.81</v>
      </c>
      <c r="G684" t="s">
        <v>184</v>
      </c>
    </row>
    <row r="685" spans="1:7" x14ac:dyDescent="0.35">
      <c r="A685">
        <v>480</v>
      </c>
      <c r="B685" t="s">
        <v>352</v>
      </c>
      <c r="C685">
        <v>0</v>
      </c>
      <c r="D685">
        <v>0</v>
      </c>
      <c r="E685">
        <v>-91637.93</v>
      </c>
      <c r="F685">
        <v>-91637.93</v>
      </c>
      <c r="G685" t="s">
        <v>184</v>
      </c>
    </row>
    <row r="686" spans="1:7" x14ac:dyDescent="0.35">
      <c r="A686">
        <v>490</v>
      </c>
      <c r="B686" t="s">
        <v>542</v>
      </c>
      <c r="C686">
        <v>1909.12</v>
      </c>
      <c r="D686">
        <v>0</v>
      </c>
      <c r="E686">
        <v>9545.6</v>
      </c>
      <c r="F686">
        <v>9545.6</v>
      </c>
      <c r="G686" t="s">
        <v>184</v>
      </c>
    </row>
    <row r="687" spans="1:7" x14ac:dyDescent="0.35">
      <c r="A687">
        <v>500</v>
      </c>
      <c r="B687" t="s">
        <v>351</v>
      </c>
      <c r="C687">
        <v>0</v>
      </c>
      <c r="D687">
        <v>-115678.68</v>
      </c>
      <c r="E687">
        <v>-125308.85</v>
      </c>
      <c r="F687">
        <v>-9630.17</v>
      </c>
      <c r="G687" t="s">
        <v>184</v>
      </c>
    </row>
    <row r="688" spans="1:7" x14ac:dyDescent="0.35">
      <c r="A688">
        <v>510</v>
      </c>
      <c r="B688" t="s">
        <v>509</v>
      </c>
      <c r="C688">
        <v>3074.69</v>
      </c>
      <c r="D688">
        <v>50713.32</v>
      </c>
      <c r="E688">
        <v>78127.360000000001</v>
      </c>
      <c r="F688">
        <v>27414.04</v>
      </c>
      <c r="G688" t="s">
        <v>184</v>
      </c>
    </row>
    <row r="689" spans="1:7" x14ac:dyDescent="0.35">
      <c r="A689">
        <v>512</v>
      </c>
      <c r="B689" t="s">
        <v>543</v>
      </c>
      <c r="C689">
        <v>0</v>
      </c>
      <c r="D689">
        <v>-375243.95</v>
      </c>
      <c r="E689">
        <v>-378260.33</v>
      </c>
      <c r="F689">
        <v>-3016.38</v>
      </c>
      <c r="G689" t="s">
        <v>184</v>
      </c>
    </row>
    <row r="690" spans="1:7" x14ac:dyDescent="0.35">
      <c r="A690">
        <v>514</v>
      </c>
      <c r="B690" t="s">
        <v>511</v>
      </c>
      <c r="C690">
        <v>3105.17</v>
      </c>
      <c r="D690">
        <v>80452.59</v>
      </c>
      <c r="E690">
        <v>108621.4</v>
      </c>
      <c r="F690">
        <v>28168.81</v>
      </c>
      <c r="G690" t="s">
        <v>184</v>
      </c>
    </row>
    <row r="691" spans="1:7" x14ac:dyDescent="0.35">
      <c r="A691">
        <v>520</v>
      </c>
      <c r="B691" t="s">
        <v>544</v>
      </c>
      <c r="C691">
        <v>0</v>
      </c>
      <c r="D691">
        <v>0</v>
      </c>
      <c r="E691">
        <v>0</v>
      </c>
      <c r="F691">
        <v>0</v>
      </c>
      <c r="G691" t="s">
        <v>184</v>
      </c>
    </row>
    <row r="692" spans="1:7" x14ac:dyDescent="0.35">
      <c r="A692">
        <v>530</v>
      </c>
      <c r="B692" t="s">
        <v>513</v>
      </c>
      <c r="C692">
        <v>0</v>
      </c>
      <c r="D692">
        <v>0</v>
      </c>
      <c r="E692">
        <v>0</v>
      </c>
      <c r="F692">
        <v>0</v>
      </c>
      <c r="G692" t="s">
        <v>184</v>
      </c>
    </row>
    <row r="693" spans="1:7" x14ac:dyDescent="0.35">
      <c r="A693">
        <v>540</v>
      </c>
      <c r="B693" t="s">
        <v>545</v>
      </c>
      <c r="C693">
        <v>0</v>
      </c>
      <c r="D693">
        <v>-11771088.58</v>
      </c>
      <c r="E693">
        <v>-11775647.43</v>
      </c>
      <c r="F693">
        <v>-4558.8500000000004</v>
      </c>
      <c r="G693" t="s">
        <v>184</v>
      </c>
    </row>
    <row r="694" spans="1:7" x14ac:dyDescent="0.35">
      <c r="A694">
        <v>550</v>
      </c>
      <c r="B694" t="s">
        <v>546</v>
      </c>
      <c r="C694">
        <v>408326.28</v>
      </c>
      <c r="D694">
        <v>3656938.51</v>
      </c>
      <c r="E694">
        <v>5242373.51</v>
      </c>
      <c r="F694">
        <v>1585435</v>
      </c>
      <c r="G694" t="s">
        <v>184</v>
      </c>
    </row>
    <row r="695" spans="1:7" x14ac:dyDescent="0.35">
      <c r="A695">
        <v>560</v>
      </c>
      <c r="B695" t="s">
        <v>516</v>
      </c>
      <c r="C695">
        <v>0</v>
      </c>
      <c r="D695">
        <v>0</v>
      </c>
      <c r="E695">
        <v>0</v>
      </c>
      <c r="F695">
        <v>0</v>
      </c>
      <c r="G695" t="s">
        <v>184</v>
      </c>
    </row>
    <row r="696" spans="1:7" x14ac:dyDescent="0.35">
      <c r="A696">
        <v>570</v>
      </c>
      <c r="B696" t="s">
        <v>517</v>
      </c>
      <c r="C696">
        <v>0</v>
      </c>
      <c r="D696">
        <v>0</v>
      </c>
      <c r="E696">
        <v>0</v>
      </c>
      <c r="F696">
        <v>0</v>
      </c>
      <c r="G696" t="s">
        <v>184</v>
      </c>
    </row>
    <row r="697" spans="1:7" x14ac:dyDescent="0.35">
      <c r="A697">
        <v>580</v>
      </c>
      <c r="B697" t="s">
        <v>518</v>
      </c>
      <c r="C697">
        <v>0</v>
      </c>
      <c r="D697">
        <v>0</v>
      </c>
      <c r="E697">
        <v>0</v>
      </c>
      <c r="F697">
        <v>0</v>
      </c>
      <c r="G697" t="s">
        <v>184</v>
      </c>
    </row>
    <row r="698" spans="1:7" x14ac:dyDescent="0.35">
      <c r="A698">
        <v>590</v>
      </c>
      <c r="B698" t="s">
        <v>547</v>
      </c>
      <c r="C698">
        <v>0</v>
      </c>
      <c r="D698">
        <v>0</v>
      </c>
      <c r="E698">
        <v>0</v>
      </c>
      <c r="F698">
        <v>0</v>
      </c>
      <c r="G698" t="s">
        <v>184</v>
      </c>
    </row>
    <row r="699" spans="1:7" x14ac:dyDescent="0.35">
      <c r="A699">
        <v>600</v>
      </c>
      <c r="B699" t="s">
        <v>548</v>
      </c>
      <c r="C699">
        <v>0</v>
      </c>
      <c r="D699">
        <v>0</v>
      </c>
      <c r="E699">
        <v>0</v>
      </c>
      <c r="F699">
        <v>0</v>
      </c>
      <c r="G699" t="s">
        <v>184</v>
      </c>
    </row>
    <row r="700" spans="1:7" x14ac:dyDescent="0.35">
      <c r="A700">
        <v>610</v>
      </c>
      <c r="B700" t="s">
        <v>549</v>
      </c>
      <c r="C700">
        <v>0</v>
      </c>
      <c r="D700">
        <v>0</v>
      </c>
      <c r="E700">
        <v>0</v>
      </c>
      <c r="F700">
        <v>0</v>
      </c>
      <c r="G700" t="s">
        <v>184</v>
      </c>
    </row>
    <row r="701" spans="1:7" x14ac:dyDescent="0.35">
      <c r="A701">
        <v>615</v>
      </c>
      <c r="B701" t="s">
        <v>550</v>
      </c>
      <c r="C701">
        <v>0</v>
      </c>
      <c r="D701">
        <v>0</v>
      </c>
      <c r="E701">
        <v>0</v>
      </c>
      <c r="F701">
        <v>0</v>
      </c>
      <c r="G701" t="s">
        <v>184</v>
      </c>
    </row>
    <row r="702" spans="1:7" x14ac:dyDescent="0.35">
      <c r="A702">
        <v>620</v>
      </c>
      <c r="B702" t="s">
        <v>522</v>
      </c>
      <c r="C702">
        <v>0</v>
      </c>
      <c r="D702">
        <v>0</v>
      </c>
      <c r="E702">
        <v>0</v>
      </c>
      <c r="F702">
        <v>0</v>
      </c>
      <c r="G702" t="s">
        <v>184</v>
      </c>
    </row>
    <row r="703" spans="1:7" x14ac:dyDescent="0.35">
      <c r="A703">
        <v>630</v>
      </c>
      <c r="B703" t="s">
        <v>523</v>
      </c>
      <c r="C703">
        <v>0</v>
      </c>
      <c r="D703">
        <v>0</v>
      </c>
      <c r="E703">
        <v>0</v>
      </c>
      <c r="F703">
        <v>0</v>
      </c>
      <c r="G703" t="s">
        <v>184</v>
      </c>
    </row>
    <row r="704" spans="1:7" x14ac:dyDescent="0.35">
      <c r="A704">
        <v>635</v>
      </c>
      <c r="B704" t="s">
        <v>551</v>
      </c>
      <c r="C704">
        <v>0</v>
      </c>
      <c r="D704">
        <v>0</v>
      </c>
      <c r="E704">
        <v>0</v>
      </c>
      <c r="F704">
        <v>0</v>
      </c>
      <c r="G704" t="s">
        <v>184</v>
      </c>
    </row>
    <row r="705" spans="1:7" x14ac:dyDescent="0.35">
      <c r="A705">
        <v>640</v>
      </c>
      <c r="B705" t="s">
        <v>524</v>
      </c>
      <c r="C705">
        <v>409017.21</v>
      </c>
      <c r="D705">
        <v>-8630947.5800000001</v>
      </c>
      <c r="E705">
        <v>-7099002.5300000003</v>
      </c>
      <c r="F705">
        <v>1531945.05</v>
      </c>
      <c r="G705" t="s">
        <v>184</v>
      </c>
    </row>
    <row r="706" spans="1:7" x14ac:dyDescent="0.35">
      <c r="A706">
        <v>650</v>
      </c>
      <c r="B706" t="s">
        <v>525</v>
      </c>
      <c r="C706">
        <v>-427512.74</v>
      </c>
      <c r="D706">
        <v>229363.35</v>
      </c>
      <c r="E706">
        <v>517119.07</v>
      </c>
      <c r="F706">
        <v>287755.71999999997</v>
      </c>
      <c r="G706" t="s">
        <v>184</v>
      </c>
    </row>
    <row r="707" spans="1:7" x14ac:dyDescent="0.35">
      <c r="A707" t="s">
        <v>240</v>
      </c>
      <c r="B707" t="s">
        <v>172</v>
      </c>
      <c r="C707" t="s">
        <v>468</v>
      </c>
      <c r="D707" t="s">
        <v>469</v>
      </c>
      <c r="E707" t="s">
        <v>470</v>
      </c>
      <c r="F707" t="s">
        <v>471</v>
      </c>
      <c r="G707" t="s">
        <v>183</v>
      </c>
    </row>
    <row r="708" spans="1:7" x14ac:dyDescent="0.35">
      <c r="A708">
        <v>10</v>
      </c>
      <c r="B708" t="s">
        <v>472</v>
      </c>
      <c r="C708">
        <v>0</v>
      </c>
      <c r="D708">
        <v>0</v>
      </c>
      <c r="E708">
        <v>0</v>
      </c>
      <c r="F708">
        <v>0</v>
      </c>
      <c r="G708" t="s">
        <v>184</v>
      </c>
    </row>
    <row r="709" spans="1:7" x14ac:dyDescent="0.35">
      <c r="A709">
        <v>20</v>
      </c>
      <c r="B709" t="s">
        <v>147</v>
      </c>
      <c r="C709">
        <v>29084739.43</v>
      </c>
      <c r="D709">
        <v>0</v>
      </c>
      <c r="E709">
        <v>259861748.61000001</v>
      </c>
      <c r="F709">
        <v>259861748.61000001</v>
      </c>
      <c r="G709" t="s">
        <v>184</v>
      </c>
    </row>
    <row r="710" spans="1:7" x14ac:dyDescent="0.35">
      <c r="A710">
        <v>30</v>
      </c>
      <c r="B710" t="s">
        <v>473</v>
      </c>
      <c r="C710">
        <v>104528.79</v>
      </c>
      <c r="D710">
        <v>0</v>
      </c>
      <c r="E710">
        <v>1074883.5900000001</v>
      </c>
      <c r="F710">
        <v>1074883.5900000001</v>
      </c>
      <c r="G710" t="s">
        <v>184</v>
      </c>
    </row>
    <row r="711" spans="1:7" x14ac:dyDescent="0.35">
      <c r="A711">
        <v>35</v>
      </c>
      <c r="B711" t="s">
        <v>474</v>
      </c>
      <c r="C711">
        <v>28980210.640000001</v>
      </c>
      <c r="D711">
        <v>0</v>
      </c>
      <c r="E711">
        <v>258786865.02000001</v>
      </c>
      <c r="F711">
        <v>258786865.02000001</v>
      </c>
      <c r="G711" t="s">
        <v>184</v>
      </c>
    </row>
    <row r="712" spans="1:7" x14ac:dyDescent="0.35">
      <c r="A712">
        <v>40</v>
      </c>
      <c r="B712" t="s">
        <v>475</v>
      </c>
      <c r="C712">
        <v>21659256.350000001</v>
      </c>
      <c r="D712">
        <v>0</v>
      </c>
      <c r="E712">
        <v>189150176.21000001</v>
      </c>
      <c r="F712">
        <v>189150176.21000001</v>
      </c>
      <c r="G712" t="s">
        <v>184</v>
      </c>
    </row>
    <row r="713" spans="1:7" x14ac:dyDescent="0.35">
      <c r="A713">
        <v>50</v>
      </c>
      <c r="B713" t="s">
        <v>476</v>
      </c>
      <c r="C713">
        <v>0</v>
      </c>
      <c r="D713">
        <v>0</v>
      </c>
      <c r="E713">
        <v>0</v>
      </c>
      <c r="F713">
        <v>0</v>
      </c>
      <c r="G713" t="s">
        <v>184</v>
      </c>
    </row>
    <row r="714" spans="1:7" x14ac:dyDescent="0.35">
      <c r="A714">
        <v>60</v>
      </c>
      <c r="B714" t="s">
        <v>477</v>
      </c>
      <c r="C714">
        <v>7320954.29</v>
      </c>
      <c r="D714">
        <v>0</v>
      </c>
      <c r="E714">
        <v>69636688.810000002</v>
      </c>
      <c r="F714">
        <v>69636688.810000002</v>
      </c>
      <c r="G714" t="s">
        <v>184</v>
      </c>
    </row>
    <row r="715" spans="1:7" x14ac:dyDescent="0.35">
      <c r="A715">
        <v>70</v>
      </c>
      <c r="B715" t="s">
        <v>152</v>
      </c>
      <c r="C715">
        <v>3388970.86</v>
      </c>
      <c r="D715">
        <v>0</v>
      </c>
      <c r="E715">
        <v>31837839.789999999</v>
      </c>
      <c r="F715">
        <v>31837839.789999999</v>
      </c>
      <c r="G715" t="s">
        <v>184</v>
      </c>
    </row>
    <row r="716" spans="1:7" x14ac:dyDescent="0.35">
      <c r="A716">
        <v>80</v>
      </c>
      <c r="B716" t="s">
        <v>153</v>
      </c>
      <c r="C716">
        <v>2576498.56</v>
      </c>
      <c r="D716">
        <v>0</v>
      </c>
      <c r="E716">
        <v>24073682.370000001</v>
      </c>
      <c r="F716">
        <v>24073682.370000001</v>
      </c>
      <c r="G716" t="s">
        <v>184</v>
      </c>
    </row>
    <row r="717" spans="1:7" x14ac:dyDescent="0.35">
      <c r="A717">
        <v>90</v>
      </c>
      <c r="B717" t="s">
        <v>478</v>
      </c>
      <c r="C717">
        <v>348645.84</v>
      </c>
      <c r="D717">
        <v>0</v>
      </c>
      <c r="E717">
        <v>3017191.84</v>
      </c>
      <c r="F717">
        <v>3017191.84</v>
      </c>
      <c r="G717" t="s">
        <v>184</v>
      </c>
    </row>
    <row r="718" spans="1:7" x14ac:dyDescent="0.35">
      <c r="A718">
        <v>100</v>
      </c>
      <c r="B718" t="s">
        <v>479</v>
      </c>
      <c r="C718">
        <v>1006839.03</v>
      </c>
      <c r="D718">
        <v>0</v>
      </c>
      <c r="E718">
        <v>10707974.810000001</v>
      </c>
      <c r="F718">
        <v>10707974.810000001</v>
      </c>
      <c r="G718" t="s">
        <v>184</v>
      </c>
    </row>
    <row r="719" spans="1:7" x14ac:dyDescent="0.35">
      <c r="A719">
        <v>110</v>
      </c>
      <c r="B719" t="s">
        <v>480</v>
      </c>
      <c r="C719">
        <v>960.61</v>
      </c>
      <c r="D719">
        <v>0</v>
      </c>
      <c r="E719">
        <v>4007.82</v>
      </c>
      <c r="F719">
        <v>4007.82</v>
      </c>
      <c r="G719" t="s">
        <v>184</v>
      </c>
    </row>
    <row r="720" spans="1:7" x14ac:dyDescent="0.35">
      <c r="A720">
        <v>120</v>
      </c>
      <c r="B720" t="s">
        <v>481</v>
      </c>
      <c r="C720">
        <v>-1121049.1299999999</v>
      </c>
      <c r="D720">
        <v>0</v>
      </c>
      <c r="E720">
        <v>-4199142.25</v>
      </c>
      <c r="F720">
        <v>-4199142.25</v>
      </c>
      <c r="G720" t="s">
        <v>184</v>
      </c>
    </row>
    <row r="721" spans="1:7" x14ac:dyDescent="0.35">
      <c r="A721">
        <v>130</v>
      </c>
      <c r="B721" t="s">
        <v>482</v>
      </c>
      <c r="C721">
        <v>144883.79</v>
      </c>
      <c r="D721">
        <v>0</v>
      </c>
      <c r="E721">
        <v>872460.98</v>
      </c>
      <c r="F721">
        <v>872460.98</v>
      </c>
      <c r="G721" t="s">
        <v>184</v>
      </c>
    </row>
    <row r="722" spans="1:7" x14ac:dyDescent="0.35">
      <c r="A722">
        <v>140</v>
      </c>
      <c r="B722" t="s">
        <v>483</v>
      </c>
      <c r="C722">
        <v>0.12</v>
      </c>
      <c r="D722">
        <v>0</v>
      </c>
      <c r="E722">
        <v>1.23</v>
      </c>
      <c r="F722">
        <v>1.23</v>
      </c>
      <c r="G722" t="s">
        <v>184</v>
      </c>
    </row>
    <row r="723" spans="1:7" x14ac:dyDescent="0.35">
      <c r="A723">
        <v>145</v>
      </c>
      <c r="B723" t="s">
        <v>162</v>
      </c>
      <c r="C723">
        <v>-975204.85</v>
      </c>
      <c r="D723">
        <v>0</v>
      </c>
      <c r="E723">
        <v>-3322674.68</v>
      </c>
      <c r="F723">
        <v>-3322674.68</v>
      </c>
      <c r="G723" t="s">
        <v>184</v>
      </c>
    </row>
    <row r="724" spans="1:7" x14ac:dyDescent="0.35">
      <c r="A724">
        <v>150</v>
      </c>
      <c r="B724" t="s">
        <v>484</v>
      </c>
      <c r="C724">
        <v>1982043.88</v>
      </c>
      <c r="D724">
        <v>0</v>
      </c>
      <c r="E724">
        <v>14030649.49</v>
      </c>
      <c r="F724">
        <v>14030649.49</v>
      </c>
      <c r="G724" t="s">
        <v>184</v>
      </c>
    </row>
    <row r="725" spans="1:7" x14ac:dyDescent="0.35">
      <c r="A725">
        <v>160</v>
      </c>
      <c r="B725" t="s">
        <v>485</v>
      </c>
      <c r="C725">
        <v>459430</v>
      </c>
      <c r="D725">
        <v>0</v>
      </c>
      <c r="E725">
        <v>4483495.75</v>
      </c>
      <c r="F725">
        <v>4483495.75</v>
      </c>
      <c r="G725" t="s">
        <v>184</v>
      </c>
    </row>
    <row r="726" spans="1:7" x14ac:dyDescent="0.35">
      <c r="A726">
        <v>170</v>
      </c>
      <c r="B726" t="s">
        <v>166</v>
      </c>
      <c r="C726">
        <v>1522613.88</v>
      </c>
      <c r="D726">
        <v>0</v>
      </c>
      <c r="E726">
        <v>9547153.7400000002</v>
      </c>
      <c r="F726">
        <v>9547153.7400000002</v>
      </c>
      <c r="G726" t="s">
        <v>184</v>
      </c>
    </row>
    <row r="727" spans="1:7" x14ac:dyDescent="0.35">
      <c r="A727">
        <v>190</v>
      </c>
      <c r="B727" t="s">
        <v>486</v>
      </c>
      <c r="C727">
        <v>0</v>
      </c>
      <c r="D727">
        <v>0</v>
      </c>
      <c r="E727">
        <v>0</v>
      </c>
      <c r="F727">
        <v>0</v>
      </c>
      <c r="G727" t="s">
        <v>184</v>
      </c>
    </row>
    <row r="728" spans="1:7" x14ac:dyDescent="0.35">
      <c r="A728">
        <v>200</v>
      </c>
      <c r="B728" t="s">
        <v>166</v>
      </c>
      <c r="C728">
        <v>1522613.88</v>
      </c>
      <c r="D728">
        <v>0</v>
      </c>
      <c r="E728">
        <v>9547153.7400000002</v>
      </c>
      <c r="F728">
        <v>9547153.7400000002</v>
      </c>
      <c r="G728" t="s">
        <v>184</v>
      </c>
    </row>
    <row r="729" spans="1:7" x14ac:dyDescent="0.35">
      <c r="A729">
        <v>210</v>
      </c>
      <c r="B729" t="s">
        <v>487</v>
      </c>
      <c r="C729">
        <v>1522613.88</v>
      </c>
      <c r="D729">
        <v>0</v>
      </c>
      <c r="E729">
        <v>9547153.7400000002</v>
      </c>
      <c r="F729">
        <v>9547153.7400000002</v>
      </c>
      <c r="G729" t="s">
        <v>184</v>
      </c>
    </row>
    <row r="730" spans="1:7" x14ac:dyDescent="0.35">
      <c r="A730">
        <v>220</v>
      </c>
      <c r="B730" t="s">
        <v>488</v>
      </c>
      <c r="C730">
        <v>0</v>
      </c>
      <c r="D730">
        <v>0</v>
      </c>
      <c r="E730">
        <v>0</v>
      </c>
      <c r="F730">
        <v>0</v>
      </c>
      <c r="G730" t="s">
        <v>184</v>
      </c>
    </row>
    <row r="731" spans="1:7" x14ac:dyDescent="0.35">
      <c r="A731">
        <v>230</v>
      </c>
      <c r="B731" t="s">
        <v>341</v>
      </c>
      <c r="C731">
        <v>236955.46</v>
      </c>
      <c r="D731">
        <v>-8593468.1999999993</v>
      </c>
      <c r="E731">
        <v>-8165587.7000000002</v>
      </c>
      <c r="F731">
        <v>427880.5</v>
      </c>
      <c r="G731" t="s">
        <v>184</v>
      </c>
    </row>
    <row r="732" spans="1:7" x14ac:dyDescent="0.35">
      <c r="A732">
        <v>235</v>
      </c>
      <c r="B732" t="s">
        <v>489</v>
      </c>
      <c r="C732">
        <v>-34858</v>
      </c>
      <c r="D732">
        <v>-194965.06</v>
      </c>
      <c r="E732">
        <v>-219646.87</v>
      </c>
      <c r="F732">
        <v>-24681.81</v>
      </c>
      <c r="G732" t="s">
        <v>184</v>
      </c>
    </row>
    <row r="733" spans="1:7" x14ac:dyDescent="0.35">
      <c r="A733">
        <v>240</v>
      </c>
      <c r="B733" t="s">
        <v>342</v>
      </c>
      <c r="C733">
        <v>6007279.5300000003</v>
      </c>
      <c r="D733">
        <v>-10602677.130000001</v>
      </c>
      <c r="E733">
        <v>-26768051.5</v>
      </c>
      <c r="F733">
        <v>-16165374.369999999</v>
      </c>
      <c r="G733" t="s">
        <v>184</v>
      </c>
    </row>
    <row r="734" spans="1:7" x14ac:dyDescent="0.35">
      <c r="A734">
        <v>250</v>
      </c>
      <c r="B734" t="s">
        <v>343</v>
      </c>
      <c r="C734">
        <v>-231303.36</v>
      </c>
      <c r="D734">
        <v>-3530784.64</v>
      </c>
      <c r="E734">
        <v>-3633349.77</v>
      </c>
      <c r="F734">
        <v>-102565.13</v>
      </c>
      <c r="G734" t="s">
        <v>184</v>
      </c>
    </row>
    <row r="735" spans="1:7" x14ac:dyDescent="0.35">
      <c r="A735">
        <v>260</v>
      </c>
      <c r="B735" t="s">
        <v>490</v>
      </c>
      <c r="C735">
        <v>590571.25</v>
      </c>
      <c r="D735">
        <v>-2719232.7</v>
      </c>
      <c r="E735">
        <v>-5198846.5</v>
      </c>
      <c r="F735">
        <v>-2479613.7999999998</v>
      </c>
      <c r="G735" t="s">
        <v>184</v>
      </c>
    </row>
    <row r="736" spans="1:7" x14ac:dyDescent="0.35">
      <c r="A736">
        <v>270</v>
      </c>
      <c r="B736" t="s">
        <v>344</v>
      </c>
      <c r="C736">
        <v>240010.7</v>
      </c>
      <c r="D736">
        <v>-3230524.78</v>
      </c>
      <c r="E736">
        <v>-1453037.97</v>
      </c>
      <c r="F736">
        <v>1777486.81</v>
      </c>
      <c r="G736" t="s">
        <v>184</v>
      </c>
    </row>
    <row r="737" spans="1:7" x14ac:dyDescent="0.35">
      <c r="A737">
        <v>300</v>
      </c>
      <c r="B737" t="s">
        <v>367</v>
      </c>
      <c r="C737">
        <v>-4810668.8600000003</v>
      </c>
      <c r="D737">
        <v>9749928.1699999999</v>
      </c>
      <c r="E737">
        <v>12749907.33</v>
      </c>
      <c r="F737">
        <v>2999979.16</v>
      </c>
      <c r="G737" t="s">
        <v>184</v>
      </c>
    </row>
    <row r="738" spans="1:7" x14ac:dyDescent="0.35">
      <c r="A738">
        <v>310</v>
      </c>
      <c r="B738" t="s">
        <v>491</v>
      </c>
      <c r="C738">
        <v>0</v>
      </c>
      <c r="D738">
        <v>0</v>
      </c>
      <c r="E738">
        <v>0</v>
      </c>
      <c r="F738">
        <v>0</v>
      </c>
      <c r="G738" t="s">
        <v>184</v>
      </c>
    </row>
    <row r="739" spans="1:7" x14ac:dyDescent="0.35">
      <c r="A739">
        <v>320</v>
      </c>
      <c r="B739" t="s">
        <v>492</v>
      </c>
      <c r="C739">
        <v>-2251446.83</v>
      </c>
      <c r="D739">
        <v>14662639.109999999</v>
      </c>
      <c r="E739">
        <v>21526715.82</v>
      </c>
      <c r="F739">
        <v>6864076.71</v>
      </c>
      <c r="G739" t="s">
        <v>184</v>
      </c>
    </row>
    <row r="740" spans="1:7" x14ac:dyDescent="0.35">
      <c r="A740">
        <v>325</v>
      </c>
      <c r="B740" t="s">
        <v>493</v>
      </c>
      <c r="C740">
        <v>0</v>
      </c>
      <c r="D740">
        <v>0</v>
      </c>
      <c r="E740">
        <v>0</v>
      </c>
      <c r="F740">
        <v>0</v>
      </c>
      <c r="G740" t="s">
        <v>184</v>
      </c>
    </row>
    <row r="741" spans="1:7" x14ac:dyDescent="0.35">
      <c r="A741">
        <v>330</v>
      </c>
      <c r="B741" t="s">
        <v>494</v>
      </c>
      <c r="C741">
        <v>-453491.18</v>
      </c>
      <c r="D741">
        <v>1038682.68</v>
      </c>
      <c r="E741">
        <v>1201828.1499999999</v>
      </c>
      <c r="F741">
        <v>163145.47</v>
      </c>
      <c r="G741" t="s">
        <v>184</v>
      </c>
    </row>
    <row r="742" spans="1:7" x14ac:dyDescent="0.35">
      <c r="A742">
        <v>340</v>
      </c>
      <c r="B742" t="s">
        <v>495</v>
      </c>
      <c r="C742">
        <v>-18535.27</v>
      </c>
      <c r="D742">
        <v>4373834.76</v>
      </c>
      <c r="E742">
        <v>2992740.18</v>
      </c>
      <c r="F742">
        <v>-1381094.58</v>
      </c>
      <c r="G742" t="s">
        <v>184</v>
      </c>
    </row>
    <row r="743" spans="1:7" x14ac:dyDescent="0.35">
      <c r="A743">
        <v>380</v>
      </c>
      <c r="B743" t="s">
        <v>496</v>
      </c>
      <c r="C743">
        <v>-725486.56</v>
      </c>
      <c r="D743">
        <v>953432.21</v>
      </c>
      <c r="E743">
        <v>-6967328.8300000001</v>
      </c>
      <c r="F743">
        <v>-7920761.04</v>
      </c>
      <c r="G743" t="s">
        <v>184</v>
      </c>
    </row>
    <row r="744" spans="1:7" x14ac:dyDescent="0.35">
      <c r="A744">
        <v>390</v>
      </c>
      <c r="B744" t="s">
        <v>497</v>
      </c>
      <c r="C744">
        <v>0</v>
      </c>
      <c r="D744">
        <v>0</v>
      </c>
      <c r="E744">
        <v>0</v>
      </c>
      <c r="F744">
        <v>0</v>
      </c>
      <c r="G744" t="s">
        <v>184</v>
      </c>
    </row>
    <row r="745" spans="1:7" x14ac:dyDescent="0.35">
      <c r="A745">
        <v>400</v>
      </c>
      <c r="B745" t="s">
        <v>498</v>
      </c>
      <c r="C745">
        <v>0</v>
      </c>
      <c r="D745">
        <v>0.22</v>
      </c>
      <c r="E745">
        <v>0.22</v>
      </c>
      <c r="F745">
        <v>0</v>
      </c>
      <c r="G745" t="s">
        <v>184</v>
      </c>
    </row>
    <row r="746" spans="1:7" x14ac:dyDescent="0.35">
      <c r="A746">
        <v>405</v>
      </c>
      <c r="B746" t="s">
        <v>499</v>
      </c>
      <c r="C746">
        <v>0</v>
      </c>
      <c r="D746">
        <v>0</v>
      </c>
      <c r="E746">
        <v>0</v>
      </c>
      <c r="F746">
        <v>0</v>
      </c>
      <c r="G746" t="s">
        <v>184</v>
      </c>
    </row>
    <row r="747" spans="1:7" x14ac:dyDescent="0.35">
      <c r="A747">
        <v>410</v>
      </c>
      <c r="B747" t="s">
        <v>382</v>
      </c>
      <c r="C747">
        <v>0</v>
      </c>
      <c r="D747">
        <v>14657000</v>
      </c>
      <c r="E747">
        <v>14657000</v>
      </c>
      <c r="F747">
        <v>0</v>
      </c>
      <c r="G747" t="s">
        <v>184</v>
      </c>
    </row>
    <row r="748" spans="1:7" x14ac:dyDescent="0.35">
      <c r="A748">
        <v>420</v>
      </c>
      <c r="B748" t="s">
        <v>500</v>
      </c>
      <c r="C748">
        <v>0</v>
      </c>
      <c r="D748">
        <v>80073.06</v>
      </c>
      <c r="E748">
        <v>80073.06</v>
      </c>
      <c r="F748">
        <v>0</v>
      </c>
      <c r="G748" t="s">
        <v>184</v>
      </c>
    </row>
    <row r="749" spans="1:7" x14ac:dyDescent="0.35">
      <c r="A749">
        <v>425</v>
      </c>
      <c r="B749" t="s">
        <v>501</v>
      </c>
      <c r="C749">
        <v>0</v>
      </c>
      <c r="D749">
        <v>1016780.1</v>
      </c>
      <c r="E749">
        <v>1016780.1</v>
      </c>
      <c r="F749">
        <v>0</v>
      </c>
      <c r="G749" t="s">
        <v>184</v>
      </c>
    </row>
    <row r="750" spans="1:7" x14ac:dyDescent="0.35">
      <c r="A750">
        <v>427</v>
      </c>
      <c r="B750" t="s">
        <v>502</v>
      </c>
      <c r="C750">
        <v>0</v>
      </c>
      <c r="D750">
        <v>0</v>
      </c>
      <c r="E750">
        <v>0</v>
      </c>
      <c r="F750">
        <v>0</v>
      </c>
      <c r="G750" t="s">
        <v>184</v>
      </c>
    </row>
    <row r="751" spans="1:7" x14ac:dyDescent="0.35">
      <c r="A751">
        <v>430</v>
      </c>
      <c r="B751" t="s">
        <v>503</v>
      </c>
      <c r="C751">
        <v>0</v>
      </c>
      <c r="D751">
        <v>45167617.450000003</v>
      </c>
      <c r="E751">
        <v>46143850.859999999</v>
      </c>
      <c r="F751">
        <v>976233.41</v>
      </c>
      <c r="G751" t="s">
        <v>184</v>
      </c>
    </row>
    <row r="752" spans="1:7" x14ac:dyDescent="0.35">
      <c r="A752">
        <v>440</v>
      </c>
      <c r="B752" t="s">
        <v>504</v>
      </c>
      <c r="C752">
        <v>0</v>
      </c>
      <c r="D752">
        <v>60921470.829999998</v>
      </c>
      <c r="E752">
        <v>61897704.240000002</v>
      </c>
      <c r="F752">
        <v>976233.41</v>
      </c>
      <c r="G752" t="s">
        <v>184</v>
      </c>
    </row>
    <row r="753" spans="1:7" x14ac:dyDescent="0.35">
      <c r="A753">
        <v>450</v>
      </c>
      <c r="B753" t="s">
        <v>505</v>
      </c>
      <c r="C753">
        <v>0</v>
      </c>
      <c r="D753">
        <v>0</v>
      </c>
      <c r="E753">
        <v>0</v>
      </c>
      <c r="F753">
        <v>0</v>
      </c>
      <c r="G753" t="s">
        <v>184</v>
      </c>
    </row>
    <row r="754" spans="1:7" x14ac:dyDescent="0.35">
      <c r="A754">
        <v>455</v>
      </c>
      <c r="B754" t="s">
        <v>349</v>
      </c>
      <c r="C754">
        <v>0</v>
      </c>
      <c r="D754">
        <v>-2523693.2200000002</v>
      </c>
      <c r="E754">
        <v>-2523693.2200000002</v>
      </c>
      <c r="F754">
        <v>0</v>
      </c>
      <c r="G754" t="s">
        <v>184</v>
      </c>
    </row>
    <row r="755" spans="1:7" x14ac:dyDescent="0.35">
      <c r="A755">
        <v>456</v>
      </c>
      <c r="B755" t="s">
        <v>506</v>
      </c>
      <c r="C755">
        <v>20319.8</v>
      </c>
      <c r="D755">
        <v>20481589.59</v>
      </c>
      <c r="E755">
        <v>20515755.91</v>
      </c>
      <c r="F755">
        <v>34166.32</v>
      </c>
      <c r="G755" t="s">
        <v>184</v>
      </c>
    </row>
    <row r="756" spans="1:7" x14ac:dyDescent="0.35">
      <c r="A756">
        <v>460</v>
      </c>
      <c r="B756" t="s">
        <v>353</v>
      </c>
      <c r="C756">
        <v>-28607.58</v>
      </c>
      <c r="D756">
        <v>-24571229.120000001</v>
      </c>
      <c r="E756">
        <v>-25516028.920000002</v>
      </c>
      <c r="F756">
        <v>-944799.8</v>
      </c>
      <c r="G756" t="s">
        <v>184</v>
      </c>
    </row>
    <row r="757" spans="1:7" x14ac:dyDescent="0.35">
      <c r="A757">
        <v>470</v>
      </c>
      <c r="B757" t="s">
        <v>507</v>
      </c>
      <c r="C757">
        <v>51852.83</v>
      </c>
      <c r="D757">
        <v>7275004</v>
      </c>
      <c r="E757">
        <v>8023995.8200000003</v>
      </c>
      <c r="F757">
        <v>748991.82</v>
      </c>
      <c r="G757" t="s">
        <v>184</v>
      </c>
    </row>
    <row r="758" spans="1:7" x14ac:dyDescent="0.35">
      <c r="A758">
        <v>480</v>
      </c>
      <c r="B758" t="s">
        <v>352</v>
      </c>
      <c r="C758">
        <v>-972222.22</v>
      </c>
      <c r="D758">
        <v>-25903670.739999998</v>
      </c>
      <c r="E758">
        <v>-29112779.649999999</v>
      </c>
      <c r="F758">
        <v>-3209108.91</v>
      </c>
      <c r="G758" t="s">
        <v>184</v>
      </c>
    </row>
    <row r="759" spans="1:7" x14ac:dyDescent="0.35">
      <c r="A759">
        <v>490</v>
      </c>
      <c r="B759" t="s">
        <v>508</v>
      </c>
      <c r="C759">
        <v>261686.25</v>
      </c>
      <c r="D759">
        <v>11360656.18</v>
      </c>
      <c r="E759">
        <v>12653863.619999999</v>
      </c>
      <c r="F759">
        <v>1293207.44</v>
      </c>
      <c r="G759" t="s">
        <v>184</v>
      </c>
    </row>
    <row r="760" spans="1:7" x14ac:dyDescent="0.35">
      <c r="A760">
        <v>500</v>
      </c>
      <c r="B760" t="s">
        <v>351</v>
      </c>
      <c r="C760">
        <v>-62500</v>
      </c>
      <c r="D760">
        <v>-2596417.8199999998</v>
      </c>
      <c r="E760">
        <v>-2757103.32</v>
      </c>
      <c r="F760">
        <v>-160685.5</v>
      </c>
      <c r="G760" t="s">
        <v>184</v>
      </c>
    </row>
    <row r="761" spans="1:7" x14ac:dyDescent="0.35">
      <c r="A761">
        <v>510</v>
      </c>
      <c r="B761" t="s">
        <v>509</v>
      </c>
      <c r="C761">
        <v>8539.33</v>
      </c>
      <c r="D761">
        <v>2297145.7799999998</v>
      </c>
      <c r="E761">
        <v>2398961.81</v>
      </c>
      <c r="F761">
        <v>101816.03</v>
      </c>
      <c r="G761" t="s">
        <v>184</v>
      </c>
    </row>
    <row r="762" spans="1:7" x14ac:dyDescent="0.35">
      <c r="A762">
        <v>512</v>
      </c>
      <c r="B762" t="s">
        <v>510</v>
      </c>
      <c r="C762">
        <v>0</v>
      </c>
      <c r="D762">
        <v>-1501161.99</v>
      </c>
      <c r="E762">
        <v>-1501161.99</v>
      </c>
      <c r="F762">
        <v>0</v>
      </c>
      <c r="G762" t="s">
        <v>184</v>
      </c>
    </row>
    <row r="763" spans="1:7" x14ac:dyDescent="0.35">
      <c r="A763">
        <v>514</v>
      </c>
      <c r="B763" t="s">
        <v>511</v>
      </c>
      <c r="C763">
        <v>6247.63</v>
      </c>
      <c r="D763">
        <v>828048.79</v>
      </c>
      <c r="E763">
        <v>879126.56</v>
      </c>
      <c r="F763">
        <v>51077.77</v>
      </c>
      <c r="G763" t="s">
        <v>184</v>
      </c>
    </row>
    <row r="764" spans="1:7" x14ac:dyDescent="0.35">
      <c r="A764">
        <v>520</v>
      </c>
      <c r="B764" t="s">
        <v>512</v>
      </c>
      <c r="C764">
        <v>0</v>
      </c>
      <c r="D764">
        <v>-10980</v>
      </c>
      <c r="E764">
        <v>-10980</v>
      </c>
      <c r="F764">
        <v>0</v>
      </c>
      <c r="G764" t="s">
        <v>184</v>
      </c>
    </row>
    <row r="765" spans="1:7" x14ac:dyDescent="0.35">
      <c r="A765">
        <v>530</v>
      </c>
      <c r="B765" t="s">
        <v>513</v>
      </c>
      <c r="C765">
        <v>0</v>
      </c>
      <c r="D765">
        <v>0</v>
      </c>
      <c r="E765">
        <v>0</v>
      </c>
      <c r="F765">
        <v>0</v>
      </c>
      <c r="G765" t="s">
        <v>184</v>
      </c>
    </row>
    <row r="766" spans="1:7" x14ac:dyDescent="0.35">
      <c r="A766">
        <v>540</v>
      </c>
      <c r="B766" t="s">
        <v>514</v>
      </c>
      <c r="C766">
        <v>0</v>
      </c>
      <c r="D766">
        <v>-12093</v>
      </c>
      <c r="E766">
        <v>-12093</v>
      </c>
      <c r="F766">
        <v>0</v>
      </c>
      <c r="G766" t="s">
        <v>184</v>
      </c>
    </row>
    <row r="767" spans="1:7" x14ac:dyDescent="0.35">
      <c r="A767">
        <v>550</v>
      </c>
      <c r="B767" t="s">
        <v>515</v>
      </c>
      <c r="C767">
        <v>0</v>
      </c>
      <c r="D767">
        <v>0</v>
      </c>
      <c r="E767">
        <v>0</v>
      </c>
      <c r="F767">
        <v>0</v>
      </c>
      <c r="G767" t="s">
        <v>184</v>
      </c>
    </row>
    <row r="768" spans="1:7" x14ac:dyDescent="0.35">
      <c r="A768">
        <v>560</v>
      </c>
      <c r="B768" t="s">
        <v>516</v>
      </c>
      <c r="C768">
        <v>0</v>
      </c>
      <c r="D768">
        <v>0</v>
      </c>
      <c r="E768">
        <v>0</v>
      </c>
      <c r="F768">
        <v>0</v>
      </c>
      <c r="G768" t="s">
        <v>184</v>
      </c>
    </row>
    <row r="769" spans="1:7" x14ac:dyDescent="0.35">
      <c r="A769">
        <v>570</v>
      </c>
      <c r="B769" t="s">
        <v>517</v>
      </c>
      <c r="C769">
        <v>0</v>
      </c>
      <c r="D769">
        <v>0</v>
      </c>
      <c r="E769">
        <v>0</v>
      </c>
      <c r="F769">
        <v>0</v>
      </c>
      <c r="G769" t="s">
        <v>184</v>
      </c>
    </row>
    <row r="770" spans="1:7" x14ac:dyDescent="0.35">
      <c r="A770">
        <v>580</v>
      </c>
      <c r="B770" t="s">
        <v>518</v>
      </c>
      <c r="C770">
        <v>0</v>
      </c>
      <c r="D770">
        <v>-19200</v>
      </c>
      <c r="E770">
        <v>-19200</v>
      </c>
      <c r="F770">
        <v>0</v>
      </c>
      <c r="G770" t="s">
        <v>184</v>
      </c>
    </row>
    <row r="771" spans="1:7" x14ac:dyDescent="0.35">
      <c r="A771">
        <v>590</v>
      </c>
      <c r="B771" t="s">
        <v>519</v>
      </c>
      <c r="C771">
        <v>0</v>
      </c>
      <c r="D771">
        <v>0</v>
      </c>
      <c r="E771">
        <v>0</v>
      </c>
      <c r="F771">
        <v>0</v>
      </c>
      <c r="G771" t="s">
        <v>184</v>
      </c>
    </row>
    <row r="772" spans="1:7" x14ac:dyDescent="0.35">
      <c r="A772">
        <v>600</v>
      </c>
      <c r="B772" t="s">
        <v>520</v>
      </c>
      <c r="C772">
        <v>0</v>
      </c>
      <c r="D772">
        <v>0</v>
      </c>
      <c r="E772">
        <v>0</v>
      </c>
      <c r="F772">
        <v>0</v>
      </c>
      <c r="G772" t="s">
        <v>184</v>
      </c>
    </row>
    <row r="773" spans="1:7" x14ac:dyDescent="0.35">
      <c r="A773">
        <v>610</v>
      </c>
      <c r="B773" t="s">
        <v>521</v>
      </c>
      <c r="C773">
        <v>0</v>
      </c>
      <c r="D773">
        <v>0</v>
      </c>
      <c r="E773">
        <v>0</v>
      </c>
      <c r="F773">
        <v>0</v>
      </c>
      <c r="G773" t="s">
        <v>184</v>
      </c>
    </row>
    <row r="774" spans="1:7" x14ac:dyDescent="0.35">
      <c r="A774">
        <v>615</v>
      </c>
      <c r="B774" t="s">
        <v>550</v>
      </c>
      <c r="C774">
        <v>0</v>
      </c>
      <c r="D774">
        <v>-562359.18000000005</v>
      </c>
      <c r="E774">
        <v>-562359.18000000005</v>
      </c>
      <c r="F774">
        <v>0</v>
      </c>
      <c r="G774" t="s">
        <v>184</v>
      </c>
    </row>
    <row r="775" spans="1:7" x14ac:dyDescent="0.35">
      <c r="A775">
        <v>620</v>
      </c>
      <c r="B775" t="s">
        <v>522</v>
      </c>
      <c r="C775">
        <v>0</v>
      </c>
      <c r="D775">
        <v>0</v>
      </c>
      <c r="E775">
        <v>0</v>
      </c>
      <c r="F775">
        <v>0</v>
      </c>
      <c r="G775" t="s">
        <v>184</v>
      </c>
    </row>
    <row r="776" spans="1:7" x14ac:dyDescent="0.35">
      <c r="A776">
        <v>630</v>
      </c>
      <c r="B776" t="s">
        <v>523</v>
      </c>
      <c r="C776">
        <v>0</v>
      </c>
      <c r="D776">
        <v>-753.09</v>
      </c>
      <c r="E776">
        <v>-753.09</v>
      </c>
      <c r="F776">
        <v>0</v>
      </c>
      <c r="G776" t="s">
        <v>184</v>
      </c>
    </row>
    <row r="777" spans="1:7" x14ac:dyDescent="0.35">
      <c r="A777">
        <v>635</v>
      </c>
      <c r="B777" t="s">
        <v>551</v>
      </c>
      <c r="C777">
        <v>0</v>
      </c>
      <c r="D777">
        <v>0</v>
      </c>
      <c r="E777">
        <v>0</v>
      </c>
      <c r="F777">
        <v>0</v>
      </c>
      <c r="G777" t="s">
        <v>184</v>
      </c>
    </row>
    <row r="778" spans="1:7" x14ac:dyDescent="0.35">
      <c r="A778">
        <v>640</v>
      </c>
      <c r="B778" t="s">
        <v>524</v>
      </c>
      <c r="C778">
        <v>-714683.96</v>
      </c>
      <c r="D778">
        <v>-15459113.82</v>
      </c>
      <c r="E778">
        <v>-17544448.649999999</v>
      </c>
      <c r="F778">
        <v>-2085334.83</v>
      </c>
      <c r="G778" t="s">
        <v>184</v>
      </c>
    </row>
    <row r="779" spans="1:7" x14ac:dyDescent="0.35">
      <c r="A779">
        <v>650</v>
      </c>
      <c r="B779" t="s">
        <v>525</v>
      </c>
      <c r="C779">
        <v>82443.360000000001</v>
      </c>
      <c r="D779">
        <v>46415789.219999999</v>
      </c>
      <c r="E779">
        <v>46933080.5</v>
      </c>
      <c r="F779">
        <v>517291.28</v>
      </c>
      <c r="G779" t="s">
        <v>184</v>
      </c>
    </row>
    <row r="780" spans="1:7" x14ac:dyDescent="0.35">
      <c r="A780" t="s">
        <v>241</v>
      </c>
      <c r="B780" t="s">
        <v>172</v>
      </c>
      <c r="C780" t="s">
        <v>468</v>
      </c>
      <c r="D780" t="s">
        <v>469</v>
      </c>
      <c r="E780" t="s">
        <v>470</v>
      </c>
      <c r="F780" t="s">
        <v>471</v>
      </c>
      <c r="G780" t="s">
        <v>183</v>
      </c>
    </row>
    <row r="781" spans="1:7" x14ac:dyDescent="0.35">
      <c r="A781">
        <v>10</v>
      </c>
      <c r="B781" t="s">
        <v>472</v>
      </c>
      <c r="C781">
        <v>0</v>
      </c>
      <c r="D781">
        <v>0</v>
      </c>
      <c r="E781">
        <v>0</v>
      </c>
      <c r="F781">
        <v>0</v>
      </c>
      <c r="G781" t="s">
        <v>184</v>
      </c>
    </row>
    <row r="782" spans="1:7" x14ac:dyDescent="0.35">
      <c r="A782">
        <v>20</v>
      </c>
      <c r="B782" t="s">
        <v>147</v>
      </c>
      <c r="C782">
        <v>16756248.550000001</v>
      </c>
      <c r="D782">
        <v>0</v>
      </c>
      <c r="E782">
        <v>193990516.49000001</v>
      </c>
      <c r="F782">
        <v>193990516.49000001</v>
      </c>
      <c r="G782" t="s">
        <v>184</v>
      </c>
    </row>
    <row r="783" spans="1:7" x14ac:dyDescent="0.35">
      <c r="A783">
        <v>30</v>
      </c>
      <c r="B783" t="s">
        <v>473</v>
      </c>
      <c r="C783">
        <v>-346888.99</v>
      </c>
      <c r="D783">
        <v>0</v>
      </c>
      <c r="E783">
        <v>-3600387.34</v>
      </c>
      <c r="F783">
        <v>-3600387.34</v>
      </c>
      <c r="G783" t="s">
        <v>184</v>
      </c>
    </row>
    <row r="784" spans="1:7" x14ac:dyDescent="0.35">
      <c r="A784">
        <v>35</v>
      </c>
      <c r="B784" t="s">
        <v>474</v>
      </c>
      <c r="C784">
        <v>16409359.560000001</v>
      </c>
      <c r="D784">
        <v>0</v>
      </c>
      <c r="E784">
        <v>190390129.15000001</v>
      </c>
      <c r="F784">
        <v>190390129.15000001</v>
      </c>
      <c r="G784" t="s">
        <v>184</v>
      </c>
    </row>
    <row r="785" spans="1:7" x14ac:dyDescent="0.35">
      <c r="A785">
        <v>40</v>
      </c>
      <c r="B785" t="s">
        <v>475</v>
      </c>
      <c r="C785">
        <v>8581654.5700000003</v>
      </c>
      <c r="D785">
        <v>0</v>
      </c>
      <c r="E785">
        <v>117019918.51000001</v>
      </c>
      <c r="F785">
        <v>117019918.51000001</v>
      </c>
      <c r="G785" t="s">
        <v>184</v>
      </c>
    </row>
    <row r="786" spans="1:7" x14ac:dyDescent="0.35">
      <c r="A786">
        <v>50</v>
      </c>
      <c r="B786" t="s">
        <v>476</v>
      </c>
      <c r="C786">
        <v>0</v>
      </c>
      <c r="D786">
        <v>0</v>
      </c>
      <c r="E786">
        <v>0</v>
      </c>
      <c r="F786">
        <v>0</v>
      </c>
      <c r="G786" t="s">
        <v>184</v>
      </c>
    </row>
    <row r="787" spans="1:7" x14ac:dyDescent="0.35">
      <c r="A787">
        <v>60</v>
      </c>
      <c r="B787" t="s">
        <v>477</v>
      </c>
      <c r="C787">
        <v>7827704.9900000002</v>
      </c>
      <c r="D787">
        <v>0</v>
      </c>
      <c r="E787">
        <v>73370210.640000001</v>
      </c>
      <c r="F787">
        <v>73370210.640000001</v>
      </c>
      <c r="G787" t="s">
        <v>184</v>
      </c>
    </row>
    <row r="788" spans="1:7" x14ac:dyDescent="0.35">
      <c r="A788">
        <v>70</v>
      </c>
      <c r="B788" t="s">
        <v>152</v>
      </c>
      <c r="C788">
        <v>6538783.1200000001</v>
      </c>
      <c r="D788">
        <v>0</v>
      </c>
      <c r="E788">
        <v>83660055.709999993</v>
      </c>
      <c r="F788">
        <v>83660055.709999993</v>
      </c>
      <c r="G788" t="s">
        <v>184</v>
      </c>
    </row>
    <row r="789" spans="1:7" x14ac:dyDescent="0.35">
      <c r="A789">
        <v>80</v>
      </c>
      <c r="B789" t="s">
        <v>153</v>
      </c>
      <c r="C789">
        <v>1774821.37</v>
      </c>
      <c r="D789">
        <v>0</v>
      </c>
      <c r="E789">
        <v>15542412.199999999</v>
      </c>
      <c r="F789">
        <v>15542412.199999999</v>
      </c>
      <c r="G789" t="s">
        <v>184</v>
      </c>
    </row>
    <row r="790" spans="1:7" x14ac:dyDescent="0.35">
      <c r="A790">
        <v>90</v>
      </c>
      <c r="B790" t="s">
        <v>478</v>
      </c>
      <c r="C790">
        <v>613608.56000000006</v>
      </c>
      <c r="D790">
        <v>0</v>
      </c>
      <c r="E790">
        <v>5299571.6399999997</v>
      </c>
      <c r="F790">
        <v>5299571.6399999997</v>
      </c>
      <c r="G790" t="s">
        <v>184</v>
      </c>
    </row>
    <row r="791" spans="1:7" x14ac:dyDescent="0.35">
      <c r="A791">
        <v>100</v>
      </c>
      <c r="B791" t="s">
        <v>479</v>
      </c>
      <c r="C791">
        <v>-1099508.06</v>
      </c>
      <c r="D791">
        <v>0</v>
      </c>
      <c r="E791">
        <v>-31131828.91</v>
      </c>
      <c r="F791">
        <v>-31131828.91</v>
      </c>
      <c r="G791" t="s">
        <v>184</v>
      </c>
    </row>
    <row r="792" spans="1:7" x14ac:dyDescent="0.35">
      <c r="A792">
        <v>110</v>
      </c>
      <c r="B792" t="s">
        <v>480</v>
      </c>
      <c r="C792">
        <v>282511.5</v>
      </c>
      <c r="D792">
        <v>0</v>
      </c>
      <c r="E792">
        <v>282511.5</v>
      </c>
      <c r="F792">
        <v>282511.5</v>
      </c>
      <c r="G792" t="s">
        <v>184</v>
      </c>
    </row>
    <row r="793" spans="1:7" x14ac:dyDescent="0.35">
      <c r="A793">
        <v>120</v>
      </c>
      <c r="B793" t="s">
        <v>481</v>
      </c>
      <c r="C793">
        <v>-241542.28</v>
      </c>
      <c r="D793">
        <v>0</v>
      </c>
      <c r="E793">
        <v>-43360556.560000002</v>
      </c>
      <c r="F793">
        <v>-43360556.560000002</v>
      </c>
      <c r="G793" t="s">
        <v>184</v>
      </c>
    </row>
    <row r="794" spans="1:7" x14ac:dyDescent="0.35">
      <c r="A794">
        <v>130</v>
      </c>
      <c r="B794" t="s">
        <v>482</v>
      </c>
      <c r="C794">
        <v>21668.560000000001</v>
      </c>
      <c r="D794">
        <v>0</v>
      </c>
      <c r="E794">
        <v>1243193.0900000001</v>
      </c>
      <c r="F794">
        <v>1243193.0900000001</v>
      </c>
      <c r="G794" t="s">
        <v>184</v>
      </c>
    </row>
    <row r="795" spans="1:7" x14ac:dyDescent="0.35">
      <c r="A795">
        <v>140</v>
      </c>
      <c r="B795" t="s">
        <v>483</v>
      </c>
      <c r="C795">
        <v>7.43</v>
      </c>
      <c r="D795">
        <v>0</v>
      </c>
      <c r="E795">
        <v>296.82</v>
      </c>
      <c r="F795">
        <v>296.82</v>
      </c>
      <c r="G795" t="s">
        <v>184</v>
      </c>
    </row>
    <row r="796" spans="1:7" x14ac:dyDescent="0.35">
      <c r="A796">
        <v>145</v>
      </c>
      <c r="B796" t="s">
        <v>162</v>
      </c>
      <c r="C796">
        <v>62630.35</v>
      </c>
      <c r="D796">
        <v>0</v>
      </c>
      <c r="E796">
        <v>-41835148.789999999</v>
      </c>
      <c r="F796">
        <v>-41835148.789999999</v>
      </c>
      <c r="G796" t="s">
        <v>184</v>
      </c>
    </row>
    <row r="797" spans="1:7" x14ac:dyDescent="0.35">
      <c r="A797">
        <v>150</v>
      </c>
      <c r="B797" t="s">
        <v>484</v>
      </c>
      <c r="C797">
        <v>-1162138.4099999999</v>
      </c>
      <c r="D797">
        <v>0</v>
      </c>
      <c r="E797">
        <v>10703319.880000001</v>
      </c>
      <c r="F797">
        <v>10703319.880000001</v>
      </c>
      <c r="G797" t="s">
        <v>184</v>
      </c>
    </row>
    <row r="798" spans="1:7" x14ac:dyDescent="0.35">
      <c r="A798">
        <v>160</v>
      </c>
      <c r="B798" t="s">
        <v>485</v>
      </c>
      <c r="C798">
        <v>426821.98</v>
      </c>
      <c r="D798">
        <v>0</v>
      </c>
      <c r="E798">
        <v>5959881.9199999999</v>
      </c>
      <c r="F798">
        <v>5959881.9199999999</v>
      </c>
      <c r="G798" t="s">
        <v>184</v>
      </c>
    </row>
    <row r="799" spans="1:7" x14ac:dyDescent="0.35">
      <c r="A799">
        <v>170</v>
      </c>
      <c r="B799" t="s">
        <v>166</v>
      </c>
      <c r="C799">
        <v>-1588960.39</v>
      </c>
      <c r="D799">
        <v>0</v>
      </c>
      <c r="E799">
        <v>4743437.96</v>
      </c>
      <c r="F799">
        <v>4743437.96</v>
      </c>
      <c r="G799" t="s">
        <v>184</v>
      </c>
    </row>
    <row r="800" spans="1:7" x14ac:dyDescent="0.35">
      <c r="A800">
        <v>190</v>
      </c>
      <c r="B800" t="s">
        <v>486</v>
      </c>
      <c r="C800">
        <v>0</v>
      </c>
      <c r="D800">
        <v>0</v>
      </c>
      <c r="E800">
        <v>0</v>
      </c>
      <c r="F800">
        <v>0</v>
      </c>
      <c r="G800" t="s">
        <v>184</v>
      </c>
    </row>
    <row r="801" spans="1:7" x14ac:dyDescent="0.35">
      <c r="A801">
        <v>200</v>
      </c>
      <c r="B801" t="s">
        <v>166</v>
      </c>
      <c r="C801">
        <v>-1588960.39</v>
      </c>
      <c r="D801">
        <v>0</v>
      </c>
      <c r="E801">
        <v>4743437.96</v>
      </c>
      <c r="F801">
        <v>4743437.96</v>
      </c>
      <c r="G801" t="s">
        <v>184</v>
      </c>
    </row>
    <row r="802" spans="1:7" x14ac:dyDescent="0.35">
      <c r="A802">
        <v>210</v>
      </c>
      <c r="B802" t="s">
        <v>487</v>
      </c>
      <c r="C802">
        <v>-1588960.39</v>
      </c>
      <c r="D802">
        <v>0</v>
      </c>
      <c r="E802">
        <v>4743437.96</v>
      </c>
      <c r="F802">
        <v>4743437.96</v>
      </c>
      <c r="G802" t="s">
        <v>184</v>
      </c>
    </row>
    <row r="803" spans="1:7" x14ac:dyDescent="0.35">
      <c r="A803">
        <v>220</v>
      </c>
      <c r="B803" t="s">
        <v>488</v>
      </c>
      <c r="C803">
        <v>0</v>
      </c>
      <c r="D803">
        <v>0</v>
      </c>
      <c r="E803">
        <v>0</v>
      </c>
      <c r="F803">
        <v>0</v>
      </c>
      <c r="G803" t="s">
        <v>184</v>
      </c>
    </row>
    <row r="804" spans="1:7" x14ac:dyDescent="0.35">
      <c r="A804">
        <v>230</v>
      </c>
      <c r="B804" t="s">
        <v>341</v>
      </c>
      <c r="C804">
        <v>40306720.560000002</v>
      </c>
      <c r="D804">
        <v>-54070280.049999997</v>
      </c>
      <c r="E804">
        <v>-16733337.779999999</v>
      </c>
      <c r="F804">
        <v>37336942.270000003</v>
      </c>
      <c r="G804" t="s">
        <v>184</v>
      </c>
    </row>
    <row r="805" spans="1:7" x14ac:dyDescent="0.35">
      <c r="A805">
        <v>235</v>
      </c>
      <c r="B805" t="s">
        <v>489</v>
      </c>
      <c r="C805">
        <v>34171.51</v>
      </c>
      <c r="D805">
        <v>-607298.29</v>
      </c>
      <c r="E805">
        <v>-785116.21</v>
      </c>
      <c r="F805">
        <v>-177817.92</v>
      </c>
      <c r="G805" t="s">
        <v>184</v>
      </c>
    </row>
    <row r="806" spans="1:7" x14ac:dyDescent="0.35">
      <c r="A806">
        <v>240</v>
      </c>
      <c r="B806" t="s">
        <v>342</v>
      </c>
      <c r="C806">
        <v>-13427883.48</v>
      </c>
      <c r="D806">
        <v>-34433282.039999999</v>
      </c>
      <c r="E806">
        <v>-29835261.170000002</v>
      </c>
      <c r="F806">
        <v>4598020.87</v>
      </c>
      <c r="G806" t="s">
        <v>184</v>
      </c>
    </row>
    <row r="807" spans="1:7" x14ac:dyDescent="0.35">
      <c r="A807">
        <v>250</v>
      </c>
      <c r="B807" t="s">
        <v>343</v>
      </c>
      <c r="C807">
        <v>99537.79</v>
      </c>
      <c r="D807">
        <v>-6843398.3200000003</v>
      </c>
      <c r="E807">
        <v>-5494543.6699999999</v>
      </c>
      <c r="F807">
        <v>1348854.65</v>
      </c>
      <c r="G807" t="s">
        <v>184</v>
      </c>
    </row>
    <row r="808" spans="1:7" x14ac:dyDescent="0.35">
      <c r="A808">
        <v>260</v>
      </c>
      <c r="B808" t="s">
        <v>490</v>
      </c>
      <c r="C808">
        <v>0</v>
      </c>
      <c r="D808">
        <v>-20065.009999999998</v>
      </c>
      <c r="E808">
        <v>-20462.650000000001</v>
      </c>
      <c r="F808">
        <v>-397.64</v>
      </c>
      <c r="G808" t="s">
        <v>184</v>
      </c>
    </row>
    <row r="809" spans="1:7" x14ac:dyDescent="0.35">
      <c r="A809">
        <v>270</v>
      </c>
      <c r="B809" t="s">
        <v>344</v>
      </c>
      <c r="C809">
        <v>2574356.66</v>
      </c>
      <c r="D809">
        <v>-6850048.1799999997</v>
      </c>
      <c r="E809">
        <v>-1890724.4</v>
      </c>
      <c r="F809">
        <v>4959323.78</v>
      </c>
      <c r="G809" t="s">
        <v>184</v>
      </c>
    </row>
    <row r="810" spans="1:7" x14ac:dyDescent="0.35">
      <c r="A810">
        <v>300</v>
      </c>
      <c r="B810" t="s">
        <v>367</v>
      </c>
      <c r="C810">
        <v>-12677079.460000001</v>
      </c>
      <c r="D810">
        <v>37374242.899999999</v>
      </c>
      <c r="E810">
        <v>3398246.17</v>
      </c>
      <c r="F810">
        <v>-33975996.729999997</v>
      </c>
      <c r="G810" t="s">
        <v>184</v>
      </c>
    </row>
    <row r="811" spans="1:7" x14ac:dyDescent="0.35">
      <c r="A811">
        <v>310</v>
      </c>
      <c r="B811" t="s">
        <v>491</v>
      </c>
      <c r="C811">
        <v>0</v>
      </c>
      <c r="D811">
        <v>0</v>
      </c>
      <c r="E811">
        <v>0</v>
      </c>
      <c r="F811">
        <v>0</v>
      </c>
      <c r="G811" t="s">
        <v>184</v>
      </c>
    </row>
    <row r="812" spans="1:7" x14ac:dyDescent="0.35">
      <c r="A812">
        <v>320</v>
      </c>
      <c r="B812" t="s">
        <v>492</v>
      </c>
      <c r="C812">
        <v>-4014841.22</v>
      </c>
      <c r="D812">
        <v>14934716.85</v>
      </c>
      <c r="E812">
        <v>14159867.449999999</v>
      </c>
      <c r="F812">
        <v>-774849.4</v>
      </c>
      <c r="G812" t="s">
        <v>184</v>
      </c>
    </row>
    <row r="813" spans="1:7" x14ac:dyDescent="0.35">
      <c r="A813">
        <v>325</v>
      </c>
      <c r="B813" t="s">
        <v>493</v>
      </c>
      <c r="C813">
        <v>0</v>
      </c>
      <c r="D813">
        <v>0</v>
      </c>
      <c r="E813">
        <v>0</v>
      </c>
      <c r="F813">
        <v>0</v>
      </c>
      <c r="G813" t="s">
        <v>184</v>
      </c>
    </row>
    <row r="814" spans="1:7" x14ac:dyDescent="0.35">
      <c r="A814">
        <v>330</v>
      </c>
      <c r="B814" t="s">
        <v>494</v>
      </c>
      <c r="C814">
        <v>0</v>
      </c>
      <c r="D814">
        <v>0</v>
      </c>
      <c r="E814">
        <v>0</v>
      </c>
      <c r="F814">
        <v>0</v>
      </c>
      <c r="G814" t="s">
        <v>184</v>
      </c>
    </row>
    <row r="815" spans="1:7" x14ac:dyDescent="0.35">
      <c r="A815">
        <v>340</v>
      </c>
      <c r="B815" t="s">
        <v>495</v>
      </c>
      <c r="C815">
        <v>-6986792.9000000004</v>
      </c>
      <c r="D815">
        <v>16250115.17</v>
      </c>
      <c r="E815">
        <v>8335442.9400000004</v>
      </c>
      <c r="F815">
        <v>-7914672.2300000004</v>
      </c>
      <c r="G815" t="s">
        <v>184</v>
      </c>
    </row>
    <row r="816" spans="1:7" x14ac:dyDescent="0.35">
      <c r="A816">
        <v>380</v>
      </c>
      <c r="B816" t="s">
        <v>496</v>
      </c>
      <c r="C816">
        <v>5908189.46</v>
      </c>
      <c r="D816">
        <v>-34265296.969999999</v>
      </c>
      <c r="E816">
        <v>-28865889.32</v>
      </c>
      <c r="F816">
        <v>5399407.6500000004</v>
      </c>
      <c r="G816" t="s">
        <v>184</v>
      </c>
    </row>
    <row r="817" spans="1:7" x14ac:dyDescent="0.35">
      <c r="A817">
        <v>390</v>
      </c>
      <c r="B817" t="s">
        <v>497</v>
      </c>
      <c r="C817">
        <v>0</v>
      </c>
      <c r="D817">
        <v>0</v>
      </c>
      <c r="E817">
        <v>0</v>
      </c>
      <c r="F817">
        <v>0</v>
      </c>
      <c r="G817" t="s">
        <v>184</v>
      </c>
    </row>
    <row r="818" spans="1:7" x14ac:dyDescent="0.35">
      <c r="A818">
        <v>400</v>
      </c>
      <c r="B818" t="s">
        <v>498</v>
      </c>
      <c r="C818">
        <v>0</v>
      </c>
      <c r="D818">
        <v>0</v>
      </c>
      <c r="E818">
        <v>0</v>
      </c>
      <c r="F818">
        <v>0</v>
      </c>
      <c r="G818" t="s">
        <v>184</v>
      </c>
    </row>
    <row r="819" spans="1:7" x14ac:dyDescent="0.35">
      <c r="A819">
        <v>405</v>
      </c>
      <c r="B819" t="s">
        <v>499</v>
      </c>
      <c r="C819">
        <v>0</v>
      </c>
      <c r="D819">
        <v>736949.51</v>
      </c>
      <c r="E819">
        <v>736949.51</v>
      </c>
      <c r="F819">
        <v>0</v>
      </c>
      <c r="G819" t="s">
        <v>184</v>
      </c>
    </row>
    <row r="820" spans="1:7" x14ac:dyDescent="0.35">
      <c r="A820">
        <v>410</v>
      </c>
      <c r="B820" t="s">
        <v>382</v>
      </c>
      <c r="C820">
        <v>0</v>
      </c>
      <c r="D820">
        <v>41834615.659999996</v>
      </c>
      <c r="E820">
        <v>41834615.659999996</v>
      </c>
      <c r="F820">
        <v>0</v>
      </c>
      <c r="G820" t="s">
        <v>184</v>
      </c>
    </row>
    <row r="821" spans="1:7" x14ac:dyDescent="0.35">
      <c r="A821">
        <v>420</v>
      </c>
      <c r="B821" t="s">
        <v>500</v>
      </c>
      <c r="C821">
        <v>0</v>
      </c>
      <c r="D821">
        <v>0</v>
      </c>
      <c r="E821">
        <v>0</v>
      </c>
      <c r="F821">
        <v>0</v>
      </c>
      <c r="G821" t="s">
        <v>184</v>
      </c>
    </row>
    <row r="822" spans="1:7" x14ac:dyDescent="0.35">
      <c r="A822">
        <v>425</v>
      </c>
      <c r="B822" t="s">
        <v>501</v>
      </c>
      <c r="C822">
        <v>0</v>
      </c>
      <c r="D822">
        <v>1340871.6399999999</v>
      </c>
      <c r="E822">
        <v>1340871.6399999999</v>
      </c>
      <c r="F822">
        <v>0</v>
      </c>
      <c r="G822" t="s">
        <v>184</v>
      </c>
    </row>
    <row r="823" spans="1:7" x14ac:dyDescent="0.35">
      <c r="A823">
        <v>427</v>
      </c>
      <c r="B823" t="s">
        <v>502</v>
      </c>
      <c r="C823">
        <v>0</v>
      </c>
      <c r="D823">
        <v>0</v>
      </c>
      <c r="E823">
        <v>0</v>
      </c>
      <c r="F823">
        <v>0</v>
      </c>
      <c r="G823" t="s">
        <v>184</v>
      </c>
    </row>
    <row r="824" spans="1:7" x14ac:dyDescent="0.35">
      <c r="A824">
        <v>430</v>
      </c>
      <c r="B824" t="s">
        <v>503</v>
      </c>
      <c r="C824">
        <v>0</v>
      </c>
      <c r="D824">
        <v>44205150.039999999</v>
      </c>
      <c r="E824">
        <v>42987404.469999999</v>
      </c>
      <c r="F824">
        <v>-1217745.57</v>
      </c>
      <c r="G824" t="s">
        <v>184</v>
      </c>
    </row>
    <row r="825" spans="1:7" x14ac:dyDescent="0.35">
      <c r="A825">
        <v>440</v>
      </c>
      <c r="B825" t="s">
        <v>504</v>
      </c>
      <c r="C825">
        <v>0</v>
      </c>
      <c r="D825">
        <v>88117586.849999994</v>
      </c>
      <c r="E825">
        <v>86899841.280000001</v>
      </c>
      <c r="F825">
        <v>-1217745.57</v>
      </c>
      <c r="G825" t="s">
        <v>184</v>
      </c>
    </row>
    <row r="826" spans="1:7" x14ac:dyDescent="0.35">
      <c r="A826">
        <v>450</v>
      </c>
      <c r="B826" t="s">
        <v>505</v>
      </c>
      <c r="C826">
        <v>0</v>
      </c>
      <c r="D826">
        <v>0</v>
      </c>
      <c r="E826">
        <v>0</v>
      </c>
      <c r="F826">
        <v>0</v>
      </c>
      <c r="G826" t="s">
        <v>184</v>
      </c>
    </row>
    <row r="827" spans="1:7" x14ac:dyDescent="0.35">
      <c r="A827">
        <v>455</v>
      </c>
      <c r="B827" t="s">
        <v>349</v>
      </c>
      <c r="C827">
        <v>0</v>
      </c>
      <c r="D827">
        <v>-23351997.93</v>
      </c>
      <c r="E827">
        <v>-23351997.93</v>
      </c>
      <c r="F827">
        <v>0</v>
      </c>
      <c r="G827" t="s">
        <v>184</v>
      </c>
    </row>
    <row r="828" spans="1:7" x14ac:dyDescent="0.35">
      <c r="A828">
        <v>456</v>
      </c>
      <c r="B828" t="s">
        <v>506</v>
      </c>
      <c r="C828">
        <v>111271.13</v>
      </c>
      <c r="D828">
        <v>13603232.630000001</v>
      </c>
      <c r="E828">
        <v>12569329.07</v>
      </c>
      <c r="F828">
        <v>-1033903.56</v>
      </c>
      <c r="G828" t="s">
        <v>184</v>
      </c>
    </row>
    <row r="829" spans="1:7" x14ac:dyDescent="0.35">
      <c r="A829">
        <v>460</v>
      </c>
      <c r="B829" t="s">
        <v>353</v>
      </c>
      <c r="C829">
        <v>-22189.52</v>
      </c>
      <c r="D829">
        <v>-25286365.949999999</v>
      </c>
      <c r="E829">
        <v>-27658711.170000002</v>
      </c>
      <c r="F829">
        <v>-2372345.2200000002</v>
      </c>
      <c r="G829" t="s">
        <v>184</v>
      </c>
    </row>
    <row r="830" spans="1:7" x14ac:dyDescent="0.35">
      <c r="A830">
        <v>470</v>
      </c>
      <c r="B830" t="s">
        <v>507</v>
      </c>
      <c r="C830">
        <v>88102.19</v>
      </c>
      <c r="D830">
        <v>14582388.57</v>
      </c>
      <c r="E830">
        <v>15261154.66</v>
      </c>
      <c r="F830">
        <v>678766.09</v>
      </c>
      <c r="G830" t="s">
        <v>184</v>
      </c>
    </row>
    <row r="831" spans="1:7" x14ac:dyDescent="0.35">
      <c r="A831">
        <v>480</v>
      </c>
      <c r="B831" t="s">
        <v>352</v>
      </c>
      <c r="C831">
        <v>-3796652.07</v>
      </c>
      <c r="D831">
        <v>-55203856.689999998</v>
      </c>
      <c r="E831">
        <v>-64768246.649999999</v>
      </c>
      <c r="F831">
        <v>-9564389.9600000009</v>
      </c>
      <c r="G831" t="s">
        <v>184</v>
      </c>
    </row>
    <row r="832" spans="1:7" x14ac:dyDescent="0.35">
      <c r="A832">
        <v>490</v>
      </c>
      <c r="B832" t="s">
        <v>508</v>
      </c>
      <c r="C832">
        <v>345425.03</v>
      </c>
      <c r="D832">
        <v>33379114.5</v>
      </c>
      <c r="E832">
        <v>35289162.030000001</v>
      </c>
      <c r="F832">
        <v>1910047.53</v>
      </c>
      <c r="G832" t="s">
        <v>184</v>
      </c>
    </row>
    <row r="833" spans="1:7" x14ac:dyDescent="0.35">
      <c r="A833">
        <v>500</v>
      </c>
      <c r="B833" t="s">
        <v>351</v>
      </c>
      <c r="C833">
        <v>-17160</v>
      </c>
      <c r="D833">
        <v>-4480692.91</v>
      </c>
      <c r="E833">
        <v>-4634126.7300000004</v>
      </c>
      <c r="F833">
        <v>-153433.82</v>
      </c>
      <c r="G833" t="s">
        <v>184</v>
      </c>
    </row>
    <row r="834" spans="1:7" x14ac:dyDescent="0.35">
      <c r="A834">
        <v>510</v>
      </c>
      <c r="B834" t="s">
        <v>509</v>
      </c>
      <c r="C834">
        <v>13511.91</v>
      </c>
      <c r="D834">
        <v>3477473.55</v>
      </c>
      <c r="E834">
        <v>3607378.55</v>
      </c>
      <c r="F834">
        <v>129905</v>
      </c>
      <c r="G834" t="s">
        <v>184</v>
      </c>
    </row>
    <row r="835" spans="1:7" x14ac:dyDescent="0.35">
      <c r="A835">
        <v>512</v>
      </c>
      <c r="B835" t="s">
        <v>510</v>
      </c>
      <c r="C835">
        <v>-9340</v>
      </c>
      <c r="D835">
        <v>-2170145.91</v>
      </c>
      <c r="E835">
        <v>-2329029.77</v>
      </c>
      <c r="F835">
        <v>-158883.85999999999</v>
      </c>
      <c r="G835" t="s">
        <v>184</v>
      </c>
    </row>
    <row r="836" spans="1:7" x14ac:dyDescent="0.35">
      <c r="A836">
        <v>514</v>
      </c>
      <c r="B836" t="s">
        <v>511</v>
      </c>
      <c r="C836">
        <v>5320.61</v>
      </c>
      <c r="D836">
        <v>1769699.09</v>
      </c>
      <c r="E836">
        <v>1815006.97</v>
      </c>
      <c r="F836">
        <v>45307.88</v>
      </c>
      <c r="G836" t="s">
        <v>184</v>
      </c>
    </row>
    <row r="837" spans="1:7" x14ac:dyDescent="0.35">
      <c r="A837">
        <v>520</v>
      </c>
      <c r="B837" t="s">
        <v>512</v>
      </c>
      <c r="C837">
        <v>0</v>
      </c>
      <c r="D837">
        <v>-294794.5</v>
      </c>
      <c r="E837">
        <v>-294794.46999999997</v>
      </c>
      <c r="F837">
        <v>0.03</v>
      </c>
      <c r="G837" t="s">
        <v>184</v>
      </c>
    </row>
    <row r="838" spans="1:7" x14ac:dyDescent="0.35">
      <c r="A838">
        <v>530</v>
      </c>
      <c r="B838" t="s">
        <v>513</v>
      </c>
      <c r="C838">
        <v>0</v>
      </c>
      <c r="D838">
        <v>0</v>
      </c>
      <c r="E838">
        <v>0</v>
      </c>
      <c r="F838">
        <v>0</v>
      </c>
      <c r="G838" t="s">
        <v>184</v>
      </c>
    </row>
    <row r="839" spans="1:7" x14ac:dyDescent="0.35">
      <c r="A839">
        <v>540</v>
      </c>
      <c r="B839" t="s">
        <v>514</v>
      </c>
      <c r="C839">
        <v>0</v>
      </c>
      <c r="D839">
        <v>-254716.79999999999</v>
      </c>
      <c r="E839">
        <v>-254716.79999999999</v>
      </c>
      <c r="F839">
        <v>0</v>
      </c>
      <c r="G839" t="s">
        <v>184</v>
      </c>
    </row>
    <row r="840" spans="1:7" x14ac:dyDescent="0.35">
      <c r="A840">
        <v>550</v>
      </c>
      <c r="B840" t="s">
        <v>515</v>
      </c>
      <c r="C840">
        <v>0</v>
      </c>
      <c r="D840">
        <v>0</v>
      </c>
      <c r="E840">
        <v>0</v>
      </c>
      <c r="F840">
        <v>0</v>
      </c>
      <c r="G840" t="s">
        <v>184</v>
      </c>
    </row>
    <row r="841" spans="1:7" x14ac:dyDescent="0.35">
      <c r="A841">
        <v>560</v>
      </c>
      <c r="B841" t="s">
        <v>516</v>
      </c>
      <c r="C841">
        <v>0</v>
      </c>
      <c r="D841">
        <v>0</v>
      </c>
      <c r="E841">
        <v>0</v>
      </c>
      <c r="F841">
        <v>0</v>
      </c>
      <c r="G841" t="s">
        <v>184</v>
      </c>
    </row>
    <row r="842" spans="1:7" x14ac:dyDescent="0.35">
      <c r="A842">
        <v>570</v>
      </c>
      <c r="B842" t="s">
        <v>517</v>
      </c>
      <c r="C842">
        <v>0</v>
      </c>
      <c r="D842">
        <v>0</v>
      </c>
      <c r="E842">
        <v>0</v>
      </c>
      <c r="F842">
        <v>0</v>
      </c>
      <c r="G842" t="s">
        <v>184</v>
      </c>
    </row>
    <row r="843" spans="1:7" x14ac:dyDescent="0.35">
      <c r="A843">
        <v>580</v>
      </c>
      <c r="B843" t="s">
        <v>518</v>
      </c>
      <c r="C843">
        <v>0</v>
      </c>
      <c r="D843">
        <v>0</v>
      </c>
      <c r="E843">
        <v>0</v>
      </c>
      <c r="F843">
        <v>0</v>
      </c>
      <c r="G843" t="s">
        <v>184</v>
      </c>
    </row>
    <row r="844" spans="1:7" x14ac:dyDescent="0.35">
      <c r="A844">
        <v>590</v>
      </c>
      <c r="B844" t="s">
        <v>519</v>
      </c>
      <c r="C844">
        <v>0</v>
      </c>
      <c r="D844">
        <v>0</v>
      </c>
      <c r="E844">
        <v>0</v>
      </c>
      <c r="F844">
        <v>0</v>
      </c>
      <c r="G844" t="s">
        <v>184</v>
      </c>
    </row>
    <row r="845" spans="1:7" x14ac:dyDescent="0.35">
      <c r="A845">
        <v>600</v>
      </c>
      <c r="B845" t="s">
        <v>520</v>
      </c>
      <c r="C845">
        <v>0</v>
      </c>
      <c r="D845">
        <v>0</v>
      </c>
      <c r="E845">
        <v>0</v>
      </c>
      <c r="F845">
        <v>0</v>
      </c>
      <c r="G845" t="s">
        <v>184</v>
      </c>
    </row>
    <row r="846" spans="1:7" x14ac:dyDescent="0.35">
      <c r="A846">
        <v>610</v>
      </c>
      <c r="B846" t="s">
        <v>521</v>
      </c>
      <c r="C846">
        <v>0</v>
      </c>
      <c r="D846">
        <v>0</v>
      </c>
      <c r="E846">
        <v>0</v>
      </c>
      <c r="F846">
        <v>0</v>
      </c>
      <c r="G846" t="s">
        <v>184</v>
      </c>
    </row>
    <row r="847" spans="1:7" x14ac:dyDescent="0.35">
      <c r="A847">
        <v>615</v>
      </c>
      <c r="B847" t="s">
        <v>550</v>
      </c>
      <c r="C847">
        <v>0</v>
      </c>
      <c r="D847">
        <v>-5434458.9000000004</v>
      </c>
      <c r="E847">
        <v>-5434458.9000000004</v>
      </c>
      <c r="F847">
        <v>0</v>
      </c>
      <c r="G847" t="s">
        <v>184</v>
      </c>
    </row>
    <row r="848" spans="1:7" x14ac:dyDescent="0.35">
      <c r="A848">
        <v>620</v>
      </c>
      <c r="B848" t="s">
        <v>522</v>
      </c>
      <c r="C848">
        <v>0</v>
      </c>
      <c r="D848">
        <v>0</v>
      </c>
      <c r="E848">
        <v>0</v>
      </c>
      <c r="F848">
        <v>0</v>
      </c>
      <c r="G848" t="s">
        <v>184</v>
      </c>
    </row>
    <row r="849" spans="1:7" x14ac:dyDescent="0.35">
      <c r="A849">
        <v>630</v>
      </c>
      <c r="B849" t="s">
        <v>523</v>
      </c>
      <c r="C849">
        <v>0</v>
      </c>
      <c r="D849">
        <v>-139999</v>
      </c>
      <c r="E849">
        <v>-139999</v>
      </c>
      <c r="F849">
        <v>0</v>
      </c>
      <c r="G849" t="s">
        <v>184</v>
      </c>
    </row>
    <row r="850" spans="1:7" x14ac:dyDescent="0.35">
      <c r="A850">
        <v>635</v>
      </c>
      <c r="B850" t="s">
        <v>551</v>
      </c>
      <c r="C850">
        <v>0</v>
      </c>
      <c r="D850">
        <v>-1041385.1</v>
      </c>
      <c r="E850">
        <v>-1041385.1</v>
      </c>
      <c r="F850">
        <v>0</v>
      </c>
      <c r="G850" t="s">
        <v>184</v>
      </c>
    </row>
    <row r="851" spans="1:7" x14ac:dyDescent="0.35">
      <c r="A851">
        <v>640</v>
      </c>
      <c r="B851" t="s">
        <v>524</v>
      </c>
      <c r="C851">
        <v>-3281710.72</v>
      </c>
      <c r="D851">
        <v>-50846505.350000001</v>
      </c>
      <c r="E851">
        <v>-61365435.240000002</v>
      </c>
      <c r="F851">
        <v>-10518929.890000001</v>
      </c>
      <c r="G851" t="s">
        <v>184</v>
      </c>
    </row>
    <row r="852" spans="1:7" x14ac:dyDescent="0.35">
      <c r="A852">
        <v>650</v>
      </c>
      <c r="B852" t="s">
        <v>525</v>
      </c>
      <c r="C852">
        <v>1037518.35</v>
      </c>
      <c r="D852">
        <v>3005784.53</v>
      </c>
      <c r="E852">
        <v>1411954.68</v>
      </c>
      <c r="F852">
        <v>-1593829.85</v>
      </c>
      <c r="G852" t="s">
        <v>184</v>
      </c>
    </row>
    <row r="853" spans="1:7" x14ac:dyDescent="0.35">
      <c r="A853" t="s">
        <v>242</v>
      </c>
      <c r="B853" t="s">
        <v>172</v>
      </c>
      <c r="C853" t="s">
        <v>468</v>
      </c>
      <c r="D853" t="s">
        <v>469</v>
      </c>
      <c r="E853" t="s">
        <v>470</v>
      </c>
      <c r="F853" t="s">
        <v>471</v>
      </c>
      <c r="G853" t="s">
        <v>183</v>
      </c>
    </row>
    <row r="854" spans="1:7" x14ac:dyDescent="0.35">
      <c r="A854">
        <v>10</v>
      </c>
      <c r="B854" t="s">
        <v>472</v>
      </c>
      <c r="C854">
        <v>0</v>
      </c>
      <c r="D854">
        <v>0</v>
      </c>
      <c r="E854">
        <v>0</v>
      </c>
      <c r="F854">
        <v>0</v>
      </c>
      <c r="G854" t="s">
        <v>184</v>
      </c>
    </row>
    <row r="855" spans="1:7" x14ac:dyDescent="0.35">
      <c r="A855">
        <v>20</v>
      </c>
      <c r="B855" t="s">
        <v>147</v>
      </c>
      <c r="C855">
        <v>14728340.93</v>
      </c>
      <c r="D855">
        <v>0</v>
      </c>
      <c r="E855">
        <v>146033771.33000001</v>
      </c>
      <c r="F855">
        <v>146033771.33000001</v>
      </c>
      <c r="G855" t="s">
        <v>184</v>
      </c>
    </row>
    <row r="856" spans="1:7" x14ac:dyDescent="0.35">
      <c r="A856">
        <v>30</v>
      </c>
      <c r="B856" t="s">
        <v>473</v>
      </c>
      <c r="C856">
        <v>361711.18</v>
      </c>
      <c r="D856">
        <v>0</v>
      </c>
      <c r="E856">
        <v>3535106.31</v>
      </c>
      <c r="F856">
        <v>3535106.31</v>
      </c>
      <c r="G856" t="s">
        <v>184</v>
      </c>
    </row>
    <row r="857" spans="1:7" x14ac:dyDescent="0.35">
      <c r="A857">
        <v>35</v>
      </c>
      <c r="B857" t="s">
        <v>474</v>
      </c>
      <c r="C857">
        <v>14366629.75</v>
      </c>
      <c r="D857">
        <v>0</v>
      </c>
      <c r="E857">
        <v>142498665.02000001</v>
      </c>
      <c r="F857">
        <v>142498665.02000001</v>
      </c>
      <c r="G857" t="s">
        <v>184</v>
      </c>
    </row>
    <row r="858" spans="1:7" x14ac:dyDescent="0.35">
      <c r="A858">
        <v>40</v>
      </c>
      <c r="B858" t="s">
        <v>475</v>
      </c>
      <c r="C858">
        <v>7486709</v>
      </c>
      <c r="D858">
        <v>0</v>
      </c>
      <c r="E858">
        <v>79008553.109999999</v>
      </c>
      <c r="F858">
        <v>79008553.109999999</v>
      </c>
      <c r="G858" t="s">
        <v>184</v>
      </c>
    </row>
    <row r="859" spans="1:7" x14ac:dyDescent="0.35">
      <c r="A859">
        <v>50</v>
      </c>
      <c r="B859" t="s">
        <v>476</v>
      </c>
      <c r="C859">
        <v>0</v>
      </c>
      <c r="D859">
        <v>0</v>
      </c>
      <c r="E859">
        <v>0</v>
      </c>
      <c r="F859">
        <v>0</v>
      </c>
      <c r="G859" t="s">
        <v>184</v>
      </c>
    </row>
    <row r="860" spans="1:7" x14ac:dyDescent="0.35">
      <c r="A860">
        <v>60</v>
      </c>
      <c r="B860" t="s">
        <v>477</v>
      </c>
      <c r="C860">
        <v>6879920.75</v>
      </c>
      <c r="D860">
        <v>0</v>
      </c>
      <c r="E860">
        <v>63490111.909999996</v>
      </c>
      <c r="F860">
        <v>63490111.909999996</v>
      </c>
      <c r="G860" t="s">
        <v>184</v>
      </c>
    </row>
    <row r="861" spans="1:7" x14ac:dyDescent="0.35">
      <c r="A861">
        <v>70</v>
      </c>
      <c r="B861" t="s">
        <v>152</v>
      </c>
      <c r="C861">
        <v>3230485.19</v>
      </c>
      <c r="D861">
        <v>0</v>
      </c>
      <c r="E861">
        <v>30686503.710000001</v>
      </c>
      <c r="F861">
        <v>30686503.710000001</v>
      </c>
      <c r="G861" t="s">
        <v>184</v>
      </c>
    </row>
    <row r="862" spans="1:7" x14ac:dyDescent="0.35">
      <c r="A862">
        <v>80</v>
      </c>
      <c r="B862" t="s">
        <v>153</v>
      </c>
      <c r="C862">
        <v>1217091.57</v>
      </c>
      <c r="D862">
        <v>0</v>
      </c>
      <c r="E862">
        <v>6139364.8399999999</v>
      </c>
      <c r="F862">
        <v>6139364.8399999999</v>
      </c>
      <c r="G862" t="s">
        <v>184</v>
      </c>
    </row>
    <row r="863" spans="1:7" x14ac:dyDescent="0.35">
      <c r="A863">
        <v>90</v>
      </c>
      <c r="B863" t="s">
        <v>478</v>
      </c>
      <c r="C863">
        <v>355089</v>
      </c>
      <c r="D863">
        <v>0</v>
      </c>
      <c r="E863">
        <v>3195801</v>
      </c>
      <c r="F863">
        <v>3195801</v>
      </c>
      <c r="G863" t="s">
        <v>184</v>
      </c>
    </row>
    <row r="864" spans="1:7" x14ac:dyDescent="0.35">
      <c r="A864">
        <v>100</v>
      </c>
      <c r="B864" t="s">
        <v>479</v>
      </c>
      <c r="C864">
        <v>2077254.99</v>
      </c>
      <c r="D864">
        <v>0</v>
      </c>
      <c r="E864">
        <v>23468442.359999999</v>
      </c>
      <c r="F864">
        <v>23468442.359999999</v>
      </c>
      <c r="G864" t="s">
        <v>184</v>
      </c>
    </row>
    <row r="865" spans="1:7" x14ac:dyDescent="0.35">
      <c r="A865">
        <v>110</v>
      </c>
      <c r="B865" t="s">
        <v>480</v>
      </c>
      <c r="C865">
        <v>0</v>
      </c>
      <c r="D865">
        <v>0</v>
      </c>
      <c r="E865">
        <v>0</v>
      </c>
      <c r="F865">
        <v>0</v>
      </c>
      <c r="G865" t="s">
        <v>184</v>
      </c>
    </row>
    <row r="866" spans="1:7" x14ac:dyDescent="0.35">
      <c r="A866">
        <v>120</v>
      </c>
      <c r="B866" t="s">
        <v>481</v>
      </c>
      <c r="C866">
        <v>-36458.800000000003</v>
      </c>
      <c r="D866">
        <v>0</v>
      </c>
      <c r="E866">
        <v>-632254.66</v>
      </c>
      <c r="F866">
        <v>-632254.66</v>
      </c>
      <c r="G866" t="s">
        <v>184</v>
      </c>
    </row>
    <row r="867" spans="1:7" x14ac:dyDescent="0.35">
      <c r="A867">
        <v>130</v>
      </c>
      <c r="B867" t="s">
        <v>482</v>
      </c>
      <c r="C867">
        <v>19967.39</v>
      </c>
      <c r="D867">
        <v>0</v>
      </c>
      <c r="E867">
        <v>350230.99</v>
      </c>
      <c r="F867">
        <v>350230.99</v>
      </c>
      <c r="G867" t="s">
        <v>184</v>
      </c>
    </row>
    <row r="868" spans="1:7" x14ac:dyDescent="0.35">
      <c r="A868">
        <v>140</v>
      </c>
      <c r="B868" t="s">
        <v>483</v>
      </c>
      <c r="C868">
        <v>0</v>
      </c>
      <c r="D868">
        <v>0</v>
      </c>
      <c r="E868">
        <v>0</v>
      </c>
      <c r="F868">
        <v>0</v>
      </c>
      <c r="G868" t="s">
        <v>184</v>
      </c>
    </row>
    <row r="869" spans="1:7" x14ac:dyDescent="0.35">
      <c r="A869">
        <v>145</v>
      </c>
      <c r="B869" t="s">
        <v>162</v>
      </c>
      <c r="C869">
        <v>-16491.41</v>
      </c>
      <c r="D869">
        <v>0</v>
      </c>
      <c r="E869">
        <v>-282023.67</v>
      </c>
      <c r="F869">
        <v>-282023.67</v>
      </c>
      <c r="G869" t="s">
        <v>184</v>
      </c>
    </row>
    <row r="870" spans="1:7" x14ac:dyDescent="0.35">
      <c r="A870">
        <v>150</v>
      </c>
      <c r="B870" t="s">
        <v>484</v>
      </c>
      <c r="C870">
        <v>2093746.4</v>
      </c>
      <c r="D870">
        <v>0</v>
      </c>
      <c r="E870">
        <v>23750466.030000001</v>
      </c>
      <c r="F870">
        <v>23750466.030000001</v>
      </c>
      <c r="G870" t="s">
        <v>184</v>
      </c>
    </row>
    <row r="871" spans="1:7" x14ac:dyDescent="0.35">
      <c r="A871">
        <v>160</v>
      </c>
      <c r="B871" t="s">
        <v>485</v>
      </c>
      <c r="C871">
        <v>268526</v>
      </c>
      <c r="D871">
        <v>0</v>
      </c>
      <c r="E871">
        <v>2890835</v>
      </c>
      <c r="F871">
        <v>2890835</v>
      </c>
      <c r="G871" t="s">
        <v>184</v>
      </c>
    </row>
    <row r="872" spans="1:7" x14ac:dyDescent="0.35">
      <c r="A872">
        <v>170</v>
      </c>
      <c r="B872" t="s">
        <v>166</v>
      </c>
      <c r="C872">
        <v>1825220.4</v>
      </c>
      <c r="D872">
        <v>0</v>
      </c>
      <c r="E872">
        <v>20859631.030000001</v>
      </c>
      <c r="F872">
        <v>20859631.030000001</v>
      </c>
      <c r="G872" t="s">
        <v>184</v>
      </c>
    </row>
    <row r="873" spans="1:7" x14ac:dyDescent="0.35">
      <c r="A873">
        <v>190</v>
      </c>
      <c r="B873" t="s">
        <v>486</v>
      </c>
      <c r="C873">
        <v>0</v>
      </c>
      <c r="D873">
        <v>0</v>
      </c>
      <c r="E873">
        <v>0</v>
      </c>
      <c r="F873">
        <v>0</v>
      </c>
      <c r="G873" t="s">
        <v>184</v>
      </c>
    </row>
    <row r="874" spans="1:7" x14ac:dyDescent="0.35">
      <c r="A874">
        <v>200</v>
      </c>
      <c r="B874" t="s">
        <v>166</v>
      </c>
      <c r="C874">
        <v>1825220.4</v>
      </c>
      <c r="D874">
        <v>0</v>
      </c>
      <c r="E874">
        <v>20859631.030000001</v>
      </c>
      <c r="F874">
        <v>20859631.030000001</v>
      </c>
      <c r="G874" t="s">
        <v>184</v>
      </c>
    </row>
    <row r="875" spans="1:7" x14ac:dyDescent="0.35">
      <c r="A875">
        <v>210</v>
      </c>
      <c r="B875" t="s">
        <v>487</v>
      </c>
      <c r="C875">
        <v>1825220.4</v>
      </c>
      <c r="D875">
        <v>0</v>
      </c>
      <c r="E875">
        <v>20859631.030000001</v>
      </c>
      <c r="F875">
        <v>20859631.030000001</v>
      </c>
      <c r="G875" t="s">
        <v>184</v>
      </c>
    </row>
    <row r="876" spans="1:7" x14ac:dyDescent="0.35">
      <c r="A876">
        <v>220</v>
      </c>
      <c r="B876" t="s">
        <v>488</v>
      </c>
      <c r="C876">
        <v>0</v>
      </c>
      <c r="D876">
        <v>0</v>
      </c>
      <c r="E876">
        <v>0</v>
      </c>
      <c r="F876">
        <v>0</v>
      </c>
      <c r="G876" t="s">
        <v>184</v>
      </c>
    </row>
    <row r="877" spans="1:7" x14ac:dyDescent="0.35">
      <c r="A877">
        <v>230</v>
      </c>
      <c r="B877" t="s">
        <v>341</v>
      </c>
      <c r="C877">
        <v>645072.18999999994</v>
      </c>
      <c r="D877">
        <v>-15296458.41</v>
      </c>
      <c r="E877">
        <v>-10744727.08</v>
      </c>
      <c r="F877">
        <v>4551731.33</v>
      </c>
      <c r="G877" t="s">
        <v>184</v>
      </c>
    </row>
    <row r="878" spans="1:7" x14ac:dyDescent="0.35">
      <c r="A878">
        <v>235</v>
      </c>
      <c r="B878" t="s">
        <v>489</v>
      </c>
      <c r="C878">
        <v>14000</v>
      </c>
      <c r="D878">
        <v>-50000</v>
      </c>
      <c r="E878">
        <v>-30000</v>
      </c>
      <c r="F878">
        <v>20000</v>
      </c>
      <c r="G878" t="s">
        <v>184</v>
      </c>
    </row>
    <row r="879" spans="1:7" x14ac:dyDescent="0.35">
      <c r="A879">
        <v>240</v>
      </c>
      <c r="B879" t="s">
        <v>342</v>
      </c>
      <c r="C879">
        <v>-18475.77</v>
      </c>
      <c r="D879">
        <v>-220428.37</v>
      </c>
      <c r="E879">
        <v>-89149.4</v>
      </c>
      <c r="F879">
        <v>131278.97</v>
      </c>
      <c r="G879" t="s">
        <v>184</v>
      </c>
    </row>
    <row r="880" spans="1:7" x14ac:dyDescent="0.35">
      <c r="A880">
        <v>250</v>
      </c>
      <c r="B880" t="s">
        <v>343</v>
      </c>
      <c r="C880">
        <v>-257503.74</v>
      </c>
      <c r="D880">
        <v>-1669972.48</v>
      </c>
      <c r="E880">
        <v>-2334958.37</v>
      </c>
      <c r="F880">
        <v>-664985.89</v>
      </c>
      <c r="G880" t="s">
        <v>184</v>
      </c>
    </row>
    <row r="881" spans="1:7" x14ac:dyDescent="0.35">
      <c r="A881">
        <v>260</v>
      </c>
      <c r="B881" t="s">
        <v>490</v>
      </c>
      <c r="C881">
        <v>0</v>
      </c>
      <c r="D881">
        <v>-192805.16</v>
      </c>
      <c r="E881">
        <v>-1351368</v>
      </c>
      <c r="F881">
        <v>-1158562.8400000001</v>
      </c>
      <c r="G881" t="s">
        <v>184</v>
      </c>
    </row>
    <row r="882" spans="1:7" x14ac:dyDescent="0.35">
      <c r="A882">
        <v>270</v>
      </c>
      <c r="B882" t="s">
        <v>344</v>
      </c>
      <c r="C882">
        <v>57123</v>
      </c>
      <c r="D882">
        <v>-6054391.1299999999</v>
      </c>
      <c r="E882">
        <v>-3918096.93</v>
      </c>
      <c r="F882">
        <v>2136294.2000000002</v>
      </c>
      <c r="G882" t="s">
        <v>184</v>
      </c>
    </row>
    <row r="883" spans="1:7" x14ac:dyDescent="0.35">
      <c r="A883">
        <v>300</v>
      </c>
      <c r="B883" t="s">
        <v>367</v>
      </c>
      <c r="C883">
        <v>-628050.5</v>
      </c>
      <c r="D883">
        <v>7842849.2699999996</v>
      </c>
      <c r="E883">
        <v>143633.65</v>
      </c>
      <c r="F883">
        <v>-7699215.6200000001</v>
      </c>
      <c r="G883" t="s">
        <v>184</v>
      </c>
    </row>
    <row r="884" spans="1:7" x14ac:dyDescent="0.35">
      <c r="A884">
        <v>310</v>
      </c>
      <c r="B884" t="s">
        <v>491</v>
      </c>
      <c r="C884">
        <v>0</v>
      </c>
      <c r="D884">
        <v>402109.15</v>
      </c>
      <c r="E884">
        <v>211309.99</v>
      </c>
      <c r="F884">
        <v>-190799.16</v>
      </c>
      <c r="G884" t="s">
        <v>184</v>
      </c>
    </row>
    <row r="885" spans="1:7" x14ac:dyDescent="0.35">
      <c r="A885">
        <v>320</v>
      </c>
      <c r="B885" t="s">
        <v>492</v>
      </c>
      <c r="C885">
        <v>8100</v>
      </c>
      <c r="D885">
        <v>208941.55</v>
      </c>
      <c r="E885">
        <v>91071.95</v>
      </c>
      <c r="F885">
        <v>-117869.6</v>
      </c>
      <c r="G885" t="s">
        <v>184</v>
      </c>
    </row>
    <row r="886" spans="1:7" x14ac:dyDescent="0.35">
      <c r="A886">
        <v>325</v>
      </c>
      <c r="B886" t="s">
        <v>493</v>
      </c>
      <c r="C886">
        <v>0</v>
      </c>
      <c r="D886">
        <v>2148527</v>
      </c>
      <c r="E886">
        <v>1908722.94</v>
      </c>
      <c r="F886">
        <v>-239804.06</v>
      </c>
      <c r="G886" t="s">
        <v>184</v>
      </c>
    </row>
    <row r="887" spans="1:7" x14ac:dyDescent="0.35">
      <c r="A887">
        <v>330</v>
      </c>
      <c r="B887" t="s">
        <v>494</v>
      </c>
      <c r="C887">
        <v>0</v>
      </c>
      <c r="D887">
        <v>0</v>
      </c>
      <c r="E887">
        <v>0</v>
      </c>
      <c r="F887">
        <v>0</v>
      </c>
      <c r="G887" t="s">
        <v>184</v>
      </c>
    </row>
    <row r="888" spans="1:7" x14ac:dyDescent="0.35">
      <c r="A888">
        <v>340</v>
      </c>
      <c r="B888" t="s">
        <v>495</v>
      </c>
      <c r="C888">
        <v>-234672.72</v>
      </c>
      <c r="D888">
        <v>3257823.28</v>
      </c>
      <c r="E888">
        <v>1218631.3899999999</v>
      </c>
      <c r="F888">
        <v>-2039191.89</v>
      </c>
      <c r="G888" t="s">
        <v>184</v>
      </c>
    </row>
    <row r="889" spans="1:7" x14ac:dyDescent="0.35">
      <c r="A889">
        <v>380</v>
      </c>
      <c r="B889" t="s">
        <v>496</v>
      </c>
      <c r="C889">
        <v>-414407.54</v>
      </c>
      <c r="D889">
        <v>-9623805.3000000007</v>
      </c>
      <c r="E889">
        <v>-14894929.859999999</v>
      </c>
      <c r="F889">
        <v>-5271124.5599999996</v>
      </c>
      <c r="G889" t="s">
        <v>184</v>
      </c>
    </row>
    <row r="890" spans="1:7" x14ac:dyDescent="0.35">
      <c r="A890">
        <v>390</v>
      </c>
      <c r="B890" t="s">
        <v>497</v>
      </c>
      <c r="C890">
        <v>0</v>
      </c>
      <c r="D890">
        <v>0</v>
      </c>
      <c r="E890">
        <v>0</v>
      </c>
      <c r="F890">
        <v>0</v>
      </c>
      <c r="G890" t="s">
        <v>184</v>
      </c>
    </row>
    <row r="891" spans="1:7" x14ac:dyDescent="0.35">
      <c r="A891">
        <v>400</v>
      </c>
      <c r="B891" t="s">
        <v>498</v>
      </c>
      <c r="C891">
        <v>0</v>
      </c>
      <c r="D891">
        <v>0</v>
      </c>
      <c r="E891">
        <v>0</v>
      </c>
      <c r="F891">
        <v>0</v>
      </c>
      <c r="G891" t="s">
        <v>184</v>
      </c>
    </row>
    <row r="892" spans="1:7" x14ac:dyDescent="0.35">
      <c r="A892">
        <v>405</v>
      </c>
      <c r="B892" t="s">
        <v>499</v>
      </c>
      <c r="C892">
        <v>28424.23</v>
      </c>
      <c r="D892">
        <v>0</v>
      </c>
      <c r="E892">
        <v>312178.27</v>
      </c>
      <c r="F892">
        <v>312178.27</v>
      </c>
      <c r="G892" t="s">
        <v>184</v>
      </c>
    </row>
    <row r="893" spans="1:7" x14ac:dyDescent="0.35">
      <c r="A893">
        <v>410</v>
      </c>
      <c r="B893" t="s">
        <v>382</v>
      </c>
      <c r="C893">
        <v>0</v>
      </c>
      <c r="D893">
        <v>23634000</v>
      </c>
      <c r="E893">
        <v>23634000</v>
      </c>
      <c r="F893">
        <v>0</v>
      </c>
      <c r="G893" t="s">
        <v>184</v>
      </c>
    </row>
    <row r="894" spans="1:7" x14ac:dyDescent="0.35">
      <c r="A894">
        <v>420</v>
      </c>
      <c r="B894" t="s">
        <v>500</v>
      </c>
      <c r="C894">
        <v>0</v>
      </c>
      <c r="D894">
        <v>14722083.75</v>
      </c>
      <c r="E894">
        <v>14722083.75</v>
      </c>
      <c r="F894">
        <v>0</v>
      </c>
      <c r="G894" t="s">
        <v>184</v>
      </c>
    </row>
    <row r="895" spans="1:7" x14ac:dyDescent="0.35">
      <c r="A895">
        <v>425</v>
      </c>
      <c r="B895" t="s">
        <v>501</v>
      </c>
      <c r="C895">
        <v>0</v>
      </c>
      <c r="D895">
        <v>48539.12</v>
      </c>
      <c r="E895">
        <v>48539.12</v>
      </c>
      <c r="F895">
        <v>0</v>
      </c>
      <c r="G895" t="s">
        <v>184</v>
      </c>
    </row>
    <row r="896" spans="1:7" x14ac:dyDescent="0.35">
      <c r="A896">
        <v>427</v>
      </c>
      <c r="B896" t="s">
        <v>502</v>
      </c>
      <c r="C896">
        <v>0</v>
      </c>
      <c r="D896">
        <v>0</v>
      </c>
      <c r="E896">
        <v>0</v>
      </c>
      <c r="F896">
        <v>0</v>
      </c>
      <c r="G896" t="s">
        <v>184</v>
      </c>
    </row>
    <row r="897" spans="1:7" x14ac:dyDescent="0.35">
      <c r="A897">
        <v>430</v>
      </c>
      <c r="B897" t="s">
        <v>503</v>
      </c>
      <c r="C897">
        <v>0</v>
      </c>
      <c r="D897">
        <v>-11397825.49</v>
      </c>
      <c r="E897">
        <v>-11811613.689999999</v>
      </c>
      <c r="F897">
        <v>-413788.2</v>
      </c>
      <c r="G897" t="s">
        <v>184</v>
      </c>
    </row>
    <row r="898" spans="1:7" x14ac:dyDescent="0.35">
      <c r="A898">
        <v>440</v>
      </c>
      <c r="B898" t="s">
        <v>504</v>
      </c>
      <c r="C898">
        <v>28424.23</v>
      </c>
      <c r="D898">
        <v>27006797.379999999</v>
      </c>
      <c r="E898">
        <v>26905187.449999999</v>
      </c>
      <c r="F898">
        <v>-101609.93</v>
      </c>
      <c r="G898" t="s">
        <v>184</v>
      </c>
    </row>
    <row r="899" spans="1:7" x14ac:dyDescent="0.35">
      <c r="A899">
        <v>450</v>
      </c>
      <c r="B899" t="s">
        <v>505</v>
      </c>
      <c r="C899">
        <v>0</v>
      </c>
      <c r="D899">
        <v>0</v>
      </c>
      <c r="E899">
        <v>0</v>
      </c>
      <c r="F899">
        <v>0</v>
      </c>
      <c r="G899" t="s">
        <v>184</v>
      </c>
    </row>
    <row r="900" spans="1:7" x14ac:dyDescent="0.35">
      <c r="A900">
        <v>455</v>
      </c>
      <c r="B900" t="s">
        <v>349</v>
      </c>
      <c r="C900">
        <v>0</v>
      </c>
      <c r="D900">
        <v>-5127718.46</v>
      </c>
      <c r="E900">
        <v>-9041272.4900000002</v>
      </c>
      <c r="F900">
        <v>-3913554.03</v>
      </c>
      <c r="G900" t="s">
        <v>184</v>
      </c>
    </row>
    <row r="901" spans="1:7" x14ac:dyDescent="0.35">
      <c r="A901">
        <v>456</v>
      </c>
      <c r="B901" t="s">
        <v>506</v>
      </c>
      <c r="C901">
        <v>1721</v>
      </c>
      <c r="D901">
        <v>784020.34</v>
      </c>
      <c r="E901">
        <v>799509.34</v>
      </c>
      <c r="F901">
        <v>15489</v>
      </c>
      <c r="G901" t="s">
        <v>184</v>
      </c>
    </row>
    <row r="902" spans="1:7" x14ac:dyDescent="0.35">
      <c r="A902">
        <v>460</v>
      </c>
      <c r="B902" t="s">
        <v>353</v>
      </c>
      <c r="C902">
        <v>-18608</v>
      </c>
      <c r="D902">
        <v>-27713914.75</v>
      </c>
      <c r="E902">
        <v>-29014166.489999998</v>
      </c>
      <c r="F902">
        <v>-1300251.74</v>
      </c>
      <c r="G902" t="s">
        <v>184</v>
      </c>
    </row>
    <row r="903" spans="1:7" x14ac:dyDescent="0.35">
      <c r="A903">
        <v>470</v>
      </c>
      <c r="B903" t="s">
        <v>507</v>
      </c>
      <c r="C903">
        <v>121568</v>
      </c>
      <c r="D903">
        <v>22472232.84</v>
      </c>
      <c r="E903">
        <v>23566344.84</v>
      </c>
      <c r="F903">
        <v>1094112</v>
      </c>
      <c r="G903" t="s">
        <v>184</v>
      </c>
    </row>
    <row r="904" spans="1:7" x14ac:dyDescent="0.35">
      <c r="A904">
        <v>480</v>
      </c>
      <c r="B904" t="s">
        <v>352</v>
      </c>
      <c r="C904">
        <v>-959672.41</v>
      </c>
      <c r="D904">
        <v>-31884619.75</v>
      </c>
      <c r="E904">
        <v>-36003610.229999997</v>
      </c>
      <c r="F904">
        <v>-4118990.48</v>
      </c>
      <c r="G904" t="s">
        <v>184</v>
      </c>
    </row>
    <row r="905" spans="1:7" x14ac:dyDescent="0.35">
      <c r="A905">
        <v>490</v>
      </c>
      <c r="B905" t="s">
        <v>508</v>
      </c>
      <c r="C905">
        <v>222643</v>
      </c>
      <c r="D905">
        <v>26222800.370000001</v>
      </c>
      <c r="E905">
        <v>27624704.559999999</v>
      </c>
      <c r="F905">
        <v>1401904.19</v>
      </c>
      <c r="G905" t="s">
        <v>184</v>
      </c>
    </row>
    <row r="906" spans="1:7" x14ac:dyDescent="0.35">
      <c r="A906">
        <v>500</v>
      </c>
      <c r="B906" t="s">
        <v>351</v>
      </c>
      <c r="C906">
        <v>0</v>
      </c>
      <c r="D906">
        <v>-965415.69</v>
      </c>
      <c r="E906">
        <v>-965415.69</v>
      </c>
      <c r="F906">
        <v>0</v>
      </c>
      <c r="G906" t="s">
        <v>184</v>
      </c>
    </row>
    <row r="907" spans="1:7" x14ac:dyDescent="0.35">
      <c r="A907">
        <v>510</v>
      </c>
      <c r="B907" t="s">
        <v>509</v>
      </c>
      <c r="C907">
        <v>6722</v>
      </c>
      <c r="D907">
        <v>915221.42</v>
      </c>
      <c r="E907">
        <v>975719.42</v>
      </c>
      <c r="F907">
        <v>60498</v>
      </c>
      <c r="G907" t="s">
        <v>184</v>
      </c>
    </row>
    <row r="908" spans="1:7" x14ac:dyDescent="0.35">
      <c r="A908">
        <v>512</v>
      </c>
      <c r="B908" t="s">
        <v>510</v>
      </c>
      <c r="C908">
        <v>0</v>
      </c>
      <c r="D908">
        <v>-1334209.77</v>
      </c>
      <c r="E908">
        <v>-1350580.46</v>
      </c>
      <c r="F908">
        <v>-16370.69</v>
      </c>
      <c r="G908" t="s">
        <v>184</v>
      </c>
    </row>
    <row r="909" spans="1:7" x14ac:dyDescent="0.35">
      <c r="A909">
        <v>514</v>
      </c>
      <c r="B909" t="s">
        <v>511</v>
      </c>
      <c r="C909">
        <v>2435</v>
      </c>
      <c r="D909">
        <v>1076869.96</v>
      </c>
      <c r="E909">
        <v>1098784.96</v>
      </c>
      <c r="F909">
        <v>21915</v>
      </c>
      <c r="G909" t="s">
        <v>184</v>
      </c>
    </row>
    <row r="910" spans="1:7" x14ac:dyDescent="0.35">
      <c r="A910">
        <v>520</v>
      </c>
      <c r="B910" t="s">
        <v>512</v>
      </c>
      <c r="C910">
        <v>0</v>
      </c>
      <c r="D910">
        <v>-163750.17000000001</v>
      </c>
      <c r="E910">
        <v>-163750.17000000001</v>
      </c>
      <c r="F910">
        <v>0</v>
      </c>
      <c r="G910" t="s">
        <v>184</v>
      </c>
    </row>
    <row r="911" spans="1:7" x14ac:dyDescent="0.35">
      <c r="A911">
        <v>530</v>
      </c>
      <c r="B911" t="s">
        <v>513</v>
      </c>
      <c r="C911">
        <v>0</v>
      </c>
      <c r="D911">
        <v>0</v>
      </c>
      <c r="E911">
        <v>0</v>
      </c>
      <c r="F911">
        <v>0</v>
      </c>
      <c r="G911" t="s">
        <v>184</v>
      </c>
    </row>
    <row r="912" spans="1:7" x14ac:dyDescent="0.35">
      <c r="A912">
        <v>540</v>
      </c>
      <c r="B912" t="s">
        <v>514</v>
      </c>
      <c r="C912">
        <v>0</v>
      </c>
      <c r="D912">
        <v>0</v>
      </c>
      <c r="E912">
        <v>0</v>
      </c>
      <c r="F912">
        <v>0</v>
      </c>
      <c r="G912" t="s">
        <v>184</v>
      </c>
    </row>
    <row r="913" spans="1:7" x14ac:dyDescent="0.35">
      <c r="A913">
        <v>550</v>
      </c>
      <c r="B913" t="s">
        <v>515</v>
      </c>
      <c r="C913">
        <v>0</v>
      </c>
      <c r="D913">
        <v>0</v>
      </c>
      <c r="E913">
        <v>0</v>
      </c>
      <c r="F913">
        <v>0</v>
      </c>
      <c r="G913" t="s">
        <v>184</v>
      </c>
    </row>
    <row r="914" spans="1:7" x14ac:dyDescent="0.35">
      <c r="A914">
        <v>560</v>
      </c>
      <c r="B914" t="s">
        <v>516</v>
      </c>
      <c r="C914">
        <v>0</v>
      </c>
      <c r="D914">
        <v>0</v>
      </c>
      <c r="E914">
        <v>0</v>
      </c>
      <c r="F914">
        <v>0</v>
      </c>
      <c r="G914" t="s">
        <v>184</v>
      </c>
    </row>
    <row r="915" spans="1:7" x14ac:dyDescent="0.35">
      <c r="A915">
        <v>570</v>
      </c>
      <c r="B915" t="s">
        <v>517</v>
      </c>
      <c r="C915">
        <v>0</v>
      </c>
      <c r="D915">
        <v>0</v>
      </c>
      <c r="E915">
        <v>0</v>
      </c>
      <c r="F915">
        <v>0</v>
      </c>
      <c r="G915" t="s">
        <v>184</v>
      </c>
    </row>
    <row r="916" spans="1:7" x14ac:dyDescent="0.35">
      <c r="A916">
        <v>580</v>
      </c>
      <c r="B916" t="s">
        <v>518</v>
      </c>
      <c r="C916">
        <v>0</v>
      </c>
      <c r="D916">
        <v>0</v>
      </c>
      <c r="E916">
        <v>0</v>
      </c>
      <c r="F916">
        <v>0</v>
      </c>
      <c r="G916" t="s">
        <v>184</v>
      </c>
    </row>
    <row r="917" spans="1:7" x14ac:dyDescent="0.35">
      <c r="A917">
        <v>590</v>
      </c>
      <c r="B917" t="s">
        <v>519</v>
      </c>
      <c r="C917">
        <v>0</v>
      </c>
      <c r="D917">
        <v>0</v>
      </c>
      <c r="E917">
        <v>0</v>
      </c>
      <c r="F917">
        <v>0</v>
      </c>
      <c r="G917" t="s">
        <v>184</v>
      </c>
    </row>
    <row r="918" spans="1:7" x14ac:dyDescent="0.35">
      <c r="A918">
        <v>600</v>
      </c>
      <c r="B918" t="s">
        <v>520</v>
      </c>
      <c r="C918">
        <v>0</v>
      </c>
      <c r="D918">
        <v>0</v>
      </c>
      <c r="E918">
        <v>0</v>
      </c>
      <c r="F918">
        <v>0</v>
      </c>
      <c r="G918" t="s">
        <v>184</v>
      </c>
    </row>
    <row r="919" spans="1:7" x14ac:dyDescent="0.35">
      <c r="A919">
        <v>610</v>
      </c>
      <c r="B919" t="s">
        <v>521</v>
      </c>
      <c r="C919">
        <v>0</v>
      </c>
      <c r="D919">
        <v>0</v>
      </c>
      <c r="E919">
        <v>0</v>
      </c>
      <c r="F919">
        <v>0</v>
      </c>
      <c r="G919" t="s">
        <v>184</v>
      </c>
    </row>
    <row r="920" spans="1:7" x14ac:dyDescent="0.35">
      <c r="A920">
        <v>615</v>
      </c>
      <c r="B920" t="s">
        <v>550</v>
      </c>
      <c r="C920">
        <v>0</v>
      </c>
      <c r="D920">
        <v>-6052608.2000000002</v>
      </c>
      <c r="E920">
        <v>-1241498.1100000001</v>
      </c>
      <c r="F920">
        <v>4811110.09</v>
      </c>
      <c r="G920" t="s">
        <v>184</v>
      </c>
    </row>
    <row r="921" spans="1:7" x14ac:dyDescent="0.35">
      <c r="A921">
        <v>620</v>
      </c>
      <c r="B921" t="s">
        <v>522</v>
      </c>
      <c r="C921">
        <v>0</v>
      </c>
      <c r="D921">
        <v>0</v>
      </c>
      <c r="E921">
        <v>0</v>
      </c>
      <c r="F921">
        <v>0</v>
      </c>
      <c r="G921" t="s">
        <v>184</v>
      </c>
    </row>
    <row r="922" spans="1:7" x14ac:dyDescent="0.35">
      <c r="A922">
        <v>630</v>
      </c>
      <c r="B922" t="s">
        <v>523</v>
      </c>
      <c r="C922">
        <v>0</v>
      </c>
      <c r="D922">
        <v>0</v>
      </c>
      <c r="E922">
        <v>0</v>
      </c>
      <c r="F922">
        <v>0</v>
      </c>
      <c r="G922" t="s">
        <v>184</v>
      </c>
    </row>
    <row r="923" spans="1:7" x14ac:dyDescent="0.35">
      <c r="A923">
        <v>635</v>
      </c>
      <c r="B923" t="s">
        <v>551</v>
      </c>
      <c r="C923">
        <v>0</v>
      </c>
      <c r="D923">
        <v>0</v>
      </c>
      <c r="E923">
        <v>0</v>
      </c>
      <c r="F923">
        <v>0</v>
      </c>
      <c r="G923" t="s">
        <v>184</v>
      </c>
    </row>
    <row r="924" spans="1:7" x14ac:dyDescent="0.35">
      <c r="A924">
        <v>640</v>
      </c>
      <c r="B924" t="s">
        <v>524</v>
      </c>
      <c r="C924">
        <v>-623191.41</v>
      </c>
      <c r="D924">
        <v>-21771091.859999999</v>
      </c>
      <c r="E924">
        <v>-23715230.52</v>
      </c>
      <c r="F924">
        <v>-1944138.66</v>
      </c>
      <c r="G924" t="s">
        <v>184</v>
      </c>
    </row>
    <row r="925" spans="1:7" x14ac:dyDescent="0.35">
      <c r="A925">
        <v>650</v>
      </c>
      <c r="B925" t="s">
        <v>525</v>
      </c>
      <c r="C925">
        <v>816045.68</v>
      </c>
      <c r="D925">
        <v>-4388099.78</v>
      </c>
      <c r="E925">
        <v>9154658.0999999996</v>
      </c>
      <c r="F925">
        <v>13542757.880000001</v>
      </c>
      <c r="G925" t="s">
        <v>184</v>
      </c>
    </row>
    <row r="926" spans="1:7" x14ac:dyDescent="0.35">
      <c r="A926" t="s">
        <v>246</v>
      </c>
      <c r="B926" t="s">
        <v>172</v>
      </c>
      <c r="C926" t="s">
        <v>468</v>
      </c>
      <c r="D926" t="s">
        <v>469</v>
      </c>
      <c r="E926" t="s">
        <v>470</v>
      </c>
      <c r="F926" t="s">
        <v>471</v>
      </c>
      <c r="G926" t="s">
        <v>183</v>
      </c>
    </row>
    <row r="927" spans="1:7" x14ac:dyDescent="0.35">
      <c r="A927">
        <v>10</v>
      </c>
      <c r="B927" t="s">
        <v>472</v>
      </c>
      <c r="C927">
        <v>0</v>
      </c>
      <c r="D927">
        <v>0</v>
      </c>
      <c r="E927">
        <v>0</v>
      </c>
      <c r="F927">
        <v>0</v>
      </c>
      <c r="G927" t="s">
        <v>184</v>
      </c>
    </row>
    <row r="928" spans="1:7" x14ac:dyDescent="0.35">
      <c r="A928">
        <v>20</v>
      </c>
      <c r="B928" t="s">
        <v>147</v>
      </c>
      <c r="C928">
        <v>2415379.19</v>
      </c>
      <c r="D928">
        <v>0</v>
      </c>
      <c r="E928">
        <v>43214989.32</v>
      </c>
      <c r="F928">
        <v>43214989.32</v>
      </c>
      <c r="G928" t="s">
        <v>184</v>
      </c>
    </row>
    <row r="929" spans="1:7" x14ac:dyDescent="0.35">
      <c r="A929">
        <v>30</v>
      </c>
      <c r="B929" t="s">
        <v>473</v>
      </c>
      <c r="C929">
        <v>-88508.18</v>
      </c>
      <c r="D929">
        <v>0</v>
      </c>
      <c r="E929">
        <v>-972225.8</v>
      </c>
      <c r="F929">
        <v>-972225.8</v>
      </c>
      <c r="G929" t="s">
        <v>184</v>
      </c>
    </row>
    <row r="930" spans="1:7" x14ac:dyDescent="0.35">
      <c r="A930">
        <v>35</v>
      </c>
      <c r="B930" t="s">
        <v>474</v>
      </c>
      <c r="C930">
        <v>2326871.0099999998</v>
      </c>
      <c r="D930">
        <v>0</v>
      </c>
      <c r="E930">
        <v>42242763.520000003</v>
      </c>
      <c r="F930">
        <v>42242763.520000003</v>
      </c>
      <c r="G930" t="s">
        <v>184</v>
      </c>
    </row>
    <row r="931" spans="1:7" x14ac:dyDescent="0.35">
      <c r="A931">
        <v>40</v>
      </c>
      <c r="B931" t="s">
        <v>475</v>
      </c>
      <c r="C931">
        <v>1104400.8500000001</v>
      </c>
      <c r="D931">
        <v>0</v>
      </c>
      <c r="E931">
        <v>28032342.960000001</v>
      </c>
      <c r="F931">
        <v>28032342.960000001</v>
      </c>
      <c r="G931" t="s">
        <v>184</v>
      </c>
    </row>
    <row r="932" spans="1:7" x14ac:dyDescent="0.35">
      <c r="A932">
        <v>50</v>
      </c>
      <c r="B932" t="s">
        <v>476</v>
      </c>
      <c r="C932">
        <v>0</v>
      </c>
      <c r="D932">
        <v>0</v>
      </c>
      <c r="E932">
        <v>0</v>
      </c>
      <c r="F932">
        <v>0</v>
      </c>
      <c r="G932" t="s">
        <v>184</v>
      </c>
    </row>
    <row r="933" spans="1:7" x14ac:dyDescent="0.35">
      <c r="A933">
        <v>60</v>
      </c>
      <c r="B933" t="s">
        <v>477</v>
      </c>
      <c r="C933">
        <v>1222470.1599999999</v>
      </c>
      <c r="D933">
        <v>0</v>
      </c>
      <c r="E933">
        <v>14210420.560000001</v>
      </c>
      <c r="F933">
        <v>14210420.560000001</v>
      </c>
      <c r="G933" t="s">
        <v>184</v>
      </c>
    </row>
    <row r="934" spans="1:7" x14ac:dyDescent="0.35">
      <c r="A934">
        <v>70</v>
      </c>
      <c r="B934" t="s">
        <v>152</v>
      </c>
      <c r="C934">
        <v>4359509.57</v>
      </c>
      <c r="D934">
        <v>0</v>
      </c>
      <c r="E934">
        <v>41821515.280000001</v>
      </c>
      <c r="F934">
        <v>41821515.280000001</v>
      </c>
      <c r="G934" t="s">
        <v>184</v>
      </c>
    </row>
    <row r="935" spans="1:7" x14ac:dyDescent="0.35">
      <c r="A935">
        <v>80</v>
      </c>
      <c r="B935" t="s">
        <v>153</v>
      </c>
      <c r="C935">
        <v>619629.63</v>
      </c>
      <c r="D935">
        <v>0</v>
      </c>
      <c r="E935">
        <v>6033370.4900000002</v>
      </c>
      <c r="F935">
        <v>6033370.4900000002</v>
      </c>
      <c r="G935" t="s">
        <v>184</v>
      </c>
    </row>
    <row r="936" spans="1:7" x14ac:dyDescent="0.35">
      <c r="A936">
        <v>90</v>
      </c>
      <c r="B936" t="s">
        <v>478</v>
      </c>
      <c r="C936">
        <v>351605.83</v>
      </c>
      <c r="D936">
        <v>0</v>
      </c>
      <c r="E936">
        <v>3148194.85</v>
      </c>
      <c r="F936">
        <v>3148194.85</v>
      </c>
      <c r="G936" t="s">
        <v>184</v>
      </c>
    </row>
    <row r="937" spans="1:7" x14ac:dyDescent="0.35">
      <c r="A937">
        <v>100</v>
      </c>
      <c r="B937" t="s">
        <v>479</v>
      </c>
      <c r="C937">
        <v>-4108274.87</v>
      </c>
      <c r="D937">
        <v>0</v>
      </c>
      <c r="E937">
        <v>-36792660.060000002</v>
      </c>
      <c r="F937">
        <v>-36792660.060000002</v>
      </c>
      <c r="G937" t="s">
        <v>184</v>
      </c>
    </row>
    <row r="938" spans="1:7" x14ac:dyDescent="0.35">
      <c r="A938">
        <v>110</v>
      </c>
      <c r="B938" t="s">
        <v>480</v>
      </c>
      <c r="C938">
        <v>0</v>
      </c>
      <c r="D938">
        <v>0</v>
      </c>
      <c r="E938">
        <v>0</v>
      </c>
      <c r="F938">
        <v>0</v>
      </c>
      <c r="G938" t="s">
        <v>184</v>
      </c>
    </row>
    <row r="939" spans="1:7" x14ac:dyDescent="0.35">
      <c r="A939">
        <v>120</v>
      </c>
      <c r="B939" t="s">
        <v>481</v>
      </c>
      <c r="C939">
        <v>-5127742.75</v>
      </c>
      <c r="D939">
        <v>0</v>
      </c>
      <c r="E939">
        <v>-45072417.380000003</v>
      </c>
      <c r="F939">
        <v>-45072417.380000003</v>
      </c>
      <c r="G939" t="s">
        <v>184</v>
      </c>
    </row>
    <row r="940" spans="1:7" x14ac:dyDescent="0.35">
      <c r="A940">
        <v>130</v>
      </c>
      <c r="B940" t="s">
        <v>482</v>
      </c>
      <c r="C940">
        <v>0</v>
      </c>
      <c r="D940">
        <v>0</v>
      </c>
      <c r="E940">
        <v>154656.5</v>
      </c>
      <c r="F940">
        <v>154656.5</v>
      </c>
      <c r="G940" t="s">
        <v>184</v>
      </c>
    </row>
    <row r="941" spans="1:7" x14ac:dyDescent="0.35">
      <c r="A941">
        <v>140</v>
      </c>
      <c r="B941" t="s">
        <v>483</v>
      </c>
      <c r="C941">
        <v>0</v>
      </c>
      <c r="D941">
        <v>0</v>
      </c>
      <c r="E941">
        <v>0</v>
      </c>
      <c r="F941">
        <v>0</v>
      </c>
      <c r="G941" t="s">
        <v>184</v>
      </c>
    </row>
    <row r="942" spans="1:7" x14ac:dyDescent="0.35">
      <c r="A942">
        <v>145</v>
      </c>
      <c r="B942" t="s">
        <v>162</v>
      </c>
      <c r="C942">
        <v>-5127742.75</v>
      </c>
      <c r="D942">
        <v>0</v>
      </c>
      <c r="E942">
        <v>-44917760.880000003</v>
      </c>
      <c r="F942">
        <v>-44917760.880000003</v>
      </c>
      <c r="G942" t="s">
        <v>184</v>
      </c>
    </row>
    <row r="943" spans="1:7" x14ac:dyDescent="0.35">
      <c r="A943">
        <v>150</v>
      </c>
      <c r="B943" t="s">
        <v>484</v>
      </c>
      <c r="C943">
        <v>1019467.88</v>
      </c>
      <c r="D943">
        <v>0</v>
      </c>
      <c r="E943">
        <v>8125100.8200000003</v>
      </c>
      <c r="F943">
        <v>8125100.8200000003</v>
      </c>
      <c r="G943" t="s">
        <v>184</v>
      </c>
    </row>
    <row r="944" spans="1:7" x14ac:dyDescent="0.35">
      <c r="A944">
        <v>160</v>
      </c>
      <c r="B944" t="s">
        <v>485</v>
      </c>
      <c r="C944">
        <v>227425</v>
      </c>
      <c r="D944">
        <v>0</v>
      </c>
      <c r="E944">
        <v>2663338</v>
      </c>
      <c r="F944">
        <v>2663338</v>
      </c>
      <c r="G944" t="s">
        <v>184</v>
      </c>
    </row>
    <row r="945" spans="1:7" x14ac:dyDescent="0.35">
      <c r="A945">
        <v>170</v>
      </c>
      <c r="B945" t="s">
        <v>166</v>
      </c>
      <c r="C945">
        <v>792042.88</v>
      </c>
      <c r="D945">
        <v>0</v>
      </c>
      <c r="E945">
        <v>5461762.8200000003</v>
      </c>
      <c r="F945">
        <v>5461762.8200000003</v>
      </c>
      <c r="G945" t="s">
        <v>184</v>
      </c>
    </row>
    <row r="946" spans="1:7" x14ac:dyDescent="0.35">
      <c r="A946">
        <v>190</v>
      </c>
      <c r="B946" t="s">
        <v>486</v>
      </c>
      <c r="C946">
        <v>0</v>
      </c>
      <c r="D946">
        <v>0</v>
      </c>
      <c r="E946">
        <v>0</v>
      </c>
      <c r="F946">
        <v>0</v>
      </c>
      <c r="G946" t="s">
        <v>184</v>
      </c>
    </row>
    <row r="947" spans="1:7" x14ac:dyDescent="0.35">
      <c r="A947">
        <v>200</v>
      </c>
      <c r="B947" t="s">
        <v>166</v>
      </c>
      <c r="C947">
        <v>792042.88</v>
      </c>
      <c r="D947">
        <v>0</v>
      </c>
      <c r="E947">
        <v>5461762.8200000003</v>
      </c>
      <c r="F947">
        <v>5461762.8200000003</v>
      </c>
      <c r="G947" t="s">
        <v>184</v>
      </c>
    </row>
    <row r="948" spans="1:7" x14ac:dyDescent="0.35">
      <c r="A948">
        <v>210</v>
      </c>
      <c r="B948" t="s">
        <v>487</v>
      </c>
      <c r="C948">
        <v>792042.88</v>
      </c>
      <c r="D948">
        <v>0</v>
      </c>
      <c r="E948">
        <v>5461762.8200000003</v>
      </c>
      <c r="F948">
        <v>5461762.8200000003</v>
      </c>
      <c r="G948" t="s">
        <v>184</v>
      </c>
    </row>
    <row r="949" spans="1:7" x14ac:dyDescent="0.35">
      <c r="A949">
        <v>220</v>
      </c>
      <c r="B949" t="s">
        <v>488</v>
      </c>
      <c r="C949">
        <v>0</v>
      </c>
      <c r="D949">
        <v>0</v>
      </c>
      <c r="E949">
        <v>0</v>
      </c>
      <c r="F949">
        <v>0</v>
      </c>
      <c r="G949" t="s">
        <v>184</v>
      </c>
    </row>
    <row r="950" spans="1:7" x14ac:dyDescent="0.35">
      <c r="A950">
        <v>230</v>
      </c>
      <c r="B950" t="s">
        <v>341</v>
      </c>
      <c r="C950">
        <v>-5927734.6799999997</v>
      </c>
      <c r="D950">
        <v>-13678284.01</v>
      </c>
      <c r="E950">
        <v>-20870476.510000002</v>
      </c>
      <c r="F950">
        <v>-7192192.5</v>
      </c>
      <c r="G950" t="s">
        <v>184</v>
      </c>
    </row>
    <row r="951" spans="1:7" x14ac:dyDescent="0.35">
      <c r="A951">
        <v>235</v>
      </c>
      <c r="B951" t="s">
        <v>489</v>
      </c>
      <c r="C951">
        <v>14.08</v>
      </c>
      <c r="D951">
        <v>-171755.06</v>
      </c>
      <c r="E951">
        <v>-153271.10999999999</v>
      </c>
      <c r="F951">
        <v>18483.95</v>
      </c>
      <c r="G951" t="s">
        <v>184</v>
      </c>
    </row>
    <row r="952" spans="1:7" x14ac:dyDescent="0.35">
      <c r="A952">
        <v>240</v>
      </c>
      <c r="B952" t="s">
        <v>342</v>
      </c>
      <c r="C952">
        <v>5826075.0999999996</v>
      </c>
      <c r="D952">
        <v>-25181818.219999999</v>
      </c>
      <c r="E952">
        <v>-10206615.77</v>
      </c>
      <c r="F952">
        <v>14975202.449999999</v>
      </c>
      <c r="G952" t="s">
        <v>184</v>
      </c>
    </row>
    <row r="953" spans="1:7" x14ac:dyDescent="0.35">
      <c r="A953">
        <v>250</v>
      </c>
      <c r="B953" t="s">
        <v>343</v>
      </c>
      <c r="C953">
        <v>-1614006.27</v>
      </c>
      <c r="D953">
        <v>-3780985.35</v>
      </c>
      <c r="E953">
        <v>-2954439.98</v>
      </c>
      <c r="F953">
        <v>826545.37</v>
      </c>
      <c r="G953" t="s">
        <v>184</v>
      </c>
    </row>
    <row r="954" spans="1:7" x14ac:dyDescent="0.35">
      <c r="A954">
        <v>260</v>
      </c>
      <c r="B954" t="s">
        <v>490</v>
      </c>
      <c r="C954">
        <v>0</v>
      </c>
      <c r="D954">
        <v>-297264.17</v>
      </c>
      <c r="E954">
        <v>-300635.87</v>
      </c>
      <c r="F954">
        <v>-3371.7</v>
      </c>
      <c r="G954" t="s">
        <v>184</v>
      </c>
    </row>
    <row r="955" spans="1:7" x14ac:dyDescent="0.35">
      <c r="A955">
        <v>270</v>
      </c>
      <c r="B955" t="s">
        <v>344</v>
      </c>
      <c r="C955">
        <v>-337948.56</v>
      </c>
      <c r="D955">
        <v>-1916071.31</v>
      </c>
      <c r="E955">
        <v>-188340.67</v>
      </c>
      <c r="F955">
        <v>1727730.64</v>
      </c>
      <c r="G955" t="s">
        <v>184</v>
      </c>
    </row>
    <row r="956" spans="1:7" x14ac:dyDescent="0.35">
      <c r="A956">
        <v>300</v>
      </c>
      <c r="B956" t="s">
        <v>367</v>
      </c>
      <c r="C956">
        <v>2825820.92</v>
      </c>
      <c r="D956">
        <v>16850135.510000002</v>
      </c>
      <c r="E956">
        <v>3946877.2</v>
      </c>
      <c r="F956">
        <v>-12903258.310000001</v>
      </c>
      <c r="G956" t="s">
        <v>184</v>
      </c>
    </row>
    <row r="957" spans="1:7" x14ac:dyDescent="0.35">
      <c r="A957">
        <v>310</v>
      </c>
      <c r="B957" t="s">
        <v>491</v>
      </c>
      <c r="C957">
        <v>0</v>
      </c>
      <c r="D957">
        <v>0</v>
      </c>
      <c r="E957">
        <v>0</v>
      </c>
      <c r="F957">
        <v>0</v>
      </c>
      <c r="G957" t="s">
        <v>184</v>
      </c>
    </row>
    <row r="958" spans="1:7" x14ac:dyDescent="0.35">
      <c r="A958">
        <v>320</v>
      </c>
      <c r="B958" t="s">
        <v>492</v>
      </c>
      <c r="C958">
        <v>-1334911.29</v>
      </c>
      <c r="D958">
        <v>-4844512.51</v>
      </c>
      <c r="E958">
        <v>3749397.89</v>
      </c>
      <c r="F958">
        <v>8593910.4000000004</v>
      </c>
      <c r="G958" t="s">
        <v>184</v>
      </c>
    </row>
    <row r="959" spans="1:7" x14ac:dyDescent="0.35">
      <c r="A959">
        <v>325</v>
      </c>
      <c r="B959" t="s">
        <v>493</v>
      </c>
      <c r="C959">
        <v>0</v>
      </c>
      <c r="D959">
        <v>0</v>
      </c>
      <c r="E959">
        <v>0</v>
      </c>
      <c r="F959">
        <v>0</v>
      </c>
      <c r="G959" t="s">
        <v>184</v>
      </c>
    </row>
    <row r="960" spans="1:7" x14ac:dyDescent="0.35">
      <c r="A960">
        <v>330</v>
      </c>
      <c r="B960" t="s">
        <v>494</v>
      </c>
      <c r="C960">
        <v>0</v>
      </c>
      <c r="D960">
        <v>-3740802.53</v>
      </c>
      <c r="E960">
        <v>-3740802.53</v>
      </c>
      <c r="F960">
        <v>0</v>
      </c>
      <c r="G960" t="s">
        <v>184</v>
      </c>
    </row>
    <row r="961" spans="1:7" x14ac:dyDescent="0.35">
      <c r="A961">
        <v>340</v>
      </c>
      <c r="B961" t="s">
        <v>495</v>
      </c>
      <c r="C961">
        <v>-403860.76</v>
      </c>
      <c r="D961">
        <v>13176391.029999999</v>
      </c>
      <c r="E961">
        <v>8091625.1100000003</v>
      </c>
      <c r="F961">
        <v>-5084765.92</v>
      </c>
      <c r="G961" t="s">
        <v>184</v>
      </c>
    </row>
    <row r="962" spans="1:7" x14ac:dyDescent="0.35">
      <c r="A962">
        <v>380</v>
      </c>
      <c r="B962" t="s">
        <v>496</v>
      </c>
      <c r="C962">
        <v>-966551.46</v>
      </c>
      <c r="D962">
        <v>-23584966.620000001</v>
      </c>
      <c r="E962">
        <v>-22626682.239999998</v>
      </c>
      <c r="F962">
        <v>958284.38</v>
      </c>
      <c r="G962" t="s">
        <v>184</v>
      </c>
    </row>
    <row r="963" spans="1:7" x14ac:dyDescent="0.35">
      <c r="A963">
        <v>390</v>
      </c>
      <c r="B963" t="s">
        <v>497</v>
      </c>
      <c r="C963">
        <v>0</v>
      </c>
      <c r="D963">
        <v>0</v>
      </c>
      <c r="E963">
        <v>0</v>
      </c>
      <c r="F963">
        <v>0</v>
      </c>
      <c r="G963" t="s">
        <v>184</v>
      </c>
    </row>
    <row r="964" spans="1:7" x14ac:dyDescent="0.35">
      <c r="A964">
        <v>400</v>
      </c>
      <c r="B964" t="s">
        <v>498</v>
      </c>
      <c r="C964">
        <v>0</v>
      </c>
      <c r="D964">
        <v>527648.14</v>
      </c>
      <c r="E964">
        <v>527648.14</v>
      </c>
      <c r="F964">
        <v>0</v>
      </c>
      <c r="G964" t="s">
        <v>184</v>
      </c>
    </row>
    <row r="965" spans="1:7" x14ac:dyDescent="0.35">
      <c r="A965">
        <v>405</v>
      </c>
      <c r="B965" t="s">
        <v>499</v>
      </c>
      <c r="C965">
        <v>0</v>
      </c>
      <c r="D965">
        <v>0</v>
      </c>
      <c r="E965">
        <v>0</v>
      </c>
      <c r="F965">
        <v>0</v>
      </c>
      <c r="G965" t="s">
        <v>184</v>
      </c>
    </row>
    <row r="966" spans="1:7" x14ac:dyDescent="0.35">
      <c r="A966">
        <v>410</v>
      </c>
      <c r="B966" t="s">
        <v>382</v>
      </c>
      <c r="C966">
        <v>0</v>
      </c>
      <c r="D966">
        <v>37606000</v>
      </c>
      <c r="E966">
        <v>37606000</v>
      </c>
      <c r="F966">
        <v>0</v>
      </c>
      <c r="G966" t="s">
        <v>184</v>
      </c>
    </row>
    <row r="967" spans="1:7" x14ac:dyDescent="0.35">
      <c r="A967">
        <v>420</v>
      </c>
      <c r="B967" t="s">
        <v>500</v>
      </c>
      <c r="C967">
        <v>0</v>
      </c>
      <c r="D967">
        <v>0</v>
      </c>
      <c r="E967">
        <v>0</v>
      </c>
      <c r="F967">
        <v>0</v>
      </c>
      <c r="G967" t="s">
        <v>184</v>
      </c>
    </row>
    <row r="968" spans="1:7" x14ac:dyDescent="0.35">
      <c r="A968">
        <v>425</v>
      </c>
      <c r="B968" t="s">
        <v>501</v>
      </c>
      <c r="C968">
        <v>0</v>
      </c>
      <c r="D968">
        <v>0</v>
      </c>
      <c r="E968">
        <v>0</v>
      </c>
      <c r="F968">
        <v>0</v>
      </c>
      <c r="G968" t="s">
        <v>184</v>
      </c>
    </row>
    <row r="969" spans="1:7" x14ac:dyDescent="0.35">
      <c r="A969">
        <v>427</v>
      </c>
      <c r="B969" t="s">
        <v>502</v>
      </c>
      <c r="C969">
        <v>0</v>
      </c>
      <c r="D969">
        <v>0</v>
      </c>
      <c r="E969">
        <v>0</v>
      </c>
      <c r="F969">
        <v>0</v>
      </c>
      <c r="G969" t="s">
        <v>184</v>
      </c>
    </row>
    <row r="970" spans="1:7" x14ac:dyDescent="0.35">
      <c r="A970">
        <v>430</v>
      </c>
      <c r="B970" t="s">
        <v>503</v>
      </c>
      <c r="C970">
        <v>0</v>
      </c>
      <c r="D970">
        <v>23795136.629999999</v>
      </c>
      <c r="E970">
        <v>18350841.59</v>
      </c>
      <c r="F970">
        <v>-5444295.04</v>
      </c>
      <c r="G970" t="s">
        <v>184</v>
      </c>
    </row>
    <row r="971" spans="1:7" x14ac:dyDescent="0.35">
      <c r="A971">
        <v>440</v>
      </c>
      <c r="B971" t="s">
        <v>504</v>
      </c>
      <c r="C971">
        <v>0</v>
      </c>
      <c r="D971">
        <v>61928784.770000003</v>
      </c>
      <c r="E971">
        <v>56484489.729999997</v>
      </c>
      <c r="F971">
        <v>-5444295.04</v>
      </c>
      <c r="G971" t="s">
        <v>184</v>
      </c>
    </row>
    <row r="972" spans="1:7" x14ac:dyDescent="0.35">
      <c r="A972">
        <v>450</v>
      </c>
      <c r="B972" t="s">
        <v>505</v>
      </c>
      <c r="C972">
        <v>0</v>
      </c>
      <c r="D972">
        <v>0</v>
      </c>
      <c r="E972">
        <v>0</v>
      </c>
      <c r="F972">
        <v>0</v>
      </c>
      <c r="G972" t="s">
        <v>184</v>
      </c>
    </row>
    <row r="973" spans="1:7" x14ac:dyDescent="0.35">
      <c r="A973">
        <v>455</v>
      </c>
      <c r="B973" t="s">
        <v>349</v>
      </c>
      <c r="C973">
        <v>0</v>
      </c>
      <c r="D973">
        <v>-3760258.49</v>
      </c>
      <c r="E973">
        <v>-3760258.49</v>
      </c>
      <c r="F973">
        <v>0</v>
      </c>
      <c r="G973" t="s">
        <v>184</v>
      </c>
    </row>
    <row r="974" spans="1:7" x14ac:dyDescent="0.35">
      <c r="A974">
        <v>456</v>
      </c>
      <c r="B974" t="s">
        <v>506</v>
      </c>
      <c r="C974">
        <v>-66776.73</v>
      </c>
      <c r="D974">
        <v>-301386.09000000003</v>
      </c>
      <c r="E974">
        <v>-7049.44</v>
      </c>
      <c r="F974">
        <v>294336.65000000002</v>
      </c>
      <c r="G974" t="s">
        <v>184</v>
      </c>
    </row>
    <row r="975" spans="1:7" x14ac:dyDescent="0.35">
      <c r="A975">
        <v>460</v>
      </c>
      <c r="B975" t="s">
        <v>353</v>
      </c>
      <c r="C975">
        <v>-19007.93</v>
      </c>
      <c r="D975">
        <v>-17133894.539999999</v>
      </c>
      <c r="E975">
        <v>-18268677.370000001</v>
      </c>
      <c r="F975">
        <v>-1134782.83</v>
      </c>
      <c r="G975" t="s">
        <v>184</v>
      </c>
    </row>
    <row r="976" spans="1:7" x14ac:dyDescent="0.35">
      <c r="A976">
        <v>470</v>
      </c>
      <c r="B976" t="s">
        <v>507</v>
      </c>
      <c r="C976">
        <v>122003.14</v>
      </c>
      <c r="D976">
        <v>5875892.8700000001</v>
      </c>
      <c r="E976">
        <v>6690671.9100000001</v>
      </c>
      <c r="F976">
        <v>814779.04</v>
      </c>
      <c r="G976" t="s">
        <v>184</v>
      </c>
    </row>
    <row r="977" spans="1:7" x14ac:dyDescent="0.35">
      <c r="A977">
        <v>480</v>
      </c>
      <c r="B977" t="s">
        <v>352</v>
      </c>
      <c r="C977">
        <v>-752836.21</v>
      </c>
      <c r="D977">
        <v>-30681784.379999999</v>
      </c>
      <c r="E977">
        <v>-34124827.490000002</v>
      </c>
      <c r="F977">
        <v>-3443043.11</v>
      </c>
      <c r="G977" t="s">
        <v>184</v>
      </c>
    </row>
    <row r="978" spans="1:7" x14ac:dyDescent="0.35">
      <c r="A978">
        <v>490</v>
      </c>
      <c r="B978" t="s">
        <v>508</v>
      </c>
      <c r="C978">
        <v>237441.57</v>
      </c>
      <c r="D978">
        <v>13460104.42</v>
      </c>
      <c r="E978">
        <v>15430254.43</v>
      </c>
      <c r="F978">
        <v>1970150.01</v>
      </c>
      <c r="G978" t="s">
        <v>184</v>
      </c>
    </row>
    <row r="979" spans="1:7" x14ac:dyDescent="0.35">
      <c r="A979">
        <v>500</v>
      </c>
      <c r="B979" t="s">
        <v>351</v>
      </c>
      <c r="C979">
        <v>0</v>
      </c>
      <c r="D979">
        <v>-5978743.5</v>
      </c>
      <c r="E979">
        <v>-5995035.9100000001</v>
      </c>
      <c r="F979">
        <v>-16292.41</v>
      </c>
      <c r="G979" t="s">
        <v>184</v>
      </c>
    </row>
    <row r="980" spans="1:7" x14ac:dyDescent="0.35">
      <c r="A980">
        <v>510</v>
      </c>
      <c r="B980" t="s">
        <v>509</v>
      </c>
      <c r="C980">
        <v>56302.99</v>
      </c>
      <c r="D980">
        <v>3546497.32</v>
      </c>
      <c r="E980">
        <v>4071869.54</v>
      </c>
      <c r="F980">
        <v>525372.22</v>
      </c>
      <c r="G980" t="s">
        <v>184</v>
      </c>
    </row>
    <row r="981" spans="1:7" x14ac:dyDescent="0.35">
      <c r="A981">
        <v>512</v>
      </c>
      <c r="B981" t="s">
        <v>510</v>
      </c>
      <c r="C981">
        <v>0</v>
      </c>
      <c r="D981">
        <v>-454368.12</v>
      </c>
      <c r="E981">
        <v>-489013.98</v>
      </c>
      <c r="F981">
        <v>-34645.86</v>
      </c>
      <c r="G981" t="s">
        <v>184</v>
      </c>
    </row>
    <row r="982" spans="1:7" x14ac:dyDescent="0.35">
      <c r="A982">
        <v>514</v>
      </c>
      <c r="B982" t="s">
        <v>511</v>
      </c>
      <c r="C982">
        <v>2634.87</v>
      </c>
      <c r="D982">
        <v>237749.9</v>
      </c>
      <c r="E982">
        <v>268479.14</v>
      </c>
      <c r="F982">
        <v>30729.24</v>
      </c>
      <c r="G982" t="s">
        <v>184</v>
      </c>
    </row>
    <row r="983" spans="1:7" x14ac:dyDescent="0.35">
      <c r="A983">
        <v>520</v>
      </c>
      <c r="B983" t="s">
        <v>512</v>
      </c>
      <c r="C983">
        <v>0</v>
      </c>
      <c r="D983">
        <v>-33182.410000000003</v>
      </c>
      <c r="E983">
        <v>-33182.410000000003</v>
      </c>
      <c r="F983">
        <v>0</v>
      </c>
      <c r="G983" t="s">
        <v>184</v>
      </c>
    </row>
    <row r="984" spans="1:7" x14ac:dyDescent="0.35">
      <c r="A984">
        <v>530</v>
      </c>
      <c r="B984" t="s">
        <v>513</v>
      </c>
      <c r="C984">
        <v>0</v>
      </c>
      <c r="D984">
        <v>0</v>
      </c>
      <c r="E984">
        <v>0</v>
      </c>
      <c r="F984">
        <v>0</v>
      </c>
      <c r="G984" t="s">
        <v>184</v>
      </c>
    </row>
    <row r="985" spans="1:7" x14ac:dyDescent="0.35">
      <c r="A985">
        <v>540</v>
      </c>
      <c r="B985" t="s">
        <v>514</v>
      </c>
      <c r="C985">
        <v>0</v>
      </c>
      <c r="D985">
        <v>-9493</v>
      </c>
      <c r="E985">
        <v>-9493</v>
      </c>
      <c r="F985">
        <v>0</v>
      </c>
      <c r="G985" t="s">
        <v>184</v>
      </c>
    </row>
    <row r="986" spans="1:7" x14ac:dyDescent="0.35">
      <c r="A986">
        <v>550</v>
      </c>
      <c r="B986" t="s">
        <v>515</v>
      </c>
      <c r="C986">
        <v>0</v>
      </c>
      <c r="D986">
        <v>0</v>
      </c>
      <c r="E986">
        <v>0</v>
      </c>
      <c r="F986">
        <v>0</v>
      </c>
      <c r="G986" t="s">
        <v>184</v>
      </c>
    </row>
    <row r="987" spans="1:7" x14ac:dyDescent="0.35">
      <c r="A987">
        <v>560</v>
      </c>
      <c r="B987" t="s">
        <v>516</v>
      </c>
      <c r="C987">
        <v>0</v>
      </c>
      <c r="D987">
        <v>0</v>
      </c>
      <c r="E987">
        <v>0</v>
      </c>
      <c r="F987">
        <v>0</v>
      </c>
      <c r="G987" t="s">
        <v>184</v>
      </c>
    </row>
    <row r="988" spans="1:7" x14ac:dyDescent="0.35">
      <c r="A988">
        <v>570</v>
      </c>
      <c r="B988" t="s">
        <v>517</v>
      </c>
      <c r="C988">
        <v>0</v>
      </c>
      <c r="D988">
        <v>0</v>
      </c>
      <c r="E988">
        <v>0</v>
      </c>
      <c r="F988">
        <v>0</v>
      </c>
      <c r="G988" t="s">
        <v>184</v>
      </c>
    </row>
    <row r="989" spans="1:7" x14ac:dyDescent="0.35">
      <c r="A989">
        <v>580</v>
      </c>
      <c r="B989" t="s">
        <v>518</v>
      </c>
      <c r="C989">
        <v>0</v>
      </c>
      <c r="D989">
        <v>0</v>
      </c>
      <c r="E989">
        <v>0</v>
      </c>
      <c r="F989">
        <v>0</v>
      </c>
      <c r="G989" t="s">
        <v>184</v>
      </c>
    </row>
    <row r="990" spans="1:7" x14ac:dyDescent="0.35">
      <c r="A990">
        <v>590</v>
      </c>
      <c r="B990" t="s">
        <v>519</v>
      </c>
      <c r="C990">
        <v>0</v>
      </c>
      <c r="D990">
        <v>0</v>
      </c>
      <c r="E990">
        <v>0</v>
      </c>
      <c r="F990">
        <v>0</v>
      </c>
      <c r="G990" t="s">
        <v>184</v>
      </c>
    </row>
    <row r="991" spans="1:7" x14ac:dyDescent="0.35">
      <c r="A991">
        <v>600</v>
      </c>
      <c r="B991" t="s">
        <v>520</v>
      </c>
      <c r="C991">
        <v>0</v>
      </c>
      <c r="D991">
        <v>0</v>
      </c>
      <c r="E991">
        <v>0</v>
      </c>
      <c r="F991">
        <v>0</v>
      </c>
      <c r="G991" t="s">
        <v>184</v>
      </c>
    </row>
    <row r="992" spans="1:7" x14ac:dyDescent="0.35">
      <c r="A992">
        <v>610</v>
      </c>
      <c r="B992" t="s">
        <v>521</v>
      </c>
      <c r="C992">
        <v>0</v>
      </c>
      <c r="D992">
        <v>0</v>
      </c>
      <c r="E992">
        <v>0</v>
      </c>
      <c r="F992">
        <v>0</v>
      </c>
      <c r="G992" t="s">
        <v>184</v>
      </c>
    </row>
    <row r="993" spans="1:7" x14ac:dyDescent="0.35">
      <c r="A993">
        <v>615</v>
      </c>
      <c r="B993" t="s">
        <v>550</v>
      </c>
      <c r="C993">
        <v>0</v>
      </c>
      <c r="D993">
        <v>-2580779.35</v>
      </c>
      <c r="E993">
        <v>-2589066.0099999998</v>
      </c>
      <c r="F993">
        <v>-8286.66</v>
      </c>
      <c r="G993" t="s">
        <v>184</v>
      </c>
    </row>
    <row r="994" spans="1:7" x14ac:dyDescent="0.35">
      <c r="A994">
        <v>620</v>
      </c>
      <c r="B994" t="s">
        <v>522</v>
      </c>
      <c r="C994">
        <v>0</v>
      </c>
      <c r="D994">
        <v>0</v>
      </c>
      <c r="E994">
        <v>0</v>
      </c>
      <c r="F994">
        <v>0</v>
      </c>
      <c r="G994" t="s">
        <v>184</v>
      </c>
    </row>
    <row r="995" spans="1:7" x14ac:dyDescent="0.35">
      <c r="A995">
        <v>630</v>
      </c>
      <c r="B995" t="s">
        <v>523</v>
      </c>
      <c r="C995">
        <v>0</v>
      </c>
      <c r="D995">
        <v>0</v>
      </c>
      <c r="E995">
        <v>0</v>
      </c>
      <c r="F995">
        <v>0</v>
      </c>
      <c r="G995" t="s">
        <v>184</v>
      </c>
    </row>
    <row r="996" spans="1:7" x14ac:dyDescent="0.35">
      <c r="A996">
        <v>635</v>
      </c>
      <c r="B996" t="s">
        <v>551</v>
      </c>
      <c r="C996">
        <v>0</v>
      </c>
      <c r="D996">
        <v>0</v>
      </c>
      <c r="E996">
        <v>0</v>
      </c>
      <c r="F996">
        <v>0</v>
      </c>
      <c r="G996" t="s">
        <v>184</v>
      </c>
    </row>
    <row r="997" spans="1:7" x14ac:dyDescent="0.35">
      <c r="A997">
        <v>640</v>
      </c>
      <c r="B997" t="s">
        <v>524</v>
      </c>
      <c r="C997">
        <v>-420238.3</v>
      </c>
      <c r="D997">
        <v>-37813645.369999997</v>
      </c>
      <c r="E997">
        <v>-38815329.079999998</v>
      </c>
      <c r="F997">
        <v>-1001683.71</v>
      </c>
      <c r="G997" t="s">
        <v>184</v>
      </c>
    </row>
    <row r="998" spans="1:7" x14ac:dyDescent="0.35">
      <c r="A998">
        <v>650</v>
      </c>
      <c r="B998" t="s">
        <v>525</v>
      </c>
      <c r="C998">
        <v>-594746.88</v>
      </c>
      <c r="D998">
        <v>530172.78</v>
      </c>
      <c r="E998">
        <v>504241.23</v>
      </c>
      <c r="F998">
        <v>-25931.55</v>
      </c>
      <c r="G998" t="s">
        <v>184</v>
      </c>
    </row>
    <row r="999" spans="1:7" x14ac:dyDescent="0.35">
      <c r="A999" t="s">
        <v>247</v>
      </c>
      <c r="B999" t="s">
        <v>172</v>
      </c>
      <c r="C999" t="s">
        <v>468</v>
      </c>
      <c r="D999" t="s">
        <v>469</v>
      </c>
      <c r="E999" t="s">
        <v>470</v>
      </c>
      <c r="F999" t="s">
        <v>471</v>
      </c>
      <c r="G999" t="s">
        <v>183</v>
      </c>
    </row>
    <row r="1000" spans="1:7" x14ac:dyDescent="0.35">
      <c r="A1000">
        <v>10</v>
      </c>
      <c r="B1000" t="s">
        <v>472</v>
      </c>
      <c r="C1000">
        <v>0</v>
      </c>
      <c r="D1000">
        <v>0</v>
      </c>
      <c r="E1000">
        <v>0</v>
      </c>
      <c r="F1000">
        <v>0</v>
      </c>
      <c r="G1000" t="s">
        <v>184</v>
      </c>
    </row>
    <row r="1001" spans="1:7" x14ac:dyDescent="0.35">
      <c r="A1001">
        <v>20</v>
      </c>
      <c r="B1001" t="s">
        <v>147</v>
      </c>
      <c r="C1001">
        <v>80076254.489999995</v>
      </c>
      <c r="D1001">
        <v>0</v>
      </c>
      <c r="E1001">
        <v>648621660.42999995</v>
      </c>
      <c r="F1001">
        <v>648621660.42999995</v>
      </c>
      <c r="G1001" t="s">
        <v>184</v>
      </c>
    </row>
    <row r="1002" spans="1:7" x14ac:dyDescent="0.35">
      <c r="A1002">
        <v>30</v>
      </c>
      <c r="B1002" t="s">
        <v>473</v>
      </c>
      <c r="C1002">
        <v>0</v>
      </c>
      <c r="D1002">
        <v>0</v>
      </c>
      <c r="E1002">
        <v>0</v>
      </c>
      <c r="F1002">
        <v>0</v>
      </c>
      <c r="G1002" t="s">
        <v>184</v>
      </c>
    </row>
    <row r="1003" spans="1:7" x14ac:dyDescent="0.35">
      <c r="A1003">
        <v>35</v>
      </c>
      <c r="B1003" t="s">
        <v>474</v>
      </c>
      <c r="C1003">
        <v>80076254.489999995</v>
      </c>
      <c r="D1003">
        <v>0</v>
      </c>
      <c r="E1003">
        <v>648621660.42999995</v>
      </c>
      <c r="F1003">
        <v>648621660.42999995</v>
      </c>
      <c r="G1003" t="s">
        <v>184</v>
      </c>
    </row>
    <row r="1004" spans="1:7" x14ac:dyDescent="0.35">
      <c r="A1004">
        <v>40</v>
      </c>
      <c r="B1004" t="s">
        <v>475</v>
      </c>
      <c r="C1004">
        <v>71017687.959999993</v>
      </c>
      <c r="D1004">
        <v>0</v>
      </c>
      <c r="E1004">
        <v>572487679.03999996</v>
      </c>
      <c r="F1004">
        <v>572487679.03999996</v>
      </c>
      <c r="G1004" t="s">
        <v>184</v>
      </c>
    </row>
    <row r="1005" spans="1:7" x14ac:dyDescent="0.35">
      <c r="A1005">
        <v>50</v>
      </c>
      <c r="B1005" t="s">
        <v>476</v>
      </c>
      <c r="C1005">
        <v>0</v>
      </c>
      <c r="D1005">
        <v>0</v>
      </c>
      <c r="E1005">
        <v>0</v>
      </c>
      <c r="F1005">
        <v>0</v>
      </c>
      <c r="G1005" t="s">
        <v>184</v>
      </c>
    </row>
    <row r="1006" spans="1:7" x14ac:dyDescent="0.35">
      <c r="A1006">
        <v>60</v>
      </c>
      <c r="B1006" t="s">
        <v>477</v>
      </c>
      <c r="C1006">
        <v>9058566.5299999993</v>
      </c>
      <c r="D1006">
        <v>0</v>
      </c>
      <c r="E1006">
        <v>76133981.390000001</v>
      </c>
      <c r="F1006">
        <v>76133981.390000001</v>
      </c>
      <c r="G1006" t="s">
        <v>184</v>
      </c>
    </row>
    <row r="1007" spans="1:7" x14ac:dyDescent="0.35">
      <c r="A1007">
        <v>70</v>
      </c>
      <c r="B1007" t="s">
        <v>152</v>
      </c>
      <c r="C1007">
        <v>3348007.21</v>
      </c>
      <c r="D1007">
        <v>0</v>
      </c>
      <c r="E1007">
        <v>25387762.289999999</v>
      </c>
      <c r="F1007">
        <v>25387762.289999999</v>
      </c>
      <c r="G1007" t="s">
        <v>184</v>
      </c>
    </row>
    <row r="1008" spans="1:7" x14ac:dyDescent="0.35">
      <c r="A1008">
        <v>80</v>
      </c>
      <c r="B1008" t="s">
        <v>153</v>
      </c>
      <c r="C1008">
        <v>991403.87</v>
      </c>
      <c r="D1008">
        <v>0</v>
      </c>
      <c r="E1008">
        <v>9238441.0700000003</v>
      </c>
      <c r="F1008">
        <v>9238441.0700000003</v>
      </c>
      <c r="G1008" t="s">
        <v>184</v>
      </c>
    </row>
    <row r="1009" spans="1:7" x14ac:dyDescent="0.35">
      <c r="A1009">
        <v>90</v>
      </c>
      <c r="B1009" t="s">
        <v>478</v>
      </c>
      <c r="C1009">
        <v>471234.78</v>
      </c>
      <c r="D1009">
        <v>0</v>
      </c>
      <c r="E1009">
        <v>2838163.88</v>
      </c>
      <c r="F1009">
        <v>2838163.88</v>
      </c>
      <c r="G1009" t="s">
        <v>184</v>
      </c>
    </row>
    <row r="1010" spans="1:7" x14ac:dyDescent="0.35">
      <c r="A1010">
        <v>100</v>
      </c>
      <c r="B1010" t="s">
        <v>479</v>
      </c>
      <c r="C1010">
        <v>4247920.67</v>
      </c>
      <c r="D1010">
        <v>0</v>
      </c>
      <c r="E1010">
        <v>38669614.149999999</v>
      </c>
      <c r="F1010">
        <v>38669614.149999999</v>
      </c>
      <c r="G1010" t="s">
        <v>184</v>
      </c>
    </row>
    <row r="1011" spans="1:7" x14ac:dyDescent="0.35">
      <c r="A1011">
        <v>110</v>
      </c>
      <c r="B1011" t="s">
        <v>480</v>
      </c>
      <c r="C1011">
        <v>-1443842.63</v>
      </c>
      <c r="D1011">
        <v>0</v>
      </c>
      <c r="E1011">
        <v>-171237.92</v>
      </c>
      <c r="F1011">
        <v>-171237.92</v>
      </c>
      <c r="G1011" t="s">
        <v>184</v>
      </c>
    </row>
    <row r="1012" spans="1:7" x14ac:dyDescent="0.35">
      <c r="A1012">
        <v>120</v>
      </c>
      <c r="B1012" t="s">
        <v>481</v>
      </c>
      <c r="C1012">
        <v>-56226.58</v>
      </c>
      <c r="D1012">
        <v>0</v>
      </c>
      <c r="E1012">
        <v>-606518.91</v>
      </c>
      <c r="F1012">
        <v>-606518.91</v>
      </c>
      <c r="G1012" t="s">
        <v>184</v>
      </c>
    </row>
    <row r="1013" spans="1:7" x14ac:dyDescent="0.35">
      <c r="A1013">
        <v>130</v>
      </c>
      <c r="B1013" t="s">
        <v>482</v>
      </c>
      <c r="C1013">
        <v>347434.77</v>
      </c>
      <c r="D1013">
        <v>0</v>
      </c>
      <c r="E1013">
        <v>3331435.63</v>
      </c>
      <c r="F1013">
        <v>3331435.63</v>
      </c>
      <c r="G1013" t="s">
        <v>184</v>
      </c>
    </row>
    <row r="1014" spans="1:7" x14ac:dyDescent="0.35">
      <c r="A1014">
        <v>140</v>
      </c>
      <c r="B1014" t="s">
        <v>483</v>
      </c>
      <c r="C1014">
        <v>0</v>
      </c>
      <c r="D1014">
        <v>0</v>
      </c>
      <c r="E1014">
        <v>0</v>
      </c>
      <c r="F1014">
        <v>0</v>
      </c>
      <c r="G1014" t="s">
        <v>184</v>
      </c>
    </row>
    <row r="1015" spans="1:7" x14ac:dyDescent="0.35">
      <c r="A1015">
        <v>145</v>
      </c>
      <c r="B1015" t="s">
        <v>162</v>
      </c>
      <c r="C1015">
        <v>-1152634.44</v>
      </c>
      <c r="D1015">
        <v>0</v>
      </c>
      <c r="E1015">
        <v>2553678.7999999998</v>
      </c>
      <c r="F1015">
        <v>2553678.7999999998</v>
      </c>
      <c r="G1015" t="s">
        <v>184</v>
      </c>
    </row>
    <row r="1016" spans="1:7" x14ac:dyDescent="0.35">
      <c r="A1016">
        <v>150</v>
      </c>
      <c r="B1016" t="s">
        <v>484</v>
      </c>
      <c r="C1016">
        <v>5400555.1100000003</v>
      </c>
      <c r="D1016">
        <v>0</v>
      </c>
      <c r="E1016">
        <v>36115935.350000001</v>
      </c>
      <c r="F1016">
        <v>36115935.350000001</v>
      </c>
      <c r="G1016" t="s">
        <v>184</v>
      </c>
    </row>
    <row r="1017" spans="1:7" x14ac:dyDescent="0.35">
      <c r="A1017">
        <v>160</v>
      </c>
      <c r="B1017" t="s">
        <v>485</v>
      </c>
      <c r="C1017">
        <v>817628</v>
      </c>
      <c r="D1017">
        <v>0</v>
      </c>
      <c r="E1017">
        <v>6955432</v>
      </c>
      <c r="F1017">
        <v>6955432</v>
      </c>
      <c r="G1017" t="s">
        <v>184</v>
      </c>
    </row>
    <row r="1018" spans="1:7" x14ac:dyDescent="0.35">
      <c r="A1018">
        <v>170</v>
      </c>
      <c r="B1018" t="s">
        <v>166</v>
      </c>
      <c r="C1018">
        <v>4582927.1100000003</v>
      </c>
      <c r="D1018">
        <v>0</v>
      </c>
      <c r="E1018">
        <v>29160503.350000001</v>
      </c>
      <c r="F1018">
        <v>29160503.350000001</v>
      </c>
      <c r="G1018" t="s">
        <v>184</v>
      </c>
    </row>
    <row r="1019" spans="1:7" x14ac:dyDescent="0.35">
      <c r="A1019">
        <v>190</v>
      </c>
      <c r="B1019" t="s">
        <v>486</v>
      </c>
      <c r="C1019">
        <v>0</v>
      </c>
      <c r="D1019">
        <v>0</v>
      </c>
      <c r="E1019">
        <v>0</v>
      </c>
      <c r="F1019">
        <v>0</v>
      </c>
      <c r="G1019" t="s">
        <v>184</v>
      </c>
    </row>
    <row r="1020" spans="1:7" x14ac:dyDescent="0.35">
      <c r="A1020">
        <v>200</v>
      </c>
      <c r="B1020" t="s">
        <v>166</v>
      </c>
      <c r="C1020">
        <v>4582927.1100000003</v>
      </c>
      <c r="D1020">
        <v>0</v>
      </c>
      <c r="E1020">
        <v>29160503.350000001</v>
      </c>
      <c r="F1020">
        <v>29160503.350000001</v>
      </c>
      <c r="G1020" t="s">
        <v>184</v>
      </c>
    </row>
    <row r="1021" spans="1:7" x14ac:dyDescent="0.35">
      <c r="A1021">
        <v>210</v>
      </c>
      <c r="B1021" t="s">
        <v>487</v>
      </c>
      <c r="C1021">
        <v>4582927.1100000003</v>
      </c>
      <c r="D1021">
        <v>0</v>
      </c>
      <c r="E1021">
        <v>29160503.350000001</v>
      </c>
      <c r="F1021">
        <v>29160503.350000001</v>
      </c>
      <c r="G1021" t="s">
        <v>184</v>
      </c>
    </row>
    <row r="1022" spans="1:7" x14ac:dyDescent="0.35">
      <c r="A1022">
        <v>220</v>
      </c>
      <c r="B1022" t="s">
        <v>488</v>
      </c>
      <c r="C1022">
        <v>0</v>
      </c>
      <c r="D1022">
        <v>0</v>
      </c>
      <c r="E1022">
        <v>0</v>
      </c>
      <c r="F1022">
        <v>0</v>
      </c>
      <c r="G1022" t="s">
        <v>184</v>
      </c>
    </row>
    <row r="1023" spans="1:7" x14ac:dyDescent="0.35">
      <c r="A1023">
        <v>230</v>
      </c>
      <c r="B1023" t="s">
        <v>341</v>
      </c>
      <c r="C1023">
        <v>-381065.13</v>
      </c>
      <c r="D1023">
        <v>-22895218.329999998</v>
      </c>
      <c r="E1023">
        <v>-31032835.600000001</v>
      </c>
      <c r="F1023">
        <v>-8137617.2699999996</v>
      </c>
      <c r="G1023" t="s">
        <v>184</v>
      </c>
    </row>
    <row r="1024" spans="1:7" x14ac:dyDescent="0.35">
      <c r="A1024">
        <v>235</v>
      </c>
      <c r="B1024" t="s">
        <v>489</v>
      </c>
      <c r="C1024">
        <v>4744.0600000000004</v>
      </c>
      <c r="D1024">
        <v>-9219.69</v>
      </c>
      <c r="E1024">
        <v>-123346.25</v>
      </c>
      <c r="F1024">
        <v>-114126.56</v>
      </c>
      <c r="G1024" t="s">
        <v>184</v>
      </c>
    </row>
    <row r="1025" spans="1:7" x14ac:dyDescent="0.35">
      <c r="A1025">
        <v>240</v>
      </c>
      <c r="B1025" t="s">
        <v>342</v>
      </c>
      <c r="C1025">
        <v>-1486539.13</v>
      </c>
      <c r="D1025">
        <v>-15639621.800000001</v>
      </c>
      <c r="E1025">
        <v>-51634766.909999996</v>
      </c>
      <c r="F1025">
        <v>-35995145.109999999</v>
      </c>
      <c r="G1025" t="s">
        <v>184</v>
      </c>
    </row>
    <row r="1026" spans="1:7" x14ac:dyDescent="0.35">
      <c r="A1026">
        <v>250</v>
      </c>
      <c r="B1026" t="s">
        <v>343</v>
      </c>
      <c r="C1026">
        <v>1246353.42</v>
      </c>
      <c r="D1026">
        <v>-9856814.9600000009</v>
      </c>
      <c r="E1026">
        <v>-13039491.380000001</v>
      </c>
      <c r="F1026">
        <v>-3182676.42</v>
      </c>
      <c r="G1026" t="s">
        <v>184</v>
      </c>
    </row>
    <row r="1027" spans="1:7" x14ac:dyDescent="0.35">
      <c r="A1027">
        <v>260</v>
      </c>
      <c r="B1027" t="s">
        <v>490</v>
      </c>
      <c r="C1027">
        <v>171864.65</v>
      </c>
      <c r="D1027">
        <v>-829655.08</v>
      </c>
      <c r="E1027">
        <v>-3262810.62</v>
      </c>
      <c r="F1027">
        <v>-2433155.54</v>
      </c>
      <c r="G1027" t="s">
        <v>184</v>
      </c>
    </row>
    <row r="1028" spans="1:7" x14ac:dyDescent="0.35">
      <c r="A1028">
        <v>270</v>
      </c>
      <c r="B1028" t="s">
        <v>344</v>
      </c>
      <c r="C1028">
        <v>-471398.99</v>
      </c>
      <c r="D1028">
        <v>-14121149.4</v>
      </c>
      <c r="E1028">
        <v>-18802951.719999999</v>
      </c>
      <c r="F1028">
        <v>-4681802.32</v>
      </c>
      <c r="G1028" t="s">
        <v>184</v>
      </c>
    </row>
    <row r="1029" spans="1:7" x14ac:dyDescent="0.35">
      <c r="A1029">
        <v>300</v>
      </c>
      <c r="B1029" t="s">
        <v>367</v>
      </c>
      <c r="C1029">
        <v>-4365754.91</v>
      </c>
      <c r="D1029">
        <v>23792206.300000001</v>
      </c>
      <c r="E1029">
        <v>47812225.590000004</v>
      </c>
      <c r="F1029">
        <v>24020019.289999999</v>
      </c>
      <c r="G1029" t="s">
        <v>184</v>
      </c>
    </row>
    <row r="1030" spans="1:7" x14ac:dyDescent="0.35">
      <c r="A1030">
        <v>310</v>
      </c>
      <c r="B1030" t="s">
        <v>491</v>
      </c>
      <c r="C1030">
        <v>0</v>
      </c>
      <c r="D1030">
        <v>0</v>
      </c>
      <c r="E1030">
        <v>15000</v>
      </c>
      <c r="F1030">
        <v>15000</v>
      </c>
      <c r="G1030" t="s">
        <v>184</v>
      </c>
    </row>
    <row r="1031" spans="1:7" x14ac:dyDescent="0.35">
      <c r="A1031">
        <v>320</v>
      </c>
      <c r="B1031" t="s">
        <v>492</v>
      </c>
      <c r="C1031">
        <v>745250.2</v>
      </c>
      <c r="D1031">
        <v>2020677.24</v>
      </c>
      <c r="E1031">
        <v>10955005.01</v>
      </c>
      <c r="F1031">
        <v>8934327.7699999996</v>
      </c>
      <c r="G1031" t="s">
        <v>184</v>
      </c>
    </row>
    <row r="1032" spans="1:7" x14ac:dyDescent="0.35">
      <c r="A1032">
        <v>325</v>
      </c>
      <c r="B1032" t="s">
        <v>493</v>
      </c>
      <c r="C1032">
        <v>0</v>
      </c>
      <c r="D1032">
        <v>1460172.63</v>
      </c>
      <c r="E1032">
        <v>3592564.81</v>
      </c>
      <c r="F1032">
        <v>2132392.1800000002</v>
      </c>
      <c r="G1032" t="s">
        <v>184</v>
      </c>
    </row>
    <row r="1033" spans="1:7" x14ac:dyDescent="0.35">
      <c r="A1033">
        <v>330</v>
      </c>
      <c r="B1033" t="s">
        <v>494</v>
      </c>
      <c r="C1033">
        <v>68309.759999999995</v>
      </c>
      <c r="D1033">
        <v>335322.36</v>
      </c>
      <c r="E1033">
        <v>1439343.19</v>
      </c>
      <c r="F1033">
        <v>1104020.83</v>
      </c>
      <c r="G1033" t="s">
        <v>184</v>
      </c>
    </row>
    <row r="1034" spans="1:7" x14ac:dyDescent="0.35">
      <c r="A1034">
        <v>340</v>
      </c>
      <c r="B1034" t="s">
        <v>495</v>
      </c>
      <c r="C1034">
        <v>-160680.60999999999</v>
      </c>
      <c r="D1034">
        <v>4233779.13</v>
      </c>
      <c r="E1034">
        <v>3962009.43</v>
      </c>
      <c r="F1034">
        <v>-271769.7</v>
      </c>
      <c r="G1034" t="s">
        <v>184</v>
      </c>
    </row>
    <row r="1035" spans="1:7" x14ac:dyDescent="0.35">
      <c r="A1035">
        <v>380</v>
      </c>
      <c r="B1035" t="s">
        <v>496</v>
      </c>
      <c r="C1035">
        <v>-4628916.68</v>
      </c>
      <c r="D1035">
        <v>-31509521.600000001</v>
      </c>
      <c r="E1035">
        <v>-50120054.450000003</v>
      </c>
      <c r="F1035">
        <v>-18610532.850000001</v>
      </c>
      <c r="G1035" t="s">
        <v>184</v>
      </c>
    </row>
    <row r="1036" spans="1:7" x14ac:dyDescent="0.35">
      <c r="A1036">
        <v>390</v>
      </c>
      <c r="B1036" t="s">
        <v>497</v>
      </c>
      <c r="C1036">
        <v>0</v>
      </c>
      <c r="D1036">
        <v>0</v>
      </c>
      <c r="E1036">
        <v>0</v>
      </c>
      <c r="F1036">
        <v>0</v>
      </c>
      <c r="G1036" t="s">
        <v>184</v>
      </c>
    </row>
    <row r="1037" spans="1:7" x14ac:dyDescent="0.35">
      <c r="A1037">
        <v>400</v>
      </c>
      <c r="B1037" t="s">
        <v>498</v>
      </c>
      <c r="C1037">
        <v>-2427707.77</v>
      </c>
      <c r="D1037">
        <v>94218956.219999999</v>
      </c>
      <c r="E1037">
        <v>85398171.129999995</v>
      </c>
      <c r="F1037">
        <v>-8820785.0899999999</v>
      </c>
      <c r="G1037" t="s">
        <v>184</v>
      </c>
    </row>
    <row r="1038" spans="1:7" x14ac:dyDescent="0.35">
      <c r="A1038">
        <v>405</v>
      </c>
      <c r="B1038" t="s">
        <v>499</v>
      </c>
      <c r="C1038">
        <v>0</v>
      </c>
      <c r="D1038">
        <v>0</v>
      </c>
      <c r="E1038">
        <v>0</v>
      </c>
      <c r="F1038">
        <v>0</v>
      </c>
      <c r="G1038" t="s">
        <v>184</v>
      </c>
    </row>
    <row r="1039" spans="1:7" x14ac:dyDescent="0.35">
      <c r="A1039">
        <v>410</v>
      </c>
      <c r="B1039" t="s">
        <v>382</v>
      </c>
      <c r="C1039">
        <v>0</v>
      </c>
      <c r="D1039">
        <v>90900</v>
      </c>
      <c r="E1039">
        <v>90900</v>
      </c>
      <c r="F1039">
        <v>0</v>
      </c>
      <c r="G1039" t="s">
        <v>184</v>
      </c>
    </row>
    <row r="1040" spans="1:7" x14ac:dyDescent="0.35">
      <c r="A1040">
        <v>420</v>
      </c>
      <c r="B1040" t="s">
        <v>500</v>
      </c>
      <c r="C1040">
        <v>0</v>
      </c>
      <c r="D1040">
        <v>-1434547.8</v>
      </c>
      <c r="E1040">
        <v>-1434547.8</v>
      </c>
      <c r="F1040">
        <v>0</v>
      </c>
      <c r="G1040" t="s">
        <v>184</v>
      </c>
    </row>
    <row r="1041" spans="1:7" x14ac:dyDescent="0.35">
      <c r="A1041">
        <v>425</v>
      </c>
      <c r="B1041" t="s">
        <v>501</v>
      </c>
      <c r="C1041">
        <v>0</v>
      </c>
      <c r="D1041">
        <v>0</v>
      </c>
      <c r="E1041">
        <v>0</v>
      </c>
      <c r="F1041">
        <v>0</v>
      </c>
      <c r="G1041" t="s">
        <v>184</v>
      </c>
    </row>
    <row r="1042" spans="1:7" x14ac:dyDescent="0.35">
      <c r="A1042">
        <v>427</v>
      </c>
      <c r="B1042" t="s">
        <v>502</v>
      </c>
      <c r="C1042">
        <v>0</v>
      </c>
      <c r="D1042">
        <v>0</v>
      </c>
      <c r="E1042">
        <v>0</v>
      </c>
      <c r="F1042">
        <v>0</v>
      </c>
      <c r="G1042" t="s">
        <v>184</v>
      </c>
    </row>
    <row r="1043" spans="1:7" x14ac:dyDescent="0.35">
      <c r="A1043">
        <v>430</v>
      </c>
      <c r="B1043" t="s">
        <v>503</v>
      </c>
      <c r="C1043">
        <v>0</v>
      </c>
      <c r="D1043">
        <v>21760056.059999999</v>
      </c>
      <c r="E1043">
        <v>18628210.530000001</v>
      </c>
      <c r="F1043">
        <v>-3131845.53</v>
      </c>
      <c r="G1043" t="s">
        <v>184</v>
      </c>
    </row>
    <row r="1044" spans="1:7" x14ac:dyDescent="0.35">
      <c r="A1044">
        <v>440</v>
      </c>
      <c r="B1044" t="s">
        <v>504</v>
      </c>
      <c r="C1044">
        <v>-2427707.77</v>
      </c>
      <c r="D1044">
        <v>114635364.48</v>
      </c>
      <c r="E1044">
        <v>102682733.86</v>
      </c>
      <c r="F1044">
        <v>-11952630.619999999</v>
      </c>
      <c r="G1044" t="s">
        <v>184</v>
      </c>
    </row>
    <row r="1045" spans="1:7" x14ac:dyDescent="0.35">
      <c r="A1045">
        <v>450</v>
      </c>
      <c r="B1045" t="s">
        <v>505</v>
      </c>
      <c r="C1045">
        <v>0</v>
      </c>
      <c r="D1045">
        <v>0</v>
      </c>
      <c r="E1045">
        <v>0</v>
      </c>
      <c r="F1045">
        <v>0</v>
      </c>
      <c r="G1045" t="s">
        <v>184</v>
      </c>
    </row>
    <row r="1046" spans="1:7" x14ac:dyDescent="0.35">
      <c r="A1046">
        <v>455</v>
      </c>
      <c r="B1046" t="s">
        <v>349</v>
      </c>
      <c r="C1046">
        <v>0</v>
      </c>
      <c r="D1046">
        <v>-48526283.390000001</v>
      </c>
      <c r="E1046">
        <v>-55057936.549999997</v>
      </c>
      <c r="F1046">
        <v>-6531653.1600000001</v>
      </c>
      <c r="G1046" t="s">
        <v>184</v>
      </c>
    </row>
    <row r="1047" spans="1:7" x14ac:dyDescent="0.35">
      <c r="A1047">
        <v>456</v>
      </c>
      <c r="B1047" t="s">
        <v>506</v>
      </c>
      <c r="C1047">
        <v>155656.19</v>
      </c>
      <c r="D1047">
        <v>3225790.09</v>
      </c>
      <c r="E1047">
        <v>4448750.7</v>
      </c>
      <c r="F1047">
        <v>1222960.6100000001</v>
      </c>
      <c r="G1047" t="s">
        <v>184</v>
      </c>
    </row>
    <row r="1048" spans="1:7" x14ac:dyDescent="0.35">
      <c r="A1048">
        <v>460</v>
      </c>
      <c r="B1048" t="s">
        <v>353</v>
      </c>
      <c r="C1048">
        <v>-11224.45</v>
      </c>
      <c r="D1048">
        <v>-26409078.18</v>
      </c>
      <c r="E1048">
        <v>-28638859.079999998</v>
      </c>
      <c r="F1048">
        <v>-2229780.9</v>
      </c>
      <c r="G1048" t="s">
        <v>184</v>
      </c>
    </row>
    <row r="1049" spans="1:7" x14ac:dyDescent="0.35">
      <c r="A1049">
        <v>470</v>
      </c>
      <c r="B1049" t="s">
        <v>507</v>
      </c>
      <c r="C1049">
        <v>248853.49</v>
      </c>
      <c r="D1049">
        <v>3555452.8</v>
      </c>
      <c r="E1049">
        <v>5545168.6799999997</v>
      </c>
      <c r="F1049">
        <v>1989715.88</v>
      </c>
      <c r="G1049" t="s">
        <v>184</v>
      </c>
    </row>
    <row r="1050" spans="1:7" x14ac:dyDescent="0.35">
      <c r="A1050">
        <v>480</v>
      </c>
      <c r="B1050" t="s">
        <v>352</v>
      </c>
      <c r="C1050">
        <v>0</v>
      </c>
      <c r="D1050">
        <v>-650873.72</v>
      </c>
      <c r="E1050">
        <v>-910773.72</v>
      </c>
      <c r="F1050">
        <v>-259900</v>
      </c>
      <c r="G1050" t="s">
        <v>184</v>
      </c>
    </row>
    <row r="1051" spans="1:7" x14ac:dyDescent="0.35">
      <c r="A1051">
        <v>490</v>
      </c>
      <c r="B1051" t="s">
        <v>508</v>
      </c>
      <c r="C1051">
        <v>7680.86</v>
      </c>
      <c r="D1051">
        <v>74783.91</v>
      </c>
      <c r="E1051">
        <v>132582.47</v>
      </c>
      <c r="F1051">
        <v>57798.559999999998</v>
      </c>
      <c r="G1051" t="s">
        <v>184</v>
      </c>
    </row>
    <row r="1052" spans="1:7" x14ac:dyDescent="0.35">
      <c r="A1052">
        <v>500</v>
      </c>
      <c r="B1052" t="s">
        <v>351</v>
      </c>
      <c r="C1052">
        <v>-43984</v>
      </c>
      <c r="D1052">
        <v>-5038919.03</v>
      </c>
      <c r="E1052">
        <v>-5543910.25</v>
      </c>
      <c r="F1052">
        <v>-504991.22</v>
      </c>
      <c r="G1052" t="s">
        <v>184</v>
      </c>
    </row>
    <row r="1053" spans="1:7" x14ac:dyDescent="0.35">
      <c r="A1053">
        <v>510</v>
      </c>
      <c r="B1053" t="s">
        <v>509</v>
      </c>
      <c r="C1053">
        <v>54769.71</v>
      </c>
      <c r="D1053">
        <v>2271747</v>
      </c>
      <c r="E1053">
        <v>2786903.73</v>
      </c>
      <c r="F1053">
        <v>515156.73</v>
      </c>
      <c r="G1053" t="s">
        <v>184</v>
      </c>
    </row>
    <row r="1054" spans="1:7" x14ac:dyDescent="0.35">
      <c r="A1054">
        <v>512</v>
      </c>
      <c r="B1054" t="s">
        <v>510</v>
      </c>
      <c r="C1054">
        <v>-14060</v>
      </c>
      <c r="D1054">
        <v>-504077.82</v>
      </c>
      <c r="E1054">
        <v>-525249.88</v>
      </c>
      <c r="F1054">
        <v>-21172.06</v>
      </c>
      <c r="G1054" t="s">
        <v>184</v>
      </c>
    </row>
    <row r="1055" spans="1:7" x14ac:dyDescent="0.35">
      <c r="A1055">
        <v>514</v>
      </c>
      <c r="B1055" t="s">
        <v>511</v>
      </c>
      <c r="C1055">
        <v>4274.53</v>
      </c>
      <c r="D1055">
        <v>162729.12</v>
      </c>
      <c r="E1055">
        <v>200595.38</v>
      </c>
      <c r="F1055">
        <v>37866.26</v>
      </c>
      <c r="G1055" t="s">
        <v>184</v>
      </c>
    </row>
    <row r="1056" spans="1:7" x14ac:dyDescent="0.35">
      <c r="A1056">
        <v>520</v>
      </c>
      <c r="B1056" t="s">
        <v>512</v>
      </c>
      <c r="C1056">
        <v>0</v>
      </c>
      <c r="D1056">
        <v>0</v>
      </c>
      <c r="E1056">
        <v>0</v>
      </c>
      <c r="F1056">
        <v>0</v>
      </c>
      <c r="G1056" t="s">
        <v>184</v>
      </c>
    </row>
    <row r="1057" spans="1:7" x14ac:dyDescent="0.35">
      <c r="A1057">
        <v>530</v>
      </c>
      <c r="B1057" t="s">
        <v>513</v>
      </c>
      <c r="C1057">
        <v>0</v>
      </c>
      <c r="D1057">
        <v>0</v>
      </c>
      <c r="E1057">
        <v>0</v>
      </c>
      <c r="F1057">
        <v>0</v>
      </c>
      <c r="G1057" t="s">
        <v>184</v>
      </c>
    </row>
    <row r="1058" spans="1:7" x14ac:dyDescent="0.35">
      <c r="A1058">
        <v>540</v>
      </c>
      <c r="B1058" t="s">
        <v>514</v>
      </c>
      <c r="C1058">
        <v>0</v>
      </c>
      <c r="D1058">
        <v>0</v>
      </c>
      <c r="E1058">
        <v>0</v>
      </c>
      <c r="F1058">
        <v>0</v>
      </c>
      <c r="G1058" t="s">
        <v>184</v>
      </c>
    </row>
    <row r="1059" spans="1:7" x14ac:dyDescent="0.35">
      <c r="A1059">
        <v>550</v>
      </c>
      <c r="B1059" t="s">
        <v>515</v>
      </c>
      <c r="C1059">
        <v>0</v>
      </c>
      <c r="D1059">
        <v>0</v>
      </c>
      <c r="E1059">
        <v>0</v>
      </c>
      <c r="F1059">
        <v>0</v>
      </c>
      <c r="G1059" t="s">
        <v>184</v>
      </c>
    </row>
    <row r="1060" spans="1:7" x14ac:dyDescent="0.35">
      <c r="A1060">
        <v>560</v>
      </c>
      <c r="B1060" t="s">
        <v>516</v>
      </c>
      <c r="C1060">
        <v>0</v>
      </c>
      <c r="D1060">
        <v>0</v>
      </c>
      <c r="E1060">
        <v>0</v>
      </c>
      <c r="F1060">
        <v>0</v>
      </c>
      <c r="G1060" t="s">
        <v>184</v>
      </c>
    </row>
    <row r="1061" spans="1:7" x14ac:dyDescent="0.35">
      <c r="A1061">
        <v>570</v>
      </c>
      <c r="B1061" t="s">
        <v>517</v>
      </c>
      <c r="C1061">
        <v>0</v>
      </c>
      <c r="D1061">
        <v>0</v>
      </c>
      <c r="E1061">
        <v>0</v>
      </c>
      <c r="F1061">
        <v>0</v>
      </c>
      <c r="G1061" t="s">
        <v>184</v>
      </c>
    </row>
    <row r="1062" spans="1:7" x14ac:dyDescent="0.35">
      <c r="A1062">
        <v>580</v>
      </c>
      <c r="B1062" t="s">
        <v>518</v>
      </c>
      <c r="C1062">
        <v>0</v>
      </c>
      <c r="D1062">
        <v>0</v>
      </c>
      <c r="E1062">
        <v>0</v>
      </c>
      <c r="F1062">
        <v>0</v>
      </c>
      <c r="G1062" t="s">
        <v>184</v>
      </c>
    </row>
    <row r="1063" spans="1:7" x14ac:dyDescent="0.35">
      <c r="A1063">
        <v>590</v>
      </c>
      <c r="B1063" t="s">
        <v>519</v>
      </c>
      <c r="C1063">
        <v>0</v>
      </c>
      <c r="D1063">
        <v>0</v>
      </c>
      <c r="E1063">
        <v>0</v>
      </c>
      <c r="F1063">
        <v>0</v>
      </c>
      <c r="G1063" t="s">
        <v>184</v>
      </c>
    </row>
    <row r="1064" spans="1:7" x14ac:dyDescent="0.35">
      <c r="A1064">
        <v>600</v>
      </c>
      <c r="B1064" t="s">
        <v>520</v>
      </c>
      <c r="C1064">
        <v>0</v>
      </c>
      <c r="D1064">
        <v>0</v>
      </c>
      <c r="E1064">
        <v>0</v>
      </c>
      <c r="F1064">
        <v>0</v>
      </c>
      <c r="G1064" t="s">
        <v>184</v>
      </c>
    </row>
    <row r="1065" spans="1:7" x14ac:dyDescent="0.35">
      <c r="A1065">
        <v>610</v>
      </c>
      <c r="B1065" t="s">
        <v>521</v>
      </c>
      <c r="C1065">
        <v>0</v>
      </c>
      <c r="D1065">
        <v>0</v>
      </c>
      <c r="E1065">
        <v>0</v>
      </c>
      <c r="F1065">
        <v>0</v>
      </c>
      <c r="G1065" t="s">
        <v>184</v>
      </c>
    </row>
    <row r="1066" spans="1:7" x14ac:dyDescent="0.35">
      <c r="A1066">
        <v>615</v>
      </c>
      <c r="B1066" t="s">
        <v>550</v>
      </c>
      <c r="C1066">
        <v>0</v>
      </c>
      <c r="D1066">
        <v>-8385308.3300000001</v>
      </c>
      <c r="E1066">
        <v>0</v>
      </c>
      <c r="F1066">
        <v>8385308.3300000001</v>
      </c>
      <c r="G1066" t="s">
        <v>184</v>
      </c>
    </row>
    <row r="1067" spans="1:7" x14ac:dyDescent="0.35">
      <c r="A1067">
        <v>620</v>
      </c>
      <c r="B1067" t="s">
        <v>522</v>
      </c>
      <c r="C1067">
        <v>0</v>
      </c>
      <c r="D1067">
        <v>0</v>
      </c>
      <c r="E1067">
        <v>0</v>
      </c>
      <c r="F1067">
        <v>0</v>
      </c>
      <c r="G1067" t="s">
        <v>184</v>
      </c>
    </row>
    <row r="1068" spans="1:7" x14ac:dyDescent="0.35">
      <c r="A1068">
        <v>630</v>
      </c>
      <c r="B1068" t="s">
        <v>523</v>
      </c>
      <c r="C1068">
        <v>0</v>
      </c>
      <c r="D1068">
        <v>0</v>
      </c>
      <c r="E1068">
        <v>0</v>
      </c>
      <c r="F1068">
        <v>0</v>
      </c>
      <c r="G1068" t="s">
        <v>184</v>
      </c>
    </row>
    <row r="1069" spans="1:7" x14ac:dyDescent="0.35">
      <c r="A1069">
        <v>635</v>
      </c>
      <c r="B1069" t="s">
        <v>551</v>
      </c>
      <c r="C1069">
        <v>0</v>
      </c>
      <c r="D1069">
        <v>0</v>
      </c>
      <c r="E1069">
        <v>0</v>
      </c>
      <c r="F1069">
        <v>0</v>
      </c>
      <c r="G1069" t="s">
        <v>184</v>
      </c>
    </row>
    <row r="1070" spans="1:7" x14ac:dyDescent="0.35">
      <c r="A1070">
        <v>640</v>
      </c>
      <c r="B1070" t="s">
        <v>524</v>
      </c>
      <c r="C1070">
        <v>401966.33</v>
      </c>
      <c r="D1070">
        <v>-80224037.549999997</v>
      </c>
      <c r="E1070">
        <v>-77562728.519999996</v>
      </c>
      <c r="F1070">
        <v>2661309.0299999998</v>
      </c>
      <c r="G1070" t="s">
        <v>184</v>
      </c>
    </row>
    <row r="1071" spans="1:7" x14ac:dyDescent="0.35">
      <c r="A1071">
        <v>650</v>
      </c>
      <c r="B1071" t="s">
        <v>525</v>
      </c>
      <c r="C1071">
        <v>-2071731.01</v>
      </c>
      <c r="D1071">
        <v>2901805.33</v>
      </c>
      <c r="E1071">
        <v>4160454.24</v>
      </c>
      <c r="F1071">
        <v>1258648.9099999999</v>
      </c>
      <c r="G1071" t="s">
        <v>184</v>
      </c>
    </row>
    <row r="1072" spans="1:7" x14ac:dyDescent="0.35">
      <c r="A1072" t="s">
        <v>248</v>
      </c>
      <c r="B1072" t="s">
        <v>172</v>
      </c>
      <c r="C1072" t="s">
        <v>468</v>
      </c>
      <c r="D1072" t="s">
        <v>469</v>
      </c>
      <c r="E1072" t="s">
        <v>470</v>
      </c>
      <c r="F1072" t="s">
        <v>471</v>
      </c>
      <c r="G1072" t="s">
        <v>183</v>
      </c>
    </row>
    <row r="1073" spans="1:7" x14ac:dyDescent="0.35">
      <c r="A1073">
        <v>10</v>
      </c>
      <c r="B1073" t="s">
        <v>472</v>
      </c>
      <c r="C1073">
        <v>0</v>
      </c>
      <c r="D1073">
        <v>0</v>
      </c>
      <c r="E1073">
        <v>0</v>
      </c>
      <c r="F1073">
        <v>0</v>
      </c>
      <c r="G1073" t="s">
        <v>184</v>
      </c>
    </row>
    <row r="1074" spans="1:7" x14ac:dyDescent="0.35">
      <c r="A1074">
        <v>20</v>
      </c>
      <c r="B1074" t="s">
        <v>147</v>
      </c>
      <c r="C1074">
        <v>1896692.77</v>
      </c>
      <c r="D1074">
        <v>0</v>
      </c>
      <c r="E1074">
        <v>19524238.68</v>
      </c>
      <c r="F1074">
        <v>19524238.68</v>
      </c>
      <c r="G1074" t="s">
        <v>184</v>
      </c>
    </row>
    <row r="1075" spans="1:7" x14ac:dyDescent="0.35">
      <c r="A1075">
        <v>30</v>
      </c>
      <c r="B1075" t="s">
        <v>473</v>
      </c>
      <c r="C1075">
        <v>79266.77</v>
      </c>
      <c r="D1075">
        <v>0</v>
      </c>
      <c r="E1075">
        <v>667834.53</v>
      </c>
      <c r="F1075">
        <v>667834.53</v>
      </c>
      <c r="G1075" t="s">
        <v>184</v>
      </c>
    </row>
    <row r="1076" spans="1:7" x14ac:dyDescent="0.35">
      <c r="A1076">
        <v>35</v>
      </c>
      <c r="B1076" t="s">
        <v>474</v>
      </c>
      <c r="C1076">
        <v>1975959.54</v>
      </c>
      <c r="D1076">
        <v>0</v>
      </c>
      <c r="E1076">
        <v>20192073.210000001</v>
      </c>
      <c r="F1076">
        <v>20192073.210000001</v>
      </c>
      <c r="G1076" t="s">
        <v>184</v>
      </c>
    </row>
    <row r="1077" spans="1:7" x14ac:dyDescent="0.35">
      <c r="A1077">
        <v>40</v>
      </c>
      <c r="B1077" t="s">
        <v>475</v>
      </c>
      <c r="C1077">
        <v>870397.46</v>
      </c>
      <c r="D1077">
        <v>0</v>
      </c>
      <c r="E1077">
        <v>10564811.23</v>
      </c>
      <c r="F1077">
        <v>10564811.23</v>
      </c>
      <c r="G1077" t="s">
        <v>184</v>
      </c>
    </row>
    <row r="1078" spans="1:7" x14ac:dyDescent="0.35">
      <c r="A1078">
        <v>50</v>
      </c>
      <c r="B1078" t="s">
        <v>476</v>
      </c>
      <c r="C1078">
        <v>0</v>
      </c>
      <c r="D1078">
        <v>0</v>
      </c>
      <c r="E1078">
        <v>0</v>
      </c>
      <c r="F1078">
        <v>0</v>
      </c>
      <c r="G1078" t="s">
        <v>184</v>
      </c>
    </row>
    <row r="1079" spans="1:7" x14ac:dyDescent="0.35">
      <c r="A1079">
        <v>60</v>
      </c>
      <c r="B1079" t="s">
        <v>477</v>
      </c>
      <c r="C1079">
        <v>1105562.08</v>
      </c>
      <c r="D1079">
        <v>0</v>
      </c>
      <c r="E1079">
        <v>9627261.9800000004</v>
      </c>
      <c r="F1079">
        <v>9627261.9800000004</v>
      </c>
      <c r="G1079" t="s">
        <v>184</v>
      </c>
    </row>
    <row r="1080" spans="1:7" x14ac:dyDescent="0.35">
      <c r="A1080">
        <v>70</v>
      </c>
      <c r="B1080" t="s">
        <v>152</v>
      </c>
      <c r="C1080">
        <v>810199.53</v>
      </c>
      <c r="D1080">
        <v>0</v>
      </c>
      <c r="E1080">
        <v>9484770.8900000006</v>
      </c>
      <c r="F1080">
        <v>9484770.8900000006</v>
      </c>
      <c r="G1080" t="s">
        <v>184</v>
      </c>
    </row>
    <row r="1081" spans="1:7" x14ac:dyDescent="0.35">
      <c r="A1081">
        <v>80</v>
      </c>
      <c r="B1081" t="s">
        <v>153</v>
      </c>
      <c r="C1081">
        <v>0</v>
      </c>
      <c r="D1081">
        <v>0</v>
      </c>
      <c r="E1081">
        <v>0</v>
      </c>
      <c r="F1081">
        <v>0</v>
      </c>
      <c r="G1081" t="s">
        <v>184</v>
      </c>
    </row>
    <row r="1082" spans="1:7" x14ac:dyDescent="0.35">
      <c r="A1082">
        <v>90</v>
      </c>
      <c r="B1082" t="s">
        <v>478</v>
      </c>
      <c r="C1082">
        <v>265911.81</v>
      </c>
      <c r="D1082">
        <v>0</v>
      </c>
      <c r="E1082">
        <v>2238916.9700000002</v>
      </c>
      <c r="F1082">
        <v>2238916.9700000002</v>
      </c>
      <c r="G1082" t="s">
        <v>184</v>
      </c>
    </row>
    <row r="1083" spans="1:7" x14ac:dyDescent="0.35">
      <c r="A1083">
        <v>100</v>
      </c>
      <c r="B1083" t="s">
        <v>479</v>
      </c>
      <c r="C1083">
        <v>29450.74</v>
      </c>
      <c r="D1083">
        <v>0</v>
      </c>
      <c r="E1083">
        <v>-2096425.88</v>
      </c>
      <c r="F1083">
        <v>-2096425.88</v>
      </c>
      <c r="G1083" t="s">
        <v>184</v>
      </c>
    </row>
    <row r="1084" spans="1:7" x14ac:dyDescent="0.35">
      <c r="A1084">
        <v>110</v>
      </c>
      <c r="B1084" t="s">
        <v>480</v>
      </c>
      <c r="C1084">
        <v>0</v>
      </c>
      <c r="D1084">
        <v>0</v>
      </c>
      <c r="E1084">
        <v>0</v>
      </c>
      <c r="F1084">
        <v>0</v>
      </c>
      <c r="G1084" t="s">
        <v>184</v>
      </c>
    </row>
    <row r="1085" spans="1:7" x14ac:dyDescent="0.35">
      <c r="A1085">
        <v>120</v>
      </c>
      <c r="B1085" t="s">
        <v>481</v>
      </c>
      <c r="C1085">
        <v>-6.55</v>
      </c>
      <c r="D1085">
        <v>0</v>
      </c>
      <c r="E1085">
        <v>-62.6</v>
      </c>
      <c r="F1085">
        <v>-62.6</v>
      </c>
      <c r="G1085" t="s">
        <v>184</v>
      </c>
    </row>
    <row r="1086" spans="1:7" x14ac:dyDescent="0.35">
      <c r="A1086">
        <v>130</v>
      </c>
      <c r="B1086" t="s">
        <v>482</v>
      </c>
      <c r="C1086">
        <v>0</v>
      </c>
      <c r="D1086">
        <v>0</v>
      </c>
      <c r="E1086">
        <v>0</v>
      </c>
      <c r="F1086">
        <v>0</v>
      </c>
      <c r="G1086" t="s">
        <v>184</v>
      </c>
    </row>
    <row r="1087" spans="1:7" x14ac:dyDescent="0.35">
      <c r="A1087">
        <v>140</v>
      </c>
      <c r="B1087" t="s">
        <v>483</v>
      </c>
      <c r="C1087">
        <v>1.1200000000000001</v>
      </c>
      <c r="D1087">
        <v>0</v>
      </c>
      <c r="E1087">
        <v>32.119999999999997</v>
      </c>
      <c r="F1087">
        <v>32.119999999999997</v>
      </c>
      <c r="G1087" t="s">
        <v>184</v>
      </c>
    </row>
    <row r="1088" spans="1:7" x14ac:dyDescent="0.35">
      <c r="A1088">
        <v>145</v>
      </c>
      <c r="B1088" t="s">
        <v>162</v>
      </c>
      <c r="C1088">
        <v>-7.67</v>
      </c>
      <c r="D1088">
        <v>0</v>
      </c>
      <c r="E1088">
        <v>-94.72</v>
      </c>
      <c r="F1088">
        <v>-94.72</v>
      </c>
      <c r="G1088" t="s">
        <v>184</v>
      </c>
    </row>
    <row r="1089" spans="1:7" x14ac:dyDescent="0.35">
      <c r="A1089">
        <v>150</v>
      </c>
      <c r="B1089" t="s">
        <v>484</v>
      </c>
      <c r="C1089">
        <v>29458.41</v>
      </c>
      <c r="D1089">
        <v>0</v>
      </c>
      <c r="E1089">
        <v>-2096331.16</v>
      </c>
      <c r="F1089">
        <v>-2096331.16</v>
      </c>
      <c r="G1089" t="s">
        <v>184</v>
      </c>
    </row>
    <row r="1090" spans="1:7" x14ac:dyDescent="0.35">
      <c r="A1090">
        <v>160</v>
      </c>
      <c r="B1090" t="s">
        <v>485</v>
      </c>
      <c r="C1090">
        <v>34199</v>
      </c>
      <c r="D1090">
        <v>0</v>
      </c>
      <c r="E1090">
        <v>127943</v>
      </c>
      <c r="F1090">
        <v>127943</v>
      </c>
      <c r="G1090" t="s">
        <v>184</v>
      </c>
    </row>
    <row r="1091" spans="1:7" x14ac:dyDescent="0.35">
      <c r="A1091">
        <v>170</v>
      </c>
      <c r="B1091" t="s">
        <v>166</v>
      </c>
      <c r="C1091">
        <v>-4740.59</v>
      </c>
      <c r="D1091">
        <v>0</v>
      </c>
      <c r="E1091">
        <v>-2224274.16</v>
      </c>
      <c r="F1091">
        <v>-2224274.16</v>
      </c>
      <c r="G1091" t="s">
        <v>184</v>
      </c>
    </row>
    <row r="1092" spans="1:7" x14ac:dyDescent="0.35">
      <c r="A1092">
        <v>190</v>
      </c>
      <c r="B1092" t="s">
        <v>486</v>
      </c>
      <c r="C1092">
        <v>0</v>
      </c>
      <c r="D1092">
        <v>0</v>
      </c>
      <c r="E1092">
        <v>0</v>
      </c>
      <c r="F1092">
        <v>0</v>
      </c>
      <c r="G1092" t="s">
        <v>184</v>
      </c>
    </row>
    <row r="1093" spans="1:7" x14ac:dyDescent="0.35">
      <c r="A1093">
        <v>200</v>
      </c>
      <c r="B1093" t="s">
        <v>166</v>
      </c>
      <c r="C1093">
        <v>-4740.59</v>
      </c>
      <c r="D1093">
        <v>0</v>
      </c>
      <c r="E1093">
        <v>-2224274.16</v>
      </c>
      <c r="F1093">
        <v>-2224274.16</v>
      </c>
      <c r="G1093" t="s">
        <v>184</v>
      </c>
    </row>
    <row r="1094" spans="1:7" x14ac:dyDescent="0.35">
      <c r="A1094">
        <v>210</v>
      </c>
      <c r="B1094" t="s">
        <v>487</v>
      </c>
      <c r="C1094">
        <v>-4740.59</v>
      </c>
      <c r="D1094">
        <v>0</v>
      </c>
      <c r="E1094">
        <v>-2224274.16</v>
      </c>
      <c r="F1094">
        <v>-2224274.16</v>
      </c>
      <c r="G1094" t="s">
        <v>184</v>
      </c>
    </row>
    <row r="1095" spans="1:7" x14ac:dyDescent="0.35">
      <c r="A1095">
        <v>220</v>
      </c>
      <c r="B1095" t="s">
        <v>488</v>
      </c>
      <c r="C1095">
        <v>0</v>
      </c>
      <c r="D1095">
        <v>0</v>
      </c>
      <c r="E1095">
        <v>0</v>
      </c>
      <c r="F1095">
        <v>0</v>
      </c>
      <c r="G1095" t="s">
        <v>184</v>
      </c>
    </row>
    <row r="1096" spans="1:7" x14ac:dyDescent="0.35">
      <c r="A1096">
        <v>230</v>
      </c>
      <c r="B1096" t="s">
        <v>341</v>
      </c>
      <c r="C1096">
        <v>196046.31</v>
      </c>
      <c r="D1096">
        <v>-3408138.7</v>
      </c>
      <c r="E1096">
        <v>-3662532.33</v>
      </c>
      <c r="F1096">
        <v>-254393.63</v>
      </c>
      <c r="G1096" t="s">
        <v>184</v>
      </c>
    </row>
    <row r="1097" spans="1:7" x14ac:dyDescent="0.35">
      <c r="A1097">
        <v>235</v>
      </c>
      <c r="B1097" t="s">
        <v>489</v>
      </c>
      <c r="C1097">
        <v>1800</v>
      </c>
      <c r="D1097">
        <v>-2192.33</v>
      </c>
      <c r="E1097">
        <v>900</v>
      </c>
      <c r="F1097">
        <v>3092.33</v>
      </c>
      <c r="G1097" t="s">
        <v>184</v>
      </c>
    </row>
    <row r="1098" spans="1:7" x14ac:dyDescent="0.35">
      <c r="A1098">
        <v>240</v>
      </c>
      <c r="B1098" t="s">
        <v>342</v>
      </c>
      <c r="C1098">
        <v>48856.3</v>
      </c>
      <c r="D1098">
        <v>-5683030.1399999997</v>
      </c>
      <c r="E1098">
        <v>-5686353.5800000001</v>
      </c>
      <c r="F1098">
        <v>-3323.44</v>
      </c>
      <c r="G1098" t="s">
        <v>184</v>
      </c>
    </row>
    <row r="1099" spans="1:7" x14ac:dyDescent="0.35">
      <c r="A1099">
        <v>250</v>
      </c>
      <c r="B1099" t="s">
        <v>343</v>
      </c>
      <c r="C1099">
        <v>-149806.91</v>
      </c>
      <c r="D1099">
        <v>-590951.97</v>
      </c>
      <c r="E1099">
        <v>-488091.84</v>
      </c>
      <c r="F1099">
        <v>102860.13</v>
      </c>
      <c r="G1099" t="s">
        <v>184</v>
      </c>
    </row>
    <row r="1100" spans="1:7" x14ac:dyDescent="0.35">
      <c r="A1100">
        <v>260</v>
      </c>
      <c r="B1100" t="s">
        <v>490</v>
      </c>
      <c r="C1100">
        <v>-28525.200000000001</v>
      </c>
      <c r="D1100">
        <v>-8741088.0999999996</v>
      </c>
      <c r="E1100">
        <v>-9433141.5</v>
      </c>
      <c r="F1100">
        <v>-692053.4</v>
      </c>
      <c r="G1100" t="s">
        <v>184</v>
      </c>
    </row>
    <row r="1101" spans="1:7" x14ac:dyDescent="0.35">
      <c r="A1101">
        <v>270</v>
      </c>
      <c r="B1101" t="s">
        <v>344</v>
      </c>
      <c r="C1101">
        <v>-0.12</v>
      </c>
      <c r="D1101">
        <v>-7.8</v>
      </c>
      <c r="E1101">
        <v>-2.92</v>
      </c>
      <c r="F1101">
        <v>4.88</v>
      </c>
      <c r="G1101" t="s">
        <v>184</v>
      </c>
    </row>
    <row r="1102" spans="1:7" x14ac:dyDescent="0.35">
      <c r="A1102">
        <v>300</v>
      </c>
      <c r="B1102" t="s">
        <v>367</v>
      </c>
      <c r="C1102">
        <v>1184966.3400000001</v>
      </c>
      <c r="D1102">
        <v>2229320.64</v>
      </c>
      <c r="E1102">
        <v>6700088.96</v>
      </c>
      <c r="F1102">
        <v>4470768.32</v>
      </c>
      <c r="G1102" t="s">
        <v>184</v>
      </c>
    </row>
    <row r="1103" spans="1:7" x14ac:dyDescent="0.35">
      <c r="A1103">
        <v>310</v>
      </c>
      <c r="B1103" t="s">
        <v>491</v>
      </c>
      <c r="C1103">
        <v>0</v>
      </c>
      <c r="D1103">
        <v>0</v>
      </c>
      <c r="E1103">
        <v>0</v>
      </c>
      <c r="F1103">
        <v>0</v>
      </c>
      <c r="G1103" t="s">
        <v>184</v>
      </c>
    </row>
    <row r="1104" spans="1:7" x14ac:dyDescent="0.35">
      <c r="A1104">
        <v>320</v>
      </c>
      <c r="B1104" t="s">
        <v>492</v>
      </c>
      <c r="C1104">
        <v>-990195.16</v>
      </c>
      <c r="D1104">
        <v>6004385.79</v>
      </c>
      <c r="E1104">
        <v>1430209.95</v>
      </c>
      <c r="F1104">
        <v>-4574175.84</v>
      </c>
      <c r="G1104" t="s">
        <v>184</v>
      </c>
    </row>
    <row r="1105" spans="1:7" x14ac:dyDescent="0.35">
      <c r="A1105">
        <v>325</v>
      </c>
      <c r="B1105" t="s">
        <v>493</v>
      </c>
      <c r="C1105">
        <v>9911.2999999999993</v>
      </c>
      <c r="D1105">
        <v>81923.42</v>
      </c>
      <c r="E1105">
        <v>171125.12</v>
      </c>
      <c r="F1105">
        <v>89201.7</v>
      </c>
      <c r="G1105" t="s">
        <v>184</v>
      </c>
    </row>
    <row r="1106" spans="1:7" x14ac:dyDescent="0.35">
      <c r="A1106">
        <v>330</v>
      </c>
      <c r="B1106" t="s">
        <v>494</v>
      </c>
      <c r="C1106">
        <v>-25369.95</v>
      </c>
      <c r="D1106">
        <v>1354401.78</v>
      </c>
      <c r="E1106">
        <v>1577888.64</v>
      </c>
      <c r="F1106">
        <v>223486.86</v>
      </c>
      <c r="G1106" t="s">
        <v>184</v>
      </c>
    </row>
    <row r="1107" spans="1:7" x14ac:dyDescent="0.35">
      <c r="A1107">
        <v>340</v>
      </c>
      <c r="B1107" t="s">
        <v>495</v>
      </c>
      <c r="C1107">
        <v>112912.92</v>
      </c>
      <c r="D1107">
        <v>696583.67</v>
      </c>
      <c r="E1107">
        <v>510461.23</v>
      </c>
      <c r="F1107">
        <v>-186122.44</v>
      </c>
      <c r="G1107" t="s">
        <v>184</v>
      </c>
    </row>
    <row r="1108" spans="1:7" x14ac:dyDescent="0.35">
      <c r="A1108">
        <v>380</v>
      </c>
      <c r="B1108" t="s">
        <v>496</v>
      </c>
      <c r="C1108">
        <v>360595.83</v>
      </c>
      <c r="D1108">
        <v>-8058793.7400000002</v>
      </c>
      <c r="E1108">
        <v>-8879448.2699999996</v>
      </c>
      <c r="F1108">
        <v>-820654.53</v>
      </c>
      <c r="G1108" t="s">
        <v>184</v>
      </c>
    </row>
    <row r="1109" spans="1:7" x14ac:dyDescent="0.35">
      <c r="A1109">
        <v>390</v>
      </c>
      <c r="B1109" t="s">
        <v>497</v>
      </c>
      <c r="C1109">
        <v>0</v>
      </c>
      <c r="D1109">
        <v>0</v>
      </c>
      <c r="E1109">
        <v>0</v>
      </c>
      <c r="F1109">
        <v>0</v>
      </c>
      <c r="G1109" t="s">
        <v>184</v>
      </c>
    </row>
    <row r="1110" spans="1:7" x14ac:dyDescent="0.35">
      <c r="A1110">
        <v>400</v>
      </c>
      <c r="B1110" t="s">
        <v>498</v>
      </c>
      <c r="C1110">
        <v>0</v>
      </c>
      <c r="D1110">
        <v>0</v>
      </c>
      <c r="E1110">
        <v>0</v>
      </c>
      <c r="F1110">
        <v>0</v>
      </c>
      <c r="G1110" t="s">
        <v>184</v>
      </c>
    </row>
    <row r="1111" spans="1:7" x14ac:dyDescent="0.35">
      <c r="A1111">
        <v>405</v>
      </c>
      <c r="B1111" t="s">
        <v>499</v>
      </c>
      <c r="C1111">
        <v>0</v>
      </c>
      <c r="D1111">
        <v>0</v>
      </c>
      <c r="E1111">
        <v>0</v>
      </c>
      <c r="F1111">
        <v>0</v>
      </c>
      <c r="G1111" t="s">
        <v>184</v>
      </c>
    </row>
    <row r="1112" spans="1:7" x14ac:dyDescent="0.35">
      <c r="A1112">
        <v>410</v>
      </c>
      <c r="B1112" t="s">
        <v>382</v>
      </c>
      <c r="C1112">
        <v>0</v>
      </c>
      <c r="D1112">
        <v>21971500</v>
      </c>
      <c r="E1112">
        <v>22380000</v>
      </c>
      <c r="F1112">
        <v>408500</v>
      </c>
      <c r="G1112" t="s">
        <v>184</v>
      </c>
    </row>
    <row r="1113" spans="1:7" x14ac:dyDescent="0.35">
      <c r="A1113">
        <v>420</v>
      </c>
      <c r="B1113" t="s">
        <v>500</v>
      </c>
      <c r="C1113">
        <v>0</v>
      </c>
      <c r="D1113">
        <v>-5985500</v>
      </c>
      <c r="E1113">
        <v>-408500</v>
      </c>
      <c r="F1113">
        <v>5577000</v>
      </c>
      <c r="G1113" t="s">
        <v>184</v>
      </c>
    </row>
    <row r="1114" spans="1:7" x14ac:dyDescent="0.35">
      <c r="A1114">
        <v>425</v>
      </c>
      <c r="B1114" t="s">
        <v>501</v>
      </c>
      <c r="C1114">
        <v>0</v>
      </c>
      <c r="D1114">
        <v>100000</v>
      </c>
      <c r="E1114">
        <v>100000</v>
      </c>
      <c r="F1114">
        <v>0</v>
      </c>
      <c r="G1114" t="s">
        <v>184</v>
      </c>
    </row>
    <row r="1115" spans="1:7" x14ac:dyDescent="0.35">
      <c r="A1115">
        <v>427</v>
      </c>
      <c r="B1115" t="s">
        <v>502</v>
      </c>
      <c r="C1115">
        <v>0</v>
      </c>
      <c r="D1115">
        <v>0</v>
      </c>
      <c r="E1115">
        <v>0</v>
      </c>
      <c r="F1115">
        <v>0</v>
      </c>
      <c r="G1115" t="s">
        <v>184</v>
      </c>
    </row>
    <row r="1116" spans="1:7" x14ac:dyDescent="0.35">
      <c r="A1116">
        <v>430</v>
      </c>
      <c r="B1116" t="s">
        <v>503</v>
      </c>
      <c r="C1116">
        <v>0</v>
      </c>
      <c r="D1116">
        <v>-3642234.98</v>
      </c>
      <c r="E1116">
        <v>-3761034.55</v>
      </c>
      <c r="F1116">
        <v>-118799.57</v>
      </c>
      <c r="G1116" t="s">
        <v>184</v>
      </c>
    </row>
    <row r="1117" spans="1:7" x14ac:dyDescent="0.35">
      <c r="A1117">
        <v>440</v>
      </c>
      <c r="B1117" t="s">
        <v>504</v>
      </c>
      <c r="C1117">
        <v>0</v>
      </c>
      <c r="D1117">
        <v>12443765.02</v>
      </c>
      <c r="E1117">
        <v>18310465.449999999</v>
      </c>
      <c r="F1117">
        <v>5866700.4299999997</v>
      </c>
      <c r="G1117" t="s">
        <v>184</v>
      </c>
    </row>
    <row r="1118" spans="1:7" x14ac:dyDescent="0.35">
      <c r="A1118">
        <v>450</v>
      </c>
      <c r="B1118" t="s">
        <v>505</v>
      </c>
      <c r="C1118">
        <v>0</v>
      </c>
      <c r="D1118">
        <v>0</v>
      </c>
      <c r="E1118">
        <v>0</v>
      </c>
      <c r="F1118">
        <v>0</v>
      </c>
      <c r="G1118" t="s">
        <v>184</v>
      </c>
    </row>
    <row r="1119" spans="1:7" x14ac:dyDescent="0.35">
      <c r="A1119">
        <v>455</v>
      </c>
      <c r="B1119" t="s">
        <v>349</v>
      </c>
      <c r="C1119">
        <v>0</v>
      </c>
      <c r="D1119">
        <v>-2003350.32</v>
      </c>
      <c r="E1119">
        <v>-2003350.32</v>
      </c>
      <c r="F1119">
        <v>0</v>
      </c>
      <c r="G1119" t="s">
        <v>184</v>
      </c>
    </row>
    <row r="1120" spans="1:7" x14ac:dyDescent="0.35">
      <c r="A1120">
        <v>456</v>
      </c>
      <c r="B1120" t="s">
        <v>506</v>
      </c>
      <c r="C1120">
        <v>0</v>
      </c>
      <c r="D1120">
        <v>738376.47</v>
      </c>
      <c r="E1120">
        <v>838043.99</v>
      </c>
      <c r="F1120">
        <v>99667.520000000004</v>
      </c>
      <c r="G1120" t="s">
        <v>184</v>
      </c>
    </row>
    <row r="1121" spans="1:7" x14ac:dyDescent="0.35">
      <c r="A1121">
        <v>460</v>
      </c>
      <c r="B1121" t="s">
        <v>353</v>
      </c>
      <c r="C1121">
        <v>-27234.16</v>
      </c>
      <c r="D1121">
        <v>-3198603.81</v>
      </c>
      <c r="E1121">
        <v>-3455892.28</v>
      </c>
      <c r="F1121">
        <v>-257288.47</v>
      </c>
      <c r="G1121" t="s">
        <v>184</v>
      </c>
    </row>
    <row r="1122" spans="1:7" x14ac:dyDescent="0.35">
      <c r="A1122">
        <v>470</v>
      </c>
      <c r="B1122" t="s">
        <v>507</v>
      </c>
      <c r="C1122">
        <v>14399.55</v>
      </c>
      <c r="D1122">
        <v>2127823.61</v>
      </c>
      <c r="E1122">
        <v>2410883.98</v>
      </c>
      <c r="F1122">
        <v>283060.37</v>
      </c>
      <c r="G1122" t="s">
        <v>184</v>
      </c>
    </row>
    <row r="1123" spans="1:7" x14ac:dyDescent="0.35">
      <c r="A1123">
        <v>480</v>
      </c>
      <c r="B1123" t="s">
        <v>352</v>
      </c>
      <c r="C1123">
        <v>0</v>
      </c>
      <c r="D1123">
        <v>-22271499.780000001</v>
      </c>
      <c r="E1123">
        <v>-24779976.469999999</v>
      </c>
      <c r="F1123">
        <v>-2508476.69</v>
      </c>
      <c r="G1123" t="s">
        <v>184</v>
      </c>
    </row>
    <row r="1124" spans="1:7" x14ac:dyDescent="0.35">
      <c r="A1124">
        <v>490</v>
      </c>
      <c r="B1124" t="s">
        <v>508</v>
      </c>
      <c r="C1124">
        <v>250134.36</v>
      </c>
      <c r="D1124">
        <v>20308483.420000002</v>
      </c>
      <c r="E1124">
        <v>22747205.329999998</v>
      </c>
      <c r="F1124">
        <v>2438721.91</v>
      </c>
      <c r="G1124" t="s">
        <v>184</v>
      </c>
    </row>
    <row r="1125" spans="1:7" x14ac:dyDescent="0.35">
      <c r="A1125">
        <v>500</v>
      </c>
      <c r="B1125" t="s">
        <v>351</v>
      </c>
      <c r="C1125">
        <v>0</v>
      </c>
      <c r="D1125">
        <v>-50185.31</v>
      </c>
      <c r="E1125">
        <v>-76238.25</v>
      </c>
      <c r="F1125">
        <v>-26052.94</v>
      </c>
      <c r="G1125" t="s">
        <v>184</v>
      </c>
    </row>
    <row r="1126" spans="1:7" x14ac:dyDescent="0.35">
      <c r="A1126">
        <v>510</v>
      </c>
      <c r="B1126" t="s">
        <v>509</v>
      </c>
      <c r="C1126">
        <v>952.98</v>
      </c>
      <c r="D1126">
        <v>6085.23</v>
      </c>
      <c r="E1126">
        <v>17059.82</v>
      </c>
      <c r="F1126">
        <v>10974.59</v>
      </c>
      <c r="G1126" t="s">
        <v>184</v>
      </c>
    </row>
    <row r="1127" spans="1:7" x14ac:dyDescent="0.35">
      <c r="A1127">
        <v>512</v>
      </c>
      <c r="B1127" t="s">
        <v>510</v>
      </c>
      <c r="C1127">
        <v>0</v>
      </c>
      <c r="D1127">
        <v>-50990.58</v>
      </c>
      <c r="E1127">
        <v>-50990.58</v>
      </c>
      <c r="F1127">
        <v>0</v>
      </c>
      <c r="G1127" t="s">
        <v>184</v>
      </c>
    </row>
    <row r="1128" spans="1:7" x14ac:dyDescent="0.35">
      <c r="A1128">
        <v>514</v>
      </c>
      <c r="B1128" t="s">
        <v>511</v>
      </c>
      <c r="C1128">
        <v>424.92</v>
      </c>
      <c r="D1128">
        <v>31204.19</v>
      </c>
      <c r="E1128">
        <v>33100.239999999998</v>
      </c>
      <c r="F1128">
        <v>1896.05</v>
      </c>
      <c r="G1128" t="s">
        <v>184</v>
      </c>
    </row>
    <row r="1129" spans="1:7" x14ac:dyDescent="0.35">
      <c r="A1129">
        <v>520</v>
      </c>
      <c r="B1129" t="s">
        <v>512</v>
      </c>
      <c r="C1129">
        <v>0</v>
      </c>
      <c r="D1129">
        <v>0</v>
      </c>
      <c r="E1129">
        <v>0</v>
      </c>
      <c r="F1129">
        <v>0</v>
      </c>
      <c r="G1129" t="s">
        <v>184</v>
      </c>
    </row>
    <row r="1130" spans="1:7" x14ac:dyDescent="0.35">
      <c r="A1130">
        <v>530</v>
      </c>
      <c r="B1130" t="s">
        <v>513</v>
      </c>
      <c r="C1130">
        <v>0</v>
      </c>
      <c r="D1130">
        <v>0</v>
      </c>
      <c r="E1130">
        <v>0</v>
      </c>
      <c r="F1130">
        <v>0</v>
      </c>
      <c r="G1130" t="s">
        <v>184</v>
      </c>
    </row>
    <row r="1131" spans="1:7" x14ac:dyDescent="0.35">
      <c r="A1131">
        <v>540</v>
      </c>
      <c r="B1131" t="s">
        <v>514</v>
      </c>
      <c r="C1131">
        <v>0</v>
      </c>
      <c r="D1131">
        <v>0</v>
      </c>
      <c r="E1131">
        <v>0</v>
      </c>
      <c r="F1131">
        <v>0</v>
      </c>
      <c r="G1131" t="s">
        <v>184</v>
      </c>
    </row>
    <row r="1132" spans="1:7" x14ac:dyDescent="0.35">
      <c r="A1132">
        <v>550</v>
      </c>
      <c r="B1132" t="s">
        <v>515</v>
      </c>
      <c r="C1132">
        <v>0</v>
      </c>
      <c r="D1132">
        <v>0</v>
      </c>
      <c r="E1132">
        <v>0</v>
      </c>
      <c r="F1132">
        <v>0</v>
      </c>
      <c r="G1132" t="s">
        <v>184</v>
      </c>
    </row>
    <row r="1133" spans="1:7" x14ac:dyDescent="0.35">
      <c r="A1133">
        <v>560</v>
      </c>
      <c r="B1133" t="s">
        <v>516</v>
      </c>
      <c r="C1133">
        <v>0</v>
      </c>
      <c r="D1133">
        <v>0</v>
      </c>
      <c r="E1133">
        <v>0</v>
      </c>
      <c r="F1133">
        <v>0</v>
      </c>
      <c r="G1133" t="s">
        <v>184</v>
      </c>
    </row>
    <row r="1134" spans="1:7" x14ac:dyDescent="0.35">
      <c r="A1134">
        <v>570</v>
      </c>
      <c r="B1134" t="s">
        <v>517</v>
      </c>
      <c r="C1134">
        <v>0</v>
      </c>
      <c r="D1134">
        <v>0</v>
      </c>
      <c r="E1134">
        <v>0</v>
      </c>
      <c r="F1134">
        <v>0</v>
      </c>
      <c r="G1134" t="s">
        <v>184</v>
      </c>
    </row>
    <row r="1135" spans="1:7" x14ac:dyDescent="0.35">
      <c r="A1135">
        <v>580</v>
      </c>
      <c r="B1135" t="s">
        <v>518</v>
      </c>
      <c r="C1135">
        <v>0</v>
      </c>
      <c r="D1135">
        <v>0</v>
      </c>
      <c r="E1135">
        <v>0</v>
      </c>
      <c r="F1135">
        <v>0</v>
      </c>
      <c r="G1135" t="s">
        <v>184</v>
      </c>
    </row>
    <row r="1136" spans="1:7" x14ac:dyDescent="0.35">
      <c r="A1136">
        <v>590</v>
      </c>
      <c r="B1136" t="s">
        <v>519</v>
      </c>
      <c r="C1136">
        <v>0</v>
      </c>
      <c r="D1136">
        <v>0</v>
      </c>
      <c r="E1136">
        <v>0</v>
      </c>
      <c r="F1136">
        <v>0</v>
      </c>
      <c r="G1136" t="s">
        <v>184</v>
      </c>
    </row>
    <row r="1137" spans="1:7" x14ac:dyDescent="0.35">
      <c r="A1137">
        <v>600</v>
      </c>
      <c r="B1137" t="s">
        <v>520</v>
      </c>
      <c r="C1137">
        <v>0</v>
      </c>
      <c r="D1137">
        <v>0</v>
      </c>
      <c r="E1137">
        <v>0</v>
      </c>
      <c r="F1137">
        <v>0</v>
      </c>
      <c r="G1137" t="s">
        <v>184</v>
      </c>
    </row>
    <row r="1138" spans="1:7" x14ac:dyDescent="0.35">
      <c r="A1138">
        <v>610</v>
      </c>
      <c r="B1138" t="s">
        <v>521</v>
      </c>
      <c r="C1138">
        <v>0</v>
      </c>
      <c r="D1138">
        <v>0</v>
      </c>
      <c r="E1138">
        <v>0</v>
      </c>
      <c r="F1138">
        <v>0</v>
      </c>
      <c r="G1138" t="s">
        <v>184</v>
      </c>
    </row>
    <row r="1139" spans="1:7" x14ac:dyDescent="0.35">
      <c r="A1139">
        <v>615</v>
      </c>
      <c r="B1139" t="s">
        <v>550</v>
      </c>
      <c r="C1139">
        <v>0</v>
      </c>
      <c r="D1139">
        <v>0</v>
      </c>
      <c r="E1139">
        <v>0</v>
      </c>
      <c r="F1139">
        <v>0</v>
      </c>
      <c r="G1139" t="s">
        <v>184</v>
      </c>
    </row>
    <row r="1140" spans="1:7" x14ac:dyDescent="0.35">
      <c r="A1140">
        <v>620</v>
      </c>
      <c r="B1140" t="s">
        <v>522</v>
      </c>
      <c r="C1140">
        <v>0</v>
      </c>
      <c r="D1140">
        <v>0</v>
      </c>
      <c r="E1140">
        <v>0</v>
      </c>
      <c r="F1140">
        <v>0</v>
      </c>
      <c r="G1140" t="s">
        <v>184</v>
      </c>
    </row>
    <row r="1141" spans="1:7" x14ac:dyDescent="0.35">
      <c r="A1141">
        <v>630</v>
      </c>
      <c r="B1141" t="s">
        <v>523</v>
      </c>
      <c r="C1141">
        <v>0</v>
      </c>
      <c r="D1141">
        <v>0</v>
      </c>
      <c r="E1141">
        <v>0</v>
      </c>
      <c r="F1141">
        <v>0</v>
      </c>
      <c r="G1141" t="s">
        <v>184</v>
      </c>
    </row>
    <row r="1142" spans="1:7" x14ac:dyDescent="0.35">
      <c r="A1142">
        <v>635</v>
      </c>
      <c r="B1142" t="s">
        <v>551</v>
      </c>
      <c r="C1142">
        <v>0</v>
      </c>
      <c r="D1142">
        <v>0</v>
      </c>
      <c r="E1142">
        <v>0</v>
      </c>
      <c r="F1142">
        <v>0</v>
      </c>
      <c r="G1142" t="s">
        <v>184</v>
      </c>
    </row>
    <row r="1143" spans="1:7" x14ac:dyDescent="0.35">
      <c r="A1143">
        <v>640</v>
      </c>
      <c r="B1143" t="s">
        <v>524</v>
      </c>
      <c r="C1143">
        <v>238677.65</v>
      </c>
      <c r="D1143">
        <v>-4362656.88</v>
      </c>
      <c r="E1143">
        <v>-4320154.54</v>
      </c>
      <c r="F1143">
        <v>42502.34</v>
      </c>
      <c r="G1143" t="s">
        <v>184</v>
      </c>
    </row>
    <row r="1144" spans="1:7" x14ac:dyDescent="0.35">
      <c r="A1144">
        <v>650</v>
      </c>
      <c r="B1144" t="s">
        <v>525</v>
      </c>
      <c r="C1144">
        <v>594532.89</v>
      </c>
      <c r="D1144">
        <v>22314.400000000001</v>
      </c>
      <c r="E1144">
        <v>2886588.48</v>
      </c>
      <c r="F1144">
        <v>2864274.08</v>
      </c>
      <c r="G1144" t="s">
        <v>184</v>
      </c>
    </row>
    <row r="1145" spans="1:7" x14ac:dyDescent="0.35">
      <c r="A1145" t="s">
        <v>249</v>
      </c>
      <c r="B1145" t="s">
        <v>172</v>
      </c>
      <c r="C1145" t="s">
        <v>468</v>
      </c>
      <c r="D1145" t="s">
        <v>469</v>
      </c>
      <c r="E1145" t="s">
        <v>470</v>
      </c>
      <c r="F1145" t="s">
        <v>471</v>
      </c>
      <c r="G1145" t="s">
        <v>183</v>
      </c>
    </row>
    <row r="1146" spans="1:7" x14ac:dyDescent="0.35">
      <c r="A1146">
        <v>10</v>
      </c>
      <c r="B1146" t="s">
        <v>472</v>
      </c>
      <c r="C1146">
        <v>0</v>
      </c>
      <c r="D1146">
        <v>0</v>
      </c>
      <c r="E1146">
        <v>0</v>
      </c>
      <c r="F1146">
        <v>0</v>
      </c>
      <c r="G1146" t="s">
        <v>184</v>
      </c>
    </row>
    <row r="1147" spans="1:7" x14ac:dyDescent="0.35">
      <c r="A1147">
        <v>20</v>
      </c>
      <c r="B1147" t="s">
        <v>147</v>
      </c>
      <c r="C1147">
        <v>2023544.26</v>
      </c>
      <c r="D1147">
        <v>0</v>
      </c>
      <c r="E1147">
        <v>14127499.550000001</v>
      </c>
      <c r="F1147">
        <v>14127499.550000001</v>
      </c>
      <c r="G1147" t="s">
        <v>184</v>
      </c>
    </row>
    <row r="1148" spans="1:7" x14ac:dyDescent="0.35">
      <c r="A1148">
        <v>30</v>
      </c>
      <c r="B1148" t="s">
        <v>473</v>
      </c>
      <c r="C1148">
        <v>0</v>
      </c>
      <c r="D1148">
        <v>0</v>
      </c>
      <c r="E1148">
        <v>0</v>
      </c>
      <c r="F1148">
        <v>0</v>
      </c>
      <c r="G1148" t="s">
        <v>184</v>
      </c>
    </row>
    <row r="1149" spans="1:7" x14ac:dyDescent="0.35">
      <c r="A1149">
        <v>35</v>
      </c>
      <c r="B1149" t="s">
        <v>474</v>
      </c>
      <c r="C1149">
        <v>2023544.26</v>
      </c>
      <c r="D1149">
        <v>0</v>
      </c>
      <c r="E1149">
        <v>14127499.550000001</v>
      </c>
      <c r="F1149">
        <v>14127499.550000001</v>
      </c>
      <c r="G1149" t="s">
        <v>184</v>
      </c>
    </row>
    <row r="1150" spans="1:7" x14ac:dyDescent="0.35">
      <c r="A1150">
        <v>40</v>
      </c>
      <c r="B1150" t="s">
        <v>475</v>
      </c>
      <c r="C1150">
        <v>1241086.47</v>
      </c>
      <c r="D1150">
        <v>0</v>
      </c>
      <c r="E1150">
        <v>10554780.550000001</v>
      </c>
      <c r="F1150">
        <v>10554780.550000001</v>
      </c>
      <c r="G1150" t="s">
        <v>184</v>
      </c>
    </row>
    <row r="1151" spans="1:7" x14ac:dyDescent="0.35">
      <c r="A1151">
        <v>50</v>
      </c>
      <c r="B1151" t="s">
        <v>476</v>
      </c>
      <c r="C1151">
        <v>0</v>
      </c>
      <c r="D1151">
        <v>0</v>
      </c>
      <c r="E1151">
        <v>0</v>
      </c>
      <c r="F1151">
        <v>0</v>
      </c>
      <c r="G1151" t="s">
        <v>184</v>
      </c>
    </row>
    <row r="1152" spans="1:7" x14ac:dyDescent="0.35">
      <c r="A1152">
        <v>60</v>
      </c>
      <c r="B1152" t="s">
        <v>477</v>
      </c>
      <c r="C1152">
        <v>782457.79</v>
      </c>
      <c r="D1152">
        <v>0</v>
      </c>
      <c r="E1152">
        <v>3572719</v>
      </c>
      <c r="F1152">
        <v>3572719</v>
      </c>
      <c r="G1152" t="s">
        <v>184</v>
      </c>
    </row>
    <row r="1153" spans="1:7" x14ac:dyDescent="0.35">
      <c r="A1153">
        <v>70</v>
      </c>
      <c r="B1153" t="s">
        <v>152</v>
      </c>
      <c r="C1153">
        <v>0</v>
      </c>
      <c r="D1153">
        <v>0</v>
      </c>
      <c r="E1153">
        <v>0</v>
      </c>
      <c r="F1153">
        <v>0</v>
      </c>
      <c r="G1153" t="s">
        <v>184</v>
      </c>
    </row>
    <row r="1154" spans="1:7" x14ac:dyDescent="0.35">
      <c r="A1154">
        <v>80</v>
      </c>
      <c r="B1154" t="s">
        <v>153</v>
      </c>
      <c r="C1154">
        <v>129787.5</v>
      </c>
      <c r="D1154">
        <v>0</v>
      </c>
      <c r="E1154">
        <v>1162608.5900000001</v>
      </c>
      <c r="F1154">
        <v>1162608.5900000001</v>
      </c>
      <c r="G1154" t="s">
        <v>184</v>
      </c>
    </row>
    <row r="1155" spans="1:7" x14ac:dyDescent="0.35">
      <c r="A1155">
        <v>90</v>
      </c>
      <c r="B1155" t="s">
        <v>557</v>
      </c>
      <c r="C1155">
        <v>24823.91</v>
      </c>
      <c r="D1155">
        <v>0</v>
      </c>
      <c r="E1155">
        <v>220032.99</v>
      </c>
      <c r="F1155">
        <v>220032.99</v>
      </c>
      <c r="G1155" t="s">
        <v>184</v>
      </c>
    </row>
    <row r="1156" spans="1:7" x14ac:dyDescent="0.35">
      <c r="A1156">
        <v>100</v>
      </c>
      <c r="B1156" t="s">
        <v>479</v>
      </c>
      <c r="C1156">
        <v>627846.38</v>
      </c>
      <c r="D1156">
        <v>0</v>
      </c>
      <c r="E1156">
        <v>2190077.42</v>
      </c>
      <c r="F1156">
        <v>2190077.42</v>
      </c>
      <c r="G1156" t="s">
        <v>184</v>
      </c>
    </row>
    <row r="1157" spans="1:7" x14ac:dyDescent="0.35">
      <c r="A1157">
        <v>110</v>
      </c>
      <c r="B1157" t="s">
        <v>480</v>
      </c>
      <c r="C1157">
        <v>0</v>
      </c>
      <c r="D1157">
        <v>0</v>
      </c>
      <c r="E1157">
        <v>-88796.45</v>
      </c>
      <c r="F1157">
        <v>-88796.45</v>
      </c>
      <c r="G1157" t="s">
        <v>184</v>
      </c>
    </row>
    <row r="1158" spans="1:7" x14ac:dyDescent="0.35">
      <c r="A1158">
        <v>120</v>
      </c>
      <c r="B1158" t="s">
        <v>481</v>
      </c>
      <c r="C1158">
        <v>0</v>
      </c>
      <c r="D1158">
        <v>0</v>
      </c>
      <c r="E1158">
        <v>0</v>
      </c>
      <c r="F1158">
        <v>0</v>
      </c>
      <c r="G1158" t="s">
        <v>184</v>
      </c>
    </row>
    <row r="1159" spans="1:7" x14ac:dyDescent="0.35">
      <c r="A1159">
        <v>130</v>
      </c>
      <c r="B1159" t="s">
        <v>482</v>
      </c>
      <c r="C1159">
        <v>1732.98</v>
      </c>
      <c r="D1159">
        <v>0</v>
      </c>
      <c r="E1159">
        <v>140204.57999999999</v>
      </c>
      <c r="F1159">
        <v>140204.57999999999</v>
      </c>
      <c r="G1159" t="s">
        <v>184</v>
      </c>
    </row>
    <row r="1160" spans="1:7" x14ac:dyDescent="0.35">
      <c r="A1160">
        <v>140</v>
      </c>
      <c r="B1160" t="s">
        <v>483</v>
      </c>
      <c r="C1160">
        <v>0</v>
      </c>
      <c r="D1160">
        <v>0</v>
      </c>
      <c r="E1160">
        <v>0</v>
      </c>
      <c r="F1160">
        <v>0</v>
      </c>
      <c r="G1160" t="s">
        <v>184</v>
      </c>
    </row>
    <row r="1161" spans="1:7" x14ac:dyDescent="0.35">
      <c r="A1161">
        <v>145</v>
      </c>
      <c r="B1161" t="s">
        <v>162</v>
      </c>
      <c r="C1161">
        <v>1732.98</v>
      </c>
      <c r="D1161">
        <v>0</v>
      </c>
      <c r="E1161">
        <v>51408.13</v>
      </c>
      <c r="F1161">
        <v>51408.13</v>
      </c>
      <c r="G1161" t="s">
        <v>184</v>
      </c>
    </row>
    <row r="1162" spans="1:7" x14ac:dyDescent="0.35">
      <c r="A1162">
        <v>150</v>
      </c>
      <c r="B1162" t="s">
        <v>484</v>
      </c>
      <c r="C1162">
        <v>626113.4</v>
      </c>
      <c r="D1162">
        <v>0</v>
      </c>
      <c r="E1162">
        <v>2138669.29</v>
      </c>
      <c r="F1162">
        <v>2138669.29</v>
      </c>
      <c r="G1162" t="s">
        <v>184</v>
      </c>
    </row>
    <row r="1163" spans="1:7" x14ac:dyDescent="0.35">
      <c r="A1163">
        <v>160</v>
      </c>
      <c r="B1163" t="s">
        <v>485</v>
      </c>
      <c r="C1163">
        <v>0</v>
      </c>
      <c r="D1163">
        <v>0</v>
      </c>
      <c r="E1163">
        <v>0</v>
      </c>
      <c r="F1163">
        <v>0</v>
      </c>
      <c r="G1163" t="s">
        <v>184</v>
      </c>
    </row>
    <row r="1164" spans="1:7" x14ac:dyDescent="0.35">
      <c r="A1164">
        <v>170</v>
      </c>
      <c r="B1164" t="s">
        <v>166</v>
      </c>
      <c r="C1164">
        <v>626113.4</v>
      </c>
      <c r="D1164">
        <v>0</v>
      </c>
      <c r="E1164">
        <v>2138669.29</v>
      </c>
      <c r="F1164">
        <v>2138669.29</v>
      </c>
      <c r="G1164" t="s">
        <v>184</v>
      </c>
    </row>
    <row r="1165" spans="1:7" x14ac:dyDescent="0.35">
      <c r="A1165">
        <v>190</v>
      </c>
      <c r="B1165" t="s">
        <v>486</v>
      </c>
      <c r="C1165">
        <v>0</v>
      </c>
      <c r="D1165">
        <v>0</v>
      </c>
      <c r="E1165">
        <v>0</v>
      </c>
      <c r="F1165">
        <v>0</v>
      </c>
      <c r="G1165" t="s">
        <v>184</v>
      </c>
    </row>
    <row r="1166" spans="1:7" x14ac:dyDescent="0.35">
      <c r="A1166">
        <v>200</v>
      </c>
      <c r="B1166" t="s">
        <v>166</v>
      </c>
      <c r="C1166">
        <v>626113.4</v>
      </c>
      <c r="D1166">
        <v>0</v>
      </c>
      <c r="E1166">
        <v>2138669.29</v>
      </c>
      <c r="F1166">
        <v>2138669.29</v>
      </c>
      <c r="G1166" t="s">
        <v>184</v>
      </c>
    </row>
    <row r="1167" spans="1:7" x14ac:dyDescent="0.35">
      <c r="A1167">
        <v>210</v>
      </c>
      <c r="B1167" t="s">
        <v>487</v>
      </c>
      <c r="C1167">
        <v>626113.4</v>
      </c>
      <c r="D1167">
        <v>0</v>
      </c>
      <c r="E1167">
        <v>2138669.29</v>
      </c>
      <c r="F1167">
        <v>2138669.29</v>
      </c>
      <c r="G1167" t="s">
        <v>184</v>
      </c>
    </row>
    <row r="1168" spans="1:7" x14ac:dyDescent="0.35">
      <c r="A1168">
        <v>220</v>
      </c>
      <c r="B1168" t="s">
        <v>558</v>
      </c>
      <c r="C1168">
        <v>0</v>
      </c>
      <c r="D1168">
        <v>0</v>
      </c>
      <c r="E1168">
        <v>0</v>
      </c>
      <c r="F1168">
        <v>0</v>
      </c>
      <c r="G1168" t="s">
        <v>184</v>
      </c>
    </row>
    <row r="1169" spans="1:7" x14ac:dyDescent="0.35">
      <c r="A1169">
        <v>230</v>
      </c>
      <c r="B1169" t="s">
        <v>341</v>
      </c>
      <c r="C1169">
        <v>-3470.31</v>
      </c>
      <c r="D1169">
        <v>-4249300.2300000004</v>
      </c>
      <c r="E1169">
        <v>-3952782.04</v>
      </c>
      <c r="F1169">
        <v>296518.19</v>
      </c>
      <c r="G1169" t="s">
        <v>184</v>
      </c>
    </row>
    <row r="1170" spans="1:7" x14ac:dyDescent="0.35">
      <c r="A1170">
        <v>240</v>
      </c>
      <c r="B1170" t="s">
        <v>342</v>
      </c>
      <c r="C1170">
        <v>-193260.48</v>
      </c>
      <c r="D1170">
        <v>-15043564.689999999</v>
      </c>
      <c r="E1170">
        <v>-11652222.48</v>
      </c>
      <c r="F1170">
        <v>3391342.21</v>
      </c>
      <c r="G1170" t="s">
        <v>184</v>
      </c>
    </row>
    <row r="1171" spans="1:7" x14ac:dyDescent="0.35">
      <c r="A1171">
        <v>250</v>
      </c>
      <c r="B1171" t="s">
        <v>343</v>
      </c>
      <c r="C1171">
        <v>0</v>
      </c>
      <c r="D1171">
        <v>0</v>
      </c>
      <c r="E1171">
        <v>0</v>
      </c>
      <c r="F1171">
        <v>0</v>
      </c>
      <c r="G1171" t="s">
        <v>184</v>
      </c>
    </row>
    <row r="1172" spans="1:7" x14ac:dyDescent="0.35">
      <c r="A1172">
        <v>260</v>
      </c>
      <c r="B1172" t="s">
        <v>490</v>
      </c>
      <c r="C1172">
        <v>-42556.28</v>
      </c>
      <c r="D1172">
        <v>-221382.43</v>
      </c>
      <c r="E1172">
        <v>-543501.85</v>
      </c>
      <c r="F1172">
        <v>-322119.42</v>
      </c>
      <c r="G1172" t="s">
        <v>184</v>
      </c>
    </row>
    <row r="1173" spans="1:7" x14ac:dyDescent="0.35">
      <c r="A1173">
        <v>270</v>
      </c>
      <c r="B1173" t="s">
        <v>344</v>
      </c>
      <c r="C1173">
        <v>-12916.08</v>
      </c>
      <c r="D1173">
        <v>193180.37</v>
      </c>
      <c r="E1173">
        <v>264493.58</v>
      </c>
      <c r="F1173">
        <v>71313.210000000006</v>
      </c>
      <c r="G1173" t="s">
        <v>184</v>
      </c>
    </row>
    <row r="1174" spans="1:7" x14ac:dyDescent="0.35">
      <c r="A1174">
        <v>280</v>
      </c>
      <c r="B1174" t="s">
        <v>559</v>
      </c>
      <c r="C1174">
        <v>0</v>
      </c>
      <c r="D1174">
        <v>0</v>
      </c>
      <c r="E1174">
        <v>0</v>
      </c>
      <c r="F1174">
        <v>0</v>
      </c>
      <c r="G1174" t="s">
        <v>184</v>
      </c>
    </row>
    <row r="1175" spans="1:7" x14ac:dyDescent="0.35">
      <c r="A1175">
        <v>290</v>
      </c>
      <c r="B1175" t="s">
        <v>560</v>
      </c>
      <c r="C1175">
        <v>0</v>
      </c>
      <c r="D1175">
        <v>0</v>
      </c>
      <c r="E1175">
        <v>0</v>
      </c>
      <c r="F1175">
        <v>0</v>
      </c>
      <c r="G1175" t="s">
        <v>184</v>
      </c>
    </row>
    <row r="1176" spans="1:7" x14ac:dyDescent="0.35">
      <c r="A1176">
        <v>300</v>
      </c>
      <c r="B1176" t="s">
        <v>367</v>
      </c>
      <c r="C1176">
        <v>158000</v>
      </c>
      <c r="D1176">
        <v>307238.40000000002</v>
      </c>
      <c r="E1176">
        <v>397238.41</v>
      </c>
      <c r="F1176">
        <v>90000.01</v>
      </c>
      <c r="G1176" t="s">
        <v>184</v>
      </c>
    </row>
    <row r="1177" spans="1:7" x14ac:dyDescent="0.35">
      <c r="A1177">
        <v>310</v>
      </c>
      <c r="B1177" t="s">
        <v>491</v>
      </c>
      <c r="C1177">
        <v>0</v>
      </c>
      <c r="D1177">
        <v>0</v>
      </c>
      <c r="E1177">
        <v>0</v>
      </c>
      <c r="F1177">
        <v>0</v>
      </c>
      <c r="G1177" t="s">
        <v>184</v>
      </c>
    </row>
    <row r="1178" spans="1:7" x14ac:dyDescent="0.35">
      <c r="A1178">
        <v>320</v>
      </c>
      <c r="B1178" t="s">
        <v>492</v>
      </c>
      <c r="C1178">
        <v>0</v>
      </c>
      <c r="D1178">
        <v>2249327.66</v>
      </c>
      <c r="E1178">
        <v>2456621.6</v>
      </c>
      <c r="F1178">
        <v>207293.94</v>
      </c>
      <c r="G1178" t="s">
        <v>184</v>
      </c>
    </row>
    <row r="1179" spans="1:7" x14ac:dyDescent="0.35">
      <c r="A1179">
        <v>330</v>
      </c>
      <c r="B1179" t="s">
        <v>494</v>
      </c>
      <c r="C1179">
        <v>10558.41</v>
      </c>
      <c r="D1179">
        <v>760081.98</v>
      </c>
      <c r="E1179">
        <v>687155.93</v>
      </c>
      <c r="F1179">
        <v>-72926.05</v>
      </c>
      <c r="G1179" t="s">
        <v>184</v>
      </c>
    </row>
    <row r="1180" spans="1:7" x14ac:dyDescent="0.35">
      <c r="A1180">
        <v>340</v>
      </c>
      <c r="B1180" t="s">
        <v>495</v>
      </c>
      <c r="C1180">
        <v>-99483.07</v>
      </c>
      <c r="D1180">
        <v>117803.58</v>
      </c>
      <c r="E1180">
        <v>45635.94</v>
      </c>
      <c r="F1180">
        <v>-72167.64</v>
      </c>
      <c r="G1180" t="s">
        <v>184</v>
      </c>
    </row>
    <row r="1181" spans="1:7" x14ac:dyDescent="0.35">
      <c r="A1181">
        <v>350</v>
      </c>
      <c r="B1181" t="s">
        <v>561</v>
      </c>
      <c r="C1181">
        <v>0</v>
      </c>
      <c r="D1181">
        <v>0</v>
      </c>
      <c r="E1181">
        <v>0</v>
      </c>
      <c r="F1181">
        <v>0</v>
      </c>
      <c r="G1181" t="s">
        <v>184</v>
      </c>
    </row>
    <row r="1182" spans="1:7" x14ac:dyDescent="0.35">
      <c r="A1182">
        <v>360</v>
      </c>
      <c r="B1182" t="s">
        <v>562</v>
      </c>
      <c r="C1182">
        <v>0</v>
      </c>
      <c r="D1182">
        <v>0</v>
      </c>
      <c r="E1182">
        <v>0</v>
      </c>
      <c r="F1182">
        <v>0</v>
      </c>
      <c r="G1182" t="s">
        <v>184</v>
      </c>
    </row>
    <row r="1183" spans="1:7" x14ac:dyDescent="0.35">
      <c r="A1183">
        <v>370</v>
      </c>
      <c r="B1183" t="s">
        <v>563</v>
      </c>
      <c r="C1183">
        <v>0</v>
      </c>
      <c r="D1183">
        <v>0</v>
      </c>
      <c r="E1183">
        <v>0</v>
      </c>
      <c r="F1183">
        <v>0</v>
      </c>
      <c r="G1183" t="s">
        <v>184</v>
      </c>
    </row>
    <row r="1184" spans="1:7" x14ac:dyDescent="0.35">
      <c r="A1184">
        <v>380</v>
      </c>
      <c r="B1184" t="s">
        <v>496</v>
      </c>
      <c r="C1184">
        <v>-183127.81</v>
      </c>
      <c r="D1184">
        <v>-15886615.359999999</v>
      </c>
      <c r="E1184">
        <v>-12297360.91</v>
      </c>
      <c r="F1184">
        <v>3589254.45</v>
      </c>
      <c r="G1184" t="s">
        <v>184</v>
      </c>
    </row>
    <row r="1185" spans="1:7" x14ac:dyDescent="0.35">
      <c r="A1185">
        <v>390</v>
      </c>
      <c r="B1185" t="s">
        <v>497</v>
      </c>
      <c r="C1185">
        <v>0</v>
      </c>
      <c r="D1185">
        <v>0</v>
      </c>
      <c r="E1185">
        <v>0</v>
      </c>
      <c r="F1185">
        <v>0</v>
      </c>
      <c r="G1185" t="s">
        <v>184</v>
      </c>
    </row>
    <row r="1186" spans="1:7" x14ac:dyDescent="0.35">
      <c r="A1186">
        <v>400</v>
      </c>
      <c r="B1186" t="s">
        <v>498</v>
      </c>
      <c r="C1186">
        <v>0</v>
      </c>
      <c r="D1186">
        <v>5406338.0899999999</v>
      </c>
      <c r="E1186">
        <v>-0.02</v>
      </c>
      <c r="F1186">
        <v>-5406338.1100000003</v>
      </c>
      <c r="G1186" t="s">
        <v>184</v>
      </c>
    </row>
    <row r="1187" spans="1:7" x14ac:dyDescent="0.35">
      <c r="A1187">
        <v>410</v>
      </c>
      <c r="B1187" t="s">
        <v>382</v>
      </c>
      <c r="C1187">
        <v>0</v>
      </c>
      <c r="D1187">
        <v>8113280</v>
      </c>
      <c r="E1187">
        <v>8113280</v>
      </c>
      <c r="F1187">
        <v>0</v>
      </c>
      <c r="G1187" t="s">
        <v>184</v>
      </c>
    </row>
    <row r="1188" spans="1:7" x14ac:dyDescent="0.35">
      <c r="A1188">
        <v>420</v>
      </c>
      <c r="B1188" t="s">
        <v>500</v>
      </c>
      <c r="C1188">
        <v>0</v>
      </c>
      <c r="D1188">
        <v>0</v>
      </c>
      <c r="E1188">
        <v>0</v>
      </c>
      <c r="F1188">
        <v>0</v>
      </c>
      <c r="G1188" t="s">
        <v>184</v>
      </c>
    </row>
    <row r="1189" spans="1:7" x14ac:dyDescent="0.35">
      <c r="A1189">
        <v>430</v>
      </c>
      <c r="B1189" t="s">
        <v>501</v>
      </c>
      <c r="C1189">
        <v>0</v>
      </c>
      <c r="D1189">
        <v>4171.6499999999996</v>
      </c>
      <c r="E1189">
        <v>4171.6499999999996</v>
      </c>
      <c r="F1189">
        <v>0</v>
      </c>
      <c r="G1189" t="s">
        <v>184</v>
      </c>
    </row>
    <row r="1190" spans="1:7" x14ac:dyDescent="0.35">
      <c r="A1190">
        <v>435</v>
      </c>
      <c r="B1190" t="s">
        <v>564</v>
      </c>
      <c r="C1190">
        <v>0</v>
      </c>
      <c r="D1190">
        <v>4695718.92</v>
      </c>
      <c r="E1190">
        <v>4413340.68</v>
      </c>
      <c r="F1190">
        <v>-282378.23999999999</v>
      </c>
      <c r="G1190" t="s">
        <v>184</v>
      </c>
    </row>
    <row r="1191" spans="1:7" x14ac:dyDescent="0.35">
      <c r="A1191">
        <v>440</v>
      </c>
      <c r="B1191" t="s">
        <v>504</v>
      </c>
      <c r="C1191">
        <v>0</v>
      </c>
      <c r="D1191">
        <v>18219508.66</v>
      </c>
      <c r="E1191">
        <v>12530792.310000001</v>
      </c>
      <c r="F1191">
        <v>-5688716.3499999996</v>
      </c>
      <c r="G1191" t="s">
        <v>184</v>
      </c>
    </row>
    <row r="1192" spans="1:7" x14ac:dyDescent="0.35">
      <c r="A1192">
        <v>450</v>
      </c>
      <c r="B1192" t="s">
        <v>505</v>
      </c>
      <c r="C1192">
        <v>0</v>
      </c>
      <c r="D1192">
        <v>0</v>
      </c>
      <c r="E1192">
        <v>0</v>
      </c>
      <c r="F1192">
        <v>0</v>
      </c>
      <c r="G1192" t="s">
        <v>184</v>
      </c>
    </row>
    <row r="1193" spans="1:7" x14ac:dyDescent="0.35">
      <c r="A1193">
        <v>452</v>
      </c>
      <c r="B1193" t="s">
        <v>348</v>
      </c>
      <c r="C1193">
        <v>0</v>
      </c>
      <c r="D1193">
        <v>5060455.8899999997</v>
      </c>
      <c r="E1193">
        <v>5060455.8899999997</v>
      </c>
      <c r="F1193">
        <v>0</v>
      </c>
      <c r="G1193" t="s">
        <v>184</v>
      </c>
    </row>
    <row r="1194" spans="1:7" x14ac:dyDescent="0.35">
      <c r="A1194">
        <v>454</v>
      </c>
      <c r="B1194" t="s">
        <v>349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184</v>
      </c>
    </row>
    <row r="1195" spans="1:7" x14ac:dyDescent="0.35">
      <c r="A1195">
        <v>456</v>
      </c>
      <c r="B1195" t="s">
        <v>506</v>
      </c>
      <c r="C1195">
        <v>10981.45</v>
      </c>
      <c r="D1195">
        <v>619055.94999999995</v>
      </c>
      <c r="E1195">
        <v>729183.44</v>
      </c>
      <c r="F1195">
        <v>110127.49</v>
      </c>
      <c r="G1195" t="s">
        <v>184</v>
      </c>
    </row>
    <row r="1196" spans="1:7" x14ac:dyDescent="0.35">
      <c r="A1196">
        <v>460</v>
      </c>
      <c r="B1196" t="s">
        <v>353</v>
      </c>
      <c r="C1196">
        <v>0</v>
      </c>
      <c r="D1196">
        <v>-2028790.71</v>
      </c>
      <c r="E1196">
        <v>-2028790.71</v>
      </c>
      <c r="F1196">
        <v>0</v>
      </c>
      <c r="G1196" t="s">
        <v>184</v>
      </c>
    </row>
    <row r="1197" spans="1:7" x14ac:dyDescent="0.35">
      <c r="A1197">
        <v>462</v>
      </c>
      <c r="B1197" t="s">
        <v>510</v>
      </c>
      <c r="C1197">
        <v>0</v>
      </c>
      <c r="D1197">
        <v>-150503.56</v>
      </c>
      <c r="E1197">
        <v>-166143.56</v>
      </c>
      <c r="F1197">
        <v>-15640</v>
      </c>
      <c r="G1197" t="s">
        <v>184</v>
      </c>
    </row>
    <row r="1198" spans="1:7" x14ac:dyDescent="0.35">
      <c r="A1198">
        <v>464</v>
      </c>
      <c r="B1198" t="s">
        <v>565</v>
      </c>
      <c r="C1198">
        <v>1386.17</v>
      </c>
      <c r="D1198">
        <v>168759.34</v>
      </c>
      <c r="E1198">
        <v>181712.79</v>
      </c>
      <c r="F1198">
        <v>12953.45</v>
      </c>
      <c r="G1198" t="s">
        <v>184</v>
      </c>
    </row>
    <row r="1199" spans="1:7" x14ac:dyDescent="0.35">
      <c r="A1199">
        <v>470</v>
      </c>
      <c r="B1199" t="s">
        <v>507</v>
      </c>
      <c r="C1199">
        <v>8453.2900000000009</v>
      </c>
      <c r="D1199">
        <v>496161.7</v>
      </c>
      <c r="E1199">
        <v>580024.66</v>
      </c>
      <c r="F1199">
        <v>83862.960000000006</v>
      </c>
      <c r="G1199" t="s">
        <v>184</v>
      </c>
    </row>
    <row r="1200" spans="1:7" x14ac:dyDescent="0.35">
      <c r="A1200">
        <v>480</v>
      </c>
      <c r="B1200" t="s">
        <v>352</v>
      </c>
      <c r="C1200">
        <v>-256034.48</v>
      </c>
      <c r="D1200">
        <v>-672623.82</v>
      </c>
      <c r="E1200">
        <v>-928658.3</v>
      </c>
      <c r="F1200">
        <v>-256034.48</v>
      </c>
      <c r="G1200" t="s">
        <v>184</v>
      </c>
    </row>
    <row r="1201" spans="1:7" x14ac:dyDescent="0.35">
      <c r="A1201">
        <v>490</v>
      </c>
      <c r="B1201" t="s">
        <v>508</v>
      </c>
      <c r="C1201">
        <v>1145</v>
      </c>
      <c r="D1201">
        <v>650975.53</v>
      </c>
      <c r="E1201">
        <v>661526.39</v>
      </c>
      <c r="F1201">
        <v>10550.86</v>
      </c>
      <c r="G1201" t="s">
        <v>184</v>
      </c>
    </row>
    <row r="1202" spans="1:7" x14ac:dyDescent="0.35">
      <c r="A1202">
        <v>500</v>
      </c>
      <c r="B1202" t="s">
        <v>351</v>
      </c>
      <c r="C1202">
        <v>0</v>
      </c>
      <c r="D1202">
        <v>-228529.67</v>
      </c>
      <c r="E1202">
        <v>-228529.67</v>
      </c>
      <c r="F1202">
        <v>0</v>
      </c>
      <c r="G1202" t="s">
        <v>184</v>
      </c>
    </row>
    <row r="1203" spans="1:7" x14ac:dyDescent="0.35">
      <c r="A1203">
        <v>510</v>
      </c>
      <c r="B1203" t="s">
        <v>509</v>
      </c>
      <c r="C1203">
        <v>2858</v>
      </c>
      <c r="D1203">
        <v>177383.64</v>
      </c>
      <c r="E1203">
        <v>187668.11</v>
      </c>
      <c r="F1203">
        <v>10284.469999999999</v>
      </c>
      <c r="G1203" t="s">
        <v>184</v>
      </c>
    </row>
    <row r="1204" spans="1:7" x14ac:dyDescent="0.35">
      <c r="A1204">
        <v>512</v>
      </c>
      <c r="B1204" t="s">
        <v>566</v>
      </c>
      <c r="C1204">
        <v>0</v>
      </c>
      <c r="D1204">
        <v>0</v>
      </c>
      <c r="E1204">
        <v>0</v>
      </c>
      <c r="F1204">
        <v>0</v>
      </c>
      <c r="G1204" t="s">
        <v>184</v>
      </c>
    </row>
    <row r="1205" spans="1:7" x14ac:dyDescent="0.35">
      <c r="A1205">
        <v>514</v>
      </c>
      <c r="B1205" t="s">
        <v>567</v>
      </c>
      <c r="C1205">
        <v>0</v>
      </c>
      <c r="D1205">
        <v>0</v>
      </c>
      <c r="E1205">
        <v>0</v>
      </c>
      <c r="F1205">
        <v>0</v>
      </c>
      <c r="G1205" t="s">
        <v>184</v>
      </c>
    </row>
    <row r="1206" spans="1:7" x14ac:dyDescent="0.35">
      <c r="A1206">
        <v>516</v>
      </c>
      <c r="B1206" t="s">
        <v>568</v>
      </c>
      <c r="C1206">
        <v>0</v>
      </c>
      <c r="D1206">
        <v>0</v>
      </c>
      <c r="E1206">
        <v>0</v>
      </c>
      <c r="F1206">
        <v>0</v>
      </c>
      <c r="G1206" t="s">
        <v>184</v>
      </c>
    </row>
    <row r="1207" spans="1:7" x14ac:dyDescent="0.35">
      <c r="A1207">
        <v>518</v>
      </c>
      <c r="B1207" t="s">
        <v>569</v>
      </c>
      <c r="C1207">
        <v>0</v>
      </c>
      <c r="D1207">
        <v>0</v>
      </c>
      <c r="E1207">
        <v>0</v>
      </c>
      <c r="F1207">
        <v>0</v>
      </c>
      <c r="G1207" t="s">
        <v>184</v>
      </c>
    </row>
    <row r="1208" spans="1:7" x14ac:dyDescent="0.35">
      <c r="A1208">
        <v>520</v>
      </c>
      <c r="B1208" t="s">
        <v>524</v>
      </c>
      <c r="C1208">
        <v>-231210.57</v>
      </c>
      <c r="D1208">
        <v>-1166168.82</v>
      </c>
      <c r="E1208">
        <v>-1210064.07</v>
      </c>
      <c r="F1208">
        <v>-43895.25</v>
      </c>
      <c r="G1208" t="s">
        <v>184</v>
      </c>
    </row>
    <row r="1209" spans="1:7" x14ac:dyDescent="0.35">
      <c r="A1209">
        <v>530</v>
      </c>
      <c r="B1209" t="s">
        <v>525</v>
      </c>
      <c r="C1209">
        <v>211775.02</v>
      </c>
      <c r="D1209">
        <v>1166724.48</v>
      </c>
      <c r="E1209">
        <v>1162036.6200000001</v>
      </c>
      <c r="F1209">
        <v>-4687.8599999999997</v>
      </c>
      <c r="G1209" t="s">
        <v>184</v>
      </c>
    </row>
    <row r="1210" spans="1:7" x14ac:dyDescent="0.35">
      <c r="A1210" t="s">
        <v>251</v>
      </c>
      <c r="B1210" t="s">
        <v>172</v>
      </c>
      <c r="C1210" t="s">
        <v>468</v>
      </c>
      <c r="D1210" t="s">
        <v>469</v>
      </c>
      <c r="E1210" t="s">
        <v>470</v>
      </c>
      <c r="F1210" t="s">
        <v>471</v>
      </c>
      <c r="G1210" t="s">
        <v>183</v>
      </c>
    </row>
    <row r="1211" spans="1:7" x14ac:dyDescent="0.35">
      <c r="A1211">
        <v>10</v>
      </c>
      <c r="B1211" t="s">
        <v>472</v>
      </c>
      <c r="C1211">
        <v>0</v>
      </c>
      <c r="D1211">
        <v>0</v>
      </c>
      <c r="E1211">
        <v>0</v>
      </c>
      <c r="F1211">
        <v>0</v>
      </c>
      <c r="G1211" t="s">
        <v>184</v>
      </c>
    </row>
    <row r="1212" spans="1:7" x14ac:dyDescent="0.35">
      <c r="A1212">
        <v>20</v>
      </c>
      <c r="B1212" t="s">
        <v>147</v>
      </c>
      <c r="C1212">
        <v>5470369.7000000002</v>
      </c>
      <c r="D1212">
        <v>0</v>
      </c>
      <c r="E1212">
        <v>32521509.210000001</v>
      </c>
      <c r="F1212">
        <v>32521509.210000001</v>
      </c>
      <c r="G1212" t="s">
        <v>184</v>
      </c>
    </row>
    <row r="1213" spans="1:7" x14ac:dyDescent="0.35">
      <c r="A1213">
        <v>30</v>
      </c>
      <c r="B1213" t="s">
        <v>473</v>
      </c>
      <c r="C1213">
        <v>437500</v>
      </c>
      <c r="D1213">
        <v>0</v>
      </c>
      <c r="E1213">
        <v>4147994.43</v>
      </c>
      <c r="F1213">
        <v>4147994.43</v>
      </c>
      <c r="G1213" t="s">
        <v>184</v>
      </c>
    </row>
    <row r="1214" spans="1:7" x14ac:dyDescent="0.35">
      <c r="A1214">
        <v>35</v>
      </c>
      <c r="B1214" t="s">
        <v>474</v>
      </c>
      <c r="C1214">
        <v>5032869.7</v>
      </c>
      <c r="D1214">
        <v>0</v>
      </c>
      <c r="E1214">
        <v>28373514.780000001</v>
      </c>
      <c r="F1214">
        <v>28373514.780000001</v>
      </c>
      <c r="G1214" t="s">
        <v>184</v>
      </c>
    </row>
    <row r="1215" spans="1:7" x14ac:dyDescent="0.35">
      <c r="A1215">
        <v>40</v>
      </c>
      <c r="B1215" t="s">
        <v>475</v>
      </c>
      <c r="C1215">
        <v>2331681.37</v>
      </c>
      <c r="D1215">
        <v>0</v>
      </c>
      <c r="E1215">
        <v>14133457.77</v>
      </c>
      <c r="F1215">
        <v>14133457.77</v>
      </c>
      <c r="G1215" t="s">
        <v>184</v>
      </c>
    </row>
    <row r="1216" spans="1:7" x14ac:dyDescent="0.35">
      <c r="A1216">
        <v>50</v>
      </c>
      <c r="B1216" t="s">
        <v>476</v>
      </c>
      <c r="C1216">
        <v>0</v>
      </c>
      <c r="D1216">
        <v>0</v>
      </c>
      <c r="E1216">
        <v>0</v>
      </c>
      <c r="F1216">
        <v>0</v>
      </c>
      <c r="G1216" t="s">
        <v>184</v>
      </c>
    </row>
    <row r="1217" spans="1:7" x14ac:dyDescent="0.35">
      <c r="A1217">
        <v>60</v>
      </c>
      <c r="B1217" t="s">
        <v>477</v>
      </c>
      <c r="C1217">
        <v>2701188.33</v>
      </c>
      <c r="D1217">
        <v>0</v>
      </c>
      <c r="E1217">
        <v>14240057.01</v>
      </c>
      <c r="F1217">
        <v>14240057.01</v>
      </c>
      <c r="G1217" t="s">
        <v>184</v>
      </c>
    </row>
    <row r="1218" spans="1:7" x14ac:dyDescent="0.35">
      <c r="A1218">
        <v>70</v>
      </c>
      <c r="B1218" t="s">
        <v>152</v>
      </c>
      <c r="C1218">
        <v>251893.67</v>
      </c>
      <c r="D1218">
        <v>0</v>
      </c>
      <c r="E1218">
        <v>1440607.62</v>
      </c>
      <c r="F1218">
        <v>1440607.62</v>
      </c>
      <c r="G1218" t="s">
        <v>184</v>
      </c>
    </row>
    <row r="1219" spans="1:7" x14ac:dyDescent="0.35">
      <c r="A1219">
        <v>80</v>
      </c>
      <c r="B1219" t="s">
        <v>153</v>
      </c>
      <c r="C1219">
        <v>160675.1</v>
      </c>
      <c r="D1219">
        <v>0</v>
      </c>
      <c r="E1219">
        <v>1471788.74</v>
      </c>
      <c r="F1219">
        <v>1471788.74</v>
      </c>
      <c r="G1219" t="s">
        <v>184</v>
      </c>
    </row>
    <row r="1220" spans="1:7" x14ac:dyDescent="0.35">
      <c r="A1220">
        <v>90</v>
      </c>
      <c r="B1220" t="s">
        <v>557</v>
      </c>
      <c r="C1220">
        <v>0</v>
      </c>
      <c r="D1220">
        <v>0</v>
      </c>
      <c r="E1220">
        <v>26814.12</v>
      </c>
      <c r="F1220">
        <v>26814.12</v>
      </c>
      <c r="G1220" t="s">
        <v>184</v>
      </c>
    </row>
    <row r="1221" spans="1:7" x14ac:dyDescent="0.35">
      <c r="A1221">
        <v>100</v>
      </c>
      <c r="B1221" t="s">
        <v>479</v>
      </c>
      <c r="C1221">
        <v>2288619.56</v>
      </c>
      <c r="D1221">
        <v>0</v>
      </c>
      <c r="E1221">
        <v>11300846.529999999</v>
      </c>
      <c r="F1221">
        <v>11300846.529999999</v>
      </c>
      <c r="G1221" t="s">
        <v>184</v>
      </c>
    </row>
    <row r="1222" spans="1:7" x14ac:dyDescent="0.35">
      <c r="A1222">
        <v>110</v>
      </c>
      <c r="B1222" t="s">
        <v>480</v>
      </c>
      <c r="C1222">
        <v>54610.25</v>
      </c>
      <c r="D1222">
        <v>0</v>
      </c>
      <c r="E1222">
        <v>-269631.32</v>
      </c>
      <c r="F1222">
        <v>-269631.32</v>
      </c>
      <c r="G1222" t="s">
        <v>184</v>
      </c>
    </row>
    <row r="1223" spans="1:7" x14ac:dyDescent="0.35">
      <c r="A1223">
        <v>120</v>
      </c>
      <c r="B1223" t="s">
        <v>481</v>
      </c>
      <c r="C1223">
        <v>0</v>
      </c>
      <c r="D1223">
        <v>0</v>
      </c>
      <c r="E1223">
        <v>0</v>
      </c>
      <c r="F1223">
        <v>0</v>
      </c>
      <c r="G1223" t="s">
        <v>184</v>
      </c>
    </row>
    <row r="1224" spans="1:7" x14ac:dyDescent="0.35">
      <c r="A1224">
        <v>130</v>
      </c>
      <c r="B1224" t="s">
        <v>482</v>
      </c>
      <c r="C1224">
        <v>2715.54</v>
      </c>
      <c r="D1224">
        <v>0</v>
      </c>
      <c r="E1224">
        <v>16502.900000000001</v>
      </c>
      <c r="F1224">
        <v>16502.900000000001</v>
      </c>
      <c r="G1224" t="s">
        <v>184</v>
      </c>
    </row>
    <row r="1225" spans="1:7" x14ac:dyDescent="0.35">
      <c r="A1225">
        <v>140</v>
      </c>
      <c r="B1225" t="s">
        <v>483</v>
      </c>
      <c r="C1225">
        <v>509583.39</v>
      </c>
      <c r="D1225">
        <v>0</v>
      </c>
      <c r="E1225">
        <v>3758746.6</v>
      </c>
      <c r="F1225">
        <v>3758746.6</v>
      </c>
      <c r="G1225" t="s">
        <v>184</v>
      </c>
    </row>
    <row r="1226" spans="1:7" x14ac:dyDescent="0.35">
      <c r="A1226">
        <v>145</v>
      </c>
      <c r="B1226" t="s">
        <v>162</v>
      </c>
      <c r="C1226">
        <v>-452257.6</v>
      </c>
      <c r="D1226">
        <v>0</v>
      </c>
      <c r="E1226">
        <v>-4011875.02</v>
      </c>
      <c r="F1226">
        <v>-4011875.02</v>
      </c>
      <c r="G1226" t="s">
        <v>184</v>
      </c>
    </row>
    <row r="1227" spans="1:7" x14ac:dyDescent="0.35">
      <c r="A1227">
        <v>150</v>
      </c>
      <c r="B1227" t="s">
        <v>484</v>
      </c>
      <c r="C1227">
        <v>2740877.16</v>
      </c>
      <c r="D1227">
        <v>0</v>
      </c>
      <c r="E1227">
        <v>15312721.550000001</v>
      </c>
      <c r="F1227">
        <v>15312721.550000001</v>
      </c>
      <c r="G1227" t="s">
        <v>184</v>
      </c>
    </row>
    <row r="1228" spans="1:7" x14ac:dyDescent="0.35">
      <c r="A1228">
        <v>160</v>
      </c>
      <c r="B1228" t="s">
        <v>485</v>
      </c>
      <c r="C1228">
        <v>0</v>
      </c>
      <c r="D1228">
        <v>0</v>
      </c>
      <c r="E1228">
        <v>0</v>
      </c>
      <c r="F1228">
        <v>0</v>
      </c>
      <c r="G1228" t="s">
        <v>184</v>
      </c>
    </row>
    <row r="1229" spans="1:7" x14ac:dyDescent="0.35">
      <c r="A1229">
        <v>170</v>
      </c>
      <c r="B1229" t="s">
        <v>166</v>
      </c>
      <c r="C1229">
        <v>2740877.16</v>
      </c>
      <c r="D1229">
        <v>0</v>
      </c>
      <c r="E1229">
        <v>15312721.550000001</v>
      </c>
      <c r="F1229">
        <v>15312721.550000001</v>
      </c>
      <c r="G1229" t="s">
        <v>184</v>
      </c>
    </row>
    <row r="1230" spans="1:7" x14ac:dyDescent="0.35">
      <c r="A1230">
        <v>190</v>
      </c>
      <c r="B1230" t="s">
        <v>486</v>
      </c>
      <c r="C1230">
        <v>0</v>
      </c>
      <c r="D1230">
        <v>0</v>
      </c>
      <c r="E1230">
        <v>0</v>
      </c>
      <c r="F1230">
        <v>0</v>
      </c>
      <c r="G1230" t="s">
        <v>184</v>
      </c>
    </row>
    <row r="1231" spans="1:7" x14ac:dyDescent="0.35">
      <c r="A1231">
        <v>200</v>
      </c>
      <c r="B1231" t="s">
        <v>166</v>
      </c>
      <c r="C1231">
        <v>2740877.16</v>
      </c>
      <c r="D1231">
        <v>0</v>
      </c>
      <c r="E1231">
        <v>15312721.550000001</v>
      </c>
      <c r="F1231">
        <v>15312721.550000001</v>
      </c>
      <c r="G1231" t="s">
        <v>184</v>
      </c>
    </row>
    <row r="1232" spans="1:7" x14ac:dyDescent="0.35">
      <c r="A1232">
        <v>210</v>
      </c>
      <c r="B1232" t="s">
        <v>487</v>
      </c>
      <c r="C1232">
        <v>2740877.16</v>
      </c>
      <c r="D1232">
        <v>0</v>
      </c>
      <c r="E1232">
        <v>15312721.550000001</v>
      </c>
      <c r="F1232">
        <v>15312721.550000001</v>
      </c>
      <c r="G1232" t="s">
        <v>184</v>
      </c>
    </row>
    <row r="1233" spans="1:7" x14ac:dyDescent="0.35">
      <c r="A1233">
        <v>220</v>
      </c>
      <c r="B1233" t="s">
        <v>558</v>
      </c>
      <c r="C1233">
        <v>0</v>
      </c>
      <c r="D1233">
        <v>0</v>
      </c>
      <c r="E1233">
        <v>0</v>
      </c>
      <c r="F1233">
        <v>0</v>
      </c>
      <c r="G1233" t="s">
        <v>184</v>
      </c>
    </row>
    <row r="1234" spans="1:7" x14ac:dyDescent="0.35">
      <c r="A1234">
        <v>230</v>
      </c>
      <c r="B1234" t="s">
        <v>341</v>
      </c>
      <c r="C1234">
        <v>-2050325.3</v>
      </c>
      <c r="D1234">
        <v>-120993855.59</v>
      </c>
      <c r="E1234">
        <v>-132907957.67</v>
      </c>
      <c r="F1234">
        <v>-11914102.08</v>
      </c>
      <c r="G1234" t="s">
        <v>184</v>
      </c>
    </row>
    <row r="1235" spans="1:7" x14ac:dyDescent="0.35">
      <c r="A1235">
        <v>240</v>
      </c>
      <c r="B1235" t="s">
        <v>342</v>
      </c>
      <c r="C1235">
        <v>-61128.88</v>
      </c>
      <c r="D1235">
        <v>-22396601.859999999</v>
      </c>
      <c r="E1235">
        <v>-27538623.010000002</v>
      </c>
      <c r="F1235">
        <v>-5142021.1500000004</v>
      </c>
      <c r="G1235" t="s">
        <v>184</v>
      </c>
    </row>
    <row r="1236" spans="1:7" x14ac:dyDescent="0.35">
      <c r="A1236">
        <v>250</v>
      </c>
      <c r="B1236" t="s">
        <v>343</v>
      </c>
      <c r="C1236">
        <v>1642770.67</v>
      </c>
      <c r="D1236">
        <v>-164061299.02000001</v>
      </c>
      <c r="E1236">
        <v>-156839045.19</v>
      </c>
      <c r="F1236">
        <v>7222253.8300000001</v>
      </c>
      <c r="G1236" t="s">
        <v>184</v>
      </c>
    </row>
    <row r="1237" spans="1:7" x14ac:dyDescent="0.35">
      <c r="A1237">
        <v>260</v>
      </c>
      <c r="B1237" t="s">
        <v>490</v>
      </c>
      <c r="C1237">
        <v>0</v>
      </c>
      <c r="D1237">
        <v>0</v>
      </c>
      <c r="E1237">
        <v>0</v>
      </c>
      <c r="F1237">
        <v>0</v>
      </c>
      <c r="G1237" t="s">
        <v>184</v>
      </c>
    </row>
    <row r="1238" spans="1:7" x14ac:dyDescent="0.35">
      <c r="A1238">
        <v>270</v>
      </c>
      <c r="B1238" t="s">
        <v>344</v>
      </c>
      <c r="C1238">
        <v>-258220</v>
      </c>
      <c r="D1238">
        <v>-2638575.4300000002</v>
      </c>
      <c r="E1238">
        <v>-3363900.33</v>
      </c>
      <c r="F1238">
        <v>-725324.9</v>
      </c>
      <c r="G1238" t="s">
        <v>184</v>
      </c>
    </row>
    <row r="1239" spans="1:7" x14ac:dyDescent="0.35">
      <c r="A1239">
        <v>280</v>
      </c>
      <c r="B1239" t="s">
        <v>559</v>
      </c>
      <c r="C1239">
        <v>0</v>
      </c>
      <c r="D1239">
        <v>0</v>
      </c>
      <c r="E1239">
        <v>0</v>
      </c>
      <c r="F1239">
        <v>0</v>
      </c>
      <c r="G1239" t="s">
        <v>184</v>
      </c>
    </row>
    <row r="1240" spans="1:7" x14ac:dyDescent="0.35">
      <c r="A1240">
        <v>290</v>
      </c>
      <c r="B1240" t="s">
        <v>560</v>
      </c>
      <c r="C1240">
        <v>452749.14</v>
      </c>
      <c r="D1240">
        <v>-37450661.590000004</v>
      </c>
      <c r="E1240">
        <v>-35621119.240000002</v>
      </c>
      <c r="F1240">
        <v>1829542.35</v>
      </c>
      <c r="G1240" t="s">
        <v>184</v>
      </c>
    </row>
    <row r="1241" spans="1:7" x14ac:dyDescent="0.35">
      <c r="A1241">
        <v>300</v>
      </c>
      <c r="B1241" t="s">
        <v>367</v>
      </c>
      <c r="C1241">
        <v>0</v>
      </c>
      <c r="D1241">
        <v>0</v>
      </c>
      <c r="E1241">
        <v>0</v>
      </c>
      <c r="F1241">
        <v>0</v>
      </c>
      <c r="G1241" t="s">
        <v>184</v>
      </c>
    </row>
    <row r="1242" spans="1:7" x14ac:dyDescent="0.35">
      <c r="A1242">
        <v>310</v>
      </c>
      <c r="B1242" t="s">
        <v>491</v>
      </c>
      <c r="C1242">
        <v>0</v>
      </c>
      <c r="D1242">
        <v>0</v>
      </c>
      <c r="E1242">
        <v>0</v>
      </c>
      <c r="F1242">
        <v>0</v>
      </c>
      <c r="G1242" t="s">
        <v>184</v>
      </c>
    </row>
    <row r="1243" spans="1:7" x14ac:dyDescent="0.35">
      <c r="A1243">
        <v>320</v>
      </c>
      <c r="B1243" t="s">
        <v>492</v>
      </c>
      <c r="C1243">
        <v>-335364.74</v>
      </c>
      <c r="D1243">
        <v>7517496.8200000003</v>
      </c>
      <c r="E1243">
        <v>7376645.46</v>
      </c>
      <c r="F1243">
        <v>-140851.35999999999</v>
      </c>
      <c r="G1243" t="s">
        <v>184</v>
      </c>
    </row>
    <row r="1244" spans="1:7" x14ac:dyDescent="0.35">
      <c r="A1244">
        <v>330</v>
      </c>
      <c r="B1244" t="s">
        <v>494</v>
      </c>
      <c r="C1244">
        <v>533.63</v>
      </c>
      <c r="D1244">
        <v>1869921.55</v>
      </c>
      <c r="E1244">
        <v>1824724.65</v>
      </c>
      <c r="F1244">
        <v>-45196.9</v>
      </c>
      <c r="G1244" t="s">
        <v>184</v>
      </c>
    </row>
    <row r="1245" spans="1:7" x14ac:dyDescent="0.35">
      <c r="A1245">
        <v>340</v>
      </c>
      <c r="B1245" t="s">
        <v>495</v>
      </c>
      <c r="C1245">
        <v>0</v>
      </c>
      <c r="D1245">
        <v>1016734.14</v>
      </c>
      <c r="E1245">
        <v>1016734.14</v>
      </c>
      <c r="F1245">
        <v>0</v>
      </c>
      <c r="G1245" t="s">
        <v>184</v>
      </c>
    </row>
    <row r="1246" spans="1:7" x14ac:dyDescent="0.35">
      <c r="A1246">
        <v>350</v>
      </c>
      <c r="B1246" t="s">
        <v>561</v>
      </c>
      <c r="C1246">
        <v>0</v>
      </c>
      <c r="D1246">
        <v>0</v>
      </c>
      <c r="E1246">
        <v>0</v>
      </c>
      <c r="F1246">
        <v>0</v>
      </c>
      <c r="G1246" t="s">
        <v>184</v>
      </c>
    </row>
    <row r="1247" spans="1:7" x14ac:dyDescent="0.35">
      <c r="A1247">
        <v>360</v>
      </c>
      <c r="B1247" t="s">
        <v>562</v>
      </c>
      <c r="C1247">
        <v>148250.60999999999</v>
      </c>
      <c r="D1247">
        <v>17898267.760000002</v>
      </c>
      <c r="E1247">
        <v>17739849.530000001</v>
      </c>
      <c r="F1247">
        <v>-158418.23000000001</v>
      </c>
      <c r="G1247" t="s">
        <v>184</v>
      </c>
    </row>
    <row r="1248" spans="1:7" x14ac:dyDescent="0.35">
      <c r="A1248">
        <v>370</v>
      </c>
      <c r="B1248" t="s">
        <v>563</v>
      </c>
      <c r="C1248">
        <v>-452749.14</v>
      </c>
      <c r="D1248">
        <v>40539047.170000002</v>
      </c>
      <c r="E1248">
        <v>38709504.82</v>
      </c>
      <c r="F1248">
        <v>-1829542.35</v>
      </c>
      <c r="G1248" t="s">
        <v>184</v>
      </c>
    </row>
    <row r="1249" spans="1:7" x14ac:dyDescent="0.35">
      <c r="A1249">
        <v>380</v>
      </c>
      <c r="B1249" t="s">
        <v>496</v>
      </c>
      <c r="C1249">
        <v>-913484.01</v>
      </c>
      <c r="D1249">
        <v>-278699526.05000001</v>
      </c>
      <c r="E1249">
        <v>-289603186.83999997</v>
      </c>
      <c r="F1249">
        <v>-10903660.789999999</v>
      </c>
      <c r="G1249" t="s">
        <v>184</v>
      </c>
    </row>
    <row r="1250" spans="1:7" x14ac:dyDescent="0.35">
      <c r="A1250">
        <v>390</v>
      </c>
      <c r="B1250" t="s">
        <v>497</v>
      </c>
      <c r="C1250">
        <v>0</v>
      </c>
      <c r="D1250">
        <v>0</v>
      </c>
      <c r="E1250">
        <v>0</v>
      </c>
      <c r="F1250">
        <v>0</v>
      </c>
      <c r="G1250" t="s">
        <v>184</v>
      </c>
    </row>
    <row r="1251" spans="1:7" x14ac:dyDescent="0.35">
      <c r="A1251">
        <v>400</v>
      </c>
      <c r="B1251" t="s">
        <v>498</v>
      </c>
      <c r="C1251">
        <v>0</v>
      </c>
      <c r="D1251">
        <v>0</v>
      </c>
      <c r="E1251">
        <v>0</v>
      </c>
      <c r="F1251">
        <v>0</v>
      </c>
      <c r="G1251" t="s">
        <v>184</v>
      </c>
    </row>
    <row r="1252" spans="1:7" x14ac:dyDescent="0.35">
      <c r="A1252">
        <v>410</v>
      </c>
      <c r="B1252" t="s">
        <v>382</v>
      </c>
      <c r="C1252">
        <v>0</v>
      </c>
      <c r="D1252">
        <v>179026</v>
      </c>
      <c r="E1252">
        <v>179026</v>
      </c>
      <c r="F1252">
        <v>0</v>
      </c>
      <c r="G1252" t="s">
        <v>184</v>
      </c>
    </row>
    <row r="1253" spans="1:7" x14ac:dyDescent="0.35">
      <c r="A1253">
        <v>420</v>
      </c>
      <c r="B1253" t="s">
        <v>500</v>
      </c>
      <c r="C1253">
        <v>0</v>
      </c>
      <c r="D1253">
        <v>-41092.14</v>
      </c>
      <c r="E1253">
        <v>-41092.14</v>
      </c>
      <c r="F1253">
        <v>0</v>
      </c>
      <c r="G1253" t="s">
        <v>184</v>
      </c>
    </row>
    <row r="1254" spans="1:7" x14ac:dyDescent="0.35">
      <c r="A1254">
        <v>430</v>
      </c>
      <c r="B1254" t="s">
        <v>501</v>
      </c>
      <c r="C1254">
        <v>0</v>
      </c>
      <c r="D1254">
        <v>900282.88</v>
      </c>
      <c r="E1254">
        <v>900282.88</v>
      </c>
      <c r="F1254">
        <v>0</v>
      </c>
      <c r="G1254" t="s">
        <v>184</v>
      </c>
    </row>
    <row r="1255" spans="1:7" x14ac:dyDescent="0.35">
      <c r="A1255">
        <v>435</v>
      </c>
      <c r="B1255" t="s">
        <v>564</v>
      </c>
      <c r="C1255">
        <v>0</v>
      </c>
      <c r="D1255">
        <v>78171618.530000001</v>
      </c>
      <c r="E1255">
        <v>76101726.670000002</v>
      </c>
      <c r="F1255">
        <v>-2069891.86</v>
      </c>
      <c r="G1255" t="s">
        <v>184</v>
      </c>
    </row>
    <row r="1256" spans="1:7" x14ac:dyDescent="0.35">
      <c r="A1256">
        <v>440</v>
      </c>
      <c r="B1256" t="s">
        <v>504</v>
      </c>
      <c r="C1256">
        <v>0</v>
      </c>
      <c r="D1256">
        <v>79209835.269999996</v>
      </c>
      <c r="E1256">
        <v>77139943.409999996</v>
      </c>
      <c r="F1256">
        <v>-2069891.86</v>
      </c>
      <c r="G1256" t="s">
        <v>184</v>
      </c>
    </row>
    <row r="1257" spans="1:7" x14ac:dyDescent="0.35">
      <c r="A1257">
        <v>450</v>
      </c>
      <c r="B1257" t="s">
        <v>505</v>
      </c>
      <c r="C1257">
        <v>0</v>
      </c>
      <c r="D1257">
        <v>0</v>
      </c>
      <c r="E1257">
        <v>0</v>
      </c>
      <c r="F1257">
        <v>0</v>
      </c>
      <c r="G1257" t="s">
        <v>184</v>
      </c>
    </row>
    <row r="1258" spans="1:7" x14ac:dyDescent="0.35">
      <c r="A1258">
        <v>452</v>
      </c>
      <c r="B1258" t="s">
        <v>348</v>
      </c>
      <c r="C1258">
        <v>0</v>
      </c>
      <c r="D1258">
        <v>0</v>
      </c>
      <c r="E1258">
        <v>0</v>
      </c>
      <c r="F1258">
        <v>0</v>
      </c>
      <c r="G1258" t="s">
        <v>184</v>
      </c>
    </row>
    <row r="1259" spans="1:7" x14ac:dyDescent="0.35">
      <c r="A1259">
        <v>454</v>
      </c>
      <c r="B1259" t="s">
        <v>349</v>
      </c>
      <c r="C1259">
        <v>0</v>
      </c>
      <c r="D1259">
        <v>0</v>
      </c>
      <c r="E1259">
        <v>0</v>
      </c>
      <c r="F1259">
        <v>0</v>
      </c>
      <c r="G1259" t="s">
        <v>184</v>
      </c>
    </row>
    <row r="1260" spans="1:7" x14ac:dyDescent="0.35">
      <c r="A1260">
        <v>456</v>
      </c>
      <c r="B1260" t="s">
        <v>506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184</v>
      </c>
    </row>
    <row r="1261" spans="1:7" x14ac:dyDescent="0.35">
      <c r="A1261">
        <v>460</v>
      </c>
      <c r="B1261" t="s">
        <v>353</v>
      </c>
      <c r="C1261">
        <v>0</v>
      </c>
      <c r="D1261">
        <v>-100862.65</v>
      </c>
      <c r="E1261">
        <v>-135862.65</v>
      </c>
      <c r="F1261">
        <v>-35000</v>
      </c>
      <c r="G1261" t="s">
        <v>184</v>
      </c>
    </row>
    <row r="1262" spans="1:7" x14ac:dyDescent="0.35">
      <c r="A1262">
        <v>462</v>
      </c>
      <c r="B1262" t="s">
        <v>510</v>
      </c>
      <c r="C1262">
        <v>0</v>
      </c>
      <c r="D1262">
        <v>-13947.86</v>
      </c>
      <c r="E1262">
        <v>-13947.86</v>
      </c>
      <c r="F1262">
        <v>0</v>
      </c>
      <c r="G1262" t="s">
        <v>184</v>
      </c>
    </row>
    <row r="1263" spans="1:7" x14ac:dyDescent="0.35">
      <c r="A1263">
        <v>464</v>
      </c>
      <c r="B1263" t="s">
        <v>565</v>
      </c>
      <c r="C1263">
        <v>0</v>
      </c>
      <c r="D1263">
        <v>0</v>
      </c>
      <c r="E1263">
        <v>296.39999999999998</v>
      </c>
      <c r="F1263">
        <v>296.39999999999998</v>
      </c>
      <c r="G1263" t="s">
        <v>184</v>
      </c>
    </row>
    <row r="1264" spans="1:7" x14ac:dyDescent="0.35">
      <c r="A1264">
        <v>470</v>
      </c>
      <c r="B1264" t="s">
        <v>507</v>
      </c>
      <c r="C1264">
        <v>0</v>
      </c>
      <c r="D1264">
        <v>92200.02</v>
      </c>
      <c r="E1264">
        <v>100353.17</v>
      </c>
      <c r="F1264">
        <v>8153.15</v>
      </c>
      <c r="G1264" t="s">
        <v>184</v>
      </c>
    </row>
    <row r="1265" spans="1:7" x14ac:dyDescent="0.35">
      <c r="A1265">
        <v>480</v>
      </c>
      <c r="B1265" t="s">
        <v>352</v>
      </c>
      <c r="C1265">
        <v>0</v>
      </c>
      <c r="D1265">
        <v>-290713.63</v>
      </c>
      <c r="E1265">
        <v>-634760.63</v>
      </c>
      <c r="F1265">
        <v>-344047</v>
      </c>
      <c r="G1265" t="s">
        <v>184</v>
      </c>
    </row>
    <row r="1266" spans="1:7" x14ac:dyDescent="0.35">
      <c r="A1266">
        <v>490</v>
      </c>
      <c r="B1266" t="s">
        <v>508</v>
      </c>
      <c r="C1266">
        <v>0</v>
      </c>
      <c r="D1266">
        <v>238423</v>
      </c>
      <c r="E1266">
        <v>259238.31</v>
      </c>
      <c r="F1266">
        <v>20815.310000000001</v>
      </c>
      <c r="G1266" t="s">
        <v>184</v>
      </c>
    </row>
    <row r="1267" spans="1:7" x14ac:dyDescent="0.35">
      <c r="A1267">
        <v>500</v>
      </c>
      <c r="B1267" t="s">
        <v>351</v>
      </c>
      <c r="C1267">
        <v>0</v>
      </c>
      <c r="D1267">
        <v>-70291.3</v>
      </c>
      <c r="E1267">
        <v>-101135.43</v>
      </c>
      <c r="F1267">
        <v>-30844.13</v>
      </c>
      <c r="G1267" t="s">
        <v>184</v>
      </c>
    </row>
    <row r="1268" spans="1:7" x14ac:dyDescent="0.35">
      <c r="A1268">
        <v>510</v>
      </c>
      <c r="B1268" t="s">
        <v>509</v>
      </c>
      <c r="C1268">
        <v>0</v>
      </c>
      <c r="D1268">
        <v>10705.79</v>
      </c>
      <c r="E1268">
        <v>19690.810000000001</v>
      </c>
      <c r="F1268">
        <v>8985.02</v>
      </c>
      <c r="G1268" t="s">
        <v>184</v>
      </c>
    </row>
    <row r="1269" spans="1:7" x14ac:dyDescent="0.35">
      <c r="A1269">
        <v>512</v>
      </c>
      <c r="B1269" t="s">
        <v>566</v>
      </c>
      <c r="C1269">
        <v>0</v>
      </c>
      <c r="D1269">
        <v>0</v>
      </c>
      <c r="E1269">
        <v>0</v>
      </c>
      <c r="F1269">
        <v>0</v>
      </c>
      <c r="G1269" t="s">
        <v>184</v>
      </c>
    </row>
    <row r="1270" spans="1:7" x14ac:dyDescent="0.35">
      <c r="A1270">
        <v>514</v>
      </c>
      <c r="B1270" t="s">
        <v>567</v>
      </c>
      <c r="C1270">
        <v>0</v>
      </c>
      <c r="D1270">
        <v>-10000</v>
      </c>
      <c r="E1270">
        <v>-10000</v>
      </c>
      <c r="F1270">
        <v>0</v>
      </c>
      <c r="G1270" t="s">
        <v>184</v>
      </c>
    </row>
    <row r="1271" spans="1:7" x14ac:dyDescent="0.35">
      <c r="A1271">
        <v>516</v>
      </c>
      <c r="B1271" t="s">
        <v>568</v>
      </c>
      <c r="C1271">
        <v>0</v>
      </c>
      <c r="D1271">
        <v>0</v>
      </c>
      <c r="E1271">
        <v>0</v>
      </c>
      <c r="F1271">
        <v>0</v>
      </c>
      <c r="G1271" t="s">
        <v>184</v>
      </c>
    </row>
    <row r="1272" spans="1:7" x14ac:dyDescent="0.35">
      <c r="A1272">
        <v>518</v>
      </c>
      <c r="B1272" t="s">
        <v>569</v>
      </c>
      <c r="C1272">
        <v>0</v>
      </c>
      <c r="D1272">
        <v>0</v>
      </c>
      <c r="E1272">
        <v>0</v>
      </c>
      <c r="F1272">
        <v>0</v>
      </c>
      <c r="G1272" t="s">
        <v>184</v>
      </c>
    </row>
    <row r="1273" spans="1:7" x14ac:dyDescent="0.35">
      <c r="A1273">
        <v>520</v>
      </c>
      <c r="B1273" t="s">
        <v>524</v>
      </c>
      <c r="C1273">
        <v>0</v>
      </c>
      <c r="D1273">
        <v>-211525.45</v>
      </c>
      <c r="E1273">
        <v>-583166.69999999995</v>
      </c>
      <c r="F1273">
        <v>-371641.25</v>
      </c>
      <c r="G1273" t="s">
        <v>184</v>
      </c>
    </row>
    <row r="1274" spans="1:7" x14ac:dyDescent="0.35">
      <c r="A1274">
        <v>530</v>
      </c>
      <c r="B1274" t="s">
        <v>525</v>
      </c>
      <c r="C1274">
        <v>1827393.15</v>
      </c>
      <c r="D1274">
        <v>-199701216.22999999</v>
      </c>
      <c r="E1274">
        <v>-197733688.58000001</v>
      </c>
      <c r="F1274">
        <v>1967527.65</v>
      </c>
      <c r="G1274" t="s">
        <v>184</v>
      </c>
    </row>
    <row r="1275" spans="1:7" x14ac:dyDescent="0.35">
      <c r="A1275" t="s">
        <v>252</v>
      </c>
      <c r="B1275" t="s">
        <v>172</v>
      </c>
      <c r="C1275" t="s">
        <v>468</v>
      </c>
      <c r="D1275" t="s">
        <v>469</v>
      </c>
      <c r="E1275" t="s">
        <v>470</v>
      </c>
      <c r="F1275" t="s">
        <v>471</v>
      </c>
      <c r="G1275" t="s">
        <v>183</v>
      </c>
    </row>
    <row r="1276" spans="1:7" x14ac:dyDescent="0.35">
      <c r="A1276">
        <v>10</v>
      </c>
      <c r="B1276" t="s">
        <v>472</v>
      </c>
      <c r="C1276">
        <v>0</v>
      </c>
      <c r="D1276">
        <v>0</v>
      </c>
      <c r="E1276">
        <v>0</v>
      </c>
      <c r="F1276">
        <v>0</v>
      </c>
      <c r="G1276" t="s">
        <v>184</v>
      </c>
    </row>
    <row r="1277" spans="1:7" x14ac:dyDescent="0.35">
      <c r="A1277">
        <v>20</v>
      </c>
      <c r="B1277" t="s">
        <v>147</v>
      </c>
      <c r="C1277">
        <v>261352.04</v>
      </c>
      <c r="D1277">
        <v>0</v>
      </c>
      <c r="E1277">
        <v>2633691.2000000002</v>
      </c>
      <c r="F1277">
        <v>2633691.2000000002</v>
      </c>
      <c r="G1277" t="s">
        <v>184</v>
      </c>
    </row>
    <row r="1278" spans="1:7" x14ac:dyDescent="0.35">
      <c r="A1278">
        <v>30</v>
      </c>
      <c r="B1278" t="s">
        <v>473</v>
      </c>
      <c r="C1278">
        <v>684.79</v>
      </c>
      <c r="D1278">
        <v>0</v>
      </c>
      <c r="E1278">
        <v>29421.24</v>
      </c>
      <c r="F1278">
        <v>29421.24</v>
      </c>
      <c r="G1278" t="s">
        <v>184</v>
      </c>
    </row>
    <row r="1279" spans="1:7" x14ac:dyDescent="0.35">
      <c r="A1279">
        <v>35</v>
      </c>
      <c r="B1279" t="s">
        <v>474</v>
      </c>
      <c r="C1279">
        <v>260667.25</v>
      </c>
      <c r="D1279">
        <v>0</v>
      </c>
      <c r="E1279">
        <v>2604269.96</v>
      </c>
      <c r="F1279">
        <v>2604269.96</v>
      </c>
      <c r="G1279" t="s">
        <v>184</v>
      </c>
    </row>
    <row r="1280" spans="1:7" x14ac:dyDescent="0.35">
      <c r="A1280">
        <v>40</v>
      </c>
      <c r="B1280" t="s">
        <v>475</v>
      </c>
      <c r="C1280">
        <v>165095.14000000001</v>
      </c>
      <c r="D1280">
        <v>0</v>
      </c>
      <c r="E1280">
        <v>1597966.61</v>
      </c>
      <c r="F1280">
        <v>1597966.61</v>
      </c>
      <c r="G1280" t="s">
        <v>184</v>
      </c>
    </row>
    <row r="1281" spans="1:7" x14ac:dyDescent="0.35">
      <c r="A1281">
        <v>50</v>
      </c>
      <c r="B1281" t="s">
        <v>476</v>
      </c>
      <c r="C1281">
        <v>0</v>
      </c>
      <c r="D1281">
        <v>0</v>
      </c>
      <c r="E1281">
        <v>0</v>
      </c>
      <c r="F1281">
        <v>0</v>
      </c>
      <c r="G1281" t="s">
        <v>184</v>
      </c>
    </row>
    <row r="1282" spans="1:7" x14ac:dyDescent="0.35">
      <c r="A1282">
        <v>60</v>
      </c>
      <c r="B1282" t="s">
        <v>477</v>
      </c>
      <c r="C1282">
        <v>95572.11</v>
      </c>
      <c r="D1282">
        <v>0</v>
      </c>
      <c r="E1282">
        <v>1006303.35</v>
      </c>
      <c r="F1282">
        <v>1006303.35</v>
      </c>
      <c r="G1282" t="s">
        <v>184</v>
      </c>
    </row>
    <row r="1283" spans="1:7" x14ac:dyDescent="0.35">
      <c r="A1283">
        <v>70</v>
      </c>
      <c r="B1283" t="s">
        <v>152</v>
      </c>
      <c r="C1283">
        <v>105527.81</v>
      </c>
      <c r="D1283">
        <v>0</v>
      </c>
      <c r="E1283">
        <v>974415.69</v>
      </c>
      <c r="F1283">
        <v>974415.69</v>
      </c>
      <c r="G1283" t="s">
        <v>184</v>
      </c>
    </row>
    <row r="1284" spans="1:7" x14ac:dyDescent="0.35">
      <c r="A1284">
        <v>80</v>
      </c>
      <c r="B1284" t="s">
        <v>153</v>
      </c>
      <c r="C1284">
        <v>11426.98</v>
      </c>
      <c r="D1284">
        <v>0</v>
      </c>
      <c r="E1284">
        <v>99874.17</v>
      </c>
      <c r="F1284">
        <v>99874.17</v>
      </c>
      <c r="G1284" t="s">
        <v>184</v>
      </c>
    </row>
    <row r="1285" spans="1:7" x14ac:dyDescent="0.35">
      <c r="A1285">
        <v>90</v>
      </c>
      <c r="B1285" t="s">
        <v>478</v>
      </c>
      <c r="C1285">
        <v>1960.67</v>
      </c>
      <c r="D1285">
        <v>0</v>
      </c>
      <c r="E1285">
        <v>16305.65</v>
      </c>
      <c r="F1285">
        <v>16305.65</v>
      </c>
      <c r="G1285" t="s">
        <v>184</v>
      </c>
    </row>
    <row r="1286" spans="1:7" x14ac:dyDescent="0.35">
      <c r="A1286">
        <v>100</v>
      </c>
      <c r="B1286" t="s">
        <v>479</v>
      </c>
      <c r="C1286">
        <v>-23343.35</v>
      </c>
      <c r="D1286">
        <v>0</v>
      </c>
      <c r="E1286">
        <v>-84292.160000000003</v>
      </c>
      <c r="F1286">
        <v>-84292.160000000003</v>
      </c>
      <c r="G1286" t="s">
        <v>184</v>
      </c>
    </row>
    <row r="1287" spans="1:7" x14ac:dyDescent="0.35">
      <c r="A1287">
        <v>110</v>
      </c>
      <c r="B1287" t="s">
        <v>480</v>
      </c>
      <c r="C1287">
        <v>0</v>
      </c>
      <c r="D1287">
        <v>0</v>
      </c>
      <c r="E1287">
        <v>0</v>
      </c>
      <c r="F1287">
        <v>0</v>
      </c>
      <c r="G1287" t="s">
        <v>184</v>
      </c>
    </row>
    <row r="1288" spans="1:7" x14ac:dyDescent="0.35">
      <c r="A1288">
        <v>120</v>
      </c>
      <c r="B1288" t="s">
        <v>481</v>
      </c>
      <c r="C1288">
        <v>-3147.22</v>
      </c>
      <c r="D1288">
        <v>0</v>
      </c>
      <c r="E1288">
        <v>-18564.97</v>
      </c>
      <c r="F1288">
        <v>-18564.97</v>
      </c>
      <c r="G1288" t="s">
        <v>184</v>
      </c>
    </row>
    <row r="1289" spans="1:7" x14ac:dyDescent="0.35">
      <c r="A1289">
        <v>130</v>
      </c>
      <c r="B1289" t="s">
        <v>482</v>
      </c>
      <c r="C1289">
        <v>0</v>
      </c>
      <c r="D1289">
        <v>0</v>
      </c>
      <c r="E1289">
        <v>4088.67</v>
      </c>
      <c r="F1289">
        <v>4088.67</v>
      </c>
      <c r="G1289" t="s">
        <v>184</v>
      </c>
    </row>
    <row r="1290" spans="1:7" x14ac:dyDescent="0.35">
      <c r="A1290">
        <v>140</v>
      </c>
      <c r="B1290" t="s">
        <v>483</v>
      </c>
      <c r="C1290">
        <v>0</v>
      </c>
      <c r="D1290">
        <v>0</v>
      </c>
      <c r="E1290">
        <v>0</v>
      </c>
      <c r="F1290">
        <v>0</v>
      </c>
      <c r="G1290" t="s">
        <v>184</v>
      </c>
    </row>
    <row r="1291" spans="1:7" x14ac:dyDescent="0.35">
      <c r="A1291">
        <v>145</v>
      </c>
      <c r="B1291" t="s">
        <v>162</v>
      </c>
      <c r="C1291">
        <v>-3147.22</v>
      </c>
      <c r="D1291">
        <v>0</v>
      </c>
      <c r="E1291">
        <v>-14476.3</v>
      </c>
      <c r="F1291">
        <v>-14476.3</v>
      </c>
      <c r="G1291" t="s">
        <v>184</v>
      </c>
    </row>
    <row r="1292" spans="1:7" x14ac:dyDescent="0.35">
      <c r="A1292">
        <v>150</v>
      </c>
      <c r="B1292" t="s">
        <v>484</v>
      </c>
      <c r="C1292">
        <v>-20196.13</v>
      </c>
      <c r="D1292">
        <v>0</v>
      </c>
      <c r="E1292">
        <v>-69815.86</v>
      </c>
      <c r="F1292">
        <v>-69815.86</v>
      </c>
      <c r="G1292" t="s">
        <v>184</v>
      </c>
    </row>
    <row r="1293" spans="1:7" x14ac:dyDescent="0.35">
      <c r="A1293">
        <v>160</v>
      </c>
      <c r="B1293" t="s">
        <v>485</v>
      </c>
      <c r="C1293">
        <v>0</v>
      </c>
      <c r="D1293">
        <v>0</v>
      </c>
      <c r="E1293">
        <v>0</v>
      </c>
      <c r="F1293">
        <v>0</v>
      </c>
      <c r="G1293" t="s">
        <v>184</v>
      </c>
    </row>
    <row r="1294" spans="1:7" x14ac:dyDescent="0.35">
      <c r="A1294">
        <v>170</v>
      </c>
      <c r="B1294" t="s">
        <v>166</v>
      </c>
      <c r="C1294">
        <v>-20196.13</v>
      </c>
      <c r="D1294">
        <v>0</v>
      </c>
      <c r="E1294">
        <v>-69815.86</v>
      </c>
      <c r="F1294">
        <v>-69815.86</v>
      </c>
      <c r="G1294" t="s">
        <v>184</v>
      </c>
    </row>
    <row r="1295" spans="1:7" x14ac:dyDescent="0.35">
      <c r="A1295">
        <v>190</v>
      </c>
      <c r="B1295" t="s">
        <v>486</v>
      </c>
      <c r="C1295">
        <v>0</v>
      </c>
      <c r="D1295">
        <v>0</v>
      </c>
      <c r="E1295">
        <v>0</v>
      </c>
      <c r="F1295">
        <v>0</v>
      </c>
      <c r="G1295" t="s">
        <v>184</v>
      </c>
    </row>
    <row r="1296" spans="1:7" x14ac:dyDescent="0.35">
      <c r="A1296">
        <v>200</v>
      </c>
      <c r="B1296" t="s">
        <v>166</v>
      </c>
      <c r="C1296">
        <v>-20196.13</v>
      </c>
      <c r="D1296">
        <v>0</v>
      </c>
      <c r="E1296">
        <v>-69815.86</v>
      </c>
      <c r="F1296">
        <v>-69815.86</v>
      </c>
      <c r="G1296" t="s">
        <v>184</v>
      </c>
    </row>
    <row r="1297" spans="1:7" x14ac:dyDescent="0.35">
      <c r="A1297">
        <v>210</v>
      </c>
      <c r="B1297" t="s">
        <v>487</v>
      </c>
      <c r="C1297">
        <v>-20196.13</v>
      </c>
      <c r="D1297">
        <v>0</v>
      </c>
      <c r="E1297">
        <v>-69815.86</v>
      </c>
      <c r="F1297">
        <v>-69815.86</v>
      </c>
      <c r="G1297" t="s">
        <v>184</v>
      </c>
    </row>
    <row r="1298" spans="1:7" x14ac:dyDescent="0.35">
      <c r="A1298">
        <v>220</v>
      </c>
      <c r="B1298" t="s">
        <v>488</v>
      </c>
      <c r="C1298">
        <v>0</v>
      </c>
      <c r="D1298">
        <v>0</v>
      </c>
      <c r="E1298">
        <v>0</v>
      </c>
      <c r="F1298">
        <v>0</v>
      </c>
      <c r="G1298" t="s">
        <v>184</v>
      </c>
    </row>
    <row r="1299" spans="1:7" x14ac:dyDescent="0.35">
      <c r="A1299">
        <v>230</v>
      </c>
      <c r="B1299" t="s">
        <v>341</v>
      </c>
      <c r="C1299">
        <v>6953.05</v>
      </c>
      <c r="D1299">
        <v>-20755.93</v>
      </c>
      <c r="E1299">
        <v>-7364.11</v>
      </c>
      <c r="F1299">
        <v>13391.82</v>
      </c>
      <c r="G1299" t="s">
        <v>184</v>
      </c>
    </row>
    <row r="1300" spans="1:7" x14ac:dyDescent="0.35">
      <c r="A1300">
        <v>235</v>
      </c>
      <c r="B1300" t="s">
        <v>489</v>
      </c>
      <c r="C1300">
        <v>0</v>
      </c>
      <c r="D1300">
        <v>-652.41</v>
      </c>
      <c r="E1300">
        <v>-652.41</v>
      </c>
      <c r="F1300">
        <v>0</v>
      </c>
      <c r="G1300" t="s">
        <v>184</v>
      </c>
    </row>
    <row r="1301" spans="1:7" x14ac:dyDescent="0.35">
      <c r="A1301">
        <v>240</v>
      </c>
      <c r="B1301" t="s">
        <v>342</v>
      </c>
      <c r="C1301">
        <v>-3701.55</v>
      </c>
      <c r="D1301">
        <v>0</v>
      </c>
      <c r="E1301">
        <v>-5410.35</v>
      </c>
      <c r="F1301">
        <v>-5410.35</v>
      </c>
      <c r="G1301" t="s">
        <v>184</v>
      </c>
    </row>
    <row r="1302" spans="1:7" x14ac:dyDescent="0.35">
      <c r="A1302">
        <v>250</v>
      </c>
      <c r="B1302" t="s">
        <v>343</v>
      </c>
      <c r="C1302">
        <v>1498.58</v>
      </c>
      <c r="D1302">
        <v>-31229</v>
      </c>
      <c r="E1302">
        <v>-30889.82</v>
      </c>
      <c r="F1302">
        <v>339.18</v>
      </c>
      <c r="G1302" t="s">
        <v>184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184</v>
      </c>
    </row>
    <row r="1304" spans="1:7" x14ac:dyDescent="0.35">
      <c r="A1304">
        <v>270</v>
      </c>
      <c r="B1304" t="s">
        <v>344</v>
      </c>
      <c r="C1304">
        <v>2304.73</v>
      </c>
      <c r="D1304">
        <v>-4678.62</v>
      </c>
      <c r="E1304">
        <v>-20754.18</v>
      </c>
      <c r="F1304">
        <v>-16075.56</v>
      </c>
      <c r="G1304" t="s">
        <v>184</v>
      </c>
    </row>
    <row r="1305" spans="1:7" x14ac:dyDescent="0.35">
      <c r="A1305">
        <v>300</v>
      </c>
      <c r="B1305" t="s">
        <v>367</v>
      </c>
      <c r="C1305">
        <v>-3758.29</v>
      </c>
      <c r="D1305">
        <v>46254.16</v>
      </c>
      <c r="E1305">
        <v>10617.88</v>
      </c>
      <c r="F1305">
        <v>-35636.28</v>
      </c>
      <c r="G1305" t="s">
        <v>184</v>
      </c>
    </row>
    <row r="1306" spans="1:7" x14ac:dyDescent="0.35">
      <c r="A1306">
        <v>310</v>
      </c>
      <c r="B1306" t="s">
        <v>491</v>
      </c>
      <c r="C1306">
        <v>0</v>
      </c>
      <c r="D1306">
        <v>0</v>
      </c>
      <c r="E1306">
        <v>0</v>
      </c>
      <c r="F1306">
        <v>0</v>
      </c>
      <c r="G1306" t="s">
        <v>184</v>
      </c>
    </row>
    <row r="1307" spans="1:7" x14ac:dyDescent="0.35">
      <c r="A1307">
        <v>320</v>
      </c>
      <c r="B1307" t="s">
        <v>492</v>
      </c>
      <c r="C1307">
        <v>0</v>
      </c>
      <c r="D1307">
        <v>456.51</v>
      </c>
      <c r="E1307">
        <v>2876.53</v>
      </c>
      <c r="F1307">
        <v>2420.02</v>
      </c>
      <c r="G1307" t="s">
        <v>184</v>
      </c>
    </row>
    <row r="1308" spans="1:7" x14ac:dyDescent="0.35">
      <c r="A1308">
        <v>325</v>
      </c>
      <c r="B1308" t="s">
        <v>493</v>
      </c>
      <c r="C1308">
        <v>8943.0499999999993</v>
      </c>
      <c r="D1308">
        <v>65680.33</v>
      </c>
      <c r="E1308">
        <v>85411.8</v>
      </c>
      <c r="F1308">
        <v>19731.47</v>
      </c>
      <c r="G1308" t="s">
        <v>184</v>
      </c>
    </row>
    <row r="1309" spans="1:7" x14ac:dyDescent="0.35">
      <c r="A1309">
        <v>330</v>
      </c>
      <c r="B1309" t="s">
        <v>570</v>
      </c>
      <c r="C1309">
        <v>0</v>
      </c>
      <c r="D1309">
        <v>1272420.6000000001</v>
      </c>
      <c r="E1309">
        <v>1592350.9</v>
      </c>
      <c r="F1309">
        <v>319930.3</v>
      </c>
      <c r="G1309" t="s">
        <v>184</v>
      </c>
    </row>
    <row r="1310" spans="1:7" x14ac:dyDescent="0.35">
      <c r="A1310">
        <v>340</v>
      </c>
      <c r="B1310" t="s">
        <v>495</v>
      </c>
      <c r="C1310">
        <v>-2173.2199999999998</v>
      </c>
      <c r="D1310">
        <v>36817.5</v>
      </c>
      <c r="E1310">
        <v>38775.19</v>
      </c>
      <c r="F1310">
        <v>1957.69</v>
      </c>
      <c r="G1310" t="s">
        <v>184</v>
      </c>
    </row>
    <row r="1311" spans="1:7" x14ac:dyDescent="0.35">
      <c r="A1311">
        <v>380</v>
      </c>
      <c r="B1311" t="s">
        <v>496</v>
      </c>
      <c r="C1311">
        <v>10066.35</v>
      </c>
      <c r="D1311">
        <v>1364313.14</v>
      </c>
      <c r="E1311">
        <v>1664961.43</v>
      </c>
      <c r="F1311">
        <v>300648.28999999998</v>
      </c>
      <c r="G1311" t="s">
        <v>184</v>
      </c>
    </row>
    <row r="1312" spans="1:7" x14ac:dyDescent="0.35">
      <c r="A1312">
        <v>390</v>
      </c>
      <c r="B1312" t="s">
        <v>497</v>
      </c>
      <c r="C1312">
        <v>0</v>
      </c>
      <c r="D1312">
        <v>0</v>
      </c>
      <c r="E1312">
        <v>0</v>
      </c>
      <c r="F1312">
        <v>0</v>
      </c>
      <c r="G1312" t="s">
        <v>184</v>
      </c>
    </row>
    <row r="1313" spans="1:7" x14ac:dyDescent="0.35">
      <c r="A1313">
        <v>400</v>
      </c>
      <c r="B1313" t="s">
        <v>498</v>
      </c>
      <c r="C1313">
        <v>0</v>
      </c>
      <c r="D1313">
        <v>170366.24</v>
      </c>
      <c r="E1313">
        <v>0</v>
      </c>
      <c r="F1313">
        <v>-170366.24</v>
      </c>
      <c r="G1313" t="s">
        <v>184</v>
      </c>
    </row>
    <row r="1314" spans="1:7" x14ac:dyDescent="0.35">
      <c r="A1314">
        <v>405</v>
      </c>
      <c r="B1314" t="s">
        <v>499</v>
      </c>
      <c r="C1314">
        <v>0</v>
      </c>
      <c r="D1314">
        <v>0</v>
      </c>
      <c r="E1314">
        <v>0</v>
      </c>
      <c r="F1314">
        <v>0</v>
      </c>
      <c r="G1314" t="s">
        <v>184</v>
      </c>
    </row>
    <row r="1315" spans="1:7" x14ac:dyDescent="0.35">
      <c r="A1315">
        <v>410</v>
      </c>
      <c r="B1315" t="s">
        <v>382</v>
      </c>
      <c r="C1315">
        <v>0</v>
      </c>
      <c r="D1315">
        <v>1000</v>
      </c>
      <c r="E1315">
        <v>1000</v>
      </c>
      <c r="F1315">
        <v>0</v>
      </c>
      <c r="G1315" t="s">
        <v>184</v>
      </c>
    </row>
    <row r="1316" spans="1:7" x14ac:dyDescent="0.35">
      <c r="A1316">
        <v>420</v>
      </c>
      <c r="B1316" t="s">
        <v>500</v>
      </c>
      <c r="C1316">
        <v>0</v>
      </c>
      <c r="D1316">
        <v>0</v>
      </c>
      <c r="E1316">
        <v>0</v>
      </c>
      <c r="F1316">
        <v>0</v>
      </c>
      <c r="G1316" t="s">
        <v>184</v>
      </c>
    </row>
    <row r="1317" spans="1:7" x14ac:dyDescent="0.35">
      <c r="A1317">
        <v>425</v>
      </c>
      <c r="B1317" t="s">
        <v>501</v>
      </c>
      <c r="C1317">
        <v>0</v>
      </c>
      <c r="D1317">
        <v>0</v>
      </c>
      <c r="E1317">
        <v>0</v>
      </c>
      <c r="F1317">
        <v>0</v>
      </c>
      <c r="G1317" t="s">
        <v>184</v>
      </c>
    </row>
    <row r="1318" spans="1:7" x14ac:dyDescent="0.35">
      <c r="A1318">
        <v>427</v>
      </c>
      <c r="B1318" t="s">
        <v>502</v>
      </c>
      <c r="C1318">
        <v>0</v>
      </c>
      <c r="D1318">
        <v>0</v>
      </c>
      <c r="E1318">
        <v>0</v>
      </c>
      <c r="F1318">
        <v>0</v>
      </c>
      <c r="G1318" t="s">
        <v>184</v>
      </c>
    </row>
    <row r="1319" spans="1:7" x14ac:dyDescent="0.35">
      <c r="A1319">
        <v>430</v>
      </c>
      <c r="B1319" t="s">
        <v>503</v>
      </c>
      <c r="C1319">
        <v>0</v>
      </c>
      <c r="D1319">
        <v>-1007352.3</v>
      </c>
      <c r="E1319">
        <v>-1007352.3</v>
      </c>
      <c r="F1319">
        <v>0</v>
      </c>
      <c r="G1319" t="s">
        <v>184</v>
      </c>
    </row>
    <row r="1320" spans="1:7" x14ac:dyDescent="0.35">
      <c r="A1320">
        <v>440</v>
      </c>
      <c r="B1320" t="s">
        <v>504</v>
      </c>
      <c r="C1320">
        <v>0</v>
      </c>
      <c r="D1320">
        <v>-835986.06</v>
      </c>
      <c r="E1320">
        <v>-1006352.3</v>
      </c>
      <c r="F1320">
        <v>-170366.24</v>
      </c>
      <c r="G1320" t="s">
        <v>184</v>
      </c>
    </row>
    <row r="1321" spans="1:7" x14ac:dyDescent="0.35">
      <c r="A1321">
        <v>450</v>
      </c>
      <c r="B1321" t="s">
        <v>505</v>
      </c>
      <c r="C1321">
        <v>0</v>
      </c>
      <c r="D1321">
        <v>0</v>
      </c>
      <c r="E1321">
        <v>0</v>
      </c>
      <c r="F1321">
        <v>0</v>
      </c>
      <c r="G1321" t="s">
        <v>184</v>
      </c>
    </row>
    <row r="1322" spans="1:7" x14ac:dyDescent="0.35">
      <c r="A1322">
        <v>455</v>
      </c>
      <c r="B1322" t="s">
        <v>349</v>
      </c>
      <c r="C1322">
        <v>0</v>
      </c>
      <c r="D1322">
        <v>-10663.87</v>
      </c>
      <c r="E1322">
        <v>-10663.87</v>
      </c>
      <c r="F1322">
        <v>0</v>
      </c>
      <c r="G1322" t="s">
        <v>184</v>
      </c>
    </row>
    <row r="1323" spans="1:7" x14ac:dyDescent="0.35">
      <c r="A1323">
        <v>456</v>
      </c>
      <c r="B1323" t="s">
        <v>506</v>
      </c>
      <c r="C1323">
        <v>649.71</v>
      </c>
      <c r="D1323">
        <v>113026.83</v>
      </c>
      <c r="E1323">
        <v>118874.22</v>
      </c>
      <c r="F1323">
        <v>5847.39</v>
      </c>
      <c r="G1323" t="s">
        <v>184</v>
      </c>
    </row>
    <row r="1324" spans="1:7" x14ac:dyDescent="0.35">
      <c r="A1324">
        <v>460</v>
      </c>
      <c r="B1324" t="s">
        <v>353</v>
      </c>
      <c r="C1324">
        <v>0</v>
      </c>
      <c r="D1324">
        <v>-253947.03</v>
      </c>
      <c r="E1324">
        <v>-259788.03</v>
      </c>
      <c r="F1324">
        <v>-5841</v>
      </c>
      <c r="G1324" t="s">
        <v>184</v>
      </c>
    </row>
    <row r="1325" spans="1:7" x14ac:dyDescent="0.35">
      <c r="A1325">
        <v>470</v>
      </c>
      <c r="B1325" t="s">
        <v>507</v>
      </c>
      <c r="C1325">
        <v>0</v>
      </c>
      <c r="D1325">
        <v>264758.34000000003</v>
      </c>
      <c r="E1325">
        <v>247806.5</v>
      </c>
      <c r="F1325">
        <v>-16951.84</v>
      </c>
      <c r="G1325" t="s">
        <v>184</v>
      </c>
    </row>
    <row r="1326" spans="1:7" x14ac:dyDescent="0.35">
      <c r="A1326">
        <v>480</v>
      </c>
      <c r="B1326" t="s">
        <v>352</v>
      </c>
      <c r="C1326">
        <v>0</v>
      </c>
      <c r="D1326">
        <v>-29292.45</v>
      </c>
      <c r="E1326">
        <v>-29292.45</v>
      </c>
      <c r="F1326">
        <v>0</v>
      </c>
      <c r="G1326" t="s">
        <v>184</v>
      </c>
    </row>
    <row r="1327" spans="1:7" x14ac:dyDescent="0.35">
      <c r="A1327">
        <v>490</v>
      </c>
      <c r="B1327" t="s">
        <v>508</v>
      </c>
      <c r="C1327">
        <v>0</v>
      </c>
      <c r="D1327">
        <v>-20733.240000000002</v>
      </c>
      <c r="E1327">
        <v>0</v>
      </c>
      <c r="F1327">
        <v>20733.240000000002</v>
      </c>
      <c r="G1327" t="s">
        <v>184</v>
      </c>
    </row>
    <row r="1328" spans="1:7" x14ac:dyDescent="0.35">
      <c r="A1328">
        <v>500</v>
      </c>
      <c r="B1328" t="s">
        <v>351</v>
      </c>
      <c r="C1328">
        <v>0</v>
      </c>
      <c r="D1328">
        <v>0</v>
      </c>
      <c r="E1328">
        <v>0</v>
      </c>
      <c r="F1328">
        <v>0</v>
      </c>
      <c r="G1328" t="s">
        <v>184</v>
      </c>
    </row>
    <row r="1329" spans="1:7" x14ac:dyDescent="0.35">
      <c r="A1329">
        <v>510</v>
      </c>
      <c r="B1329" t="s">
        <v>509</v>
      </c>
      <c r="C1329">
        <v>0</v>
      </c>
      <c r="D1329">
        <v>11934.95</v>
      </c>
      <c r="E1329">
        <v>11934.95</v>
      </c>
      <c r="F1329">
        <v>0</v>
      </c>
      <c r="G1329" t="s">
        <v>184</v>
      </c>
    </row>
    <row r="1330" spans="1:7" x14ac:dyDescent="0.35">
      <c r="A1330">
        <v>512</v>
      </c>
      <c r="B1330" t="s">
        <v>510</v>
      </c>
      <c r="C1330">
        <v>0</v>
      </c>
      <c r="D1330">
        <v>0</v>
      </c>
      <c r="E1330">
        <v>0</v>
      </c>
      <c r="F1330">
        <v>0</v>
      </c>
      <c r="G1330" t="s">
        <v>184</v>
      </c>
    </row>
    <row r="1331" spans="1:7" x14ac:dyDescent="0.35">
      <c r="A1331">
        <v>514</v>
      </c>
      <c r="B1331" t="s">
        <v>511</v>
      </c>
      <c r="C1331">
        <v>0</v>
      </c>
      <c r="D1331">
        <v>0</v>
      </c>
      <c r="E1331">
        <v>0</v>
      </c>
      <c r="F1331">
        <v>0</v>
      </c>
      <c r="G1331" t="s">
        <v>184</v>
      </c>
    </row>
    <row r="1332" spans="1:7" x14ac:dyDescent="0.35">
      <c r="A1332">
        <v>520</v>
      </c>
      <c r="B1332" t="s">
        <v>512</v>
      </c>
      <c r="C1332">
        <v>0</v>
      </c>
      <c r="D1332">
        <v>-2930.52</v>
      </c>
      <c r="E1332">
        <v>-2930.52</v>
      </c>
      <c r="F1332">
        <v>0</v>
      </c>
      <c r="G1332" t="s">
        <v>184</v>
      </c>
    </row>
    <row r="1333" spans="1:7" x14ac:dyDescent="0.35">
      <c r="A1333">
        <v>530</v>
      </c>
      <c r="B1333" t="s">
        <v>513</v>
      </c>
      <c r="C1333">
        <v>0</v>
      </c>
      <c r="D1333">
        <v>0</v>
      </c>
      <c r="E1333">
        <v>0</v>
      </c>
      <c r="F1333">
        <v>0</v>
      </c>
      <c r="G1333" t="s">
        <v>184</v>
      </c>
    </row>
    <row r="1334" spans="1:7" x14ac:dyDescent="0.35">
      <c r="A1334">
        <v>540</v>
      </c>
      <c r="B1334" t="s">
        <v>514</v>
      </c>
      <c r="C1334">
        <v>0</v>
      </c>
      <c r="D1334">
        <v>-97000</v>
      </c>
      <c r="E1334">
        <v>-97000</v>
      </c>
      <c r="F1334">
        <v>0</v>
      </c>
      <c r="G1334" t="s">
        <v>184</v>
      </c>
    </row>
    <row r="1335" spans="1:7" x14ac:dyDescent="0.35">
      <c r="A1335">
        <v>550</v>
      </c>
      <c r="B1335" t="s">
        <v>515</v>
      </c>
      <c r="C1335">
        <v>0</v>
      </c>
      <c r="D1335">
        <v>0</v>
      </c>
      <c r="E1335">
        <v>0</v>
      </c>
      <c r="F1335">
        <v>0</v>
      </c>
      <c r="G1335" t="s">
        <v>184</v>
      </c>
    </row>
    <row r="1336" spans="1:7" x14ac:dyDescent="0.35">
      <c r="A1336">
        <v>560</v>
      </c>
      <c r="B1336" t="s">
        <v>516</v>
      </c>
      <c r="C1336">
        <v>0</v>
      </c>
      <c r="D1336">
        <v>-75000</v>
      </c>
      <c r="E1336">
        <v>-75000</v>
      </c>
      <c r="F1336">
        <v>0</v>
      </c>
      <c r="G1336" t="s">
        <v>184</v>
      </c>
    </row>
    <row r="1337" spans="1:7" x14ac:dyDescent="0.35">
      <c r="A1337">
        <v>570</v>
      </c>
      <c r="B1337" t="s">
        <v>517</v>
      </c>
      <c r="C1337">
        <v>307.69</v>
      </c>
      <c r="D1337">
        <v>60955.56</v>
      </c>
      <c r="E1337">
        <v>63724.77</v>
      </c>
      <c r="F1337">
        <v>2769.21</v>
      </c>
      <c r="G1337" t="s">
        <v>184</v>
      </c>
    </row>
    <row r="1338" spans="1:7" x14ac:dyDescent="0.35">
      <c r="A1338">
        <v>580</v>
      </c>
      <c r="B1338" t="s">
        <v>518</v>
      </c>
      <c r="C1338">
        <v>0</v>
      </c>
      <c r="D1338">
        <v>0</v>
      </c>
      <c r="E1338">
        <v>0</v>
      </c>
      <c r="F1338">
        <v>0</v>
      </c>
      <c r="G1338" t="s">
        <v>184</v>
      </c>
    </row>
    <row r="1339" spans="1:7" x14ac:dyDescent="0.35">
      <c r="A1339">
        <v>590</v>
      </c>
      <c r="B1339" t="s">
        <v>519</v>
      </c>
      <c r="C1339">
        <v>0</v>
      </c>
      <c r="D1339">
        <v>0</v>
      </c>
      <c r="E1339">
        <v>0</v>
      </c>
      <c r="F1339">
        <v>0</v>
      </c>
      <c r="G1339" t="s">
        <v>184</v>
      </c>
    </row>
    <row r="1340" spans="1:7" x14ac:dyDescent="0.35">
      <c r="A1340">
        <v>600</v>
      </c>
      <c r="B1340" t="s">
        <v>520</v>
      </c>
      <c r="C1340">
        <v>0</v>
      </c>
      <c r="D1340">
        <v>-433914.24</v>
      </c>
      <c r="E1340">
        <v>-433914.24</v>
      </c>
      <c r="F1340">
        <v>0</v>
      </c>
      <c r="G1340" t="s">
        <v>184</v>
      </c>
    </row>
    <row r="1341" spans="1:7" x14ac:dyDescent="0.35">
      <c r="A1341">
        <v>610</v>
      </c>
      <c r="B1341" t="s">
        <v>521</v>
      </c>
      <c r="C1341">
        <v>1003.27</v>
      </c>
      <c r="D1341">
        <v>14057.4</v>
      </c>
      <c r="E1341">
        <v>17965.05</v>
      </c>
      <c r="F1341">
        <v>3907.65</v>
      </c>
      <c r="G1341" t="s">
        <v>184</v>
      </c>
    </row>
    <row r="1342" spans="1:7" x14ac:dyDescent="0.35">
      <c r="A1342">
        <v>615</v>
      </c>
      <c r="B1342" t="s">
        <v>550</v>
      </c>
      <c r="C1342">
        <v>-27633.73</v>
      </c>
      <c r="D1342">
        <v>0</v>
      </c>
      <c r="E1342">
        <v>-128220.67</v>
      </c>
      <c r="F1342">
        <v>-128220.67</v>
      </c>
      <c r="G1342" t="s">
        <v>184</v>
      </c>
    </row>
    <row r="1343" spans="1:7" x14ac:dyDescent="0.35">
      <c r="A1343">
        <v>620</v>
      </c>
      <c r="B1343" t="s">
        <v>522</v>
      </c>
      <c r="C1343">
        <v>0</v>
      </c>
      <c r="D1343">
        <v>0</v>
      </c>
      <c r="E1343">
        <v>0</v>
      </c>
      <c r="F1343">
        <v>0</v>
      </c>
      <c r="G1343" t="s">
        <v>184</v>
      </c>
    </row>
    <row r="1344" spans="1:7" x14ac:dyDescent="0.35">
      <c r="A1344">
        <v>630</v>
      </c>
      <c r="B1344" t="s">
        <v>523</v>
      </c>
      <c r="C1344">
        <v>0</v>
      </c>
      <c r="D1344">
        <v>-21317</v>
      </c>
      <c r="E1344">
        <v>-21317</v>
      </c>
      <c r="F1344">
        <v>0</v>
      </c>
      <c r="G1344" t="s">
        <v>184</v>
      </c>
    </row>
    <row r="1345" spans="1:7" x14ac:dyDescent="0.35">
      <c r="A1345">
        <v>635</v>
      </c>
      <c r="B1345" t="s">
        <v>551</v>
      </c>
      <c r="C1345">
        <v>0</v>
      </c>
      <c r="D1345">
        <v>0</v>
      </c>
      <c r="E1345">
        <v>0</v>
      </c>
      <c r="F1345">
        <v>0</v>
      </c>
      <c r="G1345" t="s">
        <v>184</v>
      </c>
    </row>
    <row r="1346" spans="1:7" x14ac:dyDescent="0.35">
      <c r="A1346">
        <v>640</v>
      </c>
      <c r="B1346" t="s">
        <v>524</v>
      </c>
      <c r="C1346">
        <v>-25673.06</v>
      </c>
      <c r="D1346">
        <v>-480065.27</v>
      </c>
      <c r="E1346">
        <v>-597821.29</v>
      </c>
      <c r="F1346">
        <v>-117756.02</v>
      </c>
      <c r="G1346" t="s">
        <v>184</v>
      </c>
    </row>
    <row r="1347" spans="1:7" x14ac:dyDescent="0.35">
      <c r="A1347">
        <v>650</v>
      </c>
      <c r="B1347" t="s">
        <v>525</v>
      </c>
      <c r="C1347">
        <v>-35802.839999999997</v>
      </c>
      <c r="D1347">
        <v>48261.81</v>
      </c>
      <c r="E1347">
        <v>-9028.02</v>
      </c>
      <c r="F1347">
        <v>-57289.83</v>
      </c>
      <c r="G1347" t="s">
        <v>184</v>
      </c>
    </row>
    <row r="1348" spans="1:7" x14ac:dyDescent="0.35">
      <c r="A1348" t="s">
        <v>273</v>
      </c>
      <c r="B1348" t="s">
        <v>172</v>
      </c>
      <c r="C1348" t="s">
        <v>468</v>
      </c>
      <c r="D1348" t="s">
        <v>469</v>
      </c>
      <c r="E1348" t="s">
        <v>470</v>
      </c>
      <c r="F1348" t="s">
        <v>471</v>
      </c>
      <c r="G1348" t="s">
        <v>183</v>
      </c>
    </row>
    <row r="1349" spans="1:7" x14ac:dyDescent="0.35">
      <c r="A1349">
        <v>10</v>
      </c>
      <c r="B1349" t="s">
        <v>472</v>
      </c>
      <c r="C1349">
        <v>0</v>
      </c>
      <c r="D1349">
        <v>0</v>
      </c>
      <c r="E1349">
        <v>0</v>
      </c>
      <c r="F1349">
        <v>0</v>
      </c>
      <c r="G1349" t="s">
        <v>184</v>
      </c>
    </row>
    <row r="1350" spans="1:7" x14ac:dyDescent="0.35">
      <c r="A1350">
        <v>20</v>
      </c>
      <c r="B1350" t="s">
        <v>147</v>
      </c>
      <c r="C1350">
        <v>627587.32999999996</v>
      </c>
      <c r="D1350">
        <v>0</v>
      </c>
      <c r="E1350">
        <v>5587199.1200000001</v>
      </c>
      <c r="F1350">
        <v>5587199.1200000001</v>
      </c>
      <c r="G1350" t="s">
        <v>184</v>
      </c>
    </row>
    <row r="1351" spans="1:7" x14ac:dyDescent="0.35">
      <c r="A1351">
        <v>30</v>
      </c>
      <c r="B1351" t="s">
        <v>473</v>
      </c>
      <c r="C1351">
        <v>699.98</v>
      </c>
      <c r="D1351">
        <v>0</v>
      </c>
      <c r="E1351">
        <v>10299.17</v>
      </c>
      <c r="F1351">
        <v>10299.17</v>
      </c>
      <c r="G1351" t="s">
        <v>184</v>
      </c>
    </row>
    <row r="1352" spans="1:7" x14ac:dyDescent="0.35">
      <c r="A1352">
        <v>35</v>
      </c>
      <c r="B1352" t="s">
        <v>474</v>
      </c>
      <c r="C1352">
        <v>626887.35</v>
      </c>
      <c r="D1352">
        <v>0</v>
      </c>
      <c r="E1352">
        <v>5576899.9500000002</v>
      </c>
      <c r="F1352">
        <v>5576899.9500000002</v>
      </c>
      <c r="G1352" t="s">
        <v>184</v>
      </c>
    </row>
    <row r="1353" spans="1:7" x14ac:dyDescent="0.35">
      <c r="A1353">
        <v>40</v>
      </c>
      <c r="B1353" t="s">
        <v>475</v>
      </c>
      <c r="C1353">
        <v>397391.65</v>
      </c>
      <c r="D1353">
        <v>0</v>
      </c>
      <c r="E1353">
        <v>3577276.27</v>
      </c>
      <c r="F1353">
        <v>3577276.27</v>
      </c>
      <c r="G1353" t="s">
        <v>184</v>
      </c>
    </row>
    <row r="1354" spans="1:7" x14ac:dyDescent="0.35">
      <c r="A1354">
        <v>50</v>
      </c>
      <c r="B1354" t="s">
        <v>476</v>
      </c>
      <c r="C1354">
        <v>0</v>
      </c>
      <c r="D1354">
        <v>0</v>
      </c>
      <c r="E1354">
        <v>0</v>
      </c>
      <c r="F1354">
        <v>0</v>
      </c>
      <c r="G1354" t="s">
        <v>184</v>
      </c>
    </row>
    <row r="1355" spans="1:7" x14ac:dyDescent="0.35">
      <c r="A1355">
        <v>60</v>
      </c>
      <c r="B1355" t="s">
        <v>477</v>
      </c>
      <c r="C1355">
        <v>229495.7</v>
      </c>
      <c r="D1355">
        <v>0</v>
      </c>
      <c r="E1355">
        <v>1999623.68</v>
      </c>
      <c r="F1355">
        <v>1999623.68</v>
      </c>
      <c r="G1355" t="s">
        <v>184</v>
      </c>
    </row>
    <row r="1356" spans="1:7" x14ac:dyDescent="0.35">
      <c r="A1356">
        <v>70</v>
      </c>
      <c r="B1356" t="s">
        <v>152</v>
      </c>
      <c r="C1356">
        <v>206430.51</v>
      </c>
      <c r="D1356">
        <v>0</v>
      </c>
      <c r="E1356">
        <v>1792373.7</v>
      </c>
      <c r="F1356">
        <v>1792373.7</v>
      </c>
      <c r="G1356" t="s">
        <v>184</v>
      </c>
    </row>
    <row r="1357" spans="1:7" x14ac:dyDescent="0.35">
      <c r="A1357">
        <v>80</v>
      </c>
      <c r="B1357" t="s">
        <v>153</v>
      </c>
      <c r="C1357">
        <v>16334.28</v>
      </c>
      <c r="D1357">
        <v>0</v>
      </c>
      <c r="E1357">
        <v>134167.85</v>
      </c>
      <c r="F1357">
        <v>134167.85</v>
      </c>
      <c r="G1357" t="s">
        <v>184</v>
      </c>
    </row>
    <row r="1358" spans="1:7" x14ac:dyDescent="0.35">
      <c r="A1358">
        <v>90</v>
      </c>
      <c r="B1358" t="s">
        <v>478</v>
      </c>
      <c r="C1358">
        <v>4079.95</v>
      </c>
      <c r="D1358">
        <v>0</v>
      </c>
      <c r="E1358">
        <v>29520.21</v>
      </c>
      <c r="F1358">
        <v>29520.21</v>
      </c>
      <c r="G1358" t="s">
        <v>184</v>
      </c>
    </row>
    <row r="1359" spans="1:7" x14ac:dyDescent="0.35">
      <c r="A1359">
        <v>100</v>
      </c>
      <c r="B1359" t="s">
        <v>479</v>
      </c>
      <c r="C1359">
        <v>2650.96</v>
      </c>
      <c r="D1359">
        <v>0</v>
      </c>
      <c r="E1359">
        <v>43561.919999999998</v>
      </c>
      <c r="F1359">
        <v>43561.919999999998</v>
      </c>
      <c r="G1359" t="s">
        <v>184</v>
      </c>
    </row>
    <row r="1360" spans="1:7" x14ac:dyDescent="0.35">
      <c r="A1360">
        <v>110</v>
      </c>
      <c r="B1360" t="s">
        <v>480</v>
      </c>
      <c r="C1360">
        <v>0</v>
      </c>
      <c r="D1360">
        <v>0</v>
      </c>
      <c r="E1360">
        <v>0</v>
      </c>
      <c r="F1360">
        <v>0</v>
      </c>
      <c r="G1360" t="s">
        <v>184</v>
      </c>
    </row>
    <row r="1361" spans="1:7" x14ac:dyDescent="0.35">
      <c r="A1361">
        <v>120</v>
      </c>
      <c r="B1361" t="s">
        <v>481</v>
      </c>
      <c r="C1361">
        <v>-105120.27</v>
      </c>
      <c r="D1361">
        <v>0</v>
      </c>
      <c r="E1361">
        <v>-133116.35</v>
      </c>
      <c r="F1361">
        <v>-133116.35</v>
      </c>
      <c r="G1361" t="s">
        <v>184</v>
      </c>
    </row>
    <row r="1362" spans="1:7" x14ac:dyDescent="0.35">
      <c r="A1362">
        <v>130</v>
      </c>
      <c r="B1362" t="s">
        <v>482</v>
      </c>
      <c r="C1362">
        <v>4468</v>
      </c>
      <c r="D1362">
        <v>0</v>
      </c>
      <c r="E1362">
        <v>156076.81</v>
      </c>
      <c r="F1362">
        <v>156076.81</v>
      </c>
      <c r="G1362" t="s">
        <v>184</v>
      </c>
    </row>
    <row r="1363" spans="1:7" x14ac:dyDescent="0.35">
      <c r="A1363">
        <v>140</v>
      </c>
      <c r="B1363" t="s">
        <v>483</v>
      </c>
      <c r="C1363">
        <v>0</v>
      </c>
      <c r="D1363">
        <v>0</v>
      </c>
      <c r="E1363">
        <v>0</v>
      </c>
      <c r="F1363">
        <v>0</v>
      </c>
      <c r="G1363" t="s">
        <v>184</v>
      </c>
    </row>
    <row r="1364" spans="1:7" x14ac:dyDescent="0.35">
      <c r="A1364">
        <v>145</v>
      </c>
      <c r="B1364" t="s">
        <v>162</v>
      </c>
      <c r="C1364">
        <v>-100652.27</v>
      </c>
      <c r="D1364">
        <v>0</v>
      </c>
      <c r="E1364">
        <v>22960.46</v>
      </c>
      <c r="F1364">
        <v>22960.46</v>
      </c>
      <c r="G1364" t="s">
        <v>184</v>
      </c>
    </row>
    <row r="1365" spans="1:7" x14ac:dyDescent="0.35">
      <c r="A1365">
        <v>150</v>
      </c>
      <c r="B1365" t="s">
        <v>484</v>
      </c>
      <c r="C1365">
        <v>103303.23</v>
      </c>
      <c r="D1365">
        <v>0</v>
      </c>
      <c r="E1365">
        <v>20601.46</v>
      </c>
      <c r="F1365">
        <v>20601.46</v>
      </c>
      <c r="G1365" t="s">
        <v>184</v>
      </c>
    </row>
    <row r="1366" spans="1:7" x14ac:dyDescent="0.35">
      <c r="A1366">
        <v>160</v>
      </c>
      <c r="B1366" t="s">
        <v>485</v>
      </c>
      <c r="C1366">
        <v>0</v>
      </c>
      <c r="D1366">
        <v>0</v>
      </c>
      <c r="E1366">
        <v>0</v>
      </c>
      <c r="F1366">
        <v>0</v>
      </c>
      <c r="G1366" t="s">
        <v>184</v>
      </c>
    </row>
    <row r="1367" spans="1:7" x14ac:dyDescent="0.35">
      <c r="A1367">
        <v>170</v>
      </c>
      <c r="B1367" t="s">
        <v>166</v>
      </c>
      <c r="C1367">
        <v>103303.23</v>
      </c>
      <c r="D1367">
        <v>0</v>
      </c>
      <c r="E1367">
        <v>20601.46</v>
      </c>
      <c r="F1367">
        <v>20601.46</v>
      </c>
      <c r="G1367" t="s">
        <v>184</v>
      </c>
    </row>
    <row r="1368" spans="1:7" x14ac:dyDescent="0.35">
      <c r="A1368">
        <v>190</v>
      </c>
      <c r="B1368" t="s">
        <v>486</v>
      </c>
      <c r="C1368">
        <v>0</v>
      </c>
      <c r="D1368">
        <v>0</v>
      </c>
      <c r="E1368">
        <v>0</v>
      </c>
      <c r="F1368">
        <v>0</v>
      </c>
      <c r="G1368" t="s">
        <v>184</v>
      </c>
    </row>
    <row r="1369" spans="1:7" x14ac:dyDescent="0.35">
      <c r="A1369">
        <v>200</v>
      </c>
      <c r="B1369" t="s">
        <v>166</v>
      </c>
      <c r="C1369">
        <v>103303.23</v>
      </c>
      <c r="D1369">
        <v>0</v>
      </c>
      <c r="E1369">
        <v>20601.46</v>
      </c>
      <c r="F1369">
        <v>20601.46</v>
      </c>
      <c r="G1369" t="s">
        <v>184</v>
      </c>
    </row>
    <row r="1370" spans="1:7" x14ac:dyDescent="0.35">
      <c r="A1370">
        <v>210</v>
      </c>
      <c r="B1370" t="s">
        <v>487</v>
      </c>
      <c r="C1370">
        <v>103303.23</v>
      </c>
      <c r="D1370">
        <v>0</v>
      </c>
      <c r="E1370">
        <v>20601.46</v>
      </c>
      <c r="F1370">
        <v>20601.46</v>
      </c>
      <c r="G1370" t="s">
        <v>184</v>
      </c>
    </row>
    <row r="1371" spans="1:7" x14ac:dyDescent="0.35">
      <c r="A1371">
        <v>220</v>
      </c>
      <c r="B1371" t="s">
        <v>488</v>
      </c>
      <c r="C1371">
        <v>0</v>
      </c>
      <c r="D1371">
        <v>0</v>
      </c>
      <c r="E1371">
        <v>0</v>
      </c>
      <c r="F1371">
        <v>0</v>
      </c>
      <c r="G1371" t="s">
        <v>184</v>
      </c>
    </row>
    <row r="1372" spans="1:7" x14ac:dyDescent="0.35">
      <c r="A1372">
        <v>230</v>
      </c>
      <c r="B1372" t="s">
        <v>341</v>
      </c>
      <c r="C1372">
        <v>7668.23</v>
      </c>
      <c r="D1372">
        <v>-30060.59</v>
      </c>
      <c r="E1372">
        <v>-42917.18</v>
      </c>
      <c r="F1372">
        <v>-12856.59</v>
      </c>
      <c r="G1372" t="s">
        <v>184</v>
      </c>
    </row>
    <row r="1373" spans="1:7" x14ac:dyDescent="0.35">
      <c r="A1373">
        <v>235</v>
      </c>
      <c r="B1373" t="s">
        <v>489</v>
      </c>
      <c r="C1373">
        <v>0</v>
      </c>
      <c r="D1373">
        <v>0</v>
      </c>
      <c r="E1373">
        <v>0</v>
      </c>
      <c r="F1373">
        <v>0</v>
      </c>
      <c r="G1373" t="s">
        <v>184</v>
      </c>
    </row>
    <row r="1374" spans="1:7" x14ac:dyDescent="0.35">
      <c r="A1374">
        <v>240</v>
      </c>
      <c r="B1374" t="s">
        <v>342</v>
      </c>
      <c r="C1374">
        <v>0</v>
      </c>
      <c r="D1374">
        <v>0</v>
      </c>
      <c r="E1374">
        <v>-544.26</v>
      </c>
      <c r="F1374">
        <v>-544.26</v>
      </c>
      <c r="G1374" t="s">
        <v>184</v>
      </c>
    </row>
    <row r="1375" spans="1:7" x14ac:dyDescent="0.35">
      <c r="A1375">
        <v>250</v>
      </c>
      <c r="B1375" t="s">
        <v>343</v>
      </c>
      <c r="C1375">
        <v>12173.05</v>
      </c>
      <c r="D1375">
        <v>-46208.53</v>
      </c>
      <c r="E1375">
        <v>-43394.78</v>
      </c>
      <c r="F1375">
        <v>2813.75</v>
      </c>
      <c r="G1375" t="s">
        <v>184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184</v>
      </c>
    </row>
    <row r="1377" spans="1:7" x14ac:dyDescent="0.35">
      <c r="A1377">
        <v>270</v>
      </c>
      <c r="B1377" t="s">
        <v>344</v>
      </c>
      <c r="C1377">
        <v>1512.59</v>
      </c>
      <c r="D1377">
        <v>-3812.02</v>
      </c>
      <c r="E1377">
        <v>-9680.26</v>
      </c>
      <c r="F1377">
        <v>-5868.24</v>
      </c>
      <c r="G1377" t="s">
        <v>184</v>
      </c>
    </row>
    <row r="1378" spans="1:7" x14ac:dyDescent="0.35">
      <c r="A1378">
        <v>300</v>
      </c>
      <c r="B1378" t="s">
        <v>367</v>
      </c>
      <c r="C1378">
        <v>-2853.81</v>
      </c>
      <c r="D1378">
        <v>82027.03</v>
      </c>
      <c r="E1378">
        <v>70555.25</v>
      </c>
      <c r="F1378">
        <v>-11471.78</v>
      </c>
      <c r="G1378" t="s">
        <v>184</v>
      </c>
    </row>
    <row r="1379" spans="1:7" x14ac:dyDescent="0.35">
      <c r="A1379">
        <v>310</v>
      </c>
      <c r="B1379" t="s">
        <v>491</v>
      </c>
      <c r="C1379">
        <v>0</v>
      </c>
      <c r="D1379">
        <v>0</v>
      </c>
      <c r="E1379">
        <v>0</v>
      </c>
      <c r="F1379">
        <v>0</v>
      </c>
      <c r="G1379" t="s">
        <v>184</v>
      </c>
    </row>
    <row r="1380" spans="1:7" x14ac:dyDescent="0.35">
      <c r="A1380">
        <v>320</v>
      </c>
      <c r="B1380" t="s">
        <v>492</v>
      </c>
      <c r="C1380">
        <v>0</v>
      </c>
      <c r="D1380">
        <v>260.83</v>
      </c>
      <c r="E1380">
        <v>-239.17</v>
      </c>
      <c r="F1380">
        <v>-500</v>
      </c>
      <c r="G1380" t="s">
        <v>184</v>
      </c>
    </row>
    <row r="1381" spans="1:7" x14ac:dyDescent="0.35">
      <c r="A1381">
        <v>325</v>
      </c>
      <c r="B1381" t="s">
        <v>493</v>
      </c>
      <c r="C1381">
        <v>31276.81</v>
      </c>
      <c r="D1381">
        <v>-40304.21</v>
      </c>
      <c r="E1381">
        <v>-13952.93</v>
      </c>
      <c r="F1381">
        <v>26351.279999999999</v>
      </c>
      <c r="G1381" t="s">
        <v>184</v>
      </c>
    </row>
    <row r="1382" spans="1:7" x14ac:dyDescent="0.35">
      <c r="A1382">
        <v>330</v>
      </c>
      <c r="B1382" t="s">
        <v>570</v>
      </c>
      <c r="C1382">
        <v>1651520.53</v>
      </c>
      <c r="D1382">
        <v>2147977.0099999998</v>
      </c>
      <c r="E1382">
        <v>5145393.4400000004</v>
      </c>
      <c r="F1382">
        <v>2997416.43</v>
      </c>
      <c r="G1382" t="s">
        <v>184</v>
      </c>
    </row>
    <row r="1383" spans="1:7" x14ac:dyDescent="0.35">
      <c r="A1383">
        <v>340</v>
      </c>
      <c r="B1383" t="s">
        <v>495</v>
      </c>
      <c r="C1383">
        <v>-3717.4</v>
      </c>
      <c r="D1383">
        <v>37057.620000000003</v>
      </c>
      <c r="E1383">
        <v>35241.550000000003</v>
      </c>
      <c r="F1383">
        <v>-1816.07</v>
      </c>
      <c r="G1383" t="s">
        <v>184</v>
      </c>
    </row>
    <row r="1384" spans="1:7" x14ac:dyDescent="0.35">
      <c r="A1384">
        <v>380</v>
      </c>
      <c r="B1384" t="s">
        <v>496</v>
      </c>
      <c r="C1384">
        <v>1697580</v>
      </c>
      <c r="D1384">
        <v>2146937.14</v>
      </c>
      <c r="E1384">
        <v>5140461.66</v>
      </c>
      <c r="F1384">
        <v>2993524.52</v>
      </c>
      <c r="G1384" t="s">
        <v>184</v>
      </c>
    </row>
    <row r="1385" spans="1:7" x14ac:dyDescent="0.35">
      <c r="A1385">
        <v>390</v>
      </c>
      <c r="B1385" t="s">
        <v>497</v>
      </c>
      <c r="C1385">
        <v>0</v>
      </c>
      <c r="D1385">
        <v>0</v>
      </c>
      <c r="E1385">
        <v>0</v>
      </c>
      <c r="F1385">
        <v>0</v>
      </c>
      <c r="G1385" t="s">
        <v>184</v>
      </c>
    </row>
    <row r="1386" spans="1:7" x14ac:dyDescent="0.35">
      <c r="A1386">
        <v>400</v>
      </c>
      <c r="B1386" t="s">
        <v>498</v>
      </c>
      <c r="C1386">
        <v>-1620729.35</v>
      </c>
      <c r="D1386">
        <v>3757030.47</v>
      </c>
      <c r="E1386">
        <v>1722951.56</v>
      </c>
      <c r="F1386">
        <v>-2034078.91</v>
      </c>
      <c r="G1386" t="s">
        <v>184</v>
      </c>
    </row>
    <row r="1387" spans="1:7" x14ac:dyDescent="0.35">
      <c r="A1387">
        <v>405</v>
      </c>
      <c r="B1387" t="s">
        <v>499</v>
      </c>
      <c r="C1387">
        <v>-105423.18</v>
      </c>
      <c r="D1387">
        <v>850000</v>
      </c>
      <c r="E1387">
        <v>102699.84</v>
      </c>
      <c r="F1387">
        <v>-747300.16</v>
      </c>
      <c r="G1387" t="s">
        <v>184</v>
      </c>
    </row>
    <row r="1388" spans="1:7" x14ac:dyDescent="0.35">
      <c r="A1388">
        <v>410</v>
      </c>
      <c r="B1388" t="s">
        <v>382</v>
      </c>
      <c r="C1388">
        <v>0</v>
      </c>
      <c r="D1388">
        <v>1000</v>
      </c>
      <c r="E1388">
        <v>1000</v>
      </c>
      <c r="F1388">
        <v>0</v>
      </c>
      <c r="G1388" t="s">
        <v>184</v>
      </c>
    </row>
    <row r="1389" spans="1:7" x14ac:dyDescent="0.35">
      <c r="A1389">
        <v>420</v>
      </c>
      <c r="B1389" t="s">
        <v>500</v>
      </c>
      <c r="C1389">
        <v>0</v>
      </c>
      <c r="D1389">
        <v>0</v>
      </c>
      <c r="E1389">
        <v>0</v>
      </c>
      <c r="F1389">
        <v>0</v>
      </c>
      <c r="G1389" t="s">
        <v>184</v>
      </c>
    </row>
    <row r="1390" spans="1:7" x14ac:dyDescent="0.35">
      <c r="A1390">
        <v>425</v>
      </c>
      <c r="B1390" t="s">
        <v>501</v>
      </c>
      <c r="C1390">
        <v>0</v>
      </c>
      <c r="D1390">
        <v>0</v>
      </c>
      <c r="E1390">
        <v>0</v>
      </c>
      <c r="F1390">
        <v>0</v>
      </c>
      <c r="G1390" t="s">
        <v>184</v>
      </c>
    </row>
    <row r="1391" spans="1:7" x14ac:dyDescent="0.35">
      <c r="A1391">
        <v>427</v>
      </c>
      <c r="B1391" t="s">
        <v>502</v>
      </c>
      <c r="C1391">
        <v>0</v>
      </c>
      <c r="D1391">
        <v>0</v>
      </c>
      <c r="E1391">
        <v>0</v>
      </c>
      <c r="F1391">
        <v>0</v>
      </c>
      <c r="G1391" t="s">
        <v>184</v>
      </c>
    </row>
    <row r="1392" spans="1:7" x14ac:dyDescent="0.35">
      <c r="A1392">
        <v>430</v>
      </c>
      <c r="B1392" t="s">
        <v>503</v>
      </c>
      <c r="C1392">
        <v>0</v>
      </c>
      <c r="D1392">
        <v>-3119729</v>
      </c>
      <c r="E1392">
        <v>-3119729</v>
      </c>
      <c r="F1392">
        <v>0</v>
      </c>
      <c r="G1392" t="s">
        <v>184</v>
      </c>
    </row>
    <row r="1393" spans="1:7" x14ac:dyDescent="0.35">
      <c r="A1393">
        <v>440</v>
      </c>
      <c r="B1393" t="s">
        <v>504</v>
      </c>
      <c r="C1393">
        <v>-1726152.53</v>
      </c>
      <c r="D1393">
        <v>1488301.47</v>
      </c>
      <c r="E1393">
        <v>-1293077.6000000001</v>
      </c>
      <c r="F1393">
        <v>-2781379.07</v>
      </c>
      <c r="G1393" t="s">
        <v>184</v>
      </c>
    </row>
    <row r="1394" spans="1:7" x14ac:dyDescent="0.35">
      <c r="A1394">
        <v>450</v>
      </c>
      <c r="B1394" t="s">
        <v>505</v>
      </c>
      <c r="C1394">
        <v>0</v>
      </c>
      <c r="D1394">
        <v>0</v>
      </c>
      <c r="E1394">
        <v>0</v>
      </c>
      <c r="F1394">
        <v>0</v>
      </c>
      <c r="G1394" t="s">
        <v>184</v>
      </c>
    </row>
    <row r="1395" spans="1:7" x14ac:dyDescent="0.35">
      <c r="A1395">
        <v>455</v>
      </c>
      <c r="B1395" t="s">
        <v>349</v>
      </c>
      <c r="C1395">
        <v>0</v>
      </c>
      <c r="D1395">
        <v>-602171</v>
      </c>
      <c r="E1395">
        <v>-602171</v>
      </c>
      <c r="F1395">
        <v>0</v>
      </c>
      <c r="G1395" t="s">
        <v>184</v>
      </c>
    </row>
    <row r="1396" spans="1:7" x14ac:dyDescent="0.35">
      <c r="A1396">
        <v>456</v>
      </c>
      <c r="B1396" t="s">
        <v>506</v>
      </c>
      <c r="C1396">
        <v>0</v>
      </c>
      <c r="D1396">
        <v>426817.44</v>
      </c>
      <c r="E1396">
        <v>426817.44</v>
      </c>
      <c r="F1396">
        <v>0</v>
      </c>
      <c r="G1396" t="s">
        <v>184</v>
      </c>
    </row>
    <row r="1397" spans="1:7" x14ac:dyDescent="0.35">
      <c r="A1397">
        <v>460</v>
      </c>
      <c r="B1397" t="s">
        <v>353</v>
      </c>
      <c r="C1397">
        <v>0</v>
      </c>
      <c r="D1397">
        <v>-1288969.1399999999</v>
      </c>
      <c r="E1397">
        <v>-1298845.54</v>
      </c>
      <c r="F1397">
        <v>-9876.4</v>
      </c>
      <c r="G1397" t="s">
        <v>184</v>
      </c>
    </row>
    <row r="1398" spans="1:7" x14ac:dyDescent="0.35">
      <c r="A1398">
        <v>470</v>
      </c>
      <c r="B1398" t="s">
        <v>507</v>
      </c>
      <c r="C1398">
        <v>3079.99</v>
      </c>
      <c r="D1398">
        <v>754419.56</v>
      </c>
      <c r="E1398">
        <v>774940.13</v>
      </c>
      <c r="F1398">
        <v>20520.57</v>
      </c>
      <c r="G1398" t="s">
        <v>184</v>
      </c>
    </row>
    <row r="1399" spans="1:7" x14ac:dyDescent="0.35">
      <c r="A1399">
        <v>480</v>
      </c>
      <c r="B1399" t="s">
        <v>352</v>
      </c>
      <c r="C1399">
        <v>0</v>
      </c>
      <c r="D1399">
        <v>0</v>
      </c>
      <c r="E1399">
        <v>0</v>
      </c>
      <c r="F1399">
        <v>0</v>
      </c>
      <c r="G1399" t="s">
        <v>184</v>
      </c>
    </row>
    <row r="1400" spans="1:7" x14ac:dyDescent="0.35">
      <c r="A1400">
        <v>490</v>
      </c>
      <c r="B1400" t="s">
        <v>508</v>
      </c>
      <c r="C1400">
        <v>0</v>
      </c>
      <c r="D1400">
        <v>0</v>
      </c>
      <c r="E1400">
        <v>0</v>
      </c>
      <c r="F1400">
        <v>0</v>
      </c>
      <c r="G1400" t="s">
        <v>184</v>
      </c>
    </row>
    <row r="1401" spans="1:7" x14ac:dyDescent="0.35">
      <c r="A1401">
        <v>500</v>
      </c>
      <c r="B1401" t="s">
        <v>351</v>
      </c>
      <c r="C1401">
        <v>0</v>
      </c>
      <c r="D1401">
        <v>0</v>
      </c>
      <c r="E1401">
        <v>0</v>
      </c>
      <c r="F1401">
        <v>0</v>
      </c>
      <c r="G1401" t="s">
        <v>184</v>
      </c>
    </row>
    <row r="1402" spans="1:7" x14ac:dyDescent="0.35">
      <c r="A1402">
        <v>510</v>
      </c>
      <c r="B1402" t="s">
        <v>509</v>
      </c>
      <c r="C1402">
        <v>0</v>
      </c>
      <c r="D1402">
        <v>0</v>
      </c>
      <c r="E1402">
        <v>0</v>
      </c>
      <c r="F1402">
        <v>0</v>
      </c>
      <c r="G1402" t="s">
        <v>184</v>
      </c>
    </row>
    <row r="1403" spans="1:7" x14ac:dyDescent="0.35">
      <c r="A1403">
        <v>512</v>
      </c>
      <c r="B1403" t="s">
        <v>510</v>
      </c>
      <c r="C1403">
        <v>0</v>
      </c>
      <c r="D1403">
        <v>0</v>
      </c>
      <c r="E1403">
        <v>0</v>
      </c>
      <c r="F1403">
        <v>0</v>
      </c>
      <c r="G1403" t="s">
        <v>184</v>
      </c>
    </row>
    <row r="1404" spans="1:7" x14ac:dyDescent="0.35">
      <c r="A1404">
        <v>514</v>
      </c>
      <c r="B1404" t="s">
        <v>511</v>
      </c>
      <c r="C1404">
        <v>0</v>
      </c>
      <c r="D1404">
        <v>0</v>
      </c>
      <c r="E1404">
        <v>0</v>
      </c>
      <c r="F1404">
        <v>0</v>
      </c>
      <c r="G1404" t="s">
        <v>184</v>
      </c>
    </row>
    <row r="1405" spans="1:7" x14ac:dyDescent="0.35">
      <c r="A1405">
        <v>520</v>
      </c>
      <c r="B1405" t="s">
        <v>512</v>
      </c>
      <c r="C1405">
        <v>0</v>
      </c>
      <c r="D1405">
        <v>0</v>
      </c>
      <c r="E1405">
        <v>0</v>
      </c>
      <c r="F1405">
        <v>0</v>
      </c>
      <c r="G1405" t="s">
        <v>184</v>
      </c>
    </row>
    <row r="1406" spans="1:7" x14ac:dyDescent="0.35">
      <c r="A1406">
        <v>530</v>
      </c>
      <c r="B1406" t="s">
        <v>513</v>
      </c>
      <c r="C1406">
        <v>999.96</v>
      </c>
      <c r="D1406">
        <v>293008.88</v>
      </c>
      <c r="E1406">
        <v>302008.52</v>
      </c>
      <c r="F1406">
        <v>8999.64</v>
      </c>
      <c r="G1406" t="s">
        <v>184</v>
      </c>
    </row>
    <row r="1407" spans="1:7" x14ac:dyDescent="0.35">
      <c r="A1407">
        <v>540</v>
      </c>
      <c r="B1407" t="s">
        <v>514</v>
      </c>
      <c r="C1407">
        <v>0</v>
      </c>
      <c r="D1407">
        <v>-194984</v>
      </c>
      <c r="E1407">
        <v>-194984</v>
      </c>
      <c r="F1407">
        <v>0</v>
      </c>
      <c r="G1407" t="s">
        <v>184</v>
      </c>
    </row>
    <row r="1408" spans="1:7" x14ac:dyDescent="0.35">
      <c r="A1408">
        <v>550</v>
      </c>
      <c r="B1408" t="s">
        <v>515</v>
      </c>
      <c r="C1408">
        <v>0</v>
      </c>
      <c r="D1408">
        <v>153325.04</v>
      </c>
      <c r="E1408">
        <v>153325.04</v>
      </c>
      <c r="F1408">
        <v>0</v>
      </c>
      <c r="G1408" t="s">
        <v>184</v>
      </c>
    </row>
    <row r="1409" spans="1:7" x14ac:dyDescent="0.35">
      <c r="A1409">
        <v>560</v>
      </c>
      <c r="B1409" t="s">
        <v>516</v>
      </c>
      <c r="C1409">
        <v>0</v>
      </c>
      <c r="D1409">
        <v>-945126</v>
      </c>
      <c r="E1409">
        <v>-945126</v>
      </c>
      <c r="F1409">
        <v>0</v>
      </c>
      <c r="G1409" t="s">
        <v>184</v>
      </c>
    </row>
    <row r="1410" spans="1:7" x14ac:dyDescent="0.35">
      <c r="A1410">
        <v>570</v>
      </c>
      <c r="B1410" t="s">
        <v>517</v>
      </c>
      <c r="C1410">
        <v>0</v>
      </c>
      <c r="D1410">
        <v>251459.6</v>
      </c>
      <c r="E1410">
        <v>251459.6</v>
      </c>
      <c r="F1410">
        <v>0</v>
      </c>
      <c r="G1410" t="s">
        <v>184</v>
      </c>
    </row>
    <row r="1411" spans="1:7" x14ac:dyDescent="0.35">
      <c r="A1411">
        <v>580</v>
      </c>
      <c r="B1411" t="s">
        <v>518</v>
      </c>
      <c r="C1411">
        <v>0</v>
      </c>
      <c r="D1411">
        <v>0</v>
      </c>
      <c r="E1411">
        <v>0</v>
      </c>
      <c r="F1411">
        <v>0</v>
      </c>
      <c r="G1411" t="s">
        <v>184</v>
      </c>
    </row>
    <row r="1412" spans="1:7" x14ac:dyDescent="0.35">
      <c r="A1412">
        <v>590</v>
      </c>
      <c r="B1412" t="s">
        <v>519</v>
      </c>
      <c r="C1412">
        <v>0</v>
      </c>
      <c r="D1412">
        <v>0</v>
      </c>
      <c r="E1412">
        <v>0</v>
      </c>
      <c r="F1412">
        <v>0</v>
      </c>
      <c r="G1412" t="s">
        <v>184</v>
      </c>
    </row>
    <row r="1413" spans="1:7" x14ac:dyDescent="0.35">
      <c r="A1413">
        <v>600</v>
      </c>
      <c r="B1413" t="s">
        <v>520</v>
      </c>
      <c r="C1413">
        <v>0</v>
      </c>
      <c r="D1413">
        <v>-1448274.85</v>
      </c>
      <c r="E1413">
        <v>-1478706.85</v>
      </c>
      <c r="F1413">
        <v>-30432</v>
      </c>
      <c r="G1413" t="s">
        <v>184</v>
      </c>
    </row>
    <row r="1414" spans="1:7" x14ac:dyDescent="0.35">
      <c r="A1414">
        <v>610</v>
      </c>
      <c r="B1414" t="s">
        <v>521</v>
      </c>
      <c r="C1414">
        <v>0</v>
      </c>
      <c r="D1414">
        <v>0</v>
      </c>
      <c r="E1414">
        <v>0</v>
      </c>
      <c r="F1414">
        <v>0</v>
      </c>
      <c r="G1414" t="s">
        <v>184</v>
      </c>
    </row>
    <row r="1415" spans="1:7" x14ac:dyDescent="0.35">
      <c r="A1415">
        <v>615</v>
      </c>
      <c r="B1415" t="s">
        <v>550</v>
      </c>
      <c r="C1415">
        <v>0</v>
      </c>
      <c r="D1415">
        <v>-1057656.52</v>
      </c>
      <c r="E1415">
        <v>-1121268.45</v>
      </c>
      <c r="F1415">
        <v>-63611.93</v>
      </c>
      <c r="G1415" t="s">
        <v>184</v>
      </c>
    </row>
    <row r="1416" spans="1:7" x14ac:dyDescent="0.35">
      <c r="A1416">
        <v>620</v>
      </c>
      <c r="B1416" t="s">
        <v>522</v>
      </c>
      <c r="C1416">
        <v>0</v>
      </c>
      <c r="D1416">
        <v>0</v>
      </c>
      <c r="E1416">
        <v>0</v>
      </c>
      <c r="F1416">
        <v>0</v>
      </c>
      <c r="G1416" t="s">
        <v>184</v>
      </c>
    </row>
    <row r="1417" spans="1:7" x14ac:dyDescent="0.35">
      <c r="A1417">
        <v>630</v>
      </c>
      <c r="B1417" t="s">
        <v>523</v>
      </c>
      <c r="C1417">
        <v>0</v>
      </c>
      <c r="D1417">
        <v>-21055</v>
      </c>
      <c r="E1417">
        <v>-21055</v>
      </c>
      <c r="F1417">
        <v>0</v>
      </c>
      <c r="G1417" t="s">
        <v>184</v>
      </c>
    </row>
    <row r="1418" spans="1:7" x14ac:dyDescent="0.35">
      <c r="A1418">
        <v>635</v>
      </c>
      <c r="B1418" t="s">
        <v>551</v>
      </c>
      <c r="C1418">
        <v>0</v>
      </c>
      <c r="D1418">
        <v>0</v>
      </c>
      <c r="E1418">
        <v>0</v>
      </c>
      <c r="F1418">
        <v>0</v>
      </c>
      <c r="G1418" t="s">
        <v>184</v>
      </c>
    </row>
    <row r="1419" spans="1:7" x14ac:dyDescent="0.35">
      <c r="A1419">
        <v>640</v>
      </c>
      <c r="B1419" t="s">
        <v>524</v>
      </c>
      <c r="C1419">
        <v>4079.95</v>
      </c>
      <c r="D1419">
        <v>-3679205.99</v>
      </c>
      <c r="E1419">
        <v>-3753606.11</v>
      </c>
      <c r="F1419">
        <v>-74400.12</v>
      </c>
      <c r="G1419" t="s">
        <v>184</v>
      </c>
    </row>
    <row r="1420" spans="1:7" x14ac:dyDescent="0.35">
      <c r="A1420">
        <v>650</v>
      </c>
      <c r="B1420" t="s">
        <v>525</v>
      </c>
      <c r="C1420">
        <v>78810.649999999994</v>
      </c>
      <c r="D1420">
        <v>-43967.38</v>
      </c>
      <c r="E1420">
        <v>114379.41</v>
      </c>
      <c r="F1420">
        <v>158346.79</v>
      </c>
      <c r="G1420" t="s">
        <v>184</v>
      </c>
    </row>
    <row r="1421" spans="1:7" x14ac:dyDescent="0.35">
      <c r="A1421" t="s">
        <v>461</v>
      </c>
      <c r="B1421" t="s">
        <v>172</v>
      </c>
      <c r="C1421" t="s">
        <v>468</v>
      </c>
      <c r="D1421" t="s">
        <v>469</v>
      </c>
      <c r="E1421" t="s">
        <v>470</v>
      </c>
      <c r="F1421" t="s">
        <v>471</v>
      </c>
      <c r="G1421" t="s">
        <v>183</v>
      </c>
    </row>
    <row r="1422" spans="1:7" x14ac:dyDescent="0.35">
      <c r="A1422">
        <v>10</v>
      </c>
      <c r="B1422" t="s">
        <v>472</v>
      </c>
      <c r="C1422">
        <v>0</v>
      </c>
      <c r="D1422">
        <v>0</v>
      </c>
      <c r="E1422">
        <v>0</v>
      </c>
      <c r="F1422">
        <v>0</v>
      </c>
      <c r="G1422" t="s">
        <v>184</v>
      </c>
    </row>
    <row r="1423" spans="1:7" x14ac:dyDescent="0.35">
      <c r="A1423">
        <v>20</v>
      </c>
      <c r="B1423" t="s">
        <v>147</v>
      </c>
      <c r="C1423">
        <v>130233.75</v>
      </c>
      <c r="D1423">
        <v>0</v>
      </c>
      <c r="E1423">
        <v>1113697.1100000001</v>
      </c>
      <c r="F1423">
        <v>1113697.1100000001</v>
      </c>
      <c r="G1423" t="s">
        <v>184</v>
      </c>
    </row>
    <row r="1424" spans="1:7" x14ac:dyDescent="0.35">
      <c r="A1424">
        <v>30</v>
      </c>
      <c r="B1424" t="s">
        <v>473</v>
      </c>
      <c r="C1424">
        <v>0</v>
      </c>
      <c r="D1424">
        <v>0</v>
      </c>
      <c r="E1424">
        <v>0</v>
      </c>
      <c r="F1424">
        <v>0</v>
      </c>
      <c r="G1424" t="s">
        <v>184</v>
      </c>
    </row>
    <row r="1425" spans="1:7" x14ac:dyDescent="0.35">
      <c r="A1425">
        <v>35</v>
      </c>
      <c r="B1425" t="s">
        <v>474</v>
      </c>
      <c r="C1425">
        <v>130233.75</v>
      </c>
      <c r="D1425">
        <v>0</v>
      </c>
      <c r="E1425">
        <v>1113697.1100000001</v>
      </c>
      <c r="F1425">
        <v>1113697.1100000001</v>
      </c>
      <c r="G1425" t="s">
        <v>184</v>
      </c>
    </row>
    <row r="1426" spans="1:7" x14ac:dyDescent="0.35">
      <c r="A1426">
        <v>40</v>
      </c>
      <c r="B1426" t="s">
        <v>475</v>
      </c>
      <c r="C1426">
        <v>0</v>
      </c>
      <c r="D1426">
        <v>0</v>
      </c>
      <c r="E1426">
        <v>0</v>
      </c>
      <c r="F1426">
        <v>0</v>
      </c>
      <c r="G1426" t="s">
        <v>184</v>
      </c>
    </row>
    <row r="1427" spans="1:7" x14ac:dyDescent="0.35">
      <c r="A1427">
        <v>50</v>
      </c>
      <c r="B1427" t="s">
        <v>476</v>
      </c>
      <c r="C1427">
        <v>0</v>
      </c>
      <c r="D1427">
        <v>0</v>
      </c>
      <c r="E1427">
        <v>0</v>
      </c>
      <c r="F1427">
        <v>0</v>
      </c>
      <c r="G1427" t="s">
        <v>184</v>
      </c>
    </row>
    <row r="1428" spans="1:7" x14ac:dyDescent="0.35">
      <c r="A1428">
        <v>60</v>
      </c>
      <c r="B1428" t="s">
        <v>477</v>
      </c>
      <c r="C1428">
        <v>130233.75</v>
      </c>
      <c r="D1428">
        <v>0</v>
      </c>
      <c r="E1428">
        <v>1113697.1100000001</v>
      </c>
      <c r="F1428">
        <v>1113697.1100000001</v>
      </c>
      <c r="G1428" t="s">
        <v>184</v>
      </c>
    </row>
    <row r="1429" spans="1:7" x14ac:dyDescent="0.35">
      <c r="A1429">
        <v>70</v>
      </c>
      <c r="B1429" t="s">
        <v>152</v>
      </c>
      <c r="C1429">
        <v>23029.17</v>
      </c>
      <c r="D1429">
        <v>0</v>
      </c>
      <c r="E1429">
        <v>120950.06</v>
      </c>
      <c r="F1429">
        <v>120950.06</v>
      </c>
      <c r="G1429" t="s">
        <v>184</v>
      </c>
    </row>
    <row r="1430" spans="1:7" x14ac:dyDescent="0.35">
      <c r="A1430">
        <v>80</v>
      </c>
      <c r="B1430" t="s">
        <v>153</v>
      </c>
      <c r="C1430">
        <v>1671.42</v>
      </c>
      <c r="D1430">
        <v>0</v>
      </c>
      <c r="E1430">
        <v>1823.68</v>
      </c>
      <c r="F1430">
        <v>1823.68</v>
      </c>
      <c r="G1430" t="s">
        <v>184</v>
      </c>
    </row>
    <row r="1431" spans="1:7" x14ac:dyDescent="0.35">
      <c r="A1431">
        <v>90</v>
      </c>
      <c r="B1431" t="s">
        <v>478</v>
      </c>
      <c r="C1431">
        <v>21002.41</v>
      </c>
      <c r="D1431">
        <v>0</v>
      </c>
      <c r="E1431">
        <v>189021.69</v>
      </c>
      <c r="F1431">
        <v>189021.69</v>
      </c>
      <c r="G1431" t="s">
        <v>184</v>
      </c>
    </row>
    <row r="1432" spans="1:7" x14ac:dyDescent="0.35">
      <c r="A1432">
        <v>100</v>
      </c>
      <c r="B1432" t="s">
        <v>479</v>
      </c>
      <c r="C1432">
        <v>84530.75</v>
      </c>
      <c r="D1432">
        <v>0</v>
      </c>
      <c r="E1432">
        <v>801901.68</v>
      </c>
      <c r="F1432">
        <v>801901.68</v>
      </c>
      <c r="G1432" t="s">
        <v>184</v>
      </c>
    </row>
    <row r="1433" spans="1:7" x14ac:dyDescent="0.35">
      <c r="A1433">
        <v>110</v>
      </c>
      <c r="B1433" t="s">
        <v>480</v>
      </c>
      <c r="C1433">
        <v>0</v>
      </c>
      <c r="D1433">
        <v>0</v>
      </c>
      <c r="E1433">
        <v>0</v>
      </c>
      <c r="F1433">
        <v>0</v>
      </c>
      <c r="G1433" t="s">
        <v>184</v>
      </c>
    </row>
    <row r="1434" spans="1:7" x14ac:dyDescent="0.35">
      <c r="A1434">
        <v>120</v>
      </c>
      <c r="B1434" t="s">
        <v>481</v>
      </c>
      <c r="C1434">
        <v>480.16</v>
      </c>
      <c r="D1434">
        <v>0</v>
      </c>
      <c r="E1434">
        <v>4584.18</v>
      </c>
      <c r="F1434">
        <v>4584.18</v>
      </c>
      <c r="G1434" t="s">
        <v>184</v>
      </c>
    </row>
    <row r="1435" spans="1:7" x14ac:dyDescent="0.35">
      <c r="A1435">
        <v>130</v>
      </c>
      <c r="B1435" t="s">
        <v>482</v>
      </c>
      <c r="C1435">
        <v>31317.360000000001</v>
      </c>
      <c r="D1435">
        <v>0</v>
      </c>
      <c r="E1435">
        <v>273841.15999999997</v>
      </c>
      <c r="F1435">
        <v>273841.15999999997</v>
      </c>
      <c r="G1435" t="s">
        <v>184</v>
      </c>
    </row>
    <row r="1436" spans="1:7" x14ac:dyDescent="0.35">
      <c r="A1436">
        <v>140</v>
      </c>
      <c r="B1436" t="s">
        <v>483</v>
      </c>
      <c r="C1436">
        <v>0</v>
      </c>
      <c r="D1436">
        <v>0</v>
      </c>
      <c r="E1436">
        <v>0</v>
      </c>
      <c r="F1436">
        <v>0</v>
      </c>
      <c r="G1436" t="s">
        <v>184</v>
      </c>
    </row>
    <row r="1437" spans="1:7" x14ac:dyDescent="0.35">
      <c r="A1437">
        <v>145</v>
      </c>
      <c r="B1437" t="s">
        <v>162</v>
      </c>
      <c r="C1437">
        <v>31797.52</v>
      </c>
      <c r="D1437">
        <v>0</v>
      </c>
      <c r="E1437">
        <v>278425.34000000003</v>
      </c>
      <c r="F1437">
        <v>278425.34000000003</v>
      </c>
      <c r="G1437" t="s">
        <v>184</v>
      </c>
    </row>
    <row r="1438" spans="1:7" x14ac:dyDescent="0.35">
      <c r="A1438">
        <v>150</v>
      </c>
      <c r="B1438" t="s">
        <v>484</v>
      </c>
      <c r="C1438">
        <v>52733.23</v>
      </c>
      <c r="D1438">
        <v>0</v>
      </c>
      <c r="E1438">
        <v>523476.34</v>
      </c>
      <c r="F1438">
        <v>523476.34</v>
      </c>
      <c r="G1438" t="s">
        <v>184</v>
      </c>
    </row>
    <row r="1439" spans="1:7" x14ac:dyDescent="0.35">
      <c r="A1439">
        <v>160</v>
      </c>
      <c r="B1439" t="s">
        <v>485</v>
      </c>
      <c r="C1439">
        <v>29331</v>
      </c>
      <c r="D1439">
        <v>0</v>
      </c>
      <c r="E1439">
        <v>59876</v>
      </c>
      <c r="F1439">
        <v>59876</v>
      </c>
      <c r="G1439" t="s">
        <v>184</v>
      </c>
    </row>
    <row r="1440" spans="1:7" x14ac:dyDescent="0.35">
      <c r="A1440">
        <v>170</v>
      </c>
      <c r="B1440" t="s">
        <v>166</v>
      </c>
      <c r="C1440">
        <v>23402.23</v>
      </c>
      <c r="D1440">
        <v>0</v>
      </c>
      <c r="E1440">
        <v>463600.34</v>
      </c>
      <c r="F1440">
        <v>463600.34</v>
      </c>
      <c r="G1440" t="s">
        <v>184</v>
      </c>
    </row>
    <row r="1441" spans="1:7" x14ac:dyDescent="0.35">
      <c r="A1441">
        <v>190</v>
      </c>
      <c r="B1441" t="s">
        <v>486</v>
      </c>
      <c r="C1441">
        <v>0</v>
      </c>
      <c r="D1441">
        <v>0</v>
      </c>
      <c r="E1441">
        <v>0</v>
      </c>
      <c r="F1441">
        <v>0</v>
      </c>
      <c r="G1441" t="s">
        <v>184</v>
      </c>
    </row>
    <row r="1442" spans="1:7" x14ac:dyDescent="0.35">
      <c r="A1442">
        <v>200</v>
      </c>
      <c r="B1442" t="s">
        <v>166</v>
      </c>
      <c r="C1442">
        <v>23402.23</v>
      </c>
      <c r="D1442">
        <v>0</v>
      </c>
      <c r="E1442">
        <v>463600.34</v>
      </c>
      <c r="F1442">
        <v>463600.34</v>
      </c>
      <c r="G1442" t="s">
        <v>184</v>
      </c>
    </row>
    <row r="1443" spans="1:7" x14ac:dyDescent="0.35">
      <c r="A1443">
        <v>210</v>
      </c>
      <c r="B1443" t="s">
        <v>487</v>
      </c>
      <c r="C1443">
        <v>23402.23</v>
      </c>
      <c r="D1443">
        <v>0</v>
      </c>
      <c r="E1443">
        <v>463600.34</v>
      </c>
      <c r="F1443">
        <v>463600.34</v>
      </c>
      <c r="G1443" t="s">
        <v>184</v>
      </c>
    </row>
    <row r="1444" spans="1:7" x14ac:dyDescent="0.35">
      <c r="A1444">
        <v>220</v>
      </c>
      <c r="B1444" t="s">
        <v>488</v>
      </c>
      <c r="C1444">
        <v>0</v>
      </c>
      <c r="D1444">
        <v>0</v>
      </c>
      <c r="E1444">
        <v>0</v>
      </c>
      <c r="F1444">
        <v>0</v>
      </c>
      <c r="G1444" t="s">
        <v>184</v>
      </c>
    </row>
    <row r="1445" spans="1:7" x14ac:dyDescent="0.35">
      <c r="A1445">
        <v>230</v>
      </c>
      <c r="B1445" t="s">
        <v>341</v>
      </c>
      <c r="C1445">
        <v>-9350</v>
      </c>
      <c r="D1445">
        <v>-62031.03</v>
      </c>
      <c r="E1445">
        <v>-79406.84</v>
      </c>
      <c r="F1445">
        <v>-17375.810000000001</v>
      </c>
      <c r="G1445" t="s">
        <v>184</v>
      </c>
    </row>
    <row r="1446" spans="1:7" x14ac:dyDescent="0.35">
      <c r="A1446">
        <v>235</v>
      </c>
      <c r="B1446" t="s">
        <v>489</v>
      </c>
      <c r="C1446">
        <v>0</v>
      </c>
      <c r="D1446">
        <v>0</v>
      </c>
      <c r="E1446">
        <v>0</v>
      </c>
      <c r="F1446">
        <v>0</v>
      </c>
      <c r="G1446" t="s">
        <v>184</v>
      </c>
    </row>
    <row r="1447" spans="1:7" x14ac:dyDescent="0.35">
      <c r="A1447">
        <v>240</v>
      </c>
      <c r="B1447" t="s">
        <v>342</v>
      </c>
      <c r="C1447">
        <v>-1629897.35</v>
      </c>
      <c r="D1447">
        <v>-2417484.7200000002</v>
      </c>
      <c r="E1447">
        <v>-4192857.79</v>
      </c>
      <c r="F1447">
        <v>-1775373.07</v>
      </c>
      <c r="G1447" t="s">
        <v>184</v>
      </c>
    </row>
    <row r="1448" spans="1:7" x14ac:dyDescent="0.35">
      <c r="A1448">
        <v>250</v>
      </c>
      <c r="B1448" t="s">
        <v>343</v>
      </c>
      <c r="C1448">
        <v>0</v>
      </c>
      <c r="D1448">
        <v>0</v>
      </c>
      <c r="E1448">
        <v>0</v>
      </c>
      <c r="F1448">
        <v>0</v>
      </c>
      <c r="G1448" t="s">
        <v>184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184</v>
      </c>
    </row>
    <row r="1450" spans="1:7" x14ac:dyDescent="0.35">
      <c r="A1450">
        <v>270</v>
      </c>
      <c r="B1450" t="s">
        <v>344</v>
      </c>
      <c r="C1450">
        <v>6152</v>
      </c>
      <c r="D1450">
        <v>-79431</v>
      </c>
      <c r="E1450">
        <v>-79431</v>
      </c>
      <c r="F1450">
        <v>0</v>
      </c>
      <c r="G1450" t="s">
        <v>184</v>
      </c>
    </row>
    <row r="1451" spans="1:7" x14ac:dyDescent="0.35">
      <c r="A1451">
        <v>300</v>
      </c>
      <c r="B1451" t="s">
        <v>367</v>
      </c>
      <c r="C1451">
        <v>11492.2</v>
      </c>
      <c r="D1451">
        <v>30200</v>
      </c>
      <c r="E1451">
        <v>49390.54</v>
      </c>
      <c r="F1451">
        <v>19190.54</v>
      </c>
      <c r="G1451" t="s">
        <v>184</v>
      </c>
    </row>
    <row r="1452" spans="1:7" x14ac:dyDescent="0.35">
      <c r="A1452">
        <v>310</v>
      </c>
      <c r="B1452" t="s">
        <v>491</v>
      </c>
      <c r="C1452">
        <v>0</v>
      </c>
      <c r="D1452">
        <v>0</v>
      </c>
      <c r="E1452">
        <v>0</v>
      </c>
      <c r="F1452">
        <v>0</v>
      </c>
      <c r="G1452" t="s">
        <v>184</v>
      </c>
    </row>
    <row r="1453" spans="1:7" x14ac:dyDescent="0.35">
      <c r="A1453">
        <v>320</v>
      </c>
      <c r="B1453" t="s">
        <v>492</v>
      </c>
      <c r="C1453">
        <v>10981.66</v>
      </c>
      <c r="D1453">
        <v>6720</v>
      </c>
      <c r="E1453">
        <v>36801.21</v>
      </c>
      <c r="F1453">
        <v>30081.21</v>
      </c>
      <c r="G1453" t="s">
        <v>184</v>
      </c>
    </row>
    <row r="1454" spans="1:7" x14ac:dyDescent="0.35">
      <c r="A1454">
        <v>325</v>
      </c>
      <c r="B1454" t="s">
        <v>493</v>
      </c>
      <c r="C1454">
        <v>0</v>
      </c>
      <c r="D1454">
        <v>0</v>
      </c>
      <c r="E1454">
        <v>0</v>
      </c>
      <c r="F1454">
        <v>0</v>
      </c>
      <c r="G1454" t="s">
        <v>184</v>
      </c>
    </row>
    <row r="1455" spans="1:7" x14ac:dyDescent="0.35">
      <c r="A1455">
        <v>330</v>
      </c>
      <c r="B1455" t="s">
        <v>570</v>
      </c>
      <c r="C1455">
        <v>0</v>
      </c>
      <c r="D1455">
        <v>485394</v>
      </c>
      <c r="E1455">
        <v>803950.17</v>
      </c>
      <c r="F1455">
        <v>318556.17</v>
      </c>
      <c r="G1455" t="s">
        <v>184</v>
      </c>
    </row>
    <row r="1456" spans="1:7" x14ac:dyDescent="0.35">
      <c r="A1456">
        <v>340</v>
      </c>
      <c r="B1456" t="s">
        <v>495</v>
      </c>
      <c r="C1456">
        <v>0</v>
      </c>
      <c r="D1456">
        <v>0</v>
      </c>
      <c r="E1456">
        <v>0</v>
      </c>
      <c r="F1456">
        <v>0</v>
      </c>
      <c r="G1456" t="s">
        <v>184</v>
      </c>
    </row>
    <row r="1457" spans="1:7" x14ac:dyDescent="0.35">
      <c r="A1457">
        <v>380</v>
      </c>
      <c r="B1457" t="s">
        <v>496</v>
      </c>
      <c r="C1457">
        <v>-1610621.49</v>
      </c>
      <c r="D1457">
        <v>-2036632.75</v>
      </c>
      <c r="E1457">
        <v>-3461553.71</v>
      </c>
      <c r="F1457">
        <v>-1424920.96</v>
      </c>
      <c r="G1457" t="s">
        <v>184</v>
      </c>
    </row>
    <row r="1458" spans="1:7" x14ac:dyDescent="0.35">
      <c r="A1458">
        <v>390</v>
      </c>
      <c r="B1458" t="s">
        <v>497</v>
      </c>
      <c r="C1458">
        <v>0</v>
      </c>
      <c r="D1458">
        <v>0</v>
      </c>
      <c r="E1458">
        <v>0</v>
      </c>
      <c r="F1458">
        <v>0</v>
      </c>
      <c r="G1458" t="s">
        <v>184</v>
      </c>
    </row>
    <row r="1459" spans="1:7" x14ac:dyDescent="0.35">
      <c r="A1459">
        <v>400</v>
      </c>
      <c r="B1459" t="s">
        <v>498</v>
      </c>
      <c r="C1459">
        <v>1585399.71</v>
      </c>
      <c r="D1459">
        <v>5476661.2599999998</v>
      </c>
      <c r="E1459">
        <v>6706278.1500000004</v>
      </c>
      <c r="F1459">
        <v>1229616.8899999999</v>
      </c>
      <c r="G1459" t="s">
        <v>184</v>
      </c>
    </row>
    <row r="1460" spans="1:7" x14ac:dyDescent="0.35">
      <c r="A1460">
        <v>405</v>
      </c>
      <c r="B1460" t="s">
        <v>499</v>
      </c>
      <c r="C1460">
        <v>0</v>
      </c>
      <c r="D1460">
        <v>0</v>
      </c>
      <c r="E1460">
        <v>0</v>
      </c>
      <c r="F1460">
        <v>0</v>
      </c>
      <c r="G1460" t="s">
        <v>184</v>
      </c>
    </row>
    <row r="1461" spans="1:7" x14ac:dyDescent="0.35">
      <c r="A1461">
        <v>410</v>
      </c>
      <c r="B1461" t="s">
        <v>382</v>
      </c>
      <c r="C1461">
        <v>0</v>
      </c>
      <c r="D1461">
        <v>2794359.83</v>
      </c>
      <c r="E1461">
        <v>2764342.52</v>
      </c>
      <c r="F1461">
        <v>-30017.31</v>
      </c>
      <c r="G1461" t="s">
        <v>184</v>
      </c>
    </row>
    <row r="1462" spans="1:7" x14ac:dyDescent="0.35">
      <c r="A1462">
        <v>420</v>
      </c>
      <c r="B1462" t="s">
        <v>500</v>
      </c>
      <c r="C1462">
        <v>0</v>
      </c>
      <c r="D1462">
        <v>2087847.04</v>
      </c>
      <c r="E1462">
        <v>2087847.04</v>
      </c>
      <c r="F1462">
        <v>0</v>
      </c>
      <c r="G1462" t="s">
        <v>184</v>
      </c>
    </row>
    <row r="1463" spans="1:7" x14ac:dyDescent="0.35">
      <c r="A1463">
        <v>425</v>
      </c>
      <c r="B1463" t="s">
        <v>501</v>
      </c>
      <c r="C1463">
        <v>0</v>
      </c>
      <c r="D1463">
        <v>0</v>
      </c>
      <c r="E1463">
        <v>0</v>
      </c>
      <c r="F1463">
        <v>0</v>
      </c>
      <c r="G1463" t="s">
        <v>184</v>
      </c>
    </row>
    <row r="1464" spans="1:7" x14ac:dyDescent="0.35">
      <c r="A1464">
        <v>427</v>
      </c>
      <c r="B1464" t="s">
        <v>502</v>
      </c>
      <c r="C1464">
        <v>0</v>
      </c>
      <c r="D1464">
        <v>0</v>
      </c>
      <c r="E1464">
        <v>0</v>
      </c>
      <c r="F1464">
        <v>0</v>
      </c>
      <c r="G1464" t="s">
        <v>184</v>
      </c>
    </row>
    <row r="1465" spans="1:7" x14ac:dyDescent="0.35">
      <c r="A1465">
        <v>430</v>
      </c>
      <c r="B1465" t="s">
        <v>503</v>
      </c>
      <c r="C1465">
        <v>0</v>
      </c>
      <c r="D1465">
        <v>2671035.4</v>
      </c>
      <c r="E1465">
        <v>2669283.63</v>
      </c>
      <c r="F1465">
        <v>-1751.77</v>
      </c>
      <c r="G1465" t="s">
        <v>184</v>
      </c>
    </row>
    <row r="1466" spans="1:7" x14ac:dyDescent="0.35">
      <c r="A1466">
        <v>440</v>
      </c>
      <c r="B1466" t="s">
        <v>504</v>
      </c>
      <c r="C1466">
        <v>1585399.71</v>
      </c>
      <c r="D1466">
        <v>13029903.529999999</v>
      </c>
      <c r="E1466">
        <v>14227751.34</v>
      </c>
      <c r="F1466">
        <v>1197847.81</v>
      </c>
      <c r="G1466" t="s">
        <v>184</v>
      </c>
    </row>
    <row r="1467" spans="1:7" x14ac:dyDescent="0.35">
      <c r="A1467">
        <v>450</v>
      </c>
      <c r="B1467" t="s">
        <v>505</v>
      </c>
      <c r="C1467">
        <v>0</v>
      </c>
      <c r="D1467">
        <v>0</v>
      </c>
      <c r="E1467">
        <v>0</v>
      </c>
      <c r="F1467">
        <v>0</v>
      </c>
      <c r="G1467" t="s">
        <v>184</v>
      </c>
    </row>
    <row r="1468" spans="1:7" x14ac:dyDescent="0.35">
      <c r="A1468">
        <v>455</v>
      </c>
      <c r="B1468" t="s">
        <v>349</v>
      </c>
      <c r="C1468">
        <v>-4050</v>
      </c>
      <c r="D1468">
        <v>-14877466.130000001</v>
      </c>
      <c r="E1468">
        <v>-15344364.560000001</v>
      </c>
      <c r="F1468">
        <v>-466898.43</v>
      </c>
      <c r="G1468" t="s">
        <v>184</v>
      </c>
    </row>
    <row r="1469" spans="1:7" x14ac:dyDescent="0.35">
      <c r="A1469">
        <v>456</v>
      </c>
      <c r="B1469" t="s">
        <v>506</v>
      </c>
      <c r="C1469">
        <v>21002.41</v>
      </c>
      <c r="D1469">
        <v>4009918.96</v>
      </c>
      <c r="E1469">
        <v>4198940.6500000004</v>
      </c>
      <c r="F1469">
        <v>189021.69</v>
      </c>
      <c r="G1469" t="s">
        <v>184</v>
      </c>
    </row>
    <row r="1470" spans="1:7" x14ac:dyDescent="0.35">
      <c r="A1470">
        <v>460</v>
      </c>
      <c r="B1470" t="s">
        <v>353</v>
      </c>
      <c r="C1470">
        <v>0</v>
      </c>
      <c r="D1470">
        <v>-1921687.96</v>
      </c>
      <c r="E1470">
        <v>-1923187.96</v>
      </c>
      <c r="F1470">
        <v>-1500</v>
      </c>
      <c r="G1470" t="s">
        <v>184</v>
      </c>
    </row>
    <row r="1471" spans="1:7" x14ac:dyDescent="0.35">
      <c r="A1471">
        <v>470</v>
      </c>
      <c r="B1471" t="s">
        <v>507</v>
      </c>
      <c r="C1471">
        <v>0</v>
      </c>
      <c r="D1471">
        <v>129731.1</v>
      </c>
      <c r="E1471">
        <v>129731.1</v>
      </c>
      <c r="F1471">
        <v>0</v>
      </c>
      <c r="G1471" t="s">
        <v>184</v>
      </c>
    </row>
    <row r="1472" spans="1:7" x14ac:dyDescent="0.35">
      <c r="A1472">
        <v>480</v>
      </c>
      <c r="B1472" t="s">
        <v>352</v>
      </c>
      <c r="C1472">
        <v>0</v>
      </c>
      <c r="D1472">
        <v>0</v>
      </c>
      <c r="E1472">
        <v>0</v>
      </c>
      <c r="F1472">
        <v>0</v>
      </c>
      <c r="G1472" t="s">
        <v>184</v>
      </c>
    </row>
    <row r="1473" spans="1:7" x14ac:dyDescent="0.35">
      <c r="A1473">
        <v>490</v>
      </c>
      <c r="B1473" t="s">
        <v>508</v>
      </c>
      <c r="C1473">
        <v>0</v>
      </c>
      <c r="D1473">
        <v>0</v>
      </c>
      <c r="E1473">
        <v>0</v>
      </c>
      <c r="F1473">
        <v>0</v>
      </c>
      <c r="G1473" t="s">
        <v>184</v>
      </c>
    </row>
    <row r="1474" spans="1:7" x14ac:dyDescent="0.35">
      <c r="A1474">
        <v>500</v>
      </c>
      <c r="B1474" t="s">
        <v>351</v>
      </c>
      <c r="C1474">
        <v>0</v>
      </c>
      <c r="D1474">
        <v>0</v>
      </c>
      <c r="E1474">
        <v>0</v>
      </c>
      <c r="F1474">
        <v>0</v>
      </c>
      <c r="G1474" t="s">
        <v>184</v>
      </c>
    </row>
    <row r="1475" spans="1:7" x14ac:dyDescent="0.35">
      <c r="A1475">
        <v>510</v>
      </c>
      <c r="B1475" t="s">
        <v>509</v>
      </c>
      <c r="C1475">
        <v>0</v>
      </c>
      <c r="D1475">
        <v>0</v>
      </c>
      <c r="E1475">
        <v>0</v>
      </c>
      <c r="F1475">
        <v>0</v>
      </c>
      <c r="G1475" t="s">
        <v>184</v>
      </c>
    </row>
    <row r="1476" spans="1:7" x14ac:dyDescent="0.35">
      <c r="A1476">
        <v>512</v>
      </c>
      <c r="B1476" t="s">
        <v>510</v>
      </c>
      <c r="C1476">
        <v>0</v>
      </c>
      <c r="D1476">
        <v>0</v>
      </c>
      <c r="E1476">
        <v>0</v>
      </c>
      <c r="F1476">
        <v>0</v>
      </c>
      <c r="G1476" t="s">
        <v>184</v>
      </c>
    </row>
    <row r="1477" spans="1:7" x14ac:dyDescent="0.35">
      <c r="A1477">
        <v>514</v>
      </c>
      <c r="B1477" t="s">
        <v>511</v>
      </c>
      <c r="C1477">
        <v>0</v>
      </c>
      <c r="D1477">
        <v>0</v>
      </c>
      <c r="E1477">
        <v>0</v>
      </c>
      <c r="F1477">
        <v>0</v>
      </c>
      <c r="G1477" t="s">
        <v>184</v>
      </c>
    </row>
    <row r="1478" spans="1:7" x14ac:dyDescent="0.35">
      <c r="A1478">
        <v>520</v>
      </c>
      <c r="B1478" t="s">
        <v>512</v>
      </c>
      <c r="C1478">
        <v>0</v>
      </c>
      <c r="D1478">
        <v>0</v>
      </c>
      <c r="E1478">
        <v>0</v>
      </c>
      <c r="F1478">
        <v>0</v>
      </c>
      <c r="G1478" t="s">
        <v>184</v>
      </c>
    </row>
    <row r="1479" spans="1:7" x14ac:dyDescent="0.35">
      <c r="A1479">
        <v>530</v>
      </c>
      <c r="B1479" t="s">
        <v>513</v>
      </c>
      <c r="C1479">
        <v>0</v>
      </c>
      <c r="D1479">
        <v>0</v>
      </c>
      <c r="E1479">
        <v>0</v>
      </c>
      <c r="F1479">
        <v>0</v>
      </c>
      <c r="G1479" t="s">
        <v>184</v>
      </c>
    </row>
    <row r="1480" spans="1:7" x14ac:dyDescent="0.35">
      <c r="A1480">
        <v>540</v>
      </c>
      <c r="B1480" t="s">
        <v>514</v>
      </c>
      <c r="C1480">
        <v>0</v>
      </c>
      <c r="D1480">
        <v>0</v>
      </c>
      <c r="E1480">
        <v>0</v>
      </c>
      <c r="F1480">
        <v>0</v>
      </c>
      <c r="G1480" t="s">
        <v>184</v>
      </c>
    </row>
    <row r="1481" spans="1:7" x14ac:dyDescent="0.35">
      <c r="A1481">
        <v>550</v>
      </c>
      <c r="B1481" t="s">
        <v>515</v>
      </c>
      <c r="C1481">
        <v>0</v>
      </c>
      <c r="D1481">
        <v>0</v>
      </c>
      <c r="E1481">
        <v>0</v>
      </c>
      <c r="F1481">
        <v>0</v>
      </c>
      <c r="G1481" t="s">
        <v>184</v>
      </c>
    </row>
    <row r="1482" spans="1:7" x14ac:dyDescent="0.35">
      <c r="A1482">
        <v>560</v>
      </c>
      <c r="B1482" t="s">
        <v>516</v>
      </c>
      <c r="C1482">
        <v>0</v>
      </c>
      <c r="D1482">
        <v>-188839.31</v>
      </c>
      <c r="E1482">
        <v>-188839.31</v>
      </c>
      <c r="F1482">
        <v>0</v>
      </c>
      <c r="G1482" t="s">
        <v>184</v>
      </c>
    </row>
    <row r="1483" spans="1:7" x14ac:dyDescent="0.35">
      <c r="A1483">
        <v>570</v>
      </c>
      <c r="B1483" t="s">
        <v>517</v>
      </c>
      <c r="C1483">
        <v>0</v>
      </c>
      <c r="D1483">
        <v>61303.8</v>
      </c>
      <c r="E1483">
        <v>61303.8</v>
      </c>
      <c r="F1483">
        <v>0</v>
      </c>
      <c r="G1483" t="s">
        <v>184</v>
      </c>
    </row>
    <row r="1484" spans="1:7" x14ac:dyDescent="0.35">
      <c r="A1484">
        <v>580</v>
      </c>
      <c r="B1484" t="s">
        <v>518</v>
      </c>
      <c r="C1484">
        <v>0</v>
      </c>
      <c r="D1484">
        <v>0</v>
      </c>
      <c r="E1484">
        <v>0</v>
      </c>
      <c r="F1484">
        <v>0</v>
      </c>
      <c r="G1484" t="s">
        <v>184</v>
      </c>
    </row>
    <row r="1485" spans="1:7" x14ac:dyDescent="0.35">
      <c r="A1485">
        <v>590</v>
      </c>
      <c r="B1485" t="s">
        <v>519</v>
      </c>
      <c r="C1485">
        <v>0</v>
      </c>
      <c r="D1485">
        <v>0</v>
      </c>
      <c r="E1485">
        <v>0</v>
      </c>
      <c r="F1485">
        <v>0</v>
      </c>
      <c r="G1485" t="s">
        <v>184</v>
      </c>
    </row>
    <row r="1486" spans="1:7" x14ac:dyDescent="0.35">
      <c r="A1486">
        <v>600</v>
      </c>
      <c r="B1486" t="s">
        <v>520</v>
      </c>
      <c r="C1486">
        <v>0</v>
      </c>
      <c r="D1486">
        <v>0</v>
      </c>
      <c r="E1486">
        <v>0</v>
      </c>
      <c r="F1486">
        <v>0</v>
      </c>
      <c r="G1486" t="s">
        <v>184</v>
      </c>
    </row>
    <row r="1487" spans="1:7" x14ac:dyDescent="0.35">
      <c r="A1487">
        <v>610</v>
      </c>
      <c r="B1487" t="s">
        <v>521</v>
      </c>
      <c r="C1487">
        <v>0</v>
      </c>
      <c r="D1487">
        <v>0</v>
      </c>
      <c r="E1487">
        <v>0</v>
      </c>
      <c r="F1487">
        <v>0</v>
      </c>
      <c r="G1487" t="s">
        <v>184</v>
      </c>
    </row>
    <row r="1488" spans="1:7" x14ac:dyDescent="0.35">
      <c r="A1488">
        <v>615</v>
      </c>
      <c r="B1488" t="s">
        <v>550</v>
      </c>
      <c r="C1488">
        <v>0</v>
      </c>
      <c r="D1488">
        <v>0</v>
      </c>
      <c r="E1488">
        <v>0</v>
      </c>
      <c r="F1488">
        <v>0</v>
      </c>
      <c r="G1488" t="s">
        <v>184</v>
      </c>
    </row>
    <row r="1489" spans="1:7" x14ac:dyDescent="0.35">
      <c r="A1489">
        <v>620</v>
      </c>
      <c r="B1489" t="s">
        <v>522</v>
      </c>
      <c r="C1489">
        <v>0</v>
      </c>
      <c r="D1489">
        <v>0</v>
      </c>
      <c r="E1489">
        <v>0</v>
      </c>
      <c r="F1489">
        <v>0</v>
      </c>
      <c r="G1489" t="s">
        <v>184</v>
      </c>
    </row>
    <row r="1490" spans="1:7" x14ac:dyDescent="0.35">
      <c r="A1490">
        <v>630</v>
      </c>
      <c r="B1490" t="s">
        <v>523</v>
      </c>
      <c r="C1490">
        <v>0</v>
      </c>
      <c r="D1490">
        <v>0</v>
      </c>
      <c r="E1490">
        <v>0</v>
      </c>
      <c r="F1490">
        <v>0</v>
      </c>
      <c r="G1490" t="s">
        <v>184</v>
      </c>
    </row>
    <row r="1491" spans="1:7" x14ac:dyDescent="0.35">
      <c r="A1491">
        <v>635</v>
      </c>
      <c r="B1491" t="s">
        <v>551</v>
      </c>
      <c r="C1491">
        <v>0</v>
      </c>
      <c r="D1491">
        <v>0</v>
      </c>
      <c r="E1491">
        <v>0</v>
      </c>
      <c r="F1491">
        <v>0</v>
      </c>
      <c r="G1491" t="s">
        <v>184</v>
      </c>
    </row>
    <row r="1492" spans="1:7" x14ac:dyDescent="0.35">
      <c r="A1492">
        <v>640</v>
      </c>
      <c r="B1492" t="s">
        <v>524</v>
      </c>
      <c r="C1492">
        <v>16952.41</v>
      </c>
      <c r="D1492">
        <v>-12787039.539999999</v>
      </c>
      <c r="E1492">
        <v>-13066416.279999999</v>
      </c>
      <c r="F1492">
        <v>-279376.74</v>
      </c>
      <c r="G1492" t="s">
        <v>184</v>
      </c>
    </row>
    <row r="1493" spans="1:7" x14ac:dyDescent="0.35">
      <c r="A1493">
        <v>650</v>
      </c>
      <c r="B1493" t="s">
        <v>525</v>
      </c>
      <c r="C1493">
        <v>15132.86</v>
      </c>
      <c r="D1493">
        <v>-1793768.76</v>
      </c>
      <c r="E1493">
        <v>-1836618.31</v>
      </c>
      <c r="F1493">
        <v>-42849.55</v>
      </c>
      <c r="G1493" t="s">
        <v>184</v>
      </c>
    </row>
    <row r="1494" spans="1:7" x14ac:dyDescent="0.35">
      <c r="A1494" t="s">
        <v>462</v>
      </c>
      <c r="B1494" t="s">
        <v>172</v>
      </c>
      <c r="C1494" t="s">
        <v>468</v>
      </c>
      <c r="D1494" t="s">
        <v>469</v>
      </c>
      <c r="E1494" t="s">
        <v>470</v>
      </c>
      <c r="F1494" t="s">
        <v>471</v>
      </c>
      <c r="G1494" t="s">
        <v>183</v>
      </c>
    </row>
    <row r="1495" spans="1:7" x14ac:dyDescent="0.35">
      <c r="A1495">
        <v>10</v>
      </c>
      <c r="B1495" t="s">
        <v>472</v>
      </c>
      <c r="C1495">
        <v>0</v>
      </c>
      <c r="D1495">
        <v>0</v>
      </c>
      <c r="E1495">
        <v>0</v>
      </c>
      <c r="F1495">
        <v>0</v>
      </c>
      <c r="G1495" t="s">
        <v>184</v>
      </c>
    </row>
    <row r="1496" spans="1:7" x14ac:dyDescent="0.35">
      <c r="A1496">
        <v>20</v>
      </c>
      <c r="B1496" t="s">
        <v>147</v>
      </c>
      <c r="C1496">
        <v>6300</v>
      </c>
      <c r="D1496">
        <v>0</v>
      </c>
      <c r="E1496">
        <v>56700</v>
      </c>
      <c r="F1496">
        <v>56700</v>
      </c>
      <c r="G1496" t="s">
        <v>184</v>
      </c>
    </row>
    <row r="1497" spans="1:7" x14ac:dyDescent="0.35">
      <c r="A1497">
        <v>30</v>
      </c>
      <c r="B1497" t="s">
        <v>473</v>
      </c>
      <c r="C1497">
        <v>0</v>
      </c>
      <c r="D1497">
        <v>0</v>
      </c>
      <c r="E1497">
        <v>0</v>
      </c>
      <c r="F1497">
        <v>0</v>
      </c>
      <c r="G1497" t="s">
        <v>184</v>
      </c>
    </row>
    <row r="1498" spans="1:7" x14ac:dyDescent="0.35">
      <c r="A1498">
        <v>35</v>
      </c>
      <c r="B1498" t="s">
        <v>474</v>
      </c>
      <c r="C1498">
        <v>6300</v>
      </c>
      <c r="D1498">
        <v>0</v>
      </c>
      <c r="E1498">
        <v>56700</v>
      </c>
      <c r="F1498">
        <v>56700</v>
      </c>
      <c r="G1498" t="s">
        <v>184</v>
      </c>
    </row>
    <row r="1499" spans="1:7" x14ac:dyDescent="0.35">
      <c r="A1499">
        <v>40</v>
      </c>
      <c r="B1499" t="s">
        <v>475</v>
      </c>
      <c r="C1499">
        <v>0</v>
      </c>
      <c r="D1499">
        <v>0</v>
      </c>
      <c r="E1499">
        <v>0</v>
      </c>
      <c r="F1499">
        <v>0</v>
      </c>
      <c r="G1499" t="s">
        <v>184</v>
      </c>
    </row>
    <row r="1500" spans="1:7" x14ac:dyDescent="0.35">
      <c r="A1500">
        <v>50</v>
      </c>
      <c r="B1500" t="s">
        <v>476</v>
      </c>
      <c r="C1500">
        <v>0</v>
      </c>
      <c r="D1500">
        <v>0</v>
      </c>
      <c r="E1500">
        <v>0</v>
      </c>
      <c r="F1500">
        <v>0</v>
      </c>
      <c r="G1500" t="s">
        <v>184</v>
      </c>
    </row>
    <row r="1501" spans="1:7" x14ac:dyDescent="0.35">
      <c r="A1501">
        <v>60</v>
      </c>
      <c r="B1501" t="s">
        <v>477</v>
      </c>
      <c r="C1501">
        <v>6300</v>
      </c>
      <c r="D1501">
        <v>0</v>
      </c>
      <c r="E1501">
        <v>56700</v>
      </c>
      <c r="F1501">
        <v>56700</v>
      </c>
      <c r="G1501" t="s">
        <v>184</v>
      </c>
    </row>
    <row r="1502" spans="1:7" x14ac:dyDescent="0.35">
      <c r="A1502">
        <v>70</v>
      </c>
      <c r="B1502" t="s">
        <v>152</v>
      </c>
      <c r="C1502">
        <v>1512.93</v>
      </c>
      <c r="D1502">
        <v>0</v>
      </c>
      <c r="E1502">
        <v>2428.67</v>
      </c>
      <c r="F1502">
        <v>2428.67</v>
      </c>
      <c r="G1502" t="s">
        <v>184</v>
      </c>
    </row>
    <row r="1503" spans="1:7" x14ac:dyDescent="0.35">
      <c r="A1503">
        <v>80</v>
      </c>
      <c r="B1503" t="s">
        <v>153</v>
      </c>
      <c r="C1503">
        <v>0</v>
      </c>
      <c r="D1503">
        <v>0</v>
      </c>
      <c r="E1503">
        <v>0</v>
      </c>
      <c r="F1503">
        <v>0</v>
      </c>
      <c r="G1503" t="s">
        <v>184</v>
      </c>
    </row>
    <row r="1504" spans="1:7" x14ac:dyDescent="0.35">
      <c r="A1504">
        <v>90</v>
      </c>
      <c r="B1504" t="s">
        <v>478</v>
      </c>
      <c r="C1504">
        <v>3786.04</v>
      </c>
      <c r="D1504">
        <v>0</v>
      </c>
      <c r="E1504">
        <v>34074.36</v>
      </c>
      <c r="F1504">
        <v>34074.36</v>
      </c>
      <c r="G1504" t="s">
        <v>184</v>
      </c>
    </row>
    <row r="1505" spans="1:7" x14ac:dyDescent="0.35">
      <c r="A1505">
        <v>100</v>
      </c>
      <c r="B1505" t="s">
        <v>479</v>
      </c>
      <c r="C1505">
        <v>1001.03</v>
      </c>
      <c r="D1505">
        <v>0</v>
      </c>
      <c r="E1505">
        <v>20196.97</v>
      </c>
      <c r="F1505">
        <v>20196.97</v>
      </c>
      <c r="G1505" t="s">
        <v>184</v>
      </c>
    </row>
    <row r="1506" spans="1:7" x14ac:dyDescent="0.35">
      <c r="A1506">
        <v>110</v>
      </c>
      <c r="B1506" t="s">
        <v>480</v>
      </c>
      <c r="C1506">
        <v>0</v>
      </c>
      <c r="D1506">
        <v>0</v>
      </c>
      <c r="E1506">
        <v>0</v>
      </c>
      <c r="F1506">
        <v>0</v>
      </c>
      <c r="G1506" t="s">
        <v>184</v>
      </c>
    </row>
    <row r="1507" spans="1:7" x14ac:dyDescent="0.35">
      <c r="A1507">
        <v>120</v>
      </c>
      <c r="B1507" t="s">
        <v>481</v>
      </c>
      <c r="C1507">
        <v>0</v>
      </c>
      <c r="D1507">
        <v>0</v>
      </c>
      <c r="E1507">
        <v>1439.13</v>
      </c>
      <c r="F1507">
        <v>1439.13</v>
      </c>
      <c r="G1507" t="s">
        <v>184</v>
      </c>
    </row>
    <row r="1508" spans="1:7" x14ac:dyDescent="0.35">
      <c r="A1508">
        <v>130</v>
      </c>
      <c r="B1508" t="s">
        <v>482</v>
      </c>
      <c r="C1508">
        <v>2028.74</v>
      </c>
      <c r="D1508">
        <v>0</v>
      </c>
      <c r="E1508">
        <v>29116.1</v>
      </c>
      <c r="F1508">
        <v>29116.1</v>
      </c>
      <c r="G1508" t="s">
        <v>184</v>
      </c>
    </row>
    <row r="1509" spans="1:7" x14ac:dyDescent="0.35">
      <c r="A1509">
        <v>140</v>
      </c>
      <c r="B1509" t="s">
        <v>483</v>
      </c>
      <c r="C1509">
        <v>0</v>
      </c>
      <c r="D1509">
        <v>0</v>
      </c>
      <c r="E1509">
        <v>0</v>
      </c>
      <c r="F1509">
        <v>0</v>
      </c>
      <c r="G1509" t="s">
        <v>184</v>
      </c>
    </row>
    <row r="1510" spans="1:7" x14ac:dyDescent="0.35">
      <c r="A1510">
        <v>145</v>
      </c>
      <c r="B1510" t="s">
        <v>162</v>
      </c>
      <c r="C1510">
        <v>2028.74</v>
      </c>
      <c r="D1510">
        <v>0</v>
      </c>
      <c r="E1510">
        <v>30555.23</v>
      </c>
      <c r="F1510">
        <v>30555.23</v>
      </c>
      <c r="G1510" t="s">
        <v>184</v>
      </c>
    </row>
    <row r="1511" spans="1:7" x14ac:dyDescent="0.35">
      <c r="A1511">
        <v>150</v>
      </c>
      <c r="B1511" t="s">
        <v>484</v>
      </c>
      <c r="C1511">
        <v>-1027.71</v>
      </c>
      <c r="D1511">
        <v>0</v>
      </c>
      <c r="E1511">
        <v>-10358.26</v>
      </c>
      <c r="F1511">
        <v>-10358.26</v>
      </c>
      <c r="G1511" t="s">
        <v>184</v>
      </c>
    </row>
    <row r="1512" spans="1:7" x14ac:dyDescent="0.35">
      <c r="A1512">
        <v>160</v>
      </c>
      <c r="B1512" t="s">
        <v>485</v>
      </c>
      <c r="C1512">
        <v>0</v>
      </c>
      <c r="D1512">
        <v>0</v>
      </c>
      <c r="E1512">
        <v>0</v>
      </c>
      <c r="F1512">
        <v>0</v>
      </c>
      <c r="G1512" t="s">
        <v>184</v>
      </c>
    </row>
    <row r="1513" spans="1:7" x14ac:dyDescent="0.35">
      <c r="A1513">
        <v>170</v>
      </c>
      <c r="B1513" t="s">
        <v>166</v>
      </c>
      <c r="C1513">
        <v>-1027.71</v>
      </c>
      <c r="D1513">
        <v>0</v>
      </c>
      <c r="E1513">
        <v>-10358.26</v>
      </c>
      <c r="F1513">
        <v>-10358.26</v>
      </c>
      <c r="G1513" t="s">
        <v>184</v>
      </c>
    </row>
    <row r="1514" spans="1:7" x14ac:dyDescent="0.35">
      <c r="A1514">
        <v>190</v>
      </c>
      <c r="B1514" t="s">
        <v>486</v>
      </c>
      <c r="C1514">
        <v>0</v>
      </c>
      <c r="D1514">
        <v>0</v>
      </c>
      <c r="E1514">
        <v>0</v>
      </c>
      <c r="F1514">
        <v>0</v>
      </c>
      <c r="G1514" t="s">
        <v>184</v>
      </c>
    </row>
    <row r="1515" spans="1:7" x14ac:dyDescent="0.35">
      <c r="A1515">
        <v>200</v>
      </c>
      <c r="B1515" t="s">
        <v>166</v>
      </c>
      <c r="C1515">
        <v>-1027.71</v>
      </c>
      <c r="D1515">
        <v>0</v>
      </c>
      <c r="E1515">
        <v>-10358.26</v>
      </c>
      <c r="F1515">
        <v>-10358.26</v>
      </c>
      <c r="G1515" t="s">
        <v>184</v>
      </c>
    </row>
    <row r="1516" spans="1:7" x14ac:dyDescent="0.35">
      <c r="A1516">
        <v>210</v>
      </c>
      <c r="B1516" t="s">
        <v>487</v>
      </c>
      <c r="C1516">
        <v>-1027.71</v>
      </c>
      <c r="D1516">
        <v>0</v>
      </c>
      <c r="E1516">
        <v>-10358.26</v>
      </c>
      <c r="F1516">
        <v>-10358.26</v>
      </c>
      <c r="G1516" t="s">
        <v>184</v>
      </c>
    </row>
    <row r="1517" spans="1:7" x14ac:dyDescent="0.35">
      <c r="A1517">
        <v>220</v>
      </c>
      <c r="B1517" t="s">
        <v>488</v>
      </c>
      <c r="C1517">
        <v>0</v>
      </c>
      <c r="D1517">
        <v>0</v>
      </c>
      <c r="E1517">
        <v>0</v>
      </c>
      <c r="F1517">
        <v>0</v>
      </c>
      <c r="G1517" t="s">
        <v>184</v>
      </c>
    </row>
    <row r="1518" spans="1:7" x14ac:dyDescent="0.35">
      <c r="A1518">
        <v>230</v>
      </c>
      <c r="B1518" t="s">
        <v>341</v>
      </c>
      <c r="C1518">
        <v>0</v>
      </c>
      <c r="D1518">
        <v>0</v>
      </c>
      <c r="E1518">
        <v>0</v>
      </c>
      <c r="F1518">
        <v>0</v>
      </c>
      <c r="G1518" t="s">
        <v>184</v>
      </c>
    </row>
    <row r="1519" spans="1:7" x14ac:dyDescent="0.35">
      <c r="A1519">
        <v>235</v>
      </c>
      <c r="B1519" t="s">
        <v>489</v>
      </c>
      <c r="C1519">
        <v>0</v>
      </c>
      <c r="D1519">
        <v>0</v>
      </c>
      <c r="E1519">
        <v>0</v>
      </c>
      <c r="F1519">
        <v>0</v>
      </c>
      <c r="G1519" t="s">
        <v>184</v>
      </c>
    </row>
    <row r="1520" spans="1:7" x14ac:dyDescent="0.35">
      <c r="A1520">
        <v>240</v>
      </c>
      <c r="B1520" t="s">
        <v>342</v>
      </c>
      <c r="C1520">
        <v>0</v>
      </c>
      <c r="D1520">
        <v>0</v>
      </c>
      <c r="E1520">
        <v>0</v>
      </c>
      <c r="F1520">
        <v>0</v>
      </c>
      <c r="G1520" t="s">
        <v>184</v>
      </c>
    </row>
    <row r="1521" spans="1:7" x14ac:dyDescent="0.35">
      <c r="A1521">
        <v>250</v>
      </c>
      <c r="B1521" t="s">
        <v>343</v>
      </c>
      <c r="C1521">
        <v>0</v>
      </c>
      <c r="D1521">
        <v>0</v>
      </c>
      <c r="E1521">
        <v>0</v>
      </c>
      <c r="F1521">
        <v>0</v>
      </c>
      <c r="G1521" t="s">
        <v>184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184</v>
      </c>
    </row>
    <row r="1523" spans="1:7" x14ac:dyDescent="0.35">
      <c r="A1523">
        <v>270</v>
      </c>
      <c r="B1523" t="s">
        <v>344</v>
      </c>
      <c r="C1523">
        <v>0</v>
      </c>
      <c r="D1523">
        <v>0</v>
      </c>
      <c r="E1523">
        <v>0</v>
      </c>
      <c r="F1523">
        <v>0</v>
      </c>
      <c r="G1523" t="s">
        <v>184</v>
      </c>
    </row>
    <row r="1524" spans="1:7" x14ac:dyDescent="0.35">
      <c r="A1524">
        <v>300</v>
      </c>
      <c r="B1524" t="s">
        <v>367</v>
      </c>
      <c r="C1524">
        <v>0</v>
      </c>
      <c r="D1524">
        <v>0</v>
      </c>
      <c r="E1524">
        <v>0</v>
      </c>
      <c r="F1524">
        <v>0</v>
      </c>
      <c r="G1524" t="s">
        <v>184</v>
      </c>
    </row>
    <row r="1525" spans="1:7" x14ac:dyDescent="0.35">
      <c r="A1525">
        <v>310</v>
      </c>
      <c r="B1525" t="s">
        <v>491</v>
      </c>
      <c r="C1525">
        <v>0</v>
      </c>
      <c r="D1525">
        <v>0</v>
      </c>
      <c r="E1525">
        <v>0</v>
      </c>
      <c r="F1525">
        <v>0</v>
      </c>
      <c r="G1525" t="s">
        <v>184</v>
      </c>
    </row>
    <row r="1526" spans="1:7" x14ac:dyDescent="0.35">
      <c r="A1526">
        <v>320</v>
      </c>
      <c r="B1526" t="s">
        <v>492</v>
      </c>
      <c r="C1526">
        <v>0</v>
      </c>
      <c r="D1526">
        <v>0</v>
      </c>
      <c r="E1526">
        <v>0</v>
      </c>
      <c r="F1526">
        <v>0</v>
      </c>
      <c r="G1526" t="s">
        <v>184</v>
      </c>
    </row>
    <row r="1527" spans="1:7" x14ac:dyDescent="0.35">
      <c r="A1527">
        <v>325</v>
      </c>
      <c r="B1527" t="s">
        <v>493</v>
      </c>
      <c r="C1527">
        <v>0</v>
      </c>
      <c r="D1527">
        <v>0</v>
      </c>
      <c r="E1527">
        <v>0</v>
      </c>
      <c r="F1527">
        <v>0</v>
      </c>
      <c r="G1527" t="s">
        <v>184</v>
      </c>
    </row>
    <row r="1528" spans="1:7" x14ac:dyDescent="0.35">
      <c r="A1528">
        <v>330</v>
      </c>
      <c r="B1528" t="s">
        <v>570</v>
      </c>
      <c r="C1528">
        <v>0</v>
      </c>
      <c r="D1528">
        <v>473394</v>
      </c>
      <c r="E1528">
        <v>793950.17</v>
      </c>
      <c r="F1528">
        <v>320556.17</v>
      </c>
      <c r="G1528" t="s">
        <v>184</v>
      </c>
    </row>
    <row r="1529" spans="1:7" x14ac:dyDescent="0.35">
      <c r="A1529">
        <v>340</v>
      </c>
      <c r="B1529" t="s">
        <v>495</v>
      </c>
      <c r="C1529">
        <v>0</v>
      </c>
      <c r="D1529">
        <v>0</v>
      </c>
      <c r="E1529">
        <v>0</v>
      </c>
      <c r="F1529">
        <v>0</v>
      </c>
      <c r="G1529" t="s">
        <v>184</v>
      </c>
    </row>
    <row r="1530" spans="1:7" x14ac:dyDescent="0.35">
      <c r="A1530">
        <v>380</v>
      </c>
      <c r="B1530" t="s">
        <v>496</v>
      </c>
      <c r="C1530">
        <v>0</v>
      </c>
      <c r="D1530">
        <v>473394</v>
      </c>
      <c r="E1530">
        <v>793950.17</v>
      </c>
      <c r="F1530">
        <v>320556.17</v>
      </c>
      <c r="G1530" t="s">
        <v>184</v>
      </c>
    </row>
    <row r="1531" spans="1:7" x14ac:dyDescent="0.35">
      <c r="A1531">
        <v>390</v>
      </c>
      <c r="B1531" t="s">
        <v>497</v>
      </c>
      <c r="C1531">
        <v>0</v>
      </c>
      <c r="D1531">
        <v>0</v>
      </c>
      <c r="E1531">
        <v>0</v>
      </c>
      <c r="F1531">
        <v>0</v>
      </c>
      <c r="G1531" t="s">
        <v>184</v>
      </c>
    </row>
    <row r="1532" spans="1:7" x14ac:dyDescent="0.35">
      <c r="A1532">
        <v>400</v>
      </c>
      <c r="B1532" t="s">
        <v>498</v>
      </c>
      <c r="C1532">
        <v>-2006.26</v>
      </c>
      <c r="D1532">
        <v>712910.03</v>
      </c>
      <c r="E1532">
        <v>371546.64</v>
      </c>
      <c r="F1532">
        <v>-341363.39</v>
      </c>
      <c r="G1532" t="s">
        <v>184</v>
      </c>
    </row>
    <row r="1533" spans="1:7" x14ac:dyDescent="0.35">
      <c r="A1533">
        <v>405</v>
      </c>
      <c r="B1533" t="s">
        <v>499</v>
      </c>
      <c r="C1533">
        <v>0</v>
      </c>
      <c r="D1533">
        <v>0</v>
      </c>
      <c r="E1533">
        <v>0</v>
      </c>
      <c r="F1533">
        <v>0</v>
      </c>
      <c r="G1533" t="s">
        <v>184</v>
      </c>
    </row>
    <row r="1534" spans="1:7" x14ac:dyDescent="0.35">
      <c r="A1534">
        <v>410</v>
      </c>
      <c r="B1534" t="s">
        <v>382</v>
      </c>
      <c r="C1534">
        <v>0</v>
      </c>
      <c r="D1534">
        <v>0</v>
      </c>
      <c r="E1534">
        <v>0</v>
      </c>
      <c r="F1534">
        <v>0</v>
      </c>
      <c r="G1534" t="s">
        <v>184</v>
      </c>
    </row>
    <row r="1535" spans="1:7" x14ac:dyDescent="0.35">
      <c r="A1535">
        <v>420</v>
      </c>
      <c r="B1535" t="s">
        <v>500</v>
      </c>
      <c r="C1535">
        <v>0</v>
      </c>
      <c r="D1535">
        <v>-118283.45</v>
      </c>
      <c r="E1535">
        <v>-118283.45</v>
      </c>
      <c r="F1535">
        <v>0</v>
      </c>
      <c r="G1535" t="s">
        <v>184</v>
      </c>
    </row>
    <row r="1536" spans="1:7" x14ac:dyDescent="0.35">
      <c r="A1536">
        <v>425</v>
      </c>
      <c r="B1536" t="s">
        <v>501</v>
      </c>
      <c r="C1536">
        <v>0</v>
      </c>
      <c r="D1536">
        <v>0</v>
      </c>
      <c r="E1536">
        <v>0</v>
      </c>
      <c r="F1536">
        <v>0</v>
      </c>
      <c r="G1536" t="s">
        <v>184</v>
      </c>
    </row>
    <row r="1537" spans="1:7" x14ac:dyDescent="0.35">
      <c r="A1537">
        <v>427</v>
      </c>
      <c r="B1537" t="s">
        <v>502</v>
      </c>
      <c r="C1537">
        <v>0</v>
      </c>
      <c r="D1537">
        <v>0</v>
      </c>
      <c r="E1537">
        <v>0</v>
      </c>
      <c r="F1537">
        <v>0</v>
      </c>
      <c r="G1537" t="s">
        <v>184</v>
      </c>
    </row>
    <row r="1538" spans="1:7" x14ac:dyDescent="0.35">
      <c r="A1538">
        <v>430</v>
      </c>
      <c r="B1538" t="s">
        <v>503</v>
      </c>
      <c r="C1538">
        <v>0</v>
      </c>
      <c r="D1538">
        <v>-373306.17</v>
      </c>
      <c r="E1538">
        <v>-375057.94</v>
      </c>
      <c r="F1538">
        <v>-1751.77</v>
      </c>
      <c r="G1538" t="s">
        <v>184</v>
      </c>
    </row>
    <row r="1539" spans="1:7" x14ac:dyDescent="0.35">
      <c r="A1539">
        <v>440</v>
      </c>
      <c r="B1539" t="s">
        <v>504</v>
      </c>
      <c r="C1539">
        <v>-2006.26</v>
      </c>
      <c r="D1539">
        <v>221320.41</v>
      </c>
      <c r="E1539">
        <v>-121794.75</v>
      </c>
      <c r="F1539">
        <v>-343115.16</v>
      </c>
      <c r="G1539" t="s">
        <v>184</v>
      </c>
    </row>
    <row r="1540" spans="1:7" x14ac:dyDescent="0.35">
      <c r="A1540">
        <v>450</v>
      </c>
      <c r="B1540" t="s">
        <v>505</v>
      </c>
      <c r="C1540">
        <v>0</v>
      </c>
      <c r="D1540">
        <v>0</v>
      </c>
      <c r="E1540">
        <v>0</v>
      </c>
      <c r="F1540">
        <v>0</v>
      </c>
      <c r="G1540" t="s">
        <v>184</v>
      </c>
    </row>
    <row r="1541" spans="1:7" x14ac:dyDescent="0.35">
      <c r="A1541">
        <v>455</v>
      </c>
      <c r="B1541" t="s">
        <v>349</v>
      </c>
      <c r="C1541">
        <v>0</v>
      </c>
      <c r="D1541">
        <v>-847008</v>
      </c>
      <c r="E1541">
        <v>-847008</v>
      </c>
      <c r="F1541">
        <v>0</v>
      </c>
      <c r="G1541" t="s">
        <v>184</v>
      </c>
    </row>
    <row r="1542" spans="1:7" x14ac:dyDescent="0.35">
      <c r="A1542">
        <v>456</v>
      </c>
      <c r="B1542" t="s">
        <v>506</v>
      </c>
      <c r="C1542">
        <v>3786.04</v>
      </c>
      <c r="D1542">
        <v>196904.38</v>
      </c>
      <c r="E1542">
        <v>230978.74</v>
      </c>
      <c r="F1542">
        <v>34074.36</v>
      </c>
      <c r="G1542" t="s">
        <v>184</v>
      </c>
    </row>
    <row r="1543" spans="1:7" x14ac:dyDescent="0.35">
      <c r="A1543">
        <v>460</v>
      </c>
      <c r="B1543" t="s">
        <v>353</v>
      </c>
      <c r="C1543">
        <v>0</v>
      </c>
      <c r="D1543">
        <v>-172975</v>
      </c>
      <c r="E1543">
        <v>-172975</v>
      </c>
      <c r="F1543">
        <v>0</v>
      </c>
      <c r="G1543" t="s">
        <v>184</v>
      </c>
    </row>
    <row r="1544" spans="1:7" x14ac:dyDescent="0.35">
      <c r="A1544">
        <v>470</v>
      </c>
      <c r="B1544" t="s">
        <v>507</v>
      </c>
      <c r="C1544">
        <v>0</v>
      </c>
      <c r="D1544">
        <v>129731.1</v>
      </c>
      <c r="E1544">
        <v>129731.1</v>
      </c>
      <c r="F1544">
        <v>0</v>
      </c>
      <c r="G1544" t="s">
        <v>184</v>
      </c>
    </row>
    <row r="1545" spans="1:7" x14ac:dyDescent="0.35">
      <c r="A1545">
        <v>480</v>
      </c>
      <c r="B1545" t="s">
        <v>352</v>
      </c>
      <c r="C1545">
        <v>0</v>
      </c>
      <c r="D1545">
        <v>0</v>
      </c>
      <c r="E1545">
        <v>0</v>
      </c>
      <c r="F1545">
        <v>0</v>
      </c>
      <c r="G1545" t="s">
        <v>184</v>
      </c>
    </row>
    <row r="1546" spans="1:7" x14ac:dyDescent="0.35">
      <c r="A1546">
        <v>490</v>
      </c>
      <c r="B1546" t="s">
        <v>508</v>
      </c>
      <c r="C1546">
        <v>0</v>
      </c>
      <c r="D1546">
        <v>0</v>
      </c>
      <c r="E1546">
        <v>0</v>
      </c>
      <c r="F1546">
        <v>0</v>
      </c>
      <c r="G1546" t="s">
        <v>184</v>
      </c>
    </row>
    <row r="1547" spans="1:7" x14ac:dyDescent="0.35">
      <c r="A1547">
        <v>500</v>
      </c>
      <c r="B1547" t="s">
        <v>351</v>
      </c>
      <c r="C1547">
        <v>0</v>
      </c>
      <c r="D1547">
        <v>0</v>
      </c>
      <c r="E1547">
        <v>0</v>
      </c>
      <c r="F1547">
        <v>0</v>
      </c>
      <c r="G1547" t="s">
        <v>184</v>
      </c>
    </row>
    <row r="1548" spans="1:7" x14ac:dyDescent="0.35">
      <c r="A1548">
        <v>510</v>
      </c>
      <c r="B1548" t="s">
        <v>509</v>
      </c>
      <c r="C1548">
        <v>0</v>
      </c>
      <c r="D1548">
        <v>0</v>
      </c>
      <c r="E1548">
        <v>0</v>
      </c>
      <c r="F1548">
        <v>0</v>
      </c>
      <c r="G1548" t="s">
        <v>184</v>
      </c>
    </row>
    <row r="1549" spans="1:7" x14ac:dyDescent="0.35">
      <c r="A1549">
        <v>512</v>
      </c>
      <c r="B1549" t="s">
        <v>510</v>
      </c>
      <c r="C1549">
        <v>0</v>
      </c>
      <c r="D1549">
        <v>0</v>
      </c>
      <c r="E1549">
        <v>0</v>
      </c>
      <c r="F1549">
        <v>0</v>
      </c>
      <c r="G1549" t="s">
        <v>184</v>
      </c>
    </row>
    <row r="1550" spans="1:7" x14ac:dyDescent="0.35">
      <c r="A1550">
        <v>514</v>
      </c>
      <c r="B1550" t="s">
        <v>511</v>
      </c>
      <c r="C1550">
        <v>0</v>
      </c>
      <c r="D1550">
        <v>0</v>
      </c>
      <c r="E1550">
        <v>0</v>
      </c>
      <c r="F1550">
        <v>0</v>
      </c>
      <c r="G1550" t="s">
        <v>184</v>
      </c>
    </row>
    <row r="1551" spans="1:7" x14ac:dyDescent="0.35">
      <c r="A1551">
        <v>520</v>
      </c>
      <c r="B1551" t="s">
        <v>512</v>
      </c>
      <c r="C1551">
        <v>0</v>
      </c>
      <c r="D1551">
        <v>0</v>
      </c>
      <c r="E1551">
        <v>0</v>
      </c>
      <c r="F1551">
        <v>0</v>
      </c>
      <c r="G1551" t="s">
        <v>184</v>
      </c>
    </row>
    <row r="1552" spans="1:7" x14ac:dyDescent="0.35">
      <c r="A1552">
        <v>530</v>
      </c>
      <c r="B1552" t="s">
        <v>513</v>
      </c>
      <c r="C1552">
        <v>0</v>
      </c>
      <c r="D1552">
        <v>0</v>
      </c>
      <c r="E1552">
        <v>0</v>
      </c>
      <c r="F1552">
        <v>0</v>
      </c>
      <c r="G1552" t="s">
        <v>184</v>
      </c>
    </row>
    <row r="1553" spans="1:7" x14ac:dyDescent="0.35">
      <c r="A1553">
        <v>540</v>
      </c>
      <c r="B1553" t="s">
        <v>514</v>
      </c>
      <c r="C1553">
        <v>0</v>
      </c>
      <c r="D1553">
        <v>0</v>
      </c>
      <c r="E1553">
        <v>0</v>
      </c>
      <c r="F1553">
        <v>0</v>
      </c>
      <c r="G1553" t="s">
        <v>184</v>
      </c>
    </row>
    <row r="1554" spans="1:7" x14ac:dyDescent="0.35">
      <c r="A1554">
        <v>550</v>
      </c>
      <c r="B1554" t="s">
        <v>515</v>
      </c>
      <c r="C1554">
        <v>0</v>
      </c>
      <c r="D1554">
        <v>0</v>
      </c>
      <c r="E1554">
        <v>0</v>
      </c>
      <c r="F1554">
        <v>0</v>
      </c>
      <c r="G1554" t="s">
        <v>184</v>
      </c>
    </row>
    <row r="1555" spans="1:7" x14ac:dyDescent="0.35">
      <c r="A1555">
        <v>560</v>
      </c>
      <c r="B1555" t="s">
        <v>516</v>
      </c>
      <c r="C1555">
        <v>0</v>
      </c>
      <c r="D1555">
        <v>-3450</v>
      </c>
      <c r="E1555">
        <v>-3450</v>
      </c>
      <c r="F1555">
        <v>0</v>
      </c>
      <c r="G1555" t="s">
        <v>184</v>
      </c>
    </row>
    <row r="1556" spans="1:7" x14ac:dyDescent="0.35">
      <c r="A1556">
        <v>570</v>
      </c>
      <c r="B1556" t="s">
        <v>517</v>
      </c>
      <c r="C1556">
        <v>0</v>
      </c>
      <c r="D1556">
        <v>2676</v>
      </c>
      <c r="E1556">
        <v>2676</v>
      </c>
      <c r="F1556">
        <v>0</v>
      </c>
      <c r="G1556" t="s">
        <v>184</v>
      </c>
    </row>
    <row r="1557" spans="1:7" x14ac:dyDescent="0.35">
      <c r="A1557">
        <v>580</v>
      </c>
      <c r="B1557" t="s">
        <v>518</v>
      </c>
      <c r="C1557">
        <v>0</v>
      </c>
      <c r="D1557">
        <v>0</v>
      </c>
      <c r="E1557">
        <v>0</v>
      </c>
      <c r="F1557">
        <v>0</v>
      </c>
      <c r="G1557" t="s">
        <v>184</v>
      </c>
    </row>
    <row r="1558" spans="1:7" x14ac:dyDescent="0.35">
      <c r="A1558">
        <v>590</v>
      </c>
      <c r="B1558" t="s">
        <v>519</v>
      </c>
      <c r="C1558">
        <v>0</v>
      </c>
      <c r="D1558">
        <v>0</v>
      </c>
      <c r="E1558">
        <v>0</v>
      </c>
      <c r="F1558">
        <v>0</v>
      </c>
      <c r="G1558" t="s">
        <v>184</v>
      </c>
    </row>
    <row r="1559" spans="1:7" x14ac:dyDescent="0.35">
      <c r="A1559">
        <v>600</v>
      </c>
      <c r="B1559" t="s">
        <v>520</v>
      </c>
      <c r="C1559">
        <v>0</v>
      </c>
      <c r="D1559">
        <v>0</v>
      </c>
      <c r="E1559">
        <v>0</v>
      </c>
      <c r="F1559">
        <v>0</v>
      </c>
      <c r="G1559" t="s">
        <v>184</v>
      </c>
    </row>
    <row r="1560" spans="1:7" x14ac:dyDescent="0.35">
      <c r="A1560">
        <v>610</v>
      </c>
      <c r="B1560" t="s">
        <v>521</v>
      </c>
      <c r="C1560">
        <v>0</v>
      </c>
      <c r="D1560">
        <v>0</v>
      </c>
      <c r="E1560">
        <v>0</v>
      </c>
      <c r="F1560">
        <v>0</v>
      </c>
      <c r="G1560" t="s">
        <v>184</v>
      </c>
    </row>
    <row r="1561" spans="1:7" x14ac:dyDescent="0.35">
      <c r="A1561">
        <v>615</v>
      </c>
      <c r="B1561" t="s">
        <v>550</v>
      </c>
      <c r="C1561">
        <v>0</v>
      </c>
      <c r="D1561">
        <v>0</v>
      </c>
      <c r="E1561">
        <v>0</v>
      </c>
      <c r="F1561">
        <v>0</v>
      </c>
      <c r="G1561" t="s">
        <v>184</v>
      </c>
    </row>
    <row r="1562" spans="1:7" x14ac:dyDescent="0.35">
      <c r="A1562">
        <v>620</v>
      </c>
      <c r="B1562" t="s">
        <v>522</v>
      </c>
      <c r="C1562">
        <v>0</v>
      </c>
      <c r="D1562">
        <v>0</v>
      </c>
      <c r="E1562">
        <v>0</v>
      </c>
      <c r="F1562">
        <v>0</v>
      </c>
      <c r="G1562" t="s">
        <v>184</v>
      </c>
    </row>
    <row r="1563" spans="1:7" x14ac:dyDescent="0.35">
      <c r="A1563">
        <v>630</v>
      </c>
      <c r="B1563" t="s">
        <v>523</v>
      </c>
      <c r="C1563">
        <v>0</v>
      </c>
      <c r="D1563">
        <v>0</v>
      </c>
      <c r="E1563">
        <v>0</v>
      </c>
      <c r="F1563">
        <v>0</v>
      </c>
      <c r="G1563" t="s">
        <v>184</v>
      </c>
    </row>
    <row r="1564" spans="1:7" x14ac:dyDescent="0.35">
      <c r="A1564">
        <v>635</v>
      </c>
      <c r="B1564" t="s">
        <v>551</v>
      </c>
      <c r="C1564">
        <v>0</v>
      </c>
      <c r="D1564">
        <v>0</v>
      </c>
      <c r="E1564">
        <v>0</v>
      </c>
      <c r="F1564">
        <v>0</v>
      </c>
      <c r="G1564" t="s">
        <v>184</v>
      </c>
    </row>
    <row r="1565" spans="1:7" x14ac:dyDescent="0.35">
      <c r="A1565">
        <v>640</v>
      </c>
      <c r="B1565" t="s">
        <v>524</v>
      </c>
      <c r="C1565">
        <v>3786.04</v>
      </c>
      <c r="D1565">
        <v>-694121.52</v>
      </c>
      <c r="E1565">
        <v>-660047.16</v>
      </c>
      <c r="F1565">
        <v>34074.36</v>
      </c>
      <c r="G1565" t="s">
        <v>184</v>
      </c>
    </row>
    <row r="1566" spans="1:7" x14ac:dyDescent="0.35">
      <c r="A1566">
        <v>650</v>
      </c>
      <c r="B1566" t="s">
        <v>525</v>
      </c>
      <c r="C1566">
        <v>752.07</v>
      </c>
      <c r="D1566">
        <v>592.89</v>
      </c>
      <c r="E1566">
        <v>1750</v>
      </c>
      <c r="F1566">
        <v>1157.1099999999999</v>
      </c>
      <c r="G1566" t="s">
        <v>184</v>
      </c>
    </row>
    <row r="1567" spans="1:7" x14ac:dyDescent="0.35">
      <c r="A1567" t="s">
        <v>278</v>
      </c>
      <c r="B1567" t="s">
        <v>172</v>
      </c>
      <c r="C1567" t="s">
        <v>468</v>
      </c>
      <c r="D1567" t="s">
        <v>469</v>
      </c>
      <c r="E1567" t="s">
        <v>470</v>
      </c>
      <c r="F1567" t="s">
        <v>471</v>
      </c>
      <c r="G1567" t="s">
        <v>183</v>
      </c>
    </row>
    <row r="1568" spans="1:7" x14ac:dyDescent="0.35">
      <c r="A1568">
        <v>10</v>
      </c>
      <c r="B1568" t="s">
        <v>472</v>
      </c>
      <c r="C1568">
        <v>0</v>
      </c>
      <c r="D1568">
        <v>0</v>
      </c>
      <c r="E1568">
        <v>0</v>
      </c>
      <c r="F1568">
        <v>0</v>
      </c>
      <c r="G1568" t="s">
        <v>184</v>
      </c>
    </row>
    <row r="1569" spans="1:7" x14ac:dyDescent="0.35">
      <c r="A1569">
        <v>20</v>
      </c>
      <c r="B1569" t="s">
        <v>147</v>
      </c>
      <c r="C1569">
        <v>335277.92</v>
      </c>
      <c r="D1569">
        <v>0</v>
      </c>
      <c r="E1569">
        <v>3092688.86</v>
      </c>
      <c r="F1569">
        <v>3092688.86</v>
      </c>
      <c r="G1569" t="s">
        <v>184</v>
      </c>
    </row>
    <row r="1570" spans="1:7" x14ac:dyDescent="0.35">
      <c r="A1570">
        <v>30</v>
      </c>
      <c r="B1570" t="s">
        <v>473</v>
      </c>
      <c r="C1570">
        <v>101815.39</v>
      </c>
      <c r="D1570">
        <v>0</v>
      </c>
      <c r="E1570">
        <v>1005826.32</v>
      </c>
      <c r="F1570">
        <v>1005826.32</v>
      </c>
      <c r="G1570" t="s">
        <v>184</v>
      </c>
    </row>
    <row r="1571" spans="1:7" x14ac:dyDescent="0.35">
      <c r="A1571">
        <v>35</v>
      </c>
      <c r="B1571" t="s">
        <v>474</v>
      </c>
      <c r="C1571">
        <v>233462.53</v>
      </c>
      <c r="D1571">
        <v>0</v>
      </c>
      <c r="E1571">
        <v>2086862.54</v>
      </c>
      <c r="F1571">
        <v>2086862.54</v>
      </c>
      <c r="G1571" t="s">
        <v>184</v>
      </c>
    </row>
    <row r="1572" spans="1:7" x14ac:dyDescent="0.35">
      <c r="A1572">
        <v>40</v>
      </c>
      <c r="B1572" t="s">
        <v>475</v>
      </c>
      <c r="C1572">
        <v>162762.20000000001</v>
      </c>
      <c r="D1572">
        <v>0</v>
      </c>
      <c r="E1572">
        <v>1451419.23</v>
      </c>
      <c r="F1572">
        <v>1451419.23</v>
      </c>
      <c r="G1572" t="s">
        <v>184</v>
      </c>
    </row>
    <row r="1573" spans="1:7" x14ac:dyDescent="0.35">
      <c r="A1573">
        <v>50</v>
      </c>
      <c r="B1573" t="s">
        <v>476</v>
      </c>
      <c r="C1573">
        <v>0</v>
      </c>
      <c r="D1573">
        <v>0</v>
      </c>
      <c r="E1573">
        <v>0</v>
      </c>
      <c r="F1573">
        <v>0</v>
      </c>
      <c r="G1573" t="s">
        <v>184</v>
      </c>
    </row>
    <row r="1574" spans="1:7" x14ac:dyDescent="0.35">
      <c r="A1574">
        <v>60</v>
      </c>
      <c r="B1574" t="s">
        <v>477</v>
      </c>
      <c r="C1574">
        <v>70700.33</v>
      </c>
      <c r="D1574">
        <v>0</v>
      </c>
      <c r="E1574">
        <v>635443.31000000006</v>
      </c>
      <c r="F1574">
        <v>635443.31000000006</v>
      </c>
      <c r="G1574" t="s">
        <v>184</v>
      </c>
    </row>
    <row r="1575" spans="1:7" x14ac:dyDescent="0.35">
      <c r="A1575">
        <v>70</v>
      </c>
      <c r="B1575" t="s">
        <v>152</v>
      </c>
      <c r="C1575">
        <v>75731.289999999994</v>
      </c>
      <c r="D1575">
        <v>0</v>
      </c>
      <c r="E1575">
        <v>672415.93</v>
      </c>
      <c r="F1575">
        <v>672415.93</v>
      </c>
      <c r="G1575" t="s">
        <v>184</v>
      </c>
    </row>
    <row r="1576" spans="1:7" x14ac:dyDescent="0.35">
      <c r="A1576">
        <v>80</v>
      </c>
      <c r="B1576" t="s">
        <v>153</v>
      </c>
      <c r="C1576">
        <v>7273.68</v>
      </c>
      <c r="D1576">
        <v>0</v>
      </c>
      <c r="E1576">
        <v>115755.08</v>
      </c>
      <c r="F1576">
        <v>115755.08</v>
      </c>
      <c r="G1576" t="s">
        <v>184</v>
      </c>
    </row>
    <row r="1577" spans="1:7" x14ac:dyDescent="0.35">
      <c r="A1577">
        <v>90</v>
      </c>
      <c r="B1577" t="s">
        <v>478</v>
      </c>
      <c r="C1577">
        <v>9241.76</v>
      </c>
      <c r="D1577">
        <v>0</v>
      </c>
      <c r="E1577">
        <v>83175.839999999997</v>
      </c>
      <c r="F1577">
        <v>83175.839999999997</v>
      </c>
      <c r="G1577" t="s">
        <v>184</v>
      </c>
    </row>
    <row r="1578" spans="1:7" x14ac:dyDescent="0.35">
      <c r="A1578">
        <v>100</v>
      </c>
      <c r="B1578" t="s">
        <v>479</v>
      </c>
      <c r="C1578">
        <v>-21546.400000000001</v>
      </c>
      <c r="D1578">
        <v>0</v>
      </c>
      <c r="E1578">
        <v>-235903.54</v>
      </c>
      <c r="F1578">
        <v>-235903.54</v>
      </c>
      <c r="G1578" t="s">
        <v>184</v>
      </c>
    </row>
    <row r="1579" spans="1:7" x14ac:dyDescent="0.35">
      <c r="A1579">
        <v>110</v>
      </c>
      <c r="B1579" t="s">
        <v>480</v>
      </c>
      <c r="C1579">
        <v>0</v>
      </c>
      <c r="D1579">
        <v>0</v>
      </c>
      <c r="E1579">
        <v>0</v>
      </c>
      <c r="F1579">
        <v>0</v>
      </c>
      <c r="G1579" t="s">
        <v>184</v>
      </c>
    </row>
    <row r="1580" spans="1:7" x14ac:dyDescent="0.35">
      <c r="A1580">
        <v>120</v>
      </c>
      <c r="B1580" t="s">
        <v>481</v>
      </c>
      <c r="C1580">
        <v>-1851.14</v>
      </c>
      <c r="D1580">
        <v>0</v>
      </c>
      <c r="E1580">
        <v>-20036.080000000002</v>
      </c>
      <c r="F1580">
        <v>-20036.080000000002</v>
      </c>
      <c r="G1580" t="s">
        <v>184</v>
      </c>
    </row>
    <row r="1581" spans="1:7" x14ac:dyDescent="0.35">
      <c r="A1581">
        <v>130</v>
      </c>
      <c r="B1581" t="s">
        <v>482</v>
      </c>
      <c r="C1581">
        <v>0</v>
      </c>
      <c r="D1581">
        <v>0</v>
      </c>
      <c r="E1581">
        <v>0</v>
      </c>
      <c r="F1581">
        <v>0</v>
      </c>
      <c r="G1581" t="s">
        <v>184</v>
      </c>
    </row>
    <row r="1582" spans="1:7" x14ac:dyDescent="0.35">
      <c r="A1582">
        <v>140</v>
      </c>
      <c r="B1582" t="s">
        <v>483</v>
      </c>
      <c r="C1582">
        <v>0</v>
      </c>
      <c r="D1582">
        <v>0</v>
      </c>
      <c r="E1582">
        <v>0</v>
      </c>
      <c r="F1582">
        <v>0</v>
      </c>
      <c r="G1582" t="s">
        <v>184</v>
      </c>
    </row>
    <row r="1583" spans="1:7" x14ac:dyDescent="0.35">
      <c r="A1583">
        <v>145</v>
      </c>
      <c r="B1583" t="s">
        <v>162</v>
      </c>
      <c r="C1583">
        <v>-1851.14</v>
      </c>
      <c r="D1583">
        <v>0</v>
      </c>
      <c r="E1583">
        <v>-20036.080000000002</v>
      </c>
      <c r="F1583">
        <v>-20036.080000000002</v>
      </c>
      <c r="G1583" t="s">
        <v>184</v>
      </c>
    </row>
    <row r="1584" spans="1:7" x14ac:dyDescent="0.35">
      <c r="A1584">
        <v>150</v>
      </c>
      <c r="B1584" t="s">
        <v>484</v>
      </c>
      <c r="C1584">
        <v>-19695.259999999998</v>
      </c>
      <c r="D1584">
        <v>0</v>
      </c>
      <c r="E1584">
        <v>-215867.46</v>
      </c>
      <c r="F1584">
        <v>-215867.46</v>
      </c>
      <c r="G1584" t="s">
        <v>184</v>
      </c>
    </row>
    <row r="1585" spans="1:7" x14ac:dyDescent="0.35">
      <c r="A1585">
        <v>160</v>
      </c>
      <c r="B1585" t="s">
        <v>485</v>
      </c>
      <c r="C1585">
        <v>0</v>
      </c>
      <c r="D1585">
        <v>0</v>
      </c>
      <c r="E1585">
        <v>0</v>
      </c>
      <c r="F1585">
        <v>0</v>
      </c>
      <c r="G1585" t="s">
        <v>184</v>
      </c>
    </row>
    <row r="1586" spans="1:7" x14ac:dyDescent="0.35">
      <c r="A1586">
        <v>170</v>
      </c>
      <c r="B1586" t="s">
        <v>166</v>
      </c>
      <c r="C1586">
        <v>-19695.259999999998</v>
      </c>
      <c r="D1586">
        <v>0</v>
      </c>
      <c r="E1586">
        <v>-215867.46</v>
      </c>
      <c r="F1586">
        <v>-215867.46</v>
      </c>
      <c r="G1586" t="s">
        <v>184</v>
      </c>
    </row>
    <row r="1587" spans="1:7" x14ac:dyDescent="0.35">
      <c r="A1587">
        <v>190</v>
      </c>
      <c r="B1587" t="s">
        <v>486</v>
      </c>
      <c r="C1587">
        <v>0</v>
      </c>
      <c r="D1587">
        <v>0</v>
      </c>
      <c r="E1587">
        <v>0</v>
      </c>
      <c r="F1587">
        <v>0</v>
      </c>
      <c r="G1587" t="s">
        <v>184</v>
      </c>
    </row>
    <row r="1588" spans="1:7" x14ac:dyDescent="0.35">
      <c r="A1588">
        <v>200</v>
      </c>
      <c r="B1588" t="s">
        <v>166</v>
      </c>
      <c r="C1588">
        <v>-19695.259999999998</v>
      </c>
      <c r="D1588">
        <v>0</v>
      </c>
      <c r="E1588">
        <v>-215867.46</v>
      </c>
      <c r="F1588">
        <v>-215867.46</v>
      </c>
      <c r="G1588" t="s">
        <v>184</v>
      </c>
    </row>
    <row r="1589" spans="1:7" x14ac:dyDescent="0.35">
      <c r="A1589">
        <v>210</v>
      </c>
      <c r="B1589" t="s">
        <v>487</v>
      </c>
      <c r="C1589">
        <v>-19695.259999999998</v>
      </c>
      <c r="D1589">
        <v>0</v>
      </c>
      <c r="E1589">
        <v>-215867.46</v>
      </c>
      <c r="F1589">
        <v>-215867.46</v>
      </c>
      <c r="G1589" t="s">
        <v>184</v>
      </c>
    </row>
    <row r="1590" spans="1:7" x14ac:dyDescent="0.35">
      <c r="A1590">
        <v>220</v>
      </c>
      <c r="B1590" t="s">
        <v>488</v>
      </c>
      <c r="C1590">
        <v>0</v>
      </c>
      <c r="D1590">
        <v>0</v>
      </c>
      <c r="E1590">
        <v>0</v>
      </c>
      <c r="F1590">
        <v>0</v>
      </c>
      <c r="G1590" t="s">
        <v>184</v>
      </c>
    </row>
    <row r="1591" spans="1:7" x14ac:dyDescent="0.35">
      <c r="A1591">
        <v>230</v>
      </c>
      <c r="B1591" t="s">
        <v>341</v>
      </c>
      <c r="C1591">
        <v>-5058.08</v>
      </c>
      <c r="D1591">
        <v>-115789.67</v>
      </c>
      <c r="E1591">
        <v>-132016.82</v>
      </c>
      <c r="F1591">
        <v>-16227.15</v>
      </c>
      <c r="G1591" t="s">
        <v>184</v>
      </c>
    </row>
    <row r="1592" spans="1:7" x14ac:dyDescent="0.35">
      <c r="A1592">
        <v>235</v>
      </c>
      <c r="B1592" t="s">
        <v>489</v>
      </c>
      <c r="C1592">
        <v>0</v>
      </c>
      <c r="D1592">
        <v>-915</v>
      </c>
      <c r="E1592">
        <v>-915</v>
      </c>
      <c r="F1592">
        <v>0</v>
      </c>
      <c r="G1592" t="s">
        <v>184</v>
      </c>
    </row>
    <row r="1593" spans="1:7" x14ac:dyDescent="0.35">
      <c r="A1593">
        <v>240</v>
      </c>
      <c r="B1593" t="s">
        <v>342</v>
      </c>
      <c r="C1593">
        <v>0</v>
      </c>
      <c r="D1593">
        <v>0</v>
      </c>
      <c r="E1593">
        <v>-5713.06</v>
      </c>
      <c r="F1593">
        <v>-5713.06</v>
      </c>
      <c r="G1593" t="s">
        <v>184</v>
      </c>
    </row>
    <row r="1594" spans="1:7" x14ac:dyDescent="0.35">
      <c r="A1594">
        <v>250</v>
      </c>
      <c r="B1594" t="s">
        <v>343</v>
      </c>
      <c r="C1594">
        <v>-1753.04</v>
      </c>
      <c r="D1594">
        <v>-25645.68</v>
      </c>
      <c r="E1594">
        <v>-25857.59</v>
      </c>
      <c r="F1594">
        <v>-211.91</v>
      </c>
      <c r="G1594" t="s">
        <v>184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184</v>
      </c>
    </row>
    <row r="1596" spans="1:7" x14ac:dyDescent="0.35">
      <c r="A1596">
        <v>270</v>
      </c>
      <c r="B1596" t="s">
        <v>344</v>
      </c>
      <c r="C1596">
        <v>171</v>
      </c>
      <c r="D1596">
        <v>-21876.38</v>
      </c>
      <c r="E1596">
        <v>-34415.07</v>
      </c>
      <c r="F1596">
        <v>-12538.69</v>
      </c>
      <c r="G1596" t="s">
        <v>184</v>
      </c>
    </row>
    <row r="1597" spans="1:7" x14ac:dyDescent="0.35">
      <c r="A1597">
        <v>300</v>
      </c>
      <c r="B1597" t="s">
        <v>367</v>
      </c>
      <c r="C1597">
        <v>-1411.43</v>
      </c>
      <c r="D1597">
        <v>19516.02</v>
      </c>
      <c r="E1597">
        <v>11753.7</v>
      </c>
      <c r="F1597">
        <v>-7762.32</v>
      </c>
      <c r="G1597" t="s">
        <v>184</v>
      </c>
    </row>
    <row r="1598" spans="1:7" x14ac:dyDescent="0.35">
      <c r="A1598">
        <v>310</v>
      </c>
      <c r="B1598" t="s">
        <v>491</v>
      </c>
      <c r="C1598">
        <v>0</v>
      </c>
      <c r="D1598">
        <v>0</v>
      </c>
      <c r="E1598">
        <v>0</v>
      </c>
      <c r="F1598">
        <v>0</v>
      </c>
      <c r="G1598" t="s">
        <v>184</v>
      </c>
    </row>
    <row r="1599" spans="1:7" x14ac:dyDescent="0.35">
      <c r="A1599">
        <v>320</v>
      </c>
      <c r="B1599" t="s">
        <v>492</v>
      </c>
      <c r="C1599">
        <v>3.43</v>
      </c>
      <c r="D1599">
        <v>-244.93</v>
      </c>
      <c r="E1599">
        <v>230.33</v>
      </c>
      <c r="F1599">
        <v>475.26</v>
      </c>
      <c r="G1599" t="s">
        <v>184</v>
      </c>
    </row>
    <row r="1600" spans="1:7" x14ac:dyDescent="0.35">
      <c r="A1600">
        <v>325</v>
      </c>
      <c r="B1600" t="s">
        <v>493</v>
      </c>
      <c r="C1600">
        <v>5162.2299999999996</v>
      </c>
      <c r="D1600">
        <v>42685.41</v>
      </c>
      <c r="E1600">
        <v>48274.92</v>
      </c>
      <c r="F1600">
        <v>5589.51</v>
      </c>
      <c r="G1600" t="s">
        <v>184</v>
      </c>
    </row>
    <row r="1601" spans="1:7" x14ac:dyDescent="0.35">
      <c r="A1601">
        <v>330</v>
      </c>
      <c r="B1601" t="s">
        <v>570</v>
      </c>
      <c r="C1601">
        <v>-8000</v>
      </c>
      <c r="D1601">
        <v>1540608.62</v>
      </c>
      <c r="E1601">
        <v>1733277.28</v>
      </c>
      <c r="F1601">
        <v>192668.66</v>
      </c>
      <c r="G1601" t="s">
        <v>184</v>
      </c>
    </row>
    <row r="1602" spans="1:7" x14ac:dyDescent="0.35">
      <c r="A1602">
        <v>340</v>
      </c>
      <c r="B1602" t="s">
        <v>495</v>
      </c>
      <c r="C1602">
        <v>-2379.0700000000002</v>
      </c>
      <c r="D1602">
        <v>12547.75</v>
      </c>
      <c r="E1602">
        <v>-9584.35</v>
      </c>
      <c r="F1602">
        <v>-22132.1</v>
      </c>
      <c r="G1602" t="s">
        <v>184</v>
      </c>
    </row>
    <row r="1603" spans="1:7" x14ac:dyDescent="0.35">
      <c r="A1603">
        <v>380</v>
      </c>
      <c r="B1603" t="s">
        <v>496</v>
      </c>
      <c r="C1603">
        <v>-13264.96</v>
      </c>
      <c r="D1603">
        <v>1450886.14</v>
      </c>
      <c r="E1603">
        <v>1585034.34</v>
      </c>
      <c r="F1603">
        <v>134148.20000000001</v>
      </c>
      <c r="G1603" t="s">
        <v>184</v>
      </c>
    </row>
    <row r="1604" spans="1:7" x14ac:dyDescent="0.35">
      <c r="A1604">
        <v>390</v>
      </c>
      <c r="B1604" t="s">
        <v>497</v>
      </c>
      <c r="C1604">
        <v>0</v>
      </c>
      <c r="D1604">
        <v>0</v>
      </c>
      <c r="E1604">
        <v>0</v>
      </c>
      <c r="F1604">
        <v>0</v>
      </c>
      <c r="G1604" t="s">
        <v>184</v>
      </c>
    </row>
    <row r="1605" spans="1:7" x14ac:dyDescent="0.35">
      <c r="A1605">
        <v>400</v>
      </c>
      <c r="B1605" t="s">
        <v>498</v>
      </c>
      <c r="C1605">
        <v>0</v>
      </c>
      <c r="D1605">
        <v>0</v>
      </c>
      <c r="E1605">
        <v>0</v>
      </c>
      <c r="F1605">
        <v>0</v>
      </c>
      <c r="G1605" t="s">
        <v>184</v>
      </c>
    </row>
    <row r="1606" spans="1:7" x14ac:dyDescent="0.35">
      <c r="A1606">
        <v>405</v>
      </c>
      <c r="B1606" t="s">
        <v>499</v>
      </c>
      <c r="C1606">
        <v>0</v>
      </c>
      <c r="D1606">
        <v>0</v>
      </c>
      <c r="E1606">
        <v>0</v>
      </c>
      <c r="F1606">
        <v>0</v>
      </c>
      <c r="G1606" t="s">
        <v>184</v>
      </c>
    </row>
    <row r="1607" spans="1:7" x14ac:dyDescent="0.35">
      <c r="A1607">
        <v>410</v>
      </c>
      <c r="B1607" t="s">
        <v>382</v>
      </c>
      <c r="C1607">
        <v>0</v>
      </c>
      <c r="D1607">
        <v>1000</v>
      </c>
      <c r="E1607">
        <v>1000</v>
      </c>
      <c r="F1607">
        <v>0</v>
      </c>
      <c r="G1607" t="s">
        <v>184</v>
      </c>
    </row>
    <row r="1608" spans="1:7" x14ac:dyDescent="0.35">
      <c r="A1608">
        <v>420</v>
      </c>
      <c r="B1608" t="s">
        <v>500</v>
      </c>
      <c r="C1608">
        <v>0</v>
      </c>
      <c r="D1608">
        <v>399500</v>
      </c>
      <c r="E1608">
        <v>399500</v>
      </c>
      <c r="F1608">
        <v>0</v>
      </c>
      <c r="G1608" t="s">
        <v>184</v>
      </c>
    </row>
    <row r="1609" spans="1:7" x14ac:dyDescent="0.35">
      <c r="A1609">
        <v>425</v>
      </c>
      <c r="B1609" t="s">
        <v>501</v>
      </c>
      <c r="C1609">
        <v>0</v>
      </c>
      <c r="D1609">
        <v>0</v>
      </c>
      <c r="E1609">
        <v>0</v>
      </c>
      <c r="F1609">
        <v>0</v>
      </c>
      <c r="G1609" t="s">
        <v>184</v>
      </c>
    </row>
    <row r="1610" spans="1:7" x14ac:dyDescent="0.35">
      <c r="A1610">
        <v>427</v>
      </c>
      <c r="B1610" t="s">
        <v>502</v>
      </c>
      <c r="C1610">
        <v>0</v>
      </c>
      <c r="D1610">
        <v>0</v>
      </c>
      <c r="E1610">
        <v>0</v>
      </c>
      <c r="F1610">
        <v>0</v>
      </c>
      <c r="G1610" t="s">
        <v>184</v>
      </c>
    </row>
    <row r="1611" spans="1:7" x14ac:dyDescent="0.35">
      <c r="A1611">
        <v>430</v>
      </c>
      <c r="B1611" t="s">
        <v>503</v>
      </c>
      <c r="C1611">
        <v>0</v>
      </c>
      <c r="D1611">
        <v>-1610700.93</v>
      </c>
      <c r="E1611">
        <v>-1610700.93</v>
      </c>
      <c r="F1611">
        <v>0</v>
      </c>
      <c r="G1611" t="s">
        <v>184</v>
      </c>
    </row>
    <row r="1612" spans="1:7" x14ac:dyDescent="0.35">
      <c r="A1612">
        <v>440</v>
      </c>
      <c r="B1612" t="s">
        <v>504</v>
      </c>
      <c r="C1612">
        <v>0</v>
      </c>
      <c r="D1612">
        <v>-1210200.93</v>
      </c>
      <c r="E1612">
        <v>-1210200.93</v>
      </c>
      <c r="F1612">
        <v>0</v>
      </c>
      <c r="G1612" t="s">
        <v>184</v>
      </c>
    </row>
    <row r="1613" spans="1:7" x14ac:dyDescent="0.35">
      <c r="A1613">
        <v>450</v>
      </c>
      <c r="B1613" t="s">
        <v>505</v>
      </c>
      <c r="C1613">
        <v>0</v>
      </c>
      <c r="D1613">
        <v>0</v>
      </c>
      <c r="E1613">
        <v>0</v>
      </c>
      <c r="F1613">
        <v>0</v>
      </c>
      <c r="G1613" t="s">
        <v>184</v>
      </c>
    </row>
    <row r="1614" spans="1:7" x14ac:dyDescent="0.35">
      <c r="A1614">
        <v>455</v>
      </c>
      <c r="B1614" t="s">
        <v>349</v>
      </c>
      <c r="C1614">
        <v>0</v>
      </c>
      <c r="D1614">
        <v>0</v>
      </c>
      <c r="E1614">
        <v>0</v>
      </c>
      <c r="F1614">
        <v>0</v>
      </c>
      <c r="G1614" t="s">
        <v>184</v>
      </c>
    </row>
    <row r="1615" spans="1:7" x14ac:dyDescent="0.35">
      <c r="A1615">
        <v>456</v>
      </c>
      <c r="B1615" t="s">
        <v>506</v>
      </c>
      <c r="C1615">
        <v>0</v>
      </c>
      <c r="D1615">
        <v>0</v>
      </c>
      <c r="E1615">
        <v>0</v>
      </c>
      <c r="F1615">
        <v>0</v>
      </c>
      <c r="G1615" t="s">
        <v>184</v>
      </c>
    </row>
    <row r="1616" spans="1:7" x14ac:dyDescent="0.35">
      <c r="A1616">
        <v>460</v>
      </c>
      <c r="B1616" t="s">
        <v>353</v>
      </c>
      <c r="C1616">
        <v>0</v>
      </c>
      <c r="D1616">
        <v>-487343.91</v>
      </c>
      <c r="E1616">
        <v>-495543.91</v>
      </c>
      <c r="F1616">
        <v>-8200</v>
      </c>
      <c r="G1616" t="s">
        <v>184</v>
      </c>
    </row>
    <row r="1617" spans="1:7" x14ac:dyDescent="0.35">
      <c r="A1617">
        <v>470</v>
      </c>
      <c r="B1617" t="s">
        <v>507</v>
      </c>
      <c r="C1617">
        <v>7634.62</v>
      </c>
      <c r="D1617">
        <v>227563.45</v>
      </c>
      <c r="E1617">
        <v>296275.03000000003</v>
      </c>
      <c r="F1617">
        <v>68711.58</v>
      </c>
      <c r="G1617" t="s">
        <v>184</v>
      </c>
    </row>
    <row r="1618" spans="1:7" x14ac:dyDescent="0.35">
      <c r="A1618">
        <v>480</v>
      </c>
      <c r="B1618" t="s">
        <v>352</v>
      </c>
      <c r="C1618">
        <v>0</v>
      </c>
      <c r="D1618">
        <v>0</v>
      </c>
      <c r="E1618">
        <v>-990</v>
      </c>
      <c r="F1618">
        <v>-990</v>
      </c>
      <c r="G1618" t="s">
        <v>184</v>
      </c>
    </row>
    <row r="1619" spans="1:7" x14ac:dyDescent="0.35">
      <c r="A1619">
        <v>490</v>
      </c>
      <c r="B1619" t="s">
        <v>508</v>
      </c>
      <c r="C1619">
        <v>0</v>
      </c>
      <c r="D1619">
        <v>0</v>
      </c>
      <c r="E1619">
        <v>0</v>
      </c>
      <c r="F1619">
        <v>0</v>
      </c>
      <c r="G1619" t="s">
        <v>184</v>
      </c>
    </row>
    <row r="1620" spans="1:7" x14ac:dyDescent="0.35">
      <c r="A1620">
        <v>500</v>
      </c>
      <c r="B1620" t="s">
        <v>351</v>
      </c>
      <c r="C1620">
        <v>0</v>
      </c>
      <c r="D1620">
        <v>0</v>
      </c>
      <c r="E1620">
        <v>0</v>
      </c>
      <c r="F1620">
        <v>0</v>
      </c>
      <c r="G1620" t="s">
        <v>184</v>
      </c>
    </row>
    <row r="1621" spans="1:7" x14ac:dyDescent="0.35">
      <c r="A1621">
        <v>510</v>
      </c>
      <c r="B1621" t="s">
        <v>509</v>
      </c>
      <c r="C1621">
        <v>0</v>
      </c>
      <c r="D1621">
        <v>0</v>
      </c>
      <c r="E1621">
        <v>0</v>
      </c>
      <c r="F1621">
        <v>0</v>
      </c>
      <c r="G1621" t="s">
        <v>184</v>
      </c>
    </row>
    <row r="1622" spans="1:7" x14ac:dyDescent="0.35">
      <c r="A1622">
        <v>512</v>
      </c>
      <c r="B1622" t="s">
        <v>510</v>
      </c>
      <c r="C1622">
        <v>0</v>
      </c>
      <c r="D1622">
        <v>0</v>
      </c>
      <c r="E1622">
        <v>0</v>
      </c>
      <c r="F1622">
        <v>0</v>
      </c>
      <c r="G1622" t="s">
        <v>184</v>
      </c>
    </row>
    <row r="1623" spans="1:7" x14ac:dyDescent="0.35">
      <c r="A1623">
        <v>514</v>
      </c>
      <c r="B1623" t="s">
        <v>511</v>
      </c>
      <c r="C1623">
        <v>0</v>
      </c>
      <c r="D1623">
        <v>0</v>
      </c>
      <c r="E1623">
        <v>0</v>
      </c>
      <c r="F1623">
        <v>0</v>
      </c>
      <c r="G1623" t="s">
        <v>184</v>
      </c>
    </row>
    <row r="1624" spans="1:7" x14ac:dyDescent="0.35">
      <c r="A1624">
        <v>520</v>
      </c>
      <c r="B1624" t="s">
        <v>512</v>
      </c>
      <c r="C1624">
        <v>0</v>
      </c>
      <c r="D1624">
        <v>0</v>
      </c>
      <c r="E1624">
        <v>0</v>
      </c>
      <c r="F1624">
        <v>0</v>
      </c>
      <c r="G1624" t="s">
        <v>184</v>
      </c>
    </row>
    <row r="1625" spans="1:7" x14ac:dyDescent="0.35">
      <c r="A1625">
        <v>530</v>
      </c>
      <c r="B1625" t="s">
        <v>513</v>
      </c>
      <c r="C1625">
        <v>0</v>
      </c>
      <c r="D1625">
        <v>0</v>
      </c>
      <c r="E1625">
        <v>0</v>
      </c>
      <c r="F1625">
        <v>0</v>
      </c>
      <c r="G1625" t="s">
        <v>184</v>
      </c>
    </row>
    <row r="1626" spans="1:7" x14ac:dyDescent="0.35">
      <c r="A1626">
        <v>540</v>
      </c>
      <c r="B1626" t="s">
        <v>514</v>
      </c>
      <c r="C1626">
        <v>0</v>
      </c>
      <c r="D1626">
        <v>-34400</v>
      </c>
      <c r="E1626">
        <v>-34400</v>
      </c>
      <c r="F1626">
        <v>0</v>
      </c>
      <c r="G1626" t="s">
        <v>184</v>
      </c>
    </row>
    <row r="1627" spans="1:7" x14ac:dyDescent="0.35">
      <c r="A1627">
        <v>550</v>
      </c>
      <c r="B1627" t="s">
        <v>515</v>
      </c>
      <c r="C1627">
        <v>0</v>
      </c>
      <c r="D1627">
        <v>0</v>
      </c>
      <c r="E1627">
        <v>0</v>
      </c>
      <c r="F1627">
        <v>0</v>
      </c>
      <c r="G1627" t="s">
        <v>184</v>
      </c>
    </row>
    <row r="1628" spans="1:7" x14ac:dyDescent="0.35">
      <c r="A1628">
        <v>560</v>
      </c>
      <c r="B1628" t="s">
        <v>516</v>
      </c>
      <c r="C1628">
        <v>-500</v>
      </c>
      <c r="D1628">
        <v>-101810</v>
      </c>
      <c r="E1628">
        <v>-103997.01</v>
      </c>
      <c r="F1628">
        <v>-2187.0100000000002</v>
      </c>
      <c r="G1628" t="s">
        <v>184</v>
      </c>
    </row>
    <row r="1629" spans="1:7" x14ac:dyDescent="0.35">
      <c r="A1629">
        <v>570</v>
      </c>
      <c r="B1629" t="s">
        <v>517</v>
      </c>
      <c r="C1629">
        <v>0</v>
      </c>
      <c r="D1629">
        <v>0</v>
      </c>
      <c r="E1629">
        <v>0</v>
      </c>
      <c r="F1629">
        <v>0</v>
      </c>
      <c r="G1629" t="s">
        <v>184</v>
      </c>
    </row>
    <row r="1630" spans="1:7" x14ac:dyDescent="0.35">
      <c r="A1630">
        <v>580</v>
      </c>
      <c r="B1630" t="s">
        <v>518</v>
      </c>
      <c r="C1630">
        <v>0</v>
      </c>
      <c r="D1630">
        <v>0</v>
      </c>
      <c r="E1630">
        <v>0</v>
      </c>
      <c r="F1630">
        <v>0</v>
      </c>
      <c r="G1630" t="s">
        <v>184</v>
      </c>
    </row>
    <row r="1631" spans="1:7" x14ac:dyDescent="0.35">
      <c r="A1631">
        <v>590</v>
      </c>
      <c r="B1631" t="s">
        <v>519</v>
      </c>
      <c r="C1631">
        <v>0</v>
      </c>
      <c r="D1631">
        <v>0</v>
      </c>
      <c r="E1631">
        <v>0</v>
      </c>
      <c r="F1631">
        <v>0</v>
      </c>
      <c r="G1631" t="s">
        <v>184</v>
      </c>
    </row>
    <row r="1632" spans="1:7" x14ac:dyDescent="0.35">
      <c r="A1632">
        <v>600</v>
      </c>
      <c r="B1632" t="s">
        <v>520</v>
      </c>
      <c r="C1632">
        <v>0</v>
      </c>
      <c r="D1632">
        <v>-364429.64</v>
      </c>
      <c r="E1632">
        <v>-364429.76</v>
      </c>
      <c r="F1632">
        <v>-0.12</v>
      </c>
      <c r="G1632" t="s">
        <v>184</v>
      </c>
    </row>
    <row r="1633" spans="1:7" x14ac:dyDescent="0.35">
      <c r="A1633">
        <v>610</v>
      </c>
      <c r="B1633" t="s">
        <v>521</v>
      </c>
      <c r="C1633">
        <v>1607.14</v>
      </c>
      <c r="D1633">
        <v>566417.99</v>
      </c>
      <c r="E1633">
        <v>580882.37</v>
      </c>
      <c r="F1633">
        <v>14464.38</v>
      </c>
      <c r="G1633" t="s">
        <v>184</v>
      </c>
    </row>
    <row r="1634" spans="1:7" x14ac:dyDescent="0.35">
      <c r="A1634">
        <v>615</v>
      </c>
      <c r="B1634" t="s">
        <v>550</v>
      </c>
      <c r="C1634">
        <v>0</v>
      </c>
      <c r="D1634">
        <v>0</v>
      </c>
      <c r="E1634">
        <v>0</v>
      </c>
      <c r="F1634">
        <v>0</v>
      </c>
      <c r="G1634" t="s">
        <v>184</v>
      </c>
    </row>
    <row r="1635" spans="1:7" x14ac:dyDescent="0.35">
      <c r="A1635">
        <v>620</v>
      </c>
      <c r="B1635" t="s">
        <v>522</v>
      </c>
      <c r="C1635">
        <v>0</v>
      </c>
      <c r="D1635">
        <v>0</v>
      </c>
      <c r="E1635">
        <v>0</v>
      </c>
      <c r="F1635">
        <v>0</v>
      </c>
      <c r="G1635" t="s">
        <v>184</v>
      </c>
    </row>
    <row r="1636" spans="1:7" x14ac:dyDescent="0.35">
      <c r="A1636">
        <v>630</v>
      </c>
      <c r="B1636" t="s">
        <v>523</v>
      </c>
      <c r="C1636">
        <v>0</v>
      </c>
      <c r="D1636">
        <v>-21317</v>
      </c>
      <c r="E1636">
        <v>-21317</v>
      </c>
      <c r="F1636">
        <v>0</v>
      </c>
      <c r="G1636" t="s">
        <v>184</v>
      </c>
    </row>
    <row r="1637" spans="1:7" x14ac:dyDescent="0.35">
      <c r="A1637">
        <v>635</v>
      </c>
      <c r="B1637" t="s">
        <v>551</v>
      </c>
      <c r="C1637">
        <v>0</v>
      </c>
      <c r="D1637">
        <v>0</v>
      </c>
      <c r="E1637">
        <v>0</v>
      </c>
      <c r="F1637">
        <v>0</v>
      </c>
      <c r="G1637" t="s">
        <v>184</v>
      </c>
    </row>
    <row r="1638" spans="1:7" x14ac:dyDescent="0.35">
      <c r="A1638">
        <v>640</v>
      </c>
      <c r="B1638" t="s">
        <v>524</v>
      </c>
      <c r="C1638">
        <v>8741.76</v>
      </c>
      <c r="D1638">
        <v>-215319.11</v>
      </c>
      <c r="E1638">
        <v>-143520.28</v>
      </c>
      <c r="F1638">
        <v>71798.83</v>
      </c>
      <c r="G1638" t="s">
        <v>184</v>
      </c>
    </row>
    <row r="1639" spans="1:7" x14ac:dyDescent="0.35">
      <c r="A1639">
        <v>650</v>
      </c>
      <c r="B1639" t="s">
        <v>525</v>
      </c>
      <c r="C1639">
        <v>-24218.46</v>
      </c>
      <c r="D1639">
        <v>25366.1</v>
      </c>
      <c r="E1639">
        <v>15445.67</v>
      </c>
      <c r="F1639">
        <v>-9920.43</v>
      </c>
      <c r="G1639" t="s">
        <v>184</v>
      </c>
    </row>
    <row r="1640" spans="1:7" x14ac:dyDescent="0.35">
      <c r="A1640" t="s">
        <v>463</v>
      </c>
      <c r="B1640" t="s">
        <v>172</v>
      </c>
      <c r="C1640" t="s">
        <v>468</v>
      </c>
      <c r="D1640" t="s">
        <v>469</v>
      </c>
      <c r="E1640" t="s">
        <v>470</v>
      </c>
      <c r="F1640" t="s">
        <v>471</v>
      </c>
      <c r="G1640" t="s">
        <v>183</v>
      </c>
    </row>
    <row r="1641" spans="1:7" x14ac:dyDescent="0.35">
      <c r="A1641">
        <v>10</v>
      </c>
      <c r="B1641" t="s">
        <v>472</v>
      </c>
      <c r="C1641">
        <v>0</v>
      </c>
      <c r="D1641">
        <v>0</v>
      </c>
      <c r="E1641">
        <v>0</v>
      </c>
      <c r="F1641">
        <v>0</v>
      </c>
      <c r="G1641" t="s">
        <v>184</v>
      </c>
    </row>
    <row r="1642" spans="1:7" x14ac:dyDescent="0.35">
      <c r="A1642">
        <v>20</v>
      </c>
      <c r="B1642" t="s">
        <v>147</v>
      </c>
      <c r="C1642">
        <v>36184.15</v>
      </c>
      <c r="D1642">
        <v>0</v>
      </c>
      <c r="E1642">
        <v>297109.46000000002</v>
      </c>
      <c r="F1642">
        <v>297109.46000000002</v>
      </c>
      <c r="G1642" t="s">
        <v>184</v>
      </c>
    </row>
    <row r="1643" spans="1:7" x14ac:dyDescent="0.35">
      <c r="A1643">
        <v>30</v>
      </c>
      <c r="B1643" t="s">
        <v>473</v>
      </c>
      <c r="C1643">
        <v>0</v>
      </c>
      <c r="D1643">
        <v>0</v>
      </c>
      <c r="E1643">
        <v>0</v>
      </c>
      <c r="F1643">
        <v>0</v>
      </c>
      <c r="G1643" t="s">
        <v>184</v>
      </c>
    </row>
    <row r="1644" spans="1:7" x14ac:dyDescent="0.35">
      <c r="A1644">
        <v>35</v>
      </c>
      <c r="B1644" t="s">
        <v>474</v>
      </c>
      <c r="C1644">
        <v>36184.15</v>
      </c>
      <c r="D1644">
        <v>0</v>
      </c>
      <c r="E1644">
        <v>297109.46000000002</v>
      </c>
      <c r="F1644">
        <v>297109.46000000002</v>
      </c>
      <c r="G1644" t="s">
        <v>184</v>
      </c>
    </row>
    <row r="1645" spans="1:7" x14ac:dyDescent="0.35">
      <c r="A1645">
        <v>40</v>
      </c>
      <c r="B1645" t="s">
        <v>475</v>
      </c>
      <c r="C1645">
        <v>0</v>
      </c>
      <c r="D1645">
        <v>0</v>
      </c>
      <c r="E1645">
        <v>0</v>
      </c>
      <c r="F1645">
        <v>0</v>
      </c>
      <c r="G1645" t="s">
        <v>184</v>
      </c>
    </row>
    <row r="1646" spans="1:7" x14ac:dyDescent="0.35">
      <c r="A1646">
        <v>50</v>
      </c>
      <c r="B1646" t="s">
        <v>476</v>
      </c>
      <c r="C1646">
        <v>0</v>
      </c>
      <c r="D1646">
        <v>0</v>
      </c>
      <c r="E1646">
        <v>0</v>
      </c>
      <c r="F1646">
        <v>0</v>
      </c>
      <c r="G1646" t="s">
        <v>184</v>
      </c>
    </row>
    <row r="1647" spans="1:7" x14ac:dyDescent="0.35">
      <c r="A1647">
        <v>60</v>
      </c>
      <c r="B1647" t="s">
        <v>477</v>
      </c>
      <c r="C1647">
        <v>36184.15</v>
      </c>
      <c r="D1647">
        <v>0</v>
      </c>
      <c r="E1647">
        <v>297109.46000000002</v>
      </c>
      <c r="F1647">
        <v>297109.46000000002</v>
      </c>
      <c r="G1647" t="s">
        <v>184</v>
      </c>
    </row>
    <row r="1648" spans="1:7" x14ac:dyDescent="0.35">
      <c r="A1648">
        <v>70</v>
      </c>
      <c r="B1648" t="s">
        <v>152</v>
      </c>
      <c r="C1648">
        <v>10357.08</v>
      </c>
      <c r="D1648">
        <v>0</v>
      </c>
      <c r="E1648">
        <v>24931.66</v>
      </c>
      <c r="F1648">
        <v>24931.66</v>
      </c>
      <c r="G1648" t="s">
        <v>184</v>
      </c>
    </row>
    <row r="1649" spans="1:7" x14ac:dyDescent="0.35">
      <c r="A1649">
        <v>80</v>
      </c>
      <c r="B1649" t="s">
        <v>153</v>
      </c>
      <c r="C1649">
        <v>0</v>
      </c>
      <c r="D1649">
        <v>0</v>
      </c>
      <c r="E1649">
        <v>0</v>
      </c>
      <c r="F1649">
        <v>0</v>
      </c>
      <c r="G1649" t="s">
        <v>184</v>
      </c>
    </row>
    <row r="1650" spans="1:7" x14ac:dyDescent="0.35">
      <c r="A1650">
        <v>90</v>
      </c>
      <c r="B1650" t="s">
        <v>478</v>
      </c>
      <c r="C1650">
        <v>2513.17</v>
      </c>
      <c r="D1650">
        <v>0</v>
      </c>
      <c r="E1650">
        <v>22618.53</v>
      </c>
      <c r="F1650">
        <v>22618.53</v>
      </c>
      <c r="G1650" t="s">
        <v>184</v>
      </c>
    </row>
    <row r="1651" spans="1:7" x14ac:dyDescent="0.35">
      <c r="A1651">
        <v>100</v>
      </c>
      <c r="B1651" t="s">
        <v>479</v>
      </c>
      <c r="C1651">
        <v>23313.9</v>
      </c>
      <c r="D1651">
        <v>0</v>
      </c>
      <c r="E1651">
        <v>249559.27</v>
      </c>
      <c r="F1651">
        <v>249559.27</v>
      </c>
      <c r="G1651" t="s">
        <v>184</v>
      </c>
    </row>
    <row r="1652" spans="1:7" x14ac:dyDescent="0.35">
      <c r="A1652">
        <v>110</v>
      </c>
      <c r="B1652" t="s">
        <v>480</v>
      </c>
      <c r="C1652">
        <v>0</v>
      </c>
      <c r="D1652">
        <v>0</v>
      </c>
      <c r="E1652">
        <v>0</v>
      </c>
      <c r="F1652">
        <v>0</v>
      </c>
      <c r="G1652" t="s">
        <v>184</v>
      </c>
    </row>
    <row r="1653" spans="1:7" x14ac:dyDescent="0.35">
      <c r="A1653">
        <v>120</v>
      </c>
      <c r="B1653" t="s">
        <v>481</v>
      </c>
      <c r="C1653">
        <v>0</v>
      </c>
      <c r="D1653">
        <v>0</v>
      </c>
      <c r="E1653">
        <v>0</v>
      </c>
      <c r="F1653">
        <v>0</v>
      </c>
      <c r="G1653" t="s">
        <v>184</v>
      </c>
    </row>
    <row r="1654" spans="1:7" x14ac:dyDescent="0.35">
      <c r="A1654">
        <v>130</v>
      </c>
      <c r="B1654" t="s">
        <v>482</v>
      </c>
      <c r="C1654">
        <v>0</v>
      </c>
      <c r="D1654">
        <v>0</v>
      </c>
      <c r="E1654">
        <v>0</v>
      </c>
      <c r="F1654">
        <v>0</v>
      </c>
      <c r="G1654" t="s">
        <v>184</v>
      </c>
    </row>
    <row r="1655" spans="1:7" x14ac:dyDescent="0.35">
      <c r="A1655">
        <v>140</v>
      </c>
      <c r="B1655" t="s">
        <v>483</v>
      </c>
      <c r="C1655">
        <v>0</v>
      </c>
      <c r="D1655">
        <v>0</v>
      </c>
      <c r="E1655">
        <v>0</v>
      </c>
      <c r="F1655">
        <v>0</v>
      </c>
      <c r="G1655" t="s">
        <v>184</v>
      </c>
    </row>
    <row r="1656" spans="1:7" x14ac:dyDescent="0.35">
      <c r="A1656">
        <v>145</v>
      </c>
      <c r="B1656" t="s">
        <v>162</v>
      </c>
      <c r="C1656">
        <v>0</v>
      </c>
      <c r="D1656">
        <v>0</v>
      </c>
      <c r="E1656">
        <v>0</v>
      </c>
      <c r="F1656">
        <v>0</v>
      </c>
      <c r="G1656" t="s">
        <v>184</v>
      </c>
    </row>
    <row r="1657" spans="1:7" x14ac:dyDescent="0.35">
      <c r="A1657">
        <v>150</v>
      </c>
      <c r="B1657" t="s">
        <v>484</v>
      </c>
      <c r="C1657">
        <v>23313.9</v>
      </c>
      <c r="D1657">
        <v>0</v>
      </c>
      <c r="E1657">
        <v>249559.27</v>
      </c>
      <c r="F1657">
        <v>249559.27</v>
      </c>
      <c r="G1657" t="s">
        <v>184</v>
      </c>
    </row>
    <row r="1658" spans="1:7" x14ac:dyDescent="0.35">
      <c r="A1658">
        <v>160</v>
      </c>
      <c r="B1658" t="s">
        <v>485</v>
      </c>
      <c r="C1658">
        <v>29331</v>
      </c>
      <c r="D1658">
        <v>0</v>
      </c>
      <c r="E1658">
        <v>59876</v>
      </c>
      <c r="F1658">
        <v>59876</v>
      </c>
      <c r="G1658" t="s">
        <v>184</v>
      </c>
    </row>
    <row r="1659" spans="1:7" x14ac:dyDescent="0.35">
      <c r="A1659">
        <v>170</v>
      </c>
      <c r="B1659" t="s">
        <v>166</v>
      </c>
      <c r="C1659">
        <v>-6017.1</v>
      </c>
      <c r="D1659">
        <v>0</v>
      </c>
      <c r="E1659">
        <v>189683.27</v>
      </c>
      <c r="F1659">
        <v>189683.27</v>
      </c>
      <c r="G1659" t="s">
        <v>184</v>
      </c>
    </row>
    <row r="1660" spans="1:7" x14ac:dyDescent="0.35">
      <c r="A1660">
        <v>190</v>
      </c>
      <c r="B1660" t="s">
        <v>486</v>
      </c>
      <c r="C1660">
        <v>0</v>
      </c>
      <c r="D1660">
        <v>0</v>
      </c>
      <c r="E1660">
        <v>0</v>
      </c>
      <c r="F1660">
        <v>0</v>
      </c>
      <c r="G1660" t="s">
        <v>184</v>
      </c>
    </row>
    <row r="1661" spans="1:7" x14ac:dyDescent="0.35">
      <c r="A1661">
        <v>200</v>
      </c>
      <c r="B1661" t="s">
        <v>166</v>
      </c>
      <c r="C1661">
        <v>-6017.1</v>
      </c>
      <c r="D1661">
        <v>0</v>
      </c>
      <c r="E1661">
        <v>189683.27</v>
      </c>
      <c r="F1661">
        <v>189683.27</v>
      </c>
      <c r="G1661" t="s">
        <v>184</v>
      </c>
    </row>
    <row r="1662" spans="1:7" x14ac:dyDescent="0.35">
      <c r="A1662">
        <v>210</v>
      </c>
      <c r="B1662" t="s">
        <v>487</v>
      </c>
      <c r="C1662">
        <v>-6017.1</v>
      </c>
      <c r="D1662">
        <v>0</v>
      </c>
      <c r="E1662">
        <v>189683.27</v>
      </c>
      <c r="F1662">
        <v>189683.27</v>
      </c>
      <c r="G1662" t="s">
        <v>184</v>
      </c>
    </row>
    <row r="1663" spans="1:7" x14ac:dyDescent="0.35">
      <c r="A1663">
        <v>220</v>
      </c>
      <c r="B1663" t="s">
        <v>488</v>
      </c>
      <c r="C1663">
        <v>0</v>
      </c>
      <c r="D1663">
        <v>0</v>
      </c>
      <c r="E1663">
        <v>0</v>
      </c>
      <c r="F1663">
        <v>0</v>
      </c>
      <c r="G1663" t="s">
        <v>184</v>
      </c>
    </row>
    <row r="1664" spans="1:7" x14ac:dyDescent="0.35">
      <c r="A1664">
        <v>230</v>
      </c>
      <c r="B1664" t="s">
        <v>341</v>
      </c>
      <c r="C1664">
        <v>0</v>
      </c>
      <c r="D1664">
        <v>0</v>
      </c>
      <c r="E1664">
        <v>0</v>
      </c>
      <c r="F1664">
        <v>0</v>
      </c>
      <c r="G1664" t="s">
        <v>184</v>
      </c>
    </row>
    <row r="1665" spans="1:7" x14ac:dyDescent="0.35">
      <c r="A1665">
        <v>235</v>
      </c>
      <c r="B1665" t="s">
        <v>489</v>
      </c>
      <c r="C1665">
        <v>0</v>
      </c>
      <c r="D1665">
        <v>0</v>
      </c>
      <c r="E1665">
        <v>0</v>
      </c>
      <c r="F1665">
        <v>0</v>
      </c>
      <c r="G1665" t="s">
        <v>184</v>
      </c>
    </row>
    <row r="1666" spans="1:7" x14ac:dyDescent="0.35">
      <c r="A1666">
        <v>240</v>
      </c>
      <c r="B1666" t="s">
        <v>342</v>
      </c>
      <c r="C1666">
        <v>-756705.59</v>
      </c>
      <c r="D1666">
        <v>-678828.96</v>
      </c>
      <c r="E1666">
        <v>-1662034.55</v>
      </c>
      <c r="F1666">
        <v>-983205.59</v>
      </c>
      <c r="G1666" t="s">
        <v>184</v>
      </c>
    </row>
    <row r="1667" spans="1:7" x14ac:dyDescent="0.35">
      <c r="A1667">
        <v>250</v>
      </c>
      <c r="B1667" t="s">
        <v>343</v>
      </c>
      <c r="C1667">
        <v>0</v>
      </c>
      <c r="D1667">
        <v>0</v>
      </c>
      <c r="E1667">
        <v>0</v>
      </c>
      <c r="F1667">
        <v>0</v>
      </c>
      <c r="G1667" t="s">
        <v>184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184</v>
      </c>
    </row>
    <row r="1669" spans="1:7" x14ac:dyDescent="0.35">
      <c r="A1669">
        <v>270</v>
      </c>
      <c r="B1669" t="s">
        <v>344</v>
      </c>
      <c r="C1669">
        <v>0</v>
      </c>
      <c r="D1669">
        <v>-79431</v>
      </c>
      <c r="E1669">
        <v>-79431</v>
      </c>
      <c r="F1669">
        <v>0</v>
      </c>
      <c r="G1669" t="s">
        <v>184</v>
      </c>
    </row>
    <row r="1670" spans="1:7" x14ac:dyDescent="0.35">
      <c r="A1670">
        <v>300</v>
      </c>
      <c r="B1670" t="s">
        <v>367</v>
      </c>
      <c r="C1670">
        <v>0</v>
      </c>
      <c r="D1670">
        <v>0</v>
      </c>
      <c r="E1670">
        <v>7750</v>
      </c>
      <c r="F1670">
        <v>7750</v>
      </c>
      <c r="G1670" t="s">
        <v>184</v>
      </c>
    </row>
    <row r="1671" spans="1:7" x14ac:dyDescent="0.35">
      <c r="A1671">
        <v>310</v>
      </c>
      <c r="B1671" t="s">
        <v>491</v>
      </c>
      <c r="C1671">
        <v>0</v>
      </c>
      <c r="D1671">
        <v>0</v>
      </c>
      <c r="E1671">
        <v>0</v>
      </c>
      <c r="F1671">
        <v>0</v>
      </c>
      <c r="G1671" t="s">
        <v>184</v>
      </c>
    </row>
    <row r="1672" spans="1:7" x14ac:dyDescent="0.35">
      <c r="A1672">
        <v>320</v>
      </c>
      <c r="B1672" t="s">
        <v>492</v>
      </c>
      <c r="C1672">
        <v>0</v>
      </c>
      <c r="D1672">
        <v>0</v>
      </c>
      <c r="E1672">
        <v>0</v>
      </c>
      <c r="F1672">
        <v>0</v>
      </c>
      <c r="G1672" t="s">
        <v>184</v>
      </c>
    </row>
    <row r="1673" spans="1:7" x14ac:dyDescent="0.35">
      <c r="A1673">
        <v>325</v>
      </c>
      <c r="B1673" t="s">
        <v>493</v>
      </c>
      <c r="C1673">
        <v>4106.37</v>
      </c>
      <c r="D1673">
        <v>0</v>
      </c>
      <c r="E1673">
        <v>4258.8100000000004</v>
      </c>
      <c r="F1673">
        <v>4258.8100000000004</v>
      </c>
      <c r="G1673" t="s">
        <v>184</v>
      </c>
    </row>
    <row r="1674" spans="1:7" x14ac:dyDescent="0.35">
      <c r="A1674">
        <v>330</v>
      </c>
      <c r="B1674" t="s">
        <v>570</v>
      </c>
      <c r="C1674">
        <v>0</v>
      </c>
      <c r="D1674">
        <v>12000</v>
      </c>
      <c r="E1674">
        <v>10000</v>
      </c>
      <c r="F1674">
        <v>-2000</v>
      </c>
      <c r="G1674" t="s">
        <v>184</v>
      </c>
    </row>
    <row r="1675" spans="1:7" x14ac:dyDescent="0.35">
      <c r="A1675">
        <v>340</v>
      </c>
      <c r="B1675" t="s">
        <v>495</v>
      </c>
      <c r="C1675">
        <v>0</v>
      </c>
      <c r="D1675">
        <v>0</v>
      </c>
      <c r="E1675">
        <v>0</v>
      </c>
      <c r="F1675">
        <v>0</v>
      </c>
      <c r="G1675" t="s">
        <v>184</v>
      </c>
    </row>
    <row r="1676" spans="1:7" x14ac:dyDescent="0.35">
      <c r="A1676">
        <v>380</v>
      </c>
      <c r="B1676" t="s">
        <v>496</v>
      </c>
      <c r="C1676">
        <v>-752599.22</v>
      </c>
      <c r="D1676">
        <v>-746259.96</v>
      </c>
      <c r="E1676">
        <v>-1719456.74</v>
      </c>
      <c r="F1676">
        <v>-973196.78</v>
      </c>
      <c r="G1676" t="s">
        <v>184</v>
      </c>
    </row>
    <row r="1677" spans="1:7" x14ac:dyDescent="0.35">
      <c r="A1677">
        <v>390</v>
      </c>
      <c r="B1677" t="s">
        <v>497</v>
      </c>
      <c r="C1677">
        <v>0</v>
      </c>
      <c r="D1677">
        <v>0</v>
      </c>
      <c r="E1677">
        <v>0</v>
      </c>
      <c r="F1677">
        <v>0</v>
      </c>
      <c r="G1677" t="s">
        <v>184</v>
      </c>
    </row>
    <row r="1678" spans="1:7" x14ac:dyDescent="0.35">
      <c r="A1678">
        <v>400</v>
      </c>
      <c r="B1678" t="s">
        <v>498</v>
      </c>
      <c r="C1678">
        <v>752705.59</v>
      </c>
      <c r="D1678">
        <v>0</v>
      </c>
      <c r="E1678">
        <v>752705.59</v>
      </c>
      <c r="F1678">
        <v>752705.59</v>
      </c>
      <c r="G1678" t="s">
        <v>184</v>
      </c>
    </row>
    <row r="1679" spans="1:7" x14ac:dyDescent="0.35">
      <c r="A1679">
        <v>405</v>
      </c>
      <c r="B1679" t="s">
        <v>499</v>
      </c>
      <c r="C1679">
        <v>0</v>
      </c>
      <c r="D1679">
        <v>0</v>
      </c>
      <c r="E1679">
        <v>0</v>
      </c>
      <c r="F1679">
        <v>0</v>
      </c>
      <c r="G1679" t="s">
        <v>184</v>
      </c>
    </row>
    <row r="1680" spans="1:7" x14ac:dyDescent="0.35">
      <c r="A1680">
        <v>410</v>
      </c>
      <c r="B1680" t="s">
        <v>382</v>
      </c>
      <c r="C1680">
        <v>0</v>
      </c>
      <c r="D1680">
        <v>50000</v>
      </c>
      <c r="E1680">
        <v>50000</v>
      </c>
      <c r="F1680">
        <v>0</v>
      </c>
      <c r="G1680" t="s">
        <v>184</v>
      </c>
    </row>
    <row r="1681" spans="1:7" x14ac:dyDescent="0.35">
      <c r="A1681">
        <v>420</v>
      </c>
      <c r="B1681" t="s">
        <v>500</v>
      </c>
      <c r="C1681">
        <v>0</v>
      </c>
      <c r="D1681">
        <v>586186.93000000005</v>
      </c>
      <c r="E1681">
        <v>586186.93000000005</v>
      </c>
      <c r="F1681">
        <v>0</v>
      </c>
      <c r="G1681" t="s">
        <v>184</v>
      </c>
    </row>
    <row r="1682" spans="1:7" x14ac:dyDescent="0.35">
      <c r="A1682">
        <v>425</v>
      </c>
      <c r="B1682" t="s">
        <v>501</v>
      </c>
      <c r="C1682">
        <v>0</v>
      </c>
      <c r="D1682">
        <v>0</v>
      </c>
      <c r="E1682">
        <v>0</v>
      </c>
      <c r="F1682">
        <v>0</v>
      </c>
      <c r="G1682" t="s">
        <v>184</v>
      </c>
    </row>
    <row r="1683" spans="1:7" x14ac:dyDescent="0.35">
      <c r="A1683">
        <v>427</v>
      </c>
      <c r="B1683" t="s">
        <v>502</v>
      </c>
      <c r="C1683">
        <v>0</v>
      </c>
      <c r="D1683">
        <v>0</v>
      </c>
      <c r="E1683">
        <v>0</v>
      </c>
      <c r="F1683">
        <v>0</v>
      </c>
      <c r="G1683" t="s">
        <v>184</v>
      </c>
    </row>
    <row r="1684" spans="1:7" x14ac:dyDescent="0.35">
      <c r="A1684">
        <v>430</v>
      </c>
      <c r="B1684" t="s">
        <v>503</v>
      </c>
      <c r="C1684">
        <v>0</v>
      </c>
      <c r="D1684">
        <v>991710.99</v>
      </c>
      <c r="E1684">
        <v>991710.99</v>
      </c>
      <c r="F1684">
        <v>0</v>
      </c>
      <c r="G1684" t="s">
        <v>184</v>
      </c>
    </row>
    <row r="1685" spans="1:7" x14ac:dyDescent="0.35">
      <c r="A1685">
        <v>440</v>
      </c>
      <c r="B1685" t="s">
        <v>504</v>
      </c>
      <c r="C1685">
        <v>752705.59</v>
      </c>
      <c r="D1685">
        <v>1627897.92</v>
      </c>
      <c r="E1685">
        <v>2380603.5099999998</v>
      </c>
      <c r="F1685">
        <v>752705.59</v>
      </c>
      <c r="G1685" t="s">
        <v>184</v>
      </c>
    </row>
    <row r="1686" spans="1:7" x14ac:dyDescent="0.35">
      <c r="A1686">
        <v>450</v>
      </c>
      <c r="B1686" t="s">
        <v>505</v>
      </c>
      <c r="C1686">
        <v>0</v>
      </c>
      <c r="D1686">
        <v>0</v>
      </c>
      <c r="E1686">
        <v>0</v>
      </c>
      <c r="F1686">
        <v>0</v>
      </c>
      <c r="G1686" t="s">
        <v>184</v>
      </c>
    </row>
    <row r="1687" spans="1:7" x14ac:dyDescent="0.35">
      <c r="A1687">
        <v>455</v>
      </c>
      <c r="B1687" t="s">
        <v>349</v>
      </c>
      <c r="C1687">
        <v>0</v>
      </c>
      <c r="D1687">
        <v>-5895714.8200000003</v>
      </c>
      <c r="E1687">
        <v>-5895714.8200000003</v>
      </c>
      <c r="F1687">
        <v>0</v>
      </c>
      <c r="G1687" t="s">
        <v>184</v>
      </c>
    </row>
    <row r="1688" spans="1:7" x14ac:dyDescent="0.35">
      <c r="A1688">
        <v>456</v>
      </c>
      <c r="B1688" t="s">
        <v>506</v>
      </c>
      <c r="C1688">
        <v>2513.17</v>
      </c>
      <c r="D1688">
        <v>206220.04</v>
      </c>
      <c r="E1688">
        <v>228838.57</v>
      </c>
      <c r="F1688">
        <v>22618.53</v>
      </c>
      <c r="G1688" t="s">
        <v>184</v>
      </c>
    </row>
    <row r="1689" spans="1:7" x14ac:dyDescent="0.35">
      <c r="A1689">
        <v>460</v>
      </c>
      <c r="B1689" t="s">
        <v>353</v>
      </c>
      <c r="C1689">
        <v>0</v>
      </c>
      <c r="D1689">
        <v>0</v>
      </c>
      <c r="E1689">
        <v>0</v>
      </c>
      <c r="F1689">
        <v>0</v>
      </c>
      <c r="G1689" t="s">
        <v>184</v>
      </c>
    </row>
    <row r="1690" spans="1:7" x14ac:dyDescent="0.35">
      <c r="A1690">
        <v>470</v>
      </c>
      <c r="B1690" t="s">
        <v>507</v>
      </c>
      <c r="C1690">
        <v>0</v>
      </c>
      <c r="D1690">
        <v>0</v>
      </c>
      <c r="E1690">
        <v>0</v>
      </c>
      <c r="F1690">
        <v>0</v>
      </c>
      <c r="G1690" t="s">
        <v>184</v>
      </c>
    </row>
    <row r="1691" spans="1:7" x14ac:dyDescent="0.35">
      <c r="A1691">
        <v>480</v>
      </c>
      <c r="B1691" t="s">
        <v>352</v>
      </c>
      <c r="C1691">
        <v>0</v>
      </c>
      <c r="D1691">
        <v>0</v>
      </c>
      <c r="E1691">
        <v>0</v>
      </c>
      <c r="F1691">
        <v>0</v>
      </c>
      <c r="G1691" t="s">
        <v>184</v>
      </c>
    </row>
    <row r="1692" spans="1:7" x14ac:dyDescent="0.35">
      <c r="A1692">
        <v>490</v>
      </c>
      <c r="B1692" t="s">
        <v>508</v>
      </c>
      <c r="C1692">
        <v>0</v>
      </c>
      <c r="D1692">
        <v>0</v>
      </c>
      <c r="E1692">
        <v>0</v>
      </c>
      <c r="F1692">
        <v>0</v>
      </c>
      <c r="G1692" t="s">
        <v>184</v>
      </c>
    </row>
    <row r="1693" spans="1:7" x14ac:dyDescent="0.35">
      <c r="A1693">
        <v>500</v>
      </c>
      <c r="B1693" t="s">
        <v>351</v>
      </c>
      <c r="C1693">
        <v>0</v>
      </c>
      <c r="D1693">
        <v>0</v>
      </c>
      <c r="E1693">
        <v>0</v>
      </c>
      <c r="F1693">
        <v>0</v>
      </c>
      <c r="G1693" t="s">
        <v>184</v>
      </c>
    </row>
    <row r="1694" spans="1:7" x14ac:dyDescent="0.35">
      <c r="A1694">
        <v>510</v>
      </c>
      <c r="B1694" t="s">
        <v>509</v>
      </c>
      <c r="C1694">
        <v>0</v>
      </c>
      <c r="D1694">
        <v>0</v>
      </c>
      <c r="E1694">
        <v>0</v>
      </c>
      <c r="F1694">
        <v>0</v>
      </c>
      <c r="G1694" t="s">
        <v>184</v>
      </c>
    </row>
    <row r="1695" spans="1:7" x14ac:dyDescent="0.35">
      <c r="A1695">
        <v>512</v>
      </c>
      <c r="B1695" t="s">
        <v>510</v>
      </c>
      <c r="C1695">
        <v>0</v>
      </c>
      <c r="D1695">
        <v>0</v>
      </c>
      <c r="E1695">
        <v>0</v>
      </c>
      <c r="F1695">
        <v>0</v>
      </c>
      <c r="G1695" t="s">
        <v>184</v>
      </c>
    </row>
    <row r="1696" spans="1:7" x14ac:dyDescent="0.35">
      <c r="A1696">
        <v>514</v>
      </c>
      <c r="B1696" t="s">
        <v>511</v>
      </c>
      <c r="C1696">
        <v>0</v>
      </c>
      <c r="D1696">
        <v>0</v>
      </c>
      <c r="E1696">
        <v>0</v>
      </c>
      <c r="F1696">
        <v>0</v>
      </c>
      <c r="G1696" t="s">
        <v>184</v>
      </c>
    </row>
    <row r="1697" spans="1:7" x14ac:dyDescent="0.35">
      <c r="A1697">
        <v>520</v>
      </c>
      <c r="B1697" t="s">
        <v>512</v>
      </c>
      <c r="C1697">
        <v>0</v>
      </c>
      <c r="D1697">
        <v>0</v>
      </c>
      <c r="E1697">
        <v>0</v>
      </c>
      <c r="F1697">
        <v>0</v>
      </c>
      <c r="G1697" t="s">
        <v>184</v>
      </c>
    </row>
    <row r="1698" spans="1:7" x14ac:dyDescent="0.35">
      <c r="A1698">
        <v>530</v>
      </c>
      <c r="B1698" t="s">
        <v>513</v>
      </c>
      <c r="C1698">
        <v>0</v>
      </c>
      <c r="D1698">
        <v>0</v>
      </c>
      <c r="E1698">
        <v>0</v>
      </c>
      <c r="F1698">
        <v>0</v>
      </c>
      <c r="G1698" t="s">
        <v>184</v>
      </c>
    </row>
    <row r="1699" spans="1:7" x14ac:dyDescent="0.35">
      <c r="A1699">
        <v>540</v>
      </c>
      <c r="B1699" t="s">
        <v>514</v>
      </c>
      <c r="C1699">
        <v>0</v>
      </c>
      <c r="D1699">
        <v>0</v>
      </c>
      <c r="E1699">
        <v>0</v>
      </c>
      <c r="F1699">
        <v>0</v>
      </c>
      <c r="G1699" t="s">
        <v>184</v>
      </c>
    </row>
    <row r="1700" spans="1:7" x14ac:dyDescent="0.35">
      <c r="A1700">
        <v>550</v>
      </c>
      <c r="B1700" t="s">
        <v>515</v>
      </c>
      <c r="C1700">
        <v>0</v>
      </c>
      <c r="D1700">
        <v>0</v>
      </c>
      <c r="E1700">
        <v>0</v>
      </c>
      <c r="F1700">
        <v>0</v>
      </c>
      <c r="G1700" t="s">
        <v>184</v>
      </c>
    </row>
    <row r="1701" spans="1:7" x14ac:dyDescent="0.35">
      <c r="A1701">
        <v>560</v>
      </c>
      <c r="B1701" t="s">
        <v>516</v>
      </c>
      <c r="C1701">
        <v>0</v>
      </c>
      <c r="D1701">
        <v>-6523.8</v>
      </c>
      <c r="E1701">
        <v>-6523.8</v>
      </c>
      <c r="F1701">
        <v>0</v>
      </c>
      <c r="G1701" t="s">
        <v>184</v>
      </c>
    </row>
    <row r="1702" spans="1:7" x14ac:dyDescent="0.35">
      <c r="A1702">
        <v>570</v>
      </c>
      <c r="B1702" t="s">
        <v>517</v>
      </c>
      <c r="C1702">
        <v>0</v>
      </c>
      <c r="D1702">
        <v>6523.8</v>
      </c>
      <c r="E1702">
        <v>6523.8</v>
      </c>
      <c r="F1702">
        <v>0</v>
      </c>
      <c r="G1702" t="s">
        <v>184</v>
      </c>
    </row>
    <row r="1703" spans="1:7" x14ac:dyDescent="0.35">
      <c r="A1703">
        <v>580</v>
      </c>
      <c r="B1703" t="s">
        <v>518</v>
      </c>
      <c r="C1703">
        <v>0</v>
      </c>
      <c r="D1703">
        <v>0</v>
      </c>
      <c r="E1703">
        <v>0</v>
      </c>
      <c r="F1703">
        <v>0</v>
      </c>
      <c r="G1703" t="s">
        <v>184</v>
      </c>
    </row>
    <row r="1704" spans="1:7" x14ac:dyDescent="0.35">
      <c r="A1704">
        <v>590</v>
      </c>
      <c r="B1704" t="s">
        <v>519</v>
      </c>
      <c r="C1704">
        <v>0</v>
      </c>
      <c r="D1704">
        <v>0</v>
      </c>
      <c r="E1704">
        <v>0</v>
      </c>
      <c r="F1704">
        <v>0</v>
      </c>
      <c r="G1704" t="s">
        <v>184</v>
      </c>
    </row>
    <row r="1705" spans="1:7" x14ac:dyDescent="0.35">
      <c r="A1705">
        <v>600</v>
      </c>
      <c r="B1705" t="s">
        <v>520</v>
      </c>
      <c r="C1705">
        <v>0</v>
      </c>
      <c r="D1705">
        <v>0</v>
      </c>
      <c r="E1705">
        <v>0</v>
      </c>
      <c r="F1705">
        <v>0</v>
      </c>
      <c r="G1705" t="s">
        <v>184</v>
      </c>
    </row>
    <row r="1706" spans="1:7" x14ac:dyDescent="0.35">
      <c r="A1706">
        <v>610</v>
      </c>
      <c r="B1706" t="s">
        <v>521</v>
      </c>
      <c r="C1706">
        <v>0</v>
      </c>
      <c r="D1706">
        <v>0</v>
      </c>
      <c r="E1706">
        <v>0</v>
      </c>
      <c r="F1706">
        <v>0</v>
      </c>
      <c r="G1706" t="s">
        <v>184</v>
      </c>
    </row>
    <row r="1707" spans="1:7" x14ac:dyDescent="0.35">
      <c r="A1707">
        <v>615</v>
      </c>
      <c r="B1707" t="s">
        <v>550</v>
      </c>
      <c r="C1707">
        <v>0</v>
      </c>
      <c r="D1707">
        <v>0</v>
      </c>
      <c r="E1707">
        <v>0</v>
      </c>
      <c r="F1707">
        <v>0</v>
      </c>
      <c r="G1707" t="s">
        <v>184</v>
      </c>
    </row>
    <row r="1708" spans="1:7" x14ac:dyDescent="0.35">
      <c r="A1708">
        <v>620</v>
      </c>
      <c r="B1708" t="s">
        <v>522</v>
      </c>
      <c r="C1708">
        <v>0</v>
      </c>
      <c r="D1708">
        <v>0</v>
      </c>
      <c r="E1708">
        <v>0</v>
      </c>
      <c r="F1708">
        <v>0</v>
      </c>
      <c r="G1708" t="s">
        <v>184</v>
      </c>
    </row>
    <row r="1709" spans="1:7" x14ac:dyDescent="0.35">
      <c r="A1709">
        <v>630</v>
      </c>
      <c r="B1709" t="s">
        <v>523</v>
      </c>
      <c r="C1709">
        <v>0</v>
      </c>
      <c r="D1709">
        <v>0</v>
      </c>
      <c r="E1709">
        <v>0</v>
      </c>
      <c r="F1709">
        <v>0</v>
      </c>
      <c r="G1709" t="s">
        <v>184</v>
      </c>
    </row>
    <row r="1710" spans="1:7" x14ac:dyDescent="0.35">
      <c r="A1710">
        <v>635</v>
      </c>
      <c r="B1710" t="s">
        <v>551</v>
      </c>
      <c r="C1710">
        <v>0</v>
      </c>
      <c r="D1710">
        <v>0</v>
      </c>
      <c r="E1710">
        <v>0</v>
      </c>
      <c r="F1710">
        <v>0</v>
      </c>
      <c r="G1710" t="s">
        <v>184</v>
      </c>
    </row>
    <row r="1711" spans="1:7" x14ac:dyDescent="0.35">
      <c r="A1711">
        <v>640</v>
      </c>
      <c r="B1711" t="s">
        <v>524</v>
      </c>
      <c r="C1711">
        <v>2513.17</v>
      </c>
      <c r="D1711">
        <v>-5689494.7800000003</v>
      </c>
      <c r="E1711">
        <v>-5666876.25</v>
      </c>
      <c r="F1711">
        <v>22618.53</v>
      </c>
      <c r="G1711" t="s">
        <v>184</v>
      </c>
    </row>
    <row r="1712" spans="1:7" x14ac:dyDescent="0.35">
      <c r="A1712">
        <v>650</v>
      </c>
      <c r="B1712" t="s">
        <v>525</v>
      </c>
      <c r="C1712">
        <v>-3397.56</v>
      </c>
      <c r="D1712">
        <v>-4807856.82</v>
      </c>
      <c r="E1712">
        <v>-4816046.21</v>
      </c>
      <c r="F1712">
        <v>-8189.39</v>
      </c>
      <c r="G1712" t="s">
        <v>184</v>
      </c>
    </row>
    <row r="1713" spans="1:7" x14ac:dyDescent="0.35">
      <c r="A1713" t="s">
        <v>279</v>
      </c>
      <c r="B1713" t="s">
        <v>172</v>
      </c>
      <c r="C1713" t="s">
        <v>468</v>
      </c>
      <c r="D1713" t="s">
        <v>469</v>
      </c>
      <c r="E1713" t="s">
        <v>470</v>
      </c>
      <c r="F1713" t="s">
        <v>471</v>
      </c>
      <c r="G1713" t="s">
        <v>183</v>
      </c>
    </row>
    <row r="1714" spans="1:7" x14ac:dyDescent="0.35">
      <c r="A1714">
        <v>10</v>
      </c>
      <c r="B1714" t="s">
        <v>472</v>
      </c>
      <c r="C1714">
        <v>0</v>
      </c>
      <c r="D1714">
        <v>0</v>
      </c>
      <c r="E1714">
        <v>0</v>
      </c>
      <c r="F1714">
        <v>0</v>
      </c>
      <c r="G1714" t="s">
        <v>184</v>
      </c>
    </row>
    <row r="1715" spans="1:7" x14ac:dyDescent="0.35">
      <c r="A1715">
        <v>20</v>
      </c>
      <c r="B1715" t="s">
        <v>147</v>
      </c>
      <c r="C1715">
        <v>401794.6</v>
      </c>
      <c r="D1715">
        <v>0</v>
      </c>
      <c r="E1715">
        <v>3695139.08</v>
      </c>
      <c r="F1715">
        <v>3695139.08</v>
      </c>
      <c r="G1715" t="s">
        <v>184</v>
      </c>
    </row>
    <row r="1716" spans="1:7" x14ac:dyDescent="0.35">
      <c r="A1716">
        <v>30</v>
      </c>
      <c r="B1716" t="s">
        <v>473</v>
      </c>
      <c r="C1716">
        <v>100080.6</v>
      </c>
      <c r="D1716">
        <v>0</v>
      </c>
      <c r="E1716">
        <v>948904.43</v>
      </c>
      <c r="F1716">
        <v>948904.43</v>
      </c>
      <c r="G1716" t="s">
        <v>184</v>
      </c>
    </row>
    <row r="1717" spans="1:7" x14ac:dyDescent="0.35">
      <c r="A1717">
        <v>35</v>
      </c>
      <c r="B1717" t="s">
        <v>474</v>
      </c>
      <c r="C1717">
        <v>301714</v>
      </c>
      <c r="D1717">
        <v>0</v>
      </c>
      <c r="E1717">
        <v>2746234.65</v>
      </c>
      <c r="F1717">
        <v>2746234.65</v>
      </c>
      <c r="G1717" t="s">
        <v>184</v>
      </c>
    </row>
    <row r="1718" spans="1:7" x14ac:dyDescent="0.35">
      <c r="A1718">
        <v>40</v>
      </c>
      <c r="B1718" t="s">
        <v>475</v>
      </c>
      <c r="C1718">
        <v>194642.08</v>
      </c>
      <c r="D1718">
        <v>0</v>
      </c>
      <c r="E1718">
        <v>1772143.76</v>
      </c>
      <c r="F1718">
        <v>1772143.76</v>
      </c>
      <c r="G1718" t="s">
        <v>184</v>
      </c>
    </row>
    <row r="1719" spans="1:7" x14ac:dyDescent="0.35">
      <c r="A1719">
        <v>50</v>
      </c>
      <c r="B1719" t="s">
        <v>476</v>
      </c>
      <c r="C1719">
        <v>0</v>
      </c>
      <c r="D1719">
        <v>0</v>
      </c>
      <c r="E1719">
        <v>0</v>
      </c>
      <c r="F1719">
        <v>0</v>
      </c>
      <c r="G1719" t="s">
        <v>184</v>
      </c>
    </row>
    <row r="1720" spans="1:7" x14ac:dyDescent="0.35">
      <c r="A1720">
        <v>60</v>
      </c>
      <c r="B1720" t="s">
        <v>477</v>
      </c>
      <c r="C1720">
        <v>107071.92</v>
      </c>
      <c r="D1720">
        <v>0</v>
      </c>
      <c r="E1720">
        <v>974090.89</v>
      </c>
      <c r="F1720">
        <v>974090.89</v>
      </c>
      <c r="G1720" t="s">
        <v>184</v>
      </c>
    </row>
    <row r="1721" spans="1:7" x14ac:dyDescent="0.35">
      <c r="A1721">
        <v>70</v>
      </c>
      <c r="B1721" t="s">
        <v>152</v>
      </c>
      <c r="C1721">
        <v>93896.37</v>
      </c>
      <c r="D1721">
        <v>0</v>
      </c>
      <c r="E1721">
        <v>865500.23</v>
      </c>
      <c r="F1721">
        <v>865500.23</v>
      </c>
      <c r="G1721" t="s">
        <v>184</v>
      </c>
    </row>
    <row r="1722" spans="1:7" x14ac:dyDescent="0.35">
      <c r="A1722">
        <v>80</v>
      </c>
      <c r="B1722" t="s">
        <v>153</v>
      </c>
      <c r="C1722">
        <v>15536.02</v>
      </c>
      <c r="D1722">
        <v>0</v>
      </c>
      <c r="E1722">
        <v>150053.67000000001</v>
      </c>
      <c r="F1722">
        <v>150053.67000000001</v>
      </c>
      <c r="G1722" t="s">
        <v>184</v>
      </c>
    </row>
    <row r="1723" spans="1:7" x14ac:dyDescent="0.35">
      <c r="A1723">
        <v>90</v>
      </c>
      <c r="B1723" t="s">
        <v>478</v>
      </c>
      <c r="C1723">
        <v>5119.0200000000004</v>
      </c>
      <c r="D1723">
        <v>0</v>
      </c>
      <c r="E1723">
        <v>84490.62</v>
      </c>
      <c r="F1723">
        <v>84490.62</v>
      </c>
      <c r="G1723" t="s">
        <v>184</v>
      </c>
    </row>
    <row r="1724" spans="1:7" x14ac:dyDescent="0.35">
      <c r="A1724">
        <v>100</v>
      </c>
      <c r="B1724" t="s">
        <v>479</v>
      </c>
      <c r="C1724">
        <v>-7479.49</v>
      </c>
      <c r="D1724">
        <v>0</v>
      </c>
      <c r="E1724">
        <v>-125953.63</v>
      </c>
      <c r="F1724">
        <v>-125953.63</v>
      </c>
      <c r="G1724" t="s">
        <v>184</v>
      </c>
    </row>
    <row r="1725" spans="1:7" x14ac:dyDescent="0.35">
      <c r="A1725">
        <v>110</v>
      </c>
      <c r="B1725" t="s">
        <v>480</v>
      </c>
      <c r="C1725">
        <v>0</v>
      </c>
      <c r="D1725">
        <v>0</v>
      </c>
      <c r="E1725">
        <v>0</v>
      </c>
      <c r="F1725">
        <v>0</v>
      </c>
      <c r="G1725" t="s">
        <v>184</v>
      </c>
    </row>
    <row r="1726" spans="1:7" x14ac:dyDescent="0.35">
      <c r="A1726">
        <v>120</v>
      </c>
      <c r="B1726" t="s">
        <v>481</v>
      </c>
      <c r="C1726">
        <v>-2571.36</v>
      </c>
      <c r="D1726">
        <v>0</v>
      </c>
      <c r="E1726">
        <v>-22568.3</v>
      </c>
      <c r="F1726">
        <v>-22568.3</v>
      </c>
      <c r="G1726" t="s">
        <v>184</v>
      </c>
    </row>
    <row r="1727" spans="1:7" x14ac:dyDescent="0.35">
      <c r="A1727">
        <v>130</v>
      </c>
      <c r="B1727" t="s">
        <v>482</v>
      </c>
      <c r="C1727">
        <v>0</v>
      </c>
      <c r="D1727">
        <v>0</v>
      </c>
      <c r="E1727">
        <v>0</v>
      </c>
      <c r="F1727">
        <v>0</v>
      </c>
      <c r="G1727" t="s">
        <v>184</v>
      </c>
    </row>
    <row r="1728" spans="1:7" x14ac:dyDescent="0.35">
      <c r="A1728">
        <v>140</v>
      </c>
      <c r="B1728" t="s">
        <v>483</v>
      </c>
      <c r="C1728">
        <v>0</v>
      </c>
      <c r="D1728">
        <v>0</v>
      </c>
      <c r="E1728">
        <v>0</v>
      </c>
      <c r="F1728">
        <v>0</v>
      </c>
      <c r="G1728" t="s">
        <v>184</v>
      </c>
    </row>
    <row r="1729" spans="1:7" x14ac:dyDescent="0.35">
      <c r="A1729">
        <v>145</v>
      </c>
      <c r="B1729" t="s">
        <v>162</v>
      </c>
      <c r="C1729">
        <v>-2571.36</v>
      </c>
      <c r="D1729">
        <v>0</v>
      </c>
      <c r="E1729">
        <v>-22568.3</v>
      </c>
      <c r="F1729">
        <v>-22568.3</v>
      </c>
      <c r="G1729" t="s">
        <v>184</v>
      </c>
    </row>
    <row r="1730" spans="1:7" x14ac:dyDescent="0.35">
      <c r="A1730">
        <v>150</v>
      </c>
      <c r="B1730" t="s">
        <v>484</v>
      </c>
      <c r="C1730">
        <v>-4908.13</v>
      </c>
      <c r="D1730">
        <v>0</v>
      </c>
      <c r="E1730">
        <v>-103385.33</v>
      </c>
      <c r="F1730">
        <v>-103385.33</v>
      </c>
      <c r="G1730" t="s">
        <v>184</v>
      </c>
    </row>
    <row r="1731" spans="1:7" x14ac:dyDescent="0.35">
      <c r="A1731">
        <v>160</v>
      </c>
      <c r="B1731" t="s">
        <v>485</v>
      </c>
      <c r="C1731">
        <v>0</v>
      </c>
      <c r="D1731">
        <v>0</v>
      </c>
      <c r="E1731">
        <v>0</v>
      </c>
      <c r="F1731">
        <v>0</v>
      </c>
      <c r="G1731" t="s">
        <v>184</v>
      </c>
    </row>
    <row r="1732" spans="1:7" x14ac:dyDescent="0.35">
      <c r="A1732">
        <v>170</v>
      </c>
      <c r="B1732" t="s">
        <v>166</v>
      </c>
      <c r="C1732">
        <v>-4908.13</v>
      </c>
      <c r="D1732">
        <v>0</v>
      </c>
      <c r="E1732">
        <v>-103385.33</v>
      </c>
      <c r="F1732">
        <v>-103385.33</v>
      </c>
      <c r="G1732" t="s">
        <v>184</v>
      </c>
    </row>
    <row r="1733" spans="1:7" x14ac:dyDescent="0.35">
      <c r="A1733">
        <v>190</v>
      </c>
      <c r="B1733" t="s">
        <v>486</v>
      </c>
      <c r="C1733">
        <v>0</v>
      </c>
      <c r="D1733">
        <v>0</v>
      </c>
      <c r="E1733">
        <v>0</v>
      </c>
      <c r="F1733">
        <v>0</v>
      </c>
      <c r="G1733" t="s">
        <v>184</v>
      </c>
    </row>
    <row r="1734" spans="1:7" x14ac:dyDescent="0.35">
      <c r="A1734">
        <v>200</v>
      </c>
      <c r="B1734" t="s">
        <v>166</v>
      </c>
      <c r="C1734">
        <v>-4908.13</v>
      </c>
      <c r="D1734">
        <v>0</v>
      </c>
      <c r="E1734">
        <v>-103385.33</v>
      </c>
      <c r="F1734">
        <v>-103385.33</v>
      </c>
      <c r="G1734" t="s">
        <v>184</v>
      </c>
    </row>
    <row r="1735" spans="1:7" x14ac:dyDescent="0.35">
      <c r="A1735">
        <v>210</v>
      </c>
      <c r="B1735" t="s">
        <v>487</v>
      </c>
      <c r="C1735">
        <v>-4908.13</v>
      </c>
      <c r="D1735">
        <v>0</v>
      </c>
      <c r="E1735">
        <v>-103385.33</v>
      </c>
      <c r="F1735">
        <v>-103385.33</v>
      </c>
      <c r="G1735" t="s">
        <v>184</v>
      </c>
    </row>
    <row r="1736" spans="1:7" x14ac:dyDescent="0.35">
      <c r="A1736">
        <v>220</v>
      </c>
      <c r="B1736" t="s">
        <v>488</v>
      </c>
      <c r="C1736">
        <v>0</v>
      </c>
      <c r="D1736">
        <v>0</v>
      </c>
      <c r="E1736">
        <v>0</v>
      </c>
      <c r="F1736">
        <v>0</v>
      </c>
      <c r="G1736" t="s">
        <v>184</v>
      </c>
    </row>
    <row r="1737" spans="1:7" x14ac:dyDescent="0.35">
      <c r="A1737">
        <v>230</v>
      </c>
      <c r="B1737" t="s">
        <v>341</v>
      </c>
      <c r="C1737">
        <v>18158.150000000001</v>
      </c>
      <c r="D1737">
        <v>-133357.6</v>
      </c>
      <c r="E1737">
        <v>-160001.45000000001</v>
      </c>
      <c r="F1737">
        <v>-26643.85</v>
      </c>
      <c r="G1737" t="s">
        <v>184</v>
      </c>
    </row>
    <row r="1738" spans="1:7" x14ac:dyDescent="0.35">
      <c r="A1738">
        <v>235</v>
      </c>
      <c r="B1738" t="s">
        <v>489</v>
      </c>
      <c r="C1738">
        <v>0</v>
      </c>
      <c r="D1738">
        <v>0</v>
      </c>
      <c r="E1738">
        <v>0</v>
      </c>
      <c r="F1738">
        <v>0</v>
      </c>
      <c r="G1738" t="s">
        <v>184</v>
      </c>
    </row>
    <row r="1739" spans="1:7" x14ac:dyDescent="0.35">
      <c r="A1739">
        <v>240</v>
      </c>
      <c r="B1739" t="s">
        <v>342</v>
      </c>
      <c r="C1739">
        <v>0</v>
      </c>
      <c r="D1739">
        <v>0</v>
      </c>
      <c r="E1739">
        <v>-9906.15</v>
      </c>
      <c r="F1739">
        <v>-9906.15</v>
      </c>
      <c r="G1739" t="s">
        <v>184</v>
      </c>
    </row>
    <row r="1740" spans="1:7" x14ac:dyDescent="0.35">
      <c r="A1740">
        <v>250</v>
      </c>
      <c r="B1740" t="s">
        <v>343</v>
      </c>
      <c r="C1740">
        <v>5255.51</v>
      </c>
      <c r="D1740">
        <v>-15785.15</v>
      </c>
      <c r="E1740">
        <v>-22082.75</v>
      </c>
      <c r="F1740">
        <v>-6297.6</v>
      </c>
      <c r="G1740" t="s">
        <v>184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184</v>
      </c>
    </row>
    <row r="1742" spans="1:7" x14ac:dyDescent="0.35">
      <c r="A1742">
        <v>270</v>
      </c>
      <c r="B1742" t="s">
        <v>344</v>
      </c>
      <c r="C1742">
        <v>-927.75</v>
      </c>
      <c r="D1742">
        <v>-38268.239999999998</v>
      </c>
      <c r="E1742">
        <v>-30805.23</v>
      </c>
      <c r="F1742">
        <v>7463.01</v>
      </c>
      <c r="G1742" t="s">
        <v>184</v>
      </c>
    </row>
    <row r="1743" spans="1:7" x14ac:dyDescent="0.35">
      <c r="A1743">
        <v>300</v>
      </c>
      <c r="B1743" t="s">
        <v>367</v>
      </c>
      <c r="C1743">
        <v>-6340.08</v>
      </c>
      <c r="D1743">
        <v>16218</v>
      </c>
      <c r="E1743">
        <v>-2224.2800000000002</v>
      </c>
      <c r="F1743">
        <v>-18442.28</v>
      </c>
      <c r="G1743" t="s">
        <v>184</v>
      </c>
    </row>
    <row r="1744" spans="1:7" x14ac:dyDescent="0.35">
      <c r="A1744">
        <v>310</v>
      </c>
      <c r="B1744" t="s">
        <v>491</v>
      </c>
      <c r="C1744">
        <v>0</v>
      </c>
      <c r="D1744">
        <v>0</v>
      </c>
      <c r="E1744">
        <v>0</v>
      </c>
      <c r="F1744">
        <v>0</v>
      </c>
      <c r="G1744" t="s">
        <v>184</v>
      </c>
    </row>
    <row r="1745" spans="1:7" x14ac:dyDescent="0.35">
      <c r="A1745">
        <v>320</v>
      </c>
      <c r="B1745" t="s">
        <v>492</v>
      </c>
      <c r="C1745">
        <v>-104.71</v>
      </c>
      <c r="D1745">
        <v>-253.19</v>
      </c>
      <c r="E1745">
        <v>265.94</v>
      </c>
      <c r="F1745">
        <v>519.13</v>
      </c>
      <c r="G1745" t="s">
        <v>184</v>
      </c>
    </row>
    <row r="1746" spans="1:7" x14ac:dyDescent="0.35">
      <c r="A1746">
        <v>325</v>
      </c>
      <c r="B1746" t="s">
        <v>493</v>
      </c>
      <c r="C1746">
        <v>-2088.19</v>
      </c>
      <c r="D1746">
        <v>12844.13</v>
      </c>
      <c r="E1746">
        <v>17535.259999999998</v>
      </c>
      <c r="F1746">
        <v>4691.13</v>
      </c>
      <c r="G1746" t="s">
        <v>184</v>
      </c>
    </row>
    <row r="1747" spans="1:7" x14ac:dyDescent="0.35">
      <c r="A1747">
        <v>330</v>
      </c>
      <c r="B1747" t="s">
        <v>570</v>
      </c>
      <c r="C1747">
        <v>14000</v>
      </c>
      <c r="D1747">
        <v>259190.54</v>
      </c>
      <c r="E1747">
        <v>343208.54</v>
      </c>
      <c r="F1747">
        <v>84018</v>
      </c>
      <c r="G1747" t="s">
        <v>184</v>
      </c>
    </row>
    <row r="1748" spans="1:7" x14ac:dyDescent="0.35">
      <c r="A1748">
        <v>340</v>
      </c>
      <c r="B1748" t="s">
        <v>495</v>
      </c>
      <c r="C1748">
        <v>-631.41</v>
      </c>
      <c r="D1748">
        <v>78007.490000000005</v>
      </c>
      <c r="E1748">
        <v>71178.570000000007</v>
      </c>
      <c r="F1748">
        <v>-6828.92</v>
      </c>
      <c r="G1748" t="s">
        <v>184</v>
      </c>
    </row>
    <row r="1749" spans="1:7" x14ac:dyDescent="0.35">
      <c r="A1749">
        <v>380</v>
      </c>
      <c r="B1749" t="s">
        <v>496</v>
      </c>
      <c r="C1749">
        <v>27321.52</v>
      </c>
      <c r="D1749">
        <v>178595.98</v>
      </c>
      <c r="E1749">
        <v>207168.45</v>
      </c>
      <c r="F1749">
        <v>28572.47</v>
      </c>
      <c r="G1749" t="s">
        <v>184</v>
      </c>
    </row>
    <row r="1750" spans="1:7" x14ac:dyDescent="0.35">
      <c r="A1750">
        <v>390</v>
      </c>
      <c r="B1750" t="s">
        <v>497</v>
      </c>
      <c r="C1750">
        <v>0</v>
      </c>
      <c r="D1750">
        <v>0</v>
      </c>
      <c r="E1750">
        <v>0</v>
      </c>
      <c r="F1750">
        <v>0</v>
      </c>
      <c r="G1750" t="s">
        <v>184</v>
      </c>
    </row>
    <row r="1751" spans="1:7" x14ac:dyDescent="0.35">
      <c r="A1751">
        <v>400</v>
      </c>
      <c r="B1751" t="s">
        <v>498</v>
      </c>
      <c r="C1751">
        <v>0</v>
      </c>
      <c r="D1751">
        <v>0</v>
      </c>
      <c r="E1751">
        <v>0</v>
      </c>
      <c r="F1751">
        <v>0</v>
      </c>
      <c r="G1751" t="s">
        <v>184</v>
      </c>
    </row>
    <row r="1752" spans="1:7" x14ac:dyDescent="0.35">
      <c r="A1752">
        <v>405</v>
      </c>
      <c r="B1752" t="s">
        <v>499</v>
      </c>
      <c r="C1752">
        <v>0</v>
      </c>
      <c r="D1752">
        <v>0</v>
      </c>
      <c r="E1752">
        <v>0</v>
      </c>
      <c r="F1752">
        <v>0</v>
      </c>
      <c r="G1752" t="s">
        <v>184</v>
      </c>
    </row>
    <row r="1753" spans="1:7" x14ac:dyDescent="0.35">
      <c r="A1753">
        <v>410</v>
      </c>
      <c r="B1753" t="s">
        <v>382</v>
      </c>
      <c r="C1753">
        <v>0</v>
      </c>
      <c r="D1753">
        <v>1000</v>
      </c>
      <c r="E1753">
        <v>1000</v>
      </c>
      <c r="F1753">
        <v>0</v>
      </c>
      <c r="G1753" t="s">
        <v>184</v>
      </c>
    </row>
    <row r="1754" spans="1:7" x14ac:dyDescent="0.35">
      <c r="A1754">
        <v>420</v>
      </c>
      <c r="B1754" t="s">
        <v>500</v>
      </c>
      <c r="C1754">
        <v>0</v>
      </c>
      <c r="D1754">
        <v>4000</v>
      </c>
      <c r="E1754">
        <v>4000</v>
      </c>
      <c r="F1754">
        <v>0</v>
      </c>
      <c r="G1754" t="s">
        <v>184</v>
      </c>
    </row>
    <row r="1755" spans="1:7" x14ac:dyDescent="0.35">
      <c r="A1755">
        <v>425</v>
      </c>
      <c r="B1755" t="s">
        <v>501</v>
      </c>
      <c r="C1755">
        <v>0</v>
      </c>
      <c r="D1755">
        <v>0</v>
      </c>
      <c r="E1755">
        <v>0</v>
      </c>
      <c r="F1755">
        <v>0</v>
      </c>
      <c r="G1755" t="s">
        <v>184</v>
      </c>
    </row>
    <row r="1756" spans="1:7" x14ac:dyDescent="0.35">
      <c r="A1756">
        <v>427</v>
      </c>
      <c r="B1756" t="s">
        <v>502</v>
      </c>
      <c r="C1756">
        <v>0</v>
      </c>
      <c r="D1756">
        <v>0</v>
      </c>
      <c r="E1756">
        <v>0</v>
      </c>
      <c r="F1756">
        <v>0</v>
      </c>
      <c r="G1756" t="s">
        <v>184</v>
      </c>
    </row>
    <row r="1757" spans="1:7" x14ac:dyDescent="0.35">
      <c r="A1757">
        <v>430</v>
      </c>
      <c r="B1757" t="s">
        <v>503</v>
      </c>
      <c r="C1757">
        <v>0</v>
      </c>
      <c r="D1757">
        <v>18910.09</v>
      </c>
      <c r="E1757">
        <v>18910.09</v>
      </c>
      <c r="F1757">
        <v>0</v>
      </c>
      <c r="G1757" t="s">
        <v>184</v>
      </c>
    </row>
    <row r="1758" spans="1:7" x14ac:dyDescent="0.35">
      <c r="A1758">
        <v>440</v>
      </c>
      <c r="B1758" t="s">
        <v>504</v>
      </c>
      <c r="C1758">
        <v>0</v>
      </c>
      <c r="D1758">
        <v>23910.09</v>
      </c>
      <c r="E1758">
        <v>23910.09</v>
      </c>
      <c r="F1758">
        <v>0</v>
      </c>
      <c r="G1758" t="s">
        <v>184</v>
      </c>
    </row>
    <row r="1759" spans="1:7" x14ac:dyDescent="0.35">
      <c r="A1759">
        <v>450</v>
      </c>
      <c r="B1759" t="s">
        <v>505</v>
      </c>
      <c r="C1759">
        <v>0</v>
      </c>
      <c r="D1759">
        <v>0</v>
      </c>
      <c r="E1759">
        <v>0</v>
      </c>
      <c r="F1759">
        <v>0</v>
      </c>
      <c r="G1759" t="s">
        <v>184</v>
      </c>
    </row>
    <row r="1760" spans="1:7" x14ac:dyDescent="0.35">
      <c r="A1760">
        <v>455</v>
      </c>
      <c r="B1760" t="s">
        <v>349</v>
      </c>
      <c r="C1760">
        <v>0</v>
      </c>
      <c r="D1760">
        <v>0</v>
      </c>
      <c r="E1760">
        <v>0</v>
      </c>
      <c r="F1760">
        <v>0</v>
      </c>
      <c r="G1760" t="s">
        <v>184</v>
      </c>
    </row>
    <row r="1761" spans="1:7" x14ac:dyDescent="0.35">
      <c r="A1761">
        <v>456</v>
      </c>
      <c r="B1761" t="s">
        <v>506</v>
      </c>
      <c r="C1761">
        <v>0</v>
      </c>
      <c r="D1761">
        <v>0</v>
      </c>
      <c r="E1761">
        <v>0</v>
      </c>
      <c r="F1761">
        <v>0</v>
      </c>
      <c r="G1761" t="s">
        <v>184</v>
      </c>
    </row>
    <row r="1762" spans="1:7" x14ac:dyDescent="0.35">
      <c r="A1762">
        <v>460</v>
      </c>
      <c r="B1762" t="s">
        <v>353</v>
      </c>
      <c r="C1762">
        <v>0</v>
      </c>
      <c r="D1762">
        <v>-433458.85</v>
      </c>
      <c r="E1762">
        <v>-439267.14</v>
      </c>
      <c r="F1762">
        <v>-5808.29</v>
      </c>
      <c r="G1762" t="s">
        <v>184</v>
      </c>
    </row>
    <row r="1763" spans="1:7" x14ac:dyDescent="0.35">
      <c r="A1763">
        <v>470</v>
      </c>
      <c r="B1763" t="s">
        <v>507</v>
      </c>
      <c r="C1763">
        <v>0</v>
      </c>
      <c r="D1763">
        <v>467510.64</v>
      </c>
      <c r="E1763">
        <v>489263.52</v>
      </c>
      <c r="F1763">
        <v>21752.880000000001</v>
      </c>
      <c r="G1763" t="s">
        <v>184</v>
      </c>
    </row>
    <row r="1764" spans="1:7" x14ac:dyDescent="0.35">
      <c r="A1764">
        <v>480</v>
      </c>
      <c r="B1764" t="s">
        <v>352</v>
      </c>
      <c r="C1764">
        <v>0</v>
      </c>
      <c r="D1764">
        <v>-26859.01</v>
      </c>
      <c r="E1764">
        <v>-26859.01</v>
      </c>
      <c r="F1764">
        <v>0</v>
      </c>
      <c r="G1764" t="s">
        <v>184</v>
      </c>
    </row>
    <row r="1765" spans="1:7" x14ac:dyDescent="0.35">
      <c r="A1765">
        <v>490</v>
      </c>
      <c r="B1765" t="s">
        <v>508</v>
      </c>
      <c r="C1765">
        <v>0</v>
      </c>
      <c r="D1765">
        <v>660</v>
      </c>
      <c r="E1765">
        <v>660</v>
      </c>
      <c r="F1765">
        <v>0</v>
      </c>
      <c r="G1765" t="s">
        <v>184</v>
      </c>
    </row>
    <row r="1766" spans="1:7" x14ac:dyDescent="0.35">
      <c r="A1766">
        <v>500</v>
      </c>
      <c r="B1766" t="s">
        <v>351</v>
      </c>
      <c r="C1766">
        <v>0</v>
      </c>
      <c r="D1766">
        <v>0</v>
      </c>
      <c r="E1766">
        <v>0</v>
      </c>
      <c r="F1766">
        <v>0</v>
      </c>
      <c r="G1766" t="s">
        <v>184</v>
      </c>
    </row>
    <row r="1767" spans="1:7" x14ac:dyDescent="0.35">
      <c r="A1767">
        <v>510</v>
      </c>
      <c r="B1767" t="s">
        <v>509</v>
      </c>
      <c r="C1767">
        <v>0</v>
      </c>
      <c r="D1767">
        <v>0</v>
      </c>
      <c r="E1767">
        <v>0</v>
      </c>
      <c r="F1767">
        <v>0</v>
      </c>
      <c r="G1767" t="s">
        <v>184</v>
      </c>
    </row>
    <row r="1768" spans="1:7" x14ac:dyDescent="0.35">
      <c r="A1768">
        <v>512</v>
      </c>
      <c r="B1768" t="s">
        <v>510</v>
      </c>
      <c r="C1768">
        <v>0</v>
      </c>
      <c r="D1768">
        <v>0</v>
      </c>
      <c r="E1768">
        <v>0</v>
      </c>
      <c r="F1768">
        <v>0</v>
      </c>
      <c r="G1768" t="s">
        <v>184</v>
      </c>
    </row>
    <row r="1769" spans="1:7" x14ac:dyDescent="0.35">
      <c r="A1769">
        <v>514</v>
      </c>
      <c r="B1769" t="s">
        <v>511</v>
      </c>
      <c r="C1769">
        <v>0</v>
      </c>
      <c r="D1769">
        <v>0</v>
      </c>
      <c r="E1769">
        <v>0</v>
      </c>
      <c r="F1769">
        <v>0</v>
      </c>
      <c r="G1769" t="s">
        <v>184</v>
      </c>
    </row>
    <row r="1770" spans="1:7" x14ac:dyDescent="0.35">
      <c r="A1770">
        <v>520</v>
      </c>
      <c r="B1770" t="s">
        <v>512</v>
      </c>
      <c r="C1770">
        <v>0</v>
      </c>
      <c r="D1770">
        <v>0</v>
      </c>
      <c r="E1770">
        <v>0</v>
      </c>
      <c r="F1770">
        <v>0</v>
      </c>
      <c r="G1770" t="s">
        <v>184</v>
      </c>
    </row>
    <row r="1771" spans="1:7" x14ac:dyDescent="0.35">
      <c r="A1771">
        <v>530</v>
      </c>
      <c r="B1771" t="s">
        <v>513</v>
      </c>
      <c r="C1771">
        <v>0</v>
      </c>
      <c r="D1771">
        <v>0</v>
      </c>
      <c r="E1771">
        <v>0</v>
      </c>
      <c r="F1771">
        <v>0</v>
      </c>
      <c r="G1771" t="s">
        <v>184</v>
      </c>
    </row>
    <row r="1772" spans="1:7" x14ac:dyDescent="0.35">
      <c r="A1772">
        <v>540</v>
      </c>
      <c r="B1772" t="s">
        <v>514</v>
      </c>
      <c r="C1772">
        <v>0</v>
      </c>
      <c r="D1772">
        <v>0</v>
      </c>
      <c r="E1772">
        <v>0</v>
      </c>
      <c r="F1772">
        <v>0</v>
      </c>
      <c r="G1772" t="s">
        <v>184</v>
      </c>
    </row>
    <row r="1773" spans="1:7" x14ac:dyDescent="0.35">
      <c r="A1773">
        <v>550</v>
      </c>
      <c r="B1773" t="s">
        <v>515</v>
      </c>
      <c r="C1773">
        <v>0</v>
      </c>
      <c r="D1773">
        <v>0</v>
      </c>
      <c r="E1773">
        <v>0</v>
      </c>
      <c r="F1773">
        <v>0</v>
      </c>
      <c r="G1773" t="s">
        <v>184</v>
      </c>
    </row>
    <row r="1774" spans="1:7" x14ac:dyDescent="0.35">
      <c r="A1774">
        <v>560</v>
      </c>
      <c r="B1774" t="s">
        <v>516</v>
      </c>
      <c r="C1774">
        <v>0</v>
      </c>
      <c r="D1774">
        <v>-374496</v>
      </c>
      <c r="E1774">
        <v>-374496</v>
      </c>
      <c r="F1774">
        <v>0</v>
      </c>
      <c r="G1774" t="s">
        <v>184</v>
      </c>
    </row>
    <row r="1775" spans="1:7" x14ac:dyDescent="0.35">
      <c r="A1775">
        <v>570</v>
      </c>
      <c r="B1775" t="s">
        <v>517</v>
      </c>
      <c r="C1775">
        <v>0</v>
      </c>
      <c r="D1775">
        <v>5527.48</v>
      </c>
      <c r="E1775">
        <v>5527.48</v>
      </c>
      <c r="F1775">
        <v>0</v>
      </c>
      <c r="G1775" t="s">
        <v>184</v>
      </c>
    </row>
    <row r="1776" spans="1:7" x14ac:dyDescent="0.35">
      <c r="A1776">
        <v>580</v>
      </c>
      <c r="B1776" t="s">
        <v>518</v>
      </c>
      <c r="C1776">
        <v>0</v>
      </c>
      <c r="D1776">
        <v>0</v>
      </c>
      <c r="E1776">
        <v>0</v>
      </c>
      <c r="F1776">
        <v>0</v>
      </c>
      <c r="G1776" t="s">
        <v>184</v>
      </c>
    </row>
    <row r="1777" spans="1:7" x14ac:dyDescent="0.35">
      <c r="A1777">
        <v>590</v>
      </c>
      <c r="B1777" t="s">
        <v>519</v>
      </c>
      <c r="C1777">
        <v>0</v>
      </c>
      <c r="D1777">
        <v>0</v>
      </c>
      <c r="E1777">
        <v>0</v>
      </c>
      <c r="F1777">
        <v>0</v>
      </c>
      <c r="G1777" t="s">
        <v>184</v>
      </c>
    </row>
    <row r="1778" spans="1:7" x14ac:dyDescent="0.35">
      <c r="A1778">
        <v>600</v>
      </c>
      <c r="B1778" t="s">
        <v>520</v>
      </c>
      <c r="C1778">
        <v>0</v>
      </c>
      <c r="D1778">
        <v>-441548.25</v>
      </c>
      <c r="E1778">
        <v>-441548.25</v>
      </c>
      <c r="F1778">
        <v>0</v>
      </c>
      <c r="G1778" t="s">
        <v>184</v>
      </c>
    </row>
    <row r="1779" spans="1:7" x14ac:dyDescent="0.35">
      <c r="A1779">
        <v>610</v>
      </c>
      <c r="B1779" t="s">
        <v>521</v>
      </c>
      <c r="C1779">
        <v>5119.0200000000004</v>
      </c>
      <c r="D1779">
        <v>635392.32999999996</v>
      </c>
      <c r="E1779">
        <v>698130.07</v>
      </c>
      <c r="F1779">
        <v>62737.74</v>
      </c>
      <c r="G1779" t="s">
        <v>184</v>
      </c>
    </row>
    <row r="1780" spans="1:7" x14ac:dyDescent="0.35">
      <c r="A1780">
        <v>615</v>
      </c>
      <c r="B1780" t="s">
        <v>550</v>
      </c>
      <c r="C1780">
        <v>0</v>
      </c>
      <c r="D1780">
        <v>0</v>
      </c>
      <c r="E1780">
        <v>0</v>
      </c>
      <c r="F1780">
        <v>0</v>
      </c>
      <c r="G1780" t="s">
        <v>184</v>
      </c>
    </row>
    <row r="1781" spans="1:7" x14ac:dyDescent="0.35">
      <c r="A1781">
        <v>620</v>
      </c>
      <c r="B1781" t="s">
        <v>522</v>
      </c>
      <c r="C1781">
        <v>0</v>
      </c>
      <c r="D1781">
        <v>0</v>
      </c>
      <c r="E1781">
        <v>0</v>
      </c>
      <c r="F1781">
        <v>0</v>
      </c>
      <c r="G1781" t="s">
        <v>184</v>
      </c>
    </row>
    <row r="1782" spans="1:7" x14ac:dyDescent="0.35">
      <c r="A1782">
        <v>630</v>
      </c>
      <c r="B1782" t="s">
        <v>523</v>
      </c>
      <c r="C1782">
        <v>0</v>
      </c>
      <c r="D1782">
        <v>-21317</v>
      </c>
      <c r="E1782">
        <v>-21317</v>
      </c>
      <c r="F1782">
        <v>0</v>
      </c>
      <c r="G1782" t="s">
        <v>184</v>
      </c>
    </row>
    <row r="1783" spans="1:7" x14ac:dyDescent="0.35">
      <c r="A1783">
        <v>635</v>
      </c>
      <c r="B1783" t="s">
        <v>551</v>
      </c>
      <c r="C1783">
        <v>0</v>
      </c>
      <c r="D1783">
        <v>0</v>
      </c>
      <c r="E1783">
        <v>0</v>
      </c>
      <c r="F1783">
        <v>0</v>
      </c>
      <c r="G1783" t="s">
        <v>184</v>
      </c>
    </row>
    <row r="1784" spans="1:7" x14ac:dyDescent="0.35">
      <c r="A1784">
        <v>640</v>
      </c>
      <c r="B1784" t="s">
        <v>524</v>
      </c>
      <c r="C1784">
        <v>5119.0200000000004</v>
      </c>
      <c r="D1784">
        <v>-188588.66</v>
      </c>
      <c r="E1784">
        <v>-109906.33</v>
      </c>
      <c r="F1784">
        <v>78682.33</v>
      </c>
      <c r="G1784" t="s">
        <v>184</v>
      </c>
    </row>
    <row r="1785" spans="1:7" x14ac:dyDescent="0.35">
      <c r="A1785">
        <v>650</v>
      </c>
      <c r="B1785" t="s">
        <v>525</v>
      </c>
      <c r="C1785">
        <v>27532.41</v>
      </c>
      <c r="D1785">
        <v>13917.41</v>
      </c>
      <c r="E1785">
        <v>17786.88</v>
      </c>
      <c r="F1785">
        <v>3869.47</v>
      </c>
      <c r="G1785" t="s">
        <v>184</v>
      </c>
    </row>
    <row r="1786" spans="1:7" x14ac:dyDescent="0.35">
      <c r="A1786" t="s">
        <v>464</v>
      </c>
      <c r="B1786" t="s">
        <v>172</v>
      </c>
      <c r="C1786" t="s">
        <v>468</v>
      </c>
      <c r="D1786" t="s">
        <v>469</v>
      </c>
      <c r="E1786" t="s">
        <v>470</v>
      </c>
      <c r="F1786" t="s">
        <v>471</v>
      </c>
      <c r="G1786" t="s">
        <v>183</v>
      </c>
    </row>
    <row r="1787" spans="1:7" x14ac:dyDescent="0.35">
      <c r="A1787">
        <v>10</v>
      </c>
      <c r="B1787" t="s">
        <v>472</v>
      </c>
      <c r="C1787">
        <v>0</v>
      </c>
      <c r="D1787">
        <v>0</v>
      </c>
      <c r="E1787">
        <v>0</v>
      </c>
      <c r="F1787">
        <v>0</v>
      </c>
      <c r="G1787" t="s">
        <v>184</v>
      </c>
    </row>
    <row r="1788" spans="1:7" x14ac:dyDescent="0.35">
      <c r="A1788">
        <v>20</v>
      </c>
      <c r="B1788" t="s">
        <v>147</v>
      </c>
      <c r="C1788">
        <v>28363.49</v>
      </c>
      <c r="D1788">
        <v>0</v>
      </c>
      <c r="E1788">
        <v>228407.1</v>
      </c>
      <c r="F1788">
        <v>228407.1</v>
      </c>
      <c r="G1788" t="s">
        <v>184</v>
      </c>
    </row>
    <row r="1789" spans="1:7" x14ac:dyDescent="0.35">
      <c r="A1789">
        <v>30</v>
      </c>
      <c r="B1789" t="s">
        <v>473</v>
      </c>
      <c r="C1789">
        <v>0</v>
      </c>
      <c r="D1789">
        <v>0</v>
      </c>
      <c r="E1789">
        <v>0</v>
      </c>
      <c r="F1789">
        <v>0</v>
      </c>
      <c r="G1789" t="s">
        <v>184</v>
      </c>
    </row>
    <row r="1790" spans="1:7" x14ac:dyDescent="0.35">
      <c r="A1790">
        <v>35</v>
      </c>
      <c r="B1790" t="s">
        <v>474</v>
      </c>
      <c r="C1790">
        <v>28363.49</v>
      </c>
      <c r="D1790">
        <v>0</v>
      </c>
      <c r="E1790">
        <v>228407.1</v>
      </c>
      <c r="F1790">
        <v>228407.1</v>
      </c>
      <c r="G1790" t="s">
        <v>184</v>
      </c>
    </row>
    <row r="1791" spans="1:7" x14ac:dyDescent="0.35">
      <c r="A1791">
        <v>40</v>
      </c>
      <c r="B1791" t="s">
        <v>475</v>
      </c>
      <c r="C1791">
        <v>0</v>
      </c>
      <c r="D1791">
        <v>0</v>
      </c>
      <c r="E1791">
        <v>0</v>
      </c>
      <c r="F1791">
        <v>0</v>
      </c>
      <c r="G1791" t="s">
        <v>184</v>
      </c>
    </row>
    <row r="1792" spans="1:7" x14ac:dyDescent="0.35">
      <c r="A1792">
        <v>50</v>
      </c>
      <c r="B1792" t="s">
        <v>476</v>
      </c>
      <c r="C1792">
        <v>0</v>
      </c>
      <c r="D1792">
        <v>0</v>
      </c>
      <c r="E1792">
        <v>0</v>
      </c>
      <c r="F1792">
        <v>0</v>
      </c>
      <c r="G1792" t="s">
        <v>184</v>
      </c>
    </row>
    <row r="1793" spans="1:7" x14ac:dyDescent="0.35">
      <c r="A1793">
        <v>60</v>
      </c>
      <c r="B1793" t="s">
        <v>477</v>
      </c>
      <c r="C1793">
        <v>28363.49</v>
      </c>
      <c r="D1793">
        <v>0</v>
      </c>
      <c r="E1793">
        <v>228407.1</v>
      </c>
      <c r="F1793">
        <v>228407.1</v>
      </c>
      <c r="G1793" t="s">
        <v>184</v>
      </c>
    </row>
    <row r="1794" spans="1:7" x14ac:dyDescent="0.35">
      <c r="A1794">
        <v>70</v>
      </c>
      <c r="B1794" t="s">
        <v>152</v>
      </c>
      <c r="C1794">
        <v>771.83</v>
      </c>
      <c r="D1794">
        <v>0</v>
      </c>
      <c r="E1794">
        <v>16708.25</v>
      </c>
      <c r="F1794">
        <v>16708.25</v>
      </c>
      <c r="G1794" t="s">
        <v>184</v>
      </c>
    </row>
    <row r="1795" spans="1:7" x14ac:dyDescent="0.35">
      <c r="A1795">
        <v>80</v>
      </c>
      <c r="B1795" t="s">
        <v>153</v>
      </c>
      <c r="C1795">
        <v>0</v>
      </c>
      <c r="D1795">
        <v>0</v>
      </c>
      <c r="E1795">
        <v>0</v>
      </c>
      <c r="F1795">
        <v>0</v>
      </c>
      <c r="G1795" t="s">
        <v>184</v>
      </c>
    </row>
    <row r="1796" spans="1:7" x14ac:dyDescent="0.35">
      <c r="A1796">
        <v>90</v>
      </c>
      <c r="B1796" t="s">
        <v>478</v>
      </c>
      <c r="C1796">
        <v>2809.12</v>
      </c>
      <c r="D1796">
        <v>0</v>
      </c>
      <c r="E1796">
        <v>25282.080000000002</v>
      </c>
      <c r="F1796">
        <v>25282.080000000002</v>
      </c>
      <c r="G1796" t="s">
        <v>184</v>
      </c>
    </row>
    <row r="1797" spans="1:7" x14ac:dyDescent="0.35">
      <c r="A1797">
        <v>100</v>
      </c>
      <c r="B1797" t="s">
        <v>479</v>
      </c>
      <c r="C1797">
        <v>24782.54</v>
      </c>
      <c r="D1797">
        <v>0</v>
      </c>
      <c r="E1797">
        <v>186416.77</v>
      </c>
      <c r="F1797">
        <v>186416.77</v>
      </c>
      <c r="G1797" t="s">
        <v>184</v>
      </c>
    </row>
    <row r="1798" spans="1:7" x14ac:dyDescent="0.35">
      <c r="A1798">
        <v>110</v>
      </c>
      <c r="B1798" t="s">
        <v>480</v>
      </c>
      <c r="C1798">
        <v>0</v>
      </c>
      <c r="D1798">
        <v>0</v>
      </c>
      <c r="E1798">
        <v>0</v>
      </c>
      <c r="F1798">
        <v>0</v>
      </c>
      <c r="G1798" t="s">
        <v>184</v>
      </c>
    </row>
    <row r="1799" spans="1:7" x14ac:dyDescent="0.35">
      <c r="A1799">
        <v>120</v>
      </c>
      <c r="B1799" t="s">
        <v>481</v>
      </c>
      <c r="C1799">
        <v>158.29</v>
      </c>
      <c r="D1799">
        <v>0</v>
      </c>
      <c r="E1799">
        <v>158.29</v>
      </c>
      <c r="F1799">
        <v>158.29</v>
      </c>
      <c r="G1799" t="s">
        <v>184</v>
      </c>
    </row>
    <row r="1800" spans="1:7" x14ac:dyDescent="0.35">
      <c r="A1800">
        <v>130</v>
      </c>
      <c r="B1800" t="s">
        <v>482</v>
      </c>
      <c r="C1800">
        <v>2097.44</v>
      </c>
      <c r="D1800">
        <v>0</v>
      </c>
      <c r="E1800">
        <v>3753.75</v>
      </c>
      <c r="F1800">
        <v>3753.75</v>
      </c>
      <c r="G1800" t="s">
        <v>184</v>
      </c>
    </row>
    <row r="1801" spans="1:7" x14ac:dyDescent="0.35">
      <c r="A1801">
        <v>140</v>
      </c>
      <c r="B1801" t="s">
        <v>483</v>
      </c>
      <c r="C1801">
        <v>0</v>
      </c>
      <c r="D1801">
        <v>0</v>
      </c>
      <c r="E1801">
        <v>0</v>
      </c>
      <c r="F1801">
        <v>0</v>
      </c>
      <c r="G1801" t="s">
        <v>184</v>
      </c>
    </row>
    <row r="1802" spans="1:7" x14ac:dyDescent="0.35">
      <c r="A1802">
        <v>145</v>
      </c>
      <c r="B1802" t="s">
        <v>162</v>
      </c>
      <c r="C1802">
        <v>2255.73</v>
      </c>
      <c r="D1802">
        <v>0</v>
      </c>
      <c r="E1802">
        <v>3912.04</v>
      </c>
      <c r="F1802">
        <v>3912.04</v>
      </c>
      <c r="G1802" t="s">
        <v>184</v>
      </c>
    </row>
    <row r="1803" spans="1:7" x14ac:dyDescent="0.35">
      <c r="A1803">
        <v>150</v>
      </c>
      <c r="B1803" t="s">
        <v>484</v>
      </c>
      <c r="C1803">
        <v>22526.81</v>
      </c>
      <c r="D1803">
        <v>0</v>
      </c>
      <c r="E1803">
        <v>182504.73</v>
      </c>
      <c r="F1803">
        <v>182504.73</v>
      </c>
      <c r="G1803" t="s">
        <v>184</v>
      </c>
    </row>
    <row r="1804" spans="1:7" x14ac:dyDescent="0.35">
      <c r="A1804">
        <v>160</v>
      </c>
      <c r="B1804" t="s">
        <v>485</v>
      </c>
      <c r="C1804">
        <v>0</v>
      </c>
      <c r="D1804">
        <v>0</v>
      </c>
      <c r="E1804">
        <v>0</v>
      </c>
      <c r="F1804">
        <v>0</v>
      </c>
      <c r="G1804" t="s">
        <v>184</v>
      </c>
    </row>
    <row r="1805" spans="1:7" x14ac:dyDescent="0.35">
      <c r="A1805">
        <v>170</v>
      </c>
      <c r="B1805" t="s">
        <v>166</v>
      </c>
      <c r="C1805">
        <v>22526.81</v>
      </c>
      <c r="D1805">
        <v>0</v>
      </c>
      <c r="E1805">
        <v>182504.73</v>
      </c>
      <c r="F1805">
        <v>182504.73</v>
      </c>
      <c r="G1805" t="s">
        <v>184</v>
      </c>
    </row>
    <row r="1806" spans="1:7" x14ac:dyDescent="0.35">
      <c r="A1806">
        <v>190</v>
      </c>
      <c r="B1806" t="s">
        <v>486</v>
      </c>
      <c r="C1806">
        <v>0</v>
      </c>
      <c r="D1806">
        <v>0</v>
      </c>
      <c r="E1806">
        <v>0</v>
      </c>
      <c r="F1806">
        <v>0</v>
      </c>
      <c r="G1806" t="s">
        <v>184</v>
      </c>
    </row>
    <row r="1807" spans="1:7" x14ac:dyDescent="0.35">
      <c r="A1807">
        <v>200</v>
      </c>
      <c r="B1807" t="s">
        <v>166</v>
      </c>
      <c r="C1807">
        <v>22526.81</v>
      </c>
      <c r="D1807">
        <v>0</v>
      </c>
      <c r="E1807">
        <v>182504.73</v>
      </c>
      <c r="F1807">
        <v>182504.73</v>
      </c>
      <c r="G1807" t="s">
        <v>184</v>
      </c>
    </row>
    <row r="1808" spans="1:7" x14ac:dyDescent="0.35">
      <c r="A1808">
        <v>210</v>
      </c>
      <c r="B1808" t="s">
        <v>487</v>
      </c>
      <c r="C1808">
        <v>22526.81</v>
      </c>
      <c r="D1808">
        <v>0</v>
      </c>
      <c r="E1808">
        <v>182504.73</v>
      </c>
      <c r="F1808">
        <v>182504.73</v>
      </c>
      <c r="G1808" t="s">
        <v>184</v>
      </c>
    </row>
    <row r="1809" spans="1:7" x14ac:dyDescent="0.35">
      <c r="A1809">
        <v>220</v>
      </c>
      <c r="B1809" t="s">
        <v>488</v>
      </c>
      <c r="C1809">
        <v>0</v>
      </c>
      <c r="D1809">
        <v>0</v>
      </c>
      <c r="E1809">
        <v>0</v>
      </c>
      <c r="F1809">
        <v>0</v>
      </c>
      <c r="G1809" t="s">
        <v>184</v>
      </c>
    </row>
    <row r="1810" spans="1:7" x14ac:dyDescent="0.35">
      <c r="A1810">
        <v>230</v>
      </c>
      <c r="B1810" t="s">
        <v>341</v>
      </c>
      <c r="C1810">
        <v>0</v>
      </c>
      <c r="D1810">
        <v>0</v>
      </c>
      <c r="E1810">
        <v>0</v>
      </c>
      <c r="F1810">
        <v>0</v>
      </c>
      <c r="G1810" t="s">
        <v>184</v>
      </c>
    </row>
    <row r="1811" spans="1:7" x14ac:dyDescent="0.35">
      <c r="A1811">
        <v>235</v>
      </c>
      <c r="B1811" t="s">
        <v>489</v>
      </c>
      <c r="C1811">
        <v>0</v>
      </c>
      <c r="D1811">
        <v>-30000</v>
      </c>
      <c r="E1811">
        <v>-30000</v>
      </c>
      <c r="F1811">
        <v>0</v>
      </c>
      <c r="G1811" t="s">
        <v>184</v>
      </c>
    </row>
    <row r="1812" spans="1:7" x14ac:dyDescent="0.35">
      <c r="A1812">
        <v>240</v>
      </c>
      <c r="B1812" t="s">
        <v>342</v>
      </c>
      <c r="C1812">
        <v>-20000</v>
      </c>
      <c r="D1812">
        <v>-247987.07</v>
      </c>
      <c r="E1812">
        <v>-401738.6</v>
      </c>
      <c r="F1812">
        <v>-153751.53</v>
      </c>
      <c r="G1812" t="s">
        <v>184</v>
      </c>
    </row>
    <row r="1813" spans="1:7" x14ac:dyDescent="0.35">
      <c r="A1813">
        <v>250</v>
      </c>
      <c r="B1813" t="s">
        <v>343</v>
      </c>
      <c r="C1813">
        <v>0</v>
      </c>
      <c r="D1813">
        <v>0</v>
      </c>
      <c r="E1813">
        <v>0</v>
      </c>
      <c r="F1813">
        <v>0</v>
      </c>
      <c r="G1813" t="s">
        <v>184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184</v>
      </c>
    </row>
    <row r="1815" spans="1:7" x14ac:dyDescent="0.35">
      <c r="A1815">
        <v>270</v>
      </c>
      <c r="B1815" t="s">
        <v>344</v>
      </c>
      <c r="C1815">
        <v>0</v>
      </c>
      <c r="D1815">
        <v>0</v>
      </c>
      <c r="E1815">
        <v>0</v>
      </c>
      <c r="F1815">
        <v>0</v>
      </c>
      <c r="G1815" t="s">
        <v>184</v>
      </c>
    </row>
    <row r="1816" spans="1:7" x14ac:dyDescent="0.35">
      <c r="A1816">
        <v>300</v>
      </c>
      <c r="B1816" t="s">
        <v>367</v>
      </c>
      <c r="C1816">
        <v>-1005.8</v>
      </c>
      <c r="D1816">
        <v>0</v>
      </c>
      <c r="E1816">
        <v>0</v>
      </c>
      <c r="F1816">
        <v>0</v>
      </c>
      <c r="G1816" t="s">
        <v>184</v>
      </c>
    </row>
    <row r="1817" spans="1:7" x14ac:dyDescent="0.35">
      <c r="A1817">
        <v>310</v>
      </c>
      <c r="B1817" t="s">
        <v>491</v>
      </c>
      <c r="C1817">
        <v>0</v>
      </c>
      <c r="D1817">
        <v>0</v>
      </c>
      <c r="E1817">
        <v>0</v>
      </c>
      <c r="F1817">
        <v>0</v>
      </c>
      <c r="G1817" t="s">
        <v>184</v>
      </c>
    </row>
    <row r="1818" spans="1:7" x14ac:dyDescent="0.35">
      <c r="A1818">
        <v>320</v>
      </c>
      <c r="B1818" t="s">
        <v>492</v>
      </c>
      <c r="C1818">
        <v>0</v>
      </c>
      <c r="D1818">
        <v>0</v>
      </c>
      <c r="E1818">
        <v>0</v>
      </c>
      <c r="F1818">
        <v>0</v>
      </c>
      <c r="G1818" t="s">
        <v>184</v>
      </c>
    </row>
    <row r="1819" spans="1:7" x14ac:dyDescent="0.35">
      <c r="A1819">
        <v>325</v>
      </c>
      <c r="B1819" t="s">
        <v>493</v>
      </c>
      <c r="C1819">
        <v>-9.33</v>
      </c>
      <c r="D1819">
        <v>0</v>
      </c>
      <c r="E1819">
        <v>6674.84</v>
      </c>
      <c r="F1819">
        <v>6674.84</v>
      </c>
      <c r="G1819" t="s">
        <v>184</v>
      </c>
    </row>
    <row r="1820" spans="1:7" x14ac:dyDescent="0.35">
      <c r="A1820">
        <v>330</v>
      </c>
      <c r="B1820" t="s">
        <v>570</v>
      </c>
      <c r="C1820">
        <v>0</v>
      </c>
      <c r="D1820">
        <v>0</v>
      </c>
      <c r="E1820">
        <v>0</v>
      </c>
      <c r="F1820">
        <v>0</v>
      </c>
      <c r="G1820" t="s">
        <v>184</v>
      </c>
    </row>
    <row r="1821" spans="1:7" x14ac:dyDescent="0.35">
      <c r="A1821">
        <v>340</v>
      </c>
      <c r="B1821" t="s">
        <v>495</v>
      </c>
      <c r="C1821">
        <v>0</v>
      </c>
      <c r="D1821">
        <v>0</v>
      </c>
      <c r="E1821">
        <v>0</v>
      </c>
      <c r="F1821">
        <v>0</v>
      </c>
      <c r="G1821" t="s">
        <v>184</v>
      </c>
    </row>
    <row r="1822" spans="1:7" x14ac:dyDescent="0.35">
      <c r="A1822">
        <v>380</v>
      </c>
      <c r="B1822" t="s">
        <v>496</v>
      </c>
      <c r="C1822">
        <v>-21015.13</v>
      </c>
      <c r="D1822">
        <v>-277987.07</v>
      </c>
      <c r="E1822">
        <v>-425063.76</v>
      </c>
      <c r="F1822">
        <v>-147076.69</v>
      </c>
      <c r="G1822" t="s">
        <v>184</v>
      </c>
    </row>
    <row r="1823" spans="1:7" x14ac:dyDescent="0.35">
      <c r="A1823">
        <v>390</v>
      </c>
      <c r="B1823" t="s">
        <v>497</v>
      </c>
      <c r="C1823">
        <v>0</v>
      </c>
      <c r="D1823">
        <v>0</v>
      </c>
      <c r="E1823">
        <v>0</v>
      </c>
      <c r="F1823">
        <v>0</v>
      </c>
      <c r="G1823" t="s">
        <v>184</v>
      </c>
    </row>
    <row r="1824" spans="1:7" x14ac:dyDescent="0.35">
      <c r="A1824">
        <v>400</v>
      </c>
      <c r="B1824" t="s">
        <v>498</v>
      </c>
      <c r="C1824">
        <v>-842.56</v>
      </c>
      <c r="D1824">
        <v>0</v>
      </c>
      <c r="E1824">
        <v>388873.75</v>
      </c>
      <c r="F1824">
        <v>388873.75</v>
      </c>
      <c r="G1824" t="s">
        <v>184</v>
      </c>
    </row>
    <row r="1825" spans="1:7" x14ac:dyDescent="0.35">
      <c r="A1825">
        <v>405</v>
      </c>
      <c r="B1825" t="s">
        <v>499</v>
      </c>
      <c r="C1825">
        <v>0</v>
      </c>
      <c r="D1825">
        <v>0</v>
      </c>
      <c r="E1825">
        <v>0</v>
      </c>
      <c r="F1825">
        <v>0</v>
      </c>
      <c r="G1825" t="s">
        <v>184</v>
      </c>
    </row>
    <row r="1826" spans="1:7" x14ac:dyDescent="0.35">
      <c r="A1826">
        <v>410</v>
      </c>
      <c r="B1826" t="s">
        <v>382</v>
      </c>
      <c r="C1826">
        <v>0</v>
      </c>
      <c r="D1826">
        <v>0</v>
      </c>
      <c r="E1826">
        <v>0</v>
      </c>
      <c r="F1826">
        <v>0</v>
      </c>
      <c r="G1826" t="s">
        <v>184</v>
      </c>
    </row>
    <row r="1827" spans="1:7" x14ac:dyDescent="0.35">
      <c r="A1827">
        <v>420</v>
      </c>
      <c r="B1827" t="s">
        <v>500</v>
      </c>
      <c r="C1827">
        <v>0</v>
      </c>
      <c r="D1827">
        <v>-237390.69</v>
      </c>
      <c r="E1827">
        <v>-267408</v>
      </c>
      <c r="F1827">
        <v>-30017.31</v>
      </c>
      <c r="G1827" t="s">
        <v>184</v>
      </c>
    </row>
    <row r="1828" spans="1:7" x14ac:dyDescent="0.35">
      <c r="A1828">
        <v>425</v>
      </c>
      <c r="B1828" t="s">
        <v>501</v>
      </c>
      <c r="C1828">
        <v>0</v>
      </c>
      <c r="D1828">
        <v>0</v>
      </c>
      <c r="E1828">
        <v>0</v>
      </c>
      <c r="F1828">
        <v>0</v>
      </c>
      <c r="G1828" t="s">
        <v>184</v>
      </c>
    </row>
    <row r="1829" spans="1:7" x14ac:dyDescent="0.35">
      <c r="A1829">
        <v>427</v>
      </c>
      <c r="B1829" t="s">
        <v>502</v>
      </c>
      <c r="C1829">
        <v>0</v>
      </c>
      <c r="D1829">
        <v>0</v>
      </c>
      <c r="E1829">
        <v>0</v>
      </c>
      <c r="F1829">
        <v>0</v>
      </c>
      <c r="G1829" t="s">
        <v>184</v>
      </c>
    </row>
    <row r="1830" spans="1:7" x14ac:dyDescent="0.35">
      <c r="A1830">
        <v>430</v>
      </c>
      <c r="B1830" t="s">
        <v>503</v>
      </c>
      <c r="C1830">
        <v>0</v>
      </c>
      <c r="D1830">
        <v>1468317.89</v>
      </c>
      <c r="E1830">
        <v>1468317.89</v>
      </c>
      <c r="F1830">
        <v>0</v>
      </c>
      <c r="G1830" t="s">
        <v>184</v>
      </c>
    </row>
    <row r="1831" spans="1:7" x14ac:dyDescent="0.35">
      <c r="A1831">
        <v>440</v>
      </c>
      <c r="B1831" t="s">
        <v>504</v>
      </c>
      <c r="C1831">
        <v>-842.56</v>
      </c>
      <c r="D1831">
        <v>1230927.2</v>
      </c>
      <c r="E1831">
        <v>1589783.64</v>
      </c>
      <c r="F1831">
        <v>358856.44</v>
      </c>
      <c r="G1831" t="s">
        <v>184</v>
      </c>
    </row>
    <row r="1832" spans="1:7" x14ac:dyDescent="0.35">
      <c r="A1832">
        <v>450</v>
      </c>
      <c r="B1832" t="s">
        <v>505</v>
      </c>
      <c r="C1832">
        <v>0</v>
      </c>
      <c r="D1832">
        <v>0</v>
      </c>
      <c r="E1832">
        <v>0</v>
      </c>
      <c r="F1832">
        <v>0</v>
      </c>
      <c r="G1832" t="s">
        <v>184</v>
      </c>
    </row>
    <row r="1833" spans="1:7" x14ac:dyDescent="0.35">
      <c r="A1833">
        <v>455</v>
      </c>
      <c r="B1833" t="s">
        <v>349</v>
      </c>
      <c r="C1833">
        <v>0</v>
      </c>
      <c r="D1833">
        <v>-1034216</v>
      </c>
      <c r="E1833">
        <v>-1473639.68</v>
      </c>
      <c r="F1833">
        <v>-439423.68</v>
      </c>
      <c r="G1833" t="s">
        <v>184</v>
      </c>
    </row>
    <row r="1834" spans="1:7" x14ac:dyDescent="0.35">
      <c r="A1834">
        <v>456</v>
      </c>
      <c r="B1834" t="s">
        <v>506</v>
      </c>
      <c r="C1834">
        <v>2809.12</v>
      </c>
      <c r="D1834">
        <v>104953.44</v>
      </c>
      <c r="E1834">
        <v>130235.52</v>
      </c>
      <c r="F1834">
        <v>25282.080000000002</v>
      </c>
      <c r="G1834" t="s">
        <v>184</v>
      </c>
    </row>
    <row r="1835" spans="1:7" x14ac:dyDescent="0.35">
      <c r="A1835">
        <v>460</v>
      </c>
      <c r="B1835" t="s">
        <v>353</v>
      </c>
      <c r="C1835">
        <v>0</v>
      </c>
      <c r="D1835">
        <v>0</v>
      </c>
      <c r="E1835">
        <v>0</v>
      </c>
      <c r="F1835">
        <v>0</v>
      </c>
      <c r="G1835" t="s">
        <v>184</v>
      </c>
    </row>
    <row r="1836" spans="1:7" x14ac:dyDescent="0.35">
      <c r="A1836">
        <v>470</v>
      </c>
      <c r="B1836" t="s">
        <v>507</v>
      </c>
      <c r="C1836">
        <v>0</v>
      </c>
      <c r="D1836">
        <v>0</v>
      </c>
      <c r="E1836">
        <v>0</v>
      </c>
      <c r="F1836">
        <v>0</v>
      </c>
      <c r="G1836" t="s">
        <v>184</v>
      </c>
    </row>
    <row r="1837" spans="1:7" x14ac:dyDescent="0.35">
      <c r="A1837">
        <v>480</v>
      </c>
      <c r="B1837" t="s">
        <v>352</v>
      </c>
      <c r="C1837">
        <v>0</v>
      </c>
      <c r="D1837">
        <v>0</v>
      </c>
      <c r="E1837">
        <v>0</v>
      </c>
      <c r="F1837">
        <v>0</v>
      </c>
      <c r="G1837" t="s">
        <v>184</v>
      </c>
    </row>
    <row r="1838" spans="1:7" x14ac:dyDescent="0.35">
      <c r="A1838">
        <v>490</v>
      </c>
      <c r="B1838" t="s">
        <v>508</v>
      </c>
      <c r="C1838">
        <v>0</v>
      </c>
      <c r="D1838">
        <v>0</v>
      </c>
      <c r="E1838">
        <v>0</v>
      </c>
      <c r="F1838">
        <v>0</v>
      </c>
      <c r="G1838" t="s">
        <v>184</v>
      </c>
    </row>
    <row r="1839" spans="1:7" x14ac:dyDescent="0.35">
      <c r="A1839">
        <v>500</v>
      </c>
      <c r="B1839" t="s">
        <v>351</v>
      </c>
      <c r="C1839">
        <v>0</v>
      </c>
      <c r="D1839">
        <v>0</v>
      </c>
      <c r="E1839">
        <v>0</v>
      </c>
      <c r="F1839">
        <v>0</v>
      </c>
      <c r="G1839" t="s">
        <v>184</v>
      </c>
    </row>
    <row r="1840" spans="1:7" x14ac:dyDescent="0.35">
      <c r="A1840">
        <v>510</v>
      </c>
      <c r="B1840" t="s">
        <v>509</v>
      </c>
      <c r="C1840">
        <v>0</v>
      </c>
      <c r="D1840">
        <v>0</v>
      </c>
      <c r="E1840">
        <v>0</v>
      </c>
      <c r="F1840">
        <v>0</v>
      </c>
      <c r="G1840" t="s">
        <v>184</v>
      </c>
    </row>
    <row r="1841" spans="1:7" x14ac:dyDescent="0.35">
      <c r="A1841">
        <v>512</v>
      </c>
      <c r="B1841" t="s">
        <v>510</v>
      </c>
      <c r="C1841">
        <v>0</v>
      </c>
      <c r="D1841">
        <v>0</v>
      </c>
      <c r="E1841">
        <v>0</v>
      </c>
      <c r="F1841">
        <v>0</v>
      </c>
      <c r="G1841" t="s">
        <v>184</v>
      </c>
    </row>
    <row r="1842" spans="1:7" x14ac:dyDescent="0.35">
      <c r="A1842">
        <v>514</v>
      </c>
      <c r="B1842" t="s">
        <v>511</v>
      </c>
      <c r="C1842">
        <v>0</v>
      </c>
      <c r="D1842">
        <v>0</v>
      </c>
      <c r="E1842">
        <v>0</v>
      </c>
      <c r="F1842">
        <v>0</v>
      </c>
      <c r="G1842" t="s">
        <v>184</v>
      </c>
    </row>
    <row r="1843" spans="1:7" x14ac:dyDescent="0.35">
      <c r="A1843">
        <v>520</v>
      </c>
      <c r="B1843" t="s">
        <v>512</v>
      </c>
      <c r="C1843">
        <v>0</v>
      </c>
      <c r="D1843">
        <v>0</v>
      </c>
      <c r="E1843">
        <v>0</v>
      </c>
      <c r="F1843">
        <v>0</v>
      </c>
      <c r="G1843" t="s">
        <v>184</v>
      </c>
    </row>
    <row r="1844" spans="1:7" x14ac:dyDescent="0.35">
      <c r="A1844">
        <v>530</v>
      </c>
      <c r="B1844" t="s">
        <v>513</v>
      </c>
      <c r="C1844">
        <v>0</v>
      </c>
      <c r="D1844">
        <v>0</v>
      </c>
      <c r="E1844">
        <v>0</v>
      </c>
      <c r="F1844">
        <v>0</v>
      </c>
      <c r="G1844" t="s">
        <v>184</v>
      </c>
    </row>
    <row r="1845" spans="1:7" x14ac:dyDescent="0.35">
      <c r="A1845">
        <v>540</v>
      </c>
      <c r="B1845" t="s">
        <v>514</v>
      </c>
      <c r="C1845">
        <v>0</v>
      </c>
      <c r="D1845">
        <v>0</v>
      </c>
      <c r="E1845">
        <v>0</v>
      </c>
      <c r="F1845">
        <v>0</v>
      </c>
      <c r="G1845" t="s">
        <v>184</v>
      </c>
    </row>
    <row r="1846" spans="1:7" x14ac:dyDescent="0.35">
      <c r="A1846">
        <v>550</v>
      </c>
      <c r="B1846" t="s">
        <v>515</v>
      </c>
      <c r="C1846">
        <v>0</v>
      </c>
      <c r="D1846">
        <v>0</v>
      </c>
      <c r="E1846">
        <v>0</v>
      </c>
      <c r="F1846">
        <v>0</v>
      </c>
      <c r="G1846" t="s">
        <v>184</v>
      </c>
    </row>
    <row r="1847" spans="1:7" x14ac:dyDescent="0.35">
      <c r="A1847">
        <v>560</v>
      </c>
      <c r="B1847" t="s">
        <v>516</v>
      </c>
      <c r="C1847">
        <v>0</v>
      </c>
      <c r="D1847">
        <v>-400</v>
      </c>
      <c r="E1847">
        <v>-400</v>
      </c>
      <c r="F1847">
        <v>0</v>
      </c>
      <c r="G1847" t="s">
        <v>184</v>
      </c>
    </row>
    <row r="1848" spans="1:7" x14ac:dyDescent="0.35">
      <c r="A1848">
        <v>570</v>
      </c>
      <c r="B1848" t="s">
        <v>517</v>
      </c>
      <c r="C1848">
        <v>0</v>
      </c>
      <c r="D1848">
        <v>400</v>
      </c>
      <c r="E1848">
        <v>400</v>
      </c>
      <c r="F1848">
        <v>0</v>
      </c>
      <c r="G1848" t="s">
        <v>184</v>
      </c>
    </row>
    <row r="1849" spans="1:7" x14ac:dyDescent="0.35">
      <c r="A1849">
        <v>580</v>
      </c>
      <c r="B1849" t="s">
        <v>518</v>
      </c>
      <c r="C1849">
        <v>0</v>
      </c>
      <c r="D1849">
        <v>0</v>
      </c>
      <c r="E1849">
        <v>0</v>
      </c>
      <c r="F1849">
        <v>0</v>
      </c>
      <c r="G1849" t="s">
        <v>184</v>
      </c>
    </row>
    <row r="1850" spans="1:7" x14ac:dyDescent="0.35">
      <c r="A1850">
        <v>590</v>
      </c>
      <c r="B1850" t="s">
        <v>519</v>
      </c>
      <c r="C1850">
        <v>0</v>
      </c>
      <c r="D1850">
        <v>0</v>
      </c>
      <c r="E1850">
        <v>0</v>
      </c>
      <c r="F1850">
        <v>0</v>
      </c>
      <c r="G1850" t="s">
        <v>184</v>
      </c>
    </row>
    <row r="1851" spans="1:7" x14ac:dyDescent="0.35">
      <c r="A1851">
        <v>600</v>
      </c>
      <c r="B1851" t="s">
        <v>520</v>
      </c>
      <c r="C1851">
        <v>0</v>
      </c>
      <c r="D1851">
        <v>0</v>
      </c>
      <c r="E1851">
        <v>0</v>
      </c>
      <c r="F1851">
        <v>0</v>
      </c>
      <c r="G1851" t="s">
        <v>184</v>
      </c>
    </row>
    <row r="1852" spans="1:7" x14ac:dyDescent="0.35">
      <c r="A1852">
        <v>610</v>
      </c>
      <c r="B1852" t="s">
        <v>521</v>
      </c>
      <c r="C1852">
        <v>0</v>
      </c>
      <c r="D1852">
        <v>0</v>
      </c>
      <c r="E1852">
        <v>0</v>
      </c>
      <c r="F1852">
        <v>0</v>
      </c>
      <c r="G1852" t="s">
        <v>184</v>
      </c>
    </row>
    <row r="1853" spans="1:7" x14ac:dyDescent="0.35">
      <c r="A1853">
        <v>615</v>
      </c>
      <c r="B1853" t="s">
        <v>550</v>
      </c>
      <c r="C1853">
        <v>0</v>
      </c>
      <c r="D1853">
        <v>0</v>
      </c>
      <c r="E1853">
        <v>0</v>
      </c>
      <c r="F1853">
        <v>0</v>
      </c>
      <c r="G1853" t="s">
        <v>184</v>
      </c>
    </row>
    <row r="1854" spans="1:7" x14ac:dyDescent="0.35">
      <c r="A1854">
        <v>620</v>
      </c>
      <c r="B1854" t="s">
        <v>522</v>
      </c>
      <c r="C1854">
        <v>0</v>
      </c>
      <c r="D1854">
        <v>0</v>
      </c>
      <c r="E1854">
        <v>0</v>
      </c>
      <c r="F1854">
        <v>0</v>
      </c>
      <c r="G1854" t="s">
        <v>184</v>
      </c>
    </row>
    <row r="1855" spans="1:7" x14ac:dyDescent="0.35">
      <c r="A1855">
        <v>630</v>
      </c>
      <c r="B1855" t="s">
        <v>523</v>
      </c>
      <c r="C1855">
        <v>0</v>
      </c>
      <c r="D1855">
        <v>0</v>
      </c>
      <c r="E1855">
        <v>0</v>
      </c>
      <c r="F1855">
        <v>0</v>
      </c>
      <c r="G1855" t="s">
        <v>184</v>
      </c>
    </row>
    <row r="1856" spans="1:7" x14ac:dyDescent="0.35">
      <c r="A1856">
        <v>635</v>
      </c>
      <c r="B1856" t="s">
        <v>551</v>
      </c>
      <c r="C1856">
        <v>0</v>
      </c>
      <c r="D1856">
        <v>0</v>
      </c>
      <c r="E1856">
        <v>0</v>
      </c>
      <c r="F1856">
        <v>0</v>
      </c>
      <c r="G1856" t="s">
        <v>184</v>
      </c>
    </row>
    <row r="1857" spans="1:7" x14ac:dyDescent="0.35">
      <c r="A1857">
        <v>640</v>
      </c>
      <c r="B1857" t="s">
        <v>524</v>
      </c>
      <c r="C1857">
        <v>2809.12</v>
      </c>
      <c r="D1857">
        <v>-929262.56</v>
      </c>
      <c r="E1857">
        <v>-1343404.16</v>
      </c>
      <c r="F1857">
        <v>-414141.6</v>
      </c>
      <c r="G1857" t="s">
        <v>184</v>
      </c>
    </row>
    <row r="1858" spans="1:7" x14ac:dyDescent="0.35">
      <c r="A1858">
        <v>650</v>
      </c>
      <c r="B1858" t="s">
        <v>525</v>
      </c>
      <c r="C1858">
        <v>3478.24</v>
      </c>
      <c r="D1858">
        <v>23677.57</v>
      </c>
      <c r="E1858">
        <v>3820.45</v>
      </c>
      <c r="F1858">
        <v>-19857.12</v>
      </c>
      <c r="G1858" t="s">
        <v>184</v>
      </c>
    </row>
    <row r="1859" spans="1:7" x14ac:dyDescent="0.35">
      <c r="A1859" t="s">
        <v>465</v>
      </c>
      <c r="B1859" t="s">
        <v>172</v>
      </c>
      <c r="C1859" t="s">
        <v>468</v>
      </c>
      <c r="D1859" t="s">
        <v>469</v>
      </c>
      <c r="E1859" t="s">
        <v>470</v>
      </c>
      <c r="F1859" t="s">
        <v>471</v>
      </c>
      <c r="G1859" t="s">
        <v>183</v>
      </c>
    </row>
    <row r="1860" spans="1:7" x14ac:dyDescent="0.35">
      <c r="A1860">
        <v>10</v>
      </c>
      <c r="B1860" t="s">
        <v>472</v>
      </c>
      <c r="C1860">
        <v>0</v>
      </c>
      <c r="D1860">
        <v>0</v>
      </c>
      <c r="E1860">
        <v>0</v>
      </c>
      <c r="F1860">
        <v>0</v>
      </c>
      <c r="G1860" t="s">
        <v>184</v>
      </c>
    </row>
    <row r="1861" spans="1:7" x14ac:dyDescent="0.35">
      <c r="A1861">
        <v>20</v>
      </c>
      <c r="B1861" t="s">
        <v>147</v>
      </c>
      <c r="C1861">
        <v>2500</v>
      </c>
      <c r="D1861">
        <v>0</v>
      </c>
      <c r="E1861">
        <v>22500</v>
      </c>
      <c r="F1861">
        <v>22500</v>
      </c>
      <c r="G1861" t="s">
        <v>184</v>
      </c>
    </row>
    <row r="1862" spans="1:7" x14ac:dyDescent="0.35">
      <c r="A1862">
        <v>30</v>
      </c>
      <c r="B1862" t="s">
        <v>473</v>
      </c>
      <c r="C1862">
        <v>0</v>
      </c>
      <c r="D1862">
        <v>0</v>
      </c>
      <c r="E1862">
        <v>0</v>
      </c>
      <c r="F1862">
        <v>0</v>
      </c>
      <c r="G1862" t="s">
        <v>184</v>
      </c>
    </row>
    <row r="1863" spans="1:7" x14ac:dyDescent="0.35">
      <c r="A1863">
        <v>35</v>
      </c>
      <c r="B1863" t="s">
        <v>474</v>
      </c>
      <c r="C1863">
        <v>2500</v>
      </c>
      <c r="D1863">
        <v>0</v>
      </c>
      <c r="E1863">
        <v>22500</v>
      </c>
      <c r="F1863">
        <v>22500</v>
      </c>
      <c r="G1863" t="s">
        <v>184</v>
      </c>
    </row>
    <row r="1864" spans="1:7" x14ac:dyDescent="0.35">
      <c r="A1864">
        <v>40</v>
      </c>
      <c r="B1864" t="s">
        <v>475</v>
      </c>
      <c r="C1864">
        <v>0</v>
      </c>
      <c r="D1864">
        <v>0</v>
      </c>
      <c r="E1864">
        <v>0</v>
      </c>
      <c r="F1864">
        <v>0</v>
      </c>
      <c r="G1864" t="s">
        <v>184</v>
      </c>
    </row>
    <row r="1865" spans="1:7" x14ac:dyDescent="0.35">
      <c r="A1865">
        <v>50</v>
      </c>
      <c r="B1865" t="s">
        <v>476</v>
      </c>
      <c r="C1865">
        <v>0</v>
      </c>
      <c r="D1865">
        <v>0</v>
      </c>
      <c r="E1865">
        <v>0</v>
      </c>
      <c r="F1865">
        <v>0</v>
      </c>
      <c r="G1865" t="s">
        <v>184</v>
      </c>
    </row>
    <row r="1866" spans="1:7" x14ac:dyDescent="0.35">
      <c r="A1866">
        <v>60</v>
      </c>
      <c r="B1866" t="s">
        <v>477</v>
      </c>
      <c r="C1866">
        <v>2500</v>
      </c>
      <c r="D1866">
        <v>0</v>
      </c>
      <c r="E1866">
        <v>22500</v>
      </c>
      <c r="F1866">
        <v>22500</v>
      </c>
      <c r="G1866" t="s">
        <v>184</v>
      </c>
    </row>
    <row r="1867" spans="1:7" x14ac:dyDescent="0.35">
      <c r="A1867">
        <v>70</v>
      </c>
      <c r="B1867" t="s">
        <v>152</v>
      </c>
      <c r="C1867">
        <v>0</v>
      </c>
      <c r="D1867">
        <v>0</v>
      </c>
      <c r="E1867">
        <v>0</v>
      </c>
      <c r="F1867">
        <v>0</v>
      </c>
      <c r="G1867" t="s">
        <v>184</v>
      </c>
    </row>
    <row r="1868" spans="1:7" x14ac:dyDescent="0.35">
      <c r="A1868">
        <v>80</v>
      </c>
      <c r="B1868" t="s">
        <v>153</v>
      </c>
      <c r="C1868">
        <v>1671.42</v>
      </c>
      <c r="D1868">
        <v>0</v>
      </c>
      <c r="E1868">
        <v>1823.68</v>
      </c>
      <c r="F1868">
        <v>1823.68</v>
      </c>
      <c r="G1868" t="s">
        <v>184</v>
      </c>
    </row>
    <row r="1869" spans="1:7" x14ac:dyDescent="0.35">
      <c r="A1869">
        <v>90</v>
      </c>
      <c r="B1869" t="s">
        <v>478</v>
      </c>
      <c r="C1869">
        <v>0</v>
      </c>
      <c r="D1869">
        <v>0</v>
      </c>
      <c r="E1869">
        <v>0</v>
      </c>
      <c r="F1869">
        <v>0</v>
      </c>
      <c r="G1869" t="s">
        <v>184</v>
      </c>
    </row>
    <row r="1870" spans="1:7" x14ac:dyDescent="0.35">
      <c r="A1870">
        <v>100</v>
      </c>
      <c r="B1870" t="s">
        <v>479</v>
      </c>
      <c r="C1870">
        <v>828.58</v>
      </c>
      <c r="D1870">
        <v>0</v>
      </c>
      <c r="E1870">
        <v>20676.32</v>
      </c>
      <c r="F1870">
        <v>20676.32</v>
      </c>
      <c r="G1870" t="s">
        <v>184</v>
      </c>
    </row>
    <row r="1871" spans="1:7" x14ac:dyDescent="0.35">
      <c r="A1871">
        <v>110</v>
      </c>
      <c r="B1871" t="s">
        <v>480</v>
      </c>
      <c r="C1871">
        <v>0</v>
      </c>
      <c r="D1871">
        <v>0</v>
      </c>
      <c r="E1871">
        <v>0</v>
      </c>
      <c r="F1871">
        <v>0</v>
      </c>
      <c r="G1871" t="s">
        <v>184</v>
      </c>
    </row>
    <row r="1872" spans="1:7" x14ac:dyDescent="0.35">
      <c r="A1872">
        <v>120</v>
      </c>
      <c r="B1872" t="s">
        <v>481</v>
      </c>
      <c r="C1872">
        <v>0</v>
      </c>
      <c r="D1872">
        <v>0</v>
      </c>
      <c r="E1872">
        <v>0</v>
      </c>
      <c r="F1872">
        <v>0</v>
      </c>
      <c r="G1872" t="s">
        <v>184</v>
      </c>
    </row>
    <row r="1873" spans="1:7" x14ac:dyDescent="0.35">
      <c r="A1873">
        <v>130</v>
      </c>
      <c r="B1873" t="s">
        <v>482</v>
      </c>
      <c r="C1873">
        <v>4464.99</v>
      </c>
      <c r="D1873">
        <v>0</v>
      </c>
      <c r="E1873">
        <v>4464.99</v>
      </c>
      <c r="F1873">
        <v>4464.99</v>
      </c>
      <c r="G1873" t="s">
        <v>184</v>
      </c>
    </row>
    <row r="1874" spans="1:7" x14ac:dyDescent="0.35">
      <c r="A1874">
        <v>140</v>
      </c>
      <c r="B1874" t="s">
        <v>483</v>
      </c>
      <c r="C1874">
        <v>0</v>
      </c>
      <c r="D1874">
        <v>0</v>
      </c>
      <c r="E1874">
        <v>0</v>
      </c>
      <c r="F1874">
        <v>0</v>
      </c>
      <c r="G1874" t="s">
        <v>184</v>
      </c>
    </row>
    <row r="1875" spans="1:7" x14ac:dyDescent="0.35">
      <c r="A1875">
        <v>145</v>
      </c>
      <c r="B1875" t="s">
        <v>162</v>
      </c>
      <c r="C1875">
        <v>4464.99</v>
      </c>
      <c r="D1875">
        <v>0</v>
      </c>
      <c r="E1875">
        <v>4464.99</v>
      </c>
      <c r="F1875">
        <v>4464.99</v>
      </c>
      <c r="G1875" t="s">
        <v>184</v>
      </c>
    </row>
    <row r="1876" spans="1:7" x14ac:dyDescent="0.35">
      <c r="A1876">
        <v>150</v>
      </c>
      <c r="B1876" t="s">
        <v>484</v>
      </c>
      <c r="C1876">
        <v>-3636.41</v>
      </c>
      <c r="D1876">
        <v>0</v>
      </c>
      <c r="E1876">
        <v>16211.33</v>
      </c>
      <c r="F1876">
        <v>16211.33</v>
      </c>
      <c r="G1876" t="s">
        <v>184</v>
      </c>
    </row>
    <row r="1877" spans="1:7" x14ac:dyDescent="0.35">
      <c r="A1877">
        <v>160</v>
      </c>
      <c r="B1877" t="s">
        <v>485</v>
      </c>
      <c r="C1877">
        <v>0</v>
      </c>
      <c r="D1877">
        <v>0</v>
      </c>
      <c r="E1877">
        <v>0</v>
      </c>
      <c r="F1877">
        <v>0</v>
      </c>
      <c r="G1877" t="s">
        <v>184</v>
      </c>
    </row>
    <row r="1878" spans="1:7" x14ac:dyDescent="0.35">
      <c r="A1878">
        <v>170</v>
      </c>
      <c r="B1878" t="s">
        <v>166</v>
      </c>
      <c r="C1878">
        <v>-3636.41</v>
      </c>
      <c r="D1878">
        <v>0</v>
      </c>
      <c r="E1878">
        <v>16211.33</v>
      </c>
      <c r="F1878">
        <v>16211.33</v>
      </c>
      <c r="G1878" t="s">
        <v>184</v>
      </c>
    </row>
    <row r="1879" spans="1:7" x14ac:dyDescent="0.35">
      <c r="A1879">
        <v>190</v>
      </c>
      <c r="B1879" t="s">
        <v>486</v>
      </c>
      <c r="C1879">
        <v>0</v>
      </c>
      <c r="D1879">
        <v>0</v>
      </c>
      <c r="E1879">
        <v>0</v>
      </c>
      <c r="F1879">
        <v>0</v>
      </c>
      <c r="G1879" t="s">
        <v>184</v>
      </c>
    </row>
    <row r="1880" spans="1:7" x14ac:dyDescent="0.35">
      <c r="A1880">
        <v>200</v>
      </c>
      <c r="B1880" t="s">
        <v>166</v>
      </c>
      <c r="C1880">
        <v>-3636.41</v>
      </c>
      <c r="D1880">
        <v>0</v>
      </c>
      <c r="E1880">
        <v>16211.33</v>
      </c>
      <c r="F1880">
        <v>16211.33</v>
      </c>
      <c r="G1880" t="s">
        <v>184</v>
      </c>
    </row>
    <row r="1881" spans="1:7" x14ac:dyDescent="0.35">
      <c r="A1881">
        <v>210</v>
      </c>
      <c r="B1881" t="s">
        <v>487</v>
      </c>
      <c r="C1881">
        <v>-3636.41</v>
      </c>
      <c r="D1881">
        <v>0</v>
      </c>
      <c r="E1881">
        <v>16211.33</v>
      </c>
      <c r="F1881">
        <v>16211.33</v>
      </c>
      <c r="G1881" t="s">
        <v>184</v>
      </c>
    </row>
    <row r="1882" spans="1:7" x14ac:dyDescent="0.35">
      <c r="A1882">
        <v>220</v>
      </c>
      <c r="B1882" t="s">
        <v>488</v>
      </c>
      <c r="C1882">
        <v>0</v>
      </c>
      <c r="D1882">
        <v>0</v>
      </c>
      <c r="E1882">
        <v>0</v>
      </c>
      <c r="F1882">
        <v>0</v>
      </c>
      <c r="G1882" t="s">
        <v>184</v>
      </c>
    </row>
    <row r="1883" spans="1:7" x14ac:dyDescent="0.35">
      <c r="A1883">
        <v>230</v>
      </c>
      <c r="B1883" t="s">
        <v>341</v>
      </c>
      <c r="C1883">
        <v>0</v>
      </c>
      <c r="D1883">
        <v>0</v>
      </c>
      <c r="E1883">
        <v>0</v>
      </c>
      <c r="F1883">
        <v>0</v>
      </c>
      <c r="G1883" t="s">
        <v>184</v>
      </c>
    </row>
    <row r="1884" spans="1:7" x14ac:dyDescent="0.35">
      <c r="A1884">
        <v>235</v>
      </c>
      <c r="B1884" t="s">
        <v>489</v>
      </c>
      <c r="C1884">
        <v>0</v>
      </c>
      <c r="D1884">
        <v>0</v>
      </c>
      <c r="E1884">
        <v>0</v>
      </c>
      <c r="F1884">
        <v>0</v>
      </c>
      <c r="G1884" t="s">
        <v>184</v>
      </c>
    </row>
    <row r="1885" spans="1:7" x14ac:dyDescent="0.35">
      <c r="A1885">
        <v>240</v>
      </c>
      <c r="B1885" t="s">
        <v>342</v>
      </c>
      <c r="C1885">
        <v>-864191.76</v>
      </c>
      <c r="D1885">
        <v>-40000</v>
      </c>
      <c r="E1885">
        <v>-942191.76</v>
      </c>
      <c r="F1885">
        <v>-902191.76</v>
      </c>
      <c r="G1885" t="s">
        <v>184</v>
      </c>
    </row>
    <row r="1886" spans="1:7" x14ac:dyDescent="0.35">
      <c r="A1886">
        <v>250</v>
      </c>
      <c r="B1886" t="s">
        <v>343</v>
      </c>
      <c r="C1886">
        <v>0</v>
      </c>
      <c r="D1886">
        <v>0</v>
      </c>
      <c r="E1886">
        <v>0</v>
      </c>
      <c r="F1886">
        <v>0</v>
      </c>
      <c r="G1886" t="s">
        <v>184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184</v>
      </c>
    </row>
    <row r="1888" spans="1:7" x14ac:dyDescent="0.35">
      <c r="A1888">
        <v>270</v>
      </c>
      <c r="B1888" t="s">
        <v>344</v>
      </c>
      <c r="C1888">
        <v>0</v>
      </c>
      <c r="D1888">
        <v>0</v>
      </c>
      <c r="E1888">
        <v>0</v>
      </c>
      <c r="F1888">
        <v>0</v>
      </c>
      <c r="G1888" t="s">
        <v>184</v>
      </c>
    </row>
    <row r="1889" spans="1:7" x14ac:dyDescent="0.35">
      <c r="A1889">
        <v>300</v>
      </c>
      <c r="B1889" t="s">
        <v>367</v>
      </c>
      <c r="C1889">
        <v>7600</v>
      </c>
      <c r="D1889">
        <v>0</v>
      </c>
      <c r="E1889">
        <v>7600</v>
      </c>
      <c r="F1889">
        <v>7600</v>
      </c>
      <c r="G1889" t="s">
        <v>184</v>
      </c>
    </row>
    <row r="1890" spans="1:7" x14ac:dyDescent="0.35">
      <c r="A1890">
        <v>310</v>
      </c>
      <c r="B1890" t="s">
        <v>491</v>
      </c>
      <c r="C1890">
        <v>0</v>
      </c>
      <c r="D1890">
        <v>0</v>
      </c>
      <c r="E1890">
        <v>0</v>
      </c>
      <c r="F1890">
        <v>0</v>
      </c>
      <c r="G1890" t="s">
        <v>184</v>
      </c>
    </row>
    <row r="1891" spans="1:7" x14ac:dyDescent="0.35">
      <c r="A1891">
        <v>320</v>
      </c>
      <c r="B1891" t="s">
        <v>492</v>
      </c>
      <c r="C1891">
        <v>0</v>
      </c>
      <c r="D1891">
        <v>0</v>
      </c>
      <c r="E1891">
        <v>0</v>
      </c>
      <c r="F1891">
        <v>0</v>
      </c>
      <c r="G1891" t="s">
        <v>184</v>
      </c>
    </row>
    <row r="1892" spans="1:7" x14ac:dyDescent="0.35">
      <c r="A1892">
        <v>325</v>
      </c>
      <c r="B1892" t="s">
        <v>493</v>
      </c>
      <c r="C1892">
        <v>0</v>
      </c>
      <c r="D1892">
        <v>0</v>
      </c>
      <c r="E1892">
        <v>0</v>
      </c>
      <c r="F1892">
        <v>0</v>
      </c>
      <c r="G1892" t="s">
        <v>184</v>
      </c>
    </row>
    <row r="1893" spans="1:7" x14ac:dyDescent="0.35">
      <c r="A1893">
        <v>330</v>
      </c>
      <c r="B1893" t="s">
        <v>570</v>
      </c>
      <c r="C1893">
        <v>0</v>
      </c>
      <c r="D1893">
        <v>0</v>
      </c>
      <c r="E1893">
        <v>0</v>
      </c>
      <c r="F1893">
        <v>0</v>
      </c>
      <c r="G1893" t="s">
        <v>184</v>
      </c>
    </row>
    <row r="1894" spans="1:7" x14ac:dyDescent="0.35">
      <c r="A1894">
        <v>340</v>
      </c>
      <c r="B1894" t="s">
        <v>495</v>
      </c>
      <c r="C1894">
        <v>0</v>
      </c>
      <c r="D1894">
        <v>0</v>
      </c>
      <c r="E1894">
        <v>0</v>
      </c>
      <c r="F1894">
        <v>0</v>
      </c>
      <c r="G1894" t="s">
        <v>184</v>
      </c>
    </row>
    <row r="1895" spans="1:7" x14ac:dyDescent="0.35">
      <c r="A1895">
        <v>380</v>
      </c>
      <c r="B1895" t="s">
        <v>496</v>
      </c>
      <c r="C1895">
        <v>-856591.76</v>
      </c>
      <c r="D1895">
        <v>-40000</v>
      </c>
      <c r="E1895">
        <v>-934591.76</v>
      </c>
      <c r="F1895">
        <v>-894591.76</v>
      </c>
      <c r="G1895" t="s">
        <v>184</v>
      </c>
    </row>
    <row r="1896" spans="1:7" x14ac:dyDescent="0.35">
      <c r="A1896">
        <v>390</v>
      </c>
      <c r="B1896" t="s">
        <v>497</v>
      </c>
      <c r="C1896">
        <v>0</v>
      </c>
      <c r="D1896">
        <v>0</v>
      </c>
      <c r="E1896">
        <v>0</v>
      </c>
      <c r="F1896">
        <v>0</v>
      </c>
      <c r="G1896" t="s">
        <v>184</v>
      </c>
    </row>
    <row r="1897" spans="1:7" x14ac:dyDescent="0.35">
      <c r="A1897">
        <v>400</v>
      </c>
      <c r="B1897" t="s">
        <v>498</v>
      </c>
      <c r="C1897">
        <v>861056.75</v>
      </c>
      <c r="D1897">
        <v>0</v>
      </c>
      <c r="E1897">
        <v>861056.75</v>
      </c>
      <c r="F1897">
        <v>861056.75</v>
      </c>
      <c r="G1897" t="s">
        <v>184</v>
      </c>
    </row>
    <row r="1898" spans="1:7" x14ac:dyDescent="0.35">
      <c r="A1898">
        <v>405</v>
      </c>
      <c r="B1898" t="s">
        <v>499</v>
      </c>
      <c r="C1898">
        <v>0</v>
      </c>
      <c r="D1898">
        <v>0</v>
      </c>
      <c r="E1898">
        <v>0</v>
      </c>
      <c r="F1898">
        <v>0</v>
      </c>
      <c r="G1898" t="s">
        <v>184</v>
      </c>
    </row>
    <row r="1899" spans="1:7" x14ac:dyDescent="0.35">
      <c r="A1899">
        <v>410</v>
      </c>
      <c r="B1899" t="s">
        <v>382</v>
      </c>
      <c r="C1899">
        <v>0</v>
      </c>
      <c r="D1899">
        <v>0</v>
      </c>
      <c r="E1899">
        <v>0</v>
      </c>
      <c r="F1899">
        <v>0</v>
      </c>
      <c r="G1899" t="s">
        <v>184</v>
      </c>
    </row>
    <row r="1900" spans="1:7" x14ac:dyDescent="0.35">
      <c r="A1900">
        <v>420</v>
      </c>
      <c r="B1900" t="s">
        <v>500</v>
      </c>
      <c r="C1900">
        <v>0</v>
      </c>
      <c r="D1900">
        <v>426000</v>
      </c>
      <c r="E1900">
        <v>426000</v>
      </c>
      <c r="F1900">
        <v>0</v>
      </c>
      <c r="G1900" t="s">
        <v>184</v>
      </c>
    </row>
    <row r="1901" spans="1:7" x14ac:dyDescent="0.35">
      <c r="A1901">
        <v>425</v>
      </c>
      <c r="B1901" t="s">
        <v>501</v>
      </c>
      <c r="C1901">
        <v>0</v>
      </c>
      <c r="D1901">
        <v>0</v>
      </c>
      <c r="E1901">
        <v>0</v>
      </c>
      <c r="F1901">
        <v>0</v>
      </c>
      <c r="G1901" t="s">
        <v>184</v>
      </c>
    </row>
    <row r="1902" spans="1:7" x14ac:dyDescent="0.35">
      <c r="A1902">
        <v>427</v>
      </c>
      <c r="B1902" t="s">
        <v>502</v>
      </c>
      <c r="C1902">
        <v>0</v>
      </c>
      <c r="D1902">
        <v>0</v>
      </c>
      <c r="E1902">
        <v>0</v>
      </c>
      <c r="F1902">
        <v>0</v>
      </c>
      <c r="G1902" t="s">
        <v>184</v>
      </c>
    </row>
    <row r="1903" spans="1:7" x14ac:dyDescent="0.35">
      <c r="A1903">
        <v>430</v>
      </c>
      <c r="B1903" t="s">
        <v>503</v>
      </c>
      <c r="C1903">
        <v>0</v>
      </c>
      <c r="D1903">
        <v>63869.89</v>
      </c>
      <c r="E1903">
        <v>63869.89</v>
      </c>
      <c r="F1903">
        <v>0</v>
      </c>
      <c r="G1903" t="s">
        <v>184</v>
      </c>
    </row>
    <row r="1904" spans="1:7" x14ac:dyDescent="0.35">
      <c r="A1904">
        <v>440</v>
      </c>
      <c r="B1904" t="s">
        <v>504</v>
      </c>
      <c r="C1904">
        <v>861056.75</v>
      </c>
      <c r="D1904">
        <v>489869.89</v>
      </c>
      <c r="E1904">
        <v>1350926.64</v>
      </c>
      <c r="F1904">
        <v>861056.75</v>
      </c>
      <c r="G1904" t="s">
        <v>184</v>
      </c>
    </row>
    <row r="1905" spans="1:7" x14ac:dyDescent="0.35">
      <c r="A1905">
        <v>450</v>
      </c>
      <c r="B1905" t="s">
        <v>505</v>
      </c>
      <c r="C1905">
        <v>0</v>
      </c>
      <c r="D1905">
        <v>0</v>
      </c>
      <c r="E1905">
        <v>0</v>
      </c>
      <c r="F1905">
        <v>0</v>
      </c>
      <c r="G1905" t="s">
        <v>184</v>
      </c>
    </row>
    <row r="1906" spans="1:7" x14ac:dyDescent="0.35">
      <c r="A1906">
        <v>455</v>
      </c>
      <c r="B1906" t="s">
        <v>349</v>
      </c>
      <c r="C1906">
        <v>0</v>
      </c>
      <c r="D1906">
        <v>-420719.24</v>
      </c>
      <c r="E1906">
        <v>-420719.24</v>
      </c>
      <c r="F1906">
        <v>0</v>
      </c>
      <c r="G1906" t="s">
        <v>184</v>
      </c>
    </row>
    <row r="1907" spans="1:7" x14ac:dyDescent="0.35">
      <c r="A1907">
        <v>456</v>
      </c>
      <c r="B1907" t="s">
        <v>506</v>
      </c>
      <c r="C1907">
        <v>0</v>
      </c>
      <c r="D1907">
        <v>0</v>
      </c>
      <c r="E1907">
        <v>0</v>
      </c>
      <c r="F1907">
        <v>0</v>
      </c>
      <c r="G1907" t="s">
        <v>184</v>
      </c>
    </row>
    <row r="1908" spans="1:7" x14ac:dyDescent="0.35">
      <c r="A1908">
        <v>460</v>
      </c>
      <c r="B1908" t="s">
        <v>353</v>
      </c>
      <c r="C1908">
        <v>0</v>
      </c>
      <c r="D1908">
        <v>0</v>
      </c>
      <c r="E1908">
        <v>0</v>
      </c>
      <c r="F1908">
        <v>0</v>
      </c>
      <c r="G1908" t="s">
        <v>184</v>
      </c>
    </row>
    <row r="1909" spans="1:7" x14ac:dyDescent="0.35">
      <c r="A1909">
        <v>470</v>
      </c>
      <c r="B1909" t="s">
        <v>507</v>
      </c>
      <c r="C1909">
        <v>0</v>
      </c>
      <c r="D1909">
        <v>0</v>
      </c>
      <c r="E1909">
        <v>0</v>
      </c>
      <c r="F1909">
        <v>0</v>
      </c>
      <c r="G1909" t="s">
        <v>184</v>
      </c>
    </row>
    <row r="1910" spans="1:7" x14ac:dyDescent="0.35">
      <c r="A1910">
        <v>480</v>
      </c>
      <c r="B1910" t="s">
        <v>352</v>
      </c>
      <c r="C1910">
        <v>0</v>
      </c>
      <c r="D1910">
        <v>0</v>
      </c>
      <c r="E1910">
        <v>0</v>
      </c>
      <c r="F1910">
        <v>0</v>
      </c>
      <c r="G1910" t="s">
        <v>184</v>
      </c>
    </row>
    <row r="1911" spans="1:7" x14ac:dyDescent="0.35">
      <c r="A1911">
        <v>490</v>
      </c>
      <c r="B1911" t="s">
        <v>508</v>
      </c>
      <c r="C1911">
        <v>0</v>
      </c>
      <c r="D1911">
        <v>0</v>
      </c>
      <c r="E1911">
        <v>0</v>
      </c>
      <c r="F1911">
        <v>0</v>
      </c>
      <c r="G1911" t="s">
        <v>184</v>
      </c>
    </row>
    <row r="1912" spans="1:7" x14ac:dyDescent="0.35">
      <c r="A1912">
        <v>500</v>
      </c>
      <c r="B1912" t="s">
        <v>351</v>
      </c>
      <c r="C1912">
        <v>0</v>
      </c>
      <c r="D1912">
        <v>0</v>
      </c>
      <c r="E1912">
        <v>0</v>
      </c>
      <c r="F1912">
        <v>0</v>
      </c>
      <c r="G1912" t="s">
        <v>184</v>
      </c>
    </row>
    <row r="1913" spans="1:7" x14ac:dyDescent="0.35">
      <c r="A1913">
        <v>510</v>
      </c>
      <c r="B1913" t="s">
        <v>509</v>
      </c>
      <c r="C1913">
        <v>0</v>
      </c>
      <c r="D1913">
        <v>0</v>
      </c>
      <c r="E1913">
        <v>0</v>
      </c>
      <c r="F1913">
        <v>0</v>
      </c>
      <c r="G1913" t="s">
        <v>184</v>
      </c>
    </row>
    <row r="1914" spans="1:7" x14ac:dyDescent="0.35">
      <c r="A1914">
        <v>512</v>
      </c>
      <c r="B1914" t="s">
        <v>510</v>
      </c>
      <c r="C1914">
        <v>0</v>
      </c>
      <c r="D1914">
        <v>0</v>
      </c>
      <c r="E1914">
        <v>0</v>
      </c>
      <c r="F1914">
        <v>0</v>
      </c>
      <c r="G1914" t="s">
        <v>184</v>
      </c>
    </row>
    <row r="1915" spans="1:7" x14ac:dyDescent="0.35">
      <c r="A1915">
        <v>514</v>
      </c>
      <c r="B1915" t="s">
        <v>511</v>
      </c>
      <c r="C1915">
        <v>0</v>
      </c>
      <c r="D1915">
        <v>0</v>
      </c>
      <c r="E1915">
        <v>0</v>
      </c>
      <c r="F1915">
        <v>0</v>
      </c>
      <c r="G1915" t="s">
        <v>184</v>
      </c>
    </row>
    <row r="1916" spans="1:7" x14ac:dyDescent="0.35">
      <c r="A1916">
        <v>520</v>
      </c>
      <c r="B1916" t="s">
        <v>512</v>
      </c>
      <c r="C1916">
        <v>0</v>
      </c>
      <c r="D1916">
        <v>0</v>
      </c>
      <c r="E1916">
        <v>0</v>
      </c>
      <c r="F1916">
        <v>0</v>
      </c>
      <c r="G1916" t="s">
        <v>184</v>
      </c>
    </row>
    <row r="1917" spans="1:7" x14ac:dyDescent="0.35">
      <c r="A1917">
        <v>530</v>
      </c>
      <c r="B1917" t="s">
        <v>513</v>
      </c>
      <c r="C1917">
        <v>0</v>
      </c>
      <c r="D1917">
        <v>0</v>
      </c>
      <c r="E1917">
        <v>0</v>
      </c>
      <c r="F1917">
        <v>0</v>
      </c>
      <c r="G1917" t="s">
        <v>184</v>
      </c>
    </row>
    <row r="1918" spans="1:7" x14ac:dyDescent="0.35">
      <c r="A1918">
        <v>540</v>
      </c>
      <c r="B1918" t="s">
        <v>514</v>
      </c>
      <c r="C1918">
        <v>0</v>
      </c>
      <c r="D1918">
        <v>0</v>
      </c>
      <c r="E1918">
        <v>0</v>
      </c>
      <c r="F1918">
        <v>0</v>
      </c>
      <c r="G1918" t="s">
        <v>184</v>
      </c>
    </row>
    <row r="1919" spans="1:7" x14ac:dyDescent="0.35">
      <c r="A1919">
        <v>550</v>
      </c>
      <c r="B1919" t="s">
        <v>515</v>
      </c>
      <c r="C1919">
        <v>0</v>
      </c>
      <c r="D1919">
        <v>0</v>
      </c>
      <c r="E1919">
        <v>0</v>
      </c>
      <c r="F1919">
        <v>0</v>
      </c>
      <c r="G1919" t="s">
        <v>184</v>
      </c>
    </row>
    <row r="1920" spans="1:7" x14ac:dyDescent="0.35">
      <c r="A1920">
        <v>560</v>
      </c>
      <c r="B1920" t="s">
        <v>516</v>
      </c>
      <c r="C1920">
        <v>0</v>
      </c>
      <c r="D1920">
        <v>0</v>
      </c>
      <c r="E1920">
        <v>0</v>
      </c>
      <c r="F1920">
        <v>0</v>
      </c>
      <c r="G1920" t="s">
        <v>184</v>
      </c>
    </row>
    <row r="1921" spans="1:9" x14ac:dyDescent="0.35">
      <c r="A1921">
        <v>570</v>
      </c>
      <c r="B1921" t="s">
        <v>517</v>
      </c>
      <c r="C1921">
        <v>0</v>
      </c>
      <c r="D1921">
        <v>0</v>
      </c>
      <c r="E1921">
        <v>0</v>
      </c>
      <c r="F1921">
        <v>0</v>
      </c>
      <c r="G1921" t="s">
        <v>184</v>
      </c>
    </row>
    <row r="1922" spans="1:9" x14ac:dyDescent="0.35">
      <c r="A1922">
        <v>580</v>
      </c>
      <c r="B1922" t="s">
        <v>518</v>
      </c>
      <c r="C1922">
        <v>0</v>
      </c>
      <c r="D1922">
        <v>0</v>
      </c>
      <c r="E1922">
        <v>0</v>
      </c>
      <c r="F1922">
        <v>0</v>
      </c>
      <c r="G1922" t="s">
        <v>184</v>
      </c>
    </row>
    <row r="1923" spans="1:9" x14ac:dyDescent="0.35">
      <c r="A1923">
        <v>590</v>
      </c>
      <c r="B1923" t="s">
        <v>519</v>
      </c>
      <c r="C1923">
        <v>0</v>
      </c>
      <c r="D1923">
        <v>0</v>
      </c>
      <c r="E1923">
        <v>0</v>
      </c>
      <c r="F1923">
        <v>0</v>
      </c>
      <c r="G1923" t="s">
        <v>184</v>
      </c>
    </row>
    <row r="1924" spans="1:9" x14ac:dyDescent="0.35">
      <c r="A1924">
        <v>600</v>
      </c>
      <c r="B1924" t="s">
        <v>520</v>
      </c>
      <c r="C1924">
        <v>0</v>
      </c>
      <c r="D1924">
        <v>0</v>
      </c>
      <c r="E1924">
        <v>0</v>
      </c>
      <c r="F1924">
        <v>0</v>
      </c>
      <c r="G1924" t="s">
        <v>184</v>
      </c>
    </row>
    <row r="1925" spans="1:9" x14ac:dyDescent="0.35">
      <c r="A1925">
        <v>610</v>
      </c>
      <c r="B1925" t="s">
        <v>521</v>
      </c>
      <c r="C1925">
        <v>0</v>
      </c>
      <c r="D1925">
        <v>0</v>
      </c>
      <c r="E1925">
        <v>0</v>
      </c>
      <c r="F1925">
        <v>0</v>
      </c>
      <c r="G1925" t="s">
        <v>184</v>
      </c>
    </row>
    <row r="1926" spans="1:9" x14ac:dyDescent="0.35">
      <c r="A1926">
        <v>615</v>
      </c>
      <c r="B1926" t="s">
        <v>550</v>
      </c>
      <c r="C1926">
        <v>0</v>
      </c>
      <c r="D1926">
        <v>0</v>
      </c>
      <c r="E1926">
        <v>0</v>
      </c>
      <c r="F1926">
        <v>0</v>
      </c>
      <c r="G1926" t="s">
        <v>184</v>
      </c>
    </row>
    <row r="1927" spans="1:9" x14ac:dyDescent="0.35">
      <c r="A1927">
        <v>620</v>
      </c>
      <c r="B1927" t="s">
        <v>522</v>
      </c>
      <c r="C1927">
        <v>0</v>
      </c>
      <c r="D1927">
        <v>0</v>
      </c>
      <c r="E1927">
        <v>0</v>
      </c>
      <c r="F1927">
        <v>0</v>
      </c>
      <c r="G1927" t="s">
        <v>184</v>
      </c>
    </row>
    <row r="1928" spans="1:9" x14ac:dyDescent="0.35">
      <c r="A1928">
        <v>630</v>
      </c>
      <c r="B1928" t="s">
        <v>523</v>
      </c>
      <c r="C1928">
        <v>0</v>
      </c>
      <c r="D1928">
        <v>0</v>
      </c>
      <c r="E1928">
        <v>0</v>
      </c>
      <c r="F1928">
        <v>0</v>
      </c>
      <c r="G1928" t="s">
        <v>184</v>
      </c>
    </row>
    <row r="1929" spans="1:9" x14ac:dyDescent="0.35">
      <c r="A1929">
        <v>635</v>
      </c>
      <c r="B1929" t="s">
        <v>551</v>
      </c>
      <c r="C1929">
        <v>0</v>
      </c>
      <c r="D1929">
        <v>0</v>
      </c>
      <c r="E1929">
        <v>0</v>
      </c>
      <c r="F1929">
        <v>0</v>
      </c>
      <c r="G1929" t="s">
        <v>184</v>
      </c>
    </row>
    <row r="1930" spans="1:9" x14ac:dyDescent="0.35">
      <c r="A1930">
        <v>640</v>
      </c>
      <c r="B1930" t="s">
        <v>524</v>
      </c>
      <c r="C1930">
        <v>0</v>
      </c>
      <c r="D1930">
        <v>-420719.24</v>
      </c>
      <c r="E1930">
        <v>-420719.24</v>
      </c>
      <c r="F1930">
        <v>0</v>
      </c>
      <c r="G1930" t="s">
        <v>184</v>
      </c>
    </row>
    <row r="1931" spans="1:9" x14ac:dyDescent="0.35">
      <c r="A1931">
        <v>650</v>
      </c>
      <c r="B1931" t="s">
        <v>525</v>
      </c>
      <c r="C1931">
        <v>828.58</v>
      </c>
      <c r="D1931">
        <v>29150.65</v>
      </c>
      <c r="E1931">
        <v>11826.97</v>
      </c>
      <c r="F1931">
        <v>-17323.68</v>
      </c>
      <c r="G1931" t="s">
        <v>184</v>
      </c>
      <c r="I1931" s="282"/>
    </row>
    <row r="1932" spans="1:9" x14ac:dyDescent="0.35">
      <c r="A1932" s="281" t="s">
        <v>638</v>
      </c>
      <c r="B1932" s="281" t="s">
        <v>172</v>
      </c>
      <c r="C1932" s="281" t="s">
        <v>468</v>
      </c>
      <c r="D1932" s="281" t="s">
        <v>469</v>
      </c>
      <c r="E1932" s="281" t="s">
        <v>470</v>
      </c>
      <c r="F1932" s="281" t="s">
        <v>471</v>
      </c>
      <c r="G1932" s="281" t="s">
        <v>183</v>
      </c>
    </row>
    <row r="1933" spans="1:9" x14ac:dyDescent="0.35">
      <c r="A1933">
        <v>10</v>
      </c>
      <c r="B1933" t="s">
        <v>472</v>
      </c>
      <c r="C1933">
        <v>0</v>
      </c>
      <c r="D1933">
        <v>0</v>
      </c>
      <c r="E1933">
        <v>0</v>
      </c>
      <c r="F1933">
        <v>0</v>
      </c>
      <c r="G1933" t="s">
        <v>184</v>
      </c>
    </row>
    <row r="1934" spans="1:9" x14ac:dyDescent="0.35">
      <c r="A1934">
        <v>20</v>
      </c>
      <c r="B1934" t="s">
        <v>147</v>
      </c>
      <c r="C1934">
        <v>0</v>
      </c>
      <c r="D1934">
        <v>0</v>
      </c>
      <c r="E1934">
        <v>6634686.0099999998</v>
      </c>
      <c r="F1934">
        <v>6634686.0099999998</v>
      </c>
      <c r="G1934" t="s">
        <v>184</v>
      </c>
    </row>
    <row r="1935" spans="1:9" x14ac:dyDescent="0.35">
      <c r="A1935">
        <v>30</v>
      </c>
      <c r="B1935" t="s">
        <v>473</v>
      </c>
      <c r="C1935">
        <v>0</v>
      </c>
      <c r="D1935">
        <v>0</v>
      </c>
      <c r="E1935">
        <v>439666.46</v>
      </c>
      <c r="F1935">
        <v>439666.46</v>
      </c>
      <c r="G1935" t="s">
        <v>184</v>
      </c>
    </row>
    <row r="1936" spans="1:9" x14ac:dyDescent="0.35">
      <c r="A1936">
        <v>35</v>
      </c>
      <c r="B1936" t="s">
        <v>474</v>
      </c>
      <c r="C1936">
        <v>0</v>
      </c>
      <c r="D1936">
        <v>0</v>
      </c>
      <c r="E1936">
        <v>6195019.5499999998</v>
      </c>
      <c r="F1936">
        <v>6195019.5499999998</v>
      </c>
      <c r="G1936" t="s">
        <v>184</v>
      </c>
    </row>
    <row r="1937" spans="1:7" x14ac:dyDescent="0.35">
      <c r="A1937">
        <v>40</v>
      </c>
      <c r="B1937" t="s">
        <v>475</v>
      </c>
      <c r="C1937">
        <v>0</v>
      </c>
      <c r="D1937">
        <v>0</v>
      </c>
      <c r="E1937">
        <v>3808578.23</v>
      </c>
      <c r="F1937">
        <v>3808578.23</v>
      </c>
      <c r="G1937" t="s">
        <v>184</v>
      </c>
    </row>
    <row r="1938" spans="1:7" x14ac:dyDescent="0.35">
      <c r="A1938">
        <v>50</v>
      </c>
      <c r="B1938" t="s">
        <v>476</v>
      </c>
      <c r="C1938">
        <v>0</v>
      </c>
      <c r="D1938">
        <v>0</v>
      </c>
      <c r="E1938">
        <v>0</v>
      </c>
      <c r="F1938">
        <v>0</v>
      </c>
      <c r="G1938" t="s">
        <v>184</v>
      </c>
    </row>
    <row r="1939" spans="1:7" x14ac:dyDescent="0.35">
      <c r="A1939">
        <v>60</v>
      </c>
      <c r="B1939" t="s">
        <v>477</v>
      </c>
      <c r="C1939">
        <v>0</v>
      </c>
      <c r="D1939">
        <v>0</v>
      </c>
      <c r="E1939">
        <v>2386441.3199999998</v>
      </c>
      <c r="F1939">
        <v>2386441.3199999998</v>
      </c>
      <c r="G1939" t="s">
        <v>184</v>
      </c>
    </row>
    <row r="1940" spans="1:7" x14ac:dyDescent="0.35">
      <c r="A1940">
        <v>70</v>
      </c>
      <c r="B1940" t="s">
        <v>152</v>
      </c>
      <c r="C1940">
        <v>0</v>
      </c>
      <c r="D1940">
        <v>0</v>
      </c>
      <c r="E1940">
        <v>1764962.05</v>
      </c>
      <c r="F1940">
        <v>1764962.05</v>
      </c>
      <c r="G1940" t="s">
        <v>184</v>
      </c>
    </row>
    <row r="1941" spans="1:7" x14ac:dyDescent="0.35">
      <c r="A1941">
        <v>80</v>
      </c>
      <c r="B1941" t="s">
        <v>153</v>
      </c>
      <c r="C1941">
        <v>-1402.72</v>
      </c>
      <c r="D1941">
        <v>0</v>
      </c>
      <c r="E1941">
        <v>434717.39</v>
      </c>
      <c r="F1941">
        <v>434717.39</v>
      </c>
      <c r="G1941" t="s">
        <v>184</v>
      </c>
    </row>
    <row r="1942" spans="1:7" x14ac:dyDescent="0.35">
      <c r="A1942">
        <v>90</v>
      </c>
      <c r="B1942" t="s">
        <v>478</v>
      </c>
      <c r="C1942">
        <v>0</v>
      </c>
      <c r="D1942">
        <v>0</v>
      </c>
      <c r="E1942">
        <v>61529.2</v>
      </c>
      <c r="F1942">
        <v>61529.2</v>
      </c>
      <c r="G1942" t="s">
        <v>184</v>
      </c>
    </row>
    <row r="1943" spans="1:7" x14ac:dyDescent="0.35">
      <c r="A1943">
        <v>100</v>
      </c>
      <c r="B1943" t="s">
        <v>479</v>
      </c>
      <c r="C1943">
        <v>1402.72</v>
      </c>
      <c r="D1943">
        <v>0</v>
      </c>
      <c r="E1943">
        <v>125232.68</v>
      </c>
      <c r="F1943">
        <v>125232.68</v>
      </c>
      <c r="G1943" t="s">
        <v>184</v>
      </c>
    </row>
    <row r="1944" spans="1:7" x14ac:dyDescent="0.35">
      <c r="A1944">
        <v>110</v>
      </c>
      <c r="B1944" t="s">
        <v>480</v>
      </c>
      <c r="C1944">
        <v>0</v>
      </c>
      <c r="D1944">
        <v>0</v>
      </c>
      <c r="E1944">
        <v>0</v>
      </c>
      <c r="F1944">
        <v>0</v>
      </c>
      <c r="G1944" t="s">
        <v>184</v>
      </c>
    </row>
    <row r="1945" spans="1:7" x14ac:dyDescent="0.35">
      <c r="A1945">
        <v>120</v>
      </c>
      <c r="B1945" t="s">
        <v>481</v>
      </c>
      <c r="C1945">
        <v>-10375</v>
      </c>
      <c r="D1945">
        <v>0</v>
      </c>
      <c r="E1945">
        <v>-166054.6</v>
      </c>
      <c r="F1945">
        <v>-166054.6</v>
      </c>
      <c r="G1945" t="s">
        <v>184</v>
      </c>
    </row>
    <row r="1946" spans="1:7" x14ac:dyDescent="0.35">
      <c r="A1946">
        <v>130</v>
      </c>
      <c r="B1946" t="s">
        <v>482</v>
      </c>
      <c r="C1946">
        <v>0</v>
      </c>
      <c r="D1946">
        <v>0</v>
      </c>
      <c r="E1946">
        <v>118642.76</v>
      </c>
      <c r="F1946">
        <v>118642.76</v>
      </c>
      <c r="G1946" t="s">
        <v>184</v>
      </c>
    </row>
    <row r="1947" spans="1:7" x14ac:dyDescent="0.35">
      <c r="A1947">
        <v>140</v>
      </c>
      <c r="B1947" t="s">
        <v>483</v>
      </c>
      <c r="C1947">
        <v>0</v>
      </c>
      <c r="D1947">
        <v>0</v>
      </c>
      <c r="E1947">
        <v>0</v>
      </c>
      <c r="F1947">
        <v>0</v>
      </c>
      <c r="G1947" t="s">
        <v>184</v>
      </c>
    </row>
    <row r="1948" spans="1:7" x14ac:dyDescent="0.35">
      <c r="A1948">
        <v>145</v>
      </c>
      <c r="B1948" t="s">
        <v>162</v>
      </c>
      <c r="C1948">
        <v>-10375</v>
      </c>
      <c r="D1948">
        <v>0</v>
      </c>
      <c r="E1948">
        <v>-47411.839999999997</v>
      </c>
      <c r="F1948">
        <v>-47411.839999999997</v>
      </c>
      <c r="G1948" t="s">
        <v>184</v>
      </c>
    </row>
    <row r="1949" spans="1:7" x14ac:dyDescent="0.35">
      <c r="A1949">
        <v>150</v>
      </c>
      <c r="B1949" t="s">
        <v>484</v>
      </c>
      <c r="C1949">
        <v>11777.72</v>
      </c>
      <c r="D1949">
        <v>0</v>
      </c>
      <c r="E1949">
        <v>172644.52</v>
      </c>
      <c r="F1949">
        <v>172644.52</v>
      </c>
      <c r="G1949" t="s">
        <v>184</v>
      </c>
    </row>
    <row r="1950" spans="1:7" x14ac:dyDescent="0.35">
      <c r="A1950">
        <v>160</v>
      </c>
      <c r="B1950" t="s">
        <v>485</v>
      </c>
      <c r="C1950">
        <v>0</v>
      </c>
      <c r="D1950">
        <v>0</v>
      </c>
      <c r="E1950">
        <v>12436.39</v>
      </c>
      <c r="F1950">
        <v>12436.39</v>
      </c>
      <c r="G1950" t="s">
        <v>184</v>
      </c>
    </row>
    <row r="1951" spans="1:7" x14ac:dyDescent="0.35">
      <c r="A1951">
        <v>170</v>
      </c>
      <c r="B1951" t="s">
        <v>166</v>
      </c>
      <c r="C1951">
        <v>11777.72</v>
      </c>
      <c r="D1951">
        <v>0</v>
      </c>
      <c r="E1951">
        <v>160208.13</v>
      </c>
      <c r="F1951">
        <v>160208.13</v>
      </c>
      <c r="G1951" t="s">
        <v>184</v>
      </c>
    </row>
    <row r="1952" spans="1:7" x14ac:dyDescent="0.35">
      <c r="A1952">
        <v>190</v>
      </c>
      <c r="B1952" t="s">
        <v>486</v>
      </c>
      <c r="C1952">
        <v>0</v>
      </c>
      <c r="D1952">
        <v>0</v>
      </c>
      <c r="E1952">
        <v>0</v>
      </c>
      <c r="F1952">
        <v>0</v>
      </c>
      <c r="G1952" t="s">
        <v>184</v>
      </c>
    </row>
    <row r="1953" spans="1:7" x14ac:dyDescent="0.35">
      <c r="A1953">
        <v>200</v>
      </c>
      <c r="B1953" t="s">
        <v>166</v>
      </c>
      <c r="C1953">
        <v>11777.72</v>
      </c>
      <c r="D1953">
        <v>0</v>
      </c>
      <c r="E1953">
        <v>160208.13</v>
      </c>
      <c r="F1953">
        <v>160208.13</v>
      </c>
      <c r="G1953" t="s">
        <v>184</v>
      </c>
    </row>
    <row r="1954" spans="1:7" x14ac:dyDescent="0.35">
      <c r="A1954">
        <v>210</v>
      </c>
      <c r="B1954" t="s">
        <v>487</v>
      </c>
      <c r="C1954">
        <v>11777.72</v>
      </c>
      <c r="D1954">
        <v>0</v>
      </c>
      <c r="E1954">
        <v>160208.13</v>
      </c>
      <c r="F1954">
        <v>160208.13</v>
      </c>
      <c r="G1954" t="s">
        <v>184</v>
      </c>
    </row>
    <row r="1955" spans="1:7" x14ac:dyDescent="0.35">
      <c r="A1955">
        <v>220</v>
      </c>
      <c r="B1955" t="s">
        <v>488</v>
      </c>
      <c r="C1955">
        <v>0</v>
      </c>
      <c r="D1955">
        <v>0</v>
      </c>
      <c r="E1955">
        <v>0</v>
      </c>
      <c r="F1955">
        <v>0</v>
      </c>
      <c r="G1955" t="s">
        <v>184</v>
      </c>
    </row>
    <row r="1956" spans="1:7" x14ac:dyDescent="0.35">
      <c r="A1956">
        <v>230</v>
      </c>
      <c r="B1956" t="s">
        <v>341</v>
      </c>
      <c r="C1956">
        <v>0</v>
      </c>
      <c r="D1956">
        <v>-162120.34</v>
      </c>
      <c r="E1956">
        <v>-2685.42</v>
      </c>
      <c r="F1956">
        <v>159434.92000000001</v>
      </c>
      <c r="G1956" t="s">
        <v>184</v>
      </c>
    </row>
    <row r="1957" spans="1:7" x14ac:dyDescent="0.35">
      <c r="A1957">
        <v>235</v>
      </c>
      <c r="B1957" t="s">
        <v>489</v>
      </c>
      <c r="C1957">
        <v>0</v>
      </c>
      <c r="D1957">
        <v>0</v>
      </c>
      <c r="E1957">
        <v>0</v>
      </c>
      <c r="F1957">
        <v>0</v>
      </c>
      <c r="G1957" t="s">
        <v>184</v>
      </c>
    </row>
    <row r="1958" spans="1:7" x14ac:dyDescent="0.35">
      <c r="A1958">
        <v>240</v>
      </c>
      <c r="B1958" t="s">
        <v>342</v>
      </c>
      <c r="C1958">
        <v>0</v>
      </c>
      <c r="D1958">
        <v>0</v>
      </c>
      <c r="E1958">
        <v>0</v>
      </c>
      <c r="F1958">
        <v>0</v>
      </c>
      <c r="G1958" t="s">
        <v>184</v>
      </c>
    </row>
    <row r="1959" spans="1:7" x14ac:dyDescent="0.35">
      <c r="A1959">
        <v>250</v>
      </c>
      <c r="B1959" t="s">
        <v>343</v>
      </c>
      <c r="C1959">
        <v>0</v>
      </c>
      <c r="D1959">
        <v>-189787.44</v>
      </c>
      <c r="E1959">
        <v>0</v>
      </c>
      <c r="F1959">
        <v>189787.44</v>
      </c>
      <c r="G1959" t="s">
        <v>184</v>
      </c>
    </row>
    <row r="1960" spans="1:7" x14ac:dyDescent="0.35">
      <c r="A1960">
        <v>260</v>
      </c>
      <c r="B1960" t="s">
        <v>639</v>
      </c>
      <c r="C1960">
        <v>0</v>
      </c>
      <c r="D1960">
        <v>-2787.49</v>
      </c>
      <c r="E1960">
        <v>0</v>
      </c>
      <c r="F1960">
        <v>2787.49</v>
      </c>
      <c r="G1960" t="s">
        <v>184</v>
      </c>
    </row>
    <row r="1961" spans="1:7" x14ac:dyDescent="0.35">
      <c r="A1961">
        <v>270</v>
      </c>
      <c r="B1961" t="s">
        <v>344</v>
      </c>
      <c r="C1961">
        <v>0</v>
      </c>
      <c r="D1961">
        <v>-162855.91</v>
      </c>
      <c r="E1961">
        <v>-924813.21</v>
      </c>
      <c r="F1961">
        <v>-761957.3</v>
      </c>
      <c r="G1961" t="s">
        <v>184</v>
      </c>
    </row>
    <row r="1962" spans="1:7" x14ac:dyDescent="0.35">
      <c r="A1962">
        <v>300</v>
      </c>
      <c r="B1962" t="s">
        <v>367</v>
      </c>
      <c r="C1962">
        <v>0</v>
      </c>
      <c r="D1962">
        <v>318869.68</v>
      </c>
      <c r="E1962">
        <v>-17</v>
      </c>
      <c r="F1962">
        <v>-318886.68</v>
      </c>
      <c r="G1962" t="s">
        <v>184</v>
      </c>
    </row>
    <row r="1963" spans="1:7" x14ac:dyDescent="0.35">
      <c r="A1963">
        <v>310</v>
      </c>
      <c r="B1963" t="s">
        <v>491</v>
      </c>
      <c r="C1963">
        <v>0</v>
      </c>
      <c r="D1963">
        <v>0</v>
      </c>
      <c r="E1963">
        <v>0</v>
      </c>
      <c r="F1963">
        <v>0</v>
      </c>
      <c r="G1963" t="s">
        <v>184</v>
      </c>
    </row>
    <row r="1964" spans="1:7" x14ac:dyDescent="0.35">
      <c r="A1964">
        <v>320</v>
      </c>
      <c r="B1964" t="s">
        <v>492</v>
      </c>
      <c r="C1964">
        <v>0</v>
      </c>
      <c r="D1964">
        <v>29155.94</v>
      </c>
      <c r="E1964">
        <v>0</v>
      </c>
      <c r="F1964">
        <v>-29155.94</v>
      </c>
      <c r="G1964" t="s">
        <v>184</v>
      </c>
    </row>
    <row r="1965" spans="1:7" x14ac:dyDescent="0.35">
      <c r="A1965">
        <v>325</v>
      </c>
      <c r="B1965" t="s">
        <v>493</v>
      </c>
      <c r="C1965">
        <v>0</v>
      </c>
      <c r="D1965">
        <v>381221.28</v>
      </c>
      <c r="E1965">
        <v>78538.070000000007</v>
      </c>
      <c r="F1965">
        <v>-302683.21000000002</v>
      </c>
      <c r="G1965" t="s">
        <v>184</v>
      </c>
    </row>
    <row r="1966" spans="1:7" x14ac:dyDescent="0.35">
      <c r="A1966">
        <v>330</v>
      </c>
      <c r="B1966" t="s">
        <v>570</v>
      </c>
      <c r="C1966">
        <v>0</v>
      </c>
      <c r="D1966">
        <v>5178541.16</v>
      </c>
      <c r="E1966">
        <v>5159830.54</v>
      </c>
      <c r="F1966">
        <v>-18710.62</v>
      </c>
      <c r="G1966" t="s">
        <v>184</v>
      </c>
    </row>
    <row r="1967" spans="1:7" x14ac:dyDescent="0.35">
      <c r="A1967">
        <v>340</v>
      </c>
      <c r="B1967" t="s">
        <v>495</v>
      </c>
      <c r="C1967">
        <v>0</v>
      </c>
      <c r="D1967">
        <v>134521.91</v>
      </c>
      <c r="E1967">
        <v>0</v>
      </c>
      <c r="F1967">
        <v>-134521.91</v>
      </c>
      <c r="G1967" t="s">
        <v>184</v>
      </c>
    </row>
    <row r="1968" spans="1:7" x14ac:dyDescent="0.35">
      <c r="A1968">
        <v>380</v>
      </c>
      <c r="B1968" t="s">
        <v>496</v>
      </c>
      <c r="C1968">
        <v>0</v>
      </c>
      <c r="D1968">
        <v>5524758.79</v>
      </c>
      <c r="E1968">
        <v>4310852.9800000004</v>
      </c>
      <c r="F1968">
        <v>-1213905.81</v>
      </c>
      <c r="G1968" t="s">
        <v>184</v>
      </c>
    </row>
    <row r="1969" spans="1:7" x14ac:dyDescent="0.35">
      <c r="A1969">
        <v>390</v>
      </c>
      <c r="B1969" t="s">
        <v>497</v>
      </c>
      <c r="C1969">
        <v>0</v>
      </c>
      <c r="D1969">
        <v>0</v>
      </c>
      <c r="E1969">
        <v>0</v>
      </c>
      <c r="F1969">
        <v>0</v>
      </c>
      <c r="G1969" t="s">
        <v>184</v>
      </c>
    </row>
    <row r="1970" spans="1:7" x14ac:dyDescent="0.35">
      <c r="A1970">
        <v>400</v>
      </c>
      <c r="B1970" t="s">
        <v>498</v>
      </c>
      <c r="C1970">
        <v>0</v>
      </c>
      <c r="D1970">
        <v>5822451.5300000003</v>
      </c>
      <c r="E1970">
        <v>0</v>
      </c>
      <c r="F1970">
        <v>-5822451.5300000003</v>
      </c>
      <c r="G1970" t="s">
        <v>184</v>
      </c>
    </row>
    <row r="1971" spans="1:7" x14ac:dyDescent="0.35">
      <c r="A1971">
        <v>405</v>
      </c>
      <c r="B1971" t="s">
        <v>499</v>
      </c>
      <c r="C1971">
        <v>0</v>
      </c>
      <c r="D1971">
        <v>0</v>
      </c>
      <c r="E1971">
        <v>0</v>
      </c>
      <c r="F1971">
        <v>0</v>
      </c>
      <c r="G1971" t="s">
        <v>184</v>
      </c>
    </row>
    <row r="1972" spans="1:7" x14ac:dyDescent="0.35">
      <c r="A1972">
        <v>410</v>
      </c>
      <c r="B1972" t="s">
        <v>382</v>
      </c>
      <c r="C1972">
        <v>0</v>
      </c>
      <c r="D1972">
        <v>2000</v>
      </c>
      <c r="E1972">
        <v>2000</v>
      </c>
      <c r="F1972">
        <v>0</v>
      </c>
      <c r="G1972" t="s">
        <v>184</v>
      </c>
    </row>
    <row r="1973" spans="1:7" x14ac:dyDescent="0.35">
      <c r="A1973">
        <v>420</v>
      </c>
      <c r="B1973" t="s">
        <v>500</v>
      </c>
      <c r="C1973">
        <v>0</v>
      </c>
      <c r="D1973">
        <v>3594747.53</v>
      </c>
      <c r="E1973">
        <v>3594747.53</v>
      </c>
      <c r="F1973">
        <v>0</v>
      </c>
      <c r="G1973" t="s">
        <v>184</v>
      </c>
    </row>
    <row r="1974" spans="1:7" x14ac:dyDescent="0.35">
      <c r="A1974">
        <v>425</v>
      </c>
      <c r="B1974" t="s">
        <v>501</v>
      </c>
      <c r="C1974">
        <v>0</v>
      </c>
      <c r="D1974">
        <v>0</v>
      </c>
      <c r="E1974">
        <v>0</v>
      </c>
      <c r="F1974">
        <v>0</v>
      </c>
      <c r="G1974" t="s">
        <v>184</v>
      </c>
    </row>
    <row r="1975" spans="1:7" x14ac:dyDescent="0.35">
      <c r="A1975">
        <v>427</v>
      </c>
      <c r="B1975" t="s">
        <v>502</v>
      </c>
      <c r="C1975">
        <v>0</v>
      </c>
      <c r="D1975">
        <v>0</v>
      </c>
      <c r="E1975">
        <v>0</v>
      </c>
      <c r="F1975">
        <v>0</v>
      </c>
      <c r="G1975" t="s">
        <v>184</v>
      </c>
    </row>
    <row r="1976" spans="1:7" x14ac:dyDescent="0.35">
      <c r="A1976">
        <v>430</v>
      </c>
      <c r="B1976" t="s">
        <v>503</v>
      </c>
      <c r="C1976">
        <v>0</v>
      </c>
      <c r="D1976">
        <v>-8433659.7400000002</v>
      </c>
      <c r="E1976">
        <v>-8433659.7400000002</v>
      </c>
      <c r="F1976">
        <v>0</v>
      </c>
      <c r="G1976" t="s">
        <v>184</v>
      </c>
    </row>
    <row r="1977" spans="1:7" x14ac:dyDescent="0.35">
      <c r="A1977">
        <v>440</v>
      </c>
      <c r="B1977" t="s">
        <v>504</v>
      </c>
      <c r="C1977">
        <v>0</v>
      </c>
      <c r="D1977">
        <v>985539.32</v>
      </c>
      <c r="E1977">
        <v>-4836912.21</v>
      </c>
      <c r="F1977">
        <v>-5822451.5300000003</v>
      </c>
      <c r="G1977" t="s">
        <v>184</v>
      </c>
    </row>
    <row r="1978" spans="1:7" x14ac:dyDescent="0.35">
      <c r="A1978">
        <v>450</v>
      </c>
      <c r="B1978" t="s">
        <v>505</v>
      </c>
      <c r="C1978">
        <v>0</v>
      </c>
      <c r="D1978">
        <v>0</v>
      </c>
      <c r="E1978">
        <v>0</v>
      </c>
      <c r="F1978">
        <v>0</v>
      </c>
      <c r="G1978" t="s">
        <v>184</v>
      </c>
    </row>
    <row r="1979" spans="1:7" x14ac:dyDescent="0.35">
      <c r="A1979">
        <v>455</v>
      </c>
      <c r="B1979" t="s">
        <v>349</v>
      </c>
      <c r="C1979">
        <v>0</v>
      </c>
      <c r="D1979">
        <v>-4889639.1500000004</v>
      </c>
      <c r="E1979">
        <v>-4889639.1500000004</v>
      </c>
      <c r="F1979">
        <v>0</v>
      </c>
      <c r="G1979" t="s">
        <v>184</v>
      </c>
    </row>
    <row r="1980" spans="1:7" x14ac:dyDescent="0.35">
      <c r="A1980">
        <v>456</v>
      </c>
      <c r="B1980" t="s">
        <v>506</v>
      </c>
      <c r="C1980">
        <v>0</v>
      </c>
      <c r="D1980">
        <v>1750200.64</v>
      </c>
      <c r="E1980">
        <v>1807429.2</v>
      </c>
      <c r="F1980">
        <v>57228.56</v>
      </c>
      <c r="G1980" t="s">
        <v>184</v>
      </c>
    </row>
    <row r="1981" spans="1:7" x14ac:dyDescent="0.35">
      <c r="A1981">
        <v>460</v>
      </c>
      <c r="B1981" t="s">
        <v>353</v>
      </c>
      <c r="C1981">
        <v>0</v>
      </c>
      <c r="D1981">
        <v>-3011845.7</v>
      </c>
      <c r="E1981">
        <v>-3014040.31</v>
      </c>
      <c r="F1981">
        <v>-2194.61</v>
      </c>
      <c r="G1981" t="s">
        <v>184</v>
      </c>
    </row>
    <row r="1982" spans="1:7" x14ac:dyDescent="0.35">
      <c r="A1982">
        <v>470</v>
      </c>
      <c r="B1982" t="s">
        <v>507</v>
      </c>
      <c r="C1982">
        <v>0</v>
      </c>
      <c r="D1982">
        <v>3010521.06</v>
      </c>
      <c r="E1982">
        <v>3010521.06</v>
      </c>
      <c r="F1982">
        <v>0</v>
      </c>
      <c r="G1982" t="s">
        <v>184</v>
      </c>
    </row>
    <row r="1983" spans="1:7" x14ac:dyDescent="0.35">
      <c r="A1983">
        <v>480</v>
      </c>
      <c r="B1983" t="s">
        <v>352</v>
      </c>
      <c r="C1983">
        <v>0</v>
      </c>
      <c r="D1983">
        <v>0</v>
      </c>
      <c r="E1983">
        <v>0</v>
      </c>
      <c r="F1983">
        <v>0</v>
      </c>
      <c r="G1983" t="s">
        <v>184</v>
      </c>
    </row>
    <row r="1984" spans="1:7" x14ac:dyDescent="0.35">
      <c r="A1984">
        <v>490</v>
      </c>
      <c r="B1984" t="s">
        <v>508</v>
      </c>
      <c r="C1984">
        <v>0</v>
      </c>
      <c r="D1984">
        <v>-236894.7</v>
      </c>
      <c r="E1984">
        <v>-236894.7</v>
      </c>
      <c r="F1984">
        <v>0</v>
      </c>
      <c r="G1984" t="s">
        <v>184</v>
      </c>
    </row>
    <row r="1985" spans="1:7" x14ac:dyDescent="0.35">
      <c r="A1985">
        <v>500</v>
      </c>
      <c r="B1985" t="s">
        <v>351</v>
      </c>
      <c r="C1985">
        <v>0</v>
      </c>
      <c r="D1985">
        <v>0</v>
      </c>
      <c r="E1985">
        <v>0</v>
      </c>
      <c r="F1985">
        <v>0</v>
      </c>
      <c r="G1985" t="s">
        <v>184</v>
      </c>
    </row>
    <row r="1986" spans="1:7" x14ac:dyDescent="0.35">
      <c r="A1986">
        <v>510</v>
      </c>
      <c r="B1986" t="s">
        <v>509</v>
      </c>
      <c r="C1986">
        <v>0</v>
      </c>
      <c r="D1986">
        <v>-140650.65</v>
      </c>
      <c r="E1986">
        <v>-140650.65</v>
      </c>
      <c r="F1986">
        <v>0</v>
      </c>
      <c r="G1986" t="s">
        <v>184</v>
      </c>
    </row>
    <row r="1987" spans="1:7" x14ac:dyDescent="0.35">
      <c r="A1987">
        <v>512</v>
      </c>
      <c r="B1987" t="s">
        <v>510</v>
      </c>
      <c r="C1987">
        <v>0</v>
      </c>
      <c r="D1987">
        <v>-232601.06</v>
      </c>
      <c r="E1987">
        <v>-232601.06</v>
      </c>
      <c r="F1987">
        <v>0</v>
      </c>
      <c r="G1987" t="s">
        <v>184</v>
      </c>
    </row>
    <row r="1988" spans="1:7" x14ac:dyDescent="0.35">
      <c r="A1988">
        <v>514</v>
      </c>
      <c r="B1988" t="s">
        <v>511</v>
      </c>
      <c r="C1988">
        <v>0</v>
      </c>
      <c r="D1988">
        <v>232601</v>
      </c>
      <c r="E1988">
        <v>232601</v>
      </c>
      <c r="F1988">
        <v>0</v>
      </c>
      <c r="G1988" t="s">
        <v>184</v>
      </c>
    </row>
    <row r="1989" spans="1:7" x14ac:dyDescent="0.35">
      <c r="A1989">
        <v>520</v>
      </c>
      <c r="B1989" t="s">
        <v>512</v>
      </c>
      <c r="C1989">
        <v>0</v>
      </c>
      <c r="D1989">
        <v>-10000</v>
      </c>
      <c r="E1989">
        <v>-10000</v>
      </c>
      <c r="F1989">
        <v>0</v>
      </c>
      <c r="G1989" t="s">
        <v>184</v>
      </c>
    </row>
    <row r="1990" spans="1:7" x14ac:dyDescent="0.35">
      <c r="A1990">
        <v>530</v>
      </c>
      <c r="B1990" t="s">
        <v>513</v>
      </c>
      <c r="C1990">
        <v>0</v>
      </c>
      <c r="D1990">
        <v>139291</v>
      </c>
      <c r="E1990">
        <v>139291</v>
      </c>
      <c r="F1990">
        <v>0</v>
      </c>
      <c r="G1990" t="s">
        <v>184</v>
      </c>
    </row>
    <row r="1991" spans="1:7" x14ac:dyDescent="0.35">
      <c r="A1991">
        <v>540</v>
      </c>
      <c r="B1991" t="s">
        <v>514</v>
      </c>
      <c r="C1991">
        <v>0</v>
      </c>
      <c r="D1991">
        <v>-259732.53</v>
      </c>
      <c r="E1991">
        <v>-259732.53</v>
      </c>
      <c r="F1991">
        <v>0</v>
      </c>
      <c r="G1991" t="s">
        <v>184</v>
      </c>
    </row>
    <row r="1992" spans="1:7" x14ac:dyDescent="0.35">
      <c r="A1992">
        <v>550</v>
      </c>
      <c r="B1992" t="s">
        <v>515</v>
      </c>
      <c r="C1992">
        <v>0</v>
      </c>
      <c r="D1992">
        <v>0</v>
      </c>
      <c r="E1992">
        <v>0</v>
      </c>
      <c r="F1992">
        <v>0</v>
      </c>
      <c r="G1992" t="s">
        <v>184</v>
      </c>
    </row>
    <row r="1993" spans="1:7" x14ac:dyDescent="0.35">
      <c r="A1993">
        <v>560</v>
      </c>
      <c r="B1993" t="s">
        <v>516</v>
      </c>
      <c r="C1993">
        <v>0</v>
      </c>
      <c r="D1993">
        <v>-1566891.01</v>
      </c>
      <c r="E1993">
        <v>-1566891.01</v>
      </c>
      <c r="F1993">
        <v>0</v>
      </c>
      <c r="G1993" t="s">
        <v>184</v>
      </c>
    </row>
    <row r="1994" spans="1:7" x14ac:dyDescent="0.35">
      <c r="A1994">
        <v>570</v>
      </c>
      <c r="B1994" t="s">
        <v>517</v>
      </c>
      <c r="C1994">
        <v>0</v>
      </c>
      <c r="D1994">
        <v>1562641.55</v>
      </c>
      <c r="E1994">
        <v>1566942.19</v>
      </c>
      <c r="F1994">
        <v>4300.6400000000003</v>
      </c>
      <c r="G1994" t="s">
        <v>184</v>
      </c>
    </row>
    <row r="1995" spans="1:7" x14ac:dyDescent="0.35">
      <c r="A1995">
        <v>580</v>
      </c>
      <c r="B1995" t="s">
        <v>518</v>
      </c>
      <c r="C1995">
        <v>0</v>
      </c>
      <c r="D1995">
        <v>0</v>
      </c>
      <c r="E1995">
        <v>0</v>
      </c>
      <c r="F1995">
        <v>0</v>
      </c>
      <c r="G1995" t="s">
        <v>184</v>
      </c>
    </row>
    <row r="1996" spans="1:7" x14ac:dyDescent="0.35">
      <c r="A1996">
        <v>590</v>
      </c>
      <c r="B1996" t="s">
        <v>519</v>
      </c>
      <c r="C1996">
        <v>0</v>
      </c>
      <c r="D1996">
        <v>0</v>
      </c>
      <c r="E1996">
        <v>0</v>
      </c>
      <c r="F1996">
        <v>0</v>
      </c>
      <c r="G1996" t="s">
        <v>184</v>
      </c>
    </row>
    <row r="1997" spans="1:7" x14ac:dyDescent="0.35">
      <c r="A1997">
        <v>600</v>
      </c>
      <c r="B1997" t="s">
        <v>520</v>
      </c>
      <c r="C1997">
        <v>0</v>
      </c>
      <c r="D1997">
        <v>-2628643.83</v>
      </c>
      <c r="E1997">
        <v>-2628643.83</v>
      </c>
      <c r="F1997">
        <v>0</v>
      </c>
      <c r="G1997" t="s">
        <v>184</v>
      </c>
    </row>
    <row r="1998" spans="1:7" x14ac:dyDescent="0.35">
      <c r="A1998">
        <v>610</v>
      </c>
      <c r="B1998" t="s">
        <v>521</v>
      </c>
      <c r="C1998">
        <v>0</v>
      </c>
      <c r="D1998">
        <v>0</v>
      </c>
      <c r="E1998">
        <v>0</v>
      </c>
      <c r="F1998">
        <v>0</v>
      </c>
      <c r="G1998" t="s">
        <v>184</v>
      </c>
    </row>
    <row r="1999" spans="1:7" x14ac:dyDescent="0.35">
      <c r="A1999">
        <v>615</v>
      </c>
      <c r="B1999" t="s">
        <v>550</v>
      </c>
      <c r="C1999">
        <v>0</v>
      </c>
      <c r="D1999">
        <v>-41043.22</v>
      </c>
      <c r="E1999">
        <v>6591126.3600000003</v>
      </c>
      <c r="F1999">
        <v>6632169.5800000001</v>
      </c>
      <c r="G1999" t="s">
        <v>184</v>
      </c>
    </row>
    <row r="2000" spans="1:7" x14ac:dyDescent="0.35">
      <c r="A2000">
        <v>620</v>
      </c>
      <c r="B2000" t="s">
        <v>522</v>
      </c>
      <c r="C2000">
        <v>0</v>
      </c>
      <c r="D2000">
        <v>0</v>
      </c>
      <c r="E2000">
        <v>0</v>
      </c>
      <c r="F2000">
        <v>0</v>
      </c>
      <c r="G2000" t="s">
        <v>184</v>
      </c>
    </row>
    <row r="2001" spans="1:7" x14ac:dyDescent="0.35">
      <c r="A2001">
        <v>630</v>
      </c>
      <c r="B2001" t="s">
        <v>523</v>
      </c>
      <c r="C2001">
        <v>0</v>
      </c>
      <c r="D2001">
        <v>-56847</v>
      </c>
      <c r="E2001">
        <v>-56847</v>
      </c>
      <c r="F2001">
        <v>0</v>
      </c>
      <c r="G2001" t="s">
        <v>184</v>
      </c>
    </row>
    <row r="2002" spans="1:7" x14ac:dyDescent="0.35">
      <c r="A2002">
        <v>635</v>
      </c>
      <c r="B2002" t="s">
        <v>551</v>
      </c>
      <c r="C2002">
        <v>0</v>
      </c>
      <c r="D2002">
        <v>0</v>
      </c>
      <c r="E2002">
        <v>0</v>
      </c>
      <c r="F2002">
        <v>0</v>
      </c>
      <c r="G2002" t="s">
        <v>184</v>
      </c>
    </row>
    <row r="2003" spans="1:7" x14ac:dyDescent="0.35">
      <c r="A2003">
        <v>640</v>
      </c>
      <c r="B2003" t="s">
        <v>524</v>
      </c>
      <c r="C2003">
        <v>0</v>
      </c>
      <c r="D2003">
        <v>-6379533.5999999996</v>
      </c>
      <c r="E2003">
        <v>311970.57</v>
      </c>
      <c r="F2003">
        <v>6691504.1699999999</v>
      </c>
      <c r="G2003" t="s">
        <v>184</v>
      </c>
    </row>
    <row r="2004" spans="1:7" x14ac:dyDescent="0.35">
      <c r="A2004">
        <v>650</v>
      </c>
      <c r="B2004" t="s">
        <v>525</v>
      </c>
      <c r="C2004">
        <v>11777.72</v>
      </c>
      <c r="D2004">
        <v>130764.51</v>
      </c>
      <c r="E2004">
        <v>-53880.53</v>
      </c>
      <c r="F2004">
        <v>-184645.04</v>
      </c>
      <c r="G2004" t="s">
        <v>184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A287" zoomScale="60" zoomScaleNormal="60" zoomScaleSheetLayoutView="80" workbookViewId="0">
      <selection activeCell="P202" sqref="P202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36328125" customWidth="1"/>
    <col min="8" max="8" width="10.26953125" customWidth="1"/>
    <col min="11" max="11" width="10.90625" customWidth="1"/>
  </cols>
  <sheetData>
    <row r="1" spans="3:9" x14ac:dyDescent="0.35">
      <c r="C1" t="s">
        <v>583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40" t="s">
        <v>571</v>
      </c>
      <c r="E2" s="240" t="s">
        <v>106</v>
      </c>
      <c r="F2" s="241"/>
      <c r="G2" s="241"/>
      <c r="H2" s="241"/>
      <c r="I2" s="241"/>
    </row>
    <row r="3" spans="3:9" ht="28.5" x14ac:dyDescent="0.35">
      <c r="D3" s="241"/>
      <c r="E3" s="243" t="s">
        <v>281</v>
      </c>
      <c r="F3" s="243" t="s">
        <v>572</v>
      </c>
      <c r="G3" s="243" t="s">
        <v>283</v>
      </c>
      <c r="H3" s="253" t="s">
        <v>284</v>
      </c>
      <c r="I3" s="243" t="s">
        <v>285</v>
      </c>
    </row>
    <row r="4" spans="3:9" x14ac:dyDescent="0.35">
      <c r="D4" s="240" t="s">
        <v>487</v>
      </c>
      <c r="E4" s="244">
        <f>('605'!C514+'605'!C505)/1000</f>
        <v>-588.17457999999999</v>
      </c>
      <c r="F4" s="244">
        <f>('605'!C444+'605'!C435)/1000</f>
        <v>-240.60196000000002</v>
      </c>
      <c r="G4" s="244">
        <f>('605'!C654+'605'!C645)/1000</f>
        <v>-108.48595000000002</v>
      </c>
      <c r="H4" s="244">
        <f>('605'!C584+'605'!C575)/1000</f>
        <v>90.802509999999998</v>
      </c>
      <c r="I4" s="244">
        <f>SUM(E4,F4,G4,H4)</f>
        <v>-846.45998000000009</v>
      </c>
    </row>
    <row r="5" spans="3:9" x14ac:dyDescent="0.35">
      <c r="D5" s="241"/>
      <c r="E5" s="245"/>
      <c r="F5" s="245"/>
      <c r="G5" s="245"/>
      <c r="H5" s="245"/>
      <c r="I5" s="245"/>
    </row>
    <row r="6" spans="3:9" x14ac:dyDescent="0.35">
      <c r="D6" s="240" t="s">
        <v>574</v>
      </c>
      <c r="E6" s="245"/>
      <c r="F6" s="245"/>
      <c r="G6" s="245"/>
      <c r="H6" s="245"/>
      <c r="I6" s="245"/>
    </row>
    <row r="7" spans="3:9" x14ac:dyDescent="0.35">
      <c r="D7" s="241" t="s">
        <v>341</v>
      </c>
      <c r="E7" s="246">
        <f>'605'!$C$516/1000</f>
        <v>1926.4025800000002</v>
      </c>
      <c r="F7" s="246">
        <f>('605'!$C$446)/1000</f>
        <v>-117.8207</v>
      </c>
      <c r="G7" s="246">
        <f>'605'!$C$656/1000</f>
        <v>-831.16933999999992</v>
      </c>
      <c r="H7" s="246">
        <f>'605'!$C$586/1000</f>
        <v>-492.14274999999998</v>
      </c>
      <c r="I7" s="246">
        <f t="shared" ref="I7:I13" si="0">SUM(E7,F7,G7,H7)</f>
        <v>485.26979000000028</v>
      </c>
    </row>
    <row r="8" spans="3:9" x14ac:dyDescent="0.35">
      <c r="D8" s="241" t="s">
        <v>342</v>
      </c>
      <c r="E8" s="247">
        <f>('605'!C517+'605'!C518+'605'!C519)/1000</f>
        <v>-11.01432</v>
      </c>
      <c r="F8" s="247">
        <f>('605'!C447+'605'!C448+'605'!C449)/1000</f>
        <v>8.0006699999999995</v>
      </c>
      <c r="G8" s="247">
        <f>('605'!C657+'605'!C658+'605'!C659)/1000</f>
        <v>-1.9361400000000002</v>
      </c>
      <c r="H8" s="247">
        <f>('605'!C587+'605'!C588+'605'!C589)/1000</f>
        <v>-13.8178</v>
      </c>
      <c r="I8" s="247">
        <f t="shared" si="0"/>
        <v>-18.767589999999998</v>
      </c>
    </row>
    <row r="9" spans="3:9" x14ac:dyDescent="0.35">
      <c r="D9" s="241" t="s">
        <v>343</v>
      </c>
      <c r="E9" s="247">
        <f>'605'!$C$520/1000</f>
        <v>10085.49087</v>
      </c>
      <c r="F9" s="247">
        <f>'605'!$C$450/1000</f>
        <v>-154.61858999999998</v>
      </c>
      <c r="G9" s="247">
        <f>'605'!$C$660/1000</f>
        <v>8439.9462899999999</v>
      </c>
      <c r="H9" s="247">
        <f>'605'!$C$590/1000</f>
        <v>834.37176999999997</v>
      </c>
      <c r="I9" s="247">
        <f t="shared" si="0"/>
        <v>19205.190340000001</v>
      </c>
    </row>
    <row r="10" spans="3:9" x14ac:dyDescent="0.35">
      <c r="D10" s="241" t="s">
        <v>344</v>
      </c>
      <c r="E10" s="247">
        <f>('605'!C521+'605'!C522)/1000</f>
        <v>-246.09071000000009</v>
      </c>
      <c r="F10" s="247">
        <f>('605'!C451+'605'!C452)/1000</f>
        <v>-57.257289999999998</v>
      </c>
      <c r="G10" s="247">
        <f>('605'!C661+'605'!C662)/1000</f>
        <v>-3.0324300000000002</v>
      </c>
      <c r="H10" s="247">
        <f>('605'!C591+'605'!C592)/1000</f>
        <v>-143.58992999999998</v>
      </c>
      <c r="I10" s="247">
        <f t="shared" si="0"/>
        <v>-449.97036000000003</v>
      </c>
    </row>
    <row r="11" spans="3:9" x14ac:dyDescent="0.35">
      <c r="D11" s="241" t="s">
        <v>367</v>
      </c>
      <c r="E11" s="247">
        <f>'605'!$C$523/1000</f>
        <v>-7620.6518099999994</v>
      </c>
      <c r="F11" s="247">
        <f>'605'!$C$453/1000</f>
        <v>330.90264000000002</v>
      </c>
      <c r="G11" s="247">
        <f>'605'!$C$663/1000</f>
        <v>-10025.90933</v>
      </c>
      <c r="H11" s="247">
        <f>'605'!$C$593/1000</f>
        <v>-55.530019999999993</v>
      </c>
      <c r="I11" s="247">
        <f t="shared" si="0"/>
        <v>-17371.188519999996</v>
      </c>
    </row>
    <row r="12" spans="3:9" x14ac:dyDescent="0.35">
      <c r="D12" s="241" t="s">
        <v>492</v>
      </c>
      <c r="E12" s="247">
        <f>('605'!C524+'605'!C525)/1000</f>
        <v>-12816.36908</v>
      </c>
      <c r="F12" s="247">
        <f>('605'!C454 +'605'!C455)/1000</f>
        <v>0</v>
      </c>
      <c r="G12" s="247">
        <f>('605'!C664+'605'!C665)/1000</f>
        <v>190.34945000000002</v>
      </c>
      <c r="H12" s="247">
        <f>('605'!C594+'605'!C595)/1000</f>
        <v>30</v>
      </c>
      <c r="I12" s="247">
        <f t="shared" si="0"/>
        <v>-12596.019630000001</v>
      </c>
    </row>
    <row r="13" spans="3:9" x14ac:dyDescent="0.35">
      <c r="D13" s="241" t="s">
        <v>493</v>
      </c>
      <c r="E13" s="247">
        <f>('605'!C526+'605'!C527+'605'!C528+'605'!C529)/1000</f>
        <v>-106.73181</v>
      </c>
      <c r="F13" s="247">
        <f>('605'!$C$456+ '605'!C457+'605'!C458+'605'!C459)/1000</f>
        <v>-23.283039999999996</v>
      </c>
      <c r="G13" s="247">
        <f>('605'!C666+'605'!C667+'605'!C668+'605'!C669)/1000</f>
        <v>1899.1095399999999</v>
      </c>
      <c r="H13" s="247">
        <f>('605'!C596+'605'!C597+'605'!C598+'605'!C599)/1000</f>
        <v>41.42201</v>
      </c>
      <c r="I13" s="247">
        <f t="shared" si="0"/>
        <v>1810.5166999999999</v>
      </c>
    </row>
    <row r="14" spans="3:9" x14ac:dyDescent="0.35">
      <c r="D14" s="240" t="s">
        <v>574</v>
      </c>
      <c r="E14" s="244">
        <f>SUM(E7:E13)</f>
        <v>-8788.9642800000001</v>
      </c>
      <c r="F14" s="244">
        <f>SUM(F7:F13)</f>
        <v>-14.076310000000003</v>
      </c>
      <c r="G14" s="244">
        <f t="shared" ref="G14:I14" si="1">SUM(G7:G13)</f>
        <v>-332.64196000000084</v>
      </c>
      <c r="H14" s="244">
        <f t="shared" si="1"/>
        <v>200.71328000000005</v>
      </c>
      <c r="I14" s="244">
        <f t="shared" si="1"/>
        <v>-8934.969269999996</v>
      </c>
    </row>
    <row r="15" spans="3:9" x14ac:dyDescent="0.35">
      <c r="D15" s="241"/>
      <c r="E15" s="248"/>
      <c r="F15" s="248"/>
      <c r="G15" s="248"/>
      <c r="H15" s="248"/>
      <c r="I15" s="248"/>
    </row>
    <row r="16" spans="3:9" x14ac:dyDescent="0.35">
      <c r="D16" s="240" t="s">
        <v>497</v>
      </c>
      <c r="E16" s="245"/>
      <c r="F16" s="245"/>
      <c r="G16" s="245"/>
      <c r="H16" s="245"/>
      <c r="I16" s="245"/>
    </row>
    <row r="17" spans="4:9" x14ac:dyDescent="0.35">
      <c r="D17" s="241" t="s">
        <v>498</v>
      </c>
      <c r="E17" s="246">
        <f>'605'!$C$532/1000</f>
        <v>0</v>
      </c>
      <c r="F17" s="246">
        <f>'605'!$C$462/1000</f>
        <v>0</v>
      </c>
      <c r="G17" s="246">
        <f>'605'!$C$672/1000</f>
        <v>0</v>
      </c>
      <c r="H17" s="246">
        <f>'605'!$C$602/1000</f>
        <v>0</v>
      </c>
      <c r="I17" s="246">
        <f t="shared" ref="I17:I22" si="2">SUM(E17,F17,G17,H17)</f>
        <v>0</v>
      </c>
    </row>
    <row r="18" spans="4:9" x14ac:dyDescent="0.35">
      <c r="D18" s="241" t="s">
        <v>499</v>
      </c>
      <c r="E18" s="247">
        <f>'605'!$C$533/1000</f>
        <v>-2.2453400000000001</v>
      </c>
      <c r="F18" s="247">
        <f>'605'!$C$463/1000</f>
        <v>0</v>
      </c>
      <c r="G18" s="247">
        <f>'605'!$C$673/1000</f>
        <v>0</v>
      </c>
      <c r="H18" s="247">
        <f>'605'!C603/1000</f>
        <v>0</v>
      </c>
      <c r="I18" s="247">
        <f t="shared" si="2"/>
        <v>-2.2453400000000001</v>
      </c>
    </row>
    <row r="19" spans="4:9" x14ac:dyDescent="0.35">
      <c r="D19" s="241" t="s">
        <v>382</v>
      </c>
      <c r="E19" s="247">
        <f>'605'!$C$534/1000</f>
        <v>6000</v>
      </c>
      <c r="F19" s="247">
        <f>'605'!$C$464/1000</f>
        <v>0</v>
      </c>
      <c r="G19" s="247">
        <f>'605'!$C$674/1000</f>
        <v>0</v>
      </c>
      <c r="H19" s="247">
        <f>'605'!C604/1000</f>
        <v>0</v>
      </c>
      <c r="I19" s="247">
        <f t="shared" si="2"/>
        <v>6000</v>
      </c>
    </row>
    <row r="20" spans="4:9" x14ac:dyDescent="0.35">
      <c r="D20" s="241" t="s">
        <v>500</v>
      </c>
      <c r="E20" s="247">
        <f>'605'!$C$535/1000</f>
        <v>0</v>
      </c>
      <c r="F20" s="247">
        <f>'605'!$C$465/1000</f>
        <v>0</v>
      </c>
      <c r="G20" s="247">
        <f>'605'!$C$675/1000</f>
        <v>0</v>
      </c>
      <c r="H20" s="247">
        <f>'605'!C605/1000</f>
        <v>0</v>
      </c>
      <c r="I20" s="247">
        <f t="shared" si="2"/>
        <v>0</v>
      </c>
    </row>
    <row r="21" spans="4:9" x14ac:dyDescent="0.35">
      <c r="D21" s="241" t="s">
        <v>575</v>
      </c>
      <c r="E21" s="247">
        <f>('605'!C536+'605'!C537)/1000</f>
        <v>0</v>
      </c>
      <c r="F21" s="247">
        <f>('605'!C466+'605'!C467)/1000</f>
        <v>0</v>
      </c>
      <c r="G21" s="247">
        <f>('605'!C676+'605'!C677)/1000</f>
        <v>0</v>
      </c>
      <c r="H21" s="247">
        <f>('605'!C606+'605'!C607)/1000</f>
        <v>0</v>
      </c>
      <c r="I21" s="247">
        <f t="shared" si="2"/>
        <v>0</v>
      </c>
    </row>
    <row r="22" spans="4:9" x14ac:dyDescent="0.35">
      <c r="D22" s="241" t="s">
        <v>503</v>
      </c>
      <c r="E22" s="247">
        <f>'605'!$C$538/1000</f>
        <v>503.89533</v>
      </c>
      <c r="F22" s="247">
        <f>'605'!C468/1000</f>
        <v>0</v>
      </c>
      <c r="G22" s="247">
        <f>'605'!$C$678/1000</f>
        <v>-238.31717999999998</v>
      </c>
      <c r="H22" s="247">
        <f>'605'!$C$608/1000</f>
        <v>200.67492000000001</v>
      </c>
      <c r="I22" s="250">
        <f t="shared" si="2"/>
        <v>466.25307000000009</v>
      </c>
    </row>
    <row r="23" spans="4:9" x14ac:dyDescent="0.35">
      <c r="D23" s="240" t="s">
        <v>504</v>
      </c>
      <c r="E23" s="244">
        <f>SUM(E17:E22)</f>
        <v>6501.6499899999999</v>
      </c>
      <c r="F23" s="244">
        <f>SUM(F17:F22)</f>
        <v>0</v>
      </c>
      <c r="G23" s="244">
        <f t="shared" ref="G23:H23" si="3">SUM(G17:G22)</f>
        <v>-238.31717999999998</v>
      </c>
      <c r="H23" s="244">
        <f t="shared" si="3"/>
        <v>200.67492000000001</v>
      </c>
      <c r="I23" s="244">
        <f>SUM(I17:I22)</f>
        <v>6464.0077299999994</v>
      </c>
    </row>
    <row r="24" spans="4:9" x14ac:dyDescent="0.35">
      <c r="D24" s="240"/>
      <c r="E24" s="249"/>
      <c r="F24" s="249"/>
      <c r="G24" s="249"/>
      <c r="H24" s="249"/>
      <c r="I24" s="248"/>
    </row>
    <row r="25" spans="4:9" x14ac:dyDescent="0.35">
      <c r="D25" s="240" t="s">
        <v>505</v>
      </c>
      <c r="E25" s="245"/>
      <c r="F25" s="245"/>
      <c r="G25" s="245"/>
      <c r="H25" s="245"/>
      <c r="I25" s="245"/>
    </row>
    <row r="26" spans="4:9" x14ac:dyDescent="0.35">
      <c r="D26" s="241" t="s">
        <v>349</v>
      </c>
      <c r="E26" s="246">
        <f>'605'!$C$541/1000</f>
        <v>0</v>
      </c>
      <c r="F26" s="246">
        <f>'605'!$C$471/1000</f>
        <v>0</v>
      </c>
      <c r="G26" s="246">
        <f>'605'!$C$681/1000</f>
        <v>0</v>
      </c>
      <c r="H26" s="246">
        <f>'605'!$C$611/1000</f>
        <v>0</v>
      </c>
      <c r="I26" s="246">
        <f>SUM(E26,F26,G26,H26)</f>
        <v>0</v>
      </c>
    </row>
    <row r="27" spans="4:9" x14ac:dyDescent="0.35">
      <c r="D27" s="241" t="s">
        <v>353</v>
      </c>
      <c r="E27" s="247">
        <f>'605'!$C$543/1000</f>
        <v>0</v>
      </c>
      <c r="F27" s="247">
        <f>'605'!$C$473/1000</f>
        <v>0</v>
      </c>
      <c r="G27" s="247">
        <f>'605'!$C$683/1000</f>
        <v>-9.0517199999999995</v>
      </c>
      <c r="H27" s="247">
        <f>'605'!$C$613/1000</f>
        <v>0</v>
      </c>
      <c r="I27" s="247">
        <f t="shared" ref="I27:I38" si="4">SUM(E27,F27,G27,H27)</f>
        <v>-9.0517199999999995</v>
      </c>
    </row>
    <row r="28" spans="4:9" x14ac:dyDescent="0.35">
      <c r="D28" s="241" t="s">
        <v>352</v>
      </c>
      <c r="E28" s="247">
        <f>'605'!$C$545/1000</f>
        <v>0</v>
      </c>
      <c r="F28" s="247">
        <f>'605'!$C$475/1000</f>
        <v>0</v>
      </c>
      <c r="G28" s="247">
        <f>'605'!$C$685/1000</f>
        <v>0</v>
      </c>
      <c r="H28" s="247">
        <f>'605'!$C$615/1000</f>
        <v>0</v>
      </c>
      <c r="I28" s="247">
        <f t="shared" si="4"/>
        <v>0</v>
      </c>
    </row>
    <row r="29" spans="4:9" x14ac:dyDescent="0.35">
      <c r="D29" s="241" t="s">
        <v>351</v>
      </c>
      <c r="E29" s="247">
        <f>'605'!$C$547/1000</f>
        <v>-35.840000000000003</v>
      </c>
      <c r="F29" s="247">
        <f>'605'!$C$477/1000</f>
        <v>0</v>
      </c>
      <c r="G29" s="247">
        <f>'605'!$C$687/1000</f>
        <v>0</v>
      </c>
      <c r="H29" s="247">
        <f>'605'!$C$617/1000</f>
        <v>-15.135</v>
      </c>
      <c r="I29" s="247">
        <f t="shared" si="4"/>
        <v>-50.975000000000001</v>
      </c>
    </row>
    <row r="30" spans="4:9" x14ac:dyDescent="0.35">
      <c r="D30" s="241" t="s">
        <v>510</v>
      </c>
      <c r="E30" s="247">
        <f>'605'!$C$549/1000</f>
        <v>0</v>
      </c>
      <c r="F30" s="247">
        <f>'605'!$C$479/1000</f>
        <v>-8.2741399999999992</v>
      </c>
      <c r="G30" s="247">
        <f>'605'!$C$689/1000</f>
        <v>0</v>
      </c>
      <c r="H30" s="247">
        <f>'605'!$C$619/1000</f>
        <v>0</v>
      </c>
      <c r="I30" s="247">
        <f t="shared" si="4"/>
        <v>-8.2741399999999992</v>
      </c>
    </row>
    <row r="31" spans="4:9" x14ac:dyDescent="0.35">
      <c r="D31" s="241" t="s">
        <v>576</v>
      </c>
      <c r="E31" s="247">
        <f>'605'!$C$551/1000</f>
        <v>0</v>
      </c>
      <c r="F31" s="247">
        <f>'605'!$C$481/1000</f>
        <v>0</v>
      </c>
      <c r="G31" s="247">
        <f>'605'!$C$691/1000</f>
        <v>0</v>
      </c>
      <c r="H31" s="247">
        <f>'605'!$C$621/1000</f>
        <v>0</v>
      </c>
      <c r="I31" s="247">
        <f t="shared" si="4"/>
        <v>0</v>
      </c>
    </row>
    <row r="32" spans="4:9" x14ac:dyDescent="0.35">
      <c r="D32" s="241" t="s">
        <v>577</v>
      </c>
      <c r="E32" s="247">
        <f>'605'!$C$553/1000</f>
        <v>0</v>
      </c>
      <c r="F32" s="247">
        <f>'605'!$C$483/1000</f>
        <v>0</v>
      </c>
      <c r="G32" s="247">
        <f>'605'!$C$693/1000</f>
        <v>0</v>
      </c>
      <c r="H32" s="247">
        <f>'605'!$C$623/1000</f>
        <v>0</v>
      </c>
      <c r="I32" s="247">
        <f t="shared" si="4"/>
        <v>0</v>
      </c>
    </row>
    <row r="33" spans="4:9" x14ac:dyDescent="0.35">
      <c r="D33" s="241" t="s">
        <v>578</v>
      </c>
      <c r="E33" s="247">
        <f>'605'!$C$555/1000</f>
        <v>0</v>
      </c>
      <c r="F33" s="247">
        <f>'605'!$C$485/1000</f>
        <v>0</v>
      </c>
      <c r="G33" s="247">
        <f>'605'!$C$695/1000</f>
        <v>0</v>
      </c>
      <c r="H33" s="247">
        <f>'605'!$C$625/1000</f>
        <v>0</v>
      </c>
      <c r="I33" s="247">
        <f t="shared" si="4"/>
        <v>0</v>
      </c>
    </row>
    <row r="34" spans="4:9" x14ac:dyDescent="0.35">
      <c r="D34" s="241" t="s">
        <v>518</v>
      </c>
      <c r="E34" s="247">
        <f>'605'!$C$557/1000</f>
        <v>0</v>
      </c>
      <c r="F34" s="247">
        <f>'605'!$C$487/1000</f>
        <v>0</v>
      </c>
      <c r="G34" s="247">
        <f>'605'!$C$697/1000</f>
        <v>0</v>
      </c>
      <c r="H34" s="247">
        <f>'605'!$C$627/1000</f>
        <v>0</v>
      </c>
      <c r="I34" s="247">
        <f t="shared" si="4"/>
        <v>0</v>
      </c>
    </row>
    <row r="35" spans="4:9" x14ac:dyDescent="0.35">
      <c r="D35" s="241" t="s">
        <v>520</v>
      </c>
      <c r="E35" s="247">
        <f>'605'!$C$559/1000</f>
        <v>0</v>
      </c>
      <c r="F35" s="247">
        <f>'605'!$C$489/1000</f>
        <v>0</v>
      </c>
      <c r="G35" s="247">
        <f>'605'!$C$699/1000</f>
        <v>0</v>
      </c>
      <c r="H35" s="247">
        <f>'605'!$C$629/1000</f>
        <v>0</v>
      </c>
      <c r="I35" s="247">
        <f t="shared" si="4"/>
        <v>0</v>
      </c>
    </row>
    <row r="36" spans="4:9" x14ac:dyDescent="0.35">
      <c r="D36" s="241" t="s">
        <v>522</v>
      </c>
      <c r="E36" s="247">
        <f>'605'!$C$562/1000</f>
        <v>0</v>
      </c>
      <c r="F36" s="247">
        <f>'605'!$C$492/1000</f>
        <v>0</v>
      </c>
      <c r="G36" s="247">
        <f>'605'!$C$702/1000</f>
        <v>0</v>
      </c>
      <c r="H36" s="247">
        <f>'605'!$C$632/1000</f>
        <v>0</v>
      </c>
      <c r="I36" s="247">
        <f t="shared" si="4"/>
        <v>0</v>
      </c>
    </row>
    <row r="37" spans="4:9" x14ac:dyDescent="0.35">
      <c r="D37" s="241" t="s">
        <v>523</v>
      </c>
      <c r="E37" s="247">
        <f>'605'!$C$563/1000</f>
        <v>0</v>
      </c>
      <c r="F37" s="247">
        <f>'605'!$C$493/1000</f>
        <v>0</v>
      </c>
      <c r="G37" s="247">
        <f>'605'!$C$703/1000</f>
        <v>0</v>
      </c>
      <c r="H37" s="247">
        <f>'605'!$C$633/1000</f>
        <v>0</v>
      </c>
      <c r="I37" s="247">
        <f t="shared" si="4"/>
        <v>0</v>
      </c>
    </row>
    <row r="38" spans="4:9" x14ac:dyDescent="0.35">
      <c r="D38" s="241" t="s">
        <v>10</v>
      </c>
      <c r="E38" s="250">
        <f>('605'!C542+'605'!C544+'605'!C546+'605'!C548+'605'!C550+'605'!C552+'605'!C554+'605'!C556+'605'!C558+'605'!C560-'605'!C505)/1000</f>
        <v>1.4551915228366852E-14</v>
      </c>
      <c r="F38" s="250">
        <f>('605'!C472+'605'!C474+'605'!C476+'605'!C478+'605'!C480+'605'!C482+'605'!C484+'605'!C486+'605'!C488+'605'!C490-'605'!C435)/1000</f>
        <v>0</v>
      </c>
      <c r="G38" s="250">
        <f>('605'!C682+'605'!C684+'605'!C686+'605'!C688+'605'!C690+'605'!C692+'605'!C694+'605'!C696+'605'!C698+'605'!C700-'605'!C645)/1000</f>
        <v>260.98407000000009</v>
      </c>
      <c r="H38" s="250">
        <f>('605'!C612+'605'!C614+'605'!C616+'605'!C618+'605'!C620+'605'!C622+'605'!C624+'605'!C626+'605'!C628+'605'!C630-'605'!C575)/1000</f>
        <v>8.8920700000000004</v>
      </c>
      <c r="I38" s="250">
        <f t="shared" si="4"/>
        <v>269.87614000000008</v>
      </c>
    </row>
    <row r="39" spans="4:9" x14ac:dyDescent="0.35">
      <c r="D39" s="240" t="s">
        <v>524</v>
      </c>
      <c r="E39" s="259">
        <f>SUM(E26:E38)</f>
        <v>-35.839999999999989</v>
      </c>
      <c r="F39" s="244">
        <f t="shared" ref="F39:H39" si="5">SUM(F26:F38)</f>
        <v>-8.2741399999999992</v>
      </c>
      <c r="G39" s="244">
        <f t="shared" si="5"/>
        <v>251.9323500000001</v>
      </c>
      <c r="H39" s="244">
        <f t="shared" si="5"/>
        <v>-6.2429299999999994</v>
      </c>
      <c r="I39" s="244">
        <f>SUM(I26:I38)</f>
        <v>201.57528000000008</v>
      </c>
    </row>
    <row r="40" spans="4:9" x14ac:dyDescent="0.35">
      <c r="D40" s="241"/>
      <c r="E40" s="251"/>
      <c r="F40" s="251"/>
      <c r="G40" s="251"/>
      <c r="H40" s="251"/>
      <c r="I40" s="254"/>
    </row>
    <row r="41" spans="4:9" x14ac:dyDescent="0.35">
      <c r="D41" s="240" t="s">
        <v>525</v>
      </c>
      <c r="E41" s="252">
        <f>E4+E14+E23+E39</f>
        <v>-2911.3288700000012</v>
      </c>
      <c r="F41" s="252">
        <f>F4+F14+F23+F39</f>
        <v>-262.95241000000004</v>
      </c>
      <c r="G41" s="252">
        <f t="shared" ref="G41:H41" si="6">G4+G14+G23+G39</f>
        <v>-427.51274000000075</v>
      </c>
      <c r="H41" s="252">
        <f t="shared" si="6"/>
        <v>485.94778000000008</v>
      </c>
      <c r="I41" s="244">
        <f>I4+I14+I23+I39</f>
        <v>-3115.8462399999962</v>
      </c>
    </row>
    <row r="42" spans="4:9" x14ac:dyDescent="0.35">
      <c r="D42" s="242" t="s">
        <v>579</v>
      </c>
      <c r="E42" s="252">
        <f>('610'!$H$381)/1000</f>
        <v>4937.2881200000002</v>
      </c>
      <c r="F42" s="252">
        <f>'610'!$H$327/1000</f>
        <v>277.75274000000002</v>
      </c>
      <c r="G42" s="252">
        <f>'610'!$H$489/1000</f>
        <v>944.63181000000009</v>
      </c>
      <c r="H42" s="252">
        <f>('610'!$H$435+'610'!$H$436)/1000</f>
        <v>164.70089999999999</v>
      </c>
      <c r="I42" s="244">
        <f>SUM(E42,F42,G42,H42)</f>
        <v>6324.3735699999997</v>
      </c>
    </row>
    <row r="43" spans="4:9" x14ac:dyDescent="0.35">
      <c r="D43" s="242" t="s">
        <v>580</v>
      </c>
      <c r="E43" s="252">
        <f t="shared" ref="E43" si="7">SUM(E41:E42)</f>
        <v>2025.959249999999</v>
      </c>
      <c r="F43" s="252">
        <f>SUM(F41:F42)</f>
        <v>14.800329999999974</v>
      </c>
      <c r="G43" s="252">
        <f t="shared" ref="G43:H43" si="8">SUM(G41:G42)</f>
        <v>517.11906999999928</v>
      </c>
      <c r="H43" s="252">
        <f t="shared" si="8"/>
        <v>650.64868000000001</v>
      </c>
      <c r="I43" s="252">
        <f>SUM(I41:I42)</f>
        <v>3208.5273300000035</v>
      </c>
    </row>
    <row r="45" spans="4:9" x14ac:dyDescent="0.35">
      <c r="I45" s="258">
        <f>BG!$C$4</f>
        <v>3203.5273299999999</v>
      </c>
    </row>
    <row r="46" spans="4:9" x14ac:dyDescent="0.35">
      <c r="I46" t="s">
        <v>588</v>
      </c>
    </row>
    <row r="50" spans="4:9" x14ac:dyDescent="0.35">
      <c r="D50" s="255"/>
      <c r="E50" s="240" t="s">
        <v>581</v>
      </c>
      <c r="F50" s="241"/>
      <c r="G50" s="241"/>
      <c r="H50" s="241"/>
      <c r="I50" s="241"/>
    </row>
    <row r="51" spans="4:9" ht="28.5" x14ac:dyDescent="0.35">
      <c r="D51" s="256" t="s">
        <v>582</v>
      </c>
      <c r="E51" s="243" t="s">
        <v>281</v>
      </c>
      <c r="F51" s="243" t="s">
        <v>572</v>
      </c>
      <c r="G51" s="243" t="s">
        <v>283</v>
      </c>
      <c r="H51" s="253" t="s">
        <v>284</v>
      </c>
      <c r="I51" s="243" t="s">
        <v>573</v>
      </c>
    </row>
    <row r="52" spans="4:9" x14ac:dyDescent="0.35">
      <c r="D52" s="240" t="s">
        <v>487</v>
      </c>
      <c r="E52" s="244">
        <f>('605'!F514+'605'!F505)/1000</f>
        <v>-3794.7055399999999</v>
      </c>
      <c r="F52" s="244">
        <f>('605'!F444+'605'!F435)/1000</f>
        <v>-1945.2697700000001</v>
      </c>
      <c r="G52" s="244">
        <f>('605'!F654+'605'!F645)/1000</f>
        <v>-4186.4883</v>
      </c>
      <c r="H52" s="244">
        <f>('605'!F584+'605'!F575)/1000</f>
        <v>502.67061999999999</v>
      </c>
      <c r="I52" s="244">
        <f>SUM(E52,F52,G52,H52)</f>
        <v>-9423.7929899999981</v>
      </c>
    </row>
    <row r="53" spans="4:9" x14ac:dyDescent="0.35">
      <c r="D53" s="241"/>
      <c r="E53" s="245"/>
      <c r="F53" s="245"/>
      <c r="G53" s="245"/>
      <c r="H53" s="245"/>
      <c r="I53" s="245"/>
    </row>
    <row r="54" spans="4:9" x14ac:dyDescent="0.35">
      <c r="D54" s="240" t="s">
        <v>574</v>
      </c>
      <c r="E54" s="245"/>
      <c r="F54" s="245"/>
      <c r="G54" s="245"/>
      <c r="H54" s="245"/>
      <c r="I54" s="245"/>
    </row>
    <row r="55" spans="4:9" x14ac:dyDescent="0.35">
      <c r="D55" s="241" t="s">
        <v>341</v>
      </c>
      <c r="E55" s="246">
        <f>'605'!$F$516/1000</f>
        <v>2916.3989999999999</v>
      </c>
      <c r="F55" s="246">
        <f>('605'!$F$446)/1000</f>
        <v>-1342.7789499999999</v>
      </c>
      <c r="G55" s="246">
        <f>'605'!$F$656/1000</f>
        <v>-1759.2441200000001</v>
      </c>
      <c r="H55" s="246">
        <f>'605'!$F$586/1000</f>
        <v>-623.22415000000001</v>
      </c>
      <c r="I55" s="246">
        <f t="shared" ref="I55:I61" si="9">SUM(E55,F55,G55,H55)</f>
        <v>-808.84822000000008</v>
      </c>
    </row>
    <row r="56" spans="4:9" x14ac:dyDescent="0.35">
      <c r="D56" s="241" t="s">
        <v>342</v>
      </c>
      <c r="E56" s="247">
        <f>('605'!F517+'605'!F518+'605'!F519)/1000</f>
        <v>-94.421459999999996</v>
      </c>
      <c r="F56" s="247">
        <f>('605'!F447+'605'!F448+'605'!F449)/1000</f>
        <v>-4.1681599999999994</v>
      </c>
      <c r="G56" s="247">
        <f>('605'!F657+'605'!F658+'605'!F659)/1000</f>
        <v>-1004.6521300000001</v>
      </c>
      <c r="H56" s="247">
        <f>('605'!F587+'605'!F588+'605'!F589)/1000</f>
        <v>-387.64463000000001</v>
      </c>
      <c r="I56" s="247">
        <f t="shared" si="9"/>
        <v>-1490.8863800000001</v>
      </c>
    </row>
    <row r="57" spans="4:9" x14ac:dyDescent="0.35">
      <c r="D57" s="241" t="s">
        <v>343</v>
      </c>
      <c r="E57" s="247">
        <f>'605'!$F$520/1000</f>
        <v>43385.555850000004</v>
      </c>
      <c r="F57" s="247">
        <f>'605'!$F$450/1000</f>
        <v>2604.0635000000002</v>
      </c>
      <c r="G57" s="247">
        <f>'605'!$F$660/1000</f>
        <v>30453.455699999999</v>
      </c>
      <c r="H57" s="247">
        <f>'605'!$F$590/1000</f>
        <v>-379.40305999999998</v>
      </c>
      <c r="I57" s="247">
        <f t="shared" si="9"/>
        <v>76063.671990000017</v>
      </c>
    </row>
    <row r="58" spans="4:9" x14ac:dyDescent="0.35">
      <c r="D58" s="241" t="s">
        <v>344</v>
      </c>
      <c r="E58" s="247">
        <f>('605'!F521+'605'!F522)/1000</f>
        <v>4873.6959500000003</v>
      </c>
      <c r="F58" s="247">
        <f>('605'!F451+'605'!F452)/1000</f>
        <v>-113.96484</v>
      </c>
      <c r="G58" s="247">
        <f>('605'!F661+'605'!F662)/1000</f>
        <v>-91.188100000000006</v>
      </c>
      <c r="H58" s="247">
        <f>('605'!F591+'605'!F592)/1000</f>
        <v>-154.34384999999997</v>
      </c>
      <c r="I58" s="247">
        <f t="shared" si="9"/>
        <v>4514.1991600000001</v>
      </c>
    </row>
    <row r="59" spans="4:9" x14ac:dyDescent="0.35">
      <c r="D59" s="241" t="s">
        <v>367</v>
      </c>
      <c r="E59" s="247">
        <f>'605'!$F$523/1000</f>
        <v>-468.30859000000004</v>
      </c>
      <c r="F59" s="247">
        <f>'605'!$F$453/1000</f>
        <v>606.65332999999998</v>
      </c>
      <c r="G59" s="247">
        <f>'605'!$F$663/1000</f>
        <v>-34163.531739999999</v>
      </c>
      <c r="H59" s="247">
        <f>'605'!$F$593/1000</f>
        <v>-0.63546999999999998</v>
      </c>
      <c r="I59" s="247">
        <f t="shared" si="9"/>
        <v>-34025.822469999999</v>
      </c>
    </row>
    <row r="60" spans="4:9" x14ac:dyDescent="0.35">
      <c r="D60" s="241" t="s">
        <v>492</v>
      </c>
      <c r="E60" s="247">
        <f>('605'!F524+'605'!F525)/1000</f>
        <v>-53144.619679999996</v>
      </c>
      <c r="F60" s="247">
        <f>('605'!F454 +'605'!F455)/1000</f>
        <v>0</v>
      </c>
      <c r="G60" s="247">
        <f>('605'!F664+'605'!F665)/1000</f>
        <v>637.39076</v>
      </c>
      <c r="H60" s="247">
        <f>('605'!F594+'605'!F595)/1000</f>
        <v>30</v>
      </c>
      <c r="I60" s="247">
        <f t="shared" si="9"/>
        <v>-52477.228919999994</v>
      </c>
    </row>
    <row r="61" spans="4:9" x14ac:dyDescent="0.35">
      <c r="D61" s="241" t="s">
        <v>493</v>
      </c>
      <c r="E61" s="247">
        <f>('605'!F526+'605'!F527+'605'!F528+'605'!F529)/1000</f>
        <v>372.84654000000006</v>
      </c>
      <c r="F61" s="247">
        <f>('605'!$F$456+ '605'!F457+'605'!F458+'605'!F459)/1000</f>
        <v>-2586.6615000000002</v>
      </c>
      <c r="G61" s="247">
        <f>('605'!F666+'605'!F667+'605'!F668+'605'!F669)/1000</f>
        <v>7032.2179699999997</v>
      </c>
      <c r="H61" s="247">
        <f>('605'!F596+'605'!F597+'605'!F598+'605'!F599)/1000</f>
        <v>40.968900000000005</v>
      </c>
      <c r="I61" s="247">
        <f t="shared" si="9"/>
        <v>4859.3719099999998</v>
      </c>
    </row>
    <row r="62" spans="4:9" x14ac:dyDescent="0.35">
      <c r="D62" s="240" t="s">
        <v>574</v>
      </c>
      <c r="E62" s="244">
        <f>SUM(E55:E61)</f>
        <v>-2158.8523899999914</v>
      </c>
      <c r="F62" s="244">
        <f t="shared" ref="F62:H62" si="10">SUM(F55:F61)</f>
        <v>-836.85662000000002</v>
      </c>
      <c r="G62" s="244">
        <f t="shared" si="10"/>
        <v>1104.448339999999</v>
      </c>
      <c r="H62" s="244">
        <f t="shared" si="10"/>
        <v>-1474.2822599999997</v>
      </c>
      <c r="I62" s="244">
        <f>SUM(I55:I61)</f>
        <v>-3365.5429299999687</v>
      </c>
    </row>
    <row r="63" spans="4:9" x14ac:dyDescent="0.35">
      <c r="D63" s="241"/>
      <c r="E63" s="248"/>
      <c r="F63" s="248"/>
      <c r="G63" s="248"/>
      <c r="H63" s="248"/>
      <c r="I63" s="248"/>
    </row>
    <row r="64" spans="4:9" x14ac:dyDescent="0.35">
      <c r="D64" s="240" t="s">
        <v>497</v>
      </c>
      <c r="E64" s="245"/>
      <c r="F64" s="245"/>
      <c r="G64" s="245"/>
      <c r="H64" s="245"/>
      <c r="I64" s="245"/>
    </row>
    <row r="65" spans="4:9" x14ac:dyDescent="0.35">
      <c r="D65" s="241" t="s">
        <v>498</v>
      </c>
      <c r="E65" s="246">
        <f>'605'!$F$532/1000</f>
        <v>0</v>
      </c>
      <c r="F65" s="246">
        <f>'605'!$F$462/1000</f>
        <v>0</v>
      </c>
      <c r="G65" s="246">
        <f>'605'!$F$672/1000</f>
        <v>0</v>
      </c>
      <c r="H65" s="246">
        <f>'605'!$F$602/1000</f>
        <v>0</v>
      </c>
      <c r="I65" s="246">
        <f t="shared" ref="I65:I70" si="11">SUM(E65,F65,G65,H65)</f>
        <v>0</v>
      </c>
    </row>
    <row r="66" spans="4:9" x14ac:dyDescent="0.35">
      <c r="D66" s="241" t="s">
        <v>499</v>
      </c>
      <c r="E66" s="247">
        <f>'605'!$F$533/1000</f>
        <v>-117.37925</v>
      </c>
      <c r="F66" s="247">
        <f>'605'!$F$463/1000</f>
        <v>1700</v>
      </c>
      <c r="G66" s="247">
        <f>'605'!$F$673/1000</f>
        <v>3481</v>
      </c>
      <c r="H66" s="247">
        <f>'605'!F603/1000</f>
        <v>0</v>
      </c>
      <c r="I66" s="247">
        <f t="shared" si="11"/>
        <v>5063.62075</v>
      </c>
    </row>
    <row r="67" spans="4:9" x14ac:dyDescent="0.35">
      <c r="D67" s="241" t="s">
        <v>382</v>
      </c>
      <c r="E67" s="247">
        <f>'605'!$F$534/1000</f>
        <v>6000</v>
      </c>
      <c r="F67" s="247">
        <f>'605'!$F$464/1000</f>
        <v>0</v>
      </c>
      <c r="G67" s="247">
        <f>'605'!$F$674/1000</f>
        <v>0</v>
      </c>
      <c r="H67" s="247">
        <f>'605'!F604/1000</f>
        <v>0</v>
      </c>
      <c r="I67" s="247">
        <f t="shared" si="11"/>
        <v>6000</v>
      </c>
    </row>
    <row r="68" spans="4:9" x14ac:dyDescent="0.35">
      <c r="D68" s="241" t="s">
        <v>500</v>
      </c>
      <c r="E68" s="247">
        <f>'605'!$F$535/1000</f>
        <v>0</v>
      </c>
      <c r="F68" s="247">
        <f>'605'!$F$465/1000</f>
        <v>0</v>
      </c>
      <c r="G68" s="247">
        <f>'605'!$F$675/1000</f>
        <v>0</v>
      </c>
      <c r="H68" s="247">
        <f>'605'!F605/1000</f>
        <v>0</v>
      </c>
      <c r="I68" s="247">
        <f t="shared" si="11"/>
        <v>0</v>
      </c>
    </row>
    <row r="69" spans="4:9" x14ac:dyDescent="0.35">
      <c r="D69" s="241" t="s">
        <v>575</v>
      </c>
      <c r="E69" s="247">
        <f>('605'!F536+'605'!F537)/1000</f>
        <v>0</v>
      </c>
      <c r="F69" s="247">
        <f>('605'!F466+'605'!F467)/1000</f>
        <v>0</v>
      </c>
      <c r="G69" s="247">
        <f>('605'!F676+'605'!F677)/1000</f>
        <v>0</v>
      </c>
      <c r="H69" s="247">
        <f>('605'!F606+'605'!F607)/1000</f>
        <v>0</v>
      </c>
      <c r="I69" s="247">
        <f t="shared" si="11"/>
        <v>0</v>
      </c>
    </row>
    <row r="70" spans="4:9" x14ac:dyDescent="0.35">
      <c r="D70" s="241" t="s">
        <v>503</v>
      </c>
      <c r="E70" s="247">
        <f>'605'!$F$538/1000</f>
        <v>503.89533</v>
      </c>
      <c r="F70" s="247">
        <f>'605'!F468/1000</f>
        <v>0</v>
      </c>
      <c r="G70" s="247">
        <f>'605'!$F$678/1000</f>
        <v>-238.31717999999998</v>
      </c>
      <c r="H70" s="247">
        <f>'605'!$F$608/1000</f>
        <v>200.67492000000001</v>
      </c>
      <c r="I70" s="247">
        <f t="shared" si="11"/>
        <v>466.25307000000009</v>
      </c>
    </row>
    <row r="71" spans="4:9" x14ac:dyDescent="0.35">
      <c r="D71" s="240" t="s">
        <v>504</v>
      </c>
      <c r="E71" s="244">
        <f>SUM(E65:E70)</f>
        <v>6386.5160800000003</v>
      </c>
      <c r="F71" s="244">
        <f t="shared" ref="F71:I71" si="12">SUM(F65:F70)</f>
        <v>1700</v>
      </c>
      <c r="G71" s="244">
        <f t="shared" si="12"/>
        <v>3242.68282</v>
      </c>
      <c r="H71" s="244">
        <f t="shared" si="12"/>
        <v>200.67492000000001</v>
      </c>
      <c r="I71" s="244">
        <f t="shared" si="12"/>
        <v>11529.873820000001</v>
      </c>
    </row>
    <row r="72" spans="4:9" x14ac:dyDescent="0.35">
      <c r="D72" s="240"/>
      <c r="E72" s="249"/>
      <c r="F72" s="249"/>
      <c r="G72" s="249"/>
      <c r="H72" s="249"/>
      <c r="I72" s="249"/>
    </row>
    <row r="73" spans="4:9" x14ac:dyDescent="0.35">
      <c r="D73" s="240" t="s">
        <v>505</v>
      </c>
      <c r="E73" s="257"/>
      <c r="F73" s="257"/>
      <c r="G73" s="257"/>
      <c r="H73" s="257"/>
      <c r="I73" s="257"/>
    </row>
    <row r="74" spans="4:9" x14ac:dyDescent="0.35">
      <c r="D74" s="241" t="s">
        <v>349</v>
      </c>
      <c r="E74" s="246">
        <f>'605'!$F$541/1000</f>
        <v>0</v>
      </c>
      <c r="F74" s="246">
        <f>'605'!$F$471/1000</f>
        <v>0</v>
      </c>
      <c r="G74" s="246">
        <f>'605'!$F$681/1000</f>
        <v>0</v>
      </c>
      <c r="H74" s="246">
        <f>'605'!$F$611/1000</f>
        <v>0</v>
      </c>
      <c r="I74" s="247">
        <f t="shared" ref="I74:I86" si="13">SUM(E74,F74,G74,H74)</f>
        <v>0</v>
      </c>
    </row>
    <row r="75" spans="4:9" x14ac:dyDescent="0.35">
      <c r="D75" s="241" t="s">
        <v>353</v>
      </c>
      <c r="E75" s="247">
        <f>'605'!$F$543/1000</f>
        <v>0</v>
      </c>
      <c r="F75" s="247">
        <f>'605'!$F$473/1000</f>
        <v>0</v>
      </c>
      <c r="G75" s="247">
        <f>'605'!$F$683/1000</f>
        <v>-25.02788</v>
      </c>
      <c r="H75" s="247">
        <f>'605'!$F$613/1000</f>
        <v>0</v>
      </c>
      <c r="I75" s="247">
        <f t="shared" si="13"/>
        <v>-25.02788</v>
      </c>
    </row>
    <row r="76" spans="4:9" x14ac:dyDescent="0.35">
      <c r="D76" s="241" t="s">
        <v>352</v>
      </c>
      <c r="E76" s="247">
        <f>'605'!$F$545/1000</f>
        <v>244.69627</v>
      </c>
      <c r="F76" s="247">
        <f>'605'!$F$475/1000</f>
        <v>238.40114000000003</v>
      </c>
      <c r="G76" s="247">
        <f>'605'!$F$685/1000</f>
        <v>-91.637929999999997</v>
      </c>
      <c r="H76" s="247">
        <f>'605'!$F$615/1000</f>
        <v>0</v>
      </c>
      <c r="I76" s="247">
        <f t="shared" si="13"/>
        <v>391.45948000000004</v>
      </c>
    </row>
    <row r="77" spans="4:9" x14ac:dyDescent="0.35">
      <c r="D77" s="241" t="s">
        <v>351</v>
      </c>
      <c r="E77" s="247">
        <f>'605'!$F$547/1000</f>
        <v>-35.840000000000003</v>
      </c>
      <c r="F77" s="247">
        <f>'605'!$F$477/1000</f>
        <v>-26.085349999999998</v>
      </c>
      <c r="G77" s="247">
        <f>'605'!$F$687/1000</f>
        <v>-9.6301699999999997</v>
      </c>
      <c r="H77" s="247">
        <f>'605'!$F$617/1000</f>
        <v>-15.135</v>
      </c>
      <c r="I77" s="247">
        <f t="shared" si="13"/>
        <v>-86.690520000000006</v>
      </c>
    </row>
    <row r="78" spans="4:9" x14ac:dyDescent="0.35">
      <c r="D78" s="241" t="s">
        <v>510</v>
      </c>
      <c r="E78" s="247">
        <f>'605'!$F$549/1000</f>
        <v>0</v>
      </c>
      <c r="F78" s="247">
        <f>'605'!$F$479/1000</f>
        <v>-9.99742</v>
      </c>
      <c r="G78" s="247">
        <f>'605'!$F$689/1000</f>
        <v>-3.0163800000000003</v>
      </c>
      <c r="H78" s="247">
        <f>'605'!$F$619/1000</f>
        <v>-10.4</v>
      </c>
      <c r="I78" s="247">
        <f t="shared" si="13"/>
        <v>-23.413800000000002</v>
      </c>
    </row>
    <row r="79" spans="4:9" x14ac:dyDescent="0.35">
      <c r="D79" s="241" t="s">
        <v>576</v>
      </c>
      <c r="E79" s="247">
        <f>'605'!$F$551/1000</f>
        <v>0</v>
      </c>
      <c r="F79" s="247">
        <f>'605'!$F$481/1000</f>
        <v>0</v>
      </c>
      <c r="G79" s="247">
        <f>'605'!$F$691/1000</f>
        <v>0</v>
      </c>
      <c r="H79" s="247">
        <f>'605'!$F$621/1000</f>
        <v>0</v>
      </c>
      <c r="I79" s="247">
        <f t="shared" si="13"/>
        <v>0</v>
      </c>
    </row>
    <row r="80" spans="4:9" x14ac:dyDescent="0.35">
      <c r="D80" s="241" t="s">
        <v>577</v>
      </c>
      <c r="E80" s="247">
        <f>'605'!$F$553/1000</f>
        <v>0</v>
      </c>
      <c r="F80" s="247">
        <f>'605'!$F$483/1000</f>
        <v>0</v>
      </c>
      <c r="G80" s="247">
        <f>'605'!$F$693/1000</f>
        <v>-4.5588500000000005</v>
      </c>
      <c r="H80" s="247">
        <f>'605'!$F$623/1000</f>
        <v>0</v>
      </c>
      <c r="I80" s="247">
        <f t="shared" si="13"/>
        <v>-4.5588500000000005</v>
      </c>
    </row>
    <row r="81" spans="4:9" x14ac:dyDescent="0.35">
      <c r="D81" s="241" t="s">
        <v>578</v>
      </c>
      <c r="E81" s="247">
        <f>'605'!$F$555/1000</f>
        <v>0</v>
      </c>
      <c r="F81" s="247">
        <f>'605'!$F$485/1000</f>
        <v>0</v>
      </c>
      <c r="G81" s="247">
        <f>'605'!$F$695/1000</f>
        <v>0</v>
      </c>
      <c r="H81" s="247">
        <f>'605'!$F$625/1000</f>
        <v>0</v>
      </c>
      <c r="I81" s="247">
        <f t="shared" si="13"/>
        <v>0</v>
      </c>
    </row>
    <row r="82" spans="4:9" x14ac:dyDescent="0.35">
      <c r="D82" s="241" t="s">
        <v>518</v>
      </c>
      <c r="E82" s="247">
        <f>'605'!$F$557/1000</f>
        <v>0</v>
      </c>
      <c r="F82" s="247">
        <f>'605'!$F$487/1000</f>
        <v>0</v>
      </c>
      <c r="G82" s="247">
        <f>'605'!$F$697/1000</f>
        <v>0</v>
      </c>
      <c r="H82" s="247">
        <f>'605'!$F$627/1000</f>
        <v>0</v>
      </c>
      <c r="I82" s="247">
        <f t="shared" si="13"/>
        <v>0</v>
      </c>
    </row>
    <row r="83" spans="4:9" x14ac:dyDescent="0.35">
      <c r="D83" s="241" t="s">
        <v>520</v>
      </c>
      <c r="E83" s="247">
        <f>'605'!$F$559/1000</f>
        <v>0</v>
      </c>
      <c r="F83" s="247">
        <f>'605'!$F$489/1000</f>
        <v>0</v>
      </c>
      <c r="G83" s="247">
        <f>'605'!$F$699/1000</f>
        <v>0</v>
      </c>
      <c r="H83" s="247">
        <f>'605'!$F$629/1000</f>
        <v>0</v>
      </c>
      <c r="I83" s="247">
        <f t="shared" si="13"/>
        <v>0</v>
      </c>
    </row>
    <row r="84" spans="4:9" x14ac:dyDescent="0.35">
      <c r="D84" s="241" t="s">
        <v>522</v>
      </c>
      <c r="E84" s="247">
        <f>'605'!$F$562/1000</f>
        <v>0</v>
      </c>
      <c r="F84" s="247">
        <f>'605'!$F$492/1000</f>
        <v>0</v>
      </c>
      <c r="G84" s="247">
        <f>'605'!$F$702/1000</f>
        <v>0</v>
      </c>
      <c r="H84" s="247">
        <f>'605'!$F$632/1000</f>
        <v>0</v>
      </c>
      <c r="I84" s="247">
        <f t="shared" si="13"/>
        <v>0</v>
      </c>
    </row>
    <row r="85" spans="4:9" x14ac:dyDescent="0.35">
      <c r="D85" s="241" t="s">
        <v>523</v>
      </c>
      <c r="E85" s="247">
        <f>'605'!$F$563/1000</f>
        <v>834.09978999999998</v>
      </c>
      <c r="F85" s="247">
        <f>'605'!$F$493/1000</f>
        <v>912.09978999999998</v>
      </c>
      <c r="G85" s="247">
        <f>'605'!$F$703/1000</f>
        <v>0</v>
      </c>
      <c r="H85" s="247">
        <f>'605'!$F$633/1000</f>
        <v>0</v>
      </c>
      <c r="I85" s="247">
        <f t="shared" si="13"/>
        <v>1746.19958</v>
      </c>
    </row>
    <row r="86" spans="4:9" x14ac:dyDescent="0.35">
      <c r="D86" s="241" t="s">
        <v>10</v>
      </c>
      <c r="E86" s="250">
        <f>('605'!F542+'605'!F544+'605'!F546+'605'!F548+'605'!F550+'605'!F552+'605'!F554+'605'!F556+'605'!F558+'605'!F560-'605'!F505)/1000</f>
        <v>-161.19367000000017</v>
      </c>
      <c r="F86" s="250">
        <f>('605'!F472+'605'!F474+'605'!F476+'605'!F478+'605'!F480+'605'!F482+'605'!F484+'605'!F486+'605'!F488+'605'!F490-'605'!F435)/1000</f>
        <v>-238.40114</v>
      </c>
      <c r="G86" s="250">
        <f>('605'!F682+'605'!F684+'605'!F686+'605'!F688+'605'!F690+'605'!F692+'605'!F694+'605'!F696+'605'!F698+'605'!F700-'605'!F645)/1000</f>
        <v>260.98407000000009</v>
      </c>
      <c r="H86" s="250">
        <f>('605'!F612+'605'!F614+'605'!F616+'605'!F618+'605'!F620+'605'!F622+'605'!F624+'605'!F626+'605'!F628+'605'!F630-'605'!F575)/1000</f>
        <v>34.236069999999998</v>
      </c>
      <c r="I86" s="250">
        <f t="shared" si="13"/>
        <v>-104.37467000000008</v>
      </c>
    </row>
    <row r="87" spans="4:9" x14ac:dyDescent="0.35">
      <c r="D87" s="240" t="s">
        <v>524</v>
      </c>
      <c r="E87" s="244">
        <f>SUM(E74:E86)</f>
        <v>881.76238999999987</v>
      </c>
      <c r="F87" s="244">
        <f>SUM(F74:F86)</f>
        <v>876.01702</v>
      </c>
      <c r="G87" s="244">
        <f>SUM(G74:G86)</f>
        <v>127.1128600000001</v>
      </c>
      <c r="H87" s="244">
        <f>SUM(H74:H86)</f>
        <v>8.7010699999999979</v>
      </c>
      <c r="I87" s="244">
        <f>SUM(I74:I86)</f>
        <v>1893.5933399999999</v>
      </c>
    </row>
    <row r="88" spans="4:9" x14ac:dyDescent="0.35">
      <c r="D88" s="241"/>
      <c r="E88" s="251"/>
      <c r="F88" s="251"/>
      <c r="G88" s="251"/>
      <c r="H88" s="251"/>
      <c r="I88" s="251"/>
    </row>
    <row r="89" spans="4:9" x14ac:dyDescent="0.35">
      <c r="D89" s="240" t="s">
        <v>525</v>
      </c>
      <c r="E89" s="252">
        <f>E52+E62+E71+E87</f>
        <v>1314.7205400000084</v>
      </c>
      <c r="F89" s="252">
        <f>F52+F62+F71+F87</f>
        <v>-206.10937000000035</v>
      </c>
      <c r="G89" s="252">
        <f t="shared" ref="G89" si="14">G52+G62+G71+G87</f>
        <v>287.75571999999909</v>
      </c>
      <c r="H89" s="252">
        <f>H52+H62+H71+H87</f>
        <v>-762.23564999999974</v>
      </c>
      <c r="I89" s="244">
        <f>I52+I62+I71+I87</f>
        <v>634.13124000003381</v>
      </c>
    </row>
    <row r="90" spans="4:9" x14ac:dyDescent="0.35">
      <c r="D90" s="242" t="s">
        <v>579</v>
      </c>
      <c r="E90" s="252">
        <f>'610'!$I$381/1000</f>
        <v>711.23870999999997</v>
      </c>
      <c r="F90" s="252">
        <f>'610'!$I$327/1000</f>
        <v>220.90970000000002</v>
      </c>
      <c r="G90" s="252">
        <f>'610'!$I$489/1000</f>
        <v>229.36335</v>
      </c>
      <c r="H90" s="252">
        <f>('610'!$I$435+'610'!$I$436)/1000</f>
        <v>1412.8843300000001</v>
      </c>
      <c r="I90" s="244">
        <f t="shared" ref="I90" si="15">SUM(E90,F90,G90,H90)</f>
        <v>2574.3960900000002</v>
      </c>
    </row>
    <row r="91" spans="4:9" x14ac:dyDescent="0.35">
      <c r="D91" s="242" t="s">
        <v>580</v>
      </c>
      <c r="E91" s="252">
        <f t="shared" ref="E91" si="16">SUM(E89:E90)</f>
        <v>2025.9592500000085</v>
      </c>
      <c r="F91" s="252">
        <f>SUM(F89:F90)</f>
        <v>14.800329999999661</v>
      </c>
      <c r="G91" s="252">
        <f t="shared" ref="G91:I91" si="17">SUM(G89:G90)</f>
        <v>517.11906999999906</v>
      </c>
      <c r="H91" s="252">
        <f t="shared" si="17"/>
        <v>650.64868000000035</v>
      </c>
      <c r="I91" s="252">
        <f t="shared" si="17"/>
        <v>3208.527330000034</v>
      </c>
    </row>
    <row r="93" spans="4:9" x14ac:dyDescent="0.35">
      <c r="H93" s="186"/>
      <c r="I93" s="258"/>
    </row>
    <row r="97" spans="3:11" x14ac:dyDescent="0.35">
      <c r="C97" t="s">
        <v>584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40" t="s">
        <v>571</v>
      </c>
      <c r="E98" s="240" t="s">
        <v>106</v>
      </c>
      <c r="F98" s="241"/>
      <c r="G98" s="241"/>
      <c r="H98" s="241"/>
      <c r="I98" s="241"/>
      <c r="J98" s="241"/>
      <c r="K98" s="241"/>
    </row>
    <row r="99" spans="3:11" x14ac:dyDescent="0.35">
      <c r="D99" s="241"/>
      <c r="E99" s="243" t="s">
        <v>585</v>
      </c>
      <c r="F99" s="243" t="s">
        <v>290</v>
      </c>
      <c r="G99" s="243" t="s">
        <v>291</v>
      </c>
      <c r="H99" s="253" t="s">
        <v>292</v>
      </c>
      <c r="I99" s="243" t="s">
        <v>293</v>
      </c>
      <c r="J99" s="243" t="s">
        <v>586</v>
      </c>
      <c r="K99" s="243" t="s">
        <v>285</v>
      </c>
    </row>
    <row r="100" spans="3:11" x14ac:dyDescent="0.35">
      <c r="D100" s="240" t="s">
        <v>487</v>
      </c>
      <c r="E100" s="244">
        <f>('605'!C22+'605'!C11)/1000</f>
        <v>-164.42205000000004</v>
      </c>
      <c r="F100" s="244">
        <f>('605'!C93+'605'!C82)/1000</f>
        <v>158.54665</v>
      </c>
      <c r="G100" s="244">
        <f>('605'!C164+'605'!C153)/1000</f>
        <v>1239.22612</v>
      </c>
      <c r="H100" s="244">
        <f>('605'!C235+'605'!C224)/1000</f>
        <v>190.85684000000001</v>
      </c>
      <c r="I100" s="244">
        <f>('605'!C306+'605'!C295)/1000</f>
        <v>50.94482</v>
      </c>
      <c r="J100" s="244">
        <f>('605'!C377+'605'!C366)/1000</f>
        <v>55.57741</v>
      </c>
      <c r="K100" s="244">
        <f>SUM(E100,F100,G100,H100,I100,J100)</f>
        <v>1530.7297899999999</v>
      </c>
    </row>
    <row r="101" spans="3:11" x14ac:dyDescent="0.35">
      <c r="D101" s="241"/>
      <c r="E101" s="245"/>
      <c r="F101" s="245"/>
      <c r="G101" s="245"/>
      <c r="H101" s="245"/>
      <c r="I101" s="245"/>
      <c r="J101" s="245"/>
      <c r="K101" s="245"/>
    </row>
    <row r="102" spans="3:11" x14ac:dyDescent="0.35">
      <c r="D102" s="240" t="s">
        <v>574</v>
      </c>
      <c r="E102" s="245"/>
      <c r="F102" s="245"/>
      <c r="G102" s="245"/>
      <c r="H102" s="245"/>
      <c r="I102" s="245"/>
      <c r="J102" s="245"/>
      <c r="K102" s="245"/>
    </row>
    <row r="103" spans="3:11" x14ac:dyDescent="0.35">
      <c r="D103" s="241" t="s">
        <v>341</v>
      </c>
      <c r="E103" s="246">
        <f>'605'!$C$25/1000</f>
        <v>0</v>
      </c>
      <c r="F103" s="246">
        <f>'605'!$C$96/1000</f>
        <v>-554.76787000000002</v>
      </c>
      <c r="G103" s="246">
        <f>'605'!$C$167/1000</f>
        <v>-2136.92245</v>
      </c>
      <c r="H103" s="246">
        <f>('605'!$C$238)/1000</f>
        <v>-224.83810999999997</v>
      </c>
      <c r="I103" s="246">
        <f>'605'!$C$309/1000</f>
        <v>-686.56804</v>
      </c>
      <c r="J103" s="246">
        <f>'605'!$C$380/1000</f>
        <v>65.94174000000001</v>
      </c>
      <c r="K103" s="246">
        <f>SUM(E103,F103,G103,H103,I103,J103)</f>
        <v>-3537.1547300000002</v>
      </c>
    </row>
    <row r="104" spans="3:11" x14ac:dyDescent="0.35">
      <c r="D104" s="241" t="s">
        <v>342</v>
      </c>
      <c r="E104" s="247">
        <f>('605'!C26+'605'!C27)/1000</f>
        <v>1082.5144000000003</v>
      </c>
      <c r="F104" s="247">
        <f>('605'!C97+'605'!C98)/1000</f>
        <v>-130</v>
      </c>
      <c r="G104" s="247">
        <f>('605'!C168+'605'!C169)/1000</f>
        <v>-45.643540000000002</v>
      </c>
      <c r="H104" s="247">
        <f>('605'!C239+'605'!C240)/1000</f>
        <v>-14.891349999999999</v>
      </c>
      <c r="I104" s="247">
        <f>('605'!C310+'605'!C311)/1000</f>
        <v>-2.9E-4</v>
      </c>
      <c r="J104" s="247">
        <f>('605'!C381+'605'!C382)/1000</f>
        <v>0</v>
      </c>
      <c r="K104" s="247">
        <f t="shared" ref="K104:K109" si="18">SUM(E104,F104,G104,H104,I104,J104)</f>
        <v>891.97922000000028</v>
      </c>
    </row>
    <row r="105" spans="3:11" x14ac:dyDescent="0.35">
      <c r="D105" s="241" t="s">
        <v>343</v>
      </c>
      <c r="E105" s="247">
        <f>'605'!$C$28/1000</f>
        <v>-860.21156000000008</v>
      </c>
      <c r="F105" s="247">
        <f>'605'!$C$99/1000</f>
        <v>0</v>
      </c>
      <c r="G105" s="247">
        <f>'605'!$C$170/1000</f>
        <v>1629.27682</v>
      </c>
      <c r="H105" s="247">
        <f>'605'!$C$241/1000</f>
        <v>0</v>
      </c>
      <c r="I105" s="247">
        <f>'605'!$C$312/1000</f>
        <v>0</v>
      </c>
      <c r="J105" s="247">
        <f>'605'!$C$383/1000</f>
        <v>0</v>
      </c>
      <c r="K105" s="247">
        <f t="shared" si="18"/>
        <v>769.06525999999997</v>
      </c>
    </row>
    <row r="106" spans="3:11" x14ac:dyDescent="0.35">
      <c r="D106" s="241" t="s">
        <v>344</v>
      </c>
      <c r="E106" s="247">
        <f>('605'!C29+'605'!C30)/1000</f>
        <v>340.25036999999986</v>
      </c>
      <c r="F106" s="247">
        <f>('605'!C100+'605'!C101)/1000</f>
        <v>-926.98010999999997</v>
      </c>
      <c r="G106" s="247">
        <f>('605'!C171+'605'!C172)/1000</f>
        <v>-1222.4625100000001</v>
      </c>
      <c r="H106" s="247">
        <f>('605'!C242+'605'!C243)/1000</f>
        <v>-347.65126000000004</v>
      </c>
      <c r="I106" s="247">
        <f>('605'!C313+'605'!C314)/1000</f>
        <v>-135.92752000000002</v>
      </c>
      <c r="J106" s="247">
        <f>('605'!C384+'605'!C385)/1000</f>
        <v>-26.353150000000003</v>
      </c>
      <c r="K106" s="247">
        <f t="shared" si="18"/>
        <v>-2319.1241800000003</v>
      </c>
    </row>
    <row r="107" spans="3:11" x14ac:dyDescent="0.35">
      <c r="D107" s="241" t="s">
        <v>367</v>
      </c>
      <c r="E107" s="247">
        <f>'605'!$C$31/1000</f>
        <v>-396.03082000000001</v>
      </c>
      <c r="F107" s="247">
        <f>'605'!$C$102/1000</f>
        <v>0</v>
      </c>
      <c r="G107" s="247">
        <f>'605'!$C$173/1000</f>
        <v>-1083.35285</v>
      </c>
      <c r="H107" s="247">
        <f>'605'!$C$244/1000</f>
        <v>0</v>
      </c>
      <c r="I107" s="247">
        <f>'605'!$C$315/1000</f>
        <v>0</v>
      </c>
      <c r="J107" s="247">
        <f>'605'!$C$386/1000</f>
        <v>0</v>
      </c>
      <c r="K107" s="247">
        <f t="shared" si="18"/>
        <v>-1479.3836699999999</v>
      </c>
    </row>
    <row r="108" spans="3:11" x14ac:dyDescent="0.35">
      <c r="D108" s="241" t="s">
        <v>492</v>
      </c>
      <c r="E108" s="247">
        <f>('605'!C32+'605'!C33)/1000</f>
        <v>-907.52200000000005</v>
      </c>
      <c r="F108" s="247">
        <f>('605'!C103+'605'!C104)/1000</f>
        <v>-1131.8829699999999</v>
      </c>
      <c r="G108" s="247">
        <f>('605'!C174+'605'!C175)/1000</f>
        <v>365.87133</v>
      </c>
      <c r="H108" s="247">
        <f>('605'!C245+'605'!C246)/1000</f>
        <v>-100.11335000000001</v>
      </c>
      <c r="I108" s="247">
        <f>('605'!C316+'605'!C317)/1000</f>
        <v>573.23549000000003</v>
      </c>
      <c r="J108" s="247">
        <f>('605'!C387+'605'!C388)/1000</f>
        <v>-141.86149</v>
      </c>
      <c r="K108" s="247">
        <f t="shared" si="18"/>
        <v>-1342.2729900000002</v>
      </c>
    </row>
    <row r="109" spans="3:11" x14ac:dyDescent="0.35">
      <c r="D109" s="241" t="s">
        <v>493</v>
      </c>
      <c r="E109" s="247">
        <f>('605'!C34+'605'!C35+'605'!C36)/1000</f>
        <v>1766.3987299999999</v>
      </c>
      <c r="F109" s="247">
        <f>('605'!C105+'605'!C106+'605'!C107)/1000</f>
        <v>990.93056000000001</v>
      </c>
      <c r="G109" s="247">
        <f>('605'!C176+'605'!C177+'605'!C178)/1000</f>
        <v>570.11279000000002</v>
      </c>
      <c r="H109" s="247">
        <f>('605'!C247+'605'!C248+'605'!C249)/1000</f>
        <v>394.15469999999993</v>
      </c>
      <c r="I109" s="247">
        <f>('605'!C318+'605'!C319+'605'!C320)/1000</f>
        <v>195.17568</v>
      </c>
      <c r="J109" s="247">
        <f>('605'!C389+'605'!C390+'605'!C391)/1000</f>
        <v>49.008720000000004</v>
      </c>
      <c r="K109" s="247">
        <f t="shared" si="18"/>
        <v>3965.7811799999995</v>
      </c>
    </row>
    <row r="110" spans="3:11" x14ac:dyDescent="0.35">
      <c r="D110" s="240" t="s">
        <v>574</v>
      </c>
      <c r="E110" s="244">
        <f>SUM(E103:E109)</f>
        <v>1025.3991199999998</v>
      </c>
      <c r="F110" s="244">
        <f>SUM(F103:F109)</f>
        <v>-1752.7003899999997</v>
      </c>
      <c r="G110" s="244">
        <f t="shared" ref="G110:I110" si="19">SUM(G103:G109)</f>
        <v>-1923.12041</v>
      </c>
      <c r="H110" s="244">
        <f>SUM(H103:H109)</f>
        <v>-293.33937000000003</v>
      </c>
      <c r="I110" s="244">
        <f t="shared" si="19"/>
        <v>-54.084679999999992</v>
      </c>
      <c r="J110" s="244">
        <f t="shared" ref="J110:K110" si="20">SUM(J103:J109)</f>
        <v>-53.264179999999989</v>
      </c>
      <c r="K110" s="244">
        <f t="shared" si="20"/>
        <v>-3051.1099100000015</v>
      </c>
    </row>
    <row r="111" spans="3:11" x14ac:dyDescent="0.35">
      <c r="D111" s="241"/>
      <c r="E111" s="248"/>
      <c r="F111" s="248"/>
      <c r="G111" s="248"/>
      <c r="H111" s="248"/>
      <c r="I111" s="248"/>
      <c r="J111" s="248"/>
      <c r="K111" s="248"/>
    </row>
    <row r="112" spans="3:11" x14ac:dyDescent="0.35">
      <c r="D112" s="240" t="s">
        <v>497</v>
      </c>
      <c r="E112" s="245"/>
      <c r="F112" s="245"/>
      <c r="G112" s="245"/>
      <c r="H112" s="245"/>
      <c r="I112" s="245"/>
      <c r="J112" s="245"/>
      <c r="K112" s="245"/>
    </row>
    <row r="113" spans="4:11" x14ac:dyDescent="0.35">
      <c r="D113" s="241" t="s">
        <v>498</v>
      </c>
      <c r="E113" s="246">
        <f>'605'!$C$39/1000</f>
        <v>-277.71843999999999</v>
      </c>
      <c r="F113" s="246">
        <f>'605'!$C$110/1000</f>
        <v>0</v>
      </c>
      <c r="G113" s="246">
        <f>'605'!$C$181/1000</f>
        <v>-54.629539999999999</v>
      </c>
      <c r="H113" s="246">
        <f>'605'!$C$252/1000</f>
        <v>0</v>
      </c>
      <c r="I113" s="246">
        <f>'605'!$C$323/1000</f>
        <v>0</v>
      </c>
      <c r="J113" s="246">
        <f>'605'!$C$394/1000</f>
        <v>0</v>
      </c>
      <c r="K113" s="246">
        <f t="shared" ref="K113:K118" si="21">SUM(E113,F113,G113,H113,I113,J113)</f>
        <v>-332.34798000000001</v>
      </c>
    </row>
    <row r="114" spans="4:11" x14ac:dyDescent="0.35">
      <c r="D114" s="241" t="s">
        <v>499</v>
      </c>
      <c r="E114" s="247">
        <f>'605'!$C$40/1000</f>
        <v>-10.747170000000001</v>
      </c>
      <c r="F114" s="247">
        <f>'605'!$C$111/1000</f>
        <v>0</v>
      </c>
      <c r="G114" s="247">
        <f>'605'!$C$182/1000</f>
        <v>-50.248160000000006</v>
      </c>
      <c r="H114" s="247">
        <f>'605'!$C$253/1000</f>
        <v>0</v>
      </c>
      <c r="I114" s="247">
        <f>'605'!$C$324/1000</f>
        <v>0</v>
      </c>
      <c r="J114" s="247">
        <f>'605'!$C$395/1000</f>
        <v>0</v>
      </c>
      <c r="K114" s="247">
        <f t="shared" si="21"/>
        <v>-60.99533000000001</v>
      </c>
    </row>
    <row r="115" spans="4:11" x14ac:dyDescent="0.35">
      <c r="D115" s="241" t="s">
        <v>382</v>
      </c>
      <c r="E115" s="247">
        <f>'605'!$C$41/1000</f>
        <v>0</v>
      </c>
      <c r="F115" s="247">
        <f>'605'!$C$112/1000</f>
        <v>0</v>
      </c>
      <c r="G115" s="247">
        <f>'605'!$C$183/1000</f>
        <v>0</v>
      </c>
      <c r="H115" s="247">
        <f>'605'!$C$254/1000</f>
        <v>0</v>
      </c>
      <c r="I115" s="247">
        <f>'605'!$C$325/1000</f>
        <v>0</v>
      </c>
      <c r="J115" s="247">
        <f>'605'!$C$396/1000</f>
        <v>0</v>
      </c>
      <c r="K115" s="247">
        <f t="shared" si="21"/>
        <v>0</v>
      </c>
    </row>
    <row r="116" spans="4:11" x14ac:dyDescent="0.35">
      <c r="D116" s="241" t="s">
        <v>500</v>
      </c>
      <c r="E116" s="247">
        <f>'605'!$C$42/1000</f>
        <v>0</v>
      </c>
      <c r="F116" s="247">
        <f>'605'!$C$113/1000</f>
        <v>0</v>
      </c>
      <c r="G116" s="247">
        <f>'605'!$C$184/1000</f>
        <v>0</v>
      </c>
      <c r="H116" s="247">
        <f>'605'!$C$255/1000</f>
        <v>0</v>
      </c>
      <c r="I116" s="247">
        <f>'605'!$C$326/1000</f>
        <v>0</v>
      </c>
      <c r="J116" s="247">
        <f>'605'!$C$397/1000</f>
        <v>0</v>
      </c>
      <c r="K116" s="247">
        <f t="shared" si="21"/>
        <v>0</v>
      </c>
    </row>
    <row r="117" spans="4:11" x14ac:dyDescent="0.35">
      <c r="D117" s="241" t="s">
        <v>575</v>
      </c>
      <c r="E117" s="247">
        <f>('605'!C43+'605'!C44)/1000</f>
        <v>0</v>
      </c>
      <c r="F117" s="247">
        <f>('605'!C114+'605'!C115)/1000</f>
        <v>0</v>
      </c>
      <c r="G117" s="247">
        <f>('605'!C185+'605'!C186)/1000</f>
        <v>0</v>
      </c>
      <c r="H117" s="247">
        <f>('605'!C256+'605'!C257)/1000</f>
        <v>0</v>
      </c>
      <c r="I117" s="247">
        <f>('605'!C327+'605'!C328)/1000</f>
        <v>0</v>
      </c>
      <c r="J117" s="247">
        <f>('605'!C398+'605'!C399)/1000</f>
        <v>0</v>
      </c>
      <c r="K117" s="247">
        <f t="shared" si="21"/>
        <v>0</v>
      </c>
    </row>
    <row r="118" spans="4:11" x14ac:dyDescent="0.35">
      <c r="D118" s="241" t="s">
        <v>503</v>
      </c>
      <c r="E118" s="247">
        <f>'605'!$C$45/1000</f>
        <v>0</v>
      </c>
      <c r="F118" s="247">
        <f>'605'!$C$116/1000</f>
        <v>0</v>
      </c>
      <c r="G118" s="247">
        <f>'605'!$C$187/1000</f>
        <v>0</v>
      </c>
      <c r="H118" s="247">
        <f>'605'!$C$258/1000</f>
        <v>0</v>
      </c>
      <c r="I118" s="250">
        <f>'605'!$C$328/1000</f>
        <v>0</v>
      </c>
      <c r="J118" s="250">
        <f>'605'!$C$399/1000</f>
        <v>0</v>
      </c>
      <c r="K118" s="250">
        <f t="shared" si="21"/>
        <v>0</v>
      </c>
    </row>
    <row r="119" spans="4:11" x14ac:dyDescent="0.35">
      <c r="D119" s="240" t="s">
        <v>504</v>
      </c>
      <c r="E119" s="244">
        <f>SUM(E113:E118)</f>
        <v>-288.46560999999997</v>
      </c>
      <c r="F119" s="244">
        <f>SUM(F113:F118)</f>
        <v>0</v>
      </c>
      <c r="G119" s="244">
        <f t="shared" ref="G119:H119" si="22">SUM(G113:G118)</f>
        <v>-104.8777</v>
      </c>
      <c r="H119" s="244">
        <f t="shared" si="22"/>
        <v>0</v>
      </c>
      <c r="I119" s="244">
        <f>SUM(I113:I118)</f>
        <v>0</v>
      </c>
      <c r="J119" s="244">
        <f>SUM(J113:J118)</f>
        <v>0</v>
      </c>
      <c r="K119" s="244">
        <f t="shared" ref="K119" si="23">SUM(K113:K118)</f>
        <v>-393.34331000000003</v>
      </c>
    </row>
    <row r="120" spans="4:11" x14ac:dyDescent="0.35">
      <c r="D120" s="240"/>
      <c r="E120" s="249"/>
      <c r="F120" s="249"/>
      <c r="G120" s="249"/>
      <c r="H120" s="249"/>
      <c r="I120" s="248"/>
      <c r="J120" s="248"/>
      <c r="K120" s="248"/>
    </row>
    <row r="121" spans="4:11" x14ac:dyDescent="0.35">
      <c r="D121" s="240" t="s">
        <v>505</v>
      </c>
      <c r="E121" s="245"/>
      <c r="F121" s="245"/>
      <c r="G121" s="245"/>
      <c r="H121" s="245"/>
      <c r="I121" s="245"/>
      <c r="J121" s="245"/>
      <c r="K121" s="245"/>
    </row>
    <row r="122" spans="4:11" x14ac:dyDescent="0.35">
      <c r="D122" s="241" t="s">
        <v>349</v>
      </c>
      <c r="E122" s="246">
        <f>'605'!$C$48/1000</f>
        <v>0</v>
      </c>
      <c r="F122" s="246">
        <f>'605'!$C$119/1000</f>
        <v>0</v>
      </c>
      <c r="G122" s="246">
        <f>'605'!$C$190/1000</f>
        <v>0</v>
      </c>
      <c r="H122" s="246">
        <f>'605'!$C$261/1000</f>
        <v>0</v>
      </c>
      <c r="I122" s="246">
        <f>'605'!$C$332/1000</f>
        <v>0</v>
      </c>
      <c r="J122" s="246">
        <f>'605'!$C$403/1000</f>
        <v>0</v>
      </c>
      <c r="K122" s="246">
        <f t="shared" ref="K122:K134" si="24">SUM(E122,F122,G122,H122,I122,J122)</f>
        <v>0</v>
      </c>
    </row>
    <row r="123" spans="4:11" x14ac:dyDescent="0.35">
      <c r="D123" s="241" t="s">
        <v>353</v>
      </c>
      <c r="E123" s="247">
        <f>'605'!$C$50/1000</f>
        <v>-510.33918</v>
      </c>
      <c r="F123" s="247">
        <f>'605'!$C$121/1000</f>
        <v>0</v>
      </c>
      <c r="G123" s="247">
        <f>'605'!$C$192/1000</f>
        <v>-11.19441</v>
      </c>
      <c r="H123" s="247">
        <f>'605'!$C$263/1000</f>
        <v>0</v>
      </c>
      <c r="I123" s="247">
        <f>'605'!$C$334/1000</f>
        <v>0</v>
      </c>
      <c r="J123" s="247">
        <f>'605'!$C$405/1000</f>
        <v>0</v>
      </c>
      <c r="K123" s="247">
        <f t="shared" si="24"/>
        <v>-521.53359</v>
      </c>
    </row>
    <row r="124" spans="4:11" x14ac:dyDescent="0.35">
      <c r="D124" s="241" t="s">
        <v>352</v>
      </c>
      <c r="E124" s="247">
        <f>'605'!$C$52/1000</f>
        <v>-35.999319999999997</v>
      </c>
      <c r="F124" s="247">
        <f>'605'!$C$123/1000</f>
        <v>0</v>
      </c>
      <c r="G124" s="247">
        <f>'605'!$C$194/1000</f>
        <v>0</v>
      </c>
      <c r="H124" s="247">
        <f>'605'!$C$265/1000</f>
        <v>0</v>
      </c>
      <c r="I124" s="247">
        <f>'605'!$C$336/1000</f>
        <v>0</v>
      </c>
      <c r="J124" s="247">
        <f>'605'!$C$407/1000</f>
        <v>0</v>
      </c>
      <c r="K124" s="247">
        <f t="shared" si="24"/>
        <v>-35.999319999999997</v>
      </c>
    </row>
    <row r="125" spans="4:11" x14ac:dyDescent="0.35">
      <c r="D125" s="241" t="s">
        <v>351</v>
      </c>
      <c r="E125" s="247">
        <f>'605'!$C$54/1000</f>
        <v>-71.628559999999993</v>
      </c>
      <c r="F125" s="247">
        <f>'605'!$C$125/1000</f>
        <v>0</v>
      </c>
      <c r="G125" s="247">
        <f>'605'!$C$196/1000</f>
        <v>-9.2583299999999991</v>
      </c>
      <c r="H125" s="247">
        <f>'605'!$C$267/1000</f>
        <v>-7.4760799999999996</v>
      </c>
      <c r="I125" s="247">
        <f>'605'!$C$338/1000</f>
        <v>0</v>
      </c>
      <c r="J125" s="247">
        <f>'605'!$C$409/1000</f>
        <v>0</v>
      </c>
      <c r="K125" s="247">
        <f t="shared" si="24"/>
        <v>-88.36296999999999</v>
      </c>
    </row>
    <row r="126" spans="4:11" x14ac:dyDescent="0.35">
      <c r="D126" s="241" t="s">
        <v>510</v>
      </c>
      <c r="E126" s="247">
        <f>'605'!$C$56/1000</f>
        <v>0</v>
      </c>
      <c r="F126" s="247">
        <f>'605'!$C$127/1000</f>
        <v>0</v>
      </c>
      <c r="G126" s="247">
        <f>'605'!$C$198/1000</f>
        <v>0</v>
      </c>
      <c r="H126" s="247">
        <f>'605'!$C$269/1000</f>
        <v>-0.34482999999999997</v>
      </c>
      <c r="I126" s="247">
        <f>'605'!$C$340/1000</f>
        <v>0</v>
      </c>
      <c r="J126" s="247">
        <f>'605'!$C$411/1000</f>
        <v>0</v>
      </c>
      <c r="K126" s="247">
        <f t="shared" si="24"/>
        <v>-0.34482999999999997</v>
      </c>
    </row>
    <row r="127" spans="4:11" x14ac:dyDescent="0.35">
      <c r="D127" s="241" t="s">
        <v>576</v>
      </c>
      <c r="E127" s="247">
        <f>'605'!$C$58/1000</f>
        <v>0</v>
      </c>
      <c r="F127" s="247">
        <f>'605'!$C$129/1000</f>
        <v>0</v>
      </c>
      <c r="G127" s="247">
        <f>'605'!$C$200/1000</f>
        <v>0</v>
      </c>
      <c r="H127" s="247">
        <f>'605'!$C$271/1000</f>
        <v>0</v>
      </c>
      <c r="I127" s="247">
        <f>'605'!$C$342/1000</f>
        <v>0</v>
      </c>
      <c r="J127" s="247">
        <f>'605'!$C$413/1000</f>
        <v>0</v>
      </c>
      <c r="K127" s="247">
        <f t="shared" si="24"/>
        <v>0</v>
      </c>
    </row>
    <row r="128" spans="4:11" x14ac:dyDescent="0.35">
      <c r="D128" s="241" t="s">
        <v>577</v>
      </c>
      <c r="E128" s="247">
        <f>'605'!$C$60/1000</f>
        <v>0</v>
      </c>
      <c r="F128" s="247">
        <f>'605'!$C$131/1000</f>
        <v>0</v>
      </c>
      <c r="G128" s="247">
        <f>'605'!$C$202/1000</f>
        <v>0</v>
      </c>
      <c r="H128" s="247">
        <f>'605'!$C$273/1000</f>
        <v>0</v>
      </c>
      <c r="I128" s="247">
        <f>'605'!$C$344/1000</f>
        <v>0</v>
      </c>
      <c r="J128" s="247">
        <f>'605'!$C$415/1000</f>
        <v>0</v>
      </c>
      <c r="K128" s="247">
        <f t="shared" si="24"/>
        <v>0</v>
      </c>
    </row>
    <row r="129" spans="4:11" x14ac:dyDescent="0.35">
      <c r="D129" s="241" t="s">
        <v>578</v>
      </c>
      <c r="E129" s="247">
        <f>'605'!$C$62/1000</f>
        <v>0</v>
      </c>
      <c r="F129" s="247">
        <f>'605'!$C$133/1000</f>
        <v>0</v>
      </c>
      <c r="G129" s="247">
        <f>'605'!$C$204/1000</f>
        <v>-3.6865100000000002</v>
      </c>
      <c r="H129" s="247">
        <f>'605'!$C$275/1000</f>
        <v>0</v>
      </c>
      <c r="I129" s="247">
        <f>'605'!$C$346/1000</f>
        <v>0</v>
      </c>
      <c r="J129" s="247">
        <f>'605'!$C$417/1000</f>
        <v>0</v>
      </c>
      <c r="K129" s="247">
        <f t="shared" si="24"/>
        <v>-3.6865100000000002</v>
      </c>
    </row>
    <row r="130" spans="4:11" x14ac:dyDescent="0.35">
      <c r="D130" s="241" t="s">
        <v>518</v>
      </c>
      <c r="E130" s="247">
        <f>'605'!$C$64/1000</f>
        <v>0</v>
      </c>
      <c r="F130" s="247">
        <f>'605'!$C$135/1000</f>
        <v>0</v>
      </c>
      <c r="G130" s="247">
        <f>'605'!$C$206/1000</f>
        <v>0</v>
      </c>
      <c r="H130" s="247">
        <f>'605'!$C$277/1000</f>
        <v>0</v>
      </c>
      <c r="I130" s="247">
        <f>'605'!$C$348/1000</f>
        <v>0</v>
      </c>
      <c r="J130" s="247">
        <f>'605'!$C$419/1000</f>
        <v>0</v>
      </c>
      <c r="K130" s="247">
        <f t="shared" si="24"/>
        <v>0</v>
      </c>
    </row>
    <row r="131" spans="4:11" x14ac:dyDescent="0.35">
      <c r="D131" s="241" t="s">
        <v>520</v>
      </c>
      <c r="E131" s="247">
        <f>'605'!$C$66/1000</f>
        <v>0</v>
      </c>
      <c r="F131" s="247">
        <f>'605'!$C$137/1000</f>
        <v>0</v>
      </c>
      <c r="G131" s="247">
        <f>'605'!$C$208/1000</f>
        <v>0</v>
      </c>
      <c r="H131" s="247">
        <f>'605'!$C$279/1000</f>
        <v>0</v>
      </c>
      <c r="I131" s="247">
        <f>'605'!$C$350/1000</f>
        <v>0</v>
      </c>
      <c r="J131" s="247">
        <f>'605'!$C$421/1000</f>
        <v>0</v>
      </c>
      <c r="K131" s="247">
        <f t="shared" si="24"/>
        <v>0</v>
      </c>
    </row>
    <row r="132" spans="4:11" x14ac:dyDescent="0.35">
      <c r="D132" s="241" t="s">
        <v>522</v>
      </c>
      <c r="E132" s="247">
        <f>'605'!$C$68/1000</f>
        <v>0</v>
      </c>
      <c r="F132" s="247">
        <f>'605'!$C$139/1000</f>
        <v>0</v>
      </c>
      <c r="G132" s="247">
        <f>'605'!$C$210/1000</f>
        <v>0</v>
      </c>
      <c r="H132" s="247">
        <f>'605'!$C$281/1000</f>
        <v>0</v>
      </c>
      <c r="I132" s="247">
        <f>'605'!$C$352/1000</f>
        <v>0</v>
      </c>
      <c r="J132" s="247">
        <f>'605'!$C$423/1000</f>
        <v>0</v>
      </c>
      <c r="K132" s="247">
        <f t="shared" si="24"/>
        <v>0</v>
      </c>
    </row>
    <row r="133" spans="4:11" x14ac:dyDescent="0.35">
      <c r="D133" s="241" t="s">
        <v>523</v>
      </c>
      <c r="E133" s="247">
        <f>'605'!$C$69/1000</f>
        <v>0</v>
      </c>
      <c r="F133" s="247">
        <f>'605'!$C$140/1000</f>
        <v>0</v>
      </c>
      <c r="G133" s="247">
        <f>'605'!$C$211/1000</f>
        <v>0</v>
      </c>
      <c r="H133" s="247">
        <f>'605'!$C$282/1000</f>
        <v>0</v>
      </c>
      <c r="I133" s="247">
        <f>'605'!$C$353/1000</f>
        <v>0</v>
      </c>
      <c r="J133" s="247">
        <f>'605'!$C$424/1000</f>
        <v>0</v>
      </c>
      <c r="K133" s="247">
        <f t="shared" si="24"/>
        <v>0</v>
      </c>
    </row>
    <row r="134" spans="4:11" x14ac:dyDescent="0.35">
      <c r="D134" s="241" t="s">
        <v>10</v>
      </c>
      <c r="E134" s="250">
        <f>('605'!C49+'605'!C51+'605'!C53+'605'!C55+'605'!C57+'605'!C59+'605'!C61+'605'!C63+'605'!C65+'605'!C67-'605'!C11)/1000</f>
        <v>0</v>
      </c>
      <c r="F134" s="250">
        <f>('605'!C120+'605'!C122+'605'!C124+'605'!C126+'605'!C128+'605'!C130+'605'!C132+'605'!C134+'605'!C136+'605'!C138-'605'!C82)/1000</f>
        <v>0</v>
      </c>
      <c r="G134" s="250">
        <f>('605'!C191+'605'!C193+'605'!C195+'605'!C197+'605'!C199+'605'!C201+'605'!C203+'605'!C205+'605'!C207+'605'!C209-'605'!C153)/1000</f>
        <v>0</v>
      </c>
      <c r="H134" s="250">
        <f>('605'!C262+'605'!C264+'605'!C266+'605'!C268+'605'!C270+'605'!C272+'605'!C274+'605'!C276+'605'!C278+'605'!C280-'605'!C224)/1000</f>
        <v>0</v>
      </c>
      <c r="I134" s="250">
        <f>('605'!C333+'605'!C335+'605'!C337+'605'!C339+'605'!C341+'605'!C343+'605'!C345+'605'!C347+'605'!C349+'605'!C351-'605'!C295)/1000</f>
        <v>0</v>
      </c>
      <c r="J134" s="250">
        <f>('605'!C404+'605'!C406+'605'!C408+'605'!C410+'605'!C412+'605'!C414+'605'!C416+'605'!C418+'605'!C420+'605'!C422-'605'!C366)/1000</f>
        <v>0</v>
      </c>
      <c r="K134" s="250">
        <f t="shared" si="24"/>
        <v>0</v>
      </c>
    </row>
    <row r="135" spans="4:11" x14ac:dyDescent="0.35">
      <c r="D135" s="240" t="s">
        <v>524</v>
      </c>
      <c r="E135" s="259">
        <f>SUM(E122:E134)</f>
        <v>-617.96705999999995</v>
      </c>
      <c r="F135" s="244">
        <f t="shared" ref="F135" si="25">SUM(F122:F134)</f>
        <v>0</v>
      </c>
      <c r="G135" s="244">
        <f t="shared" ref="G135" si="26">SUM(G122:G134)</f>
        <v>-24.139249999999997</v>
      </c>
      <c r="H135" s="244">
        <f t="shared" ref="H135" si="27">SUM(H122:H134)</f>
        <v>-7.8209099999999996</v>
      </c>
      <c r="I135" s="244">
        <f>SUM(I122:I134)</f>
        <v>0</v>
      </c>
      <c r="J135" s="244">
        <f t="shared" ref="J135:K135" si="28">SUM(J122:J134)</f>
        <v>0</v>
      </c>
      <c r="K135" s="244">
        <f t="shared" si="28"/>
        <v>-649.92722000000003</v>
      </c>
    </row>
    <row r="136" spans="4:11" x14ac:dyDescent="0.35">
      <c r="D136" s="241"/>
      <c r="E136" s="251"/>
      <c r="F136" s="251"/>
      <c r="G136" s="251"/>
      <c r="H136" s="251"/>
      <c r="I136" s="254"/>
      <c r="J136" s="254"/>
      <c r="K136" s="254"/>
    </row>
    <row r="137" spans="4:11" x14ac:dyDescent="0.35">
      <c r="D137" s="240" t="s">
        <v>525</v>
      </c>
      <c r="E137" s="252">
        <f>E100+E110+E119+E135</f>
        <v>-45.455600000000118</v>
      </c>
      <c r="F137" s="252">
        <f>F100+F110+F119+F135</f>
        <v>-1594.1537399999997</v>
      </c>
      <c r="G137" s="252">
        <f t="shared" ref="G137:H137" si="29">G100+G110+G119+G135</f>
        <v>-812.91123999999991</v>
      </c>
      <c r="H137" s="252">
        <f t="shared" si="29"/>
        <v>-110.30344000000002</v>
      </c>
      <c r="I137" s="244">
        <f>I100+I110+I119+I135</f>
        <v>-3.1398599999999917</v>
      </c>
      <c r="J137" s="244">
        <f t="shared" ref="J137:K137" si="30">J100+J110+J119+J135</f>
        <v>2.3132300000000114</v>
      </c>
      <c r="K137" s="244">
        <f t="shared" si="30"/>
        <v>-2563.6506500000014</v>
      </c>
    </row>
    <row r="138" spans="4:11" x14ac:dyDescent="0.35">
      <c r="D138" s="242" t="s">
        <v>579</v>
      </c>
      <c r="E138" s="252">
        <f>('610'!H3+'610'!H4)/1000</f>
        <v>10385.623579999999</v>
      </c>
      <c r="F138" s="252">
        <f>('610'!H57+'610'!H58)/1000</f>
        <v>3081.4830200000001</v>
      </c>
      <c r="G138" s="252">
        <f>('610'!H111+'610'!H112)/1000</f>
        <v>3828.2116999999998</v>
      </c>
      <c r="H138" s="252">
        <f>('610'!H165+'610'!H166)/1000</f>
        <v>275.73747000000003</v>
      </c>
      <c r="I138" s="244">
        <f>('610'!H219+'610'!H220)/1000</f>
        <v>24.44848</v>
      </c>
      <c r="J138" s="244">
        <f>('610'!H273+'610'!H274)/1000</f>
        <v>187.57659000000001</v>
      </c>
      <c r="K138" s="244">
        <f>SUM(E138,F138,G138,H138,I138,J138)</f>
        <v>17783.080839999999</v>
      </c>
    </row>
    <row r="139" spans="4:11" x14ac:dyDescent="0.35">
      <c r="D139" s="242" t="s">
        <v>580</v>
      </c>
      <c r="E139" s="252">
        <f t="shared" ref="E139" si="31">SUM(E137:E138)</f>
        <v>10340.16798</v>
      </c>
      <c r="F139" s="252">
        <f>SUM(F137:F138)</f>
        <v>1487.3292800000004</v>
      </c>
      <c r="G139" s="252">
        <f t="shared" ref="G139:H139" si="32">SUM(G137:G138)</f>
        <v>3015.3004599999999</v>
      </c>
      <c r="H139" s="252">
        <f t="shared" si="32"/>
        <v>165.43403000000001</v>
      </c>
      <c r="I139" s="252">
        <f>SUM(I137:I138)</f>
        <v>21.308620000000008</v>
      </c>
      <c r="J139" s="252">
        <f t="shared" ref="J139:K139" si="33">SUM(J137:J138)</f>
        <v>189.88982000000001</v>
      </c>
      <c r="K139" s="252">
        <f t="shared" si="33"/>
        <v>15219.430189999997</v>
      </c>
    </row>
    <row r="141" spans="4:11" x14ac:dyDescent="0.35">
      <c r="I141" s="258"/>
      <c r="J141" s="258"/>
      <c r="K141" s="258"/>
    </row>
    <row r="146" spans="4:11" x14ac:dyDescent="0.35">
      <c r="D146" s="255"/>
      <c r="E146" s="240" t="s">
        <v>581</v>
      </c>
      <c r="F146" s="241"/>
      <c r="G146" s="241"/>
      <c r="H146" s="241"/>
      <c r="I146" s="241"/>
      <c r="J146" s="241"/>
      <c r="K146" s="241"/>
    </row>
    <row r="147" spans="4:11" x14ac:dyDescent="0.35">
      <c r="D147" s="256" t="s">
        <v>582</v>
      </c>
      <c r="E147" s="243" t="s">
        <v>585</v>
      </c>
      <c r="F147" s="243" t="s">
        <v>290</v>
      </c>
      <c r="G147" s="243" t="s">
        <v>291</v>
      </c>
      <c r="H147" s="253" t="s">
        <v>292</v>
      </c>
      <c r="I147" s="243" t="s">
        <v>293</v>
      </c>
      <c r="J147" s="243" t="s">
        <v>586</v>
      </c>
      <c r="K147" s="243" t="s">
        <v>285</v>
      </c>
    </row>
    <row r="148" spans="4:11" x14ac:dyDescent="0.35">
      <c r="D148" s="240" t="s">
        <v>487</v>
      </c>
      <c r="E148" s="244">
        <f>('605'!F22+'605'!F11)/1000</f>
        <v>23353.303220000002</v>
      </c>
      <c r="F148" s="244">
        <f>('605'!F93+'605'!F82)/1000</f>
        <v>3321.1200800000001</v>
      </c>
      <c r="G148" s="244">
        <f>('605'!F164+'605'!F153)/1000</f>
        <v>11161.720230000001</v>
      </c>
      <c r="H148" s="244">
        <f>('605'!F235+'605'!F224)/1000</f>
        <v>1095.9256400000002</v>
      </c>
      <c r="I148" s="244">
        <f>('605'!F306+'605'!F295)/1000</f>
        <v>-203.94451999999998</v>
      </c>
      <c r="J148" s="244">
        <f>('605'!F377+'605'!F366)/1000</f>
        <v>426.80904000000004</v>
      </c>
      <c r="K148" s="244">
        <f>SUM(E148,F148,G148,H148,I148,J148)</f>
        <v>39154.933690000005</v>
      </c>
    </row>
    <row r="149" spans="4:11" x14ac:dyDescent="0.35">
      <c r="D149" s="241"/>
      <c r="E149" s="245"/>
      <c r="F149" s="245"/>
      <c r="G149" s="245"/>
      <c r="H149" s="245"/>
      <c r="I149" s="245"/>
      <c r="J149" s="245"/>
      <c r="K149" s="245"/>
    </row>
    <row r="150" spans="4:11" x14ac:dyDescent="0.35">
      <c r="D150" s="240" t="s">
        <v>574</v>
      </c>
      <c r="E150" s="245"/>
      <c r="F150" s="245"/>
      <c r="G150" s="245"/>
      <c r="H150" s="245"/>
      <c r="I150" s="245"/>
      <c r="J150" s="245"/>
      <c r="K150" s="245"/>
    </row>
    <row r="151" spans="4:11" x14ac:dyDescent="0.35">
      <c r="D151" s="241" t="s">
        <v>341</v>
      </c>
      <c r="E151" s="246">
        <f>'605'!$F$25/1000</f>
        <v>0</v>
      </c>
      <c r="F151" s="246">
        <f>'605'!$F$96/1000</f>
        <v>-960.10324000000003</v>
      </c>
      <c r="G151" s="246">
        <f>'605'!$F$167/1000</f>
        <v>1726.8995199999999</v>
      </c>
      <c r="H151" s="246">
        <f>('605'!$F$238)/1000</f>
        <v>-1428.2216000000001</v>
      </c>
      <c r="I151" s="246">
        <f>'605'!$F$309/1000</f>
        <v>-592.07647999999995</v>
      </c>
      <c r="J151" s="246">
        <f>'605'!$F$380/1000</f>
        <v>-280.92892000000001</v>
      </c>
      <c r="K151" s="246">
        <f t="shared" ref="K151:K157" si="34">SUM(E151,F151,G151,H151,I151,J151)</f>
        <v>-1534.4307200000001</v>
      </c>
    </row>
    <row r="152" spans="4:11" x14ac:dyDescent="0.35">
      <c r="D152" s="241" t="s">
        <v>342</v>
      </c>
      <c r="E152" s="247">
        <f>('605'!F26+'605'!F27)/1000</f>
        <v>-23585.406950000001</v>
      </c>
      <c r="F152" s="247">
        <f>('605'!F97+'605'!F98)/1000</f>
        <v>-910</v>
      </c>
      <c r="G152" s="247">
        <f>('605'!F168+'605'!F169)/1000</f>
        <v>-6885.425220000001</v>
      </c>
      <c r="H152" s="247">
        <f>('605'!F239+'605'!F240)/1000</f>
        <v>833.46564000000001</v>
      </c>
      <c r="I152" s="247">
        <f>('605'!F310+'605'!F311)/1000</f>
        <v>29.188490000000002</v>
      </c>
      <c r="J152" s="247">
        <f>('605'!F381+'605'!F382)/1000</f>
        <v>0</v>
      </c>
      <c r="K152" s="247">
        <f t="shared" si="34"/>
        <v>-30518.178040000003</v>
      </c>
    </row>
    <row r="153" spans="4:11" x14ac:dyDescent="0.35">
      <c r="D153" s="241" t="s">
        <v>343</v>
      </c>
      <c r="E153" s="247">
        <f>'605'!$F$28/1000</f>
        <v>-417.52373999999998</v>
      </c>
      <c r="F153" s="247">
        <f>'605'!$F$99/1000</f>
        <v>0</v>
      </c>
      <c r="G153" s="247">
        <f>'605'!$F$170/1000</f>
        <v>2402.0318900000002</v>
      </c>
      <c r="H153" s="247">
        <f>'605'!$F$241/1000</f>
        <v>0</v>
      </c>
      <c r="I153" s="247">
        <f>'605'!$F$312/1000</f>
        <v>0</v>
      </c>
      <c r="J153" s="247">
        <f>'605'!$F$383/1000</f>
        <v>0</v>
      </c>
      <c r="K153" s="247">
        <f t="shared" si="34"/>
        <v>1984.5081500000001</v>
      </c>
    </row>
    <row r="154" spans="4:11" x14ac:dyDescent="0.35">
      <c r="D154" s="241" t="s">
        <v>344</v>
      </c>
      <c r="E154" s="247">
        <f>('605'!F29+'605'!F30)/1000</f>
        <v>-2834.7044500000002</v>
      </c>
      <c r="F154" s="247">
        <f>('605'!F100+'605'!F101)/1000</f>
        <v>-11066.753329999998</v>
      </c>
      <c r="G154" s="247">
        <f>('605'!F171+'605'!F172)/1000</f>
        <v>-11523.97748</v>
      </c>
      <c r="H154" s="247">
        <f>('605'!F242+'605'!F243)/1000</f>
        <v>-1508.4632099999999</v>
      </c>
      <c r="I154" s="247">
        <f>('605'!F313+'605'!F314)/1000</f>
        <v>-993.60231999999996</v>
      </c>
      <c r="J154" s="247">
        <f>('605'!F384+'605'!F385)/1000</f>
        <v>-506.47415999999998</v>
      </c>
      <c r="K154" s="247">
        <f t="shared" si="34"/>
        <v>-28433.97495</v>
      </c>
    </row>
    <row r="155" spans="4:11" x14ac:dyDescent="0.35">
      <c r="D155" s="241" t="s">
        <v>367</v>
      </c>
      <c r="E155" s="247">
        <f>'605'!$F$31/1000</f>
        <v>-886.11152000000004</v>
      </c>
      <c r="F155" s="247">
        <f>'605'!$F$102/1000</f>
        <v>0</v>
      </c>
      <c r="G155" s="247">
        <f>'605'!$F$173/1000</f>
        <v>-3036.1331</v>
      </c>
      <c r="H155" s="247">
        <f>'605'!$F$244/1000</f>
        <v>0</v>
      </c>
      <c r="I155" s="247">
        <f>'605'!$F$315/1000</f>
        <v>0</v>
      </c>
      <c r="J155" s="247">
        <f>'605'!$F$386/1000</f>
        <v>0</v>
      </c>
      <c r="K155" s="247">
        <f t="shared" si="34"/>
        <v>-3922.2446199999999</v>
      </c>
    </row>
    <row r="156" spans="4:11" x14ac:dyDescent="0.35">
      <c r="D156" s="241" t="s">
        <v>492</v>
      </c>
      <c r="E156" s="247">
        <f>('605'!F32+'605'!F33)/1000</f>
        <v>15843.784180000001</v>
      </c>
      <c r="F156" s="247">
        <f>('605'!F103+'605'!F104)/1000</f>
        <v>1136.62823</v>
      </c>
      <c r="G156" s="247">
        <f>('605'!F174+'605'!F175)/1000</f>
        <v>4272.1613099999995</v>
      </c>
      <c r="H156" s="247">
        <f>('605'!F245+'605'!F246)/1000</f>
        <v>-3895.4532999999997</v>
      </c>
      <c r="I156" s="247">
        <f>('605'!F316+'605'!F317)/1000</f>
        <v>70.728170000000006</v>
      </c>
      <c r="J156" s="247">
        <f>('605'!F387+'605'!F388)/1000</f>
        <v>-39.09816</v>
      </c>
      <c r="K156" s="247">
        <f t="shared" si="34"/>
        <v>17388.750429999996</v>
      </c>
    </row>
    <row r="157" spans="4:11" x14ac:dyDescent="0.35">
      <c r="D157" s="241" t="s">
        <v>493</v>
      </c>
      <c r="E157" s="247">
        <f>('605'!F34+'605'!F35+'605'!F36)/1000</f>
        <v>6721.7467400000005</v>
      </c>
      <c r="F157" s="247">
        <f>('605'!F105+'605'!F106+'605'!F107)/1000</f>
        <v>10818.97486</v>
      </c>
      <c r="G157" s="247">
        <f>('605'!F176+'605'!F177+'605'!F178)/1000</f>
        <v>3879.3379899999991</v>
      </c>
      <c r="H157" s="247">
        <f>('605'!F247+'605'!F248+'605'!F249)/1000</f>
        <v>5154.9439700000003</v>
      </c>
      <c r="I157" s="247">
        <f>('605'!F318+'605'!F319+'605'!F320)/1000</f>
        <v>1326.09105</v>
      </c>
      <c r="J157" s="247">
        <f>('605'!F389+'605'!F390+'605'!F391)/1000</f>
        <v>447.97947999999997</v>
      </c>
      <c r="K157" s="247">
        <f t="shared" si="34"/>
        <v>28349.074090000002</v>
      </c>
    </row>
    <row r="158" spans="4:11" x14ac:dyDescent="0.35">
      <c r="D158" s="240" t="s">
        <v>574</v>
      </c>
      <c r="E158" s="244">
        <f>SUM(E151:E157)</f>
        <v>-5158.2157399999996</v>
      </c>
      <c r="F158" s="244">
        <f t="shared" ref="F158" si="35">SUM(F151:F157)</f>
        <v>-981.25347999999758</v>
      </c>
      <c r="G158" s="244">
        <f t="shared" ref="G158" si="36">SUM(G151:G157)</f>
        <v>-9165.1050900000009</v>
      </c>
      <c r="H158" s="244">
        <f t="shared" ref="H158" si="37">SUM(H151:H157)</f>
        <v>-843.72849999999926</v>
      </c>
      <c r="I158" s="244">
        <f>SUM(I151:I157)</f>
        <v>-159.67108999999982</v>
      </c>
      <c r="J158" s="244">
        <f t="shared" ref="J158:K158" si="38">SUM(J151:J157)</f>
        <v>-378.52176000000009</v>
      </c>
      <c r="K158" s="244">
        <f t="shared" si="38"/>
        <v>-16686.495659999993</v>
      </c>
    </row>
    <row r="159" spans="4:11" x14ac:dyDescent="0.35">
      <c r="D159" s="241"/>
      <c r="E159" s="248"/>
      <c r="F159" s="248"/>
      <c r="G159" s="248"/>
      <c r="H159" s="248"/>
      <c r="I159" s="248"/>
      <c r="J159" s="248"/>
      <c r="K159" s="248"/>
    </row>
    <row r="160" spans="4:11" x14ac:dyDescent="0.35">
      <c r="D160" s="240" t="s">
        <v>497</v>
      </c>
      <c r="E160" s="245"/>
      <c r="F160" s="245"/>
      <c r="G160" s="245"/>
      <c r="H160" s="245"/>
      <c r="I160" s="245"/>
      <c r="J160" s="245"/>
      <c r="K160" s="245"/>
    </row>
    <row r="161" spans="4:11" x14ac:dyDescent="0.35">
      <c r="D161" s="241" t="s">
        <v>498</v>
      </c>
      <c r="E161" s="246">
        <f>'605'!$F$39/1000</f>
        <v>-8077.2864200000004</v>
      </c>
      <c r="F161" s="246">
        <f>'605'!$F$110/1000</f>
        <v>-1880</v>
      </c>
      <c r="G161" s="246">
        <f>'605'!$F$181/1000</f>
        <v>-2.0003099999999998</v>
      </c>
      <c r="H161" s="246">
        <f>'605'!$F$252/1000</f>
        <v>0</v>
      </c>
      <c r="I161" s="246">
        <f>'605'!$F$323/1000</f>
        <v>0</v>
      </c>
      <c r="J161" s="246">
        <f>'605'!$F$394/1000</f>
        <v>0</v>
      </c>
      <c r="K161" s="246">
        <f t="shared" ref="K161:K166" si="39">SUM(E161,F161,G161,H161,I161,J161)</f>
        <v>-9959.2867299999998</v>
      </c>
    </row>
    <row r="162" spans="4:11" x14ac:dyDescent="0.35">
      <c r="D162" s="241" t="s">
        <v>499</v>
      </c>
      <c r="E162" s="247">
        <f>'605'!$F$40/1000</f>
        <v>-247.17792</v>
      </c>
      <c r="F162" s="247">
        <f>'605'!$F$111/1000</f>
        <v>0</v>
      </c>
      <c r="G162" s="247">
        <f>'605'!$F$182/1000</f>
        <v>-452.23344000000003</v>
      </c>
      <c r="H162" s="247">
        <f>'605'!$F$253/1000</f>
        <v>-43.129190000000001</v>
      </c>
      <c r="I162" s="247">
        <f>'605'!$F$324/1000</f>
        <v>0</v>
      </c>
      <c r="J162" s="247">
        <f>'605'!$F$395/1000</f>
        <v>0</v>
      </c>
      <c r="K162" s="247">
        <f t="shared" si="39"/>
        <v>-742.54055000000005</v>
      </c>
    </row>
    <row r="163" spans="4:11" x14ac:dyDescent="0.35">
      <c r="D163" s="241" t="s">
        <v>382</v>
      </c>
      <c r="E163" s="247">
        <f>'605'!$F$41/1000</f>
        <v>0</v>
      </c>
      <c r="F163" s="247">
        <f>'605'!$F$112/1000</f>
        <v>0</v>
      </c>
      <c r="G163" s="247">
        <f>'605'!$F$183/1000</f>
        <v>0</v>
      </c>
      <c r="H163" s="247">
        <f>'605'!$F$254/1000</f>
        <v>0</v>
      </c>
      <c r="I163" s="247">
        <f>'605'!$F$325/1000</f>
        <v>0</v>
      </c>
      <c r="J163" s="247">
        <f>'605'!$F$396/1000</f>
        <v>0</v>
      </c>
      <c r="K163" s="247">
        <f t="shared" si="39"/>
        <v>0</v>
      </c>
    </row>
    <row r="164" spans="4:11" x14ac:dyDescent="0.35">
      <c r="D164" s="241" t="s">
        <v>500</v>
      </c>
      <c r="E164" s="247">
        <f>'605'!$F$42/1000</f>
        <v>0</v>
      </c>
      <c r="F164" s="247">
        <f>'605'!$F$113/1000</f>
        <v>0</v>
      </c>
      <c r="G164" s="247">
        <f>'605'!$F$184/1000</f>
        <v>0</v>
      </c>
      <c r="H164" s="247">
        <f>'605'!$F$255/1000</f>
        <v>0</v>
      </c>
      <c r="I164" s="247">
        <f>'605'!$F$326/1000</f>
        <v>0</v>
      </c>
      <c r="J164" s="247">
        <f>'605'!$F$397/1000</f>
        <v>0</v>
      </c>
      <c r="K164" s="247">
        <f t="shared" si="39"/>
        <v>0</v>
      </c>
    </row>
    <row r="165" spans="4:11" x14ac:dyDescent="0.35">
      <c r="D165" s="241" t="s">
        <v>575</v>
      </c>
      <c r="E165" s="247">
        <f>('605'!F43+'605'!F44)/1000</f>
        <v>0</v>
      </c>
      <c r="F165" s="247">
        <f>('605'!F114+'605'!F115)/1000</f>
        <v>0</v>
      </c>
      <c r="G165" s="247">
        <f>('605'!F185+'605'!F186)/1000</f>
        <v>0</v>
      </c>
      <c r="H165" s="247">
        <f>('605'!F256+'605'!F257)/1000</f>
        <v>0</v>
      </c>
      <c r="I165" s="247">
        <f>('605'!F327+'605'!F328)/1000</f>
        <v>0</v>
      </c>
      <c r="J165" s="247">
        <f>('605'!F398+'605'!F399)/1000</f>
        <v>0</v>
      </c>
      <c r="K165" s="247">
        <f t="shared" si="39"/>
        <v>0</v>
      </c>
    </row>
    <row r="166" spans="4:11" x14ac:dyDescent="0.35">
      <c r="D166" s="241" t="s">
        <v>503</v>
      </c>
      <c r="E166" s="247">
        <f>'605'!$F$45/1000</f>
        <v>0</v>
      </c>
      <c r="F166" s="247">
        <f>'605'!$F$116/1000</f>
        <v>0</v>
      </c>
      <c r="G166" s="247">
        <f>'605'!$F$187/1000</f>
        <v>0</v>
      </c>
      <c r="H166" s="247">
        <f>'605'!$F$258/1000</f>
        <v>0</v>
      </c>
      <c r="I166" s="250">
        <f>'605'!$F$328/1000</f>
        <v>0</v>
      </c>
      <c r="J166" s="250">
        <f>'605'!$F$399/1000</f>
        <v>0</v>
      </c>
      <c r="K166" s="247">
        <f t="shared" si="39"/>
        <v>0</v>
      </c>
    </row>
    <row r="167" spans="4:11" x14ac:dyDescent="0.35">
      <c r="D167" s="240" t="s">
        <v>504</v>
      </c>
      <c r="E167" s="244">
        <f>SUM(E161:E166)</f>
        <v>-8324.4643400000004</v>
      </c>
      <c r="F167" s="244">
        <f t="shared" ref="F167" si="40">SUM(F161:F166)</f>
        <v>-1880</v>
      </c>
      <c r="G167" s="244">
        <f t="shared" ref="G167" si="41">SUM(G161:G166)</f>
        <v>-454.23375000000004</v>
      </c>
      <c r="H167" s="244">
        <f t="shared" ref="H167" si="42">SUM(H161:H166)</f>
        <v>-43.129190000000001</v>
      </c>
      <c r="I167" s="244">
        <f t="shared" ref="I167" si="43">SUM(I161:I166)</f>
        <v>0</v>
      </c>
      <c r="J167" s="244">
        <f t="shared" ref="J167" si="44">SUM(J161:J166)</f>
        <v>0</v>
      </c>
      <c r="K167" s="244">
        <f>SUM(K161:K166)</f>
        <v>-10701.82728</v>
      </c>
    </row>
    <row r="168" spans="4:11" x14ac:dyDescent="0.35">
      <c r="D168" s="240"/>
      <c r="E168" s="249"/>
      <c r="F168" s="249"/>
      <c r="G168" s="249"/>
      <c r="H168" s="249"/>
      <c r="I168" s="249"/>
      <c r="J168" s="249"/>
      <c r="K168" s="249"/>
    </row>
    <row r="169" spans="4:11" x14ac:dyDescent="0.35">
      <c r="D169" s="240" t="s">
        <v>505</v>
      </c>
      <c r="E169" s="257"/>
      <c r="F169" s="257"/>
      <c r="G169" s="257"/>
      <c r="H169" s="257"/>
      <c r="I169" s="257"/>
      <c r="J169" s="257"/>
      <c r="K169" s="257"/>
    </row>
    <row r="170" spans="4:11" x14ac:dyDescent="0.35">
      <c r="D170" s="241" t="s">
        <v>349</v>
      </c>
      <c r="E170" s="246">
        <f>'605'!$F$48/1000</f>
        <v>0</v>
      </c>
      <c r="F170" s="246">
        <f>'605'!$F$119/1000</f>
        <v>0</v>
      </c>
      <c r="G170" s="246">
        <f>'605'!$F$190/1000</f>
        <v>0</v>
      </c>
      <c r="H170" s="246">
        <f>'605'!$F$261/1000</f>
        <v>0</v>
      </c>
      <c r="I170" s="246">
        <f>'605'!$F$332/1000</f>
        <v>0</v>
      </c>
      <c r="J170" s="246">
        <f>'605'!$F$403/1000</f>
        <v>0</v>
      </c>
      <c r="K170" s="247">
        <f t="shared" ref="K170:K182" si="45">SUM(E170,F170,G170,H170,I170,J170)</f>
        <v>0</v>
      </c>
    </row>
    <row r="171" spans="4:11" x14ac:dyDescent="0.35">
      <c r="D171" s="241" t="s">
        <v>353</v>
      </c>
      <c r="E171" s="247">
        <f>'605'!$F$50/1000</f>
        <v>-4653.1342699999996</v>
      </c>
      <c r="F171" s="247">
        <f>'605'!$F$121/1000</f>
        <v>0</v>
      </c>
      <c r="G171" s="247">
        <f>'605'!$F$192/1000</f>
        <v>-294.65280999999999</v>
      </c>
      <c r="H171" s="247">
        <f>'605'!$F$263/1000</f>
        <v>0</v>
      </c>
      <c r="I171" s="247">
        <f>'605'!$F$334/1000</f>
        <v>0</v>
      </c>
      <c r="J171" s="247">
        <f>'605'!$F$405/1000</f>
        <v>0</v>
      </c>
      <c r="K171" s="247">
        <f t="shared" si="45"/>
        <v>-4947.7870799999992</v>
      </c>
    </row>
    <row r="172" spans="4:11" x14ac:dyDescent="0.35">
      <c r="D172" s="241" t="s">
        <v>352</v>
      </c>
      <c r="E172" s="247">
        <f>'605'!$F$52/1000</f>
        <v>-208.07429000000002</v>
      </c>
      <c r="F172" s="247">
        <f>'605'!$F$123/1000</f>
        <v>0</v>
      </c>
      <c r="G172" s="247">
        <f>'605'!$F$194/1000</f>
        <v>-1968.4553899999999</v>
      </c>
      <c r="H172" s="247">
        <f>'605'!$F$265/1000</f>
        <v>0</v>
      </c>
      <c r="I172" s="247">
        <f>'605'!$F$336/1000</f>
        <v>0</v>
      </c>
      <c r="J172" s="247">
        <f>'605'!$F$407/1000</f>
        <v>0</v>
      </c>
      <c r="K172" s="247">
        <f t="shared" si="45"/>
        <v>-2176.5296799999996</v>
      </c>
    </row>
    <row r="173" spans="4:11" x14ac:dyDescent="0.35">
      <c r="D173" s="241" t="s">
        <v>351</v>
      </c>
      <c r="E173" s="247">
        <f>'605'!$F$54/1000</f>
        <v>-144.35632000000001</v>
      </c>
      <c r="F173" s="247">
        <f>'605'!$F$125/1000</f>
        <v>0</v>
      </c>
      <c r="G173" s="247">
        <f>'605'!$F$196/1000</f>
        <v>-15.29195</v>
      </c>
      <c r="H173" s="247">
        <f>'605'!$F$267/1000</f>
        <v>-96.512950000000004</v>
      </c>
      <c r="I173" s="247">
        <f>'605'!$F$338/1000</f>
        <v>0</v>
      </c>
      <c r="J173" s="247">
        <f>'605'!$F$409/1000</f>
        <v>0</v>
      </c>
      <c r="K173" s="247">
        <f t="shared" si="45"/>
        <v>-256.16122000000001</v>
      </c>
    </row>
    <row r="174" spans="4:11" x14ac:dyDescent="0.35">
      <c r="D174" s="241" t="s">
        <v>510</v>
      </c>
      <c r="E174" s="247">
        <f>'605'!$F$56/1000</f>
        <v>-10.856719999999999</v>
      </c>
      <c r="F174" s="247">
        <f>'605'!$F$127/1000</f>
        <v>0</v>
      </c>
      <c r="G174" s="247">
        <f>'605'!$F$198/1000</f>
        <v>-11.253</v>
      </c>
      <c r="H174" s="247">
        <f>'605'!$F$269/1000</f>
        <v>-38.929110000000001</v>
      </c>
      <c r="I174" s="247">
        <f>'605'!$F$340/1000</f>
        <v>0</v>
      </c>
      <c r="J174" s="247">
        <f>'605'!$F$411/1000</f>
        <v>0</v>
      </c>
      <c r="K174" s="247">
        <f t="shared" si="45"/>
        <v>-61.038830000000004</v>
      </c>
    </row>
    <row r="175" spans="4:11" x14ac:dyDescent="0.35">
      <c r="D175" s="241" t="s">
        <v>576</v>
      </c>
      <c r="E175" s="247">
        <f>'605'!$F$58/1000</f>
        <v>-61.211829999999999</v>
      </c>
      <c r="F175" s="247">
        <f>'605'!$F$129/1000</f>
        <v>0</v>
      </c>
      <c r="G175" s="247">
        <f>'605'!$F$200/1000</f>
        <v>0</v>
      </c>
      <c r="H175" s="247">
        <f>'605'!$F$271/1000</f>
        <v>0</v>
      </c>
      <c r="I175" s="247">
        <f>'605'!$F$342/1000</f>
        <v>0</v>
      </c>
      <c r="J175" s="247">
        <f>'605'!$F$413/1000</f>
        <v>0</v>
      </c>
      <c r="K175" s="247">
        <f t="shared" si="45"/>
        <v>-61.211829999999999</v>
      </c>
    </row>
    <row r="176" spans="4:11" x14ac:dyDescent="0.35">
      <c r="D176" s="241" t="s">
        <v>577</v>
      </c>
      <c r="E176" s="247">
        <f>'605'!$F$60/1000</f>
        <v>0</v>
      </c>
      <c r="F176" s="247">
        <f>'605'!$F$131/1000</f>
        <v>0</v>
      </c>
      <c r="G176" s="247">
        <f>'605'!$F$202/1000</f>
        <v>0</v>
      </c>
      <c r="H176" s="247">
        <f>'605'!$F$273/1000</f>
        <v>0</v>
      </c>
      <c r="I176" s="247">
        <f>'605'!$F$344/1000</f>
        <v>0</v>
      </c>
      <c r="J176" s="247">
        <f>'605'!$F$415/1000</f>
        <v>0</v>
      </c>
      <c r="K176" s="247">
        <f t="shared" si="45"/>
        <v>0</v>
      </c>
    </row>
    <row r="177" spans="4:11" x14ac:dyDescent="0.35">
      <c r="D177" s="241" t="s">
        <v>578</v>
      </c>
      <c r="E177" s="247">
        <f>'605'!$F$62/1000</f>
        <v>0</v>
      </c>
      <c r="F177" s="247">
        <f>'605'!$F$133/1000</f>
        <v>0</v>
      </c>
      <c r="G177" s="247">
        <f>'605'!$F$204/1000</f>
        <v>-18.66122</v>
      </c>
      <c r="H177" s="247">
        <f>'605'!$F$275/1000</f>
        <v>0</v>
      </c>
      <c r="I177" s="247">
        <f>'605'!$F$346/1000</f>
        <v>0</v>
      </c>
      <c r="J177" s="247">
        <f>'605'!$F$417/1000</f>
        <v>0</v>
      </c>
      <c r="K177" s="247">
        <f t="shared" si="45"/>
        <v>-18.66122</v>
      </c>
    </row>
    <row r="178" spans="4:11" x14ac:dyDescent="0.35">
      <c r="D178" s="241" t="s">
        <v>518</v>
      </c>
      <c r="E178" s="247">
        <f>'605'!$F$64/1000</f>
        <v>0</v>
      </c>
      <c r="F178" s="247">
        <f>'605'!$F$135/1000</f>
        <v>0</v>
      </c>
      <c r="G178" s="247">
        <f>'605'!$F$206/1000</f>
        <v>0</v>
      </c>
      <c r="H178" s="247">
        <f>'605'!$F$277/1000</f>
        <v>0</v>
      </c>
      <c r="I178" s="247">
        <f>'605'!$F$348/1000</f>
        <v>0</v>
      </c>
      <c r="J178" s="247">
        <f>'605'!$F$419/1000</f>
        <v>0</v>
      </c>
      <c r="K178" s="247">
        <f t="shared" si="45"/>
        <v>0</v>
      </c>
    </row>
    <row r="179" spans="4:11" x14ac:dyDescent="0.35">
      <c r="D179" s="241" t="s">
        <v>520</v>
      </c>
      <c r="E179" s="247">
        <f>'605'!$F$66/1000</f>
        <v>-1372.1510800000001</v>
      </c>
      <c r="F179" s="247">
        <f>'605'!$F$137/1000</f>
        <v>0</v>
      </c>
      <c r="G179" s="247">
        <f>'605'!$F$208/1000</f>
        <v>0</v>
      </c>
      <c r="H179" s="247">
        <f>'605'!$F$279/1000</f>
        <v>0</v>
      </c>
      <c r="I179" s="247">
        <f>'605'!$F$350/1000</f>
        <v>0</v>
      </c>
      <c r="J179" s="247">
        <f>'605'!$F$421/1000</f>
        <v>0</v>
      </c>
      <c r="K179" s="247">
        <f t="shared" si="45"/>
        <v>-1372.1510800000001</v>
      </c>
    </row>
    <row r="180" spans="4:11" x14ac:dyDescent="0.35">
      <c r="D180" s="241" t="s">
        <v>522</v>
      </c>
      <c r="E180" s="247">
        <f>'605'!$F$68/1000</f>
        <v>0</v>
      </c>
      <c r="F180" s="247">
        <f>'605'!$F$139/1000</f>
        <v>0</v>
      </c>
      <c r="G180" s="247">
        <f>'605'!$F$210/1000</f>
        <v>0</v>
      </c>
      <c r="H180" s="247">
        <f>'605'!$F$281/1000</f>
        <v>0</v>
      </c>
      <c r="I180" s="247">
        <f>'605'!$F$352/1000</f>
        <v>0</v>
      </c>
      <c r="J180" s="247">
        <f>'605'!$F$423/1000</f>
        <v>0</v>
      </c>
      <c r="K180" s="247">
        <f t="shared" si="45"/>
        <v>0</v>
      </c>
    </row>
    <row r="181" spans="4:11" x14ac:dyDescent="0.35">
      <c r="D181" s="241" t="s">
        <v>523</v>
      </c>
      <c r="E181" s="247">
        <f>'605'!$F$69/1000</f>
        <v>0</v>
      </c>
      <c r="F181" s="247">
        <f>'605'!$F$140/1000</f>
        <v>0</v>
      </c>
      <c r="G181" s="247">
        <f>'605'!$F$211/1000</f>
        <v>0</v>
      </c>
      <c r="H181" s="247">
        <f>'605'!$F$282/1000</f>
        <v>0</v>
      </c>
      <c r="I181" s="247">
        <f>'605'!$F$353/1000</f>
        <v>0</v>
      </c>
      <c r="J181" s="247">
        <f>'605'!$F$424/1000</f>
        <v>0</v>
      </c>
      <c r="K181" s="247">
        <f t="shared" si="45"/>
        <v>0</v>
      </c>
    </row>
    <row r="182" spans="4:11" x14ac:dyDescent="0.35">
      <c r="D182" s="241" t="s">
        <v>10</v>
      </c>
      <c r="E182" s="250">
        <f>('605'!F49+'605'!F51+'605'!F53+'605'!F55+'605'!F57+'605'!F59+'605'!F61+'605'!F63+'605'!F65+'605'!F67-'605'!F11)/1000</f>
        <v>0</v>
      </c>
      <c r="F182" s="250">
        <f>('605'!F120+'605'!F122+'605'!F124+'605'!F126+'605'!F128+'605'!F130+'605'!F132+'605'!F134+'605'!F136+'605'!F138-'605'!F82)/1000</f>
        <v>0</v>
      </c>
      <c r="G182" s="250">
        <f>('605'!F191+'605'!F193+'605'!F195+'605'!F197+'605'!F199+'605'!F201+'605'!F203+'605'!F205+'605'!F207+'605'!F209-'605'!F153)/1000</f>
        <v>-167.51369000000017</v>
      </c>
      <c r="H182" s="250">
        <f>('605'!F262+'605'!F264+'605'!F266+'605'!F268+'605'!F270+'605'!F272+'605'!F274+'605'!F276+'605'!F278+'605'!F280-'605'!F224)/1000</f>
        <v>0</v>
      </c>
      <c r="I182" s="250">
        <f>('605'!F333+'605'!F335+'605'!F337+'605'!F339+'605'!F341+'605'!F343+'605'!F345+'605'!F347+'605'!F349+'605'!F351-'605'!F295)/1000</f>
        <v>0</v>
      </c>
      <c r="J182" s="250">
        <f>('605'!F404+'605'!F406+'605'!F408+'605'!F410+'605'!F412+'605'!F414+'605'!F416+'605'!F418+'605'!F420+'605'!F422-'605'!F366)/1000</f>
        <v>0</v>
      </c>
      <c r="K182" s="250">
        <f t="shared" si="45"/>
        <v>-167.51369000000017</v>
      </c>
    </row>
    <row r="183" spans="4:11" x14ac:dyDescent="0.35">
      <c r="D183" s="240" t="s">
        <v>524</v>
      </c>
      <c r="E183" s="244">
        <f>SUM(E170:E182)</f>
        <v>-6449.7845099999995</v>
      </c>
      <c r="F183" s="244">
        <f>SUM(F170:F182)</f>
        <v>0</v>
      </c>
      <c r="G183" s="244">
        <f>SUM(G170:G182)</f>
        <v>-2475.8280599999998</v>
      </c>
      <c r="H183" s="244">
        <f>SUM(H170:H182)</f>
        <v>-135.44206</v>
      </c>
      <c r="I183" s="244">
        <f>SUM(I170:I182)</f>
        <v>0</v>
      </c>
      <c r="J183" s="244">
        <f t="shared" ref="J183:K183" si="46">SUM(J170:J182)</f>
        <v>0</v>
      </c>
      <c r="K183" s="244">
        <f t="shared" si="46"/>
        <v>-9061.0546299999987</v>
      </c>
    </row>
    <row r="184" spans="4:11" x14ac:dyDescent="0.35">
      <c r="D184" s="241"/>
      <c r="E184" s="251"/>
      <c r="F184" s="251"/>
      <c r="G184" s="251"/>
      <c r="H184" s="251"/>
      <c r="I184" s="251"/>
      <c r="J184" s="251"/>
      <c r="K184" s="251"/>
    </row>
    <row r="185" spans="4:11" x14ac:dyDescent="0.35">
      <c r="D185" s="240" t="s">
        <v>525</v>
      </c>
      <c r="E185" s="252">
        <f>E148+E158+E167+E183</f>
        <v>3420.838630000002</v>
      </c>
      <c r="F185" s="252">
        <f>F148+F158+F167+F183</f>
        <v>459.86660000000256</v>
      </c>
      <c r="G185" s="252">
        <f t="shared" ref="G185" si="47">G148+G158+G167+G183</f>
        <v>-933.44667000000004</v>
      </c>
      <c r="H185" s="252">
        <f>H148+H158+H167+H183</f>
        <v>73.625890000000908</v>
      </c>
      <c r="I185" s="244">
        <f>I148+I158+I167+I183</f>
        <v>-363.61560999999983</v>
      </c>
      <c r="J185" s="244">
        <f t="shared" ref="J185:K185" si="48">J148+J158+J167+J183</f>
        <v>48.287279999999953</v>
      </c>
      <c r="K185" s="244">
        <f t="shared" si="48"/>
        <v>2705.5561200000138</v>
      </c>
    </row>
    <row r="186" spans="4:11" x14ac:dyDescent="0.35">
      <c r="D186" s="242" t="s">
        <v>579</v>
      </c>
      <c r="E186" s="252">
        <f>('610'!I3+'610'!I4)/1000</f>
        <v>6919.32935</v>
      </c>
      <c r="F186" s="252">
        <f>('610'!I57+'610'!I58)/1000</f>
        <v>1027.4626799999999</v>
      </c>
      <c r="G186" s="252">
        <f>('610'!I111+'610'!I112)/1000</f>
        <v>3948.7471299999997</v>
      </c>
      <c r="H186" s="252">
        <f>('610'!I165+'610'!I166)/1000</f>
        <v>91.808139999999995</v>
      </c>
      <c r="I186" s="244">
        <f>('610'!I219+'610'!I220)/1000</f>
        <v>384.92422999999997</v>
      </c>
      <c r="J186" s="244">
        <f>('610'!I273+'610'!I274)/1000</f>
        <v>141.60254</v>
      </c>
      <c r="K186" s="244">
        <f>SUM(E186,F186,G186,H186,I186,J186)</f>
        <v>12513.87407</v>
      </c>
    </row>
    <row r="187" spans="4:11" x14ac:dyDescent="0.35">
      <c r="D187" s="242" t="s">
        <v>580</v>
      </c>
      <c r="E187" s="252">
        <f t="shared" ref="E187" si="49">SUM(E185:E186)</f>
        <v>10340.167980000002</v>
      </c>
      <c r="F187" s="252">
        <f>SUM(F185:F186)</f>
        <v>1487.3292800000024</v>
      </c>
      <c r="G187" s="252">
        <f t="shared" ref="G187:I187" si="50">SUM(G185:G186)</f>
        <v>3015.3004599999995</v>
      </c>
      <c r="H187" s="252">
        <f t="shared" si="50"/>
        <v>165.43403000000092</v>
      </c>
      <c r="I187" s="252">
        <f t="shared" si="50"/>
        <v>21.308620000000133</v>
      </c>
      <c r="J187" s="252">
        <f t="shared" ref="J187:K187" si="51">SUM(J185:J186)</f>
        <v>189.88981999999996</v>
      </c>
      <c r="K187" s="252">
        <f t="shared" si="51"/>
        <v>15219.430190000014</v>
      </c>
    </row>
    <row r="193" spans="3:14" x14ac:dyDescent="0.35">
      <c r="C193" t="s">
        <v>587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40" t="s">
        <v>571</v>
      </c>
      <c r="E194" s="240" t="s">
        <v>106</v>
      </c>
      <c r="F194" s="241"/>
      <c r="G194" s="241"/>
      <c r="H194" s="241"/>
      <c r="N194" s="240"/>
    </row>
    <row r="195" spans="3:14" x14ac:dyDescent="0.35">
      <c r="D195" s="241"/>
      <c r="E195" s="243" t="s">
        <v>325</v>
      </c>
      <c r="F195" s="243" t="s">
        <v>326</v>
      </c>
      <c r="G195" s="243" t="s">
        <v>327</v>
      </c>
      <c r="H195" s="243" t="s">
        <v>328</v>
      </c>
      <c r="I195" s="243" t="s">
        <v>285</v>
      </c>
      <c r="N195" s="243" t="s">
        <v>324</v>
      </c>
    </row>
    <row r="196" spans="3:14" x14ac:dyDescent="0.35">
      <c r="D196" s="240" t="s">
        <v>487</v>
      </c>
      <c r="E196" s="244">
        <f>('605'!C1296+'605'!C1285)/1000</f>
        <v>-18.23546</v>
      </c>
      <c r="F196" s="244">
        <f>('605'!C1369+'605'!C1358)/1000</f>
        <v>107.38318</v>
      </c>
      <c r="G196" s="244">
        <f>('605'!C1588+'605'!C1577)/1000</f>
        <v>-10.453499999999998</v>
      </c>
      <c r="H196" s="244">
        <f>('605'!C1734+'605'!C1723)/1000</f>
        <v>0.21089000000000033</v>
      </c>
      <c r="I196" s="244">
        <f>SUM(N196,E196,F196,G196,H196)</f>
        <v>11856.625110000001</v>
      </c>
      <c r="N196" s="244">
        <f>'605'!C1953+'605'!C1942</f>
        <v>11777.72</v>
      </c>
    </row>
    <row r="197" spans="3:14" x14ac:dyDescent="0.35">
      <c r="D197" s="241"/>
      <c r="E197" s="245"/>
      <c r="F197" s="245"/>
      <c r="G197" s="245"/>
      <c r="H197" s="245"/>
      <c r="I197" s="245"/>
      <c r="N197" s="245"/>
    </row>
    <row r="198" spans="3:14" x14ac:dyDescent="0.35">
      <c r="D198" s="240" t="s">
        <v>574</v>
      </c>
      <c r="E198" s="245"/>
      <c r="F198" s="245"/>
      <c r="G198" s="245"/>
      <c r="H198" s="245"/>
      <c r="I198" s="245"/>
      <c r="N198" s="245"/>
    </row>
    <row r="199" spans="3:14" x14ac:dyDescent="0.35">
      <c r="D199" s="241" t="s">
        <v>341</v>
      </c>
      <c r="E199" s="246">
        <f>'605'!$C$1299/1000</f>
        <v>6.9530500000000002</v>
      </c>
      <c r="F199" s="246">
        <f>'605'!$C$1372/1000</f>
        <v>7.6682299999999994</v>
      </c>
      <c r="G199" s="246">
        <f>'605'!$C$1591/1000</f>
        <v>-5.0580800000000004</v>
      </c>
      <c r="H199" s="246">
        <f>'605'!$C$1737/1000</f>
        <v>18.158150000000003</v>
      </c>
      <c r="I199" s="246">
        <f t="shared" ref="I199:I206" si="52">SUM(N199,E199,F199,G199,H199)</f>
        <v>27.721350000000001</v>
      </c>
      <c r="N199" s="246">
        <f>'605'!$C$1956</f>
        <v>0</v>
      </c>
    </row>
    <row r="200" spans="3:14" x14ac:dyDescent="0.35">
      <c r="D200" s="241" t="s">
        <v>342</v>
      </c>
      <c r="E200" s="247">
        <f>('605'!C1300+'605'!C1301)/1000</f>
        <v>-3.7015500000000001</v>
      </c>
      <c r="F200" s="247">
        <f>('605'!C1373+'605'!C1374)/1000</f>
        <v>0</v>
      </c>
      <c r="G200" s="247">
        <f>('605'!C1592+'605'!C1593)/1000</f>
        <v>0</v>
      </c>
      <c r="H200" s="247">
        <f>('605'!C1738+'605'!C1739)/1000</f>
        <v>0</v>
      </c>
      <c r="I200" s="247">
        <f t="shared" si="52"/>
        <v>-3.7015500000000001</v>
      </c>
      <c r="N200" s="247">
        <f>'605'!C1957+'605'!C1958</f>
        <v>0</v>
      </c>
    </row>
    <row r="201" spans="3:14" x14ac:dyDescent="0.35">
      <c r="D201" s="241" t="s">
        <v>343</v>
      </c>
      <c r="E201" s="247">
        <f>'605'!$C$1302/1000</f>
        <v>1.49858</v>
      </c>
      <c r="F201" s="247">
        <f>'605'!$C$1375/1000</f>
        <v>12.17305</v>
      </c>
      <c r="G201" s="247">
        <f>'605'!$C$1594/1000</f>
        <v>-1.7530399999999999</v>
      </c>
      <c r="H201" s="247">
        <f>'605'!$C$1740/1000</f>
        <v>5.2555100000000001</v>
      </c>
      <c r="I201" s="247">
        <f t="shared" si="52"/>
        <v>17.174099999999999</v>
      </c>
      <c r="N201" s="247">
        <f>'605'!C1959</f>
        <v>0</v>
      </c>
    </row>
    <row r="202" spans="3:14" x14ac:dyDescent="0.35">
      <c r="D202" s="241" t="s">
        <v>344</v>
      </c>
      <c r="E202" s="247">
        <f>'605'!$C$1304/1000</f>
        <v>2.3047300000000002</v>
      </c>
      <c r="F202" s="247">
        <f>'605'!$C$1377/1000</f>
        <v>1.5125899999999999</v>
      </c>
      <c r="G202" s="247">
        <f>'605'!$C$1596/1000</f>
        <v>0.17100000000000001</v>
      </c>
      <c r="H202" s="247">
        <f>'605'!$C$1742/1000</f>
        <v>-0.92774999999999996</v>
      </c>
      <c r="I202" s="247">
        <f t="shared" si="52"/>
        <v>3.0605699999999998</v>
      </c>
      <c r="N202" s="247">
        <f>'605'!C1961</f>
        <v>0</v>
      </c>
    </row>
    <row r="203" spans="3:14" x14ac:dyDescent="0.35">
      <c r="D203" s="241" t="s">
        <v>367</v>
      </c>
      <c r="E203" s="247">
        <f>'605'!$C$1305/1000</f>
        <v>-3.7582900000000001</v>
      </c>
      <c r="F203" s="247">
        <f>'605'!$C$1378/1000</f>
        <v>-2.8538099999999997</v>
      </c>
      <c r="G203" s="247">
        <f>'605'!$C$1597/1000</f>
        <v>-1.41143</v>
      </c>
      <c r="H203" s="247">
        <f>'605'!$C$1743/1000</f>
        <v>-6.3400799999999995</v>
      </c>
      <c r="I203" s="247">
        <f t="shared" si="52"/>
        <v>-14.363609999999998</v>
      </c>
      <c r="N203" s="247">
        <f>'605'!$C$1962</f>
        <v>0</v>
      </c>
    </row>
    <row r="204" spans="3:14" x14ac:dyDescent="0.35">
      <c r="D204" s="241" t="s">
        <v>492</v>
      </c>
      <c r="E204" s="247">
        <f>('605'!C1306+'605'!C1307+'605'!C1309)/1000</f>
        <v>0</v>
      </c>
      <c r="F204" s="247">
        <f>('605'!C1379+'605'!C1380+'605'!C1382)/1000</f>
        <v>1651.52053</v>
      </c>
      <c r="G204" s="247">
        <f>('605'!C1598+'605'!C1599+'605'!C1601)/1000</f>
        <v>-7.9965699999999993</v>
      </c>
      <c r="H204" s="247">
        <f>('605'!C1744+'605'!C1745+'605'!C1747)/1000</f>
        <v>13.895290000000001</v>
      </c>
      <c r="I204" s="247">
        <f t="shared" si="52"/>
        <v>1657.4192499999999</v>
      </c>
      <c r="N204" s="247"/>
    </row>
    <row r="205" spans="3:14" x14ac:dyDescent="0.35">
      <c r="D205" s="241" t="s">
        <v>493</v>
      </c>
      <c r="E205" s="247">
        <f>('605'!C1308+'605'!C1310)/1000</f>
        <v>6.7698299999999998</v>
      </c>
      <c r="F205" s="247">
        <f>('605'!C1381+'605'!C1383)/1000</f>
        <v>27.55941</v>
      </c>
      <c r="G205" s="247">
        <f>('605'!C1600+'605'!C1602)/1000</f>
        <v>2.7831599999999992</v>
      </c>
      <c r="H205" s="247">
        <f>('605'!C1746+'605'!C1748)/1000</f>
        <v>-2.7195999999999998</v>
      </c>
      <c r="I205" s="247">
        <f t="shared" si="52"/>
        <v>34.392800000000001</v>
      </c>
      <c r="N205" s="247"/>
    </row>
    <row r="206" spans="3:14" x14ac:dyDescent="0.35">
      <c r="D206" s="240" t="s">
        <v>574</v>
      </c>
      <c r="E206" s="244">
        <f>SUM(E199:E205)</f>
        <v>10.06635</v>
      </c>
      <c r="F206" s="244">
        <f>SUM(F199:F205)</f>
        <v>1697.5800000000002</v>
      </c>
      <c r="G206" s="244">
        <f>SUM(G199:G205)</f>
        <v>-13.264960000000002</v>
      </c>
      <c r="H206" s="244">
        <f>SUM(H199:H205)</f>
        <v>27.321520000000007</v>
      </c>
      <c r="I206" s="244">
        <f t="shared" si="52"/>
        <v>1721.7029100000002</v>
      </c>
      <c r="N206" s="244"/>
    </row>
    <row r="207" spans="3:14" x14ac:dyDescent="0.35">
      <c r="D207" s="241"/>
      <c r="E207" s="248"/>
      <c r="F207" s="248"/>
      <c r="G207" s="248"/>
      <c r="H207" s="248"/>
      <c r="I207" s="248"/>
      <c r="N207" s="248"/>
    </row>
    <row r="208" spans="3:14" x14ac:dyDescent="0.35">
      <c r="D208" s="240" t="s">
        <v>497</v>
      </c>
      <c r="E208" s="245"/>
      <c r="F208" s="245"/>
      <c r="G208" s="245"/>
      <c r="H208" s="245"/>
      <c r="I208" s="245"/>
      <c r="N208" s="245"/>
    </row>
    <row r="209" spans="4:14" x14ac:dyDescent="0.35">
      <c r="D209" s="241" t="s">
        <v>498</v>
      </c>
      <c r="E209" s="246">
        <f>'605'!$C$1313/1000</f>
        <v>0</v>
      </c>
      <c r="F209" s="246">
        <f>'605'!$C$1386/1000</f>
        <v>-1620.7293500000001</v>
      </c>
      <c r="G209" s="246">
        <f>'605'!$C$1605/1000</f>
        <v>0</v>
      </c>
      <c r="H209" s="246">
        <f>'605'!$C$1751/1000</f>
        <v>0</v>
      </c>
      <c r="I209" s="246">
        <f t="shared" ref="I209:I215" si="53">SUM(N209,E209,F209,G209,H209)</f>
        <v>-1620.7293500000001</v>
      </c>
      <c r="N209" s="246"/>
    </row>
    <row r="210" spans="4:14" x14ac:dyDescent="0.35">
      <c r="D210" s="241" t="s">
        <v>499</v>
      </c>
      <c r="E210" s="247">
        <f>'605'!$C$1314/1000</f>
        <v>0</v>
      </c>
      <c r="F210" s="247">
        <f>'605'!$C$1387/1000</f>
        <v>-105.42317999999999</v>
      </c>
      <c r="G210" s="247">
        <f>'605'!$C$1606/1000</f>
        <v>0</v>
      </c>
      <c r="H210" s="247">
        <f>'605'!$C$1752/1000</f>
        <v>0</v>
      </c>
      <c r="I210" s="247">
        <f t="shared" si="53"/>
        <v>-105.42317999999999</v>
      </c>
      <c r="N210" s="247"/>
    </row>
    <row r="211" spans="4:14" x14ac:dyDescent="0.35">
      <c r="D211" s="241" t="s">
        <v>382</v>
      </c>
      <c r="E211" s="247">
        <f>'605'!$C$1315/1000</f>
        <v>0</v>
      </c>
      <c r="F211" s="247">
        <f>'605'!$C$1388/1000</f>
        <v>0</v>
      </c>
      <c r="G211" s="247">
        <f>'605'!$C$1607/1000</f>
        <v>0</v>
      </c>
      <c r="H211" s="247">
        <f>'605'!$C$1753/1000</f>
        <v>0</v>
      </c>
      <c r="I211" s="247">
        <f t="shared" si="53"/>
        <v>0</v>
      </c>
      <c r="N211" s="247"/>
    </row>
    <row r="212" spans="4:14" x14ac:dyDescent="0.35">
      <c r="D212" s="241" t="s">
        <v>500</v>
      </c>
      <c r="E212" s="247">
        <f>'605'!$C$1316/1000</f>
        <v>0</v>
      </c>
      <c r="F212" s="247">
        <f>'605'!$C$1389/1000</f>
        <v>0</v>
      </c>
      <c r="G212" s="247">
        <f>'605'!$C$1608/1000</f>
        <v>0</v>
      </c>
      <c r="H212" s="247">
        <f>'605'!$C$1754/1000</f>
        <v>0</v>
      </c>
      <c r="I212" s="247">
        <f t="shared" si="53"/>
        <v>0</v>
      </c>
      <c r="N212" s="247"/>
    </row>
    <row r="213" spans="4:14" x14ac:dyDescent="0.35">
      <c r="D213" s="241" t="s">
        <v>575</v>
      </c>
      <c r="E213" s="247">
        <f>('605'!C1317+'605'!C1318)/1000</f>
        <v>0</v>
      </c>
      <c r="F213" s="247">
        <f>('605'!$C$1390+'605'!C1391)/1000</f>
        <v>0</v>
      </c>
      <c r="G213" s="247">
        <f>('605'!C1609+'605'!C1610)/1000</f>
        <v>0</v>
      </c>
      <c r="H213" s="247">
        <f>('605'!C1755+'605'!C1756)/1000</f>
        <v>0</v>
      </c>
      <c r="I213" s="247">
        <f t="shared" si="53"/>
        <v>0</v>
      </c>
      <c r="N213" s="247"/>
    </row>
    <row r="214" spans="4:14" x14ac:dyDescent="0.35">
      <c r="D214" s="241" t="s">
        <v>503</v>
      </c>
      <c r="E214" s="247">
        <f>'605'!$C$1319/1000</f>
        <v>0</v>
      </c>
      <c r="F214" s="247">
        <f>'605'!$C$1392/1000</f>
        <v>0</v>
      </c>
      <c r="G214" s="247">
        <f>'605'!$C$1611/1000</f>
        <v>0</v>
      </c>
      <c r="H214" s="250">
        <f>'605'!$C$1757/1000</f>
        <v>0</v>
      </c>
      <c r="I214" s="250">
        <f t="shared" si="53"/>
        <v>0</v>
      </c>
      <c r="N214" s="247"/>
    </row>
    <row r="215" spans="4:14" x14ac:dyDescent="0.35">
      <c r="D215" s="240" t="s">
        <v>504</v>
      </c>
      <c r="E215" s="244">
        <f>SUM(E209:E214)</f>
        <v>0</v>
      </c>
      <c r="F215" s="244">
        <f>SUM(F209:F214)</f>
        <v>-1726.1525300000001</v>
      </c>
      <c r="G215" s="244">
        <f>SUM(G209:G214)</f>
        <v>0</v>
      </c>
      <c r="H215" s="244">
        <f>SUM(H209:H214)</f>
        <v>0</v>
      </c>
      <c r="I215" s="244">
        <f t="shared" si="53"/>
        <v>-1726.1525300000001</v>
      </c>
      <c r="N215" s="244"/>
    </row>
    <row r="216" spans="4:14" x14ac:dyDescent="0.35">
      <c r="D216" s="240"/>
      <c r="E216" s="249"/>
      <c r="F216" s="249"/>
      <c r="G216" s="249"/>
      <c r="H216" s="248"/>
      <c r="I216" s="248"/>
      <c r="N216" s="249"/>
    </row>
    <row r="217" spans="4:14" x14ac:dyDescent="0.35">
      <c r="D217" s="240" t="s">
        <v>505</v>
      </c>
      <c r="E217" s="245"/>
      <c r="F217" s="245"/>
      <c r="G217" s="245"/>
      <c r="H217" s="245"/>
      <c r="I217" s="245"/>
      <c r="N217" s="245"/>
    </row>
    <row r="218" spans="4:14" x14ac:dyDescent="0.35">
      <c r="D218" s="241" t="s">
        <v>349</v>
      </c>
      <c r="E218" s="246">
        <f>'605'!$C$1322/1000</f>
        <v>0</v>
      </c>
      <c r="F218" s="246">
        <f>'605'!$C$1395/1000</f>
        <v>0</v>
      </c>
      <c r="G218" s="246">
        <f>'605'!$C$1614/1000</f>
        <v>0</v>
      </c>
      <c r="H218" s="246">
        <f>'605'!$C$1760/1000</f>
        <v>0</v>
      </c>
      <c r="I218" s="246">
        <f t="shared" ref="I218:I231" si="54">SUM(N218,E218,F218,G218,H218)</f>
        <v>0</v>
      </c>
      <c r="N218" s="246"/>
    </row>
    <row r="219" spans="4:14" x14ac:dyDescent="0.35">
      <c r="D219" s="241" t="s">
        <v>353</v>
      </c>
      <c r="E219" s="247">
        <f>'605'!$C$1324/1000</f>
        <v>0</v>
      </c>
      <c r="F219" s="247">
        <f>'605'!$C$1397/1000</f>
        <v>0</v>
      </c>
      <c r="G219" s="247">
        <f>'605'!$C$1616/1000</f>
        <v>0</v>
      </c>
      <c r="H219" s="247">
        <f>'605'!$C$1762/1000</f>
        <v>0</v>
      </c>
      <c r="I219" s="247">
        <f t="shared" si="54"/>
        <v>0</v>
      </c>
      <c r="N219" s="247"/>
    </row>
    <row r="220" spans="4:14" x14ac:dyDescent="0.35">
      <c r="D220" s="241" t="s">
        <v>352</v>
      </c>
      <c r="E220" s="247">
        <f>'605'!$C$1326/1000</f>
        <v>0</v>
      </c>
      <c r="F220" s="247">
        <f>'605'!$C$1399/1000</f>
        <v>0</v>
      </c>
      <c r="G220" s="247">
        <f>'605'!$C$1618/1000</f>
        <v>0</v>
      </c>
      <c r="H220" s="247">
        <f>'605'!$C$1764/1000</f>
        <v>0</v>
      </c>
      <c r="I220" s="247">
        <f t="shared" si="54"/>
        <v>0</v>
      </c>
      <c r="N220" s="247"/>
    </row>
    <row r="221" spans="4:14" x14ac:dyDescent="0.35">
      <c r="D221" s="241" t="s">
        <v>351</v>
      </c>
      <c r="E221" s="247">
        <f>'605'!$C$1328/1000</f>
        <v>0</v>
      </c>
      <c r="F221" s="247">
        <f>'605'!$C$1401/1000</f>
        <v>0</v>
      </c>
      <c r="G221" s="247">
        <f>'605'!$C$1620/1000</f>
        <v>0</v>
      </c>
      <c r="H221" s="247">
        <f>'605'!$C$1766/1000</f>
        <v>0</v>
      </c>
      <c r="I221" s="247">
        <f t="shared" si="54"/>
        <v>0</v>
      </c>
      <c r="N221" s="247"/>
    </row>
    <row r="222" spans="4:14" x14ac:dyDescent="0.35">
      <c r="D222" s="241" t="s">
        <v>510</v>
      </c>
      <c r="E222" s="247">
        <f>'605'!$C$1330/1000</f>
        <v>0</v>
      </c>
      <c r="F222" s="247">
        <f>'605'!$C$1403/1000</f>
        <v>0</v>
      </c>
      <c r="G222" s="247">
        <f>'605'!$C$1622/1000</f>
        <v>0</v>
      </c>
      <c r="H222" s="247">
        <f>'605'!$C$1768/1000</f>
        <v>0</v>
      </c>
      <c r="I222" s="247">
        <f t="shared" si="54"/>
        <v>0</v>
      </c>
      <c r="N222" s="247"/>
    </row>
    <row r="223" spans="4:14" x14ac:dyDescent="0.35">
      <c r="D223" s="241" t="s">
        <v>576</v>
      </c>
      <c r="E223" s="247">
        <f>'605'!$C$1332/1000</f>
        <v>0</v>
      </c>
      <c r="F223" s="247">
        <f>'605'!$C$1405/1000</f>
        <v>0</v>
      </c>
      <c r="G223" s="247">
        <f>'605'!$C$1624/1000</f>
        <v>0</v>
      </c>
      <c r="H223" s="247">
        <f>'605'!$C$1770/1000</f>
        <v>0</v>
      </c>
      <c r="I223" s="247">
        <f t="shared" si="54"/>
        <v>0</v>
      </c>
      <c r="N223" s="247"/>
    </row>
    <row r="224" spans="4:14" x14ac:dyDescent="0.35">
      <c r="D224" s="241" t="s">
        <v>577</v>
      </c>
      <c r="E224" s="247">
        <f>'605'!$C$1334/1000</f>
        <v>0</v>
      </c>
      <c r="F224" s="247">
        <f>'605'!$C$1407/1000</f>
        <v>0</v>
      </c>
      <c r="G224" s="247">
        <f>'605'!$C$1626/1000</f>
        <v>0</v>
      </c>
      <c r="H224" s="247">
        <f>'605'!$C$1772/1000</f>
        <v>0</v>
      </c>
      <c r="I224" s="247">
        <f t="shared" si="54"/>
        <v>0</v>
      </c>
      <c r="N224" s="247"/>
    </row>
    <row r="225" spans="4:14" x14ac:dyDescent="0.35">
      <c r="D225" s="241" t="s">
        <v>578</v>
      </c>
      <c r="E225" s="247">
        <f>'605'!$C$1336/1000</f>
        <v>0</v>
      </c>
      <c r="F225" s="247">
        <f>'605'!$C$1409/1000</f>
        <v>0</v>
      </c>
      <c r="G225" s="247">
        <f>'605'!$C$1628/1000</f>
        <v>-0.5</v>
      </c>
      <c r="H225" s="247">
        <f>'605'!$C$1774/1000</f>
        <v>0</v>
      </c>
      <c r="I225" s="247">
        <f t="shared" si="54"/>
        <v>-0.5</v>
      </c>
      <c r="N225" s="247"/>
    </row>
    <row r="226" spans="4:14" x14ac:dyDescent="0.35">
      <c r="D226" s="241" t="s">
        <v>518</v>
      </c>
      <c r="E226" s="247">
        <f>'605'!$C$1338/1000</f>
        <v>0</v>
      </c>
      <c r="F226" s="247">
        <f>'605'!$C$1411/1000</f>
        <v>0</v>
      </c>
      <c r="G226" s="247">
        <f>'605'!$C$1630/1000</f>
        <v>0</v>
      </c>
      <c r="H226" s="247">
        <f>'605'!$C$1776/1000</f>
        <v>0</v>
      </c>
      <c r="I226" s="247">
        <f t="shared" si="54"/>
        <v>0</v>
      </c>
      <c r="N226" s="247"/>
    </row>
    <row r="227" spans="4:14" x14ac:dyDescent="0.35">
      <c r="D227" s="241" t="s">
        <v>520</v>
      </c>
      <c r="E227" s="247">
        <f>'605'!$C$1340/1000</f>
        <v>0</v>
      </c>
      <c r="F227" s="247">
        <f>'605'!$C$1413/1000</f>
        <v>0</v>
      </c>
      <c r="G227" s="247">
        <f>'605'!$C$1632/1000</f>
        <v>0</v>
      </c>
      <c r="H227" s="247">
        <f>'605'!$C$1778/1000</f>
        <v>0</v>
      </c>
      <c r="I227" s="247">
        <f t="shared" si="54"/>
        <v>0</v>
      </c>
      <c r="N227" s="247"/>
    </row>
    <row r="228" spans="4:14" x14ac:dyDescent="0.35">
      <c r="D228" s="241" t="s">
        <v>522</v>
      </c>
      <c r="E228" s="247">
        <f>'605'!$C$1343/1000</f>
        <v>0</v>
      </c>
      <c r="F228" s="247">
        <f>'605'!$C$1416/1000</f>
        <v>0</v>
      </c>
      <c r="G228" s="247">
        <f>'605'!$C$1635/1000</f>
        <v>0</v>
      </c>
      <c r="H228" s="247">
        <f>'605'!$C$1781/1000</f>
        <v>0</v>
      </c>
      <c r="I228" s="247">
        <f t="shared" si="54"/>
        <v>0</v>
      </c>
      <c r="N228" s="247"/>
    </row>
    <row r="229" spans="4:14" x14ac:dyDescent="0.35">
      <c r="D229" s="241" t="s">
        <v>523</v>
      </c>
      <c r="E229" s="247">
        <f>'605'!$C$1344/1000</f>
        <v>0</v>
      </c>
      <c r="F229" s="247">
        <f>'605'!$C$1417/1000</f>
        <v>0</v>
      </c>
      <c r="G229" s="247">
        <f>'605'!$C$1636/1000</f>
        <v>0</v>
      </c>
      <c r="H229" s="247">
        <f>'605'!$C$1782/1000</f>
        <v>0</v>
      </c>
      <c r="I229" s="247">
        <f t="shared" si="54"/>
        <v>0</v>
      </c>
      <c r="N229" s="247"/>
    </row>
    <row r="230" spans="4:14" x14ac:dyDescent="0.35">
      <c r="D230" s="241" t="s">
        <v>10</v>
      </c>
      <c r="E230" s="250">
        <f>('605'!C1323+'605'!C1325+'605'!C1327+'605'!C1329+'605'!C1331+'605'!C1333+'605'!C1335+'605'!C1337+'605'!C1339+'605'!C1341+'605'!C1342-'605'!C1285)/1000</f>
        <v>-27.633729999999996</v>
      </c>
      <c r="F230" s="250">
        <f>('605'!C1396+'605'!C1398+'605'!C1400+'605'!C1402+'605'!C1404+'605'!C1406+'605'!C1408+'605'!C1410+'605'!C1412+'605'!C1414+'605'!C1415-'605'!C1358)/1000</f>
        <v>0</v>
      </c>
      <c r="G230" s="250">
        <f>('605'!C1615+'605'!C1617+'605'!C1619+'605'!C1621+'605'!C1623+'605'!C1625+'605'!C1627+'605'!C1629+'605'!C1631+'605'!C1633+'605'!C1634-'605'!C1577)/1000</f>
        <v>0</v>
      </c>
      <c r="H230" s="250">
        <f>('605'!C1761+'605'!C1763+'605'!C1765+'605'!C1767+'605'!C1769+'605'!C1771+'605'!C1773+'605'!C1775+'605'!C1777+'605'!C1779+'605'!C1780-'605'!C1723)/1000</f>
        <v>0</v>
      </c>
      <c r="I230" s="250">
        <f t="shared" si="54"/>
        <v>-27.633729999999996</v>
      </c>
      <c r="N230" s="250"/>
    </row>
    <row r="231" spans="4:14" x14ac:dyDescent="0.35">
      <c r="D231" s="240" t="s">
        <v>524</v>
      </c>
      <c r="E231" s="259">
        <f>SUM(E218:E230)</f>
        <v>-27.633729999999996</v>
      </c>
      <c r="F231" s="244">
        <f>SUM(F218:F230)</f>
        <v>0</v>
      </c>
      <c r="G231" s="244">
        <f>SUM(G218:G230)</f>
        <v>-0.5</v>
      </c>
      <c r="H231" s="244">
        <f>SUM(H218:H230)</f>
        <v>0</v>
      </c>
      <c r="I231" s="244">
        <f t="shared" si="54"/>
        <v>-28.133729999999996</v>
      </c>
      <c r="N231" s="259"/>
    </row>
    <row r="232" spans="4:14" x14ac:dyDescent="0.35">
      <c r="D232" s="241"/>
      <c r="E232" s="251"/>
      <c r="F232" s="251"/>
      <c r="G232" s="251"/>
      <c r="H232" s="254"/>
      <c r="I232" s="254"/>
      <c r="N232" s="251"/>
    </row>
    <row r="233" spans="4:14" x14ac:dyDescent="0.35">
      <c r="D233" s="240" t="s">
        <v>525</v>
      </c>
      <c r="E233" s="252">
        <f>E196+E206+E215+E231</f>
        <v>-35.802839999999996</v>
      </c>
      <c r="F233" s="252">
        <f>F196+F206+F215+F231</f>
        <v>78.810650000000123</v>
      </c>
      <c r="G233" s="252">
        <f>G196+G206+G215+G231</f>
        <v>-24.21846</v>
      </c>
      <c r="H233" s="244">
        <f>H196+H206+H215+H231</f>
        <v>27.532410000000006</v>
      </c>
      <c r="I233" s="244">
        <f>I196+I206+I215+I231</f>
        <v>11824.041760000002</v>
      </c>
      <c r="N233" s="252">
        <v>11.777719999999999</v>
      </c>
    </row>
    <row r="234" spans="4:14" x14ac:dyDescent="0.35">
      <c r="D234" s="242" t="s">
        <v>579</v>
      </c>
      <c r="E234" s="252">
        <f>'610'!$H$1138/1000</f>
        <v>26.774819999999998</v>
      </c>
      <c r="F234" s="252">
        <f>'610'!$H$1192/1000</f>
        <v>21.884080000000001</v>
      </c>
      <c r="G234" s="252">
        <f>'610'!$H$1354/1000</f>
        <v>39.66413</v>
      </c>
      <c r="H234" s="244">
        <f>'610'!$H$1462/1000</f>
        <v>-9.7455300000000005</v>
      </c>
      <c r="I234" s="244">
        <f>SUM(N234,E234,F234,G234,H234)</f>
        <v>67.516249999999999</v>
      </c>
      <c r="N234" s="252">
        <v>-11.061249999999999</v>
      </c>
    </row>
    <row r="235" spans="4:14" x14ac:dyDescent="0.35">
      <c r="D235" s="242" t="s">
        <v>580</v>
      </c>
      <c r="E235" s="252">
        <f>SUM(E233:E234)</f>
        <v>-9.0280199999999979</v>
      </c>
      <c r="F235" s="252">
        <f>SUM(F233:F234)</f>
        <v>100.69473000000012</v>
      </c>
      <c r="G235" s="252">
        <f>SUM(G233:G234)</f>
        <v>15.44567</v>
      </c>
      <c r="H235" s="252">
        <f>SUM(H233:H234)</f>
        <v>17.786880000000004</v>
      </c>
      <c r="I235" s="252">
        <f>SUM(I233:I234)</f>
        <v>11891.558010000002</v>
      </c>
      <c r="N235" s="252">
        <v>0.71646999999999927</v>
      </c>
    </row>
    <row r="237" spans="4:14" x14ac:dyDescent="0.35">
      <c r="I237" s="258"/>
      <c r="J237" s="258"/>
    </row>
    <row r="242" spans="4:10" x14ac:dyDescent="0.35">
      <c r="D242" s="255"/>
      <c r="E242" s="240"/>
      <c r="F242" s="240" t="s">
        <v>581</v>
      </c>
      <c r="G242" s="241"/>
      <c r="H242" s="241"/>
      <c r="I242" s="241"/>
      <c r="J242" s="241"/>
    </row>
    <row r="243" spans="4:10" x14ac:dyDescent="0.35">
      <c r="D243" s="256" t="s">
        <v>582</v>
      </c>
      <c r="E243" s="243" t="s">
        <v>324</v>
      </c>
      <c r="F243" s="243" t="s">
        <v>325</v>
      </c>
      <c r="G243" s="243" t="s">
        <v>326</v>
      </c>
      <c r="H243" s="243" t="s">
        <v>327</v>
      </c>
      <c r="I243" s="243" t="s">
        <v>328</v>
      </c>
      <c r="J243" s="243" t="s">
        <v>285</v>
      </c>
    </row>
    <row r="244" spans="4:10" x14ac:dyDescent="0.35">
      <c r="D244" s="240" t="s">
        <v>487</v>
      </c>
      <c r="E244" s="244">
        <f>('605'!F1953+'605'!F1942)/1000</f>
        <v>221.73733000000001</v>
      </c>
      <c r="F244" s="244">
        <f>('605'!F1296+'605'!F1285)/1000</f>
        <v>-53.510210000000001</v>
      </c>
      <c r="G244" s="244">
        <f>('605'!F1369+'605'!F1358)/1000</f>
        <v>50.121670000000002</v>
      </c>
      <c r="H244" s="244">
        <f>('605'!F1588+'605'!F1577)/1000</f>
        <v>-132.69162</v>
      </c>
      <c r="I244" s="244">
        <f>('605'!F1734+'605'!F1723)/1000</f>
        <v>-18.894710000000007</v>
      </c>
      <c r="J244" s="244">
        <f>SUM(E244,F244,G244,H244,I244)</f>
        <v>66.762460000000004</v>
      </c>
    </row>
    <row r="245" spans="4:10" x14ac:dyDescent="0.35">
      <c r="D245" s="241"/>
      <c r="E245" s="245"/>
      <c r="F245" s="245"/>
      <c r="G245" s="245"/>
      <c r="H245" s="245"/>
      <c r="I245" s="245"/>
      <c r="J245" s="245"/>
    </row>
    <row r="246" spans="4:10" x14ac:dyDescent="0.35">
      <c r="D246" s="240" t="s">
        <v>574</v>
      </c>
      <c r="E246" s="245"/>
      <c r="F246" s="245"/>
      <c r="G246" s="245"/>
      <c r="H246" s="245"/>
      <c r="I246" s="245"/>
      <c r="J246" s="245"/>
    </row>
    <row r="247" spans="4:10" x14ac:dyDescent="0.35">
      <c r="D247" s="241" t="s">
        <v>341</v>
      </c>
      <c r="E247" s="246">
        <f>'605'!$F$1956/1000</f>
        <v>159.43492000000001</v>
      </c>
      <c r="F247" s="246">
        <f>'605'!$F$1299/1000</f>
        <v>13.391819999999999</v>
      </c>
      <c r="G247" s="246">
        <f>'605'!$F$1372/1000</f>
        <v>-12.856590000000001</v>
      </c>
      <c r="H247" s="246">
        <f>'605'!$F$1591/1000</f>
        <v>-16.227149999999998</v>
      </c>
      <c r="I247" s="246">
        <f>'605'!$F$1737/1000</f>
        <v>-26.643849999999997</v>
      </c>
      <c r="J247" s="246">
        <f t="shared" ref="J247:J254" si="55">SUM(E247,F247,G247,H247,I247)</f>
        <v>117.09914999999999</v>
      </c>
    </row>
    <row r="248" spans="4:10" x14ac:dyDescent="0.35">
      <c r="D248" s="241" t="s">
        <v>342</v>
      </c>
      <c r="E248" s="247">
        <f>('605'!$F$1958+'605'!$F$1957+'605'!$F$1960)/1000</f>
        <v>2.7874899999999996</v>
      </c>
      <c r="F248" s="247">
        <f>('605'!F1300+'605'!F1301)/1000</f>
        <v>-5.4103500000000002</v>
      </c>
      <c r="G248" s="247">
        <f>('605'!F1373+'605'!F1374)/1000</f>
        <v>-0.54425999999999997</v>
      </c>
      <c r="H248" s="247">
        <f>('605'!F1592+'605'!F1593)/1000</f>
        <v>-5.7130600000000005</v>
      </c>
      <c r="I248" s="247">
        <f>('605'!F1738+'605'!F1739)/1000</f>
        <v>-9.9061500000000002</v>
      </c>
      <c r="J248" s="247">
        <f t="shared" si="55"/>
        <v>-18.78633</v>
      </c>
    </row>
    <row r="249" spans="4:10" x14ac:dyDescent="0.35">
      <c r="D249" s="241" t="s">
        <v>343</v>
      </c>
      <c r="E249" s="247">
        <f>'605'!$F$1959/1000</f>
        <v>189.78744</v>
      </c>
      <c r="F249" s="247">
        <f>'605'!$F$1302/1000</f>
        <v>0.33917999999999998</v>
      </c>
      <c r="G249" s="247">
        <f>'605'!$F$1375/1000</f>
        <v>2.8137500000000002</v>
      </c>
      <c r="H249" s="247">
        <f>'605'!$F$1594/1000</f>
        <v>-0.21190999999999999</v>
      </c>
      <c r="I249" s="247">
        <f>'605'!$F$1740/1000</f>
        <v>-6.2976000000000001</v>
      </c>
      <c r="J249" s="247">
        <f t="shared" si="55"/>
        <v>186.43086000000002</v>
      </c>
    </row>
    <row r="250" spans="4:10" x14ac:dyDescent="0.35">
      <c r="D250" s="241" t="s">
        <v>344</v>
      </c>
      <c r="E250" s="247">
        <f>'605'!F1961/1000</f>
        <v>-761.95730000000003</v>
      </c>
      <c r="F250" s="247">
        <f>'605'!$F$1304/1000</f>
        <v>-16.075559999999999</v>
      </c>
      <c r="G250" s="247">
        <f>'605'!$F$1377/1000</f>
        <v>-5.8682400000000001</v>
      </c>
      <c r="H250" s="247">
        <f>'605'!$F$1596/1000</f>
        <v>-12.538690000000001</v>
      </c>
      <c r="I250" s="247">
        <f>'605'!$F$1742/1000</f>
        <v>7.4630100000000006</v>
      </c>
      <c r="J250" s="247">
        <f t="shared" si="55"/>
        <v>-788.97677999999996</v>
      </c>
    </row>
    <row r="251" spans="4:10" x14ac:dyDescent="0.35">
      <c r="D251" s="241" t="s">
        <v>367</v>
      </c>
      <c r="E251" s="247">
        <f>'605'!$F$1962/1000</f>
        <v>-318.88668000000001</v>
      </c>
      <c r="F251" s="247">
        <f>'605'!$F$1305/1000</f>
        <v>-35.636279999999999</v>
      </c>
      <c r="G251" s="247">
        <f>'605'!$F$1378/1000</f>
        <v>-11.471780000000001</v>
      </c>
      <c r="H251" s="247">
        <f>'605'!$F$1597/1000</f>
        <v>-7.7623199999999999</v>
      </c>
      <c r="I251" s="247">
        <f>'605'!$F$1743/1000</f>
        <v>-18.44228</v>
      </c>
      <c r="J251" s="247">
        <f t="shared" si="55"/>
        <v>-392.19934000000001</v>
      </c>
    </row>
    <row r="252" spans="4:10" x14ac:dyDescent="0.35">
      <c r="D252" s="241" t="s">
        <v>492</v>
      </c>
      <c r="E252" s="247">
        <f>('605'!$F$1963+'605'!$F$1964+'605'!$F$1966)/1000</f>
        <v>-47.86656</v>
      </c>
      <c r="F252" s="247">
        <f>('605'!F1306+'605'!F1307+'605'!F1309)/1000</f>
        <v>322.35032000000001</v>
      </c>
      <c r="G252" s="247">
        <f>('605'!F1379+'605'!F1380+'605'!F1382)/1000</f>
        <v>2996.9164300000002</v>
      </c>
      <c r="H252" s="247">
        <f>('605'!F1598+'605'!F1599+'605'!F1601)/1000</f>
        <v>193.14392000000001</v>
      </c>
      <c r="I252" s="247">
        <f>('605'!F1744+'605'!F1745+'605'!F1747)/1000</f>
        <v>84.537130000000005</v>
      </c>
      <c r="J252" s="247">
        <f t="shared" si="55"/>
        <v>3549.0812400000004</v>
      </c>
    </row>
    <row r="253" spans="4:10" x14ac:dyDescent="0.35">
      <c r="D253" s="241" t="s">
        <v>493</v>
      </c>
      <c r="E253" s="247">
        <f>('605'!$F$1965+'605'!$F$1967)/1000</f>
        <v>-437.20512000000002</v>
      </c>
      <c r="F253" s="247">
        <f>('605'!F1308+'605'!F1310)/1000</f>
        <v>21.689160000000001</v>
      </c>
      <c r="G253" s="247">
        <f>('605'!F1381+'605'!F1383)/1000</f>
        <v>24.535209999999999</v>
      </c>
      <c r="H253" s="247">
        <f>('605'!F1600+'605'!F1602)/1000</f>
        <v>-16.542589999999997</v>
      </c>
      <c r="I253" s="247">
        <f>('605'!F1746+'605'!F1748)/1000</f>
        <v>-2.1377899999999999</v>
      </c>
      <c r="J253" s="247">
        <f t="shared" si="55"/>
        <v>-409.66113000000001</v>
      </c>
    </row>
    <row r="254" spans="4:10" x14ac:dyDescent="0.35">
      <c r="D254" s="240" t="s">
        <v>574</v>
      </c>
      <c r="E254" s="244">
        <f>SUM(E247:E253)</f>
        <v>-1213.90581</v>
      </c>
      <c r="F254" s="244">
        <f>SUM(F247:F253)</f>
        <v>300.64829000000003</v>
      </c>
      <c r="G254" s="244">
        <f>SUM(G247:G253)</f>
        <v>2993.5245200000004</v>
      </c>
      <c r="H254" s="244">
        <f>SUM(H247:H253)</f>
        <v>134.1482</v>
      </c>
      <c r="I254" s="244">
        <f>SUM(I247:I253)</f>
        <v>28.572470000000006</v>
      </c>
      <c r="J254" s="244">
        <f t="shared" si="55"/>
        <v>2242.9876700000009</v>
      </c>
    </row>
    <row r="255" spans="4:10" x14ac:dyDescent="0.35">
      <c r="D255" s="241"/>
      <c r="E255" s="248"/>
      <c r="F255" s="248"/>
      <c r="G255" s="248"/>
      <c r="H255" s="248"/>
      <c r="I255" s="248"/>
      <c r="J255" s="248"/>
    </row>
    <row r="256" spans="4:10" x14ac:dyDescent="0.35">
      <c r="D256" s="240" t="s">
        <v>497</v>
      </c>
      <c r="E256" s="245"/>
      <c r="F256" s="245"/>
      <c r="G256" s="245"/>
      <c r="H256" s="245"/>
      <c r="I256" s="245"/>
      <c r="J256" s="245"/>
    </row>
    <row r="257" spans="4:10" x14ac:dyDescent="0.35">
      <c r="D257" s="241" t="s">
        <v>498</v>
      </c>
      <c r="E257" s="246">
        <f>'605'!$F$1970/1000</f>
        <v>-5822.4515300000003</v>
      </c>
      <c r="F257" s="246">
        <f>'605'!$F$1313/1000</f>
        <v>-170.36624</v>
      </c>
      <c r="G257" s="246">
        <f>'605'!$F$1386/1000</f>
        <v>-2034.07891</v>
      </c>
      <c r="H257" s="246">
        <f>'605'!$F$1605/1000</f>
        <v>0</v>
      </c>
      <c r="I257" s="246">
        <f>'605'!$F$1751/1000</f>
        <v>0</v>
      </c>
      <c r="J257" s="246">
        <f t="shared" ref="J257:J263" si="56">SUM(E257,F257,G257,H257,I257)</f>
        <v>-8026.8966800000007</v>
      </c>
    </row>
    <row r="258" spans="4:10" x14ac:dyDescent="0.35">
      <c r="D258" s="241" t="s">
        <v>499</v>
      </c>
      <c r="E258" s="247">
        <f>'605'!$F$1971</f>
        <v>0</v>
      </c>
      <c r="F258" s="247">
        <f>'605'!$F$1314/1000</f>
        <v>0</v>
      </c>
      <c r="G258" s="247">
        <f>'605'!$F$1387/1000</f>
        <v>-747.30016000000001</v>
      </c>
      <c r="H258" s="247">
        <f>'605'!$F$1606/1000</f>
        <v>0</v>
      </c>
      <c r="I258" s="247">
        <f>'605'!$F$1752/1000</f>
        <v>0</v>
      </c>
      <c r="J258" s="247">
        <f t="shared" si="56"/>
        <v>-747.30016000000001</v>
      </c>
    </row>
    <row r="259" spans="4:10" x14ac:dyDescent="0.35">
      <c r="D259" s="241" t="s">
        <v>382</v>
      </c>
      <c r="E259" s="247">
        <f>'605'!$F$1972</f>
        <v>0</v>
      </c>
      <c r="F259" s="247">
        <f>'605'!$F$1315/1000</f>
        <v>0</v>
      </c>
      <c r="G259" s="247">
        <f>'605'!$F$1388/1000</f>
        <v>0</v>
      </c>
      <c r="H259" s="247">
        <f>'605'!$F$1607/1000</f>
        <v>0</v>
      </c>
      <c r="I259" s="247">
        <f>'605'!$F$1753/1000</f>
        <v>0</v>
      </c>
      <c r="J259" s="247">
        <f t="shared" si="56"/>
        <v>0</v>
      </c>
    </row>
    <row r="260" spans="4:10" x14ac:dyDescent="0.35">
      <c r="D260" s="241" t="s">
        <v>500</v>
      </c>
      <c r="E260" s="247">
        <f>'605'!$F$1973</f>
        <v>0</v>
      </c>
      <c r="F260" s="247">
        <f>'605'!$F$1316/1000</f>
        <v>0</v>
      </c>
      <c r="G260" s="247">
        <f>'605'!$F$1389/1000</f>
        <v>0</v>
      </c>
      <c r="H260" s="247">
        <f>'605'!$F$1608/1000</f>
        <v>0</v>
      </c>
      <c r="I260" s="247">
        <f>'605'!$F$1754/1000</f>
        <v>0</v>
      </c>
      <c r="J260" s="247">
        <f t="shared" si="56"/>
        <v>0</v>
      </c>
    </row>
    <row r="261" spans="4:10" x14ac:dyDescent="0.35">
      <c r="D261" s="241" t="s">
        <v>575</v>
      </c>
      <c r="E261" s="247">
        <f>'605'!F1974+'605'!F1975</f>
        <v>0</v>
      </c>
      <c r="F261" s="247">
        <f>('605'!F1317+'605'!F1318)/1000</f>
        <v>0</v>
      </c>
      <c r="G261" s="247">
        <f>('605'!$F$1390+'605'!F1391)/1000</f>
        <v>0</v>
      </c>
      <c r="H261" s="247">
        <f>('605'!F1609+'605'!F1610)/1000</f>
        <v>0</v>
      </c>
      <c r="I261" s="247">
        <f>('605'!F1755+'605'!F1756)/1000</f>
        <v>0</v>
      </c>
      <c r="J261" s="247">
        <f t="shared" si="56"/>
        <v>0</v>
      </c>
    </row>
    <row r="262" spans="4:10" x14ac:dyDescent="0.35">
      <c r="D262" s="241" t="s">
        <v>503</v>
      </c>
      <c r="E262" s="247">
        <f>'605'!F1976</f>
        <v>0</v>
      </c>
      <c r="F262" s="247">
        <f>'605'!$F$1319/1000</f>
        <v>0</v>
      </c>
      <c r="G262" s="247">
        <f>'605'!$F$1392/1000</f>
        <v>0</v>
      </c>
      <c r="H262" s="247">
        <f>'605'!$F$1611/1000</f>
        <v>0</v>
      </c>
      <c r="I262" s="250">
        <f>'605'!$F$1757/1000</f>
        <v>0</v>
      </c>
      <c r="J262" s="247">
        <f t="shared" si="56"/>
        <v>0</v>
      </c>
    </row>
    <row r="263" spans="4:10" x14ac:dyDescent="0.35">
      <c r="D263" s="240" t="s">
        <v>504</v>
      </c>
      <c r="E263" s="244">
        <v>-5822.4515300000003</v>
      </c>
      <c r="F263" s="244">
        <f>SUM(F257:F262)</f>
        <v>-170.36624</v>
      </c>
      <c r="G263" s="244">
        <f>SUM(G257:G262)</f>
        <v>-2781.37907</v>
      </c>
      <c r="H263" s="244">
        <f>SUM(H257:H262)</f>
        <v>0</v>
      </c>
      <c r="I263" s="244">
        <f>SUM(I257:I262)</f>
        <v>0</v>
      </c>
      <c r="J263" s="244">
        <f t="shared" si="56"/>
        <v>-8774.1968400000005</v>
      </c>
    </row>
    <row r="264" spans="4:10" x14ac:dyDescent="0.35">
      <c r="D264" s="240"/>
      <c r="E264" s="249"/>
      <c r="F264" s="249"/>
      <c r="G264" s="249"/>
      <c r="H264" s="249"/>
      <c r="I264" s="249"/>
      <c r="J264" s="249"/>
    </row>
    <row r="265" spans="4:10" x14ac:dyDescent="0.35">
      <c r="D265" s="240" t="s">
        <v>505</v>
      </c>
      <c r="E265" s="257"/>
      <c r="F265" s="257"/>
      <c r="G265" s="257"/>
      <c r="H265" s="257"/>
      <c r="I265" s="257"/>
      <c r="J265" s="257"/>
    </row>
    <row r="266" spans="4:10" x14ac:dyDescent="0.35">
      <c r="D266" s="241" t="s">
        <v>349</v>
      </c>
      <c r="E266" s="246">
        <f>'605'!$F$1979</f>
        <v>0</v>
      </c>
      <c r="F266" s="246">
        <f>'605'!$F$1322/1000</f>
        <v>0</v>
      </c>
      <c r="G266" s="246">
        <f>'605'!$F$1395/1000</f>
        <v>0</v>
      </c>
      <c r="H266" s="246">
        <f>'605'!$F$1614/1000</f>
        <v>0</v>
      </c>
      <c r="I266" s="246">
        <f>'605'!$F$1760/1000</f>
        <v>0</v>
      </c>
      <c r="J266" s="247">
        <f t="shared" ref="J266:J279" si="57">SUM(E266,F266,G266,H266,I266)</f>
        <v>0</v>
      </c>
    </row>
    <row r="267" spans="4:10" x14ac:dyDescent="0.35">
      <c r="D267" s="241" t="s">
        <v>353</v>
      </c>
      <c r="E267" s="247">
        <f>'605'!$F$1981</f>
        <v>-2194.61</v>
      </c>
      <c r="F267" s="247">
        <f>'605'!$F$1324/1000</f>
        <v>-5.8410000000000002</v>
      </c>
      <c r="G267" s="247">
        <f>'605'!$F$1397/1000</f>
        <v>-9.8764000000000003</v>
      </c>
      <c r="H267" s="247">
        <f>'605'!$F$1616/1000</f>
        <v>-8.1999999999999993</v>
      </c>
      <c r="I267" s="247">
        <f>'605'!$F$1762/1000</f>
        <v>-5.8082900000000004</v>
      </c>
      <c r="J267" s="247">
        <f t="shared" si="57"/>
        <v>-2224.3356899999999</v>
      </c>
    </row>
    <row r="268" spans="4:10" x14ac:dyDescent="0.35">
      <c r="D268" s="241" t="s">
        <v>352</v>
      </c>
      <c r="E268" s="247">
        <f>'605'!$F$1983</f>
        <v>0</v>
      </c>
      <c r="F268" s="247">
        <f>'605'!$F$1326/1000</f>
        <v>0</v>
      </c>
      <c r="G268" s="247">
        <f>'605'!$F$1399/1000</f>
        <v>0</v>
      </c>
      <c r="H268" s="247">
        <f>'605'!$F$1618/1000</f>
        <v>-0.99</v>
      </c>
      <c r="I268" s="247">
        <f>'605'!$F$1764/1000</f>
        <v>0</v>
      </c>
      <c r="J268" s="247">
        <f t="shared" si="57"/>
        <v>-0.99</v>
      </c>
    </row>
    <row r="269" spans="4:10" x14ac:dyDescent="0.35">
      <c r="D269" s="241" t="s">
        <v>351</v>
      </c>
      <c r="E269" s="247">
        <f>'605'!$F$1985</f>
        <v>0</v>
      </c>
      <c r="F269" s="247">
        <f>'605'!$F$1328/1000</f>
        <v>0</v>
      </c>
      <c r="G269" s="247">
        <f>'605'!$F$1401/1000</f>
        <v>0</v>
      </c>
      <c r="H269" s="247">
        <f>'605'!$F$1620/1000</f>
        <v>0</v>
      </c>
      <c r="I269" s="247">
        <f>'605'!$F$1766/1000</f>
        <v>0</v>
      </c>
      <c r="J269" s="247">
        <f t="shared" si="57"/>
        <v>0</v>
      </c>
    </row>
    <row r="270" spans="4:10" x14ac:dyDescent="0.35">
      <c r="D270" s="241" t="s">
        <v>510</v>
      </c>
      <c r="E270" s="247">
        <f>'605'!$F$1987</f>
        <v>0</v>
      </c>
      <c r="F270" s="247">
        <f>'605'!$F$1330/1000</f>
        <v>0</v>
      </c>
      <c r="G270" s="247">
        <f>'605'!$F$1403/1000</f>
        <v>0</v>
      </c>
      <c r="H270" s="247">
        <f>'605'!$F$1622/1000</f>
        <v>0</v>
      </c>
      <c r="I270" s="247">
        <f>'605'!$F$1768/1000</f>
        <v>0</v>
      </c>
      <c r="J270" s="247">
        <f t="shared" si="57"/>
        <v>0</v>
      </c>
    </row>
    <row r="271" spans="4:10" x14ac:dyDescent="0.35">
      <c r="D271" s="241" t="s">
        <v>576</v>
      </c>
      <c r="E271" s="247">
        <f>'605'!$F$1989</f>
        <v>0</v>
      </c>
      <c r="F271" s="247">
        <f>'605'!$F$1332/1000</f>
        <v>0</v>
      </c>
      <c r="G271" s="247">
        <f>'605'!$F$1405/1000</f>
        <v>0</v>
      </c>
      <c r="H271" s="247">
        <f>'605'!$F$1624/1000</f>
        <v>0</v>
      </c>
      <c r="I271" s="247">
        <f>'605'!$F$1770/1000</f>
        <v>0</v>
      </c>
      <c r="J271" s="247">
        <f t="shared" si="57"/>
        <v>0</v>
      </c>
    </row>
    <row r="272" spans="4:10" x14ac:dyDescent="0.35">
      <c r="D272" s="241" t="s">
        <v>577</v>
      </c>
      <c r="E272" s="247">
        <f>'605'!$F$1991</f>
        <v>0</v>
      </c>
      <c r="F272" s="247">
        <f>'605'!$F$1334/1000</f>
        <v>0</v>
      </c>
      <c r="G272" s="247">
        <f>'605'!$F$1407/1000</f>
        <v>0</v>
      </c>
      <c r="H272" s="247">
        <f>'605'!$F$1626/1000</f>
        <v>0</v>
      </c>
      <c r="I272" s="247">
        <f>'605'!$F$1772/1000</f>
        <v>0</v>
      </c>
      <c r="J272" s="247">
        <f t="shared" si="57"/>
        <v>0</v>
      </c>
    </row>
    <row r="273" spans="4:10" x14ac:dyDescent="0.35">
      <c r="D273" s="241" t="s">
        <v>578</v>
      </c>
      <c r="E273" s="247">
        <f>'605'!$F$1993</f>
        <v>0</v>
      </c>
      <c r="F273" s="247">
        <f>'605'!$F$1336/1000</f>
        <v>0</v>
      </c>
      <c r="G273" s="247">
        <f>'605'!$F$1409/1000</f>
        <v>0</v>
      </c>
      <c r="H273" s="247">
        <f>'605'!$F$1628/1000</f>
        <v>-2.1870100000000003</v>
      </c>
      <c r="I273" s="247">
        <f>'605'!$F$1774/1000</f>
        <v>0</v>
      </c>
      <c r="J273" s="247">
        <f t="shared" si="57"/>
        <v>-2.1870100000000003</v>
      </c>
    </row>
    <row r="274" spans="4:10" x14ac:dyDescent="0.35">
      <c r="D274" s="241" t="s">
        <v>518</v>
      </c>
      <c r="E274" s="247">
        <f>'605'!$F$1995</f>
        <v>0</v>
      </c>
      <c r="F274" s="247">
        <f>'605'!$F$1338/1000</f>
        <v>0</v>
      </c>
      <c r="G274" s="247">
        <f>'605'!$F$1411/1000</f>
        <v>0</v>
      </c>
      <c r="H274" s="247">
        <f>'605'!$F$1630/1000</f>
        <v>0</v>
      </c>
      <c r="I274" s="247">
        <f>'605'!$F$1776/1000</f>
        <v>0</v>
      </c>
      <c r="J274" s="247">
        <f t="shared" si="57"/>
        <v>0</v>
      </c>
    </row>
    <row r="275" spans="4:10" x14ac:dyDescent="0.35">
      <c r="D275" s="241" t="s">
        <v>520</v>
      </c>
      <c r="E275" s="247">
        <f>'605'!$F$1997</f>
        <v>0</v>
      </c>
      <c r="F275" s="247">
        <f>'605'!$F$1340/1000</f>
        <v>0</v>
      </c>
      <c r="G275" s="247">
        <f>'605'!$F$1413/1000</f>
        <v>-30.431999999999999</v>
      </c>
      <c r="H275" s="247">
        <f>'605'!$F$1632/1000</f>
        <v>-1.1999999999999999E-4</v>
      </c>
      <c r="I275" s="247">
        <f>'605'!$F$1778/1000</f>
        <v>0</v>
      </c>
      <c r="J275" s="247">
        <f t="shared" si="57"/>
        <v>-30.432119999999998</v>
      </c>
    </row>
    <row r="276" spans="4:10" x14ac:dyDescent="0.35">
      <c r="D276" s="241" t="s">
        <v>522</v>
      </c>
      <c r="E276" s="247">
        <f>'605'!$F$2000</f>
        <v>0</v>
      </c>
      <c r="F276" s="247">
        <f>'605'!$F$1343/1000</f>
        <v>0</v>
      </c>
      <c r="G276" s="247">
        <f>'605'!$F$1416/1000</f>
        <v>0</v>
      </c>
      <c r="H276" s="247">
        <f>'605'!$F$1635/1000</f>
        <v>0</v>
      </c>
      <c r="I276" s="247">
        <f>'605'!$F$1781/1000</f>
        <v>0</v>
      </c>
      <c r="J276" s="247">
        <f t="shared" si="57"/>
        <v>0</v>
      </c>
    </row>
    <row r="277" spans="4:10" x14ac:dyDescent="0.35">
      <c r="D277" s="241" t="s">
        <v>523</v>
      </c>
      <c r="E277" s="247">
        <f>'605'!$F$2001</f>
        <v>0</v>
      </c>
      <c r="F277" s="247">
        <f>'605'!$F$1344/1000</f>
        <v>0</v>
      </c>
      <c r="G277" s="247">
        <f>'605'!$F$1417/1000</f>
        <v>0</v>
      </c>
      <c r="H277" s="247">
        <f>'605'!$F$1636/1000</f>
        <v>0</v>
      </c>
      <c r="I277" s="247">
        <f>'605'!$F$1782/1000</f>
        <v>0</v>
      </c>
      <c r="J277" s="247">
        <f t="shared" si="57"/>
        <v>0</v>
      </c>
    </row>
    <row r="278" spans="4:10" x14ac:dyDescent="0.35">
      <c r="D278" s="241" t="s">
        <v>10</v>
      </c>
      <c r="E278" s="250">
        <v>6693.6987799999997</v>
      </c>
      <c r="F278" s="250">
        <f>('605'!F1323+'605'!F1325+'605'!F1327+'605'!F1329+'605'!F1331+'605'!F1333+'605'!F1335+'605'!F1337+'605'!F1339+'605'!F1341+'605'!F1342-'605'!F1285)/1000</f>
        <v>-128.22066999999998</v>
      </c>
      <c r="G278" s="250">
        <f>('605'!F1396+'605'!F1398+'605'!F1400+'605'!F1402+'605'!F1404+'605'!F1406+'605'!F1408+'605'!F1410+'605'!F1412+'605'!F1414+'605'!F1415-'605'!F1358)/1000</f>
        <v>-63.611930000000001</v>
      </c>
      <c r="H278" s="250">
        <f>('605'!F1615+'605'!F1617+'605'!F1619+'605'!F1621+'605'!F1623+'605'!F1625+'605'!F1627+'605'!F1629+'605'!F1631+'605'!F1633+'605'!F1634-'605'!F1577)/1000</f>
        <v>1.200000000098953E-4</v>
      </c>
      <c r="I278" s="250">
        <f>('605'!F1761+'605'!F1763+'605'!F1765+'605'!F1767+'605'!F1769+'605'!F1771+'605'!F1773+'605'!F1775+'605'!F1777+'605'!F1779+'605'!F1780-'605'!F1723)/1000</f>
        <v>0</v>
      </c>
      <c r="J278" s="250">
        <f t="shared" si="57"/>
        <v>6501.8662999999997</v>
      </c>
    </row>
    <row r="279" spans="4:10" x14ac:dyDescent="0.35">
      <c r="D279" s="240" t="s">
        <v>524</v>
      </c>
      <c r="E279" s="244">
        <v>6629.9749700000002</v>
      </c>
      <c r="F279" s="244">
        <f>SUM(F266:F278)</f>
        <v>-134.06166999999999</v>
      </c>
      <c r="G279" s="244">
        <f>SUM(G266:G278)</f>
        <v>-103.92033000000001</v>
      </c>
      <c r="H279" s="244">
        <f>SUM(H266:H278)</f>
        <v>-11.377009999999991</v>
      </c>
      <c r="I279" s="244">
        <f>SUM(I266:I278)</f>
        <v>-5.8082900000000004</v>
      </c>
      <c r="J279" s="244">
        <f t="shared" si="57"/>
        <v>6374.8076700000001</v>
      </c>
    </row>
    <row r="280" spans="4:10" x14ac:dyDescent="0.35">
      <c r="D280" s="241"/>
      <c r="E280" s="251"/>
      <c r="F280" s="251"/>
      <c r="G280" s="251"/>
      <c r="H280" s="251"/>
      <c r="I280" s="251"/>
      <c r="J280" s="251"/>
    </row>
    <row r="281" spans="4:10" x14ac:dyDescent="0.35">
      <c r="D281" s="240" t="s">
        <v>525</v>
      </c>
      <c r="E281" s="252">
        <v>-184.64504000000034</v>
      </c>
      <c r="F281" s="252">
        <f>F244+F254+F263+F279</f>
        <v>-57.289829999999967</v>
      </c>
      <c r="G281" s="252">
        <f>G244+G254+G263+G279</f>
        <v>158.34679000000042</v>
      </c>
      <c r="H281" s="252">
        <f>H244+H254+H263+H279</f>
        <v>-9.920429999999989</v>
      </c>
      <c r="I281" s="244">
        <f>I244+I254+I263+I279</f>
        <v>3.8694699999999989</v>
      </c>
      <c r="J281" s="244">
        <f>J244+J254+J263+J279</f>
        <v>-89.639040000000023</v>
      </c>
    </row>
    <row r="282" spans="4:10" x14ac:dyDescent="0.35">
      <c r="D282" s="242" t="s">
        <v>579</v>
      </c>
      <c r="E282" s="252">
        <v>185.36151000000001</v>
      </c>
      <c r="F282" s="252">
        <f>'610'!$I$1138/1000</f>
        <v>48.261809999999997</v>
      </c>
      <c r="G282" s="252">
        <f>'610'!$I$1192/1000</f>
        <v>-57.652059999999999</v>
      </c>
      <c r="H282" s="252">
        <f>'610'!$I$1354/1000</f>
        <v>25.366099999999999</v>
      </c>
      <c r="I282" s="244">
        <f>'610'!$I$1462/1000</f>
        <v>13.91741</v>
      </c>
      <c r="J282" s="244">
        <f>SUM(E282,F282,G282,H282,I282)</f>
        <v>215.25476999999998</v>
      </c>
    </row>
    <row r="283" spans="4:10" x14ac:dyDescent="0.35">
      <c r="D283" s="242" t="s">
        <v>580</v>
      </c>
      <c r="E283" s="252">
        <v>0.7164699999996742</v>
      </c>
      <c r="F283" s="252">
        <f>SUM(F281:F282)</f>
        <v>-9.0280199999999695</v>
      </c>
      <c r="G283" s="252">
        <f>SUM(G281:G282)</f>
        <v>100.69473000000042</v>
      </c>
      <c r="H283" s="252">
        <f>SUM(H281:H282)</f>
        <v>15.44567000000001</v>
      </c>
      <c r="I283" s="252">
        <f>SUM(I281:I282)</f>
        <v>17.78688</v>
      </c>
      <c r="J283" s="252">
        <f>SUM(J281:J282)</f>
        <v>125.61572999999996</v>
      </c>
    </row>
    <row r="289" spans="3:10" x14ac:dyDescent="0.35">
      <c r="C289" t="s">
        <v>589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40" t="s">
        <v>571</v>
      </c>
      <c r="E291" s="240" t="s">
        <v>106</v>
      </c>
      <c r="F291" s="241"/>
      <c r="G291" s="241"/>
      <c r="H291" s="241"/>
    </row>
    <row r="292" spans="3:10" x14ac:dyDescent="0.35">
      <c r="D292" s="241"/>
      <c r="E292" s="243" t="s">
        <v>593</v>
      </c>
      <c r="F292" s="243" t="s">
        <v>590</v>
      </c>
      <c r="G292" s="243" t="s">
        <v>332</v>
      </c>
      <c r="H292" s="243" t="s">
        <v>591</v>
      </c>
      <c r="I292" s="243" t="s">
        <v>592</v>
      </c>
      <c r="J292" s="243" t="s">
        <v>285</v>
      </c>
    </row>
    <row r="293" spans="3:10" x14ac:dyDescent="0.35">
      <c r="D293" s="240" t="s">
        <v>487</v>
      </c>
      <c r="E293" s="244">
        <f>('605'!C1807+'605'!C1796)/1000</f>
        <v>25.335930000000001</v>
      </c>
      <c r="F293" s="244">
        <f>('605'!C1880+'605'!C1869)/1000</f>
        <v>-3.6364099999999997</v>
      </c>
      <c r="G293" s="244">
        <f>('605'!C1661+'605'!C1650)/1000</f>
        <v>-3.5039300000000004</v>
      </c>
      <c r="H293" s="244">
        <f>('605'!C1515+'605'!C1504)/1000</f>
        <v>2.7583299999999999</v>
      </c>
      <c r="I293" s="244">
        <f>('605'!C1442+'605'!C1431)/1000-SUM(E293:H293)</f>
        <v>23.45072</v>
      </c>
      <c r="J293" s="244">
        <f>SUM(E293,F293,G293,H293,I293)</f>
        <v>44.404640000000001</v>
      </c>
    </row>
    <row r="294" spans="3:10" x14ac:dyDescent="0.35">
      <c r="D294" s="241"/>
      <c r="E294" s="245"/>
      <c r="F294" s="245"/>
      <c r="G294" s="245"/>
      <c r="H294" s="245"/>
      <c r="I294" s="245"/>
      <c r="J294" s="245"/>
    </row>
    <row r="295" spans="3:10" x14ac:dyDescent="0.35">
      <c r="D295" s="240" t="s">
        <v>574</v>
      </c>
      <c r="E295" s="245"/>
      <c r="F295" s="245"/>
      <c r="G295" s="245"/>
      <c r="H295" s="245"/>
      <c r="I295" s="245"/>
      <c r="J295" s="245"/>
    </row>
    <row r="296" spans="3:10" x14ac:dyDescent="0.35">
      <c r="D296" s="241" t="s">
        <v>341</v>
      </c>
      <c r="E296" s="246">
        <f>'605'!$C$1810/1000</f>
        <v>0</v>
      </c>
      <c r="F296" s="246">
        <f>'605'!$C$1883/1000</f>
        <v>0</v>
      </c>
      <c r="G296" s="246">
        <f>'605'!$C$1664/1000</f>
        <v>0</v>
      </c>
      <c r="H296" s="246">
        <f>'605'!$C$1518/1000</f>
        <v>0</v>
      </c>
      <c r="I296" s="246">
        <f>'605'!$C$1445/1000-SUM(E296:H296)</f>
        <v>-9.35</v>
      </c>
      <c r="J296" s="246">
        <f>SUM(E296,F296,G296,H296,I296)</f>
        <v>-9.35</v>
      </c>
    </row>
    <row r="297" spans="3:10" x14ac:dyDescent="0.35">
      <c r="D297" s="241" t="s">
        <v>342</v>
      </c>
      <c r="E297" s="247">
        <f>('605'!C1811+'605'!C1812)/1000</f>
        <v>-20</v>
      </c>
      <c r="F297" s="247">
        <f>('605'!C1884+'605'!C1885)/1000</f>
        <v>-864.19176000000004</v>
      </c>
      <c r="G297" s="247">
        <f>('605'!C1665+'605'!C1666)/1000</f>
        <v>-756.70558999999992</v>
      </c>
      <c r="H297" s="247">
        <f>('605'!C1519+'605'!C1520)/1000</f>
        <v>0</v>
      </c>
      <c r="I297" s="247">
        <f>('605'!C1446+'605'!C1447)/1000-SUM(E297:H297)</f>
        <v>10.999999999999773</v>
      </c>
      <c r="J297" s="247">
        <f t="shared" ref="J297:J302" si="58">SUM(E297,F297,G297,H297,I297)</f>
        <v>-1629.8973500000002</v>
      </c>
    </row>
    <row r="298" spans="3:10" x14ac:dyDescent="0.35">
      <c r="D298" s="241" t="s">
        <v>343</v>
      </c>
      <c r="E298" s="247">
        <f>'605'!$C$1813/1000</f>
        <v>0</v>
      </c>
      <c r="F298" s="247">
        <f>'605'!$C$1886/1000</f>
        <v>0</v>
      </c>
      <c r="G298" s="247">
        <f>'605'!$C$1667/1000</f>
        <v>0</v>
      </c>
      <c r="H298" s="247">
        <f>'605'!$C$1521/1000</f>
        <v>0</v>
      </c>
      <c r="I298" s="247">
        <f>'605'!$C$1448/1000-SUM(E298:H298)</f>
        <v>0</v>
      </c>
      <c r="J298" s="247">
        <f t="shared" si="58"/>
        <v>0</v>
      </c>
    </row>
    <row r="299" spans="3:10" x14ac:dyDescent="0.35">
      <c r="D299" s="241" t="s">
        <v>344</v>
      </c>
      <c r="E299" s="247">
        <f>'605'!$C$1815/1000</f>
        <v>0</v>
      </c>
      <c r="F299" s="247">
        <f>'605'!$C$1888/1000</f>
        <v>0</v>
      </c>
      <c r="G299" s="247">
        <f>'605'!$C$1669/1000</f>
        <v>0</v>
      </c>
      <c r="H299" s="247">
        <f>'605'!$C$1523/1000</f>
        <v>0</v>
      </c>
      <c r="I299" s="247">
        <f>'605'!$C$1450/1000-SUM(E299:H299)</f>
        <v>6.1520000000000001</v>
      </c>
      <c r="J299" s="247">
        <f t="shared" si="58"/>
        <v>6.1520000000000001</v>
      </c>
    </row>
    <row r="300" spans="3:10" x14ac:dyDescent="0.35">
      <c r="D300" s="241" t="s">
        <v>367</v>
      </c>
      <c r="E300" s="247">
        <f>'605'!$C$1816/1000</f>
        <v>-1.0058</v>
      </c>
      <c r="F300" s="247">
        <f>'605'!$C$1889/1000</f>
        <v>7.6</v>
      </c>
      <c r="G300" s="247">
        <f>'605'!$C$1670/1000</f>
        <v>0</v>
      </c>
      <c r="H300" s="247">
        <f>'605'!$C$1524/1000</f>
        <v>0</v>
      </c>
      <c r="I300" s="247">
        <f>'605'!$C$1451/1000-SUM(E300:H300)</f>
        <v>4.8980000000000006</v>
      </c>
      <c r="J300" s="247">
        <f t="shared" si="58"/>
        <v>11.4922</v>
      </c>
    </row>
    <row r="301" spans="3:10" x14ac:dyDescent="0.35">
      <c r="D301" s="241" t="s">
        <v>492</v>
      </c>
      <c r="E301" s="247">
        <f>('605'!C1817+'605'!C1818+'605'!C1820)/1000</f>
        <v>0</v>
      </c>
      <c r="F301" s="247">
        <f>('605'!C1890+'605'!C1891+'605'!C1893)/1000</f>
        <v>0</v>
      </c>
      <c r="G301" s="247">
        <f>('605'!C1671+'605'!C1672+'605'!C1674)/1000</f>
        <v>0</v>
      </c>
      <c r="H301" s="247">
        <f>('605'!C1525+'605'!C1526+'605'!C1528)/1000</f>
        <v>0</v>
      </c>
      <c r="I301" s="247">
        <f>('605'!C1452+'605'!C1453+'605'!C1455)/1000-SUM(E301:H301)</f>
        <v>10.98166</v>
      </c>
      <c r="J301" s="247">
        <f t="shared" si="58"/>
        <v>10.98166</v>
      </c>
    </row>
    <row r="302" spans="3:10" x14ac:dyDescent="0.35">
      <c r="D302" s="241" t="s">
        <v>493</v>
      </c>
      <c r="E302" s="247">
        <f>('605'!C1819+'605'!C1821)/1000</f>
        <v>-9.3299999999999998E-3</v>
      </c>
      <c r="F302" s="247">
        <f>('605'!C1892+'605'!C1894)/1000</f>
        <v>0</v>
      </c>
      <c r="G302" s="247">
        <f>('605'!C1673+'605'!C1675)/1000</f>
        <v>4.1063700000000001</v>
      </c>
      <c r="H302" s="247">
        <f>('605'!C1527+'605'!C1529)/1000</f>
        <v>0</v>
      </c>
      <c r="I302" s="247">
        <f>('605'!C1454+'605'!C1456)/1000-SUM(E302:H302)</f>
        <v>-4.0970399999999998</v>
      </c>
      <c r="J302" s="247">
        <f t="shared" si="58"/>
        <v>0</v>
      </c>
    </row>
    <row r="303" spans="3:10" x14ac:dyDescent="0.35">
      <c r="D303" s="240" t="s">
        <v>574</v>
      </c>
      <c r="E303" s="244">
        <f t="shared" ref="E303:J303" si="59">SUM(E296:E302)</f>
        <v>-21.015129999999999</v>
      </c>
      <c r="F303" s="244">
        <f t="shared" si="59"/>
        <v>-856.59176000000002</v>
      </c>
      <c r="G303" s="244">
        <f t="shared" si="59"/>
        <v>-752.59921999999995</v>
      </c>
      <c r="H303" s="244">
        <f t="shared" si="59"/>
        <v>0</v>
      </c>
      <c r="I303" s="244">
        <f t="shared" si="59"/>
        <v>19.584619999999774</v>
      </c>
      <c r="J303" s="244">
        <f t="shared" si="59"/>
        <v>-1610.6214900000002</v>
      </c>
    </row>
    <row r="304" spans="3:10" x14ac:dyDescent="0.35">
      <c r="D304" s="241"/>
      <c r="E304" s="248"/>
      <c r="F304" s="248"/>
      <c r="G304" s="248"/>
      <c r="H304" s="248"/>
      <c r="I304" s="248"/>
      <c r="J304" s="248"/>
    </row>
    <row r="305" spans="4:10" x14ac:dyDescent="0.35">
      <c r="D305" s="240" t="s">
        <v>497</v>
      </c>
      <c r="E305" s="245"/>
      <c r="F305" s="245"/>
      <c r="G305" s="245"/>
      <c r="H305" s="245"/>
      <c r="I305" s="245"/>
      <c r="J305" s="245"/>
    </row>
    <row r="306" spans="4:10" x14ac:dyDescent="0.35">
      <c r="D306" s="241" t="s">
        <v>498</v>
      </c>
      <c r="E306" s="246">
        <f>'605'!$C$1824/1000</f>
        <v>-0.84255999999999998</v>
      </c>
      <c r="F306" s="246">
        <f>'605'!$C$1897/1000</f>
        <v>861.05674999999997</v>
      </c>
      <c r="G306" s="246">
        <f>'605'!$C$1678/1000</f>
        <v>752.70558999999992</v>
      </c>
      <c r="H306" s="246">
        <f>'605'!$C$1532/1000</f>
        <v>-2.0062600000000002</v>
      </c>
      <c r="I306" s="246">
        <f>'605'!$C$1459/1000-SUM(E306:H306)</f>
        <v>-25.513809999999694</v>
      </c>
      <c r="J306" s="246">
        <f t="shared" ref="J306:J311" si="60">SUM(E306,F306,G306,H306,I306)</f>
        <v>1585.3997099999999</v>
      </c>
    </row>
    <row r="307" spans="4:10" x14ac:dyDescent="0.35">
      <c r="D307" s="241" t="s">
        <v>499</v>
      </c>
      <c r="E307" s="247">
        <f>'605'!$C$1825/1000</f>
        <v>0</v>
      </c>
      <c r="F307" s="247">
        <f>'605'!$C$1898/1000</f>
        <v>0</v>
      </c>
      <c r="G307" s="247">
        <f>'605'!$C$1679/1000</f>
        <v>0</v>
      </c>
      <c r="H307" s="247">
        <f>'605'!$C$1533/1000</f>
        <v>0</v>
      </c>
      <c r="I307" s="247">
        <f>'605'!$C$1460/1000-SUM(E307:H307)</f>
        <v>0</v>
      </c>
      <c r="J307" s="247">
        <f t="shared" si="60"/>
        <v>0</v>
      </c>
    </row>
    <row r="308" spans="4:10" x14ac:dyDescent="0.35">
      <c r="D308" s="241" t="s">
        <v>382</v>
      </c>
      <c r="E308" s="247">
        <f>'605'!$C$1826/1000</f>
        <v>0</v>
      </c>
      <c r="F308" s="247">
        <f>'605'!$C$1899/1000</f>
        <v>0</v>
      </c>
      <c r="G308" s="247">
        <f>'605'!$C$1680/1000</f>
        <v>0</v>
      </c>
      <c r="H308" s="247">
        <f>'605'!$C$1534/1000</f>
        <v>0</v>
      </c>
      <c r="I308" s="247">
        <f>'605'!$C$1461/1000-SUM(E308:H308)</f>
        <v>0</v>
      </c>
      <c r="J308" s="247">
        <f t="shared" si="60"/>
        <v>0</v>
      </c>
    </row>
    <row r="309" spans="4:10" x14ac:dyDescent="0.35">
      <c r="D309" s="241" t="s">
        <v>500</v>
      </c>
      <c r="E309" s="247">
        <f>'605'!$C$1827/1000</f>
        <v>0</v>
      </c>
      <c r="F309" s="247">
        <f>'605'!$C$1900/1000</f>
        <v>0</v>
      </c>
      <c r="G309" s="247">
        <f>'605'!$C$1681/1000</f>
        <v>0</v>
      </c>
      <c r="H309" s="247">
        <f>'605'!$C$1535/1000</f>
        <v>0</v>
      </c>
      <c r="I309" s="247">
        <f>'605'!$C$1462/1000-SUM(E309:H309)</f>
        <v>0</v>
      </c>
      <c r="J309" s="247">
        <f t="shared" si="60"/>
        <v>0</v>
      </c>
    </row>
    <row r="310" spans="4:10" x14ac:dyDescent="0.35">
      <c r="D310" s="241" t="s">
        <v>575</v>
      </c>
      <c r="E310" s="247">
        <f>('605'!C1828+'605'!C1829)/1000</f>
        <v>0</v>
      </c>
      <c r="F310" s="247">
        <f>('605'!C1901+'605'!C1902)/1000</f>
        <v>0</v>
      </c>
      <c r="G310" s="247">
        <f>('605'!C1682+'605'!C1683)/1000</f>
        <v>0</v>
      </c>
      <c r="H310" s="247">
        <f>('605'!C1536+'605'!C1537)/1000</f>
        <v>0</v>
      </c>
      <c r="I310" s="247">
        <f>('605'!C1463+'605'!C1464)/1000-SUM(E310:H310)</f>
        <v>0</v>
      </c>
      <c r="J310" s="247">
        <f t="shared" si="60"/>
        <v>0</v>
      </c>
    </row>
    <row r="311" spans="4:10" x14ac:dyDescent="0.35">
      <c r="D311" s="241" t="s">
        <v>503</v>
      </c>
      <c r="E311" s="247">
        <f>'605'!$C$1829/1000</f>
        <v>0</v>
      </c>
      <c r="F311" s="247">
        <f>'605'!$C$1903/1000</f>
        <v>0</v>
      </c>
      <c r="G311" s="247">
        <f>'605'!$C$1684/1000</f>
        <v>0</v>
      </c>
      <c r="H311" s="250">
        <f>'605'!$C$1538/1000</f>
        <v>0</v>
      </c>
      <c r="I311" s="250">
        <f>'605'!$C$1465/1000-SUM(E311:H311)</f>
        <v>0</v>
      </c>
      <c r="J311" s="250">
        <f t="shared" si="60"/>
        <v>0</v>
      </c>
    </row>
    <row r="312" spans="4:10" x14ac:dyDescent="0.35">
      <c r="D312" s="240" t="s">
        <v>504</v>
      </c>
      <c r="E312" s="244">
        <f t="shared" ref="E312:J312" si="61">SUM(E306:E311)</f>
        <v>-0.84255999999999998</v>
      </c>
      <c r="F312" s="244">
        <f t="shared" si="61"/>
        <v>861.05674999999997</v>
      </c>
      <c r="G312" s="244">
        <f t="shared" si="61"/>
        <v>752.70558999999992</v>
      </c>
      <c r="H312" s="244">
        <f t="shared" si="61"/>
        <v>-2.0062600000000002</v>
      </c>
      <c r="I312" s="244">
        <f t="shared" si="61"/>
        <v>-25.513809999999694</v>
      </c>
      <c r="J312" s="244">
        <f t="shared" si="61"/>
        <v>1585.3997099999999</v>
      </c>
    </row>
    <row r="313" spans="4:10" x14ac:dyDescent="0.35">
      <c r="D313" s="240"/>
      <c r="E313" s="249"/>
      <c r="F313" s="249"/>
      <c r="G313" s="249"/>
      <c r="H313" s="248"/>
      <c r="I313" s="248"/>
      <c r="J313" s="248"/>
    </row>
    <row r="314" spans="4:10" x14ac:dyDescent="0.35">
      <c r="D314" s="240" t="s">
        <v>505</v>
      </c>
      <c r="E314" s="245"/>
      <c r="F314" s="245"/>
      <c r="G314" s="245"/>
      <c r="H314" s="245"/>
      <c r="I314" s="245"/>
      <c r="J314" s="245"/>
    </row>
    <row r="315" spans="4:10" x14ac:dyDescent="0.35">
      <c r="D315" s="241" t="s">
        <v>349</v>
      </c>
      <c r="E315" s="246">
        <f>'605'!$C$1833/1000</f>
        <v>0</v>
      </c>
      <c r="F315" s="246">
        <f>'605'!$C$1906/1000</f>
        <v>0</v>
      </c>
      <c r="G315" s="246">
        <f>'605'!$C$1687/1000</f>
        <v>0</v>
      </c>
      <c r="H315" s="246">
        <f>'605'!$C$1541/1000</f>
        <v>0</v>
      </c>
      <c r="I315" s="246">
        <f>'605'!$C$1468/1000-SUM(E315:H315)</f>
        <v>-4.05</v>
      </c>
      <c r="J315" s="246">
        <f t="shared" ref="J315:J327" si="62">SUM(E315,F315,G315,H315,I315)</f>
        <v>-4.05</v>
      </c>
    </row>
    <row r="316" spans="4:10" x14ac:dyDescent="0.35">
      <c r="D316" s="241" t="s">
        <v>353</v>
      </c>
      <c r="E316" s="247">
        <f>'605'!$C$1835/1000</f>
        <v>0</v>
      </c>
      <c r="F316" s="247">
        <f>'605'!$C$1908/1000</f>
        <v>0</v>
      </c>
      <c r="G316" s="247">
        <f>'605'!$C$1689/1000</f>
        <v>0</v>
      </c>
      <c r="H316" s="247">
        <f>'605'!$C$1543/1000</f>
        <v>0</v>
      </c>
      <c r="I316" s="247">
        <f>'605'!$C$1470/1000-SUM(E316:H316)</f>
        <v>0</v>
      </c>
      <c r="J316" s="247">
        <f t="shared" si="62"/>
        <v>0</v>
      </c>
    </row>
    <row r="317" spans="4:10" x14ac:dyDescent="0.35">
      <c r="D317" s="241" t="s">
        <v>352</v>
      </c>
      <c r="E317" s="247">
        <f>'605'!$C$1837/1000</f>
        <v>0</v>
      </c>
      <c r="F317" s="247">
        <f>'605'!$C$1910/1000</f>
        <v>0</v>
      </c>
      <c r="G317" s="247">
        <f>'605'!$C$1691/1000</f>
        <v>0</v>
      </c>
      <c r="H317" s="247">
        <f>'605'!$C$1545/1000</f>
        <v>0</v>
      </c>
      <c r="I317" s="247">
        <f>'605'!$C$1472/1000-SUM(E317:H317)</f>
        <v>0</v>
      </c>
      <c r="J317" s="247">
        <f t="shared" si="62"/>
        <v>0</v>
      </c>
    </row>
    <row r="318" spans="4:10" x14ac:dyDescent="0.35">
      <c r="D318" s="241" t="s">
        <v>351</v>
      </c>
      <c r="E318" s="247">
        <f>'605'!$C$1839/1000</f>
        <v>0</v>
      </c>
      <c r="F318" s="247">
        <f>'605'!$C$1912/1000</f>
        <v>0</v>
      </c>
      <c r="G318" s="247">
        <f>'605'!$C$1693/1000</f>
        <v>0</v>
      </c>
      <c r="H318" s="247">
        <f>'605'!$C$1547/1000</f>
        <v>0</v>
      </c>
      <c r="I318" s="247">
        <f>'605'!$C$1474/1000-SUM(E318:H318)</f>
        <v>0</v>
      </c>
      <c r="J318" s="247">
        <f t="shared" si="62"/>
        <v>0</v>
      </c>
    </row>
    <row r="319" spans="4:10" x14ac:dyDescent="0.35">
      <c r="D319" s="241" t="s">
        <v>510</v>
      </c>
      <c r="E319" s="247">
        <f>'605'!$C$1841/1000</f>
        <v>0</v>
      </c>
      <c r="F319" s="247">
        <f>'605'!$C$1914/1000</f>
        <v>0</v>
      </c>
      <c r="G319" s="247">
        <f>'605'!$C$1695/1000</f>
        <v>0</v>
      </c>
      <c r="H319" s="247">
        <f>'605'!$C$1549/1000</f>
        <v>0</v>
      </c>
      <c r="I319" s="247">
        <f>'605'!$C$1476/1000-SUM(E319:H319)</f>
        <v>0</v>
      </c>
      <c r="J319" s="247">
        <f t="shared" si="62"/>
        <v>0</v>
      </c>
    </row>
    <row r="320" spans="4:10" x14ac:dyDescent="0.35">
      <c r="D320" s="241" t="s">
        <v>576</v>
      </c>
      <c r="E320" s="247">
        <f>'605'!$C$1843/1000</f>
        <v>0</v>
      </c>
      <c r="F320" s="247">
        <f>'605'!$C$1916/1000</f>
        <v>0</v>
      </c>
      <c r="G320" s="247">
        <f>'605'!$C$1697/1000</f>
        <v>0</v>
      </c>
      <c r="H320" s="247">
        <f>'605'!$C$1551/1000</f>
        <v>0</v>
      </c>
      <c r="I320" s="247">
        <f>'605'!$C$1478/1000-SUM(E320:H320)</f>
        <v>0</v>
      </c>
      <c r="J320" s="247">
        <f t="shared" si="62"/>
        <v>0</v>
      </c>
    </row>
    <row r="321" spans="4:10" x14ac:dyDescent="0.35">
      <c r="D321" s="241" t="s">
        <v>577</v>
      </c>
      <c r="E321" s="247">
        <f>'605'!$C$1845/1000</f>
        <v>0</v>
      </c>
      <c r="F321" s="247">
        <f>'605'!$C$1918/1000</f>
        <v>0</v>
      </c>
      <c r="G321" s="247">
        <f>'605'!$C$1699/1000</f>
        <v>0</v>
      </c>
      <c r="H321" s="247">
        <f>'605'!$C$1553/1000</f>
        <v>0</v>
      </c>
      <c r="I321" s="247">
        <f>'605'!$C$1480/1000-SUM(E321:H321)</f>
        <v>0</v>
      </c>
      <c r="J321" s="247">
        <f t="shared" si="62"/>
        <v>0</v>
      </c>
    </row>
    <row r="322" spans="4:10" x14ac:dyDescent="0.35">
      <c r="D322" s="241" t="s">
        <v>578</v>
      </c>
      <c r="E322" s="247">
        <f>'605'!$C$1847/1000</f>
        <v>0</v>
      </c>
      <c r="F322" s="247">
        <f>'605'!$C$1920/1000</f>
        <v>0</v>
      </c>
      <c r="G322" s="247">
        <f>'605'!$C$1701/1000</f>
        <v>0</v>
      </c>
      <c r="H322" s="247">
        <f>'605'!$C$1555/1000</f>
        <v>0</v>
      </c>
      <c r="I322" s="247">
        <f>'605'!$C$1482/1000-SUM(E322:H322)</f>
        <v>0</v>
      </c>
      <c r="J322" s="247">
        <f t="shared" si="62"/>
        <v>0</v>
      </c>
    </row>
    <row r="323" spans="4:10" x14ac:dyDescent="0.35">
      <c r="D323" s="241" t="s">
        <v>518</v>
      </c>
      <c r="E323" s="247">
        <f>'605'!$C$1849/1000</f>
        <v>0</v>
      </c>
      <c r="F323" s="247">
        <f>'605'!$C$1922/1000</f>
        <v>0</v>
      </c>
      <c r="G323" s="247">
        <f>'605'!$C$1703/1000</f>
        <v>0</v>
      </c>
      <c r="H323" s="247">
        <f>'605'!$C$1557/1000</f>
        <v>0</v>
      </c>
      <c r="I323" s="247">
        <f>'605'!$C$1484/1000-SUM(E323:H323)</f>
        <v>0</v>
      </c>
      <c r="J323" s="247">
        <f t="shared" si="62"/>
        <v>0</v>
      </c>
    </row>
    <row r="324" spans="4:10" x14ac:dyDescent="0.35">
      <c r="D324" s="241" t="s">
        <v>520</v>
      </c>
      <c r="E324" s="247">
        <f>'605'!$C$1851/1000</f>
        <v>0</v>
      </c>
      <c r="F324" s="247">
        <f>'605'!$C$1924/1000</f>
        <v>0</v>
      </c>
      <c r="G324" s="247">
        <f>'605'!$C$1705/1000</f>
        <v>0</v>
      </c>
      <c r="H324" s="247">
        <f>'605'!$C$1559/1000</f>
        <v>0</v>
      </c>
      <c r="I324" s="247">
        <f>'605'!$C$1486/1000-SUM(E324:H324)</f>
        <v>0</v>
      </c>
      <c r="J324" s="247">
        <f t="shared" si="62"/>
        <v>0</v>
      </c>
    </row>
    <row r="325" spans="4:10" x14ac:dyDescent="0.35">
      <c r="D325" s="241" t="s">
        <v>522</v>
      </c>
      <c r="E325" s="247">
        <f>'605'!$C$1854/1000</f>
        <v>0</v>
      </c>
      <c r="F325" s="247">
        <f>'605'!$C$1927/1000</f>
        <v>0</v>
      </c>
      <c r="G325" s="247">
        <f>'605'!$C$1708/1000</f>
        <v>0</v>
      </c>
      <c r="H325" s="247">
        <f>'605'!$C$1562/1000</f>
        <v>0</v>
      </c>
      <c r="I325" s="247">
        <f>'605'!$C$1489/1000-SUM(E325:H325)</f>
        <v>0</v>
      </c>
      <c r="J325" s="247">
        <f t="shared" si="62"/>
        <v>0</v>
      </c>
    </row>
    <row r="326" spans="4:10" x14ac:dyDescent="0.35">
      <c r="D326" s="241" t="s">
        <v>523</v>
      </c>
      <c r="E326" s="247">
        <f>'605'!$C$1855/1000</f>
        <v>0</v>
      </c>
      <c r="F326" s="247">
        <f>'605'!$C$1928/1000</f>
        <v>0</v>
      </c>
      <c r="G326" s="247">
        <f>'605'!$C$1709/1000</f>
        <v>0</v>
      </c>
      <c r="H326" s="247">
        <f>'605'!$C$1563/1000</f>
        <v>0</v>
      </c>
      <c r="I326" s="247">
        <f>'605'!$C$1490/1000-SUM(E326:H326)</f>
        <v>0</v>
      </c>
      <c r="J326" s="247">
        <f t="shared" si="62"/>
        <v>0</v>
      </c>
    </row>
    <row r="327" spans="4:10" x14ac:dyDescent="0.35">
      <c r="D327" s="241" t="s">
        <v>10</v>
      </c>
      <c r="E327" s="250">
        <f>('605'!C1834+'605'!C1836+'605'!C1838+'605'!C1840+'605'!C1842+'605'!C1844+'605'!C1846+'605'!C1848+'605'!C1850+'605'!C1852-'605'!C1796)/1000</f>
        <v>0</v>
      </c>
      <c r="F327" s="250">
        <f>('605'!C1907+'605'!C1909+'605'!C1911+'605'!C1913+'605'!C1915+'605'!C1917+'605'!C1919+'605'!C1921+'605'!C1923+'605'!C1925-'605'!C1869)/1000</f>
        <v>0</v>
      </c>
      <c r="G327" s="250">
        <f>('605'!C1688+'605'!C1690+'605'!C1692+'605'!C1694+'605'!C1696+'605'!C1698+'605'!C1700+'605'!C1702+'605'!C1704+'605'!C1706-'605'!C1650)/1000</f>
        <v>0</v>
      </c>
      <c r="H327" s="250">
        <f>('605'!C1542+'605'!C1544+'605'!C1546+'605'!C1548+'605'!C1550+'605'!C1552+'605'!C1554+'605'!C1556+'605'!C1558+'605'!C1560-'605'!C1504)/1000</f>
        <v>0</v>
      </c>
      <c r="I327" s="250">
        <f>('605'!C1469+'605'!C1471+'605'!C1473+'605'!C1475+'605'!C1477+'605'!C1479+'605'!C1481+'605'!C1483+'605'!C1485+'605'!C1487-'605'!C1431)/1000-SUM(E327:H327)</f>
        <v>0</v>
      </c>
      <c r="J327" s="250">
        <f t="shared" si="62"/>
        <v>0</v>
      </c>
    </row>
    <row r="328" spans="4:10" x14ac:dyDescent="0.35">
      <c r="D328" s="240" t="s">
        <v>524</v>
      </c>
      <c r="E328" s="244">
        <f t="shared" ref="E328:J328" si="63">SUM(E315:E327)</f>
        <v>0</v>
      </c>
      <c r="F328" s="244">
        <f t="shared" si="63"/>
        <v>0</v>
      </c>
      <c r="G328" s="244">
        <f t="shared" si="63"/>
        <v>0</v>
      </c>
      <c r="H328" s="244">
        <f t="shared" si="63"/>
        <v>0</v>
      </c>
      <c r="I328" s="244">
        <f t="shared" si="63"/>
        <v>-4.05</v>
      </c>
      <c r="J328" s="244">
        <f t="shared" si="63"/>
        <v>-4.05</v>
      </c>
    </row>
    <row r="329" spans="4:10" x14ac:dyDescent="0.35">
      <c r="D329" s="241"/>
      <c r="E329" s="251"/>
      <c r="F329" s="251"/>
      <c r="G329" s="251"/>
      <c r="H329" s="254"/>
      <c r="I329" s="254"/>
      <c r="J329" s="254"/>
    </row>
    <row r="330" spans="4:10" x14ac:dyDescent="0.35">
      <c r="D330" s="240" t="s">
        <v>525</v>
      </c>
      <c r="E330" s="252">
        <f t="shared" ref="E330:J330" si="64">E293+E303+E312+E328</f>
        <v>3.4782400000000022</v>
      </c>
      <c r="F330" s="252">
        <f t="shared" si="64"/>
        <v>0.8285799999999881</v>
      </c>
      <c r="G330" s="252">
        <f t="shared" si="64"/>
        <v>-3.3975599999999986</v>
      </c>
      <c r="H330" s="244">
        <f t="shared" si="64"/>
        <v>0.75206999999999979</v>
      </c>
      <c r="I330" s="244">
        <f t="shared" si="64"/>
        <v>13.471530000000083</v>
      </c>
      <c r="J330" s="244">
        <f t="shared" si="64"/>
        <v>15.132859999999663</v>
      </c>
    </row>
    <row r="331" spans="4:10" x14ac:dyDescent="0.35">
      <c r="D331" s="242" t="s">
        <v>579</v>
      </c>
      <c r="E331" s="252">
        <f>'610'!$H$1516/1000</f>
        <v>0.34220999999999996</v>
      </c>
      <c r="F331" s="252">
        <f>'610'!$H$1570/1000</f>
        <v>10.998389999999999</v>
      </c>
      <c r="G331" s="252">
        <f>'610'!$H$1408/1000</f>
        <v>4.2463500000000005</v>
      </c>
      <c r="H331" s="244">
        <f>'610'!$H$1300/1000</f>
        <v>0.99792999999999998</v>
      </c>
      <c r="I331" s="244">
        <f>'610'!$H$1246/1000</f>
        <v>15.48451</v>
      </c>
      <c r="J331" s="244">
        <f>SUM(E331,F331,G331,H331,I331)</f>
        <v>32.069389999999999</v>
      </c>
    </row>
    <row r="332" spans="4:10" x14ac:dyDescent="0.35">
      <c r="D332" s="242" t="s">
        <v>580</v>
      </c>
      <c r="E332" s="252">
        <f t="shared" ref="E332:J332" si="65">E330+E331</f>
        <v>3.8204500000000023</v>
      </c>
      <c r="F332" s="252">
        <f t="shared" si="65"/>
        <v>11.826969999999987</v>
      </c>
      <c r="G332" s="252">
        <f t="shared" si="65"/>
        <v>0.84879000000000193</v>
      </c>
      <c r="H332" s="252">
        <f t="shared" si="65"/>
        <v>1.7499999999999998</v>
      </c>
      <c r="I332" s="252">
        <f t="shared" si="65"/>
        <v>28.956040000000083</v>
      </c>
      <c r="J332" s="252">
        <f t="shared" si="65"/>
        <v>47.202249999999665</v>
      </c>
    </row>
    <row r="334" spans="4:10" x14ac:dyDescent="0.35">
      <c r="H334" s="258"/>
      <c r="I334" s="258"/>
    </row>
    <row r="339" spans="4:10" x14ac:dyDescent="0.35">
      <c r="D339" s="255"/>
      <c r="E339" s="240" t="s">
        <v>581</v>
      </c>
      <c r="F339" s="241"/>
      <c r="G339" s="241"/>
      <c r="H339" s="241"/>
      <c r="I339" s="241"/>
    </row>
    <row r="340" spans="4:10" x14ac:dyDescent="0.35">
      <c r="D340" s="256" t="s">
        <v>582</v>
      </c>
      <c r="E340" s="243" t="s">
        <v>593</v>
      </c>
      <c r="F340" s="243" t="s">
        <v>590</v>
      </c>
      <c r="G340" s="243" t="s">
        <v>332</v>
      </c>
      <c r="H340" s="243" t="s">
        <v>591</v>
      </c>
      <c r="I340" s="243" t="s">
        <v>592</v>
      </c>
      <c r="J340" s="243" t="s">
        <v>285</v>
      </c>
    </row>
    <row r="341" spans="4:10" x14ac:dyDescent="0.35">
      <c r="D341" s="240" t="s">
        <v>487</v>
      </c>
      <c r="E341" s="244">
        <f>('605'!F1807+'605'!F1796)/1000</f>
        <v>207.78681</v>
      </c>
      <c r="F341" s="244">
        <f>('605'!F1880+'605'!F1869)/1000</f>
        <v>16.21133</v>
      </c>
      <c r="G341" s="244">
        <f>('605'!F1661+'605'!F1650)/1000</f>
        <v>212.30179999999999</v>
      </c>
      <c r="H341" s="244">
        <f>('605'!F1515+'605'!F1504)/1000</f>
        <v>23.716099999999997</v>
      </c>
      <c r="I341" s="244">
        <f>('605'!F1442+'605'!F1431)/1000-SUM(E341:H341)</f>
        <v>192.60599000000002</v>
      </c>
      <c r="J341" s="244">
        <f>SUM(E341,F341,G341,H341,I341)</f>
        <v>652.62203</v>
      </c>
    </row>
    <row r="342" spans="4:10" x14ac:dyDescent="0.35">
      <c r="D342" s="241"/>
      <c r="E342" s="245"/>
      <c r="F342" s="245"/>
      <c r="G342" s="245"/>
      <c r="H342" s="245"/>
      <c r="I342" s="245"/>
      <c r="J342" s="245"/>
    </row>
    <row r="343" spans="4:10" x14ac:dyDescent="0.35">
      <c r="D343" s="240" t="s">
        <v>574</v>
      </c>
      <c r="E343" s="245"/>
      <c r="F343" s="245"/>
      <c r="G343" s="245"/>
      <c r="H343" s="245"/>
      <c r="I343" s="245"/>
      <c r="J343" s="245"/>
    </row>
    <row r="344" spans="4:10" x14ac:dyDescent="0.35">
      <c r="D344" s="241" t="s">
        <v>341</v>
      </c>
      <c r="E344" s="246">
        <f>'605'!$F$1810/1000</f>
        <v>0</v>
      </c>
      <c r="F344" s="246">
        <f>'605'!$F$1883/1000</f>
        <v>0</v>
      </c>
      <c r="G344" s="246">
        <f>'605'!$F$1664/1000</f>
        <v>0</v>
      </c>
      <c r="H344" s="246">
        <f>'605'!$F$1518/1000</f>
        <v>0</v>
      </c>
      <c r="I344" s="246">
        <f>'605'!$F$1445/1000-SUM(E344:H344)</f>
        <v>-17.375810000000001</v>
      </c>
      <c r="J344" s="246">
        <f t="shared" ref="J344:J350" si="66">SUM(E344,F344,G344,H344,I344)</f>
        <v>-17.375810000000001</v>
      </c>
    </row>
    <row r="345" spans="4:10" x14ac:dyDescent="0.35">
      <c r="D345" s="241" t="s">
        <v>342</v>
      </c>
      <c r="E345" s="247">
        <f>('605'!F1811+'605'!F1812)/1000</f>
        <v>-153.75153</v>
      </c>
      <c r="F345" s="247">
        <f>('605'!F1884+'605'!F1885)/1000</f>
        <v>-902.19176000000004</v>
      </c>
      <c r="G345" s="247">
        <f>('605'!F1665+'605'!F1666)/1000</f>
        <v>-983.20558999999992</v>
      </c>
      <c r="H345" s="247">
        <f>('605'!F1519+'605'!F1520)/1000</f>
        <v>0</v>
      </c>
      <c r="I345" s="247">
        <f>('605'!F1446+'605'!F1447)/1000-SUM(E345:H345)</f>
        <v>263.77581000000009</v>
      </c>
      <c r="J345" s="247">
        <f t="shared" si="66"/>
        <v>-1775.3730700000001</v>
      </c>
    </row>
    <row r="346" spans="4:10" x14ac:dyDescent="0.35">
      <c r="D346" s="241" t="s">
        <v>343</v>
      </c>
      <c r="E346" s="247">
        <f>'605'!$F$1813/1000</f>
        <v>0</v>
      </c>
      <c r="F346" s="247">
        <f>'605'!$F$1886/1000</f>
        <v>0</v>
      </c>
      <c r="G346" s="247">
        <f>'605'!$F$1667/1000</f>
        <v>0</v>
      </c>
      <c r="H346" s="247">
        <f>'605'!$F$1521/1000</f>
        <v>0</v>
      </c>
      <c r="I346" s="247">
        <f>'605'!$F$1448/1000-SUM(E346:H346)</f>
        <v>0</v>
      </c>
      <c r="J346" s="247">
        <f t="shared" si="66"/>
        <v>0</v>
      </c>
    </row>
    <row r="347" spans="4:10" x14ac:dyDescent="0.35">
      <c r="D347" s="241" t="s">
        <v>344</v>
      </c>
      <c r="E347" s="247">
        <f>'605'!$F$1815/1000</f>
        <v>0</v>
      </c>
      <c r="F347" s="247">
        <f>'605'!$F$1888/1000</f>
        <v>0</v>
      </c>
      <c r="G347" s="247">
        <f>'605'!$F$1669/1000</f>
        <v>0</v>
      </c>
      <c r="H347" s="247">
        <f>'605'!$F$1523/1000</f>
        <v>0</v>
      </c>
      <c r="I347" s="247">
        <f>'605'!$F$1450/1000-SUM(E347:H347)</f>
        <v>0</v>
      </c>
      <c r="J347" s="247">
        <f t="shared" si="66"/>
        <v>0</v>
      </c>
    </row>
    <row r="348" spans="4:10" x14ac:dyDescent="0.35">
      <c r="D348" s="241" t="s">
        <v>367</v>
      </c>
      <c r="E348" s="247">
        <f>'605'!$F$1816/1000</f>
        <v>0</v>
      </c>
      <c r="F348" s="247">
        <f>'605'!$F$1889/1000</f>
        <v>7.6</v>
      </c>
      <c r="G348" s="247">
        <f>'605'!$F$1670/1000</f>
        <v>7.75</v>
      </c>
      <c r="H348" s="247">
        <f>'605'!$F$1524/1000</f>
        <v>0</v>
      </c>
      <c r="I348" s="247">
        <f>'605'!$F$1451/1000-SUM(E348:H348)</f>
        <v>3.8405400000000025</v>
      </c>
      <c r="J348" s="247">
        <f t="shared" si="66"/>
        <v>19.190540000000002</v>
      </c>
    </row>
    <row r="349" spans="4:10" x14ac:dyDescent="0.35">
      <c r="D349" s="241" t="s">
        <v>492</v>
      </c>
      <c r="E349" s="247">
        <f>('605'!F1817+'605'!F1818+'605'!F1820)/1000</f>
        <v>0</v>
      </c>
      <c r="F349" s="247">
        <f>('605'!F1890+'605'!F1891+'605'!F1893)/1000</f>
        <v>0</v>
      </c>
      <c r="G349" s="247">
        <f>('605'!F1671+'605'!F1672+'605'!F1674)/1000</f>
        <v>-2</v>
      </c>
      <c r="H349" s="247">
        <f>('605'!F1525+'605'!F1526+'605'!F1528)/1000</f>
        <v>320.55617000000001</v>
      </c>
      <c r="I349" s="247">
        <f>('605'!F1452+'605'!F1453+'605'!F1455)/1000-SUM(E349:H349)</f>
        <v>30.081209999999999</v>
      </c>
      <c r="J349" s="247">
        <f t="shared" si="66"/>
        <v>348.63738000000001</v>
      </c>
    </row>
    <row r="350" spans="4:10" x14ac:dyDescent="0.35">
      <c r="D350" s="241" t="s">
        <v>493</v>
      </c>
      <c r="E350" s="247">
        <f>('605'!F1819+'605'!F1821)/1000</f>
        <v>6.6748400000000006</v>
      </c>
      <c r="F350" s="247">
        <f>('605'!F1892+'605'!F1894)/1000</f>
        <v>0</v>
      </c>
      <c r="G350" s="247">
        <f>('605'!F1673+'605'!F1675)/1000</f>
        <v>4.2588100000000004</v>
      </c>
      <c r="H350" s="247">
        <f>('605'!F1527+'605'!F1529)/1000</f>
        <v>0</v>
      </c>
      <c r="I350" s="247">
        <f>('605'!F1454+'605'!F1456)/1000-SUM(E350:H350)</f>
        <v>-10.93365</v>
      </c>
      <c r="J350" s="247">
        <f t="shared" si="66"/>
        <v>0</v>
      </c>
    </row>
    <row r="351" spans="4:10" x14ac:dyDescent="0.35">
      <c r="D351" s="240" t="s">
        <v>574</v>
      </c>
      <c r="E351" s="244">
        <f t="shared" ref="E351:J351" si="67">SUM(E344:E350)</f>
        <v>-147.07669000000001</v>
      </c>
      <c r="F351" s="244">
        <f t="shared" si="67"/>
        <v>-894.59176000000002</v>
      </c>
      <c r="G351" s="244">
        <f t="shared" si="67"/>
        <v>-973.19677999999988</v>
      </c>
      <c r="H351" s="244">
        <f t="shared" si="67"/>
        <v>320.55617000000001</v>
      </c>
      <c r="I351" s="244">
        <f t="shared" si="67"/>
        <v>269.38810000000007</v>
      </c>
      <c r="J351" s="244">
        <f t="shared" si="67"/>
        <v>-1424.9209599999999</v>
      </c>
    </row>
    <row r="352" spans="4:10" x14ac:dyDescent="0.35">
      <c r="D352" s="241"/>
      <c r="E352" s="248"/>
      <c r="F352" s="248"/>
      <c r="G352" s="248"/>
      <c r="H352" s="248"/>
      <c r="I352" s="248"/>
      <c r="J352" s="248"/>
    </row>
    <row r="353" spans="4:10" x14ac:dyDescent="0.35">
      <c r="D353" s="240" t="s">
        <v>497</v>
      </c>
      <c r="E353" s="245"/>
      <c r="F353" s="245"/>
      <c r="G353" s="245"/>
      <c r="H353" s="245"/>
      <c r="I353" s="245"/>
      <c r="J353" s="245"/>
    </row>
    <row r="354" spans="4:10" x14ac:dyDescent="0.35">
      <c r="D354" s="241" t="s">
        <v>498</v>
      </c>
      <c r="E354" s="246">
        <f>'605'!$F$1824/1000</f>
        <v>388.87374999999997</v>
      </c>
      <c r="F354" s="246">
        <f>'605'!$F$1897/1000</f>
        <v>861.05674999999997</v>
      </c>
      <c r="G354" s="246">
        <f>'605'!$F$1678/1000</f>
        <v>752.70558999999992</v>
      </c>
      <c r="H354" s="246">
        <f>'605'!$F$1532/1000</f>
        <v>-341.36339000000004</v>
      </c>
      <c r="I354" s="246">
        <f>'605'!$F$1459/1000-SUM(E354:H354)</f>
        <v>-431.6558100000002</v>
      </c>
      <c r="J354" s="246">
        <f t="shared" ref="J354:J359" si="68">SUM(E354,F354,G354,H354,I354)</f>
        <v>1229.6168899999998</v>
      </c>
    </row>
    <row r="355" spans="4:10" x14ac:dyDescent="0.35">
      <c r="D355" s="241" t="s">
        <v>499</v>
      </c>
      <c r="E355" s="247">
        <f>'605'!$F$1825/1000</f>
        <v>0</v>
      </c>
      <c r="F355" s="247">
        <f>'605'!$F$1898/1000</f>
        <v>0</v>
      </c>
      <c r="G355" s="247">
        <f>'605'!$F$1679/1000</f>
        <v>0</v>
      </c>
      <c r="H355" s="247">
        <f>'605'!$F$1533/1000</f>
        <v>0</v>
      </c>
      <c r="I355" s="247">
        <f>'605'!$F$1460/1000-SUM(E355:H355)</f>
        <v>0</v>
      </c>
      <c r="J355" s="247">
        <f t="shared" si="68"/>
        <v>0</v>
      </c>
    </row>
    <row r="356" spans="4:10" x14ac:dyDescent="0.35">
      <c r="D356" s="241" t="s">
        <v>382</v>
      </c>
      <c r="E356" s="247">
        <f>'605'!$F$1826/1000</f>
        <v>0</v>
      </c>
      <c r="F356" s="247">
        <f>'605'!$F$1899/1000</f>
        <v>0</v>
      </c>
      <c r="G356" s="247">
        <f>'605'!$F$1680/1000</f>
        <v>0</v>
      </c>
      <c r="H356" s="247">
        <f>'605'!$F$1534/1000</f>
        <v>0</v>
      </c>
      <c r="I356" s="247">
        <f>'605'!$F$1461/1000-SUM(E356:H356)</f>
        <v>-30.017310000000002</v>
      </c>
      <c r="J356" s="247">
        <f t="shared" si="68"/>
        <v>-30.017310000000002</v>
      </c>
    </row>
    <row r="357" spans="4:10" x14ac:dyDescent="0.35">
      <c r="D357" s="241" t="s">
        <v>500</v>
      </c>
      <c r="E357" s="247">
        <f>'605'!$F$1827/1000</f>
        <v>-30.017310000000002</v>
      </c>
      <c r="F357" s="247">
        <f>'605'!$F$1900/1000</f>
        <v>0</v>
      </c>
      <c r="G357" s="247">
        <f>'605'!$F$1681/1000</f>
        <v>0</v>
      </c>
      <c r="H357" s="247">
        <f>'605'!$F$1535/1000</f>
        <v>0</v>
      </c>
      <c r="I357" s="247">
        <f>'605'!$F$1462/1000-SUM(E357:H357)</f>
        <v>30.017310000000002</v>
      </c>
      <c r="J357" s="247">
        <f t="shared" si="68"/>
        <v>0</v>
      </c>
    </row>
    <row r="358" spans="4:10" x14ac:dyDescent="0.35">
      <c r="D358" s="241" t="s">
        <v>575</v>
      </c>
      <c r="E358" s="247">
        <f>('605'!F1828+'605'!F1829)/1000</f>
        <v>0</v>
      </c>
      <c r="F358" s="247">
        <f>('605'!F1901+'605'!F1902)/1000</f>
        <v>0</v>
      </c>
      <c r="G358" s="247">
        <f>('605'!F1682+'605'!F1683)/1000</f>
        <v>0</v>
      </c>
      <c r="H358" s="247">
        <f>('605'!F1536+'605'!F1537)/1000</f>
        <v>0</v>
      </c>
      <c r="I358" s="247">
        <f>('605'!F1463+'605'!F1464)/1000-SUM(E358:H358)</f>
        <v>0</v>
      </c>
      <c r="J358" s="247">
        <f t="shared" si="68"/>
        <v>0</v>
      </c>
    </row>
    <row r="359" spans="4:10" x14ac:dyDescent="0.35">
      <c r="D359" s="241" t="s">
        <v>503</v>
      </c>
      <c r="E359" s="247">
        <f>'605'!$F$1829/1000</f>
        <v>0</v>
      </c>
      <c r="F359" s="247">
        <f>'605'!$F$1903/1000</f>
        <v>0</v>
      </c>
      <c r="G359" s="247">
        <f>'605'!$F$1684/1000</f>
        <v>0</v>
      </c>
      <c r="H359" s="250">
        <f>'605'!$F$1538/1000</f>
        <v>-1.75177</v>
      </c>
      <c r="I359" s="250">
        <f>'605'!$F$1465/1000-SUM(E359:H359)</f>
        <v>0</v>
      </c>
      <c r="J359" s="250">
        <f t="shared" si="68"/>
        <v>-1.75177</v>
      </c>
    </row>
    <row r="360" spans="4:10" x14ac:dyDescent="0.35">
      <c r="D360" s="240" t="s">
        <v>504</v>
      </c>
      <c r="E360" s="244">
        <f t="shared" ref="E360:J360" si="69">SUM(E354:E359)</f>
        <v>358.85643999999996</v>
      </c>
      <c r="F360" s="244">
        <f t="shared" si="69"/>
        <v>861.05674999999997</v>
      </c>
      <c r="G360" s="244">
        <f t="shared" si="69"/>
        <v>752.70558999999992</v>
      </c>
      <c r="H360" s="244">
        <f t="shared" si="69"/>
        <v>-343.11516000000006</v>
      </c>
      <c r="I360" s="244">
        <f t="shared" si="69"/>
        <v>-431.6558100000002</v>
      </c>
      <c r="J360" s="244">
        <f t="shared" si="69"/>
        <v>1197.8478099999998</v>
      </c>
    </row>
    <row r="361" spans="4:10" x14ac:dyDescent="0.35">
      <c r="D361" s="240"/>
      <c r="E361" s="249"/>
      <c r="F361" s="249"/>
      <c r="G361" s="249"/>
      <c r="H361" s="248"/>
      <c r="I361" s="248"/>
      <c r="J361" s="248"/>
    </row>
    <row r="362" spans="4:10" x14ac:dyDescent="0.35">
      <c r="D362" s="240" t="s">
        <v>505</v>
      </c>
      <c r="E362" s="245"/>
      <c r="F362" s="245"/>
      <c r="G362" s="245"/>
      <c r="H362" s="245"/>
      <c r="I362" s="245"/>
      <c r="J362" s="245"/>
    </row>
    <row r="363" spans="4:10" x14ac:dyDescent="0.35">
      <c r="D363" s="241" t="s">
        <v>349</v>
      </c>
      <c r="E363" s="246">
        <f>'605'!$F$1833/1000</f>
        <v>-439.42367999999999</v>
      </c>
      <c r="F363" s="246">
        <f>'605'!$F$1906/1000</f>
        <v>0</v>
      </c>
      <c r="G363" s="246">
        <f>'605'!$F$1687/1000</f>
        <v>0</v>
      </c>
      <c r="H363" s="246">
        <f>'605'!$F$1541/1000</f>
        <v>0</v>
      </c>
      <c r="I363" s="246">
        <f>'605'!$F$1468/1000-SUM(E363:H363)</f>
        <v>-27.474750000000029</v>
      </c>
      <c r="J363" s="246">
        <f t="shared" ref="J363:J375" si="70">SUM(E363,F363,G363,H363,I363)</f>
        <v>-466.89843000000002</v>
      </c>
    </row>
    <row r="364" spans="4:10" x14ac:dyDescent="0.35">
      <c r="D364" s="241" t="s">
        <v>353</v>
      </c>
      <c r="E364" s="247">
        <f>'605'!$F$1835/1000</f>
        <v>0</v>
      </c>
      <c r="F364" s="247">
        <f>'605'!$F$1908/1000</f>
        <v>0</v>
      </c>
      <c r="G364" s="247">
        <f>'605'!$F$1689/1000</f>
        <v>0</v>
      </c>
      <c r="H364" s="247">
        <f>'605'!$F$1543/1000</f>
        <v>0</v>
      </c>
      <c r="I364" s="247">
        <f>'605'!$F$1470/1000-SUM(E364:H364)</f>
        <v>-1.5</v>
      </c>
      <c r="J364" s="247">
        <f t="shared" si="70"/>
        <v>-1.5</v>
      </c>
    </row>
    <row r="365" spans="4:10" x14ac:dyDescent="0.35">
      <c r="D365" s="241" t="s">
        <v>352</v>
      </c>
      <c r="E365" s="247">
        <f>'605'!$F$1837/1000</f>
        <v>0</v>
      </c>
      <c r="F365" s="247">
        <f>'605'!$F$1910/1000</f>
        <v>0</v>
      </c>
      <c r="G365" s="247">
        <f>'605'!$F$1691/1000</f>
        <v>0</v>
      </c>
      <c r="H365" s="247">
        <f>'605'!$F$1545/1000</f>
        <v>0</v>
      </c>
      <c r="I365" s="247">
        <f>'605'!$F$1472/1000-SUM(E365:H365)</f>
        <v>0</v>
      </c>
      <c r="J365" s="247">
        <f t="shared" si="70"/>
        <v>0</v>
      </c>
    </row>
    <row r="366" spans="4:10" x14ac:dyDescent="0.35">
      <c r="D366" s="241" t="s">
        <v>351</v>
      </c>
      <c r="E366" s="247">
        <f>'605'!$F$1839/1000</f>
        <v>0</v>
      </c>
      <c r="F366" s="247">
        <f>'605'!$F$1912/1000</f>
        <v>0</v>
      </c>
      <c r="G366" s="247">
        <f>'605'!$F$1693/1000</f>
        <v>0</v>
      </c>
      <c r="H366" s="247">
        <f>'605'!$F$1547/1000</f>
        <v>0</v>
      </c>
      <c r="I366" s="247">
        <f>'605'!$F$1474/1000-SUM(E366:H366)</f>
        <v>0</v>
      </c>
      <c r="J366" s="247">
        <f t="shared" si="70"/>
        <v>0</v>
      </c>
    </row>
    <row r="367" spans="4:10" x14ac:dyDescent="0.35">
      <c r="D367" s="241" t="s">
        <v>510</v>
      </c>
      <c r="E367" s="247">
        <f>'605'!$F$1841/1000</f>
        <v>0</v>
      </c>
      <c r="F367" s="247">
        <f>'605'!$F$1914/1000</f>
        <v>0</v>
      </c>
      <c r="G367" s="247">
        <f>'605'!$F$1695/1000</f>
        <v>0</v>
      </c>
      <c r="H367" s="247">
        <f>'605'!$F$1549/1000</f>
        <v>0</v>
      </c>
      <c r="I367" s="247">
        <f>'605'!$F$1476/1000-SUM(E367:H367)</f>
        <v>0</v>
      </c>
      <c r="J367" s="247">
        <f t="shared" si="70"/>
        <v>0</v>
      </c>
    </row>
    <row r="368" spans="4:10" x14ac:dyDescent="0.35">
      <c r="D368" s="241" t="s">
        <v>576</v>
      </c>
      <c r="E368" s="247">
        <f>'605'!$F$1843/1000</f>
        <v>0</v>
      </c>
      <c r="F368" s="247">
        <f>'605'!$F$1916/1000</f>
        <v>0</v>
      </c>
      <c r="G368" s="247">
        <f>'605'!$F$1697/1000</f>
        <v>0</v>
      </c>
      <c r="H368" s="247">
        <f>'605'!$F$1551/1000</f>
        <v>0</v>
      </c>
      <c r="I368" s="247">
        <f>'605'!$F$1478/1000-SUM(E368:H368)</f>
        <v>0</v>
      </c>
      <c r="J368" s="247">
        <f t="shared" si="70"/>
        <v>0</v>
      </c>
    </row>
    <row r="369" spans="4:10" x14ac:dyDescent="0.35">
      <c r="D369" s="241" t="s">
        <v>577</v>
      </c>
      <c r="E369" s="247">
        <f>'605'!$F$1845/1000</f>
        <v>0</v>
      </c>
      <c r="F369" s="247">
        <f>'605'!$F$1918/1000</f>
        <v>0</v>
      </c>
      <c r="G369" s="247">
        <f>'605'!$F$1699/1000</f>
        <v>0</v>
      </c>
      <c r="H369" s="247">
        <f>'605'!$F$1553/1000</f>
        <v>0</v>
      </c>
      <c r="I369" s="247">
        <f>'605'!$F$1480/1000-SUM(E369:H369)</f>
        <v>0</v>
      </c>
      <c r="J369" s="247">
        <f t="shared" si="70"/>
        <v>0</v>
      </c>
    </row>
    <row r="370" spans="4:10" x14ac:dyDescent="0.35">
      <c r="D370" s="241" t="s">
        <v>578</v>
      </c>
      <c r="E370" s="247">
        <f>'605'!$F$1847/1000</f>
        <v>0</v>
      </c>
      <c r="F370" s="247">
        <f>'605'!$F$1920/1000</f>
        <v>0</v>
      </c>
      <c r="G370" s="247">
        <f>'605'!$F$1701/1000</f>
        <v>0</v>
      </c>
      <c r="H370" s="247">
        <f>'605'!$F$1555/1000</f>
        <v>0</v>
      </c>
      <c r="I370" s="247">
        <f>'605'!$F$1482/1000-SUM(E370:H370)</f>
        <v>0</v>
      </c>
      <c r="J370" s="247">
        <f t="shared" si="70"/>
        <v>0</v>
      </c>
    </row>
    <row r="371" spans="4:10" x14ac:dyDescent="0.35">
      <c r="D371" s="241" t="s">
        <v>518</v>
      </c>
      <c r="E371" s="247">
        <f>'605'!$F$1849/1000</f>
        <v>0</v>
      </c>
      <c r="F371" s="247">
        <f>'605'!$F$1922/1000</f>
        <v>0</v>
      </c>
      <c r="G371" s="247">
        <f>'605'!$F$1703/1000</f>
        <v>0</v>
      </c>
      <c r="H371" s="247">
        <f>'605'!$F$1557/1000</f>
        <v>0</v>
      </c>
      <c r="I371" s="247">
        <f>'605'!$F$1484/1000-SUM(E371:H371)</f>
        <v>0</v>
      </c>
      <c r="J371" s="247">
        <f t="shared" si="70"/>
        <v>0</v>
      </c>
    </row>
    <row r="372" spans="4:10" x14ac:dyDescent="0.35">
      <c r="D372" s="241" t="s">
        <v>520</v>
      </c>
      <c r="E372" s="247">
        <f>'605'!$F$1851/1000</f>
        <v>0</v>
      </c>
      <c r="F372" s="247">
        <f>'605'!$F$1924/1000</f>
        <v>0</v>
      </c>
      <c r="G372" s="247">
        <f>'605'!$F$1705/1000</f>
        <v>0</v>
      </c>
      <c r="H372" s="247">
        <f>'605'!$F$1559/1000</f>
        <v>0</v>
      </c>
      <c r="I372" s="247">
        <f>'605'!$F$1486/1000-SUM(E372:H372)</f>
        <v>0</v>
      </c>
      <c r="J372" s="247">
        <f t="shared" si="70"/>
        <v>0</v>
      </c>
    </row>
    <row r="373" spans="4:10" x14ac:dyDescent="0.35">
      <c r="D373" s="241" t="s">
        <v>522</v>
      </c>
      <c r="E373" s="247">
        <f>'605'!$F$1854/1000</f>
        <v>0</v>
      </c>
      <c r="F373" s="247">
        <f>'605'!$F$1927/1000</f>
        <v>0</v>
      </c>
      <c r="G373" s="247">
        <f>'605'!$F$1708/1000</f>
        <v>0</v>
      </c>
      <c r="H373" s="247">
        <f>'605'!$F$1562/1000</f>
        <v>0</v>
      </c>
      <c r="I373" s="247">
        <f>'605'!$F$1489/1000-SUM(E373:H373)</f>
        <v>0</v>
      </c>
      <c r="J373" s="247">
        <f t="shared" si="70"/>
        <v>0</v>
      </c>
    </row>
    <row r="374" spans="4:10" x14ac:dyDescent="0.35">
      <c r="D374" s="241" t="s">
        <v>523</v>
      </c>
      <c r="E374" s="247">
        <f>'605'!$F$1855/1000</f>
        <v>0</v>
      </c>
      <c r="F374" s="247">
        <f>'605'!$F$1928/1000</f>
        <v>0</v>
      </c>
      <c r="G374" s="247">
        <f>'605'!$F$1709/1000</f>
        <v>0</v>
      </c>
      <c r="H374" s="247">
        <f>'605'!$F$1563/1000</f>
        <v>0</v>
      </c>
      <c r="I374" s="247">
        <f>'605'!$F$1490/1000-SUM(E374:H374)</f>
        <v>0</v>
      </c>
      <c r="J374" s="247">
        <f t="shared" si="70"/>
        <v>0</v>
      </c>
    </row>
    <row r="375" spans="4:10" x14ac:dyDescent="0.35">
      <c r="D375" s="241" t="s">
        <v>10</v>
      </c>
      <c r="E375" s="250">
        <f>('605'!F1834+'605'!F1836+'605'!F1838+'605'!F1840+'605'!F1842+'605'!F1844+'605'!F1846+'605'!F1848+'605'!F1850+'605'!F1852-'605'!F1796)/1000</f>
        <v>0</v>
      </c>
      <c r="F375" s="250">
        <f>('605'!F1907+'605'!F1909+'605'!F1911+'605'!F1913+'605'!F1915+'605'!F1917+'605'!F1919+'605'!F1921+'605'!F1923+'605'!F1925-'605'!F1869)/1000</f>
        <v>0</v>
      </c>
      <c r="G375" s="250">
        <f>('605'!F1688+'605'!F1690+'605'!F1692+'605'!F1694+'605'!F1696+'605'!F1698+'605'!F1700+'605'!F1702+'605'!F1704+'605'!F1706-'605'!F1650)/1000</f>
        <v>0</v>
      </c>
      <c r="H375" s="250">
        <f>('605'!F1542+'605'!F1544+'605'!F1546+'605'!F1548+'605'!F1550+'605'!F1552+'605'!F1554+'605'!F1556+'605'!F1558+'605'!F1560-'605'!F1504)/1000</f>
        <v>0</v>
      </c>
      <c r="I375" s="250">
        <f>('605'!F1469+'605'!F1471+'605'!F1473+'605'!F1475+'605'!F1477+'605'!F1479+'605'!F1481+'605'!F1483+'605'!F1485+'605'!F1487-'605'!F1431)/1000-SUM(E375:H375)</f>
        <v>0</v>
      </c>
      <c r="J375" s="250">
        <f t="shared" si="70"/>
        <v>0</v>
      </c>
    </row>
    <row r="376" spans="4:10" x14ac:dyDescent="0.35">
      <c r="D376" s="240" t="s">
        <v>524</v>
      </c>
      <c r="E376" s="244">
        <f t="shared" ref="E376:J376" si="71">SUM(E363:E375)</f>
        <v>-439.42367999999999</v>
      </c>
      <c r="F376" s="244">
        <f t="shared" si="71"/>
        <v>0</v>
      </c>
      <c r="G376" s="244">
        <f t="shared" si="71"/>
        <v>0</v>
      </c>
      <c r="H376" s="244">
        <f t="shared" si="71"/>
        <v>0</v>
      </c>
      <c r="I376" s="244">
        <f t="shared" si="71"/>
        <v>-28.974750000000029</v>
      </c>
      <c r="J376" s="244">
        <f t="shared" si="71"/>
        <v>-468.39843000000002</v>
      </c>
    </row>
    <row r="377" spans="4:10" x14ac:dyDescent="0.35">
      <c r="D377" s="241"/>
      <c r="E377" s="251"/>
      <c r="F377" s="251"/>
      <c r="G377" s="251"/>
      <c r="H377" s="254"/>
      <c r="I377" s="254"/>
      <c r="J377" s="254"/>
    </row>
    <row r="378" spans="4:10" x14ac:dyDescent="0.35">
      <c r="D378" s="240" t="s">
        <v>525</v>
      </c>
      <c r="E378" s="252">
        <f t="shared" ref="E378:J378" si="72">E341+E351+E360+E376</f>
        <v>-19.857120000000009</v>
      </c>
      <c r="F378" s="252">
        <f t="shared" si="72"/>
        <v>-17.323680000000081</v>
      </c>
      <c r="G378" s="252">
        <f t="shared" si="72"/>
        <v>-8.1893900000000031</v>
      </c>
      <c r="H378" s="244">
        <f t="shared" si="72"/>
        <v>1.1571099999999319</v>
      </c>
      <c r="I378" s="244">
        <f t="shared" si="72"/>
        <v>1.3635299999998551</v>
      </c>
      <c r="J378" s="244">
        <f t="shared" si="72"/>
        <v>-42.849550000000193</v>
      </c>
    </row>
    <row r="379" spans="4:10" x14ac:dyDescent="0.35">
      <c r="D379" s="242" t="s">
        <v>579</v>
      </c>
      <c r="E379" s="252">
        <f>'610'!$I$1516/1000</f>
        <v>23.677569999999999</v>
      </c>
      <c r="F379" s="252">
        <f>'610'!$I$1570/1000</f>
        <v>29.150650000000002</v>
      </c>
      <c r="G379" s="252">
        <f>'610'!$I$1408/1000</f>
        <v>9.0381800000000005</v>
      </c>
      <c r="H379" s="244">
        <f>'610'!$I$1300/1000</f>
        <v>0.59289000000000003</v>
      </c>
      <c r="I379" s="244">
        <f>'610'!$I$1246/1000</f>
        <v>73.466920000000002</v>
      </c>
      <c r="J379" s="244">
        <f>SUM(E379,F379,G379,H379,I379)</f>
        <v>135.92621</v>
      </c>
    </row>
    <row r="380" spans="4:10" x14ac:dyDescent="0.35">
      <c r="D380" s="242" t="s">
        <v>580</v>
      </c>
      <c r="E380" s="252">
        <f t="shared" ref="E380:J380" si="73">E378+E379</f>
        <v>3.8204499999999904</v>
      </c>
      <c r="F380" s="252">
        <f t="shared" si="73"/>
        <v>11.826969999999921</v>
      </c>
      <c r="G380" s="252">
        <f t="shared" si="73"/>
        <v>0.84878999999999749</v>
      </c>
      <c r="H380" s="252">
        <f t="shared" si="73"/>
        <v>1.7499999999999321</v>
      </c>
      <c r="I380" s="252">
        <f t="shared" si="73"/>
        <v>74.830449999999857</v>
      </c>
      <c r="J380" s="252">
        <f t="shared" si="73"/>
        <v>93.076659999999805</v>
      </c>
    </row>
    <row r="387" spans="3:10" x14ac:dyDescent="0.35">
      <c r="C387" t="s">
        <v>594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60"/>
      <c r="E388" s="243" t="s">
        <v>106</v>
      </c>
      <c r="F388" s="261"/>
      <c r="G388" s="261"/>
      <c r="H388" s="261"/>
      <c r="I388" s="261"/>
      <c r="J388" s="261"/>
    </row>
    <row r="389" spans="3:10" x14ac:dyDescent="0.35">
      <c r="D389" s="260"/>
      <c r="E389" s="243" t="s">
        <v>297</v>
      </c>
      <c r="F389" s="240" t="s">
        <v>298</v>
      </c>
      <c r="G389" s="240" t="s">
        <v>299</v>
      </c>
      <c r="H389" s="243" t="s">
        <v>596</v>
      </c>
      <c r="I389" s="243" t="s">
        <v>303</v>
      </c>
      <c r="J389" s="243" t="s">
        <v>573</v>
      </c>
    </row>
    <row r="390" spans="3:10" x14ac:dyDescent="0.35">
      <c r="D390" s="240" t="s">
        <v>487</v>
      </c>
      <c r="E390" s="244">
        <f>('605'!C728+'605'!C717)/1000</f>
        <v>1871.25972</v>
      </c>
      <c r="F390" s="244">
        <f>('605'!C801+'605'!C790)/1000</f>
        <v>-975.35182999999984</v>
      </c>
      <c r="G390" s="244">
        <f>('605'!C947+'605'!C936)/1000</f>
        <v>1143.6487099999999</v>
      </c>
      <c r="H390" s="244">
        <f>('605'!C874+'605'!C863)/1000</f>
        <v>2180.3094000000001</v>
      </c>
      <c r="I390" s="244">
        <f>('605'!C1020+'605'!C1009)/1000</f>
        <v>5054.1618900000003</v>
      </c>
      <c r="J390" s="244">
        <f>SUM(E390,F390,G390,H390,I390)</f>
        <v>9274.0278900000012</v>
      </c>
    </row>
    <row r="391" spans="3:10" x14ac:dyDescent="0.35">
      <c r="D391" s="241"/>
      <c r="E391" s="245"/>
      <c r="F391" s="245"/>
      <c r="G391" s="245"/>
      <c r="H391" s="245"/>
      <c r="I391" s="245"/>
      <c r="J391" s="245"/>
    </row>
    <row r="392" spans="3:10" x14ac:dyDescent="0.35">
      <c r="D392" s="240" t="s">
        <v>574</v>
      </c>
      <c r="E392" s="245"/>
      <c r="F392" s="245"/>
      <c r="G392" s="245"/>
      <c r="H392" s="245"/>
      <c r="I392" s="245"/>
      <c r="J392" s="245"/>
    </row>
    <row r="393" spans="3:10" x14ac:dyDescent="0.35">
      <c r="D393" s="241" t="s">
        <v>341</v>
      </c>
      <c r="E393" s="262">
        <f>'605'!$C$731/1000</f>
        <v>236.95545999999999</v>
      </c>
      <c r="F393" s="262">
        <f>'605'!$C$804/1000</f>
        <v>40306.720560000002</v>
      </c>
      <c r="G393" s="262">
        <f>'605'!$C$950/1000</f>
        <v>-5927.7346799999996</v>
      </c>
      <c r="H393" s="262">
        <f>'605'!$C$877/1000</f>
        <v>645.07218999999998</v>
      </c>
      <c r="I393" s="262">
        <f>'605'!$C$1023/1000</f>
        <v>-381.06513000000001</v>
      </c>
      <c r="J393" s="262">
        <f t="shared" ref="J393:J399" si="74">SUM(E393,F393,G393,H393,I393)</f>
        <v>34879.948399999994</v>
      </c>
    </row>
    <row r="394" spans="3:10" x14ac:dyDescent="0.35">
      <c r="D394" s="241" t="s">
        <v>342</v>
      </c>
      <c r="E394" s="263">
        <f>('605'!C732+'605'!C733)/1000</f>
        <v>5972.4215300000005</v>
      </c>
      <c r="F394" s="263">
        <f>('605'!C805+'605'!C806)/1000</f>
        <v>-13393.71197</v>
      </c>
      <c r="G394" s="263">
        <f>('605'!C951+'605'!C952)/1000</f>
        <v>5826.0891799999999</v>
      </c>
      <c r="H394" s="263">
        <f>('605'!C878+'605'!C879)/1000</f>
        <v>-4.4757700000000007</v>
      </c>
      <c r="I394" s="263">
        <f>('605'!C1024+'605'!C1025)/1000</f>
        <v>-1481.7950699999999</v>
      </c>
      <c r="J394" s="263">
        <f t="shared" si="74"/>
        <v>-3081.4721</v>
      </c>
    </row>
    <row r="395" spans="3:10" x14ac:dyDescent="0.35">
      <c r="D395" s="241" t="s">
        <v>343</v>
      </c>
      <c r="E395" s="263">
        <f>'605'!$C$734/1000</f>
        <v>-231.30336</v>
      </c>
      <c r="F395" s="263">
        <f>'605'!$C$807/1000</f>
        <v>99.537789999999987</v>
      </c>
      <c r="G395" s="263">
        <f>'605'!$C$953/1000</f>
        <v>-1614.0062700000001</v>
      </c>
      <c r="H395" s="263">
        <f>'605'!$C$880/1000</f>
        <v>-257.50373999999999</v>
      </c>
      <c r="I395" s="263">
        <f>'605'!$C$1026/1000</f>
        <v>1246.3534199999999</v>
      </c>
      <c r="J395" s="263">
        <f t="shared" si="74"/>
        <v>-756.92216000000008</v>
      </c>
    </row>
    <row r="396" spans="3:10" x14ac:dyDescent="0.35">
      <c r="D396" s="241" t="s">
        <v>344</v>
      </c>
      <c r="E396" s="263">
        <f>('605'!C735+'605'!C736)/1000</f>
        <v>830.58195000000001</v>
      </c>
      <c r="F396" s="263">
        <f>('605'!C808+'605'!C809)/1000</f>
        <v>2574.3566600000004</v>
      </c>
      <c r="G396" s="263">
        <f>('605'!C954+'605'!C955)/1000</f>
        <v>-337.94855999999999</v>
      </c>
      <c r="H396" s="263">
        <f>('605'!C881+'605'!C882)/1000</f>
        <v>57.122999999999998</v>
      </c>
      <c r="I396" s="263">
        <f>('605'!C1027+'605'!C1028)/1000</f>
        <v>-299.53433999999999</v>
      </c>
      <c r="J396" s="263">
        <f t="shared" si="74"/>
        <v>2824.5787100000002</v>
      </c>
    </row>
    <row r="397" spans="3:10" x14ac:dyDescent="0.35">
      <c r="D397" s="241" t="s">
        <v>367</v>
      </c>
      <c r="E397" s="263">
        <f>'605'!$C$737/1000</f>
        <v>-4810.6688600000007</v>
      </c>
      <c r="F397" s="263">
        <f>'605'!$C$810/1000</f>
        <v>-12677.079460000001</v>
      </c>
      <c r="G397" s="263">
        <f>'605'!$C$956/1000</f>
        <v>2825.8209200000001</v>
      </c>
      <c r="H397" s="263">
        <f>'605'!$C$883/1000</f>
        <v>-628.05050000000006</v>
      </c>
      <c r="I397" s="263">
        <f>'605'!$C$1029/1000</f>
        <v>-4365.7549100000006</v>
      </c>
      <c r="J397" s="263">
        <f t="shared" si="74"/>
        <v>-19655.732810000001</v>
      </c>
    </row>
    <row r="398" spans="3:10" x14ac:dyDescent="0.35">
      <c r="D398" s="241" t="s">
        <v>492</v>
      </c>
      <c r="E398" s="263">
        <f>('605'!C738+'605'!C739)/1000</f>
        <v>-2251.4468299999999</v>
      </c>
      <c r="F398" s="263">
        <f>('605'!C811+'605'!C812)/1000</f>
        <v>-4014.8412200000002</v>
      </c>
      <c r="G398" s="263">
        <f>('605'!C957+'605'!C958)/1000</f>
        <v>-1334.91129</v>
      </c>
      <c r="H398" s="263">
        <f>('605'!C884+'605'!C885)/1000</f>
        <v>8.1</v>
      </c>
      <c r="I398" s="263">
        <f>('605'!C1030+'605'!C1031)/1000</f>
        <v>745.25019999999995</v>
      </c>
      <c r="J398" s="263">
        <f t="shared" si="74"/>
        <v>-6847.8491400000003</v>
      </c>
    </row>
    <row r="399" spans="3:10" x14ac:dyDescent="0.35">
      <c r="D399" s="241" t="s">
        <v>493</v>
      </c>
      <c r="E399" s="263">
        <f>('605'!C740+'605'!C741+'605'!C742)/1000</f>
        <v>-472.02645000000001</v>
      </c>
      <c r="F399" s="263">
        <f>('605'!C813+'605'!C814+'605'!C815)/1000</f>
        <v>-6986.7929000000004</v>
      </c>
      <c r="G399" s="263">
        <f>('605'!C959+'605'!C960+'605'!C961)/1000</f>
        <v>-403.86076000000003</v>
      </c>
      <c r="H399" s="263">
        <f>('605'!C886+'605'!C887+'605'!C888)/1000</f>
        <v>-234.67272</v>
      </c>
      <c r="I399" s="263">
        <f>('605'!C1032+'605'!C1033+'605'!C1034)/1000</f>
        <v>-92.37084999999999</v>
      </c>
      <c r="J399" s="263">
        <f t="shared" si="74"/>
        <v>-8189.723680000001</v>
      </c>
    </row>
    <row r="400" spans="3:10" x14ac:dyDescent="0.35">
      <c r="D400" s="240" t="s">
        <v>574</v>
      </c>
      <c r="E400" s="264">
        <f t="shared" ref="E400:J400" si="75">SUM(E393:E399)</f>
        <v>-725.48656000000005</v>
      </c>
      <c r="F400" s="264">
        <f t="shared" si="75"/>
        <v>5908.1894599999996</v>
      </c>
      <c r="G400" s="264">
        <f t="shared" si="75"/>
        <v>-966.55145999999968</v>
      </c>
      <c r="H400" s="264">
        <f t="shared" si="75"/>
        <v>-414.4075400000001</v>
      </c>
      <c r="I400" s="264">
        <f t="shared" si="75"/>
        <v>-4628.9166800000012</v>
      </c>
      <c r="J400" s="264">
        <f t="shared" si="75"/>
        <v>-827.17278000000806</v>
      </c>
    </row>
    <row r="401" spans="4:10" x14ac:dyDescent="0.35">
      <c r="D401" s="241"/>
      <c r="E401" s="248"/>
      <c r="F401" s="248"/>
      <c r="G401" s="248"/>
      <c r="H401" s="248"/>
      <c r="I401" s="248"/>
      <c r="J401" s="248"/>
    </row>
    <row r="402" spans="4:10" x14ac:dyDescent="0.35">
      <c r="D402" s="240" t="s">
        <v>497</v>
      </c>
      <c r="E402" s="245"/>
      <c r="F402" s="245"/>
      <c r="G402" s="245"/>
      <c r="H402" s="245"/>
      <c r="I402" s="245"/>
      <c r="J402" s="245"/>
    </row>
    <row r="403" spans="4:10" x14ac:dyDescent="0.35">
      <c r="D403" s="241" t="s">
        <v>498</v>
      </c>
      <c r="E403" s="246">
        <f>'605'!$C$745/1000</f>
        <v>0</v>
      </c>
      <c r="F403" s="246">
        <f>'605'!$C$818/1000</f>
        <v>0</v>
      </c>
      <c r="G403" s="246">
        <f>'605'!$C$964/1000</f>
        <v>0</v>
      </c>
      <c r="H403" s="246">
        <f>'605'!$C$891/1000</f>
        <v>0</v>
      </c>
      <c r="I403" s="246">
        <f>'605'!$C$1037/1000</f>
        <v>-2427.70777</v>
      </c>
      <c r="J403" s="246">
        <f t="shared" ref="J403:J408" si="76">SUM(E403,F403,G403,H403,I403)</f>
        <v>-2427.70777</v>
      </c>
    </row>
    <row r="404" spans="4:10" x14ac:dyDescent="0.35">
      <c r="D404" s="241" t="s">
        <v>499</v>
      </c>
      <c r="E404" s="247">
        <f>'605'!$C$746/1000</f>
        <v>0</v>
      </c>
      <c r="F404" s="247">
        <f>'605'!$C$819/1000</f>
        <v>0</v>
      </c>
      <c r="G404" s="247">
        <f>'605'!$C$965/1000</f>
        <v>0</v>
      </c>
      <c r="H404" s="247">
        <f>'605'!$C$892/1000</f>
        <v>28.424229999999998</v>
      </c>
      <c r="I404" s="247">
        <f>'605'!$C$1038/1000</f>
        <v>0</v>
      </c>
      <c r="J404" s="247">
        <f t="shared" si="76"/>
        <v>28.424229999999998</v>
      </c>
    </row>
    <row r="405" spans="4:10" x14ac:dyDescent="0.35">
      <c r="D405" s="241" t="s">
        <v>382</v>
      </c>
      <c r="E405" s="247">
        <f>'605'!$C$747/1000</f>
        <v>0</v>
      </c>
      <c r="F405" s="247">
        <f>'605'!$C$820/1000</f>
        <v>0</v>
      </c>
      <c r="G405" s="247">
        <f>'605'!$C$966/1000</f>
        <v>0</v>
      </c>
      <c r="H405" s="247">
        <f>'605'!$C$893/1000</f>
        <v>0</v>
      </c>
      <c r="I405" s="247">
        <f>'605'!$C$1039/1000</f>
        <v>0</v>
      </c>
      <c r="J405" s="247">
        <f t="shared" si="76"/>
        <v>0</v>
      </c>
    </row>
    <row r="406" spans="4:10" x14ac:dyDescent="0.35">
      <c r="D406" s="241" t="s">
        <v>500</v>
      </c>
      <c r="E406" s="247">
        <f>'605'!$C$748/1000</f>
        <v>0</v>
      </c>
      <c r="F406" s="247">
        <f>'605'!$C$821/1000</f>
        <v>0</v>
      </c>
      <c r="G406" s="247">
        <f>'605'!$C$967/1000</f>
        <v>0</v>
      </c>
      <c r="H406" s="247">
        <f>'605'!$C$894/1000</f>
        <v>0</v>
      </c>
      <c r="I406" s="247">
        <f>'605'!$C$1040/1000</f>
        <v>0</v>
      </c>
      <c r="J406" s="247">
        <f t="shared" si="76"/>
        <v>0</v>
      </c>
    </row>
    <row r="407" spans="4:10" x14ac:dyDescent="0.35">
      <c r="D407" s="241" t="s">
        <v>575</v>
      </c>
      <c r="E407" s="247">
        <f>('605'!C749+'605'!C750)/1000</f>
        <v>0</v>
      </c>
      <c r="F407" s="247">
        <f>('605'!C822+'605'!C823)/1000</f>
        <v>0</v>
      </c>
      <c r="G407" s="247">
        <f>('605'!C968+'605'!C969)/1000</f>
        <v>0</v>
      </c>
      <c r="H407" s="247">
        <f>('605'!C895+'605'!C896)/1000</f>
        <v>0</v>
      </c>
      <c r="I407" s="247">
        <f>('605'!C1041+'605'!C1042)/1000</f>
        <v>0</v>
      </c>
      <c r="J407" s="247">
        <f t="shared" si="76"/>
        <v>0</v>
      </c>
    </row>
    <row r="408" spans="4:10" x14ac:dyDescent="0.35">
      <c r="D408" s="241" t="s">
        <v>503</v>
      </c>
      <c r="E408" s="247">
        <f>'605'!$C$751/1000</f>
        <v>0</v>
      </c>
      <c r="F408" s="247">
        <f>'605'!$C$824/1000</f>
        <v>0</v>
      </c>
      <c r="G408" s="247">
        <f>'605'!$C$970/1000</f>
        <v>0</v>
      </c>
      <c r="H408" s="247">
        <f>'605'!$C$897/1000</f>
        <v>0</v>
      </c>
      <c r="I408" s="247">
        <f>'605'!$C$1043/1000</f>
        <v>0</v>
      </c>
      <c r="J408" s="247">
        <f t="shared" si="76"/>
        <v>0</v>
      </c>
    </row>
    <row r="409" spans="4:10" x14ac:dyDescent="0.35">
      <c r="D409" s="240" t="s">
        <v>504</v>
      </c>
      <c r="E409" s="244">
        <f t="shared" ref="E409:J409" si="77">SUM(E403:E408)</f>
        <v>0</v>
      </c>
      <c r="F409" s="244">
        <f t="shared" si="77"/>
        <v>0</v>
      </c>
      <c r="G409" s="244">
        <f t="shared" si="77"/>
        <v>0</v>
      </c>
      <c r="H409" s="244">
        <f t="shared" si="77"/>
        <v>28.424229999999998</v>
      </c>
      <c r="I409" s="244">
        <f t="shared" si="77"/>
        <v>-2427.70777</v>
      </c>
      <c r="J409" s="244">
        <f t="shared" si="77"/>
        <v>-2399.2835399999999</v>
      </c>
    </row>
    <row r="410" spans="4:10" x14ac:dyDescent="0.35">
      <c r="D410" s="240"/>
      <c r="E410" s="249"/>
      <c r="F410" s="249"/>
      <c r="G410" s="249"/>
      <c r="H410" s="249"/>
      <c r="I410" s="249"/>
      <c r="J410" s="249"/>
    </row>
    <row r="411" spans="4:10" x14ac:dyDescent="0.35">
      <c r="D411" s="240" t="s">
        <v>505</v>
      </c>
      <c r="E411" s="245"/>
      <c r="F411" s="245"/>
      <c r="G411" s="245"/>
      <c r="H411" s="245"/>
      <c r="I411" s="245"/>
      <c r="J411" s="245"/>
    </row>
    <row r="412" spans="4:10" x14ac:dyDescent="0.35">
      <c r="D412" s="241" t="s">
        <v>349</v>
      </c>
      <c r="E412" s="246">
        <f>'605'!$C$754/1000</f>
        <v>0</v>
      </c>
      <c r="F412" s="246">
        <f>'605'!$C$827/1000</f>
        <v>0</v>
      </c>
      <c r="G412" s="246">
        <f>'605'!$C$973/1000</f>
        <v>0</v>
      </c>
      <c r="H412" s="246">
        <f>'605'!$C$900/1000</f>
        <v>0</v>
      </c>
      <c r="I412" s="246">
        <f>'605'!$C$1046/1000</f>
        <v>0</v>
      </c>
      <c r="J412" s="246">
        <f t="shared" ref="J412:J426" si="78">SUM(E412,F412,G412,H412,I412)</f>
        <v>0</v>
      </c>
    </row>
    <row r="413" spans="4:10" x14ac:dyDescent="0.35">
      <c r="D413" s="241" t="s">
        <v>353</v>
      </c>
      <c r="E413" s="247">
        <f>'605'!$C$756/1000</f>
        <v>-28.607580000000002</v>
      </c>
      <c r="F413" s="247">
        <f>'605'!$C$829/1000</f>
        <v>-22.189520000000002</v>
      </c>
      <c r="G413" s="247">
        <f>'605'!$C$975/1000</f>
        <v>-19.007930000000002</v>
      </c>
      <c r="H413" s="247">
        <f>'605'!$C$902/1000</f>
        <v>-18.608000000000001</v>
      </c>
      <c r="I413" s="247">
        <f>'605'!$C$1048/1000</f>
        <v>-11.224450000000001</v>
      </c>
      <c r="J413" s="247">
        <f t="shared" si="78"/>
        <v>-99.637480000000011</v>
      </c>
    </row>
    <row r="414" spans="4:10" x14ac:dyDescent="0.35">
      <c r="D414" s="241" t="s">
        <v>352</v>
      </c>
      <c r="E414" s="247">
        <f>'605'!$C$758/1000</f>
        <v>-972.22221999999999</v>
      </c>
      <c r="F414" s="247">
        <f>'605'!$C$831/1000</f>
        <v>-3796.6520699999996</v>
      </c>
      <c r="G414" s="247">
        <f>'605'!$C$977/1000</f>
        <v>-752.83620999999994</v>
      </c>
      <c r="H414" s="247">
        <f>'605'!$C$904/1000</f>
        <v>-959.67241000000001</v>
      </c>
      <c r="I414" s="247">
        <f>'605'!$C$1050/1000</f>
        <v>0</v>
      </c>
      <c r="J414" s="247">
        <f t="shared" si="78"/>
        <v>-6481.3829099999994</v>
      </c>
    </row>
    <row r="415" spans="4:10" x14ac:dyDescent="0.35">
      <c r="D415" s="241" t="s">
        <v>351</v>
      </c>
      <c r="E415" s="247">
        <f>'605'!$C$760/1000</f>
        <v>-62.5</v>
      </c>
      <c r="F415" s="247">
        <f>'605'!$C$833/1000</f>
        <v>-17.16</v>
      </c>
      <c r="G415" s="247">
        <f>'605'!$C$979/1000</f>
        <v>0</v>
      </c>
      <c r="H415" s="247">
        <f>'605'!$C$906/1000</f>
        <v>0</v>
      </c>
      <c r="I415" s="247">
        <f>'605'!$C$1052/1000</f>
        <v>-43.984000000000002</v>
      </c>
      <c r="J415" s="247">
        <f t="shared" si="78"/>
        <v>-123.64400000000001</v>
      </c>
    </row>
    <row r="416" spans="4:10" x14ac:dyDescent="0.35">
      <c r="D416" s="241" t="s">
        <v>510</v>
      </c>
      <c r="E416" s="247">
        <f>'605'!$C$762/1000</f>
        <v>0</v>
      </c>
      <c r="F416" s="247">
        <f>'605'!$C$835/1000</f>
        <v>-9.34</v>
      </c>
      <c r="G416" s="247">
        <f>'605'!$C$981/1000</f>
        <v>0</v>
      </c>
      <c r="H416" s="247">
        <f>'605'!$C$908/1000</f>
        <v>0</v>
      </c>
      <c r="I416" s="247">
        <f>'605'!$C$1054/1000</f>
        <v>-14.06</v>
      </c>
      <c r="J416" s="247">
        <f t="shared" si="78"/>
        <v>-23.4</v>
      </c>
    </row>
    <row r="417" spans="4:10" x14ac:dyDescent="0.35">
      <c r="D417" s="241" t="s">
        <v>576</v>
      </c>
      <c r="E417" s="247">
        <f>'605'!$C$764/1000</f>
        <v>0</v>
      </c>
      <c r="F417" s="247">
        <f>'605'!$C$837/1000</f>
        <v>0</v>
      </c>
      <c r="G417" s="247">
        <f>'605'!$C$983/1000</f>
        <v>0</v>
      </c>
      <c r="H417" s="247">
        <f>'605'!$C$910/1000</f>
        <v>0</v>
      </c>
      <c r="I417" s="247">
        <f>'605'!$C$1056/1000</f>
        <v>0</v>
      </c>
      <c r="J417" s="247">
        <f t="shared" si="78"/>
        <v>0</v>
      </c>
    </row>
    <row r="418" spans="4:10" x14ac:dyDescent="0.35">
      <c r="D418" s="241" t="s">
        <v>577</v>
      </c>
      <c r="E418" s="247">
        <f>'605'!$C$766/1000</f>
        <v>0</v>
      </c>
      <c r="F418" s="247">
        <f>'605'!$C$839/1000</f>
        <v>0</v>
      </c>
      <c r="G418" s="247">
        <f>'605'!$C$985/1000</f>
        <v>0</v>
      </c>
      <c r="H418" s="247">
        <f>'605'!$C$912/1000</f>
        <v>0</v>
      </c>
      <c r="I418" s="247">
        <f>'605'!$C$1058/1000</f>
        <v>0</v>
      </c>
      <c r="J418" s="247">
        <f t="shared" si="78"/>
        <v>0</v>
      </c>
    </row>
    <row r="419" spans="4:10" x14ac:dyDescent="0.35">
      <c r="D419" s="241" t="s">
        <v>578</v>
      </c>
      <c r="E419" s="247">
        <f>'605'!$C$768/1000</f>
        <v>0</v>
      </c>
      <c r="F419" s="247">
        <f>'605'!$C$841/1000</f>
        <v>0</v>
      </c>
      <c r="G419" s="247">
        <f>'605'!$C$987/1000</f>
        <v>0</v>
      </c>
      <c r="H419" s="247">
        <f>'605'!$C$914/1000</f>
        <v>0</v>
      </c>
      <c r="I419" s="247">
        <f>'605'!$C$1060/1000</f>
        <v>0</v>
      </c>
      <c r="J419" s="247">
        <f t="shared" si="78"/>
        <v>0</v>
      </c>
    </row>
    <row r="420" spans="4:10" x14ac:dyDescent="0.35">
      <c r="D420" s="241" t="s">
        <v>518</v>
      </c>
      <c r="E420" s="247">
        <f>'605'!$C$770/1000</f>
        <v>0</v>
      </c>
      <c r="F420" s="247">
        <f>'605'!$C$843/1000</f>
        <v>0</v>
      </c>
      <c r="G420" s="247">
        <f>'605'!$C$989/1000</f>
        <v>0</v>
      </c>
      <c r="H420" s="247">
        <f>'605'!$C$916/1000</f>
        <v>0</v>
      </c>
      <c r="I420" s="247">
        <f>'605'!$C$1062/1000</f>
        <v>0</v>
      </c>
      <c r="J420" s="247">
        <f t="shared" si="78"/>
        <v>0</v>
      </c>
    </row>
    <row r="421" spans="4:10" x14ac:dyDescent="0.35">
      <c r="D421" s="241" t="s">
        <v>520</v>
      </c>
      <c r="E421" s="247">
        <f>'605'!$C$772/1000</f>
        <v>0</v>
      </c>
      <c r="F421" s="247">
        <f>'605'!$C$845/1000</f>
        <v>0</v>
      </c>
      <c r="G421" s="247">
        <f>'605'!$C$991/1000</f>
        <v>0</v>
      </c>
      <c r="H421" s="247">
        <f>'605'!$C$918/1000</f>
        <v>0</v>
      </c>
      <c r="I421" s="247">
        <f>'605'!$C$1064/1000</f>
        <v>0</v>
      </c>
      <c r="J421" s="247">
        <f t="shared" si="78"/>
        <v>0</v>
      </c>
    </row>
    <row r="422" spans="4:10" x14ac:dyDescent="0.35">
      <c r="D422" s="241" t="s">
        <v>522</v>
      </c>
      <c r="E422" s="247">
        <f>'605'!$C$775/1000</f>
        <v>0</v>
      </c>
      <c r="F422" s="247">
        <f>'605'!$C$848/1000</f>
        <v>0</v>
      </c>
      <c r="G422" s="247">
        <f>'605'!$C$994/1000</f>
        <v>0</v>
      </c>
      <c r="H422" s="247">
        <f>'605'!$C$921/1000</f>
        <v>0</v>
      </c>
      <c r="I422" s="247">
        <f>'605'!$C$1067/1000</f>
        <v>0</v>
      </c>
      <c r="J422" s="247">
        <f t="shared" si="78"/>
        <v>0</v>
      </c>
    </row>
    <row r="423" spans="4:10" x14ac:dyDescent="0.35">
      <c r="D423" s="241" t="s">
        <v>523</v>
      </c>
      <c r="E423" s="247">
        <f>'605'!$C$776/1000</f>
        <v>0</v>
      </c>
      <c r="F423" s="247">
        <f>'605'!$C$849/1000</f>
        <v>0</v>
      </c>
      <c r="G423" s="247">
        <f>'605'!$C$995/1000</f>
        <v>0</v>
      </c>
      <c r="H423" s="247">
        <f>'605'!$C$922/1000</f>
        <v>0</v>
      </c>
      <c r="I423" s="247">
        <f>'605'!$C$1068/1000</f>
        <v>0</v>
      </c>
      <c r="J423" s="247">
        <f t="shared" si="78"/>
        <v>0</v>
      </c>
    </row>
    <row r="424" spans="4:10" x14ac:dyDescent="0.35">
      <c r="D424" s="241" t="s">
        <v>597</v>
      </c>
      <c r="E424" s="247">
        <f>'605'!$C$774/1000</f>
        <v>0</v>
      </c>
      <c r="F424" s="247">
        <f>'605'!$C$847/1000</f>
        <v>0</v>
      </c>
      <c r="G424" s="247">
        <f>'605'!$C$993/1000</f>
        <v>0</v>
      </c>
      <c r="H424" s="247">
        <f>'605'!$C$920/1000</f>
        <v>0</v>
      </c>
      <c r="I424" s="247">
        <f>'605'!$C$1066/1000</f>
        <v>0</v>
      </c>
      <c r="J424" s="247">
        <f t="shared" si="78"/>
        <v>0</v>
      </c>
    </row>
    <row r="425" spans="4:10" x14ac:dyDescent="0.35">
      <c r="D425" s="241" t="s">
        <v>598</v>
      </c>
      <c r="E425" s="247">
        <f>'605'!$C$777/1000</f>
        <v>0</v>
      </c>
      <c r="F425" s="247">
        <f>'605'!$C$850/1000</f>
        <v>0</v>
      </c>
      <c r="G425" s="247">
        <f>'605'!$C$996/1000</f>
        <v>0</v>
      </c>
      <c r="H425" s="247">
        <f>'605'!$C$923/1000</f>
        <v>0</v>
      </c>
      <c r="I425" s="247">
        <f>'605'!$C$1069/1000</f>
        <v>0</v>
      </c>
      <c r="J425" s="247">
        <f t="shared" si="78"/>
        <v>0</v>
      </c>
    </row>
    <row r="426" spans="4:10" x14ac:dyDescent="0.35">
      <c r="D426" s="241" t="s">
        <v>10</v>
      </c>
      <c r="E426" s="250">
        <f>('605'!C755+'605'!C757+'605'!C759+'605'!C761+'605'!C763+'605'!C765+'605'!C767+'605'!C769+'605'!C771+'605'!C773-'605'!C717)/1000</f>
        <v>0</v>
      </c>
      <c r="F426" s="250">
        <f>('605'!C828+'605'!C830+'605'!C832+'605'!C834+'605'!C836+'605'!C838+'605'!C840+'605'!C842+'605'!C844+'605'!C846-'605'!C790)/1000</f>
        <v>-49.977689999999946</v>
      </c>
      <c r="G426" s="250">
        <f>('605'!C974+'605'!C976+'605'!C978+'605'!C980+'605'!C982+'605'!C984+'605'!C986+'605'!C988+'605'!C990+'605'!C992-'605'!C936)/1000</f>
        <v>9.9999999511055643E-6</v>
      </c>
      <c r="H426" s="250">
        <f>('605'!C901+'605'!C903+'605'!C905+'605'!C907+'605'!C909+'605'!C911+'605'!C913+'605'!C915+'605'!C917+'605'!C919-'605'!C863)/1000</f>
        <v>0</v>
      </c>
      <c r="I426" s="250">
        <f>('605'!C1047+'605'!C1049+'605'!C1051+'605'!C1053+'605'!C1055+'605'!C1057+'605'!C1059+'605'!C1061+'605'!C1063+'605'!C1065-'605'!C1009)/1000</f>
        <v>0</v>
      </c>
      <c r="J426" s="250">
        <f t="shared" si="78"/>
        <v>-49.977679999999992</v>
      </c>
    </row>
    <row r="427" spans="4:10" x14ac:dyDescent="0.35">
      <c r="D427" s="240" t="s">
        <v>524</v>
      </c>
      <c r="E427" s="252">
        <f t="shared" ref="E427:J427" si="79">SUM(E412:E426)</f>
        <v>-1063.3298</v>
      </c>
      <c r="F427" s="252">
        <f t="shared" si="79"/>
        <v>-3895.3192799999997</v>
      </c>
      <c r="G427" s="252">
        <f t="shared" si="79"/>
        <v>-771.84412999999995</v>
      </c>
      <c r="H427" s="252">
        <f t="shared" si="79"/>
        <v>-978.28040999999996</v>
      </c>
      <c r="I427" s="252">
        <f t="shared" si="79"/>
        <v>-69.268450000000001</v>
      </c>
      <c r="J427" s="252">
        <f t="shared" si="79"/>
        <v>-6778.0420699999995</v>
      </c>
    </row>
    <row r="428" spans="4:10" x14ac:dyDescent="0.35">
      <c r="D428" s="240" t="s">
        <v>595</v>
      </c>
      <c r="E428" s="280"/>
      <c r="F428" s="280"/>
      <c r="G428" s="280"/>
      <c r="H428" s="280"/>
      <c r="I428" s="280"/>
      <c r="J428" s="280"/>
    </row>
    <row r="429" spans="4:10" x14ac:dyDescent="0.35">
      <c r="D429" s="260"/>
      <c r="E429" s="260"/>
      <c r="F429" s="260"/>
      <c r="G429" s="260"/>
      <c r="H429" s="260"/>
      <c r="I429" s="260"/>
      <c r="J429" s="260"/>
    </row>
    <row r="430" spans="4:10" x14ac:dyDescent="0.35">
      <c r="D430" s="240" t="s">
        <v>525</v>
      </c>
      <c r="E430" s="244">
        <f>E390+E400+E409+E427</f>
        <v>82.443359999999984</v>
      </c>
      <c r="F430" s="244">
        <f t="shared" ref="F430:J430" si="80">F390+F400+F409+F427</f>
        <v>1037.5183500000003</v>
      </c>
      <c r="G430" s="244">
        <f>G390+G400+G409+G427</f>
        <v>-594.74687999999969</v>
      </c>
      <c r="H430" s="244">
        <f t="shared" ref="H430" si="81">H390+H400+H409+H427</f>
        <v>816.04568000000006</v>
      </c>
      <c r="I430" s="244">
        <f t="shared" si="80"/>
        <v>-2071.7310100000009</v>
      </c>
      <c r="J430" s="244">
        <f t="shared" si="80"/>
        <v>-730.47050000000672</v>
      </c>
    </row>
    <row r="431" spans="4:10" x14ac:dyDescent="0.35">
      <c r="D431" s="240" t="s">
        <v>579</v>
      </c>
      <c r="E431" s="244">
        <f>('610'!$H$705+'610'!$H$706)/1000</f>
        <v>2550.5610799999999</v>
      </c>
      <c r="F431" s="244">
        <f>('610'!$H$759+'610'!$H$760)/1000</f>
        <v>374.43633</v>
      </c>
      <c r="G431" s="244">
        <f>('610'!$H$868+'610'!$H$869)/1000</f>
        <v>997.32381000000009</v>
      </c>
      <c r="H431" s="244">
        <f>('610'!$H$814+'610'!$H$815)/1000</f>
        <v>15580.22545</v>
      </c>
      <c r="I431" s="244">
        <f>'610'!$H$922/1000</f>
        <v>6232.1852500000005</v>
      </c>
      <c r="J431" s="244">
        <f>SUM(E431,F431,G431,H431,I431)</f>
        <v>25734.731919999998</v>
      </c>
    </row>
    <row r="432" spans="4:10" x14ac:dyDescent="0.35">
      <c r="D432" s="240" t="s">
        <v>580</v>
      </c>
      <c r="E432" s="244">
        <f>E430+E431</f>
        <v>2633.0044399999997</v>
      </c>
      <c r="F432" s="244">
        <f t="shared" ref="F432:J432" si="82">F430+F431</f>
        <v>1411.9546800000003</v>
      </c>
      <c r="G432" s="244">
        <f t="shared" si="82"/>
        <v>402.5769300000004</v>
      </c>
      <c r="H432" s="244">
        <f t="shared" si="82"/>
        <v>16396.271130000001</v>
      </c>
      <c r="I432" s="244">
        <f t="shared" si="82"/>
        <v>4160.4542399999991</v>
      </c>
      <c r="J432" s="244">
        <f t="shared" si="82"/>
        <v>25004.261419999992</v>
      </c>
    </row>
    <row r="439" spans="4:10" x14ac:dyDescent="0.35">
      <c r="D439" s="265"/>
      <c r="E439" s="266" t="s">
        <v>599</v>
      </c>
      <c r="F439" s="260"/>
      <c r="G439" s="260"/>
      <c r="H439" s="260"/>
      <c r="I439" s="260"/>
      <c r="J439" s="260"/>
    </row>
    <row r="440" spans="4:10" x14ac:dyDescent="0.35">
      <c r="D440" s="267"/>
      <c r="E440" s="243" t="s">
        <v>297</v>
      </c>
      <c r="F440" s="240" t="s">
        <v>298</v>
      </c>
      <c r="G440" s="240" t="s">
        <v>299</v>
      </c>
      <c r="H440" s="243" t="s">
        <v>596</v>
      </c>
      <c r="I440" s="243" t="s">
        <v>303</v>
      </c>
      <c r="J440" s="243" t="s">
        <v>573</v>
      </c>
    </row>
    <row r="441" spans="4:10" x14ac:dyDescent="0.35">
      <c r="D441" s="268" t="s">
        <v>487</v>
      </c>
      <c r="E441" s="244">
        <f>('605'!F728+'605'!F717)/1000</f>
        <v>12564.345579999999</v>
      </c>
      <c r="F441" s="244">
        <f>('605'!F801+'605'!F790)/1000</f>
        <v>10043.009599999999</v>
      </c>
      <c r="G441" s="244">
        <f>('605'!F947+'605'!F936)/1000</f>
        <v>8609.9576699999998</v>
      </c>
      <c r="H441" s="244">
        <f>('605'!F874+'605'!F863)/1000</f>
        <v>24055.43203</v>
      </c>
      <c r="I441" s="244">
        <f>('605'!F1020+'605'!F1009)/1000</f>
        <v>31998.667229999999</v>
      </c>
      <c r="J441" s="244">
        <f>SUM(E441,F441,G441,H441,I441)</f>
        <v>87271.412110000005</v>
      </c>
    </row>
    <row r="442" spans="4:10" x14ac:dyDescent="0.35">
      <c r="D442" s="248"/>
      <c r="E442" s="245"/>
      <c r="F442" s="245"/>
      <c r="G442" s="245"/>
      <c r="H442" s="245"/>
      <c r="I442" s="245"/>
      <c r="J442" s="245"/>
    </row>
    <row r="443" spans="4:10" x14ac:dyDescent="0.35">
      <c r="D443" s="248" t="s">
        <v>574</v>
      </c>
      <c r="E443" s="245"/>
      <c r="F443" s="245"/>
      <c r="G443" s="245"/>
      <c r="H443" s="245"/>
      <c r="I443" s="245"/>
      <c r="J443" s="245"/>
    </row>
    <row r="444" spans="4:10" x14ac:dyDescent="0.35">
      <c r="D444" s="269" t="s">
        <v>341</v>
      </c>
      <c r="E444" s="246">
        <f>'605'!$F$731/1000</f>
        <v>427.88049999999998</v>
      </c>
      <c r="F444" s="246">
        <f>'605'!$F$804/1000</f>
        <v>37336.942270000007</v>
      </c>
      <c r="G444" s="246">
        <f>'605'!$F$950/1000</f>
        <v>-7192.1925000000001</v>
      </c>
      <c r="H444" s="246">
        <f>'605'!$F$877/1000</f>
        <v>4551.7313300000005</v>
      </c>
      <c r="I444" s="246">
        <f>'605'!$F$1023/1000</f>
        <v>-8137.6172699999997</v>
      </c>
      <c r="J444" s="246">
        <f t="shared" ref="J444:J450" si="83">SUM(E444,F444,G444,H444,I444)</f>
        <v>26986.744330000005</v>
      </c>
    </row>
    <row r="445" spans="4:10" x14ac:dyDescent="0.35">
      <c r="D445" s="269" t="s">
        <v>342</v>
      </c>
      <c r="E445" s="247">
        <f>('605'!F732+'605'!F733)/1000</f>
        <v>-16190.05618</v>
      </c>
      <c r="F445" s="247">
        <f>('605'!F805+'605'!F806)/1000</f>
        <v>4420.2029499999999</v>
      </c>
      <c r="G445" s="247">
        <f>('605'!F951+'605'!F952)/1000</f>
        <v>14993.686399999999</v>
      </c>
      <c r="H445" s="247">
        <f>('605'!F878+'605'!F879)/1000</f>
        <v>151.27897000000002</v>
      </c>
      <c r="I445" s="247">
        <f>('605'!F1024+'605'!F1025)/1000</f>
        <v>-36109.271670000002</v>
      </c>
      <c r="J445" s="247">
        <f t="shared" si="83"/>
        <v>-32734.159530000004</v>
      </c>
    </row>
    <row r="446" spans="4:10" x14ac:dyDescent="0.35">
      <c r="D446" s="269" t="s">
        <v>343</v>
      </c>
      <c r="E446" s="247">
        <f>'605'!$F$734/1000</f>
        <v>-102.56513000000001</v>
      </c>
      <c r="F446" s="247">
        <f>'605'!$F$807/1000</f>
        <v>1348.85465</v>
      </c>
      <c r="G446" s="247">
        <f>'605'!$F$953/1000</f>
        <v>826.54537000000005</v>
      </c>
      <c r="H446" s="247">
        <f>'605'!$F$880/1000</f>
        <v>-664.98589000000004</v>
      </c>
      <c r="I446" s="247">
        <f>'605'!$F$1026/1000</f>
        <v>-3182.6764199999998</v>
      </c>
      <c r="J446" s="247">
        <f t="shared" si="83"/>
        <v>-1774.8274199999996</v>
      </c>
    </row>
    <row r="447" spans="4:10" x14ac:dyDescent="0.35">
      <c r="D447" s="269" t="s">
        <v>344</v>
      </c>
      <c r="E447" s="247">
        <f>('605'!F735+'605'!F736)/1000</f>
        <v>-702.12698999999975</v>
      </c>
      <c r="F447" s="247">
        <f>('605'!F808+'605'!F809)/1000</f>
        <v>4958.9261400000005</v>
      </c>
      <c r="G447" s="247">
        <f>('605'!F954+'605'!F955)/1000</f>
        <v>1724.3589399999998</v>
      </c>
      <c r="H447" s="247">
        <f>('605'!F881+'605'!F882)/1000</f>
        <v>977.73136000000011</v>
      </c>
      <c r="I447" s="247">
        <f>('605'!F1027+'605'!F1028)/1000</f>
        <v>-7114.9578600000004</v>
      </c>
      <c r="J447" s="247">
        <f t="shared" si="83"/>
        <v>-156.06840999999986</v>
      </c>
    </row>
    <row r="448" spans="4:10" x14ac:dyDescent="0.35">
      <c r="D448" s="269" t="s">
        <v>367</v>
      </c>
      <c r="E448" s="247">
        <f>'605'!$F$737/1000</f>
        <v>2999.9791600000003</v>
      </c>
      <c r="F448" s="247">
        <f>'605'!$F$810/1000</f>
        <v>-33975.996729999999</v>
      </c>
      <c r="G448" s="247">
        <f>'605'!$F$956/1000</f>
        <v>-12903.258310000001</v>
      </c>
      <c r="H448" s="247">
        <f>'605'!$F$883/1000</f>
        <v>-7699.2156199999999</v>
      </c>
      <c r="I448" s="247">
        <f>'605'!$F$1029/1000</f>
        <v>24020.01929</v>
      </c>
      <c r="J448" s="247">
        <f t="shared" si="83"/>
        <v>-27558.472210000004</v>
      </c>
    </row>
    <row r="449" spans="4:10" x14ac:dyDescent="0.35">
      <c r="D449" s="269" t="s">
        <v>492</v>
      </c>
      <c r="E449" s="247">
        <f>('605'!F738+'605'!F739)/1000</f>
        <v>6864.0767100000003</v>
      </c>
      <c r="F449" s="247">
        <f>('605'!F811+'605'!F812)/1000</f>
        <v>-774.84940000000006</v>
      </c>
      <c r="G449" s="247">
        <f>('605'!F957+'605'!F958)/1000</f>
        <v>8593.9104000000007</v>
      </c>
      <c r="H449" s="247">
        <f>('605'!F884+'605'!F885)/1000</f>
        <v>-308.66876000000002</v>
      </c>
      <c r="I449" s="247">
        <f>('605'!F1030+'605'!F1031)/1000</f>
        <v>8949.3277699999999</v>
      </c>
      <c r="J449" s="247">
        <f t="shared" si="83"/>
        <v>23323.796719999998</v>
      </c>
    </row>
    <row r="450" spans="4:10" x14ac:dyDescent="0.35">
      <c r="D450" s="269" t="s">
        <v>493</v>
      </c>
      <c r="E450" s="250">
        <f>('605'!F740+'605'!F741+'605'!F742)/1000</f>
        <v>-1217.94911</v>
      </c>
      <c r="F450" s="247">
        <f>('605'!F813+'605'!F814+'605'!F815)/1000</f>
        <v>-7914.6722300000001</v>
      </c>
      <c r="G450" s="247">
        <f>('605'!F959+'605'!F960+'605'!F961)/1000</f>
        <v>-5084.7659199999998</v>
      </c>
      <c r="H450" s="247">
        <f>('605'!F886+'605'!F887+'605'!F888)/1000</f>
        <v>-2278.9959499999995</v>
      </c>
      <c r="I450" s="247">
        <f>('605'!F1032+'605'!F1033+'605'!F1034)/1000</f>
        <v>2964.6433099999999</v>
      </c>
      <c r="J450" s="247">
        <f t="shared" si="83"/>
        <v>-13531.7399</v>
      </c>
    </row>
    <row r="451" spans="4:10" x14ac:dyDescent="0.35">
      <c r="D451" s="268" t="s">
        <v>574</v>
      </c>
      <c r="E451" s="244">
        <f t="shared" ref="E451:J451" si="84">SUM(E444:E450)</f>
        <v>-7920.7610399999994</v>
      </c>
      <c r="F451" s="244">
        <f t="shared" si="84"/>
        <v>5399.4076500000119</v>
      </c>
      <c r="G451" s="244">
        <f t="shared" si="84"/>
        <v>958.28437999999915</v>
      </c>
      <c r="H451" s="244">
        <f t="shared" si="84"/>
        <v>-5271.1245599999984</v>
      </c>
      <c r="I451" s="244">
        <f t="shared" si="84"/>
        <v>-18610.532850000011</v>
      </c>
      <c r="J451" s="244">
        <f t="shared" si="84"/>
        <v>-25444.726420000006</v>
      </c>
    </row>
    <row r="452" spans="4:10" x14ac:dyDescent="0.35">
      <c r="D452" s="248"/>
      <c r="E452" s="248"/>
      <c r="F452" s="248"/>
      <c r="G452" s="248"/>
      <c r="H452" s="248"/>
      <c r="I452" s="248"/>
      <c r="J452" s="248"/>
    </row>
    <row r="453" spans="4:10" x14ac:dyDescent="0.35">
      <c r="D453" s="248" t="s">
        <v>497</v>
      </c>
      <c r="E453" s="245"/>
      <c r="F453" s="245"/>
      <c r="G453" s="245"/>
      <c r="H453" s="245"/>
      <c r="I453" s="245"/>
      <c r="J453" s="245"/>
    </row>
    <row r="454" spans="4:10" x14ac:dyDescent="0.35">
      <c r="D454" s="269" t="s">
        <v>498</v>
      </c>
      <c r="E454" s="246">
        <f>'605'!$F$745/1000</f>
        <v>0</v>
      </c>
      <c r="F454" s="246">
        <f>'605'!$F$818/1000</f>
        <v>0</v>
      </c>
      <c r="G454" s="246">
        <f>'605'!$F$964/1000</f>
        <v>0</v>
      </c>
      <c r="H454" s="246">
        <f>'605'!$F$891/1000</f>
        <v>0</v>
      </c>
      <c r="I454" s="246">
        <f>'605'!$F$1037/1000</f>
        <v>-8820.7850899999994</v>
      </c>
      <c r="J454" s="246">
        <f t="shared" ref="J454:J459" si="85">SUM(E454,F454,G454,H454,I454)</f>
        <v>-8820.7850899999994</v>
      </c>
    </row>
    <row r="455" spans="4:10" x14ac:dyDescent="0.35">
      <c r="D455" s="269" t="s">
        <v>499</v>
      </c>
      <c r="E455" s="247">
        <f>'605'!$F$746/1000</f>
        <v>0</v>
      </c>
      <c r="F455" s="247">
        <f>'605'!$F$819/1000</f>
        <v>0</v>
      </c>
      <c r="G455" s="247">
        <f>'605'!$F$965/1000</f>
        <v>0</v>
      </c>
      <c r="H455" s="247">
        <f>'605'!$F$892/1000</f>
        <v>312.17827</v>
      </c>
      <c r="I455" s="247">
        <f>'605'!$F$1038/1000</f>
        <v>0</v>
      </c>
      <c r="J455" s="247">
        <f t="shared" si="85"/>
        <v>312.17827</v>
      </c>
    </row>
    <row r="456" spans="4:10" x14ac:dyDescent="0.35">
      <c r="D456" s="269" t="s">
        <v>382</v>
      </c>
      <c r="E456" s="247">
        <f>'605'!$F$747/1000</f>
        <v>0</v>
      </c>
      <c r="F456" s="247">
        <f>'605'!$F$820/1000</f>
        <v>0</v>
      </c>
      <c r="G456" s="247">
        <f>'605'!$F$966/1000</f>
        <v>0</v>
      </c>
      <c r="H456" s="247">
        <f>'605'!$F$893/1000</f>
        <v>0</v>
      </c>
      <c r="I456" s="247">
        <f>'605'!$F$1039/1000</f>
        <v>0</v>
      </c>
      <c r="J456" s="247">
        <f t="shared" si="85"/>
        <v>0</v>
      </c>
    </row>
    <row r="457" spans="4:10" x14ac:dyDescent="0.35">
      <c r="D457" s="269" t="s">
        <v>500</v>
      </c>
      <c r="E457" s="247">
        <f>'605'!$F$748/1000</f>
        <v>0</v>
      </c>
      <c r="F457" s="247">
        <f>'605'!$F$821/1000</f>
        <v>0</v>
      </c>
      <c r="G457" s="247">
        <f>'605'!$F$967/1000</f>
        <v>0</v>
      </c>
      <c r="H457" s="247">
        <f>'605'!$F$894/1000</f>
        <v>0</v>
      </c>
      <c r="I457" s="247">
        <f>'605'!$F$1040/1000</f>
        <v>0</v>
      </c>
      <c r="J457" s="247">
        <f t="shared" si="85"/>
        <v>0</v>
      </c>
    </row>
    <row r="458" spans="4:10" x14ac:dyDescent="0.35">
      <c r="D458" s="269" t="s">
        <v>575</v>
      </c>
      <c r="E458" s="247">
        <f>('605'!F749+'605'!F750)/1000</f>
        <v>0</v>
      </c>
      <c r="F458" s="247">
        <f>('605'!F822+'605'!F823)/1000</f>
        <v>0</v>
      </c>
      <c r="G458" s="247">
        <f>('605'!F968+'605'!F969)/1000</f>
        <v>0</v>
      </c>
      <c r="H458" s="247">
        <f>('605'!F895+'605'!F896)/1000</f>
        <v>0</v>
      </c>
      <c r="I458" s="247">
        <f>('605'!F1041+'605'!F1042)/1000</f>
        <v>0</v>
      </c>
      <c r="J458" s="247">
        <f t="shared" si="85"/>
        <v>0</v>
      </c>
    </row>
    <row r="459" spans="4:10" x14ac:dyDescent="0.35">
      <c r="D459" s="269" t="s">
        <v>503</v>
      </c>
      <c r="E459" s="247">
        <f>'605'!$F$751/1000</f>
        <v>976.23341000000005</v>
      </c>
      <c r="F459" s="247">
        <f>'605'!$F$824/1000</f>
        <v>-1217.74557</v>
      </c>
      <c r="G459" s="247">
        <f>'605'!$F$970/1000</f>
        <v>-5444.29504</v>
      </c>
      <c r="H459" s="247">
        <f>'605'!$F$897/1000</f>
        <v>-413.78820000000002</v>
      </c>
      <c r="I459" s="247">
        <f>'605'!$F$1043/1000</f>
        <v>-3131.8455299999996</v>
      </c>
      <c r="J459" s="247">
        <f t="shared" si="85"/>
        <v>-9231.4409300000007</v>
      </c>
    </row>
    <row r="460" spans="4:10" x14ac:dyDescent="0.35">
      <c r="D460" s="268" t="s">
        <v>504</v>
      </c>
      <c r="E460" s="244">
        <f t="shared" ref="E460:J460" si="86">SUM(E454:E459)</f>
        <v>976.23341000000005</v>
      </c>
      <c r="F460" s="244">
        <f t="shared" si="86"/>
        <v>-1217.74557</v>
      </c>
      <c r="G460" s="244">
        <f t="shared" si="86"/>
        <v>-5444.29504</v>
      </c>
      <c r="H460" s="244">
        <f t="shared" si="86"/>
        <v>-101.60993000000002</v>
      </c>
      <c r="I460" s="244">
        <f t="shared" si="86"/>
        <v>-11952.63062</v>
      </c>
      <c r="J460" s="244">
        <f t="shared" si="86"/>
        <v>-17740.047749999998</v>
      </c>
    </row>
    <row r="461" spans="4:10" x14ac:dyDescent="0.35">
      <c r="D461" s="248"/>
      <c r="E461" s="248"/>
      <c r="F461" s="249"/>
      <c r="G461" s="249"/>
      <c r="H461" s="249"/>
      <c r="I461" s="249"/>
      <c r="J461" s="249"/>
    </row>
    <row r="462" spans="4:10" x14ac:dyDescent="0.35">
      <c r="D462" s="248" t="s">
        <v>505</v>
      </c>
      <c r="E462" s="245"/>
      <c r="F462" s="245"/>
      <c r="G462" s="245"/>
      <c r="H462" s="245"/>
      <c r="I462" s="245"/>
      <c r="J462" s="245"/>
    </row>
    <row r="463" spans="4:10" x14ac:dyDescent="0.35">
      <c r="D463" s="269" t="s">
        <v>349</v>
      </c>
      <c r="E463" s="246">
        <f>'605'!$F$754/1000</f>
        <v>0</v>
      </c>
      <c r="F463" s="246">
        <f>'605'!$F$827/1000</f>
        <v>0</v>
      </c>
      <c r="G463" s="246">
        <f>'605'!$F$973/1000</f>
        <v>0</v>
      </c>
      <c r="H463" s="246">
        <f>'605'!$F$900/1000</f>
        <v>-3913.5540299999998</v>
      </c>
      <c r="I463" s="246">
        <f>'605'!$F$1046/1000</f>
        <v>-6531.6531599999998</v>
      </c>
      <c r="J463" s="246">
        <f t="shared" ref="J463:J477" si="87">SUM(E463,F463,G463,H463,I463)</f>
        <v>-10445.207189999999</v>
      </c>
    </row>
    <row r="464" spans="4:10" x14ac:dyDescent="0.35">
      <c r="D464" s="269" t="s">
        <v>353</v>
      </c>
      <c r="E464" s="247">
        <f>'605'!$F$756/1000</f>
        <v>-944.7998</v>
      </c>
      <c r="F464" s="247">
        <f>'605'!$F$829/1000</f>
        <v>-2372.3452200000002</v>
      </c>
      <c r="G464" s="247">
        <f>'605'!$F$975/1000</f>
        <v>-1134.7828300000001</v>
      </c>
      <c r="H464" s="247">
        <f>'605'!$F$902/1000</f>
        <v>-1300.2517399999999</v>
      </c>
      <c r="I464" s="247">
        <f>'605'!$F$1048/1000</f>
        <v>-2229.7808999999997</v>
      </c>
      <c r="J464" s="247">
        <f t="shared" si="87"/>
        <v>-7981.9604899999995</v>
      </c>
    </row>
    <row r="465" spans="4:10" x14ac:dyDescent="0.35">
      <c r="D465" s="269" t="s">
        <v>352</v>
      </c>
      <c r="E465" s="247">
        <f>'605'!$F$758/1000</f>
        <v>-3209.1089099999999</v>
      </c>
      <c r="F465" s="247">
        <f>'605'!$F$831/1000</f>
        <v>-9564.3899600000004</v>
      </c>
      <c r="G465" s="247">
        <f>'605'!$F$977/1000</f>
        <v>-3443.0431100000001</v>
      </c>
      <c r="H465" s="247">
        <f>'605'!$F$904/1000</f>
        <v>-4118.9904800000004</v>
      </c>
      <c r="I465" s="247">
        <f>'605'!$F$1050/1000</f>
        <v>-259.89999999999998</v>
      </c>
      <c r="J465" s="247">
        <f t="shared" si="87"/>
        <v>-20595.432460000004</v>
      </c>
    </row>
    <row r="466" spans="4:10" x14ac:dyDescent="0.35">
      <c r="D466" s="269" t="s">
        <v>351</v>
      </c>
      <c r="E466" s="247">
        <f>'605'!$F$760/1000</f>
        <v>-160.68549999999999</v>
      </c>
      <c r="F466" s="247">
        <f>'605'!$F$833/1000</f>
        <v>-153.43382</v>
      </c>
      <c r="G466" s="247">
        <f>'605'!$F$979/1000</f>
        <v>-16.29241</v>
      </c>
      <c r="H466" s="247">
        <f>'605'!$F$906/1000</f>
        <v>0</v>
      </c>
      <c r="I466" s="247">
        <f>'605'!$F$1052/1000</f>
        <v>-504.99122</v>
      </c>
      <c r="J466" s="247">
        <f t="shared" si="87"/>
        <v>-835.40295000000003</v>
      </c>
    </row>
    <row r="467" spans="4:10" x14ac:dyDescent="0.35">
      <c r="D467" s="269" t="s">
        <v>510</v>
      </c>
      <c r="E467" s="247">
        <f>'605'!$F$762/1000</f>
        <v>0</v>
      </c>
      <c r="F467" s="247">
        <f>'605'!$F$835/1000</f>
        <v>-158.88386</v>
      </c>
      <c r="G467" s="247">
        <f>'605'!$F$981/1000</f>
        <v>-34.645859999999999</v>
      </c>
      <c r="H467" s="247">
        <f>'605'!$F$908/1000</f>
        <v>-16.37069</v>
      </c>
      <c r="I467" s="247">
        <f>'605'!$F$1054/1000</f>
        <v>-21.172060000000002</v>
      </c>
      <c r="J467" s="247">
        <f t="shared" si="87"/>
        <v>-231.07247000000001</v>
      </c>
    </row>
    <row r="468" spans="4:10" x14ac:dyDescent="0.35">
      <c r="D468" s="269" t="s">
        <v>576</v>
      </c>
      <c r="E468" s="247">
        <f>'605'!$F$764/1000</f>
        <v>0</v>
      </c>
      <c r="F468" s="247">
        <f>'605'!$F$837/1000</f>
        <v>2.9999999999999997E-5</v>
      </c>
      <c r="G468" s="247">
        <f>'605'!$F$983/1000</f>
        <v>0</v>
      </c>
      <c r="H468" s="247">
        <f>'605'!$F$910/1000</f>
        <v>0</v>
      </c>
      <c r="I468" s="247">
        <f>'605'!$F$1056/1000</f>
        <v>0</v>
      </c>
      <c r="J468" s="247">
        <f t="shared" si="87"/>
        <v>2.9999999999999997E-5</v>
      </c>
    </row>
    <row r="469" spans="4:10" x14ac:dyDescent="0.35">
      <c r="D469" s="269" t="s">
        <v>577</v>
      </c>
      <c r="E469" s="247">
        <f>'605'!$F$766/1000</f>
        <v>0</v>
      </c>
      <c r="F469" s="247">
        <f>'605'!$F$839/1000</f>
        <v>0</v>
      </c>
      <c r="G469" s="247">
        <f>'605'!$F$985/1000</f>
        <v>0</v>
      </c>
      <c r="H469" s="247">
        <f>'605'!$F$912/1000</f>
        <v>0</v>
      </c>
      <c r="I469" s="247">
        <f>'605'!$F$1058/1000</f>
        <v>0</v>
      </c>
      <c r="J469" s="247">
        <f t="shared" si="87"/>
        <v>0</v>
      </c>
    </row>
    <row r="470" spans="4:10" x14ac:dyDescent="0.35">
      <c r="D470" s="269" t="s">
        <v>578</v>
      </c>
      <c r="E470" s="247">
        <f>'605'!$F$768/1000</f>
        <v>0</v>
      </c>
      <c r="F470" s="247">
        <f>'605'!$F$841/1000</f>
        <v>0</v>
      </c>
      <c r="G470" s="247">
        <f>'605'!$F$987/1000</f>
        <v>0</v>
      </c>
      <c r="H470" s="247">
        <f>'605'!$F$914/1000</f>
        <v>0</v>
      </c>
      <c r="I470" s="247">
        <f>'605'!$F$1060/1000</f>
        <v>0</v>
      </c>
      <c r="J470" s="247">
        <f t="shared" si="87"/>
        <v>0</v>
      </c>
    </row>
    <row r="471" spans="4:10" x14ac:dyDescent="0.35">
      <c r="D471" s="269" t="s">
        <v>518</v>
      </c>
      <c r="E471" s="247">
        <f>'605'!$F$770/1000</f>
        <v>0</v>
      </c>
      <c r="F471" s="247">
        <f>'605'!$F$843/1000</f>
        <v>0</v>
      </c>
      <c r="G471" s="247">
        <f>'605'!$F$989/1000</f>
        <v>0</v>
      </c>
      <c r="H471" s="247">
        <f>'605'!$F$916/1000</f>
        <v>0</v>
      </c>
      <c r="I471" s="247">
        <f>'605'!$F$1062/1000</f>
        <v>0</v>
      </c>
      <c r="J471" s="247">
        <f t="shared" si="87"/>
        <v>0</v>
      </c>
    </row>
    <row r="472" spans="4:10" x14ac:dyDescent="0.35">
      <c r="D472" s="269" t="s">
        <v>520</v>
      </c>
      <c r="E472" s="247">
        <f>'605'!$F$772/1000</f>
        <v>0</v>
      </c>
      <c r="F472" s="247">
        <f>'605'!$F$845/1000</f>
        <v>0</v>
      </c>
      <c r="G472" s="247">
        <f>'605'!$F$991/1000</f>
        <v>0</v>
      </c>
      <c r="H472" s="247">
        <f>'605'!$F$918/1000</f>
        <v>0</v>
      </c>
      <c r="I472" s="247">
        <f>'605'!$F$1064/1000</f>
        <v>0</v>
      </c>
      <c r="J472" s="247">
        <f t="shared" si="87"/>
        <v>0</v>
      </c>
    </row>
    <row r="473" spans="4:10" x14ac:dyDescent="0.35">
      <c r="D473" s="269" t="s">
        <v>522</v>
      </c>
      <c r="E473" s="247">
        <f>'605'!$F$775/1000</f>
        <v>0</v>
      </c>
      <c r="F473" s="247">
        <f>'605'!$F$848/1000</f>
        <v>0</v>
      </c>
      <c r="G473" s="247">
        <f>'605'!$F$994/1000</f>
        <v>0</v>
      </c>
      <c r="H473" s="247">
        <f>'605'!$F$921/1000</f>
        <v>0</v>
      </c>
      <c r="I473" s="247">
        <f>'605'!$F$1067/1000</f>
        <v>0</v>
      </c>
      <c r="J473" s="247">
        <f t="shared" si="87"/>
        <v>0</v>
      </c>
    </row>
    <row r="474" spans="4:10" x14ac:dyDescent="0.35">
      <c r="D474" s="269" t="s">
        <v>523</v>
      </c>
      <c r="E474" s="247">
        <f>'605'!$F$776/1000</f>
        <v>0</v>
      </c>
      <c r="F474" s="247">
        <f>'605'!$F$849/1000</f>
        <v>0</v>
      </c>
      <c r="G474" s="247">
        <f>'605'!$F$995/1000</f>
        <v>0</v>
      </c>
      <c r="H474" s="247">
        <f>'605'!$F$922/1000</f>
        <v>0</v>
      </c>
      <c r="I474" s="247">
        <f>'605'!$F$1068/1000</f>
        <v>0</v>
      </c>
      <c r="J474" s="247">
        <f t="shared" si="87"/>
        <v>0</v>
      </c>
    </row>
    <row r="475" spans="4:10" x14ac:dyDescent="0.35">
      <c r="D475" s="269" t="s">
        <v>597</v>
      </c>
      <c r="E475" s="247">
        <f>'605'!$F$774/1000</f>
        <v>0</v>
      </c>
      <c r="F475" s="247">
        <f>'605'!$F$847/1000</f>
        <v>0</v>
      </c>
      <c r="G475" s="247">
        <f>'605'!$F$993/1000</f>
        <v>-8.2866599999999995</v>
      </c>
      <c r="H475" s="247">
        <f>'605'!$F$920/1000</f>
        <v>4811.1100900000001</v>
      </c>
      <c r="I475" s="247">
        <f>'605'!$F$1066/1000</f>
        <v>8385.3083299999998</v>
      </c>
      <c r="J475" s="247">
        <f t="shared" si="87"/>
        <v>13188.13176</v>
      </c>
    </row>
    <row r="476" spans="4:10" x14ac:dyDescent="0.35">
      <c r="D476" s="269" t="s">
        <v>598</v>
      </c>
      <c r="E476" s="247">
        <f>'605'!$F$777/1000</f>
        <v>0</v>
      </c>
      <c r="F476" s="247">
        <f>'605'!$F$850/1000</f>
        <v>0</v>
      </c>
      <c r="G476" s="247">
        <f>'605'!$F$996/1000</f>
        <v>0</v>
      </c>
      <c r="H476" s="247">
        <f>'605'!$F$923/1000</f>
        <v>0</v>
      </c>
      <c r="I476" s="247">
        <f>'605'!$F$1069/1000</f>
        <v>0</v>
      </c>
      <c r="J476" s="247">
        <f t="shared" si="87"/>
        <v>0</v>
      </c>
    </row>
    <row r="477" spans="4:10" x14ac:dyDescent="0.35">
      <c r="D477" s="269" t="s">
        <v>10</v>
      </c>
      <c r="E477" s="250">
        <f>('605'!F755+'605'!F757+'605'!F759+'605'!F761+'605'!F763+'605'!F765+'605'!F767+'605'!F769+'605'!F771+'605'!F773-'605'!F717)/1000</f>
        <v>-787.93245999999999</v>
      </c>
      <c r="F477" s="250">
        <f>('605'!F828+'605'!F830+'605'!F832+'605'!F834+'605'!F836+'605'!F838+'605'!F840+'605'!F842+'605'!F844+'605'!F846-'605'!F790)/1000</f>
        <v>-3569.4486999999999</v>
      </c>
      <c r="G477" s="250">
        <f>('605'!F974+'605'!F976+'605'!F978+'605'!F980+'605'!F982+'605'!F984+'605'!F986+'605'!F988+'605'!F990+'605'!F992-'605'!F936)/1000</f>
        <v>487.17231000000004</v>
      </c>
      <c r="H477" s="250">
        <f>('605'!F901+'605'!F903+'605'!F905+'605'!F907+'605'!F909+'605'!F911+'605'!F913+'605'!F915+'605'!F917+'605'!F919-'605'!F863)/1000</f>
        <v>-601.88281000000006</v>
      </c>
      <c r="I477" s="250">
        <f>('605'!F1047+'605'!F1049+'605'!F1051+'605'!F1053+'605'!F1055+'605'!F1057+'605'!F1059+'605'!F1061+'605'!F1063+'605'!F1065-'605'!F1009)/1000</f>
        <v>985.33416000000011</v>
      </c>
      <c r="J477" s="250">
        <f t="shared" si="87"/>
        <v>-3486.7574999999997</v>
      </c>
    </row>
    <row r="478" spans="4:10" x14ac:dyDescent="0.35">
      <c r="D478" s="268" t="s">
        <v>524</v>
      </c>
      <c r="E478" s="270">
        <f t="shared" ref="E478:J478" si="88">SUM(E463:E477)</f>
        <v>-5102.5266699999993</v>
      </c>
      <c r="F478" s="252">
        <f t="shared" si="88"/>
        <v>-15818.501530000001</v>
      </c>
      <c r="G478" s="252">
        <f t="shared" si="88"/>
        <v>-4149.8785600000001</v>
      </c>
      <c r="H478" s="252">
        <f t="shared" si="88"/>
        <v>-5139.9396599999991</v>
      </c>
      <c r="I478" s="252">
        <f t="shared" si="88"/>
        <v>-176.85484999999994</v>
      </c>
      <c r="J478" s="252">
        <f t="shared" si="88"/>
        <v>-30387.701270000001</v>
      </c>
    </row>
    <row r="479" spans="4:10" x14ac:dyDescent="0.35">
      <c r="D479" s="268" t="s">
        <v>595</v>
      </c>
      <c r="E479" s="279"/>
      <c r="F479" s="280"/>
      <c r="G479" s="280"/>
      <c r="H479" s="280"/>
      <c r="I479" s="280"/>
      <c r="J479" s="280"/>
    </row>
    <row r="480" spans="4:10" x14ac:dyDescent="0.35">
      <c r="D480" s="248"/>
      <c r="E480" s="271"/>
      <c r="F480" s="260"/>
      <c r="G480" s="260"/>
      <c r="H480" s="260"/>
      <c r="I480" s="260"/>
      <c r="J480" s="260"/>
    </row>
    <row r="481" spans="3:10" x14ac:dyDescent="0.35">
      <c r="D481" s="268" t="s">
        <v>525</v>
      </c>
      <c r="E481" s="244">
        <f>E441+E451+E460+E478</f>
        <v>517.29128000000037</v>
      </c>
      <c r="F481" s="244">
        <f t="shared" ref="F481" si="89">F441+F451+F460+F478</f>
        <v>-1593.829849999991</v>
      </c>
      <c r="G481" s="244">
        <f>G441+G451+G460+G478</f>
        <v>-25.931550000001153</v>
      </c>
      <c r="H481" s="244">
        <f t="shared" ref="H481:J481" si="90">H441+H451+H460+H478</f>
        <v>13542.757880000001</v>
      </c>
      <c r="I481" s="244">
        <f t="shared" si="90"/>
        <v>1258.6489099999887</v>
      </c>
      <c r="J481" s="244">
        <f t="shared" si="90"/>
        <v>13698.936669999999</v>
      </c>
    </row>
    <row r="482" spans="3:10" x14ac:dyDescent="0.35">
      <c r="D482" s="268" t="s">
        <v>579</v>
      </c>
      <c r="E482" s="252">
        <f>('610'!$I$705+'610'!$I$706)/1000</f>
        <v>2115.7131600000002</v>
      </c>
      <c r="F482" s="244">
        <f>('610'!$I$759+'610'!$I$760)/1000</f>
        <v>3005.7845299999999</v>
      </c>
      <c r="G482" s="244">
        <f>('610'!$I$868+'610'!$I$869)/1000</f>
        <v>428.50847999999996</v>
      </c>
      <c r="H482" s="244">
        <f>('610'!$I$814+'610'!$I$815)/1000</f>
        <v>2853.51325</v>
      </c>
      <c r="I482" s="244">
        <f>'610'!$I$922/1000</f>
        <v>2901.8053300000001</v>
      </c>
      <c r="J482" s="244">
        <f>SUM(E482,F482,G482,H482,I482)</f>
        <v>11305.32475</v>
      </c>
    </row>
    <row r="483" spans="3:10" x14ac:dyDescent="0.35">
      <c r="D483" s="268" t="s">
        <v>580</v>
      </c>
      <c r="E483" s="244">
        <f>E481+E482</f>
        <v>2633.0044400000006</v>
      </c>
      <c r="F483" s="244">
        <f t="shared" ref="F483" si="91">F481+F482</f>
        <v>1411.9546800000089</v>
      </c>
      <c r="G483" s="244">
        <f t="shared" ref="G483" si="92">G481+G482</f>
        <v>402.57692999999881</v>
      </c>
      <c r="H483" s="244">
        <f t="shared" ref="H483" si="93">H481+H482</f>
        <v>16396.271130000001</v>
      </c>
      <c r="I483" s="244">
        <f t="shared" ref="I483" si="94">I481+I482</f>
        <v>4160.4542399999891</v>
      </c>
      <c r="J483" s="244">
        <f t="shared" ref="J483" si="95">J481+J482</f>
        <v>25004.261419999999</v>
      </c>
    </row>
    <row r="490" spans="3:10" x14ac:dyDescent="0.35">
      <c r="C490" t="s">
        <v>600</v>
      </c>
      <c r="E490">
        <v>615</v>
      </c>
      <c r="F490">
        <v>613</v>
      </c>
    </row>
    <row r="491" spans="3:10" x14ac:dyDescent="0.35">
      <c r="D491" s="260"/>
      <c r="E491" s="240" t="s">
        <v>106</v>
      </c>
      <c r="F491" s="241"/>
      <c r="G491" s="241"/>
    </row>
    <row r="492" spans="3:10" x14ac:dyDescent="0.35">
      <c r="D492" s="260"/>
      <c r="E492" s="240" t="s">
        <v>305</v>
      </c>
      <c r="F492" s="240" t="s">
        <v>306</v>
      </c>
      <c r="G492" s="243" t="s">
        <v>573</v>
      </c>
    </row>
    <row r="493" spans="3:10" x14ac:dyDescent="0.35">
      <c r="D493" s="240" t="s">
        <v>601</v>
      </c>
      <c r="E493" s="244">
        <f>('605'!C1231+'605'!C1220)/1000</f>
        <v>2740.87716</v>
      </c>
      <c r="F493" s="244">
        <f>('605'!C1166+'605'!C1155)/1000</f>
        <v>650.93731000000002</v>
      </c>
      <c r="G493" s="244">
        <f>SUM(E493,F493)</f>
        <v>3391.8144700000003</v>
      </c>
    </row>
    <row r="494" spans="3:10" x14ac:dyDescent="0.35">
      <c r="D494" s="241"/>
      <c r="E494" s="245"/>
      <c r="F494" s="245"/>
      <c r="G494" s="245"/>
    </row>
    <row r="495" spans="3:10" x14ac:dyDescent="0.35">
      <c r="D495" s="240" t="s">
        <v>574</v>
      </c>
      <c r="E495" s="245"/>
      <c r="F495" s="245"/>
      <c r="G495" s="245"/>
    </row>
    <row r="496" spans="3:10" x14ac:dyDescent="0.35">
      <c r="D496" s="241" t="s">
        <v>341</v>
      </c>
      <c r="E496" s="246">
        <f>'605'!$C$1234/1000</f>
        <v>-2050.3253</v>
      </c>
      <c r="F496" s="246">
        <f>'605'!$C$1169/1000</f>
        <v>-3.47031</v>
      </c>
      <c r="G496" s="246">
        <f t="shared" ref="G496:G506" si="96">SUM(E496,F496)</f>
        <v>-2053.7956100000001</v>
      </c>
    </row>
    <row r="497" spans="4:7" x14ac:dyDescent="0.35">
      <c r="D497" s="241" t="s">
        <v>342</v>
      </c>
      <c r="E497" s="247">
        <f>'605'!$C$1235/1000</f>
        <v>-61.128879999999995</v>
      </c>
      <c r="F497" s="247">
        <f>'605'!$C$1170/1000</f>
        <v>-193.26048</v>
      </c>
      <c r="G497" s="247">
        <f t="shared" si="96"/>
        <v>-254.38936000000001</v>
      </c>
    </row>
    <row r="498" spans="4:7" x14ac:dyDescent="0.35">
      <c r="D498" s="241" t="s">
        <v>343</v>
      </c>
      <c r="E498" s="247">
        <f>'605'!$C$1236/1000</f>
        <v>1642.7706699999999</v>
      </c>
      <c r="F498" s="247">
        <f>'605'!$C$1171/1000</f>
        <v>0</v>
      </c>
      <c r="G498" s="247">
        <f t="shared" si="96"/>
        <v>1642.7706699999999</v>
      </c>
    </row>
    <row r="499" spans="4:7" x14ac:dyDescent="0.35">
      <c r="D499" s="241" t="s">
        <v>344</v>
      </c>
      <c r="E499" s="247">
        <f>('605'!C1237+'605'!C1238)/1000</f>
        <v>-258.22000000000003</v>
      </c>
      <c r="F499" s="247">
        <f>('605'!C1172+'605'!C1173)/1000</f>
        <v>-55.472360000000002</v>
      </c>
      <c r="G499" s="247">
        <f t="shared" si="96"/>
        <v>-313.69236000000001</v>
      </c>
    </row>
    <row r="500" spans="4:7" x14ac:dyDescent="0.35">
      <c r="D500" s="241" t="s">
        <v>559</v>
      </c>
      <c r="E500" s="247">
        <f>'605'!$C$1239/1000</f>
        <v>0</v>
      </c>
      <c r="F500" s="247">
        <f>'605'!$C$1174/1000</f>
        <v>0</v>
      </c>
      <c r="G500" s="247">
        <f t="shared" si="96"/>
        <v>0</v>
      </c>
    </row>
    <row r="501" spans="4:7" x14ac:dyDescent="0.35">
      <c r="D501" s="241" t="s">
        <v>560</v>
      </c>
      <c r="E501" s="247">
        <f>'605'!$C$1240/1000</f>
        <v>452.74914000000001</v>
      </c>
      <c r="F501" s="247">
        <f>'605'!$C$1175/1000</f>
        <v>0</v>
      </c>
      <c r="G501" s="247">
        <f t="shared" si="96"/>
        <v>452.74914000000001</v>
      </c>
    </row>
    <row r="502" spans="4:7" x14ac:dyDescent="0.35">
      <c r="D502" s="241" t="s">
        <v>367</v>
      </c>
      <c r="E502" s="247">
        <f>'605'!$C$1241/1000</f>
        <v>0</v>
      </c>
      <c r="F502" s="247">
        <f>'605'!$C$1176/1000</f>
        <v>158</v>
      </c>
      <c r="G502" s="247">
        <f t="shared" si="96"/>
        <v>158</v>
      </c>
    </row>
    <row r="503" spans="4:7" x14ac:dyDescent="0.35">
      <c r="D503" s="241" t="s">
        <v>492</v>
      </c>
      <c r="E503" s="247">
        <f>('605'!C1242+'605'!C1243)/1000</f>
        <v>-335.36473999999998</v>
      </c>
      <c r="F503" s="247">
        <f>('605'!C1177+'605'!C1178)/1000</f>
        <v>0</v>
      </c>
      <c r="G503" s="247">
        <f t="shared" si="96"/>
        <v>-335.36473999999998</v>
      </c>
    </row>
    <row r="504" spans="4:7" x14ac:dyDescent="0.35">
      <c r="D504" s="241" t="s">
        <v>493</v>
      </c>
      <c r="E504" s="247">
        <f>('605'!C1244+'605'!C1245)/1000</f>
        <v>0.53363000000000005</v>
      </c>
      <c r="F504" s="247">
        <f>('605'!C1179+'605'!C1180)/1000</f>
        <v>-88.924660000000003</v>
      </c>
      <c r="G504" s="247">
        <f t="shared" si="96"/>
        <v>-88.391030000000001</v>
      </c>
    </row>
    <row r="505" spans="4:7" x14ac:dyDescent="0.35">
      <c r="D505" s="241" t="s">
        <v>561</v>
      </c>
      <c r="E505" s="247">
        <f>'605'!$C$1246/1000</f>
        <v>0</v>
      </c>
      <c r="F505" s="247">
        <f>'605'!$C$1181/1000</f>
        <v>0</v>
      </c>
      <c r="G505" s="247">
        <f t="shared" si="96"/>
        <v>0</v>
      </c>
    </row>
    <row r="506" spans="4:7" x14ac:dyDescent="0.35">
      <c r="D506" s="241" t="s">
        <v>602</v>
      </c>
      <c r="E506" s="247">
        <f>('605'!C1247+'605'!C1248)/1000</f>
        <v>-304.49853000000002</v>
      </c>
      <c r="F506" s="247">
        <f>('605'!C1182+'605'!C1183)/1000</f>
        <v>0</v>
      </c>
      <c r="G506" s="247">
        <f t="shared" si="96"/>
        <v>-304.49853000000002</v>
      </c>
    </row>
    <row r="507" spans="4:7" x14ac:dyDescent="0.35">
      <c r="D507" s="240" t="s">
        <v>574</v>
      </c>
      <c r="E507" s="244">
        <f>SUM(E496:E506)</f>
        <v>-913.48401000000035</v>
      </c>
      <c r="F507" s="244">
        <f>SUM(F496:F506)</f>
        <v>-183.12781000000001</v>
      </c>
      <c r="G507" s="244">
        <f>SUM(G496:G506)</f>
        <v>-1096.6118200000003</v>
      </c>
    </row>
    <row r="508" spans="4:7" x14ac:dyDescent="0.35">
      <c r="D508" s="241"/>
      <c r="E508" s="254"/>
      <c r="F508" s="254"/>
      <c r="G508" s="254"/>
    </row>
    <row r="509" spans="4:7" x14ac:dyDescent="0.35">
      <c r="D509" s="240" t="s">
        <v>497</v>
      </c>
      <c r="E509" s="257"/>
      <c r="F509" s="257"/>
      <c r="G509" s="257"/>
    </row>
    <row r="510" spans="4:7" x14ac:dyDescent="0.35">
      <c r="D510" s="241" t="s">
        <v>498</v>
      </c>
      <c r="E510" s="246">
        <f>'605'!$C$1251/1000</f>
        <v>0</v>
      </c>
      <c r="F510" s="246">
        <f>'605'!$C$1186/1000</f>
        <v>0</v>
      </c>
      <c r="G510" s="246">
        <f t="shared" ref="G510:G515" si="97">SUM(E510,F510)</f>
        <v>0</v>
      </c>
    </row>
    <row r="511" spans="4:7" ht="14.5" hidden="1" customHeight="1" x14ac:dyDescent="0.35">
      <c r="D511" s="241" t="s">
        <v>499</v>
      </c>
      <c r="E511" s="247"/>
      <c r="F511" s="247"/>
      <c r="G511" s="247">
        <f t="shared" si="97"/>
        <v>0</v>
      </c>
    </row>
    <row r="512" spans="4:7" x14ac:dyDescent="0.35">
      <c r="D512" s="241" t="s">
        <v>382</v>
      </c>
      <c r="E512" s="247">
        <f>'605'!$C$1252/1000</f>
        <v>0</v>
      </c>
      <c r="F512" s="247">
        <f>'605'!$C$1187/1000</f>
        <v>0</v>
      </c>
      <c r="G512" s="247">
        <f t="shared" si="97"/>
        <v>0</v>
      </c>
    </row>
    <row r="513" spans="4:7" x14ac:dyDescent="0.35">
      <c r="D513" s="241" t="s">
        <v>500</v>
      </c>
      <c r="E513" s="247">
        <f>'605'!$C$1253/1000</f>
        <v>0</v>
      </c>
      <c r="F513" s="247">
        <f>'605'!$C$1188/1000</f>
        <v>0</v>
      </c>
      <c r="G513" s="247">
        <f t="shared" si="97"/>
        <v>0</v>
      </c>
    </row>
    <row r="514" spans="4:7" x14ac:dyDescent="0.35">
      <c r="D514" s="241" t="s">
        <v>575</v>
      </c>
      <c r="E514" s="247">
        <f>'605'!$C$1254/1000</f>
        <v>0</v>
      </c>
      <c r="F514" s="247">
        <f>'605'!$C$1189/1000</f>
        <v>0</v>
      </c>
      <c r="G514" s="247">
        <f t="shared" si="97"/>
        <v>0</v>
      </c>
    </row>
    <row r="515" spans="4:7" x14ac:dyDescent="0.35">
      <c r="D515" s="241" t="s">
        <v>503</v>
      </c>
      <c r="E515" s="247">
        <f>'605'!$C$1255/1000</f>
        <v>0</v>
      </c>
      <c r="F515" s="247">
        <f>'605'!$C$1190/1000</f>
        <v>0</v>
      </c>
      <c r="G515" s="247">
        <f t="shared" si="97"/>
        <v>0</v>
      </c>
    </row>
    <row r="516" spans="4:7" x14ac:dyDescent="0.35">
      <c r="D516" s="240" t="s">
        <v>504</v>
      </c>
      <c r="E516" s="244">
        <f>SUM(E510:E515)</f>
        <v>0</v>
      </c>
      <c r="F516" s="244">
        <f>SUM(F510:F515)</f>
        <v>0</v>
      </c>
      <c r="G516" s="244">
        <f>SUM(G510:G515)</f>
        <v>0</v>
      </c>
    </row>
    <row r="517" spans="4:7" x14ac:dyDescent="0.35">
      <c r="D517" s="240"/>
      <c r="E517" s="254"/>
      <c r="F517" s="254"/>
      <c r="G517" s="254"/>
    </row>
    <row r="518" spans="4:7" x14ac:dyDescent="0.35">
      <c r="D518" s="240" t="s">
        <v>505</v>
      </c>
      <c r="E518" s="257"/>
      <c r="F518" s="257"/>
      <c r="G518" s="257"/>
    </row>
    <row r="519" spans="4:7" x14ac:dyDescent="0.35">
      <c r="D519" s="241" t="s">
        <v>348</v>
      </c>
      <c r="E519" s="246">
        <f>'605'!$C$1258/1000</f>
        <v>0</v>
      </c>
      <c r="F519" s="246">
        <f>'605'!$C$1193/1000</f>
        <v>0</v>
      </c>
      <c r="G519" s="246">
        <f t="shared" ref="G519:G533" si="98">SUM(E519,F519)</f>
        <v>0</v>
      </c>
    </row>
    <row r="520" spans="4:7" x14ac:dyDescent="0.35">
      <c r="D520" s="241" t="s">
        <v>349</v>
      </c>
      <c r="E520" s="247">
        <f>'605'!$C$1259/1000</f>
        <v>0</v>
      </c>
      <c r="F520" s="247">
        <f>'605'!$C$1194/1000</f>
        <v>0</v>
      </c>
      <c r="G520" s="247">
        <f t="shared" si="98"/>
        <v>0</v>
      </c>
    </row>
    <row r="521" spans="4:7" x14ac:dyDescent="0.35">
      <c r="D521" s="241" t="s">
        <v>353</v>
      </c>
      <c r="E521" s="247">
        <f>'605'!$C$1261/1000</f>
        <v>0</v>
      </c>
      <c r="F521" s="247">
        <f>'605'!$C$1196/1000</f>
        <v>0</v>
      </c>
      <c r="G521" s="247">
        <f t="shared" si="98"/>
        <v>0</v>
      </c>
    </row>
    <row r="522" spans="4:7" x14ac:dyDescent="0.35">
      <c r="D522" s="241" t="s">
        <v>352</v>
      </c>
      <c r="E522" s="247">
        <f>'605'!$C$1265/1000</f>
        <v>0</v>
      </c>
      <c r="F522" s="247">
        <f>'605'!$C$1200/1000</f>
        <v>-256.03448000000003</v>
      </c>
      <c r="G522" s="247">
        <f t="shared" si="98"/>
        <v>-256.03448000000003</v>
      </c>
    </row>
    <row r="523" spans="4:7" x14ac:dyDescent="0.35">
      <c r="D523" s="241" t="s">
        <v>351</v>
      </c>
      <c r="E523" s="247">
        <f>'605'!$C$1267/1000</f>
        <v>0</v>
      </c>
      <c r="F523" s="247">
        <f>'605'!$C$1202/1000</f>
        <v>0</v>
      </c>
      <c r="G523" s="247">
        <f t="shared" si="98"/>
        <v>0</v>
      </c>
    </row>
    <row r="524" spans="4:7" x14ac:dyDescent="0.35">
      <c r="D524" s="241" t="s">
        <v>510</v>
      </c>
      <c r="E524" s="247">
        <f>'605'!$C$1262/1000</f>
        <v>0</v>
      </c>
      <c r="F524" s="247">
        <f>'605'!$C$1197/1000</f>
        <v>0</v>
      </c>
      <c r="G524" s="247">
        <f t="shared" si="98"/>
        <v>0</v>
      </c>
    </row>
    <row r="525" spans="4:7" x14ac:dyDescent="0.35">
      <c r="D525" s="241" t="s">
        <v>576</v>
      </c>
      <c r="E525" s="247">
        <f>'605'!$C$1269/1000</f>
        <v>0</v>
      </c>
      <c r="F525" s="247">
        <f>'605'!$C$1204/1000</f>
        <v>0</v>
      </c>
      <c r="G525" s="247">
        <f t="shared" si="98"/>
        <v>0</v>
      </c>
    </row>
    <row r="526" spans="4:7" x14ac:dyDescent="0.35">
      <c r="D526" s="241" t="s">
        <v>577</v>
      </c>
      <c r="E526" s="247">
        <f>'605'!$C$1270/1000</f>
        <v>0</v>
      </c>
      <c r="F526" s="247">
        <f>'605'!$C$1205/1000</f>
        <v>0</v>
      </c>
      <c r="G526" s="247">
        <f t="shared" si="98"/>
        <v>0</v>
      </c>
    </row>
    <row r="527" spans="4:7" x14ac:dyDescent="0.35">
      <c r="D527" s="241" t="s">
        <v>578</v>
      </c>
      <c r="E527" s="247"/>
      <c r="F527" s="247"/>
      <c r="G527" s="247">
        <f t="shared" si="98"/>
        <v>0</v>
      </c>
    </row>
    <row r="528" spans="4:7" x14ac:dyDescent="0.35">
      <c r="D528" s="241" t="s">
        <v>518</v>
      </c>
      <c r="E528" s="247"/>
      <c r="F528" s="247"/>
      <c r="G528" s="247">
        <f t="shared" si="98"/>
        <v>0</v>
      </c>
    </row>
    <row r="529" spans="4:14" x14ac:dyDescent="0.35">
      <c r="D529" s="241" t="s">
        <v>520</v>
      </c>
      <c r="E529" s="247"/>
      <c r="F529" s="247"/>
      <c r="G529" s="247">
        <f t="shared" si="98"/>
        <v>0</v>
      </c>
    </row>
    <row r="530" spans="4:14" x14ac:dyDescent="0.35">
      <c r="D530" s="241" t="s">
        <v>603</v>
      </c>
      <c r="E530" s="247"/>
      <c r="F530" s="247"/>
      <c r="G530" s="247">
        <f t="shared" si="98"/>
        <v>0</v>
      </c>
    </row>
    <row r="531" spans="4:14" x14ac:dyDescent="0.35">
      <c r="D531" s="241" t="s">
        <v>523</v>
      </c>
      <c r="E531" s="272"/>
      <c r="F531" s="272"/>
      <c r="G531" s="272">
        <f t="shared" si="98"/>
        <v>0</v>
      </c>
    </row>
    <row r="532" spans="4:14" x14ac:dyDescent="0.35">
      <c r="D532" s="241" t="s">
        <v>604</v>
      </c>
      <c r="E532" s="272">
        <f>'605'!$C$1272/1000</f>
        <v>0</v>
      </c>
      <c r="F532" s="272">
        <f>'605'!$C$1207/1000</f>
        <v>0</v>
      </c>
      <c r="G532" s="272">
        <f t="shared" si="98"/>
        <v>0</v>
      </c>
    </row>
    <row r="533" spans="4:14" x14ac:dyDescent="0.35">
      <c r="D533" s="241" t="s">
        <v>605</v>
      </c>
      <c r="E533" s="250">
        <f>('605'!C1260+'605'!C1263+'605'!C1264+'605'!C1266+'605'!C1268+'605'!C1271-'605'!C1220)/1000</f>
        <v>0</v>
      </c>
      <c r="F533" s="250">
        <f>('605'!C1195+'605'!C1198+'605'!C1199+'605'!C1201+'605'!C1203+'605'!C1206-'605'!C1155)/1000</f>
        <v>3.637978807091713E-15</v>
      </c>
      <c r="G533" s="250">
        <f t="shared" si="98"/>
        <v>3.637978807091713E-15</v>
      </c>
      <c r="N533" t="s">
        <v>606</v>
      </c>
    </row>
    <row r="534" spans="4:14" x14ac:dyDescent="0.35">
      <c r="D534" s="240" t="s">
        <v>524</v>
      </c>
      <c r="E534" s="244">
        <f>SUM(E519:E533)</f>
        <v>0</v>
      </c>
      <c r="F534" s="244">
        <f>SUM(F519:F533)</f>
        <v>-256.03448000000003</v>
      </c>
      <c r="G534" s="244">
        <f>SUM(G519:G533)</f>
        <v>-256.03448000000003</v>
      </c>
    </row>
    <row r="535" spans="4:14" x14ac:dyDescent="0.35">
      <c r="D535" s="241"/>
      <c r="E535" s="260"/>
      <c r="F535" s="260"/>
      <c r="G535" s="260"/>
    </row>
    <row r="536" spans="4:14" x14ac:dyDescent="0.35">
      <c r="D536" s="240" t="s">
        <v>525</v>
      </c>
      <c r="E536" s="273">
        <f>E493+E507+E516+E534</f>
        <v>1827.3931499999997</v>
      </c>
      <c r="F536" s="273">
        <f>F493+F507+F516+F534</f>
        <v>211.77501999999998</v>
      </c>
      <c r="G536" s="273">
        <f>G493+G507+G516+G534</f>
        <v>2039.1681700000001</v>
      </c>
    </row>
    <row r="537" spans="4:14" x14ac:dyDescent="0.35">
      <c r="D537" s="242" t="s">
        <v>579</v>
      </c>
      <c r="E537" s="244">
        <f>'610'!$H$1084/1000</f>
        <v>4176.1914500000003</v>
      </c>
      <c r="F537" s="244">
        <f>'610'!$H$1030/1000</f>
        <v>614.94772999999998</v>
      </c>
      <c r="G537" s="244">
        <f>SUM(E537,F537)</f>
        <v>4791.1391800000001</v>
      </c>
    </row>
    <row r="538" spans="4:14" x14ac:dyDescent="0.35">
      <c r="D538" s="242" t="s">
        <v>580</v>
      </c>
      <c r="E538" s="244">
        <f>SUM(E536:E537)</f>
        <v>6003.5846000000001</v>
      </c>
      <c r="F538" s="244">
        <f t="shared" ref="F538:G538" si="99">SUM(F536:F537)</f>
        <v>826.72274999999991</v>
      </c>
      <c r="G538" s="244">
        <f t="shared" si="99"/>
        <v>6830.30735</v>
      </c>
    </row>
    <row r="545" spans="4:7" x14ac:dyDescent="0.35">
      <c r="D545" s="255"/>
      <c r="E545" s="240" t="s">
        <v>599</v>
      </c>
      <c r="F545" s="241"/>
      <c r="G545" s="241"/>
    </row>
    <row r="546" spans="4:7" x14ac:dyDescent="0.35">
      <c r="D546" s="267"/>
      <c r="E546" s="240" t="s">
        <v>305</v>
      </c>
      <c r="F546" s="240" t="s">
        <v>306</v>
      </c>
      <c r="G546" s="243" t="s">
        <v>573</v>
      </c>
    </row>
    <row r="547" spans="4:7" x14ac:dyDescent="0.35">
      <c r="D547" s="240" t="s">
        <v>601</v>
      </c>
      <c r="E547" s="244">
        <f>('605'!F1231+'605'!F1220)/1000</f>
        <v>15339.535669999999</v>
      </c>
      <c r="F547" s="244">
        <f>('605'!F1166+'605'!F1155)/1000</f>
        <v>2358.7022800000004</v>
      </c>
      <c r="G547" s="244">
        <f>SUM(E547,F547)</f>
        <v>17698.237949999999</v>
      </c>
    </row>
    <row r="548" spans="4:7" x14ac:dyDescent="0.35">
      <c r="D548" s="241"/>
      <c r="E548" s="245"/>
      <c r="F548" s="245"/>
      <c r="G548" s="245"/>
    </row>
    <row r="549" spans="4:7" x14ac:dyDescent="0.35">
      <c r="D549" s="240" t="s">
        <v>574</v>
      </c>
      <c r="E549" s="245"/>
      <c r="F549" s="245"/>
      <c r="G549" s="245"/>
    </row>
    <row r="550" spans="4:7" x14ac:dyDescent="0.35">
      <c r="D550" s="241" t="s">
        <v>341</v>
      </c>
      <c r="E550" s="246">
        <f>'605'!$F$1234/1000</f>
        <v>-11914.102080000001</v>
      </c>
      <c r="F550" s="246">
        <f>'605'!$F$1169/1000</f>
        <v>296.51819</v>
      </c>
      <c r="G550" s="246">
        <f t="shared" ref="G550:G560" si="100">SUM(E550,F550)</f>
        <v>-11617.58389</v>
      </c>
    </row>
    <row r="551" spans="4:7" x14ac:dyDescent="0.35">
      <c r="D551" s="241" t="s">
        <v>342</v>
      </c>
      <c r="E551" s="247">
        <f>'605'!$F$1235/1000</f>
        <v>-5142.0211500000005</v>
      </c>
      <c r="F551" s="247">
        <f>'605'!$F$1170/1000</f>
        <v>3391.3422099999998</v>
      </c>
      <c r="G551" s="247">
        <f t="shared" si="100"/>
        <v>-1750.6789400000007</v>
      </c>
    </row>
    <row r="552" spans="4:7" x14ac:dyDescent="0.35">
      <c r="D552" s="241" t="s">
        <v>343</v>
      </c>
      <c r="E552" s="247">
        <f>'605'!$F$1236/1000</f>
        <v>7222.2538299999997</v>
      </c>
      <c r="F552" s="247">
        <f>'605'!$F$1171/1000</f>
        <v>0</v>
      </c>
      <c r="G552" s="247">
        <f t="shared" si="100"/>
        <v>7222.2538299999997</v>
      </c>
    </row>
    <row r="553" spans="4:7" x14ac:dyDescent="0.35">
      <c r="D553" s="241" t="s">
        <v>344</v>
      </c>
      <c r="E553" s="247">
        <f>('605'!F1237+'605'!F1238)/1000</f>
        <v>-725.32490000000007</v>
      </c>
      <c r="F553" s="247">
        <f>('605'!F1172+'605'!F1173)/1000</f>
        <v>-250.80620999999996</v>
      </c>
      <c r="G553" s="247">
        <f t="shared" si="100"/>
        <v>-976.13111000000004</v>
      </c>
    </row>
    <row r="554" spans="4:7" x14ac:dyDescent="0.35">
      <c r="D554" s="241" t="s">
        <v>559</v>
      </c>
      <c r="E554" s="247">
        <f>'605'!$F$1239/1000</f>
        <v>0</v>
      </c>
      <c r="F554" s="247">
        <f>'605'!$F$1174/1000</f>
        <v>0</v>
      </c>
      <c r="G554" s="247">
        <f t="shared" si="100"/>
        <v>0</v>
      </c>
    </row>
    <row r="555" spans="4:7" x14ac:dyDescent="0.35">
      <c r="D555" s="241" t="s">
        <v>560</v>
      </c>
      <c r="E555" s="247">
        <f>'605'!$F$1240/1000</f>
        <v>1829.5423500000002</v>
      </c>
      <c r="F555" s="247">
        <f>'605'!$F$1175/1000</f>
        <v>0</v>
      </c>
      <c r="G555" s="247">
        <f t="shared" si="100"/>
        <v>1829.5423500000002</v>
      </c>
    </row>
    <row r="556" spans="4:7" x14ac:dyDescent="0.35">
      <c r="D556" s="241" t="s">
        <v>367</v>
      </c>
      <c r="E556" s="247">
        <f>'605'!$F$1241/1000</f>
        <v>0</v>
      </c>
      <c r="F556" s="247">
        <f>'605'!$F$1176/1000</f>
        <v>90.000009999999989</v>
      </c>
      <c r="G556" s="247">
        <f t="shared" si="100"/>
        <v>90.000009999999989</v>
      </c>
    </row>
    <row r="557" spans="4:7" x14ac:dyDescent="0.35">
      <c r="D557" s="241" t="s">
        <v>492</v>
      </c>
      <c r="E557" s="247">
        <f>('605'!F1242+'605'!F1243)/1000</f>
        <v>-140.85136</v>
      </c>
      <c r="F557" s="247">
        <f>('605'!F1177+'605'!F1178)/1000</f>
        <v>207.29393999999999</v>
      </c>
      <c r="G557" s="247">
        <f t="shared" si="100"/>
        <v>66.442579999999992</v>
      </c>
    </row>
    <row r="558" spans="4:7" x14ac:dyDescent="0.35">
      <c r="D558" s="241" t="s">
        <v>493</v>
      </c>
      <c r="E558" s="247">
        <f>('605'!F1244+'605'!F1245)/1000</f>
        <v>-45.196899999999999</v>
      </c>
      <c r="F558" s="247">
        <f>('605'!F1179+'605'!F1180)/1000</f>
        <v>-145.09369000000001</v>
      </c>
      <c r="G558" s="247">
        <f t="shared" si="100"/>
        <v>-190.29059000000001</v>
      </c>
    </row>
    <row r="559" spans="4:7" x14ac:dyDescent="0.35">
      <c r="D559" s="241" t="s">
        <v>561</v>
      </c>
      <c r="E559" s="247">
        <f>'605'!$F$1246/1000</f>
        <v>0</v>
      </c>
      <c r="F559" s="247">
        <f>'605'!$F$1181/1000</f>
        <v>0</v>
      </c>
      <c r="G559" s="247">
        <f t="shared" si="100"/>
        <v>0</v>
      </c>
    </row>
    <row r="560" spans="4:7" x14ac:dyDescent="0.35">
      <c r="D560" s="241" t="s">
        <v>602</v>
      </c>
      <c r="E560" s="247">
        <f>('605'!F1247+'605'!F1248)/1000</f>
        <v>-1987.9605800000002</v>
      </c>
      <c r="F560" s="247">
        <f>('605'!F1182+'605'!F1183)/1000</f>
        <v>0</v>
      </c>
      <c r="G560" s="247">
        <f t="shared" si="100"/>
        <v>-1987.9605800000002</v>
      </c>
    </row>
    <row r="561" spans="4:7" x14ac:dyDescent="0.35">
      <c r="D561" s="240" t="s">
        <v>574</v>
      </c>
      <c r="E561" s="244">
        <f>SUM(E550:E560)</f>
        <v>-10903.660790000004</v>
      </c>
      <c r="F561" s="244">
        <f>SUM(F550:F560)</f>
        <v>3589.2544499999999</v>
      </c>
      <c r="G561" s="244">
        <f>SUM(G550:G560)</f>
        <v>-7314.4063400000005</v>
      </c>
    </row>
    <row r="562" spans="4:7" ht="14" customHeight="1" x14ac:dyDescent="0.35">
      <c r="D562" s="241"/>
      <c r="E562" s="254"/>
      <c r="F562" s="254"/>
      <c r="G562" s="254"/>
    </row>
    <row r="563" spans="4:7" x14ac:dyDescent="0.35">
      <c r="D563" s="240" t="s">
        <v>497</v>
      </c>
      <c r="E563" s="245"/>
      <c r="F563" s="257"/>
      <c r="G563" s="257"/>
    </row>
    <row r="564" spans="4:7" x14ac:dyDescent="0.35">
      <c r="D564" s="241" t="s">
        <v>498</v>
      </c>
      <c r="E564" s="246">
        <f>'605'!$F$1251/1000</f>
        <v>0</v>
      </c>
      <c r="F564" s="246">
        <f>'605'!$F$1186/1000</f>
        <v>-5406.3381100000006</v>
      </c>
      <c r="G564" s="246">
        <f t="shared" ref="G564:G569" si="101">SUM(E564,F564)</f>
        <v>-5406.3381100000006</v>
      </c>
    </row>
    <row r="565" spans="4:7" hidden="1" x14ac:dyDescent="0.35">
      <c r="D565" s="241" t="s">
        <v>499</v>
      </c>
      <c r="E565" s="247"/>
      <c r="F565" s="247"/>
      <c r="G565" s="247">
        <f t="shared" si="101"/>
        <v>0</v>
      </c>
    </row>
    <row r="566" spans="4:7" x14ac:dyDescent="0.35">
      <c r="D566" s="241" t="s">
        <v>382</v>
      </c>
      <c r="E566" s="247">
        <f>'605'!$F$1252/1000</f>
        <v>0</v>
      </c>
      <c r="F566" s="247">
        <f>'605'!$F$1187/1000</f>
        <v>0</v>
      </c>
      <c r="G566" s="247">
        <f t="shared" si="101"/>
        <v>0</v>
      </c>
    </row>
    <row r="567" spans="4:7" x14ac:dyDescent="0.35">
      <c r="D567" s="241" t="s">
        <v>500</v>
      </c>
      <c r="E567" s="247">
        <f>'605'!$F$1253/1000</f>
        <v>0</v>
      </c>
      <c r="F567" s="247">
        <f>'605'!$F$1188/1000</f>
        <v>0</v>
      </c>
      <c r="G567" s="247">
        <f t="shared" si="101"/>
        <v>0</v>
      </c>
    </row>
    <row r="568" spans="4:7" x14ac:dyDescent="0.35">
      <c r="D568" s="241" t="s">
        <v>575</v>
      </c>
      <c r="E568" s="247">
        <f>'605'!$F$1254/1000</f>
        <v>0</v>
      </c>
      <c r="F568" s="247">
        <f>'605'!$F$1189/1000</f>
        <v>0</v>
      </c>
      <c r="G568" s="247">
        <f t="shared" si="101"/>
        <v>0</v>
      </c>
    </row>
    <row r="569" spans="4:7" x14ac:dyDescent="0.35">
      <c r="D569" s="241" t="s">
        <v>503</v>
      </c>
      <c r="E569" s="247">
        <f>'605'!$F$1255/1000</f>
        <v>-2069.8918600000002</v>
      </c>
      <c r="F569" s="247">
        <f>'605'!$F$1190/1000</f>
        <v>-282.37824000000001</v>
      </c>
      <c r="G569" s="247">
        <f t="shared" si="101"/>
        <v>-2352.2701000000002</v>
      </c>
    </row>
    <row r="570" spans="4:7" x14ac:dyDescent="0.35">
      <c r="D570" s="240" t="s">
        <v>504</v>
      </c>
      <c r="E570" s="244">
        <f>SUM(E564:E569)</f>
        <v>-2069.8918600000002</v>
      </c>
      <c r="F570" s="244">
        <f>SUM(F564:F569)</f>
        <v>-5688.7163500000006</v>
      </c>
      <c r="G570" s="244">
        <f>SUM(G564:G569)</f>
        <v>-7758.6082100000003</v>
      </c>
    </row>
    <row r="571" spans="4:7" x14ac:dyDescent="0.35">
      <c r="D571" s="240"/>
      <c r="E571" s="254"/>
      <c r="F571" s="254"/>
      <c r="G571" s="254"/>
    </row>
    <row r="572" spans="4:7" x14ac:dyDescent="0.35">
      <c r="D572" s="240" t="s">
        <v>505</v>
      </c>
      <c r="E572" s="245"/>
      <c r="F572" s="257"/>
      <c r="G572" s="257"/>
    </row>
    <row r="573" spans="4:7" x14ac:dyDescent="0.35">
      <c r="D573" s="241" t="s">
        <v>348</v>
      </c>
      <c r="E573" s="246">
        <f>'605'!$F$1258/1000</f>
        <v>0</v>
      </c>
      <c r="F573" s="246">
        <f>'605'!$F$1193/1000</f>
        <v>0</v>
      </c>
      <c r="G573" s="246">
        <f t="shared" ref="G573:G587" si="102">SUM(E573,F573)</f>
        <v>0</v>
      </c>
    </row>
    <row r="574" spans="4:7" x14ac:dyDescent="0.35">
      <c r="D574" s="241" t="s">
        <v>349</v>
      </c>
      <c r="E574" s="247">
        <f>'605'!$F$1259/1000</f>
        <v>0</v>
      </c>
      <c r="F574" s="247">
        <f>'605'!$F$1194/1000</f>
        <v>0</v>
      </c>
      <c r="G574" s="247">
        <f t="shared" si="102"/>
        <v>0</v>
      </c>
    </row>
    <row r="575" spans="4:7" x14ac:dyDescent="0.35">
      <c r="D575" s="241" t="s">
        <v>353</v>
      </c>
      <c r="E575" s="247">
        <f>'605'!$F$1261/1000</f>
        <v>-35</v>
      </c>
      <c r="F575" s="247">
        <f>'605'!$F$1196/1000</f>
        <v>0</v>
      </c>
      <c r="G575" s="247">
        <f t="shared" si="102"/>
        <v>-35</v>
      </c>
    </row>
    <row r="576" spans="4:7" x14ac:dyDescent="0.35">
      <c r="D576" s="241" t="s">
        <v>352</v>
      </c>
      <c r="E576" s="247">
        <f>'605'!$F$1265/1000</f>
        <v>-344.04700000000003</v>
      </c>
      <c r="F576" s="247">
        <f>'605'!$F$1200/1000</f>
        <v>-256.03448000000003</v>
      </c>
      <c r="G576" s="247">
        <f t="shared" si="102"/>
        <v>-600.08148000000006</v>
      </c>
    </row>
    <row r="577" spans="4:7" x14ac:dyDescent="0.35">
      <c r="D577" s="241" t="s">
        <v>351</v>
      </c>
      <c r="E577" s="247">
        <f>'605'!$F$1267/1000</f>
        <v>-30.84413</v>
      </c>
      <c r="F577" s="247">
        <f>'605'!$F$1202/1000</f>
        <v>0</v>
      </c>
      <c r="G577" s="247">
        <f t="shared" si="102"/>
        <v>-30.84413</v>
      </c>
    </row>
    <row r="578" spans="4:7" x14ac:dyDescent="0.35">
      <c r="D578" s="241" t="s">
        <v>510</v>
      </c>
      <c r="E578" s="247">
        <f>'605'!$F$1262/1000</f>
        <v>0</v>
      </c>
      <c r="F578" s="247">
        <f>'605'!$F$1197/1000</f>
        <v>-15.64</v>
      </c>
      <c r="G578" s="247">
        <f t="shared" si="102"/>
        <v>-15.64</v>
      </c>
    </row>
    <row r="579" spans="4:7" x14ac:dyDescent="0.35">
      <c r="D579" s="241" t="s">
        <v>576</v>
      </c>
      <c r="E579" s="247">
        <f>'605'!$F$1269/1000</f>
        <v>0</v>
      </c>
      <c r="F579" s="247">
        <f>'605'!$F$1204/1000</f>
        <v>0</v>
      </c>
      <c r="G579" s="247">
        <f t="shared" si="102"/>
        <v>0</v>
      </c>
    </row>
    <row r="580" spans="4:7" x14ac:dyDescent="0.35">
      <c r="D580" s="241" t="s">
        <v>577</v>
      </c>
      <c r="E580" s="247">
        <f>'605'!$F$1270/1000</f>
        <v>0</v>
      </c>
      <c r="F580" s="247">
        <f>'605'!$F$1205/1000</f>
        <v>0</v>
      </c>
      <c r="G580" s="247">
        <f t="shared" si="102"/>
        <v>0</v>
      </c>
    </row>
    <row r="581" spans="4:7" x14ac:dyDescent="0.35">
      <c r="D581" s="241" t="s">
        <v>578</v>
      </c>
      <c r="E581" s="247"/>
      <c r="F581" s="247"/>
      <c r="G581" s="247">
        <f t="shared" si="102"/>
        <v>0</v>
      </c>
    </row>
    <row r="582" spans="4:7" x14ac:dyDescent="0.35">
      <c r="D582" s="241" t="s">
        <v>518</v>
      </c>
      <c r="E582" s="247"/>
      <c r="F582" s="247"/>
      <c r="G582" s="247">
        <f t="shared" si="102"/>
        <v>0</v>
      </c>
    </row>
    <row r="583" spans="4:7" x14ac:dyDescent="0.35">
      <c r="D583" s="241" t="s">
        <v>520</v>
      </c>
      <c r="E583" s="247"/>
      <c r="F583" s="247"/>
      <c r="G583" s="247">
        <f t="shared" si="102"/>
        <v>0</v>
      </c>
    </row>
    <row r="584" spans="4:7" x14ac:dyDescent="0.35">
      <c r="D584" s="241" t="s">
        <v>603</v>
      </c>
      <c r="E584" s="247"/>
      <c r="F584" s="247"/>
      <c r="G584" s="247">
        <f t="shared" si="102"/>
        <v>0</v>
      </c>
    </row>
    <row r="585" spans="4:7" x14ac:dyDescent="0.35">
      <c r="D585" s="241" t="s">
        <v>523</v>
      </c>
      <c r="E585" s="272"/>
      <c r="F585" s="272"/>
      <c r="G585" s="272">
        <f t="shared" si="102"/>
        <v>0</v>
      </c>
    </row>
    <row r="586" spans="4:7" x14ac:dyDescent="0.35">
      <c r="D586" s="241" t="s">
        <v>604</v>
      </c>
      <c r="E586" s="272">
        <f>'605'!$F$1272/1000</f>
        <v>0</v>
      </c>
      <c r="F586" s="272">
        <f>'605'!$F$1207/1000</f>
        <v>0</v>
      </c>
      <c r="G586" s="272">
        <f t="shared" si="102"/>
        <v>0</v>
      </c>
    </row>
    <row r="587" spans="4:7" x14ac:dyDescent="0.35">
      <c r="D587" s="241" t="s">
        <v>605</v>
      </c>
      <c r="E587" s="250">
        <f>('605'!F1260+'605'!F1263+'605'!F1264+'605'!F1266+'605'!F1268+'605'!F1271-'605'!F1220)/1000</f>
        <v>11.435760000000005</v>
      </c>
      <c r="F587" s="247">
        <f>('605'!F1195+'605'!F1198+'605'!F1199+'605'!F1201+'605'!F1203+'605'!F1206-'605'!F1155)/1000</f>
        <v>7.7462400000000198</v>
      </c>
      <c r="G587" s="247">
        <f t="shared" si="102"/>
        <v>19.182000000000023</v>
      </c>
    </row>
    <row r="588" spans="4:7" x14ac:dyDescent="0.35">
      <c r="D588" s="240" t="s">
        <v>524</v>
      </c>
      <c r="E588" s="244">
        <f>SUM(E573:E587)</f>
        <v>-398.45537000000002</v>
      </c>
      <c r="F588" s="244">
        <f>SUM(F573:F587)</f>
        <v>-263.92824000000002</v>
      </c>
      <c r="G588" s="244">
        <f>SUM(G573:G587)</f>
        <v>-662.38360999999998</v>
      </c>
    </row>
    <row r="589" spans="4:7" x14ac:dyDescent="0.35">
      <c r="D589" s="241"/>
      <c r="E589" s="260"/>
      <c r="F589" s="260"/>
      <c r="G589" s="260"/>
    </row>
    <row r="590" spans="4:7" x14ac:dyDescent="0.35">
      <c r="D590" s="240" t="s">
        <v>525</v>
      </c>
      <c r="E590" s="273">
        <f>E547+E561+E570+E588</f>
        <v>1967.5276499999954</v>
      </c>
      <c r="F590" s="273">
        <f>F547+F561+F570+F588</f>
        <v>-4.6878600000007395</v>
      </c>
      <c r="G590" s="273">
        <f>G547+G561+G570+G588</f>
        <v>1962.8397899999973</v>
      </c>
    </row>
    <row r="591" spans="4:7" x14ac:dyDescent="0.35">
      <c r="D591" s="242" t="s">
        <v>579</v>
      </c>
      <c r="E591" s="244">
        <f>'610'!$I$1084/1000</f>
        <v>4036.0569500000001</v>
      </c>
      <c r="F591" s="244">
        <f>'610'!$I$1030/1000</f>
        <v>831.41061000000002</v>
      </c>
      <c r="G591" s="244">
        <f>SUM(E591,F591)</f>
        <v>4867.46756</v>
      </c>
    </row>
    <row r="592" spans="4:7" x14ac:dyDescent="0.35">
      <c r="D592" s="242" t="s">
        <v>580</v>
      </c>
      <c r="E592" s="244">
        <f>SUM(E590:E591)</f>
        <v>6003.5845999999956</v>
      </c>
      <c r="F592" s="244">
        <f t="shared" ref="F592" si="103">SUM(F590:F591)</f>
        <v>826.72274999999922</v>
      </c>
      <c r="G592" s="244">
        <f t="shared" ref="G592" si="104">SUM(G590:G591)</f>
        <v>6830.3073499999973</v>
      </c>
    </row>
    <row r="599" spans="3:11" x14ac:dyDescent="0.35">
      <c r="C599" t="s">
        <v>607</v>
      </c>
    </row>
    <row r="600" spans="3:11" x14ac:dyDescent="0.35">
      <c r="D600" s="25"/>
      <c r="E600" s="274"/>
      <c r="F600" s="274"/>
      <c r="G600" s="274"/>
      <c r="H600" s="274"/>
      <c r="I600" s="274" t="s">
        <v>106</v>
      </c>
      <c r="J600" s="274"/>
      <c r="K600" s="275"/>
    </row>
    <row r="601" spans="3:11" x14ac:dyDescent="0.35">
      <c r="D601" s="7"/>
      <c r="E601" s="28" t="s">
        <v>25</v>
      </c>
      <c r="F601" s="28" t="s">
        <v>26</v>
      </c>
      <c r="G601" s="28" t="s">
        <v>27</v>
      </c>
      <c r="H601" s="28" t="s">
        <v>28</v>
      </c>
      <c r="I601" s="28" t="s">
        <v>29</v>
      </c>
      <c r="J601" s="28" t="s">
        <v>30</v>
      </c>
      <c r="K601" s="28" t="s">
        <v>31</v>
      </c>
    </row>
    <row r="602" spans="3:11" x14ac:dyDescent="0.35">
      <c r="D602" s="4" t="s">
        <v>608</v>
      </c>
      <c r="E602" s="14">
        <f t="shared" ref="E602:E635" si="105">I4</f>
        <v>-846.45998000000009</v>
      </c>
      <c r="F602" s="14">
        <f>$K$100</f>
        <v>1530.7297899999999</v>
      </c>
      <c r="G602" s="14">
        <f>I196*TC_MES</f>
        <v>233984.56823329502</v>
      </c>
      <c r="H602" s="14">
        <f>J293*TC_MES</f>
        <v>876.30336808000004</v>
      </c>
      <c r="I602" s="14">
        <f t="shared" ref="I602:I611" si="106">J390</f>
        <v>9274.0278900000012</v>
      </c>
      <c r="J602" s="14">
        <f t="shared" ref="J602:J608" si="107">G493</f>
        <v>3391.8144700000003</v>
      </c>
      <c r="K602" s="14">
        <f>SUM(E602,F602,G602,H602,I602,J602)</f>
        <v>248210.98377137503</v>
      </c>
    </row>
    <row r="603" spans="3:11" x14ac:dyDescent="0.35">
      <c r="D603" s="7"/>
      <c r="E603" s="30"/>
      <c r="F603" s="30"/>
      <c r="G603" s="30"/>
      <c r="H603" s="30"/>
      <c r="I603" s="30"/>
      <c r="J603" s="30"/>
      <c r="K603" s="30"/>
    </row>
    <row r="604" spans="3:11" x14ac:dyDescent="0.35">
      <c r="D604" s="4" t="s">
        <v>574</v>
      </c>
      <c r="E604" s="30"/>
      <c r="F604" s="30"/>
      <c r="G604" s="30"/>
      <c r="H604" s="30"/>
      <c r="I604" s="30"/>
      <c r="J604" s="30"/>
      <c r="K604" s="30"/>
    </row>
    <row r="605" spans="3:11" x14ac:dyDescent="0.35">
      <c r="D605" s="7" t="s">
        <v>609</v>
      </c>
      <c r="E605" s="8">
        <f t="shared" si="105"/>
        <v>485.26979000000028</v>
      </c>
      <c r="F605" s="8">
        <f t="shared" ref="F605:F612" si="108">K103</f>
        <v>-3537.1547300000002</v>
      </c>
      <c r="G605" s="8">
        <f t="shared" ref="G605:G612" si="109">I199*TC_MES</f>
        <v>547.066981575</v>
      </c>
      <c r="H605" s="8">
        <f t="shared" ref="H605:H612" si="110">J296*TC_MES</f>
        <v>-184.51757499999999</v>
      </c>
      <c r="I605" s="8">
        <f t="shared" si="106"/>
        <v>34879.948399999994</v>
      </c>
      <c r="J605" s="8">
        <f t="shared" si="107"/>
        <v>-2053.7956100000001</v>
      </c>
      <c r="K605" s="8">
        <f t="shared" ref="K605:K612" si="111">SUM(E605,F605,G605,H605,I605,J605)</f>
        <v>30136.817256574992</v>
      </c>
    </row>
    <row r="606" spans="3:11" x14ac:dyDescent="0.35">
      <c r="D606" s="7" t="s">
        <v>610</v>
      </c>
      <c r="E606" s="11">
        <f t="shared" si="105"/>
        <v>-18.767589999999998</v>
      </c>
      <c r="F606" s="11">
        <f t="shared" si="108"/>
        <v>891.97922000000028</v>
      </c>
      <c r="G606" s="11">
        <f t="shared" si="109"/>
        <v>-73.048238475000005</v>
      </c>
      <c r="H606" s="11">
        <f t="shared" si="110"/>
        <v>-32165.209253575005</v>
      </c>
      <c r="I606" s="11">
        <f t="shared" si="106"/>
        <v>-3081.4721</v>
      </c>
      <c r="J606" s="11">
        <f t="shared" si="107"/>
        <v>-254.38936000000001</v>
      </c>
      <c r="K606" s="11">
        <f t="shared" si="111"/>
        <v>-34700.907322050007</v>
      </c>
    </row>
    <row r="607" spans="3:11" x14ac:dyDescent="0.35">
      <c r="D607" s="7" t="s">
        <v>611</v>
      </c>
      <c r="E607" s="11">
        <f t="shared" si="105"/>
        <v>19205.190340000001</v>
      </c>
      <c r="F607" s="11">
        <f t="shared" si="108"/>
        <v>769.06525999999997</v>
      </c>
      <c r="G607" s="11">
        <f t="shared" si="109"/>
        <v>338.92227644999997</v>
      </c>
      <c r="H607" s="11">
        <f t="shared" si="110"/>
        <v>0</v>
      </c>
      <c r="I607" s="11">
        <f t="shared" si="106"/>
        <v>-756.92216000000008</v>
      </c>
      <c r="J607" s="11">
        <f t="shared" si="107"/>
        <v>1642.7706699999999</v>
      </c>
      <c r="K607" s="11">
        <f t="shared" si="111"/>
        <v>21199.026386450001</v>
      </c>
    </row>
    <row r="608" spans="3:11" x14ac:dyDescent="0.35">
      <c r="D608" s="7" t="s">
        <v>612</v>
      </c>
      <c r="E608" s="11">
        <f t="shared" si="105"/>
        <v>-449.97036000000003</v>
      </c>
      <c r="F608" s="11">
        <f t="shared" si="108"/>
        <v>-2319.1241800000003</v>
      </c>
      <c r="G608" s="11">
        <f t="shared" si="109"/>
        <v>60.398818665</v>
      </c>
      <c r="H608" s="11">
        <f t="shared" si="110"/>
        <v>121.406644</v>
      </c>
      <c r="I608" s="11">
        <f t="shared" si="106"/>
        <v>2824.5787100000002</v>
      </c>
      <c r="J608" s="11">
        <f t="shared" si="107"/>
        <v>-313.69236000000001</v>
      </c>
      <c r="K608" s="11">
        <f t="shared" si="111"/>
        <v>-76.402727334999781</v>
      </c>
    </row>
    <row r="609" spans="4:11" x14ac:dyDescent="0.35">
      <c r="D609" s="7" t="s">
        <v>613</v>
      </c>
      <c r="E609" s="11">
        <f t="shared" si="105"/>
        <v>-17371.188519999996</v>
      </c>
      <c r="F609" s="11">
        <f t="shared" si="108"/>
        <v>-1479.3836699999999</v>
      </c>
      <c r="G609" s="11">
        <f t="shared" si="109"/>
        <v>-283.45866154499998</v>
      </c>
      <c r="H609" s="11">
        <f t="shared" si="110"/>
        <v>226.79282090000001</v>
      </c>
      <c r="I609" s="11">
        <f t="shared" si="106"/>
        <v>-19655.732810000001</v>
      </c>
      <c r="J609" s="11">
        <f>G502</f>
        <v>158</v>
      </c>
      <c r="K609" s="11">
        <f t="shared" si="111"/>
        <v>-38404.970840644994</v>
      </c>
    </row>
    <row r="610" spans="4:11" x14ac:dyDescent="0.35">
      <c r="D610" s="7" t="s">
        <v>614</v>
      </c>
      <c r="E610" s="11">
        <f t="shared" si="105"/>
        <v>-12596.019630000001</v>
      </c>
      <c r="F610" s="11">
        <f t="shared" si="108"/>
        <v>-1342.2729900000002</v>
      </c>
      <c r="G610" s="11">
        <f t="shared" si="109"/>
        <v>32708.340189125</v>
      </c>
      <c r="H610" s="11">
        <f t="shared" si="110"/>
        <v>216.71756927000001</v>
      </c>
      <c r="I610" s="11">
        <f t="shared" si="106"/>
        <v>-6847.8491400000003</v>
      </c>
      <c r="J610" s="11">
        <f>G503</f>
        <v>-335.36473999999998</v>
      </c>
      <c r="K610" s="11">
        <f t="shared" si="111"/>
        <v>11803.551258395</v>
      </c>
    </row>
    <row r="611" spans="4:11" x14ac:dyDescent="0.35">
      <c r="D611" s="7" t="s">
        <v>615</v>
      </c>
      <c r="E611" s="11">
        <f t="shared" si="105"/>
        <v>1810.5166999999999</v>
      </c>
      <c r="F611" s="11">
        <f t="shared" si="108"/>
        <v>3965.7811799999995</v>
      </c>
      <c r="G611" s="11">
        <f t="shared" si="109"/>
        <v>678.72471160000009</v>
      </c>
      <c r="H611" s="11">
        <f>J302*TC_MES</f>
        <v>0</v>
      </c>
      <c r="I611" s="11">
        <f t="shared" si="106"/>
        <v>-8189.723680000001</v>
      </c>
      <c r="J611" s="11">
        <f>G504</f>
        <v>-88.391030000000001</v>
      </c>
      <c r="K611" s="11">
        <f t="shared" si="111"/>
        <v>-1823.0921184000019</v>
      </c>
    </row>
    <row r="612" spans="4:11" x14ac:dyDescent="0.35">
      <c r="D612" s="4" t="s">
        <v>574</v>
      </c>
      <c r="E612" s="14">
        <f t="shared" si="105"/>
        <v>-8934.969269999996</v>
      </c>
      <c r="F612" s="14">
        <f t="shared" si="108"/>
        <v>-3051.1099100000015</v>
      </c>
      <c r="G612" s="14">
        <f t="shared" si="109"/>
        <v>33976.946077395005</v>
      </c>
      <c r="H612" s="14">
        <f t="shared" si="110"/>
        <v>-31784.809794405006</v>
      </c>
      <c r="I612" s="264">
        <f>J400</f>
        <v>-827.17278000000806</v>
      </c>
      <c r="J612" s="14">
        <f>G507</f>
        <v>-1096.6118200000003</v>
      </c>
      <c r="K612" s="14">
        <f t="shared" si="111"/>
        <v>-11717.727497010006</v>
      </c>
    </row>
    <row r="613" spans="4:11" x14ac:dyDescent="0.35">
      <c r="D613" s="7"/>
      <c r="E613" s="207"/>
      <c r="F613" s="207"/>
      <c r="G613" s="207"/>
      <c r="H613" s="207"/>
      <c r="I613" s="207"/>
      <c r="J613" s="207"/>
      <c r="K613" s="207"/>
    </row>
    <row r="614" spans="4:11" x14ac:dyDescent="0.35">
      <c r="D614" s="4" t="s">
        <v>616</v>
      </c>
      <c r="E614" s="30"/>
      <c r="F614" s="30"/>
      <c r="G614" s="30"/>
      <c r="H614" s="30"/>
      <c r="I614" s="30"/>
      <c r="J614" s="30"/>
      <c r="K614" s="30"/>
    </row>
    <row r="615" spans="4:11" x14ac:dyDescent="0.35">
      <c r="D615" s="7" t="s">
        <v>617</v>
      </c>
      <c r="E615" s="8">
        <f t="shared" si="105"/>
        <v>0</v>
      </c>
      <c r="F615" s="8">
        <f t="shared" ref="F615:F621" si="112">K113</f>
        <v>-332.34798000000001</v>
      </c>
      <c r="G615" s="8">
        <f t="shared" ref="G615:G621" si="113">I209*TC_MES</f>
        <v>-31984.283357575001</v>
      </c>
      <c r="H615" s="8">
        <f t="shared" ref="H615:H621" si="114">J306*TC_MES</f>
        <v>31287.070576995</v>
      </c>
      <c r="I615" s="8">
        <f t="shared" ref="I615:I621" si="115">J403</f>
        <v>-2427.70777</v>
      </c>
      <c r="J615" s="8">
        <f t="shared" ref="J615:J621" si="116">G510</f>
        <v>0</v>
      </c>
      <c r="K615" s="8">
        <f t="shared" ref="K615:K621" si="117">SUM(E615,F615,G615,H615,I615,J615)</f>
        <v>-3457.2685305799996</v>
      </c>
    </row>
    <row r="616" spans="4:11" x14ac:dyDescent="0.35">
      <c r="D616" s="7" t="s">
        <v>618</v>
      </c>
      <c r="E616" s="11">
        <f t="shared" si="105"/>
        <v>-2.2453400000000001</v>
      </c>
      <c r="F616" s="11">
        <f t="shared" si="112"/>
        <v>-60.99533000000001</v>
      </c>
      <c r="G616" s="11">
        <f t="shared" si="113"/>
        <v>-2080.47374571</v>
      </c>
      <c r="H616" s="11">
        <f t="shared" si="114"/>
        <v>0</v>
      </c>
      <c r="I616" s="11">
        <f t="shared" si="115"/>
        <v>28.424229999999998</v>
      </c>
      <c r="J616" s="11">
        <f t="shared" si="116"/>
        <v>0</v>
      </c>
      <c r="K616" s="11">
        <f t="shared" si="117"/>
        <v>-2115.2901857100001</v>
      </c>
    </row>
    <row r="617" spans="4:11" x14ac:dyDescent="0.35">
      <c r="D617" s="7" t="s">
        <v>619</v>
      </c>
      <c r="E617" s="11">
        <f t="shared" si="105"/>
        <v>6000</v>
      </c>
      <c r="F617" s="11">
        <f t="shared" si="112"/>
        <v>0</v>
      </c>
      <c r="G617" s="11">
        <f t="shared" si="113"/>
        <v>0</v>
      </c>
      <c r="H617" s="11">
        <f t="shared" si="114"/>
        <v>0</v>
      </c>
      <c r="I617" s="11">
        <f t="shared" si="115"/>
        <v>0</v>
      </c>
      <c r="J617" s="11">
        <f t="shared" si="116"/>
        <v>0</v>
      </c>
      <c r="K617" s="11">
        <f t="shared" si="117"/>
        <v>6000</v>
      </c>
    </row>
    <row r="618" spans="4:11" x14ac:dyDescent="0.35">
      <c r="D618" s="7" t="s">
        <v>620</v>
      </c>
      <c r="E618" s="11">
        <f t="shared" si="105"/>
        <v>0</v>
      </c>
      <c r="F618" s="11">
        <f t="shared" si="112"/>
        <v>0</v>
      </c>
      <c r="G618" s="11">
        <f t="shared" si="113"/>
        <v>0</v>
      </c>
      <c r="H618" s="11">
        <f t="shared" si="114"/>
        <v>0</v>
      </c>
      <c r="I618" s="11">
        <f t="shared" si="115"/>
        <v>0</v>
      </c>
      <c r="J618" s="11">
        <f t="shared" si="116"/>
        <v>0</v>
      </c>
      <c r="K618" s="11">
        <f t="shared" si="117"/>
        <v>0</v>
      </c>
    </row>
    <row r="619" spans="4:11" x14ac:dyDescent="0.35">
      <c r="D619" s="7" t="s">
        <v>575</v>
      </c>
      <c r="E619" s="11">
        <f t="shared" si="105"/>
        <v>0</v>
      </c>
      <c r="F619" s="11">
        <f t="shared" si="112"/>
        <v>0</v>
      </c>
      <c r="G619" s="11">
        <f t="shared" si="113"/>
        <v>0</v>
      </c>
      <c r="H619" s="11">
        <f t="shared" si="114"/>
        <v>0</v>
      </c>
      <c r="I619" s="11">
        <f t="shared" si="115"/>
        <v>0</v>
      </c>
      <c r="J619" s="11">
        <f t="shared" si="116"/>
        <v>0</v>
      </c>
      <c r="K619" s="11">
        <f t="shared" si="117"/>
        <v>0</v>
      </c>
    </row>
    <row r="620" spans="4:11" x14ac:dyDescent="0.35">
      <c r="D620" s="7" t="s">
        <v>621</v>
      </c>
      <c r="E620" s="11">
        <f t="shared" si="105"/>
        <v>466.25307000000009</v>
      </c>
      <c r="F620" s="11">
        <f t="shared" si="112"/>
        <v>0</v>
      </c>
      <c r="G620" s="11">
        <f t="shared" si="113"/>
        <v>0</v>
      </c>
      <c r="H620" s="11">
        <f t="shared" si="114"/>
        <v>0</v>
      </c>
      <c r="I620" s="11">
        <f t="shared" si="115"/>
        <v>0</v>
      </c>
      <c r="J620" s="11">
        <f t="shared" si="116"/>
        <v>0</v>
      </c>
      <c r="K620" s="11">
        <f t="shared" si="117"/>
        <v>466.25307000000009</v>
      </c>
    </row>
    <row r="621" spans="4:11" x14ac:dyDescent="0.35">
      <c r="D621" s="4" t="s">
        <v>622</v>
      </c>
      <c r="E621" s="14">
        <f t="shared" si="105"/>
        <v>6464.0077299999994</v>
      </c>
      <c r="F621" s="14">
        <f t="shared" si="112"/>
        <v>-393.34331000000003</v>
      </c>
      <c r="G621" s="14">
        <f t="shared" si="113"/>
        <v>-34064.757103285003</v>
      </c>
      <c r="H621" s="14">
        <f t="shared" si="114"/>
        <v>31287.070576995</v>
      </c>
      <c r="I621" s="14">
        <f t="shared" si="115"/>
        <v>-2399.2835399999999</v>
      </c>
      <c r="J621" s="14">
        <f t="shared" si="116"/>
        <v>0</v>
      </c>
      <c r="K621" s="14">
        <f t="shared" si="117"/>
        <v>893.69435370999827</v>
      </c>
    </row>
    <row r="622" spans="4:11" x14ac:dyDescent="0.35">
      <c r="D622" s="4"/>
      <c r="E622" s="214"/>
      <c r="F622" s="214"/>
      <c r="G622" s="214"/>
      <c r="H622" s="214"/>
      <c r="I622" s="214"/>
      <c r="J622" s="214"/>
      <c r="K622" s="214"/>
    </row>
    <row r="623" spans="4:11" x14ac:dyDescent="0.35">
      <c r="D623" s="4" t="s">
        <v>623</v>
      </c>
      <c r="E623" s="30"/>
      <c r="F623" s="30"/>
      <c r="G623" s="30"/>
      <c r="H623" s="30"/>
      <c r="I623" s="30"/>
      <c r="J623" s="30"/>
      <c r="K623" s="30"/>
    </row>
    <row r="624" spans="4:11" x14ac:dyDescent="0.35">
      <c r="D624" s="7" t="s">
        <v>624</v>
      </c>
      <c r="E624" s="8">
        <f t="shared" si="105"/>
        <v>0</v>
      </c>
      <c r="F624" s="8">
        <f t="shared" ref="F624:F633" si="118">K122</f>
        <v>0</v>
      </c>
      <c r="G624" s="8">
        <f t="shared" ref="G624:G635" si="119">I218*TC_MES</f>
        <v>0</v>
      </c>
      <c r="H624" s="8">
        <f t="shared" ref="H624:H635" si="120">J315*TC_MES</f>
        <v>-79.924724999999995</v>
      </c>
      <c r="I624" s="8">
        <f t="shared" ref="I624:I636" si="121">J412</f>
        <v>0</v>
      </c>
      <c r="J624" s="8">
        <f>G520</f>
        <v>0</v>
      </c>
      <c r="K624" s="8">
        <f t="shared" ref="K624:K640" si="122">SUM(E624,F624,G624,H624,I624,J624)</f>
        <v>-79.924724999999995</v>
      </c>
    </row>
    <row r="625" spans="4:11" x14ac:dyDescent="0.35">
      <c r="D625" s="7" t="s">
        <v>625</v>
      </c>
      <c r="E625" s="11">
        <f t="shared" si="105"/>
        <v>-9.0517199999999995</v>
      </c>
      <c r="F625" s="11">
        <f t="shared" si="118"/>
        <v>-521.53359</v>
      </c>
      <c r="G625" s="11">
        <f t="shared" si="119"/>
        <v>0</v>
      </c>
      <c r="H625" s="11">
        <f t="shared" si="120"/>
        <v>0</v>
      </c>
      <c r="I625" s="11">
        <f t="shared" si="121"/>
        <v>-99.637480000000011</v>
      </c>
      <c r="J625" s="11">
        <f>G521</f>
        <v>0</v>
      </c>
      <c r="K625" s="11">
        <f t="shared" si="122"/>
        <v>-630.22279000000003</v>
      </c>
    </row>
    <row r="626" spans="4:11" x14ac:dyDescent="0.35">
      <c r="D626" s="7" t="s">
        <v>626</v>
      </c>
      <c r="E626" s="11">
        <f t="shared" si="105"/>
        <v>0</v>
      </c>
      <c r="F626" s="11">
        <f t="shared" si="118"/>
        <v>-35.999319999999997</v>
      </c>
      <c r="G626" s="11">
        <f t="shared" si="119"/>
        <v>0</v>
      </c>
      <c r="H626" s="11">
        <f t="shared" si="120"/>
        <v>0</v>
      </c>
      <c r="I626" s="11">
        <f t="shared" si="121"/>
        <v>-6481.3829099999994</v>
      </c>
      <c r="J626" s="11">
        <f>G522</f>
        <v>-256.03448000000003</v>
      </c>
      <c r="K626" s="11">
        <f t="shared" si="122"/>
        <v>-6773.4167099999995</v>
      </c>
    </row>
    <row r="627" spans="4:11" x14ac:dyDescent="0.35">
      <c r="D627" s="7" t="s">
        <v>627</v>
      </c>
      <c r="E627" s="11">
        <f t="shared" si="105"/>
        <v>-50.975000000000001</v>
      </c>
      <c r="F627" s="11">
        <f t="shared" si="118"/>
        <v>-88.36296999999999</v>
      </c>
      <c r="G627" s="11">
        <f t="shared" si="119"/>
        <v>0</v>
      </c>
      <c r="H627" s="11">
        <f t="shared" si="120"/>
        <v>0</v>
      </c>
      <c r="I627" s="11">
        <f t="shared" si="121"/>
        <v>-123.64400000000001</v>
      </c>
      <c r="J627" s="11">
        <f t="shared" ref="J627:J628" si="123">G523</f>
        <v>0</v>
      </c>
      <c r="K627" s="11">
        <f t="shared" si="122"/>
        <v>-262.98196999999999</v>
      </c>
    </row>
    <row r="628" spans="4:11" x14ac:dyDescent="0.35">
      <c r="D628" s="7" t="s">
        <v>628</v>
      </c>
      <c r="E628" s="11">
        <f t="shared" si="105"/>
        <v>-8.2741399999999992</v>
      </c>
      <c r="F628" s="11">
        <f t="shared" si="118"/>
        <v>-0.34482999999999997</v>
      </c>
      <c r="G628" s="11">
        <f t="shared" si="119"/>
        <v>0</v>
      </c>
      <c r="H628" s="11">
        <f t="shared" si="120"/>
        <v>0</v>
      </c>
      <c r="I628" s="11">
        <f t="shared" si="121"/>
        <v>-23.4</v>
      </c>
      <c r="J628" s="11">
        <f t="shared" si="123"/>
        <v>0</v>
      </c>
      <c r="K628" s="11">
        <f t="shared" si="122"/>
        <v>-32.018969999999996</v>
      </c>
    </row>
    <row r="629" spans="4:11" x14ac:dyDescent="0.35">
      <c r="D629" s="7" t="s">
        <v>629</v>
      </c>
      <c r="E629" s="11">
        <f t="shared" si="105"/>
        <v>0</v>
      </c>
      <c r="F629" s="11">
        <f t="shared" si="118"/>
        <v>0</v>
      </c>
      <c r="G629" s="11">
        <f t="shared" si="119"/>
        <v>0</v>
      </c>
      <c r="H629" s="11">
        <f t="shared" si="120"/>
        <v>0</v>
      </c>
      <c r="I629" s="11">
        <f t="shared" si="121"/>
        <v>0</v>
      </c>
      <c r="J629" s="11">
        <f t="shared" ref="J629:J636" si="124">G525</f>
        <v>0</v>
      </c>
      <c r="K629" s="11">
        <f t="shared" si="122"/>
        <v>0</v>
      </c>
    </row>
    <row r="630" spans="4:11" x14ac:dyDescent="0.35">
      <c r="D630" s="7" t="s">
        <v>630</v>
      </c>
      <c r="E630" s="11">
        <f t="shared" si="105"/>
        <v>0</v>
      </c>
      <c r="F630" s="11">
        <f t="shared" si="118"/>
        <v>0</v>
      </c>
      <c r="G630" s="11">
        <f t="shared" si="119"/>
        <v>0</v>
      </c>
      <c r="H630" s="11">
        <f t="shared" si="120"/>
        <v>0</v>
      </c>
      <c r="I630" s="11">
        <f t="shared" si="121"/>
        <v>0</v>
      </c>
      <c r="J630" s="11">
        <f t="shared" si="124"/>
        <v>0</v>
      </c>
      <c r="K630" s="11">
        <f t="shared" si="122"/>
        <v>0</v>
      </c>
    </row>
    <row r="631" spans="4:11" x14ac:dyDescent="0.35">
      <c r="D631" s="7" t="s">
        <v>631</v>
      </c>
      <c r="E631" s="11">
        <f t="shared" si="105"/>
        <v>0</v>
      </c>
      <c r="F631" s="11">
        <f t="shared" si="118"/>
        <v>-3.6865100000000002</v>
      </c>
      <c r="G631" s="11">
        <f t="shared" si="119"/>
        <v>-9.8672500000000003</v>
      </c>
      <c r="H631" s="11">
        <f t="shared" si="120"/>
        <v>0</v>
      </c>
      <c r="I631" s="11">
        <f t="shared" si="121"/>
        <v>0</v>
      </c>
      <c r="J631" s="11">
        <f t="shared" si="124"/>
        <v>0</v>
      </c>
      <c r="K631" s="11">
        <f t="shared" si="122"/>
        <v>-13.55376</v>
      </c>
    </row>
    <row r="632" spans="4:11" x14ac:dyDescent="0.35">
      <c r="D632" s="7" t="s">
        <v>632</v>
      </c>
      <c r="E632" s="11">
        <f t="shared" si="105"/>
        <v>0</v>
      </c>
      <c r="F632" s="11">
        <f t="shared" si="118"/>
        <v>0</v>
      </c>
      <c r="G632" s="11">
        <f t="shared" si="119"/>
        <v>0</v>
      </c>
      <c r="H632" s="11">
        <f t="shared" si="120"/>
        <v>0</v>
      </c>
      <c r="I632" s="11">
        <f t="shared" si="121"/>
        <v>0</v>
      </c>
      <c r="J632" s="11">
        <f t="shared" si="124"/>
        <v>0</v>
      </c>
      <c r="K632" s="11">
        <f t="shared" si="122"/>
        <v>0</v>
      </c>
    </row>
    <row r="633" spans="4:11" x14ac:dyDescent="0.35">
      <c r="D633" s="7" t="s">
        <v>633</v>
      </c>
      <c r="E633" s="11">
        <f t="shared" si="105"/>
        <v>0</v>
      </c>
      <c r="F633" s="11">
        <f t="shared" si="118"/>
        <v>0</v>
      </c>
      <c r="G633" s="11">
        <f t="shared" si="119"/>
        <v>0</v>
      </c>
      <c r="H633" s="11">
        <f t="shared" si="120"/>
        <v>0</v>
      </c>
      <c r="I633" s="11">
        <f t="shared" si="121"/>
        <v>0</v>
      </c>
      <c r="J633" s="11">
        <f t="shared" si="124"/>
        <v>0</v>
      </c>
      <c r="K633" s="11">
        <f t="shared" si="122"/>
        <v>0</v>
      </c>
    </row>
    <row r="634" spans="4:11" x14ac:dyDescent="0.35">
      <c r="D634" s="7" t="s">
        <v>634</v>
      </c>
      <c r="E634" s="11">
        <f t="shared" si="105"/>
        <v>0</v>
      </c>
      <c r="F634" s="11">
        <f>K132</f>
        <v>0</v>
      </c>
      <c r="G634" s="11">
        <f t="shared" si="119"/>
        <v>0</v>
      </c>
      <c r="H634" s="11">
        <f t="shared" si="120"/>
        <v>0</v>
      </c>
      <c r="I634" s="11">
        <f t="shared" si="121"/>
        <v>0</v>
      </c>
      <c r="J634" s="11">
        <f t="shared" si="124"/>
        <v>0</v>
      </c>
      <c r="K634" s="11">
        <f t="shared" si="122"/>
        <v>0</v>
      </c>
    </row>
    <row r="635" spans="4:11" x14ac:dyDescent="0.35">
      <c r="D635" s="7" t="s">
        <v>635</v>
      </c>
      <c r="E635" s="11">
        <f t="shared" si="105"/>
        <v>0</v>
      </c>
      <c r="F635" s="11">
        <f>K133</f>
        <v>0</v>
      </c>
      <c r="G635" s="11">
        <f t="shared" si="119"/>
        <v>0</v>
      </c>
      <c r="H635" s="11">
        <f t="shared" si="120"/>
        <v>0</v>
      </c>
      <c r="I635" s="11">
        <f t="shared" si="121"/>
        <v>0</v>
      </c>
      <c r="J635" s="11">
        <f t="shared" si="124"/>
        <v>0</v>
      </c>
      <c r="K635" s="11">
        <f t="shared" si="122"/>
        <v>0</v>
      </c>
    </row>
    <row r="636" spans="4:11" x14ac:dyDescent="0.35">
      <c r="D636" s="7" t="s">
        <v>597</v>
      </c>
      <c r="E636" s="11"/>
      <c r="F636" s="11"/>
      <c r="G636" s="11"/>
      <c r="H636" s="11"/>
      <c r="I636" s="11">
        <f t="shared" si="121"/>
        <v>0</v>
      </c>
      <c r="J636" s="11">
        <f t="shared" si="124"/>
        <v>0</v>
      </c>
      <c r="K636" s="11">
        <f t="shared" si="122"/>
        <v>0</v>
      </c>
    </row>
    <row r="637" spans="4:11" hidden="1" x14ac:dyDescent="0.35">
      <c r="D637" s="7" t="s">
        <v>598</v>
      </c>
      <c r="E637" s="11"/>
      <c r="F637" s="11"/>
      <c r="G637" s="11"/>
      <c r="H637" s="11"/>
      <c r="I637" s="11">
        <f t="shared" ref="I637:I639" si="125">J425</f>
        <v>0</v>
      </c>
      <c r="J637" s="11"/>
      <c r="K637" s="11">
        <f t="shared" si="122"/>
        <v>0</v>
      </c>
    </row>
    <row r="638" spans="4:11" x14ac:dyDescent="0.35">
      <c r="D638" s="7" t="s">
        <v>10</v>
      </c>
      <c r="E638" s="34">
        <f>I38</f>
        <v>269.87614000000008</v>
      </c>
      <c r="F638" s="34">
        <f>K134</f>
        <v>0</v>
      </c>
      <c r="G638" s="34">
        <f>I230*TC_MES</f>
        <v>-545.33784468499994</v>
      </c>
      <c r="H638" s="34">
        <f>J327*TC_MES</f>
        <v>0</v>
      </c>
      <c r="I638" s="34">
        <f t="shared" si="125"/>
        <v>-49.977679999999992</v>
      </c>
      <c r="J638" s="34">
        <f>G533</f>
        <v>3.637978807091713E-15</v>
      </c>
      <c r="K638" s="34">
        <f t="shared" si="122"/>
        <v>-325.43938468499982</v>
      </c>
    </row>
    <row r="639" spans="4:11" x14ac:dyDescent="0.35">
      <c r="D639" s="4" t="s">
        <v>636</v>
      </c>
      <c r="E639" s="14">
        <f>I39</f>
        <v>201.57528000000008</v>
      </c>
      <c r="F639" s="14">
        <f>K135</f>
        <v>-649.92722000000003</v>
      </c>
      <c r="G639" s="20">
        <f>I231*TC_MES</f>
        <v>-555.20509468499995</v>
      </c>
      <c r="H639" s="20">
        <f>J328*TC_MES</f>
        <v>-79.924724999999995</v>
      </c>
      <c r="I639" s="20">
        <f t="shared" si="125"/>
        <v>-6778.0420699999995</v>
      </c>
      <c r="J639" s="20">
        <f>G534</f>
        <v>-256.03448000000003</v>
      </c>
      <c r="K639" s="20">
        <f t="shared" si="122"/>
        <v>-8117.5583096849996</v>
      </c>
    </row>
    <row r="640" spans="4:11" x14ac:dyDescent="0.35">
      <c r="D640" s="4" t="s">
        <v>595</v>
      </c>
      <c r="E640" s="14"/>
      <c r="F640" s="208"/>
      <c r="G640" s="276"/>
      <c r="H640" s="208"/>
      <c r="I640" s="20">
        <f>J428</f>
        <v>0</v>
      </c>
      <c r="J640" s="208"/>
      <c r="K640" s="20">
        <f t="shared" si="122"/>
        <v>0</v>
      </c>
    </row>
    <row r="641" spans="4:11" x14ac:dyDescent="0.35">
      <c r="D641" s="25"/>
      <c r="E641" s="40"/>
      <c r="F641" s="25"/>
      <c r="G641" s="25"/>
      <c r="H641" s="40"/>
      <c r="I641" s="25"/>
      <c r="J641" s="40"/>
      <c r="K641" s="25"/>
    </row>
    <row r="642" spans="4:11" x14ac:dyDescent="0.35">
      <c r="D642" s="4" t="s">
        <v>637</v>
      </c>
      <c r="E642" s="14">
        <f>I41</f>
        <v>-3115.8462399999962</v>
      </c>
      <c r="F642" s="14">
        <f t="shared" ref="F642:F644" si="126">K137</f>
        <v>-2563.6506500000014</v>
      </c>
      <c r="G642" s="14">
        <f>I233*TC_MES</f>
        <v>233341.55211272003</v>
      </c>
      <c r="H642" s="14">
        <f>J330*TC_MES</f>
        <v>298.63942566999339</v>
      </c>
      <c r="I642" s="14">
        <f t="shared" ref="I642:I644" si="127">J430</f>
        <v>-730.47050000000672</v>
      </c>
      <c r="J642" s="14">
        <f t="shared" ref="J642:J644" si="128">G536</f>
        <v>2039.1681700000001</v>
      </c>
      <c r="K642" s="14">
        <f>K602+K612+K621+K639</f>
        <v>229269.39231839002</v>
      </c>
    </row>
    <row r="643" spans="4:11" x14ac:dyDescent="0.35">
      <c r="D643" s="4" t="s">
        <v>579</v>
      </c>
      <c r="E643" s="14">
        <f t="shared" ref="E643:E644" si="129">I42</f>
        <v>6324.3735699999997</v>
      </c>
      <c r="F643" s="20">
        <f t="shared" si="126"/>
        <v>17783.080839999999</v>
      </c>
      <c r="G643" s="14">
        <f>I234*TC_MES</f>
        <v>1332.399435625</v>
      </c>
      <c r="H643" s="14">
        <f>J331*TC_MES</f>
        <v>632.87337695500003</v>
      </c>
      <c r="I643" s="14">
        <f>J431</f>
        <v>25734.731919999998</v>
      </c>
      <c r="J643" s="14">
        <f t="shared" si="128"/>
        <v>4791.1391800000001</v>
      </c>
      <c r="K643" s="14">
        <f>SUM(E643,F643,G643,H643,I643,J643)</f>
        <v>56598.598322580001</v>
      </c>
    </row>
    <row r="644" spans="4:11" x14ac:dyDescent="0.35">
      <c r="D644" s="4" t="s">
        <v>580</v>
      </c>
      <c r="E644" s="14">
        <f t="shared" si="129"/>
        <v>3208.5273300000035</v>
      </c>
      <c r="F644" s="14">
        <f t="shared" si="126"/>
        <v>15219.430189999997</v>
      </c>
      <c r="G644" s="14">
        <f>I235*TC_MES</f>
        <v>234673.95154834507</v>
      </c>
      <c r="H644" s="14">
        <f>J332*TC_MES</f>
        <v>931.51280262499347</v>
      </c>
      <c r="I644" s="14">
        <f t="shared" si="127"/>
        <v>25004.261419999992</v>
      </c>
      <c r="J644" s="14">
        <f t="shared" si="128"/>
        <v>6830.30735</v>
      </c>
      <c r="K644" s="14">
        <f>K642+K643</f>
        <v>285867.99064097001</v>
      </c>
    </row>
    <row r="645" spans="4:11" x14ac:dyDescent="0.35">
      <c r="J645" s="206"/>
    </row>
    <row r="646" spans="4:11" x14ac:dyDescent="0.35">
      <c r="J646" s="206"/>
    </row>
    <row r="647" spans="4:11" x14ac:dyDescent="0.35">
      <c r="J647" s="206"/>
    </row>
    <row r="650" spans="4:11" x14ac:dyDescent="0.35">
      <c r="D650" s="25"/>
      <c r="E650" s="274"/>
      <c r="F650" s="274"/>
      <c r="G650" s="25"/>
      <c r="H650" s="25"/>
      <c r="I650" s="274" t="s">
        <v>581</v>
      </c>
      <c r="J650" s="25"/>
      <c r="K650" s="25"/>
    </row>
    <row r="651" spans="4:11" x14ac:dyDescent="0.35">
      <c r="D651" s="7"/>
      <c r="E651" s="28" t="s">
        <v>25</v>
      </c>
      <c r="F651" s="28" t="s">
        <v>26</v>
      </c>
      <c r="G651" s="28" t="s">
        <v>27</v>
      </c>
      <c r="H651" s="28" t="s">
        <v>28</v>
      </c>
      <c r="I651" s="28" t="s">
        <v>29</v>
      </c>
      <c r="J651" s="28" t="s">
        <v>30</v>
      </c>
      <c r="K651" s="28" t="s">
        <v>31</v>
      </c>
    </row>
    <row r="652" spans="4:11" x14ac:dyDescent="0.35">
      <c r="D652" s="26" t="s">
        <v>487</v>
      </c>
      <c r="E652" s="14">
        <f t="shared" ref="E652:E662" si="130">I52</f>
        <v>-9423.7929899999981</v>
      </c>
      <c r="F652" s="14">
        <f>$K$148</f>
        <v>39154.933690000005</v>
      </c>
      <c r="G652" s="14">
        <f>J244*TC_MES</f>
        <v>1317.5237668700001</v>
      </c>
      <c r="H652" s="14">
        <f>J341</f>
        <v>652.62203</v>
      </c>
      <c r="I652" s="14">
        <f t="shared" ref="I652:I694" si="131">J441</f>
        <v>87271.412110000005</v>
      </c>
      <c r="J652" s="14">
        <f t="shared" ref="J652:J658" si="132">G547</f>
        <v>17698.237949999999</v>
      </c>
      <c r="K652" s="14">
        <f>SUM(E652:J652)</f>
        <v>136670.93655687</v>
      </c>
    </row>
    <row r="653" spans="4:11" x14ac:dyDescent="0.35">
      <c r="D653" s="1"/>
      <c r="E653" s="30"/>
      <c r="F653" s="30"/>
      <c r="G653" s="30"/>
      <c r="H653" s="30"/>
      <c r="I653" s="30"/>
      <c r="J653" s="30"/>
      <c r="K653" s="30"/>
    </row>
    <row r="654" spans="4:11" x14ac:dyDescent="0.35">
      <c r="D654" s="26" t="s">
        <v>574</v>
      </c>
      <c r="E654" s="30"/>
      <c r="F654" s="30"/>
      <c r="G654" s="30"/>
      <c r="H654" s="30"/>
      <c r="I654" s="30"/>
      <c r="J654" s="30"/>
      <c r="K654" s="30"/>
    </row>
    <row r="655" spans="4:11" x14ac:dyDescent="0.35">
      <c r="D655" s="1" t="s">
        <v>341</v>
      </c>
      <c r="E655" s="8">
        <f t="shared" si="130"/>
        <v>-808.84822000000008</v>
      </c>
      <c r="F655" s="8">
        <f t="shared" ref="F655:F662" si="133">K151</f>
        <v>-1534.4307200000001</v>
      </c>
      <c r="G655" s="8">
        <f t="shared" ref="G655:G662" si="134">J247*TC_MES</f>
        <v>2310.8931756749998</v>
      </c>
      <c r="H655" s="8">
        <f t="shared" ref="H655:H662" si="135">J344</f>
        <v>-17.375810000000001</v>
      </c>
      <c r="I655" s="199">
        <f t="shared" si="131"/>
        <v>26986.744330000005</v>
      </c>
      <c r="J655" s="8">
        <f t="shared" si="132"/>
        <v>-11617.58389</v>
      </c>
      <c r="K655" s="8">
        <f t="shared" ref="K655:K661" si="136">SUM(E655:J655)</f>
        <v>15319.398865675006</v>
      </c>
    </row>
    <row r="656" spans="4:11" x14ac:dyDescent="0.35">
      <c r="D656" s="1" t="s">
        <v>342</v>
      </c>
      <c r="E656" s="11">
        <f t="shared" si="130"/>
        <v>-1490.8863800000001</v>
      </c>
      <c r="F656" s="11">
        <f t="shared" si="133"/>
        <v>-30518.178040000003</v>
      </c>
      <c r="G656" s="11">
        <f t="shared" si="134"/>
        <v>-370.73882938499997</v>
      </c>
      <c r="H656" s="11">
        <f t="shared" si="135"/>
        <v>-1775.3730700000001</v>
      </c>
      <c r="I656" s="203">
        <f t="shared" si="131"/>
        <v>-32734.159530000004</v>
      </c>
      <c r="J656" s="11">
        <f t="shared" si="132"/>
        <v>-1750.6789400000007</v>
      </c>
      <c r="K656" s="11">
        <f t="shared" si="136"/>
        <v>-68640.014789385008</v>
      </c>
    </row>
    <row r="657" spans="4:11" x14ac:dyDescent="0.35">
      <c r="D657" s="1" t="s">
        <v>343</v>
      </c>
      <c r="E657" s="11">
        <f t="shared" si="130"/>
        <v>76063.671990000017</v>
      </c>
      <c r="F657" s="11">
        <f t="shared" si="133"/>
        <v>1984.5081500000001</v>
      </c>
      <c r="G657" s="11">
        <f t="shared" si="134"/>
        <v>3679.1198066700008</v>
      </c>
      <c r="H657" s="11">
        <f t="shared" si="135"/>
        <v>0</v>
      </c>
      <c r="I657" s="203">
        <f t="shared" si="131"/>
        <v>-1774.8274199999996</v>
      </c>
      <c r="J657" s="11">
        <f t="shared" si="132"/>
        <v>7222.2538299999997</v>
      </c>
      <c r="K657" s="11">
        <f t="shared" si="136"/>
        <v>87174.726356670013</v>
      </c>
    </row>
    <row r="658" spans="4:11" x14ac:dyDescent="0.35">
      <c r="D658" s="1" t="s">
        <v>344</v>
      </c>
      <c r="E658" s="11">
        <f t="shared" si="130"/>
        <v>4514.1991600000001</v>
      </c>
      <c r="F658" s="11">
        <f t="shared" si="133"/>
        <v>-28433.97495</v>
      </c>
      <c r="G658" s="11">
        <f t="shared" si="134"/>
        <v>-15570.062264910001</v>
      </c>
      <c r="H658" s="11">
        <f t="shared" si="135"/>
        <v>0</v>
      </c>
      <c r="I658" s="203">
        <f t="shared" si="131"/>
        <v>-156.06840999999986</v>
      </c>
      <c r="J658" s="11">
        <f t="shared" si="132"/>
        <v>-976.13111000000004</v>
      </c>
      <c r="K658" s="11">
        <f t="shared" si="136"/>
        <v>-40622.037574909999</v>
      </c>
    </row>
    <row r="659" spans="4:11" x14ac:dyDescent="0.35">
      <c r="D659" s="1" t="s">
        <v>367</v>
      </c>
      <c r="E659" s="11">
        <f t="shared" si="130"/>
        <v>-34025.822469999999</v>
      </c>
      <c r="F659" s="11">
        <f t="shared" si="133"/>
        <v>-3922.2446199999999</v>
      </c>
      <c r="G659" s="11">
        <f t="shared" si="134"/>
        <v>-7739.85787523</v>
      </c>
      <c r="H659" s="11">
        <f t="shared" si="135"/>
        <v>19.190540000000002</v>
      </c>
      <c r="I659" s="203">
        <f t="shared" si="131"/>
        <v>-27558.472210000004</v>
      </c>
      <c r="J659" s="11">
        <f>G556</f>
        <v>90.000009999999989</v>
      </c>
      <c r="K659" s="11">
        <f t="shared" si="136"/>
        <v>-73137.206625229999</v>
      </c>
    </row>
    <row r="660" spans="4:11" x14ac:dyDescent="0.35">
      <c r="D660" s="1" t="s">
        <v>492</v>
      </c>
      <c r="E660" s="11">
        <f t="shared" si="130"/>
        <v>-52477.228919999994</v>
      </c>
      <c r="F660" s="11">
        <f t="shared" si="133"/>
        <v>17388.750429999996</v>
      </c>
      <c r="G660" s="11">
        <f t="shared" si="134"/>
        <v>70039.343730780005</v>
      </c>
      <c r="H660" s="11">
        <f t="shared" si="135"/>
        <v>348.63738000000001</v>
      </c>
      <c r="I660" s="203">
        <f t="shared" si="131"/>
        <v>23323.796719999998</v>
      </c>
      <c r="J660" s="11">
        <f>G557</f>
        <v>66.442579999999992</v>
      </c>
      <c r="K660" s="11">
        <f t="shared" si="136"/>
        <v>58689.741920780012</v>
      </c>
    </row>
    <row r="661" spans="4:11" x14ac:dyDescent="0.35">
      <c r="D661" s="1" t="s">
        <v>493</v>
      </c>
      <c r="E661" s="11">
        <f t="shared" si="130"/>
        <v>4859.3719099999998</v>
      </c>
      <c r="F661" s="11">
        <f t="shared" si="133"/>
        <v>28349.074090000002</v>
      </c>
      <c r="G661" s="11">
        <f t="shared" si="134"/>
        <v>-8084.4575699850002</v>
      </c>
      <c r="H661" s="11">
        <f t="shared" si="135"/>
        <v>0</v>
      </c>
      <c r="I661" s="203">
        <f t="shared" si="131"/>
        <v>-13531.7399</v>
      </c>
      <c r="J661" s="11">
        <f>G558</f>
        <v>-190.29059000000001</v>
      </c>
      <c r="K661" s="11">
        <f t="shared" si="136"/>
        <v>11401.957940015003</v>
      </c>
    </row>
    <row r="662" spans="4:11" x14ac:dyDescent="0.35">
      <c r="D662" s="26" t="s">
        <v>574</v>
      </c>
      <c r="E662" s="14">
        <f t="shared" si="130"/>
        <v>-3365.5429299999687</v>
      </c>
      <c r="F662" s="14">
        <f t="shared" si="133"/>
        <v>-16686.495659999993</v>
      </c>
      <c r="G662" s="14">
        <f t="shared" si="134"/>
        <v>44264.24017361502</v>
      </c>
      <c r="H662" s="14">
        <f t="shared" si="135"/>
        <v>-1424.9209599999999</v>
      </c>
      <c r="I662" s="220">
        <f t="shared" si="131"/>
        <v>-25444.726420000006</v>
      </c>
      <c r="J662" s="14">
        <f>G561</f>
        <v>-7314.4063400000005</v>
      </c>
      <c r="K662" s="14">
        <f>SUM(E662,F662,G662,H662,I662,J662)</f>
        <v>-9971.8521363849468</v>
      </c>
    </row>
    <row r="663" spans="4:11" x14ac:dyDescent="0.35">
      <c r="D663" s="1"/>
      <c r="E663" s="207"/>
      <c r="F663" s="207"/>
      <c r="G663" s="207"/>
      <c r="H663" s="207"/>
      <c r="I663" s="207"/>
      <c r="J663" s="207"/>
      <c r="K663" s="207"/>
    </row>
    <row r="664" spans="4:11" x14ac:dyDescent="0.35">
      <c r="D664" s="26" t="s">
        <v>497</v>
      </c>
      <c r="E664" s="30"/>
      <c r="F664" s="30"/>
      <c r="G664" s="30"/>
      <c r="H664" s="30"/>
      <c r="I664" s="30"/>
      <c r="J664" s="30"/>
      <c r="K664" s="30"/>
    </row>
    <row r="665" spans="4:11" x14ac:dyDescent="0.35">
      <c r="D665" s="1" t="s">
        <v>498</v>
      </c>
      <c r="E665" s="8">
        <f t="shared" ref="E665:E671" si="137">I65</f>
        <v>0</v>
      </c>
      <c r="F665" s="8">
        <f t="shared" ref="F665:F671" si="138">K161</f>
        <v>-9959.2867299999998</v>
      </c>
      <c r="G665" s="8">
        <f t="shared" ref="G665:G671" si="139">J257*TC_MES</f>
        <v>-158406.79253146003</v>
      </c>
      <c r="H665" s="8">
        <f t="shared" ref="H665:H671" si="140">J354</f>
        <v>1229.6168899999998</v>
      </c>
      <c r="I665" s="199">
        <f t="shared" si="131"/>
        <v>-8820.7850899999994</v>
      </c>
      <c r="J665" s="8">
        <f t="shared" ref="J665:J671" si="141">G564</f>
        <v>-5406.3381100000006</v>
      </c>
      <c r="K665" s="8">
        <f t="shared" ref="K665:K670" si="142">SUM(E665:J665)</f>
        <v>-181363.58557146002</v>
      </c>
    </row>
    <row r="666" spans="4:11" x14ac:dyDescent="0.35">
      <c r="D666" s="1" t="s">
        <v>499</v>
      </c>
      <c r="E666" s="11">
        <f t="shared" si="137"/>
        <v>5063.62075</v>
      </c>
      <c r="F666" s="11">
        <f t="shared" si="138"/>
        <v>-742.54055000000005</v>
      </c>
      <c r="G666" s="11">
        <f t="shared" si="139"/>
        <v>-14747.59500752</v>
      </c>
      <c r="H666" s="11">
        <f t="shared" si="140"/>
        <v>0</v>
      </c>
      <c r="I666" s="203">
        <f t="shared" si="131"/>
        <v>312.17827</v>
      </c>
      <c r="J666" s="11">
        <f>G565</f>
        <v>0</v>
      </c>
      <c r="K666" s="11">
        <f t="shared" si="142"/>
        <v>-10114.336537519999</v>
      </c>
    </row>
    <row r="667" spans="4:11" x14ac:dyDescent="0.35">
      <c r="D667" s="1" t="s">
        <v>382</v>
      </c>
      <c r="E667" s="11">
        <f t="shared" si="137"/>
        <v>6000</v>
      </c>
      <c r="F667" s="11">
        <f t="shared" si="138"/>
        <v>0</v>
      </c>
      <c r="G667" s="11">
        <f t="shared" si="139"/>
        <v>0</v>
      </c>
      <c r="H667" s="11">
        <f t="shared" si="140"/>
        <v>-30.017310000000002</v>
      </c>
      <c r="I667" s="203">
        <f t="shared" si="131"/>
        <v>0</v>
      </c>
      <c r="J667" s="11">
        <f t="shared" si="141"/>
        <v>0</v>
      </c>
      <c r="K667" s="11">
        <f t="shared" si="142"/>
        <v>5969.9826899999998</v>
      </c>
    </row>
    <row r="668" spans="4:11" x14ac:dyDescent="0.35">
      <c r="D668" s="1" t="s">
        <v>500</v>
      </c>
      <c r="E668" s="11">
        <f t="shared" si="137"/>
        <v>0</v>
      </c>
      <c r="F668" s="11">
        <f t="shared" si="138"/>
        <v>0</v>
      </c>
      <c r="G668" s="11">
        <f t="shared" si="139"/>
        <v>0</v>
      </c>
      <c r="H668" s="11">
        <f t="shared" si="140"/>
        <v>0</v>
      </c>
      <c r="I668" s="203">
        <f t="shared" si="131"/>
        <v>0</v>
      </c>
      <c r="J668" s="11">
        <f t="shared" si="141"/>
        <v>0</v>
      </c>
      <c r="K668" s="11">
        <f t="shared" si="142"/>
        <v>0</v>
      </c>
    </row>
    <row r="669" spans="4:11" x14ac:dyDescent="0.35">
      <c r="D669" s="1" t="s">
        <v>575</v>
      </c>
      <c r="E669" s="11">
        <f t="shared" si="137"/>
        <v>0</v>
      </c>
      <c r="F669" s="11">
        <f t="shared" si="138"/>
        <v>0</v>
      </c>
      <c r="G669" s="11">
        <f t="shared" si="139"/>
        <v>0</v>
      </c>
      <c r="H669" s="11">
        <f t="shared" si="140"/>
        <v>0</v>
      </c>
      <c r="I669" s="203">
        <f t="shared" si="131"/>
        <v>0</v>
      </c>
      <c r="J669" s="11">
        <f t="shared" si="141"/>
        <v>0</v>
      </c>
      <c r="K669" s="11">
        <f t="shared" si="142"/>
        <v>0</v>
      </c>
    </row>
    <row r="670" spans="4:11" x14ac:dyDescent="0.35">
      <c r="D670" s="1" t="s">
        <v>503</v>
      </c>
      <c r="E670" s="11">
        <f t="shared" si="137"/>
        <v>466.25307000000009</v>
      </c>
      <c r="F670" s="11">
        <f t="shared" si="138"/>
        <v>0</v>
      </c>
      <c r="G670" s="11">
        <f t="shared" si="139"/>
        <v>0</v>
      </c>
      <c r="H670" s="11">
        <f t="shared" si="140"/>
        <v>-1.75177</v>
      </c>
      <c r="I670" s="203">
        <f t="shared" si="131"/>
        <v>-9231.4409300000007</v>
      </c>
      <c r="J670" s="11">
        <f t="shared" si="141"/>
        <v>-2352.2701000000002</v>
      </c>
      <c r="K670" s="11">
        <f t="shared" si="142"/>
        <v>-11119.20973</v>
      </c>
    </row>
    <row r="671" spans="4:11" x14ac:dyDescent="0.35">
      <c r="D671" s="26" t="s">
        <v>504</v>
      </c>
      <c r="E671" s="14">
        <f t="shared" si="137"/>
        <v>11529.873820000001</v>
      </c>
      <c r="F671" s="14">
        <f t="shared" si="138"/>
        <v>-10701.82728</v>
      </c>
      <c r="G671" s="14">
        <f t="shared" si="139"/>
        <v>-173154.38753898002</v>
      </c>
      <c r="H671" s="14">
        <f t="shared" si="140"/>
        <v>1197.8478099999998</v>
      </c>
      <c r="I671" s="220">
        <f t="shared" si="131"/>
        <v>-17740.047749999998</v>
      </c>
      <c r="J671" s="14">
        <f t="shared" si="141"/>
        <v>-7758.6082100000003</v>
      </c>
      <c r="K671" s="14">
        <f>SUM(E671,F671,G671,H671,I671,J671)</f>
        <v>-196627.14914898001</v>
      </c>
    </row>
    <row r="672" spans="4:11" x14ac:dyDescent="0.35">
      <c r="D672" s="26"/>
      <c r="E672" s="214"/>
      <c r="F672" s="207"/>
      <c r="G672" s="214"/>
      <c r="H672" s="214"/>
      <c r="I672" s="214"/>
      <c r="J672" s="214"/>
      <c r="K672" s="214"/>
    </row>
    <row r="673" spans="4:11" x14ac:dyDescent="0.35">
      <c r="D673" s="26" t="s">
        <v>505</v>
      </c>
      <c r="E673" s="30"/>
      <c r="F673" s="202"/>
      <c r="G673" s="30"/>
      <c r="H673" s="30"/>
      <c r="I673" s="30"/>
      <c r="J673" s="30"/>
      <c r="K673" s="30"/>
    </row>
    <row r="674" spans="4:11" x14ac:dyDescent="0.35">
      <c r="D674" s="1" t="s">
        <v>349</v>
      </c>
      <c r="E674" s="8">
        <f t="shared" ref="E674:E685" si="143">I74</f>
        <v>0</v>
      </c>
      <c r="F674" s="11">
        <f>K170</f>
        <v>0</v>
      </c>
      <c r="G674" s="8">
        <f t="shared" ref="G674:G684" si="144">J266*TC_MES</f>
        <v>0</v>
      </c>
      <c r="H674" s="8">
        <f t="shared" ref="H674:H685" si="145">J363</f>
        <v>-466.89843000000002</v>
      </c>
      <c r="I674" s="199">
        <f t="shared" si="131"/>
        <v>-10445.207189999999</v>
      </c>
      <c r="J674" s="8">
        <f t="shared" ref="J674:J683" si="146">$G574</f>
        <v>0</v>
      </c>
      <c r="K674" s="8">
        <f t="shared" ref="K674:K688" si="147">SUM(E674:J674)</f>
        <v>-10912.105619999998</v>
      </c>
    </row>
    <row r="675" spans="4:11" x14ac:dyDescent="0.35">
      <c r="D675" s="1" t="s">
        <v>353</v>
      </c>
      <c r="E675" s="11">
        <f t="shared" si="143"/>
        <v>-25.02788</v>
      </c>
      <c r="F675" s="11">
        <f t="shared" ref="F675:F685" si="148">K171</f>
        <v>-4947.7870799999992</v>
      </c>
      <c r="G675" s="11">
        <f t="shared" si="144"/>
        <v>-43896.152674304998</v>
      </c>
      <c r="H675" s="11">
        <f t="shared" si="145"/>
        <v>-1.5</v>
      </c>
      <c r="I675" s="203">
        <f t="shared" si="131"/>
        <v>-7981.9604899999995</v>
      </c>
      <c r="J675" s="11">
        <f t="shared" si="146"/>
        <v>-35</v>
      </c>
      <c r="K675" s="11">
        <f t="shared" si="147"/>
        <v>-56887.428124304992</v>
      </c>
    </row>
    <row r="676" spans="4:11" x14ac:dyDescent="0.35">
      <c r="D676" s="1" t="s">
        <v>352</v>
      </c>
      <c r="E676" s="11">
        <f t="shared" si="143"/>
        <v>391.45948000000004</v>
      </c>
      <c r="F676" s="11">
        <f t="shared" si="148"/>
        <v>-2176.5296799999996</v>
      </c>
      <c r="G676" s="11">
        <f t="shared" si="144"/>
        <v>-19.537155000000002</v>
      </c>
      <c r="H676" s="11">
        <f t="shared" si="145"/>
        <v>0</v>
      </c>
      <c r="I676" s="203">
        <f t="shared" si="131"/>
        <v>-20595.432460000004</v>
      </c>
      <c r="J676" s="11">
        <f t="shared" si="146"/>
        <v>-600.08148000000006</v>
      </c>
      <c r="K676" s="11">
        <f t="shared" si="147"/>
        <v>-23000.121295000004</v>
      </c>
    </row>
    <row r="677" spans="4:11" x14ac:dyDescent="0.35">
      <c r="D677" s="1" t="s">
        <v>351</v>
      </c>
      <c r="E677" s="11">
        <f t="shared" si="143"/>
        <v>-86.690520000000006</v>
      </c>
      <c r="F677" s="11">
        <f t="shared" si="148"/>
        <v>-256.16122000000001</v>
      </c>
      <c r="G677" s="11">
        <f t="shared" si="144"/>
        <v>0</v>
      </c>
      <c r="H677" s="11">
        <f t="shared" si="145"/>
        <v>0</v>
      </c>
      <c r="I677" s="203">
        <f t="shared" si="131"/>
        <v>-835.40295000000003</v>
      </c>
      <c r="J677" s="11">
        <f t="shared" si="146"/>
        <v>-30.84413</v>
      </c>
      <c r="K677" s="11">
        <f t="shared" si="147"/>
        <v>-1209.0988199999999</v>
      </c>
    </row>
    <row r="678" spans="4:11" x14ac:dyDescent="0.35">
      <c r="D678" s="1" t="s">
        <v>510</v>
      </c>
      <c r="E678" s="11">
        <f t="shared" si="143"/>
        <v>-23.413800000000002</v>
      </c>
      <c r="F678" s="11">
        <f t="shared" si="148"/>
        <v>-61.038830000000004</v>
      </c>
      <c r="G678" s="11">
        <f t="shared" si="144"/>
        <v>0</v>
      </c>
      <c r="H678" s="11">
        <f t="shared" si="145"/>
        <v>0</v>
      </c>
      <c r="I678" s="203">
        <f t="shared" si="131"/>
        <v>-231.07247000000001</v>
      </c>
      <c r="J678" s="11">
        <f t="shared" si="146"/>
        <v>-15.64</v>
      </c>
      <c r="K678" s="11">
        <f t="shared" si="147"/>
        <v>-331.1651</v>
      </c>
    </row>
    <row r="679" spans="4:11" x14ac:dyDescent="0.35">
      <c r="D679" s="1" t="s">
        <v>576</v>
      </c>
      <c r="E679" s="11">
        <f t="shared" si="143"/>
        <v>0</v>
      </c>
      <c r="F679" s="11">
        <f t="shared" si="148"/>
        <v>-61.211829999999999</v>
      </c>
      <c r="G679" s="11">
        <f t="shared" si="144"/>
        <v>0</v>
      </c>
      <c r="H679" s="11">
        <f t="shared" si="145"/>
        <v>0</v>
      </c>
      <c r="I679" s="203">
        <f t="shared" si="131"/>
        <v>2.9999999999999997E-5</v>
      </c>
      <c r="J679" s="11">
        <f t="shared" si="146"/>
        <v>0</v>
      </c>
      <c r="K679" s="11">
        <f t="shared" si="147"/>
        <v>-61.211799999999997</v>
      </c>
    </row>
    <row r="680" spans="4:11" x14ac:dyDescent="0.35">
      <c r="D680" s="1" t="s">
        <v>577</v>
      </c>
      <c r="E680" s="11">
        <f t="shared" si="143"/>
        <v>-4.5588500000000005</v>
      </c>
      <c r="F680" s="11">
        <f t="shared" si="148"/>
        <v>0</v>
      </c>
      <c r="G680" s="11">
        <f t="shared" si="144"/>
        <v>0</v>
      </c>
      <c r="H680" s="11">
        <f t="shared" si="145"/>
        <v>0</v>
      </c>
      <c r="I680" s="203">
        <f t="shared" si="131"/>
        <v>0</v>
      </c>
      <c r="J680" s="11">
        <f t="shared" si="146"/>
        <v>0</v>
      </c>
      <c r="K680" s="11">
        <f t="shared" si="147"/>
        <v>-4.5588500000000005</v>
      </c>
    </row>
    <row r="681" spans="4:11" x14ac:dyDescent="0.35">
      <c r="D681" s="1" t="s">
        <v>578</v>
      </c>
      <c r="E681" s="11">
        <f t="shared" si="143"/>
        <v>0</v>
      </c>
      <c r="F681" s="11">
        <f t="shared" si="148"/>
        <v>-18.66122</v>
      </c>
      <c r="G681" s="11">
        <f t="shared" si="144"/>
        <v>-43.15954884500001</v>
      </c>
      <c r="H681" s="11">
        <f t="shared" si="145"/>
        <v>0</v>
      </c>
      <c r="I681" s="203">
        <f t="shared" si="131"/>
        <v>0</v>
      </c>
      <c r="J681" s="11">
        <f t="shared" si="146"/>
        <v>0</v>
      </c>
      <c r="K681" s="11">
        <f t="shared" si="147"/>
        <v>-61.820768845000011</v>
      </c>
    </row>
    <row r="682" spans="4:11" x14ac:dyDescent="0.35">
      <c r="D682" s="1" t="s">
        <v>518</v>
      </c>
      <c r="E682" s="11">
        <f t="shared" si="143"/>
        <v>0</v>
      </c>
      <c r="F682" s="11">
        <f t="shared" si="148"/>
        <v>0</v>
      </c>
      <c r="G682" s="11">
        <f t="shared" si="144"/>
        <v>0</v>
      </c>
      <c r="H682" s="11">
        <f t="shared" si="145"/>
        <v>0</v>
      </c>
      <c r="I682" s="203">
        <f t="shared" si="131"/>
        <v>0</v>
      </c>
      <c r="J682" s="11">
        <f t="shared" si="146"/>
        <v>0</v>
      </c>
      <c r="K682" s="11">
        <f t="shared" si="147"/>
        <v>0</v>
      </c>
    </row>
    <row r="683" spans="4:11" x14ac:dyDescent="0.35">
      <c r="D683" s="1" t="s">
        <v>520</v>
      </c>
      <c r="E683" s="11">
        <f t="shared" si="143"/>
        <v>0</v>
      </c>
      <c r="F683" s="11">
        <f t="shared" si="148"/>
        <v>-1372.1510800000001</v>
      </c>
      <c r="G683" s="11">
        <f t="shared" si="144"/>
        <v>-600.56267214000002</v>
      </c>
      <c r="H683" s="11">
        <f t="shared" si="145"/>
        <v>0</v>
      </c>
      <c r="I683" s="203">
        <f t="shared" si="131"/>
        <v>0</v>
      </c>
      <c r="J683" s="11">
        <f t="shared" si="146"/>
        <v>0</v>
      </c>
      <c r="K683" s="11">
        <f t="shared" si="147"/>
        <v>-1972.71375214</v>
      </c>
    </row>
    <row r="684" spans="4:11" x14ac:dyDescent="0.35">
      <c r="D684" s="1" t="s">
        <v>522</v>
      </c>
      <c r="E684" s="11">
        <f t="shared" si="143"/>
        <v>0</v>
      </c>
      <c r="F684" s="11">
        <f>K180</f>
        <v>0</v>
      </c>
      <c r="G684" s="11">
        <f t="shared" si="144"/>
        <v>0</v>
      </c>
      <c r="H684" s="11">
        <f t="shared" si="145"/>
        <v>0</v>
      </c>
      <c r="I684" s="203">
        <f t="shared" si="131"/>
        <v>0</v>
      </c>
      <c r="J684" s="11">
        <f t="shared" ref="J684:J685" si="149">$G584</f>
        <v>0</v>
      </c>
      <c r="K684" s="11">
        <f t="shared" si="147"/>
        <v>0</v>
      </c>
    </row>
    <row r="685" spans="4:11" x14ac:dyDescent="0.35">
      <c r="D685" s="1" t="s">
        <v>523</v>
      </c>
      <c r="E685" s="11">
        <f t="shared" si="143"/>
        <v>1746.19958</v>
      </c>
      <c r="F685" s="11">
        <f t="shared" si="148"/>
        <v>0</v>
      </c>
      <c r="G685" s="11">
        <f>J277*TC_MES</f>
        <v>0</v>
      </c>
      <c r="H685" s="11">
        <f t="shared" si="145"/>
        <v>0</v>
      </c>
      <c r="I685" s="203">
        <f t="shared" si="131"/>
        <v>0</v>
      </c>
      <c r="J685" s="11">
        <f t="shared" si="149"/>
        <v>0</v>
      </c>
      <c r="K685" s="11">
        <f t="shared" si="147"/>
        <v>1746.19958</v>
      </c>
    </row>
    <row r="686" spans="4:11" x14ac:dyDescent="0.35">
      <c r="D686" s="1" t="s">
        <v>597</v>
      </c>
      <c r="E686" s="11">
        <v>0</v>
      </c>
      <c r="F686" s="11">
        <v>0</v>
      </c>
      <c r="G686" s="11">
        <v>0</v>
      </c>
      <c r="H686" s="11">
        <v>0</v>
      </c>
      <c r="I686" s="203">
        <f t="shared" si="131"/>
        <v>13188.13176</v>
      </c>
      <c r="J686" s="11">
        <f>$G586</f>
        <v>0</v>
      </c>
      <c r="K686" s="11">
        <f t="shared" si="147"/>
        <v>13188.13176</v>
      </c>
    </row>
    <row r="687" spans="4:11" hidden="1" x14ac:dyDescent="0.35">
      <c r="D687" s="1" t="s">
        <v>598</v>
      </c>
      <c r="E687" s="11"/>
      <c r="F687" s="11"/>
      <c r="G687" s="11"/>
      <c r="H687" s="11"/>
      <c r="I687" s="203">
        <f t="shared" si="131"/>
        <v>0</v>
      </c>
      <c r="J687" s="11"/>
      <c r="K687" s="11">
        <f t="shared" si="147"/>
        <v>0</v>
      </c>
    </row>
    <row r="688" spans="4:11" x14ac:dyDescent="0.35">
      <c r="D688" s="1" t="s">
        <v>10</v>
      </c>
      <c r="E688" s="34">
        <f>I86</f>
        <v>-104.37467000000008</v>
      </c>
      <c r="F688" s="11">
        <f t="shared" ref="F688:F689" si="150">K182</f>
        <v>-167.51369000000017</v>
      </c>
      <c r="G688" s="34">
        <f>J278*TC_MES</f>
        <v>128311.08049734999</v>
      </c>
      <c r="H688" s="34">
        <f>J375</f>
        <v>0</v>
      </c>
      <c r="I688" s="203">
        <f t="shared" si="131"/>
        <v>-3486.7574999999997</v>
      </c>
      <c r="J688" s="34">
        <f>G587</f>
        <v>19.182000000000023</v>
      </c>
      <c r="K688" s="34">
        <f t="shared" si="147"/>
        <v>124571.61663735</v>
      </c>
    </row>
    <row r="689" spans="4:11" x14ac:dyDescent="0.35">
      <c r="D689" s="26" t="s">
        <v>524</v>
      </c>
      <c r="E689" s="14">
        <f>I87</f>
        <v>1893.5933399999999</v>
      </c>
      <c r="F689" s="14">
        <f t="shared" si="150"/>
        <v>-9061.0546299999987</v>
      </c>
      <c r="G689" s="20">
        <f>J279*TC_MES</f>
        <v>125803.64196361501</v>
      </c>
      <c r="H689" s="20">
        <f>J376</f>
        <v>-468.39843000000002</v>
      </c>
      <c r="I689" s="220">
        <f t="shared" si="131"/>
        <v>-30387.701270000001</v>
      </c>
      <c r="J689" s="20">
        <f>G588</f>
        <v>-662.38360999999998</v>
      </c>
      <c r="K689" s="20">
        <f>SUM(E689,F689,G689,H689,I689,J689)</f>
        <v>87117.697363615007</v>
      </c>
    </row>
    <row r="690" spans="4:11" x14ac:dyDescent="0.35">
      <c r="D690" s="26" t="s">
        <v>595</v>
      </c>
      <c r="E690" s="14"/>
      <c r="F690" s="20"/>
      <c r="G690" s="236"/>
      <c r="H690" s="14"/>
      <c r="I690" s="196">
        <f t="shared" si="131"/>
        <v>0</v>
      </c>
      <c r="J690" s="236"/>
      <c r="K690" s="20">
        <f>SUM(E690,F690,G690,H690,I690,J690)</f>
        <v>0</v>
      </c>
    </row>
    <row r="691" spans="4:11" x14ac:dyDescent="0.35">
      <c r="D691" s="277"/>
      <c r="E691" s="25"/>
      <c r="F691" s="25"/>
      <c r="G691" s="25"/>
      <c r="H691" s="40"/>
      <c r="I691" s="40"/>
      <c r="J691" s="25"/>
      <c r="K691" s="25"/>
    </row>
    <row r="692" spans="4:11" x14ac:dyDescent="0.35">
      <c r="D692" s="26" t="s">
        <v>525</v>
      </c>
      <c r="E692" s="14">
        <f t="shared" ref="E692:E694" si="151">I89</f>
        <v>634.13124000003381</v>
      </c>
      <c r="F692" s="14">
        <f t="shared" ref="F692:F694" si="152">K185</f>
        <v>2705.5561200000138</v>
      </c>
      <c r="G692" s="14">
        <f>J281*TC_MES</f>
        <v>-1768.9816348800005</v>
      </c>
      <c r="H692" s="14">
        <f>J378</f>
        <v>-42.849550000000193</v>
      </c>
      <c r="I692" s="14">
        <f t="shared" si="131"/>
        <v>13698.936669999999</v>
      </c>
      <c r="J692" s="14">
        <f t="shared" ref="J692:J694" si="153">G590</f>
        <v>1962.8397899999973</v>
      </c>
      <c r="K692" s="14">
        <f>K652+K662+K671+K689</f>
        <v>17189.632635120055</v>
      </c>
    </row>
    <row r="693" spans="4:11" x14ac:dyDescent="0.35">
      <c r="D693" s="26" t="s">
        <v>579</v>
      </c>
      <c r="E693" s="20">
        <f t="shared" si="151"/>
        <v>2574.3960900000002</v>
      </c>
      <c r="F693" s="20">
        <f t="shared" si="152"/>
        <v>12513.87407</v>
      </c>
      <c r="G693" s="14">
        <f>J282*TC_MES</f>
        <v>4247.9452585649997</v>
      </c>
      <c r="H693" s="14">
        <f>J379</f>
        <v>135.92621</v>
      </c>
      <c r="I693" s="14">
        <f t="shared" si="131"/>
        <v>11305.32475</v>
      </c>
      <c r="J693" s="14">
        <f t="shared" si="153"/>
        <v>4867.46756</v>
      </c>
      <c r="K693" s="14">
        <f>SUM(E693:J693)</f>
        <v>35644.933938565002</v>
      </c>
    </row>
    <row r="694" spans="4:11" x14ac:dyDescent="0.35">
      <c r="D694" s="26" t="s">
        <v>580</v>
      </c>
      <c r="E694" s="20">
        <f t="shared" si="151"/>
        <v>3208.527330000034</v>
      </c>
      <c r="F694" s="14">
        <f t="shared" si="152"/>
        <v>15219.430190000014</v>
      </c>
      <c r="G694" s="14">
        <f>J283*TC_MES</f>
        <v>2478.9636236849992</v>
      </c>
      <c r="H694" s="14">
        <f>J380</f>
        <v>93.076659999999805</v>
      </c>
      <c r="I694" s="14">
        <f t="shared" si="131"/>
        <v>25004.261419999999</v>
      </c>
      <c r="J694" s="14">
        <f t="shared" si="153"/>
        <v>6830.3073499999973</v>
      </c>
      <c r="K694" s="14">
        <f>K692+K693</f>
        <v>52834.566573685057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612"/>
  <dimension ref="A1:O10"/>
  <sheetViews>
    <sheetView workbookViewId="0">
      <selection activeCell="O12" sqref="O12"/>
    </sheetView>
  </sheetViews>
  <sheetFormatPr baseColWidth="10" defaultColWidth="8.7265625" defaultRowHeight="14.5" x14ac:dyDescent="0.35"/>
  <cols>
    <col min="1" max="2" width="8.7265625" style="181"/>
    <col min="3" max="3" width="10.81640625" style="181" bestFit="1" customWidth="1"/>
    <col min="4" max="16384" width="8.7265625" style="181"/>
  </cols>
  <sheetData>
    <row r="1" spans="1:15" x14ac:dyDescent="0.35">
      <c r="A1" s="181" t="s">
        <v>185</v>
      </c>
      <c r="B1" s="181" t="s">
        <v>172</v>
      </c>
      <c r="C1" s="181" t="s">
        <v>640</v>
      </c>
      <c r="D1" s="181" t="s">
        <v>641</v>
      </c>
      <c r="E1" s="181" t="s">
        <v>640</v>
      </c>
      <c r="F1" s="181" t="s">
        <v>642</v>
      </c>
      <c r="G1" s="181" t="s">
        <v>643</v>
      </c>
      <c r="H1" s="181" t="s">
        <v>644</v>
      </c>
      <c r="I1" s="181" t="s">
        <v>645</v>
      </c>
      <c r="J1" s="181" t="s">
        <v>646</v>
      </c>
      <c r="K1" s="181" t="s">
        <v>647</v>
      </c>
      <c r="L1" s="181" t="s">
        <v>648</v>
      </c>
      <c r="M1" s="181" t="s">
        <v>649</v>
      </c>
      <c r="N1" s="181" t="s">
        <v>650</v>
      </c>
      <c r="O1" s="181" t="s">
        <v>183</v>
      </c>
    </row>
    <row r="2" spans="1:15" x14ac:dyDescent="0.35">
      <c r="A2" s="181">
        <v>10</v>
      </c>
      <c r="B2" s="181" t="s">
        <v>147</v>
      </c>
      <c r="C2" s="181">
        <v>1098318.26</v>
      </c>
      <c r="D2" s="181">
        <v>11462934.26</v>
      </c>
      <c r="E2" s="181">
        <v>1430122.75</v>
      </c>
      <c r="F2" s="181">
        <v>10310399.83</v>
      </c>
      <c r="G2" s="181">
        <v>1203009.6599999999</v>
      </c>
      <c r="H2" s="181">
        <v>1898913.93</v>
      </c>
      <c r="I2" s="181">
        <v>1337529.6499999999</v>
      </c>
      <c r="J2" s="181">
        <v>1321361.06</v>
      </c>
      <c r="K2" s="181">
        <v>1235636.02</v>
      </c>
      <c r="L2" s="181">
        <v>1430122.75</v>
      </c>
      <c r="M2" s="181">
        <v>1016646.55</v>
      </c>
      <c r="N2" s="181">
        <v>1635203.59</v>
      </c>
      <c r="O2" s="181" t="s">
        <v>184</v>
      </c>
    </row>
    <row r="3" spans="1:15" x14ac:dyDescent="0.35">
      <c r="A3" s="181" t="s">
        <v>192</v>
      </c>
      <c r="B3" s="181" t="s">
        <v>172</v>
      </c>
      <c r="C3" s="181" t="s">
        <v>651</v>
      </c>
      <c r="D3" s="181" t="s">
        <v>652</v>
      </c>
      <c r="E3" s="181" t="s">
        <v>653</v>
      </c>
      <c r="F3" s="181" t="s">
        <v>654</v>
      </c>
      <c r="G3" s="181" t="s">
        <v>655</v>
      </c>
      <c r="H3" s="181" t="s">
        <v>656</v>
      </c>
      <c r="I3" s="181" t="s">
        <v>657</v>
      </c>
      <c r="J3" s="181" t="s">
        <v>658</v>
      </c>
      <c r="K3" s="181" t="s">
        <v>659</v>
      </c>
      <c r="L3" s="181" t="s">
        <v>660</v>
      </c>
      <c r="M3" s="181" t="s">
        <v>661</v>
      </c>
      <c r="N3" s="181" t="s">
        <v>662</v>
      </c>
      <c r="O3" s="181" t="s">
        <v>183</v>
      </c>
    </row>
    <row r="4" spans="1:15" x14ac:dyDescent="0.35">
      <c r="A4" s="181">
        <v>10</v>
      </c>
      <c r="B4" s="181" t="s">
        <v>147</v>
      </c>
      <c r="C4" s="181">
        <v>9337365.9199999999</v>
      </c>
      <c r="D4" s="181">
        <v>84815500.219999999</v>
      </c>
      <c r="E4" s="181">
        <v>8723522.2400000002</v>
      </c>
      <c r="F4" s="181">
        <v>93935167.040000007</v>
      </c>
      <c r="G4" s="181">
        <v>10227771.57</v>
      </c>
      <c r="H4" s="181">
        <v>10567180.779999999</v>
      </c>
      <c r="I4" s="181">
        <v>10552074.130000001</v>
      </c>
      <c r="J4" s="181">
        <v>10017440.800000001</v>
      </c>
      <c r="K4" s="181">
        <v>10149375.49</v>
      </c>
      <c r="L4" s="181">
        <v>8723522.2400000002</v>
      </c>
      <c r="M4" s="181">
        <v>10385781.710000001</v>
      </c>
      <c r="N4" s="181">
        <v>11752672.470000001</v>
      </c>
      <c r="O4" s="181" t="s">
        <v>184</v>
      </c>
    </row>
    <row r="5" spans="1:15" x14ac:dyDescent="0.35">
      <c r="A5" s="181" t="s">
        <v>199</v>
      </c>
      <c r="B5" s="181" t="s">
        <v>172</v>
      </c>
      <c r="C5" s="181" t="s">
        <v>651</v>
      </c>
      <c r="D5" s="181" t="s">
        <v>663</v>
      </c>
      <c r="E5" s="181" t="s">
        <v>664</v>
      </c>
      <c r="F5" s="181" t="s">
        <v>665</v>
      </c>
      <c r="G5" s="181" t="s">
        <v>655</v>
      </c>
      <c r="H5" s="181" t="s">
        <v>666</v>
      </c>
      <c r="I5" s="181" t="s">
        <v>645</v>
      </c>
      <c r="J5" s="181" t="s">
        <v>667</v>
      </c>
      <c r="K5" s="181" t="s">
        <v>668</v>
      </c>
      <c r="L5" s="181" t="s">
        <v>648</v>
      </c>
      <c r="M5" s="181" t="s">
        <v>649</v>
      </c>
      <c r="N5" s="181" t="s">
        <v>649</v>
      </c>
      <c r="O5" s="181" t="s">
        <v>183</v>
      </c>
    </row>
    <row r="6" spans="1:15" x14ac:dyDescent="0.35">
      <c r="A6" s="181">
        <v>10</v>
      </c>
      <c r="B6" s="181" t="s">
        <v>147</v>
      </c>
      <c r="C6" s="181">
        <v>3186062</v>
      </c>
      <c r="D6" s="181">
        <v>28674558</v>
      </c>
      <c r="E6" s="181">
        <v>3081000</v>
      </c>
      <c r="F6" s="181">
        <v>28037690.280000001</v>
      </c>
      <c r="G6" s="181">
        <v>3186062</v>
      </c>
      <c r="H6" s="181">
        <v>3186062</v>
      </c>
      <c r="I6" s="181">
        <v>3186062</v>
      </c>
      <c r="J6" s="181">
        <v>3186062</v>
      </c>
      <c r="K6" s="181">
        <v>3186062</v>
      </c>
      <c r="L6" s="181">
        <v>3081000</v>
      </c>
      <c r="M6" s="181">
        <v>3081000</v>
      </c>
      <c r="N6" s="181">
        <v>3097670.04</v>
      </c>
      <c r="O6" s="181" t="s">
        <v>184</v>
      </c>
    </row>
    <row r="7" spans="1:15" x14ac:dyDescent="0.35">
      <c r="A7" s="181" t="s">
        <v>203</v>
      </c>
      <c r="B7" s="181" t="s">
        <v>172</v>
      </c>
      <c r="C7" s="181" t="s">
        <v>669</v>
      </c>
      <c r="D7" s="181" t="s">
        <v>670</v>
      </c>
      <c r="E7" s="181" t="s">
        <v>671</v>
      </c>
      <c r="F7" s="181" t="s">
        <v>672</v>
      </c>
      <c r="G7" s="181" t="s">
        <v>655</v>
      </c>
      <c r="H7" s="181" t="s">
        <v>666</v>
      </c>
      <c r="I7" s="181" t="s">
        <v>645</v>
      </c>
      <c r="J7" s="181" t="s">
        <v>667</v>
      </c>
      <c r="K7" s="181" t="s">
        <v>668</v>
      </c>
      <c r="L7" s="181" t="s">
        <v>648</v>
      </c>
      <c r="M7" s="181" t="s">
        <v>649</v>
      </c>
      <c r="N7" s="181" t="s">
        <v>649</v>
      </c>
      <c r="O7" s="181" t="s">
        <v>183</v>
      </c>
    </row>
    <row r="8" spans="1:15" x14ac:dyDescent="0.35">
      <c r="A8" s="181">
        <v>10</v>
      </c>
      <c r="B8" s="181" t="s">
        <v>147</v>
      </c>
      <c r="C8" s="181">
        <v>172255.62</v>
      </c>
      <c r="D8" s="181">
        <v>1417563.42</v>
      </c>
      <c r="E8" s="181">
        <v>229982.94</v>
      </c>
      <c r="F8" s="181">
        <v>1727963.43</v>
      </c>
      <c r="G8" s="181">
        <v>126522.5</v>
      </c>
      <c r="H8" s="181">
        <v>139520.48000000001</v>
      </c>
      <c r="I8" s="181">
        <v>184907.64</v>
      </c>
      <c r="J8" s="181">
        <v>146267.29</v>
      </c>
      <c r="K8" s="181">
        <v>149220.24</v>
      </c>
      <c r="L8" s="181">
        <v>229982.94</v>
      </c>
      <c r="M8" s="181">
        <v>178384.08</v>
      </c>
      <c r="N8" s="181">
        <v>238976.76</v>
      </c>
      <c r="O8" s="181" t="s">
        <v>184</v>
      </c>
    </row>
    <row r="9" spans="1:15" x14ac:dyDescent="0.35">
      <c r="A9" s="181" t="s">
        <v>204</v>
      </c>
      <c r="B9" s="181" t="s">
        <v>172</v>
      </c>
      <c r="C9" s="181" t="s">
        <v>651</v>
      </c>
      <c r="D9" s="181" t="s">
        <v>663</v>
      </c>
      <c r="E9" s="181" t="s">
        <v>664</v>
      </c>
      <c r="F9" s="181" t="s">
        <v>665</v>
      </c>
      <c r="G9" s="181" t="s">
        <v>655</v>
      </c>
      <c r="H9" s="181" t="s">
        <v>666</v>
      </c>
      <c r="I9" s="181" t="s">
        <v>645</v>
      </c>
      <c r="J9" s="181" t="s">
        <v>667</v>
      </c>
      <c r="K9" s="181" t="s">
        <v>668</v>
      </c>
      <c r="L9" s="181" t="s">
        <v>648</v>
      </c>
      <c r="M9" s="181" t="s">
        <v>649</v>
      </c>
      <c r="N9" s="181" t="s">
        <v>650</v>
      </c>
      <c r="O9" s="181" t="s">
        <v>183</v>
      </c>
    </row>
    <row r="10" spans="1:15" x14ac:dyDescent="0.35">
      <c r="A10" s="181">
        <v>10</v>
      </c>
      <c r="B10" s="181" t="s">
        <v>147</v>
      </c>
      <c r="C10" s="181">
        <v>246003</v>
      </c>
      <c r="D10" s="181">
        <v>2214027</v>
      </c>
      <c r="E10" s="181">
        <v>235906.97</v>
      </c>
      <c r="F10" s="181">
        <v>2335502.91</v>
      </c>
      <c r="G10" s="181">
        <v>246003</v>
      </c>
      <c r="H10" s="181">
        <v>246003</v>
      </c>
      <c r="I10" s="181">
        <v>246003</v>
      </c>
      <c r="J10" s="181">
        <v>246003</v>
      </c>
      <c r="K10" s="181">
        <v>246003</v>
      </c>
      <c r="L10" s="181">
        <v>235906.97</v>
      </c>
      <c r="M10" s="181">
        <v>235906.97</v>
      </c>
      <c r="N10" s="181">
        <v>271297</v>
      </c>
      <c r="O10" s="181" t="s">
        <v>184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topLeftCell="A21" zoomScale="60" zoomScaleNormal="60" workbookViewId="0">
      <selection activeCell="G26" sqref="G26"/>
    </sheetView>
  </sheetViews>
  <sheetFormatPr baseColWidth="10" defaultRowHeight="14.5" x14ac:dyDescent="0.35"/>
  <cols>
    <col min="4" max="4" width="11.6328125" bestFit="1" customWidth="1"/>
    <col min="5" max="5" width="15" customWidth="1"/>
  </cols>
  <sheetData>
    <row r="11" spans="5:5" ht="20" x14ac:dyDescent="0.4">
      <c r="E11" s="292" t="s">
        <v>674</v>
      </c>
    </row>
    <row r="28" spans="1:30" x14ac:dyDescent="0.35">
      <c r="A28" s="26" t="s">
        <v>106</v>
      </c>
      <c r="B28" s="2" t="s">
        <v>281</v>
      </c>
      <c r="C28" s="2" t="s">
        <v>282</v>
      </c>
      <c r="D28" s="2" t="s">
        <v>283</v>
      </c>
      <c r="E28" s="2" t="s">
        <v>284</v>
      </c>
      <c r="F28" s="2" t="s">
        <v>289</v>
      </c>
      <c r="G28" s="2" t="s">
        <v>290</v>
      </c>
      <c r="H28" s="2" t="s">
        <v>291</v>
      </c>
      <c r="I28" s="2" t="s">
        <v>292</v>
      </c>
      <c r="J28" s="2" t="s">
        <v>293</v>
      </c>
      <c r="K28" s="2" t="s">
        <v>294</v>
      </c>
      <c r="L28" s="2" t="s">
        <v>297</v>
      </c>
      <c r="M28" s="2" t="s">
        <v>298</v>
      </c>
      <c r="N28" s="2" t="s">
        <v>299</v>
      </c>
      <c r="O28" s="2" t="s">
        <v>300</v>
      </c>
      <c r="P28" s="2" t="s">
        <v>301</v>
      </c>
      <c r="Q28" s="2" t="s">
        <v>302</v>
      </c>
      <c r="R28" s="2" t="s">
        <v>303</v>
      </c>
      <c r="S28" s="2" t="s">
        <v>305</v>
      </c>
      <c r="T28" s="2" t="s">
        <v>306</v>
      </c>
      <c r="U28" s="2" t="s">
        <v>324</v>
      </c>
      <c r="V28" s="2" t="s">
        <v>325</v>
      </c>
      <c r="W28" s="2" t="s">
        <v>326</v>
      </c>
      <c r="X28" s="2" t="s">
        <v>327</v>
      </c>
      <c r="Y28" s="2" t="s">
        <v>328</v>
      </c>
      <c r="Z28" s="2" t="s">
        <v>331</v>
      </c>
      <c r="AA28" s="2" t="s">
        <v>332</v>
      </c>
      <c r="AB28" s="2" t="s">
        <v>333</v>
      </c>
      <c r="AC28" s="2" t="s">
        <v>334</v>
      </c>
      <c r="AD28" s="2" t="s">
        <v>335</v>
      </c>
    </row>
    <row r="29" spans="1:30" x14ac:dyDescent="0.35">
      <c r="A29" s="7" t="s">
        <v>712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288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712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288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237</vt:i4>
      </vt:variant>
    </vt:vector>
  </HeadingPairs>
  <TitlesOfParts>
    <vt:vector size="251" baseType="lpstr">
      <vt:lpstr>Inicio</vt:lpstr>
      <vt:lpstr>TablasER</vt:lpstr>
      <vt:lpstr>TablasERxDiv</vt:lpstr>
      <vt:lpstr>ajustes</vt:lpstr>
      <vt:lpstr>mxn-dll</vt:lpstr>
      <vt:lpstr>Costos_Gastos</vt:lpstr>
      <vt:lpstr>Tendencias</vt:lpstr>
      <vt:lpstr>600</vt:lpstr>
      <vt:lpstr>BG</vt:lpstr>
      <vt:lpstr>610</vt:lpstr>
      <vt:lpstr>605</vt:lpstr>
      <vt:lpstr>FE</vt:lpstr>
      <vt:lpstr>612</vt:lpstr>
      <vt:lpstr>otros</vt:lpstr>
      <vt:lpstr>aa_rng_alimeu</vt:lpstr>
      <vt:lpstr>aa_rng_inmoeu</vt:lpstr>
      <vt:lpstr>anexo</vt:lpstr>
      <vt:lpstr>bg_activos</vt:lpstr>
      <vt:lpstr>bg_pasivos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ppto_rng_alimeu</vt:lpstr>
      <vt:lpstr>ppto_rng_inmoeu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2019-11-07T01:00:06Z</dcterms:modified>
</cp:coreProperties>
</file>